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480" yWindow="105" windowWidth="19440" windowHeight="11040"/>
  </bookViews>
  <sheets>
    <sheet name="General" sheetId="1" r:id="rId1"/>
    <sheet name="Report_Detailed" sheetId="3" r:id="rId2"/>
    <sheet name="InventTrans" sheetId="4" r:id="rId3"/>
    <sheet name="Report_Summary" sheetId="6" r:id="rId4"/>
  </sheets>
  <definedNames>
    <definedName name="AtlasReport_3" localSheetId="1">Report_Detailed!$A$1:$K$319</definedName>
    <definedName name="AtlasReport_4" localSheetId="2">InventTrans!$A$1:$G$360</definedName>
    <definedName name="CustGroup">General!$C$4</definedName>
    <definedName name="DataAreaId">General!$C$2</definedName>
    <definedName name="DatePeriod">General!$C$3</definedName>
    <definedName name="DMG">General!$C$7</definedName>
    <definedName name="ItemNumber">General!$C$5</definedName>
    <definedName name="MMG">General!$C$6</definedName>
  </definedNames>
  <calcPr calcId="145621"/>
  <pivotCaches>
    <pivotCache cacheId="84" r:id="rId5"/>
  </pivotCaches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G359" i="4"/>
  <c r="F318" i="3"/>
  <c r="H318" i="3" l="1"/>
</calcChain>
</file>

<file path=xl/sharedStrings.xml><?xml version="1.0" encoding="utf-8"?>
<sst xmlns="http://schemas.openxmlformats.org/spreadsheetml/2006/main" count="4429" uniqueCount="584">
  <si>
    <t>Company:</t>
  </si>
  <si>
    <t>Date period:</t>
  </si>
  <si>
    <t>Customer group:</t>
  </si>
  <si>
    <t>*</t>
  </si>
  <si>
    <t>!IC*</t>
  </si>
  <si>
    <t>Item number:</t>
  </si>
  <si>
    <t>Major marketing group:</t>
  </si>
  <si>
    <t>Detailed marketing group:</t>
  </si>
  <si>
    <t>Item</t>
  </si>
  <si>
    <t>Delivered</t>
  </si>
  <si>
    <t>Total</t>
  </si>
  <si>
    <t>Customer - Packing slip lines</t>
  </si>
  <si>
    <t>Item name</t>
  </si>
  <si>
    <t>Ship date</t>
  </si>
  <si>
    <t>Quantity</t>
  </si>
  <si>
    <t>Physical date</t>
  </si>
  <si>
    <t>PCS</t>
  </si>
  <si>
    <t>Sales order</t>
  </si>
  <si>
    <t>Company accounts</t>
  </si>
  <si>
    <t>Lot ID</t>
  </si>
  <si>
    <t>Sales unit</t>
  </si>
  <si>
    <t>Invent unit</t>
  </si>
  <si>
    <t>Invent qty delivered</t>
  </si>
  <si>
    <t>Inventory transactions</t>
  </si>
  <si>
    <t>Item number</t>
  </si>
  <si>
    <t>Reference</t>
  </si>
  <si>
    <t>Number</t>
  </si>
  <si>
    <t>Sum of Delivered</t>
  </si>
  <si>
    <t>Sum of Invent qty delivered</t>
  </si>
  <si>
    <t>Values</t>
  </si>
  <si>
    <t>Version:</t>
  </si>
  <si>
    <t>26/02/2021</t>
  </si>
  <si>
    <t>V1</t>
  </si>
  <si>
    <t>Initial version</t>
  </si>
  <si>
    <t>Notice:</t>
  </si>
  <si>
    <t>1. Maintain the criterions in sheet general;</t>
  </si>
  <si>
    <t>2. In tab page "Atlas 5.1" , click button "Refresh" to fetch the data through Atlas; (This will update the result in sheets "Inventtrans" and "Report_Detailed")</t>
  </si>
  <si>
    <t>Grand Total</t>
  </si>
  <si>
    <t>3. In sheet "Report_Summary", it's a pivot table based on the sheet "Report_Detailed"; (The data in it should be refreshed automatically when you active the sheet)</t>
  </si>
  <si>
    <t>369</t>
  </si>
  <si>
    <t>369 Total</t>
  </si>
  <si>
    <t>SO0001571</t>
  </si>
  <si>
    <t>SO0001612</t>
  </si>
  <si>
    <t>SO0001637</t>
  </si>
  <si>
    <t>SO0001648</t>
  </si>
  <si>
    <t>SO0001649</t>
  </si>
  <si>
    <t>SO0001663</t>
  </si>
  <si>
    <t>SO0001664</t>
  </si>
  <si>
    <t>SO0001668</t>
  </si>
  <si>
    <t>SO0001598</t>
  </si>
  <si>
    <t>SO0001621</t>
  </si>
  <si>
    <t>SO0001623</t>
  </si>
  <si>
    <t>SO0001645</t>
  </si>
  <si>
    <t>SO0001655</t>
  </si>
  <si>
    <t>SO0001661</t>
  </si>
  <si>
    <t>SO0001703</t>
  </si>
  <si>
    <t>SO0001720</t>
  </si>
  <si>
    <t>1.1.2021 .. 12.31.2021</t>
  </si>
  <si>
    <t>Asphalt</t>
  </si>
  <si>
    <t>SO0001486</t>
  </si>
  <si>
    <t>CAG0097200</t>
  </si>
  <si>
    <t>S&amp;P Carbophalt G (120/200kN)</t>
  </si>
  <si>
    <t>Roll</t>
  </si>
  <si>
    <t>M²</t>
  </si>
  <si>
    <t>Lot 024273</t>
  </si>
  <si>
    <t>SO0001500</t>
  </si>
  <si>
    <t>GLG0097120</t>
  </si>
  <si>
    <t>S&amp;P Glasphalt G (120/120kN)</t>
  </si>
  <si>
    <t>Lot 024377</t>
  </si>
  <si>
    <t>GLG0195120</t>
  </si>
  <si>
    <t>Lot 024378</t>
  </si>
  <si>
    <t>SO0001508</t>
  </si>
  <si>
    <t>Lot 025466</t>
  </si>
  <si>
    <t>Lot 025467</t>
  </si>
  <si>
    <t>SO0001511</t>
  </si>
  <si>
    <t>Lot 025560</t>
  </si>
  <si>
    <t>SO0001512</t>
  </si>
  <si>
    <t>Lot 025566</t>
  </si>
  <si>
    <t>Lot 025567</t>
  </si>
  <si>
    <t>Lot 025599</t>
  </si>
  <si>
    <t>SO0001513</t>
  </si>
  <si>
    <t>Lot 025568</t>
  </si>
  <si>
    <t>SO0001514</t>
  </si>
  <si>
    <t>Lot 025570</t>
  </si>
  <si>
    <t>SO0001516</t>
  </si>
  <si>
    <t>Lot 025583</t>
  </si>
  <si>
    <t>SO0001517</t>
  </si>
  <si>
    <t>CAG0097200200</t>
  </si>
  <si>
    <t>S&amp;P Carbophalt G (200/200kN)</t>
  </si>
  <si>
    <t>Lot 025585</t>
  </si>
  <si>
    <t>CAG195200200</t>
  </si>
  <si>
    <t>Lot 025586</t>
  </si>
  <si>
    <t>Lot 025587</t>
  </si>
  <si>
    <t>Lot 025588</t>
  </si>
  <si>
    <t>SO0001518</t>
  </si>
  <si>
    <t>Lot 025589</t>
  </si>
  <si>
    <t>SO0001524</t>
  </si>
  <si>
    <t>GLG0150120</t>
  </si>
  <si>
    <t>Lot 025629</t>
  </si>
  <si>
    <t>Lot 025630</t>
  </si>
  <si>
    <t>SO0001526</t>
  </si>
  <si>
    <t>Lot 025725</t>
  </si>
  <si>
    <t>Lot 025726</t>
  </si>
  <si>
    <t>SO0001528</t>
  </si>
  <si>
    <t>Lot 025734</t>
  </si>
  <si>
    <t>SO0001529</t>
  </si>
  <si>
    <t>Lot 025731</t>
  </si>
  <si>
    <t>SO0001530</t>
  </si>
  <si>
    <t>Lot 025746</t>
  </si>
  <si>
    <t>SO0001531</t>
  </si>
  <si>
    <t>CAG150200200</t>
  </si>
  <si>
    <t>Lot 025748</t>
  </si>
  <si>
    <t>SO0001534</t>
  </si>
  <si>
    <t>Lot 025754</t>
  </si>
  <si>
    <t>SO0001535</t>
  </si>
  <si>
    <t>Lot 025756</t>
  </si>
  <si>
    <t>SO0001536</t>
  </si>
  <si>
    <t>Lot 025757</t>
  </si>
  <si>
    <t>SO0001537</t>
  </si>
  <si>
    <t>Lot 025758</t>
  </si>
  <si>
    <t>Lot 025759</t>
  </si>
  <si>
    <t>SO0001538</t>
  </si>
  <si>
    <t>Lot 025760</t>
  </si>
  <si>
    <t>Lot 025761</t>
  </si>
  <si>
    <t>ASPDIEN002</t>
  </si>
  <si>
    <t>Asphalt application work</t>
  </si>
  <si>
    <t>Lot 025763</t>
  </si>
  <si>
    <t>SO0001540</t>
  </si>
  <si>
    <t>Lot 025767</t>
  </si>
  <si>
    <t>SO0001543</t>
  </si>
  <si>
    <t>Lot 025785</t>
  </si>
  <si>
    <t>SO0001544</t>
  </si>
  <si>
    <t>Lot 025787</t>
  </si>
  <si>
    <t>SO0001545</t>
  </si>
  <si>
    <t>Lot 025789</t>
  </si>
  <si>
    <t>Lot 025790</t>
  </si>
  <si>
    <t>Lot 025791</t>
  </si>
  <si>
    <t>Lot 025792</t>
  </si>
  <si>
    <t>SO0001546</t>
  </si>
  <si>
    <t>Lot 025806</t>
  </si>
  <si>
    <t>Lot 025807</t>
  </si>
  <si>
    <t>Lot 025808</t>
  </si>
  <si>
    <t>SO0001547</t>
  </si>
  <si>
    <t>CAG0195200</t>
  </si>
  <si>
    <t>Lot 025809</t>
  </si>
  <si>
    <t>Lot 025810</t>
  </si>
  <si>
    <t>Lot 025873</t>
  </si>
  <si>
    <t>SO0001549</t>
  </si>
  <si>
    <t>Lot 025875</t>
  </si>
  <si>
    <t>SO0001550</t>
  </si>
  <si>
    <t>Lot 025877</t>
  </si>
  <si>
    <t>SO0001552</t>
  </si>
  <si>
    <t>Lot 027653</t>
  </si>
  <si>
    <t>SO0001554</t>
  </si>
  <si>
    <t>Lot 027921</t>
  </si>
  <si>
    <t>Lot 027922</t>
  </si>
  <si>
    <t>SO0001555</t>
  </si>
  <si>
    <t>Lot 027923</t>
  </si>
  <si>
    <t>SO0001556</t>
  </si>
  <si>
    <t>Lot 027925</t>
  </si>
  <si>
    <t>Lot 027926</t>
  </si>
  <si>
    <t>CAG0150200</t>
  </si>
  <si>
    <t>Lot 027927</t>
  </si>
  <si>
    <t>Lot 027928</t>
  </si>
  <si>
    <t>Lot 027929</t>
  </si>
  <si>
    <t>SO0001557</t>
  </si>
  <si>
    <t>Lot 027931</t>
  </si>
  <si>
    <t>SO0001559</t>
  </si>
  <si>
    <t>Lot 028059</t>
  </si>
  <si>
    <t>Lot 028060</t>
  </si>
  <si>
    <t>SO0001560</t>
  </si>
  <si>
    <t>Lot 028062</t>
  </si>
  <si>
    <t>Lot 028063</t>
  </si>
  <si>
    <t>SO0001561</t>
  </si>
  <si>
    <t>Lot 028065</t>
  </si>
  <si>
    <t>Lot 028066</t>
  </si>
  <si>
    <t>SO0001564</t>
  </si>
  <si>
    <t>Lot 028080</t>
  </si>
  <si>
    <t>Lot 028120</t>
  </si>
  <si>
    <t>Lot 028117</t>
  </si>
  <si>
    <t>SO0001572</t>
  </si>
  <si>
    <t>Lot 028121</t>
  </si>
  <si>
    <t>SO0001573</t>
  </si>
  <si>
    <t>Lot 028123</t>
  </si>
  <si>
    <t>SO0001574</t>
  </si>
  <si>
    <t>Lot 028125</t>
  </si>
  <si>
    <t>Lot 028126</t>
  </si>
  <si>
    <t>SO0001575</t>
  </si>
  <si>
    <t>Lot 028127</t>
  </si>
  <si>
    <t>Lot 028128</t>
  </si>
  <si>
    <t>Lot 028129</t>
  </si>
  <si>
    <t>SO0001576</t>
  </si>
  <si>
    <t>Lot 028130</t>
  </si>
  <si>
    <t>Lot 028131</t>
  </si>
  <si>
    <t>Lot 028134</t>
  </si>
  <si>
    <t>SO0001577</t>
  </si>
  <si>
    <t>Lot 028135</t>
  </si>
  <si>
    <t>Lot 028136</t>
  </si>
  <si>
    <t>SO0001579</t>
  </si>
  <si>
    <t>Lot 028192</t>
  </si>
  <si>
    <t>Lot 028356</t>
  </si>
  <si>
    <t>GLG0125120</t>
  </si>
  <si>
    <t>Lot 028287</t>
  </si>
  <si>
    <t>Lot 030522</t>
  </si>
  <si>
    <t>Lot 030523</t>
  </si>
  <si>
    <t>Lot 030545</t>
  </si>
  <si>
    <t>SO0001580</t>
  </si>
  <si>
    <t>Lot 028202</t>
  </si>
  <si>
    <t>Lot 028204</t>
  </si>
  <si>
    <t>Lot 028203</t>
  </si>
  <si>
    <t>Lot 028206</t>
  </si>
  <si>
    <t>Lot 028517</t>
  </si>
  <si>
    <t>SO0001581</t>
  </si>
  <si>
    <t>Lot 028212</t>
  </si>
  <si>
    <t>Lot 028211</t>
  </si>
  <si>
    <t>Lot 028213</t>
  </si>
  <si>
    <t>Lot 028215</t>
  </si>
  <si>
    <t>SO0001583</t>
  </si>
  <si>
    <t>Lot 028224</t>
  </si>
  <si>
    <t>SO0001584</t>
  </si>
  <si>
    <t>Lot 028232</t>
  </si>
  <si>
    <t>SO0001587</t>
  </si>
  <si>
    <t>Lot 028241</t>
  </si>
  <si>
    <t>Lot 028242</t>
  </si>
  <si>
    <t>Lot 028243</t>
  </si>
  <si>
    <t>Lot 028357</t>
  </si>
  <si>
    <t>SO0001588</t>
  </si>
  <si>
    <t>Lot 028264</t>
  </si>
  <si>
    <t>SO0001589</t>
  </si>
  <si>
    <t>Lot 028265</t>
  </si>
  <si>
    <t>Lot 028266</t>
  </si>
  <si>
    <t>Lot 028267</t>
  </si>
  <si>
    <t>Lot 028268</t>
  </si>
  <si>
    <t>SO0001590</t>
  </si>
  <si>
    <t>Lot 028279</t>
  </si>
  <si>
    <t>Lot 028284</t>
  </si>
  <si>
    <t>SO0001591</t>
  </si>
  <si>
    <t>Lot 028285</t>
  </si>
  <si>
    <t>SO0001596</t>
  </si>
  <si>
    <t>Lot 028363</t>
  </si>
  <si>
    <t>SO0001597</t>
  </si>
  <si>
    <t>Lot 028368</t>
  </si>
  <si>
    <t>Lot 028369</t>
  </si>
  <si>
    <t>Lot 028370</t>
  </si>
  <si>
    <t>SO0001599</t>
  </si>
  <si>
    <t>Lot 028372</t>
  </si>
  <si>
    <t>SO0001600</t>
  </si>
  <si>
    <t>Lot 028376</t>
  </si>
  <si>
    <t>SO0001605</t>
  </si>
  <si>
    <t>Lot 028395</t>
  </si>
  <si>
    <t>Lot 028396</t>
  </si>
  <si>
    <t>Lot 028397</t>
  </si>
  <si>
    <t>Lot 028416</t>
  </si>
  <si>
    <t>Lot 028417</t>
  </si>
  <si>
    <t>Lot 028418</t>
  </si>
  <si>
    <t>Lot 028419</t>
  </si>
  <si>
    <t>Lot 028420</t>
  </si>
  <si>
    <t>Lot 028421</t>
  </si>
  <si>
    <t>SO0001614</t>
  </si>
  <si>
    <t>Lot 028429</t>
  </si>
  <si>
    <t>Lot 028430</t>
  </si>
  <si>
    <t>Lot 028437</t>
  </si>
  <si>
    <t>Lot 028438</t>
  </si>
  <si>
    <t>Lot 028439</t>
  </si>
  <si>
    <t>Lot 028441</t>
  </si>
  <si>
    <t>SO0001615</t>
  </si>
  <si>
    <t>Lot 028442</t>
  </si>
  <si>
    <t>Lot 028443</t>
  </si>
  <si>
    <t>Lot 028445</t>
  </si>
  <si>
    <t>SO0001618</t>
  </si>
  <si>
    <t>Lot 028506</t>
  </si>
  <si>
    <t>Lot 028507</t>
  </si>
  <si>
    <t>Lot 028509</t>
  </si>
  <si>
    <t>SO0001619</t>
  </si>
  <si>
    <t>Lot 028513</t>
  </si>
  <si>
    <t>SO0001620</t>
  </si>
  <si>
    <t>Lot 028515</t>
  </si>
  <si>
    <t>Lot 028518</t>
  </si>
  <si>
    <t>Lot 028519</t>
  </si>
  <si>
    <t>Lot 028520</t>
  </si>
  <si>
    <t>Lot 028522</t>
  </si>
  <si>
    <t>Lot 028532</t>
  </si>
  <si>
    <t>SO0001628</t>
  </si>
  <si>
    <t>Lot 030500</t>
  </si>
  <si>
    <t>SO0001629</t>
  </si>
  <si>
    <t>Lot 030505</t>
  </si>
  <si>
    <t>SO0001630</t>
  </si>
  <si>
    <t>Lot 030506</t>
  </si>
  <si>
    <t>Lot 030507</t>
  </si>
  <si>
    <t>Lot 030508</t>
  </si>
  <si>
    <t>Lot 030532</t>
  </si>
  <si>
    <t>Lot 030533</t>
  </si>
  <si>
    <t>SO0001638</t>
  </si>
  <si>
    <t>Lot 030534</t>
  </si>
  <si>
    <t>SO0001641</t>
  </si>
  <si>
    <t>Lot 030552</t>
  </si>
  <si>
    <t>Lot 030553</t>
  </si>
  <si>
    <t>SO0001642</t>
  </si>
  <si>
    <t>Lot 030555</t>
  </si>
  <si>
    <t>Lot 030572</t>
  </si>
  <si>
    <t>Lot 030582</t>
  </si>
  <si>
    <t>Lot 030583</t>
  </si>
  <si>
    <t>SO0001651</t>
  </si>
  <si>
    <t>Lot 030664</t>
  </si>
  <si>
    <t>Lot 030665</t>
  </si>
  <si>
    <t>Lot 030666</t>
  </si>
  <si>
    <t>Lot 030668</t>
  </si>
  <si>
    <t>SO0001652</t>
  </si>
  <si>
    <t>Lot 030669</t>
  </si>
  <si>
    <t>Lot 030670</t>
  </si>
  <si>
    <t>Lot 030671</t>
  </si>
  <si>
    <t>Lot 030673</t>
  </si>
  <si>
    <t>SO0001653</t>
  </si>
  <si>
    <t>Lot 030674</t>
  </si>
  <si>
    <t>Lot 030675</t>
  </si>
  <si>
    <t>Lot 030677</t>
  </si>
  <si>
    <t>SO0001654</t>
  </si>
  <si>
    <t>Lot 030678</t>
  </si>
  <si>
    <t>Lot 030679</t>
  </si>
  <si>
    <t>Lot 030680</t>
  </si>
  <si>
    <t>Lot 030682</t>
  </si>
  <si>
    <t>Lot 030683</t>
  </si>
  <si>
    <t>Lot 030684</t>
  </si>
  <si>
    <t>Lot 030685</t>
  </si>
  <si>
    <t>Lot 030686</t>
  </si>
  <si>
    <t>Lot 030687</t>
  </si>
  <si>
    <t>SO0001656</t>
  </si>
  <si>
    <t>Lot 030689</t>
  </si>
  <si>
    <t>Lot 030690</t>
  </si>
  <si>
    <t>Lot 030691</t>
  </si>
  <si>
    <t>Lot 030692</t>
  </si>
  <si>
    <t>Lot 030693</t>
  </si>
  <si>
    <t>Lot 030694</t>
  </si>
  <si>
    <t>SO0001660</t>
  </si>
  <si>
    <t>Lot 030705</t>
  </si>
  <si>
    <t>Lot 030706</t>
  </si>
  <si>
    <t>Lot 030707</t>
  </si>
  <si>
    <t>Lot 030709</t>
  </si>
  <si>
    <t>Lot 030710</t>
  </si>
  <si>
    <t>Lot 030711</t>
  </si>
  <si>
    <t>Lot 030712</t>
  </si>
  <si>
    <t>Lot 030724</t>
  </si>
  <si>
    <t>Lot 030725</t>
  </si>
  <si>
    <t>Lot 030726</t>
  </si>
  <si>
    <t>Lot 030728</t>
  </si>
  <si>
    <t>Lot 030736</t>
  </si>
  <si>
    <t>Lot 030737</t>
  </si>
  <si>
    <t>Lot 030742</t>
  </si>
  <si>
    <t>SO0001669</t>
  </si>
  <si>
    <t>Lot 030744</t>
  </si>
  <si>
    <t>Lot 030745</t>
  </si>
  <si>
    <t>Lot 030746</t>
  </si>
  <si>
    <t>Lot 030747</t>
  </si>
  <si>
    <t>SO0001670</t>
  </si>
  <si>
    <t>Lot 030749</t>
  </si>
  <si>
    <t>Lot 030750</t>
  </si>
  <si>
    <t>Lot 030751</t>
  </si>
  <si>
    <t>SO0001674</t>
  </si>
  <si>
    <t>Lot 030757</t>
  </si>
  <si>
    <t>Lot 030758</t>
  </si>
  <si>
    <t>Lot 030759</t>
  </si>
  <si>
    <t>Lot 030761</t>
  </si>
  <si>
    <t>SO0001675</t>
  </si>
  <si>
    <t>Lot 030762</t>
  </si>
  <si>
    <t>Lot 030763</t>
  </si>
  <si>
    <t>Lot 030765</t>
  </si>
  <si>
    <t>Lot 030766</t>
  </si>
  <si>
    <t>Lot 030909</t>
  </si>
  <si>
    <t>SO0001678</t>
  </si>
  <si>
    <t>Lot 030835</t>
  </si>
  <si>
    <t>SO0001679</t>
  </si>
  <si>
    <t>Lot 030836</t>
  </si>
  <si>
    <t>Lot 030837</t>
  </si>
  <si>
    <t>SO0001682</t>
  </si>
  <si>
    <t>Lot 030854</t>
  </si>
  <si>
    <t>Lot 030855</t>
  </si>
  <si>
    <t>SO0001683</t>
  </si>
  <si>
    <t>Lot 030857</t>
  </si>
  <si>
    <t>Lot 030858</t>
  </si>
  <si>
    <t>Lot 030859</t>
  </si>
  <si>
    <t>Lot 030861</t>
  </si>
  <si>
    <t>SO0001684</t>
  </si>
  <si>
    <t>Lot 030862</t>
  </si>
  <si>
    <t>Lot 030863</t>
  </si>
  <si>
    <t>Lot 030864</t>
  </si>
  <si>
    <t>Lot 030866</t>
  </si>
  <si>
    <t>SO0001685</t>
  </si>
  <si>
    <t>Lot 030867</t>
  </si>
  <si>
    <t>Lot 030868</t>
  </si>
  <si>
    <t>SO0001689</t>
  </si>
  <si>
    <t>Lot 030878</t>
  </si>
  <si>
    <t>SO0001693</t>
  </si>
  <si>
    <t>Lot 030894</t>
  </si>
  <si>
    <t>Lot 030895</t>
  </si>
  <si>
    <t>Lot 030896</t>
  </si>
  <si>
    <t>SO0001694</t>
  </si>
  <si>
    <t>Lot 030898</t>
  </si>
  <si>
    <t>Lot 030899</t>
  </si>
  <si>
    <t>Lot 030900</t>
  </si>
  <si>
    <t>SO0001697</t>
  </si>
  <si>
    <t>Lot 030906</t>
  </si>
  <si>
    <t>SO0001700</t>
  </si>
  <si>
    <t>Lot 031897</t>
  </si>
  <si>
    <t>Lot 031903</t>
  </si>
  <si>
    <t>SO0001707</t>
  </si>
  <si>
    <t>Lot 031913</t>
  </si>
  <si>
    <t>SO0001717</t>
  </si>
  <si>
    <t>Lot 032090</t>
  </si>
  <si>
    <t>Lot 032091</t>
  </si>
  <si>
    <t>Lot 032092</t>
  </si>
  <si>
    <t>SO0001718</t>
  </si>
  <si>
    <t>Lot 032093</t>
  </si>
  <si>
    <t>Lot 032094</t>
  </si>
  <si>
    <t>Lot 032095</t>
  </si>
  <si>
    <t>SO0001719</t>
  </si>
  <si>
    <t>Lot 032096</t>
  </si>
  <si>
    <t>Lot 032097</t>
  </si>
  <si>
    <t>Lot 032098</t>
  </si>
  <si>
    <t>Lot 032099</t>
  </si>
  <si>
    <t>Lot 032101</t>
  </si>
  <si>
    <t>Lot 032102</t>
  </si>
  <si>
    <t>Lot 032103</t>
  </si>
  <si>
    <t>Lot 032104</t>
  </si>
  <si>
    <t>Packing slip</t>
  </si>
  <si>
    <t>SOPS00001265</t>
  </si>
  <si>
    <t>SOPS00001279</t>
  </si>
  <si>
    <t>SOPS00001280</t>
  </si>
  <si>
    <t>SOPS00001281</t>
  </si>
  <si>
    <t>SOPS00001286</t>
  </si>
  <si>
    <t>SOPS00001290</t>
  </si>
  <si>
    <t>SOPS00001292</t>
  </si>
  <si>
    <t>SOPS00001293</t>
  </si>
  <si>
    <t>SOPS00001294</t>
  </si>
  <si>
    <t>SOPS00001295</t>
  </si>
  <si>
    <t>SOPS00001282</t>
  </si>
  <si>
    <t>SOPS00001283</t>
  </si>
  <si>
    <t>SOPS00001285</t>
  </si>
  <si>
    <t>SOPS00001291</t>
  </si>
  <si>
    <t>SOPS00001287</t>
  </si>
  <si>
    <t>SOPS00001296</t>
  </si>
  <si>
    <t>SOPS00001306</t>
  </si>
  <si>
    <t>SOPS00001301</t>
  </si>
  <si>
    <t>SOPS00001299</t>
  </si>
  <si>
    <t>SOPS00001305</t>
  </si>
  <si>
    <t>SOPS00001310</t>
  </si>
  <si>
    <t>SOPS00001307</t>
  </si>
  <si>
    <t>SOPS00001311</t>
  </si>
  <si>
    <t>SOPS00001309</t>
  </si>
  <si>
    <t>SOPS00001308</t>
  </si>
  <si>
    <t>SOPS00001326</t>
  </si>
  <si>
    <t>SOPS00001327</t>
  </si>
  <si>
    <t>SOPS00001314</t>
  </si>
  <si>
    <t>SOPS00001315</t>
  </si>
  <si>
    <t>SOPS00001316</t>
  </si>
  <si>
    <t>SOPS00001317</t>
  </si>
  <si>
    <t>SOPS00001321</t>
  </si>
  <si>
    <t>SOPS00001429</t>
  </si>
  <si>
    <t>SOPS00001319</t>
  </si>
  <si>
    <t>SOPS00001340</t>
  </si>
  <si>
    <t>SOPS00001323</t>
  </si>
  <si>
    <t>SOPS00001324</t>
  </si>
  <si>
    <t>SOPS00001328</t>
  </si>
  <si>
    <t>SOPS00001336</t>
  </si>
  <si>
    <t>SOPS00001335</t>
  </si>
  <si>
    <t>SOPS00001338</t>
  </si>
  <si>
    <t>SOPS00001366</t>
  </si>
  <si>
    <t>SOPS00001339</t>
  </si>
  <si>
    <t>SOPS00001343</t>
  </si>
  <si>
    <t>SOPS00001359</t>
  </si>
  <si>
    <t>SOPS00001342</t>
  </si>
  <si>
    <t>SOPS00001350</t>
  </si>
  <si>
    <t>SOPS00001349</t>
  </si>
  <si>
    <t>SOPS00001351</t>
  </si>
  <si>
    <t>SOPS00001352</t>
  </si>
  <si>
    <t>SOPS00001353</t>
  </si>
  <si>
    <t>SOPS00001355</t>
  </si>
  <si>
    <t>SOPS00001357</t>
  </si>
  <si>
    <t>SOPS00001358</t>
  </si>
  <si>
    <t>SOPS00001367</t>
  </si>
  <si>
    <t>SOPS00001374</t>
  </si>
  <si>
    <t>SOPS00001384</t>
  </si>
  <si>
    <t>SOPS00001385</t>
  </si>
  <si>
    <t>SOPS00001399</t>
  </si>
  <si>
    <t>SOPS00001432</t>
  </si>
  <si>
    <t>SOPS00001369</t>
  </si>
  <si>
    <t>SOPS00001373</t>
  </si>
  <si>
    <t>SOPS00001376</t>
  </si>
  <si>
    <t>SOPS00001382</t>
  </si>
  <si>
    <t>SOPS00001392</t>
  </si>
  <si>
    <t>SOPS00001397</t>
  </si>
  <si>
    <t>SOPS00001411</t>
  </si>
  <si>
    <t>SOPS00001426</t>
  </si>
  <si>
    <t>SOPS00001427</t>
  </si>
  <si>
    <t>SOPS00001372</t>
  </si>
  <si>
    <t>SOPS00001377</t>
  </si>
  <si>
    <t>SOPS00001396</t>
  </si>
  <si>
    <t>SOPS00001408</t>
  </si>
  <si>
    <t>SOPS00001363</t>
  </si>
  <si>
    <t>SOPS00001362</t>
  </si>
  <si>
    <t>SOPS00001370</t>
  </si>
  <si>
    <t>SOPS00001375</t>
  </si>
  <si>
    <t>SOPS00001389</t>
  </si>
  <si>
    <t>SOPS00001379</t>
  </si>
  <si>
    <t>SOPS00001380</t>
  </si>
  <si>
    <t>SOPS00001371</t>
  </si>
  <si>
    <t>SOPS00001368</t>
  </si>
  <si>
    <t>SOPS00001378</t>
  </si>
  <si>
    <t>SOPS00001406</t>
  </si>
  <si>
    <t>SOPS00001383</t>
  </si>
  <si>
    <t>SOPS00001387</t>
  </si>
  <si>
    <t>SOPS00001391</t>
  </si>
  <si>
    <t>SOPS00001393</t>
  </si>
  <si>
    <t>SOPS00001418</t>
  </si>
  <si>
    <t>SOPS00001398</t>
  </si>
  <si>
    <t>SOPS00001401</t>
  </si>
  <si>
    <t>SOPS00001402</t>
  </si>
  <si>
    <t>SOPS00001421</t>
  </si>
  <si>
    <t>SOPS00001424</t>
  </si>
  <si>
    <t>SOPS00001400</t>
  </si>
  <si>
    <t>SOPS00001451</t>
  </si>
  <si>
    <t>SOPS00001403</t>
  </si>
  <si>
    <t>SOPS00001428</t>
  </si>
  <si>
    <t>SOPS00001413</t>
  </si>
  <si>
    <t>SOPS00001459</t>
  </si>
  <si>
    <t>SOPS00001409</t>
  </si>
  <si>
    <t>SOPS00001410</t>
  </si>
  <si>
    <t>SOPS00001417</t>
  </si>
  <si>
    <t>SOPS00001414</t>
  </si>
  <si>
    <t>SOPS00001422</t>
  </si>
  <si>
    <t>SOPS00001423</t>
  </si>
  <si>
    <t>SOPS00001425</t>
  </si>
  <si>
    <t>SOPS00001430</t>
  </si>
  <si>
    <t>SOPS00001431</t>
  </si>
  <si>
    <t>SOPS00001434</t>
  </si>
  <si>
    <t>SOPS00001433</t>
  </si>
  <si>
    <t>SOPS00001445</t>
  </si>
  <si>
    <t>SOPS00001440</t>
  </si>
  <si>
    <t>SOPS00001441</t>
  </si>
  <si>
    <t>SOPS00001446</t>
  </si>
  <si>
    <t>SOPS00001450</t>
  </si>
  <si>
    <t>SOPS00001457</t>
  </si>
  <si>
    <t>SOPS00001490</t>
  </si>
  <si>
    <t>SOPS00001458</t>
  </si>
  <si>
    <t>SOPS00001452</t>
  </si>
  <si>
    <t>SOPS00001453</t>
  </si>
  <si>
    <t>SOPS00001455</t>
  </si>
  <si>
    <t>SOPS00001456</t>
  </si>
  <si>
    <t>SOPS00001464</t>
  </si>
  <si>
    <t>SOPS00001491</t>
  </si>
  <si>
    <t>SOPS00001492</t>
  </si>
  <si>
    <t>SOPS00001468</t>
  </si>
  <si>
    <t>SOPS00001489</t>
  </si>
  <si>
    <t>SOPS00001467</t>
  </si>
  <si>
    <t>SOPS00001469</t>
  </si>
  <si>
    <t>SOPS00001495</t>
  </si>
  <si>
    <t>SOPS00001470</t>
  </si>
  <si>
    <t>SOPS00001498</t>
  </si>
  <si>
    <t>SOPS00001472</t>
  </si>
  <si>
    <t>SOPS00001493</t>
  </si>
  <si>
    <t>SOPS00001494</t>
  </si>
  <si>
    <t>SOPS00001474</t>
  </si>
  <si>
    <t>SOPS00001503</t>
  </si>
  <si>
    <t>SOPS00001504</t>
  </si>
  <si>
    <t>SOPS00001476</t>
  </si>
  <si>
    <t>SOPS00001477</t>
  </si>
  <si>
    <t>SOPS00001480</t>
  </si>
  <si>
    <t>SOPS00001481</t>
  </si>
  <si>
    <t>SOPS00001483</t>
  </si>
  <si>
    <t>SOPS00001484</t>
  </si>
  <si>
    <t>SOPS00001497</t>
  </si>
  <si>
    <t>SOPS00001499</t>
  </si>
  <si>
    <t>SOPS00001500</t>
  </si>
  <si>
    <t>SOPS00001505</t>
  </si>
  <si>
    <t>SOPS00001518</t>
  </si>
  <si>
    <t>SOPS00001509</t>
  </si>
  <si>
    <t>SOPS00001516</t>
  </si>
  <si>
    <t>SOPS00001520</t>
  </si>
  <si>
    <t>SOPS00001521</t>
  </si>
  <si>
    <t>SOPS00001522</t>
  </si>
  <si>
    <t>SOPS00001523</t>
  </si>
  <si>
    <t>SOPS00001524</t>
  </si>
  <si>
    <t>17/02/2022</t>
  </si>
  <si>
    <t>V2</t>
  </si>
  <si>
    <t>Fix the issue that delivered qty by inventory unit will be mixed when there are multi deliveries back and forth on the same order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</si>
</sst>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1"/>
    <xf numFmtId="0" fontId="0" fillId="0" borderId="0" xfId="0" applyNumberFormat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pivotButton="1"/>
    <xf numFmtId="0" fontId="0" fillId="0" borderId="0" xfId="0" quotePrefix="1"/>
  </cellXfs>
  <cellStyles count="2">
    <cellStyle name="Normal" xfId="0" builtinId="0"/>
    <cellStyle name="Title" xfId="1" builtinId="15"/>
  </cellStyles>
  <dxfs count="32"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6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penser Wang" refreshedDate="44609.4869875" createdVersion="4" refreshedVersion="4" minRefreshableVersion="3" recordCount="315">
  <cacheSource type="worksheet">
    <worksheetSource name="AtlasReport_3_Table_1"/>
  </cacheSource>
  <cacheFields count="11">
    <cacheField name="Company accounts" numFmtId="0">
      <sharedItems count="10">
        <s v="369"/>
        <s v="360" u="1"/>
        <s v="362" u="1"/>
        <s v="363" u="1"/>
        <s v="345" u="1"/>
        <s v="364" u="1"/>
        <s v="365" u="1"/>
        <s v="366" u="1"/>
        <s v="368" u="1"/>
        <s v="371" u="1"/>
      </sharedItems>
    </cacheField>
    <cacheField name="Sales order" numFmtId="0">
      <sharedItems/>
    </cacheField>
    <cacheField name="Item" numFmtId="0">
      <sharedItems count="193">
        <s v="CAG0097200"/>
        <s v="GLG0097120"/>
        <s v="GLG0195120"/>
        <s v="CAG0097200200"/>
        <s v="CAG195200200"/>
        <s v="GLG0150120"/>
        <s v="CAG150200200"/>
        <s v="ASPDIEN002"/>
        <s v="CAG0195200"/>
        <s v="CAG0150200"/>
        <s v="GLG0125120"/>
        <s v="GLG009765" u="1"/>
        <s v="LA20012014" u="1"/>
        <s v="DT1500PNEU-C" u="1"/>
        <s v="GLG0100SBR_obs" u="1"/>
        <s v="ARAPTOOL003" u="1"/>
        <s v="ASPREBATE001" u="1"/>
        <s v="LAFRPTO001F1" u="1"/>
        <s v="9600-10KGISEN" u="1"/>
        <s v="SHTEFROL12030" u="1"/>
        <s v="RESE5450-400SPFR" u="1"/>
        <s v="RESE5450-400MATECH" u="1"/>
        <s v="AMMIETG980" u="1"/>
        <s v="SLNET7030200" u="1"/>
        <s v="VTHPG420G-EU" u="1"/>
        <s v="EVLGTLRG" u="1"/>
        <s v="DT1500-E-C" u="1"/>
        <s v="TRPAKET001" u="1"/>
        <s v="GLG0100120" u="1"/>
        <s v="LAENACS080" u="1"/>
        <s v="RONET50KN200" u="1"/>
        <s v="MO043F" u="1"/>
        <s v="MODISEALSA" u="1"/>
        <s v="LARESI22015" u="1"/>
        <s v="9600-10KGSTAR" u="1"/>
        <s v="Hand tools - small" u="1"/>
        <s v="ATAMPTOOL" u="1"/>
        <s v="GLGRESTMATGV200" u="1"/>
        <s v="RESE5450-1500SPFR" u="1"/>
        <s v="CTG-NZ1SP" u="1"/>
        <s v="GSAR0505067" u="1"/>
        <s v="CAG0097200GV" u="1"/>
        <s v="GLG0097120GV" u="1"/>
        <s v="GLGRESTMATGV" u="1"/>
        <s v="LAFRPTO002F1" u="1"/>
        <s v="SHTEFROL13030" u="1"/>
        <s v="ResE6000-1500-FR" u="1"/>
        <s v="EMN3-600" u="1"/>
        <s v="FXSCREWS500" u="1"/>
        <s v="LA20005014" u="1"/>
        <s v="GLG010020BIT" u="1"/>
        <s v="SHRESEPO55HP6KG" u="1"/>
        <s v="LA15001525" u="1"/>
        <s v="9600-10KCOBE" u="1"/>
        <s v="GLG0195200GV40" u="1"/>
        <s v="LA20006014" u="1"/>
        <s v="GLG2Q" u="1"/>
        <s v="LA15010012" u="1"/>
        <s v="9600/DUR-5KG" u="1"/>
        <s v="ARMOWET025-SP" u="1"/>
        <s v="ARAPTOOL001LOC" u="1"/>
        <s v="GEANCERD0050" u="1"/>
        <s v="ASJOCOMN20EJ" u="1"/>
        <s v="ASJOSTRVCOL301030" u="1"/>
        <s v="FX763CTGEU" u="1"/>
        <s v="GLGBMTAPE0515" u="1"/>
        <s v="GLG019560" u="1"/>
        <s v="FOLIAFR" u="1"/>
        <s v="LA20008014" u="1"/>
        <s v="CTG-AG1SP" u="1"/>
        <s v="LA15012012" u="1"/>
        <s v="LACAN02PET" u="1"/>
        <s v="LARESI220HP05" u="1"/>
        <s v="AMMIETG980INST" u="1"/>
        <s v="HA-170" u="1"/>
        <s v="LAPSTKO100" u="1"/>
        <s v="LAQUARZ015" u="1"/>
        <s v="LAENACS100" u="1"/>
        <s v="ARAPTOOL002LOC" u="1"/>
        <s v="LA20009014" u="1"/>
        <s v="CTG-AG400SP" u="1"/>
        <s v="LARESI230HPAB" u="1"/>
        <s v="CTG-AG2SP" u="1"/>
        <s v="LA15010014" u="1"/>
        <s v="AML600195050" u="1"/>
        <s v="ASBITREL0010_OLD" u="1"/>
        <s v="ASJOSTRVCOL351040" u="1"/>
        <s v="ASPDIEN003" u="1"/>
        <s v="LA15001014" u="1"/>
        <s v="LACLEAN010" u="1"/>
        <s v="CAG0150200GV" u="1"/>
        <s v="GLG0150120GV" u="1"/>
        <s v="ASCOLD25" u="1"/>
        <s v="MC2-Services" u="1"/>
        <s v="7000-PARTB-2KG" u="1"/>
        <s v="GLG0195200GV_obs" u="1"/>
        <s v="TS-410" u="1"/>
        <s v="LA15001028" u="1"/>
        <s v="GLG0050120" u="1"/>
        <s v="LAFRPTO001" u="1"/>
        <s v="RES9600-10KGSP" u="1"/>
        <s v="LA15002014" u="1"/>
        <s v="LA15005012" u="1"/>
        <s v="OPHALT0416" u="1"/>
        <s v="BOAXII16085020A4" u="1"/>
        <s v="SHRESICEHP010" u="1"/>
        <s v="CAG200200RESTMAT" u="1"/>
        <s v="LA15012014" u="1"/>
        <s v="LA15015012" u="1"/>
        <s v="LACLEAN025" u="1"/>
        <s v="GLG005020BIT" u="1"/>
        <s v="LAFRPTO002" u="1"/>
        <s v="PERSPEZ985" u="1"/>
        <s v="SHADDPOS001" u="1"/>
        <s v="9600-10KGBEIL" u="1"/>
        <s v="9600-5KGSP" u="1"/>
        <s v="GLG0097200GV" u="1"/>
        <s v="AM50050019550" u="1"/>
        <s v="ASCOLDPRSTR500" u="1"/>
        <s v="ASPDIEN005" u="1"/>
        <s v="TS-400" u="1"/>
        <s v="ASPINST011" u="1"/>
        <s v="CAGRESTMAT" u="1"/>
        <s v="ENGFRP0005" u="1"/>
        <s v="LMAS1214096035" u="1"/>
        <s v="CS240200300" u="1"/>
        <s v="LARES230HP30" u="1"/>
        <s v="ResAC19-420BG-SP" u="1"/>
        <s v="LA15005014" u="1"/>
        <s v="LA15008012" u="1"/>
        <s v="RES9600-5KGSP" u="1"/>
        <s v="CS240300300" u="1"/>
        <s v="ResAC16-380SP-FR" u="1"/>
        <s v="ResEP16-600SP-FR" u="1"/>
        <s v="5450-400SIKO" u="1"/>
        <s v="LA15015014" u="1"/>
        <s v="CS240200600" u="1"/>
        <s v="FX706MPKT2B" u="1"/>
        <s v="ARMOWETSILRQ" u="1"/>
        <s v="ASJOSTRVCOL401020" u="1"/>
        <s v="MN3" u="1"/>
        <s v="LA15006014" u="1"/>
        <s v="CS240400300" u="1"/>
        <s v="SHTEFROL06030" u="1"/>
        <s v="CAGRESTMATGV" u="1"/>
        <s v="ASASPRPCSPR500" u="1"/>
        <s v="GLG0150200" u="1"/>
        <s v="CS240300600" u="1"/>
        <s v="ASJOCOMN15A" u="1"/>
        <s v="ASPDIEN007" u="1"/>
        <s v="LAENACS120" u="1"/>
        <s v="GLG019565" u="1"/>
        <s v="ARMOWET025RQ" u="1"/>
        <s v="LMAS1012080025" u="1"/>
        <s v="ASJOSTRHASC400350" u="1"/>
        <s v="GLG0065120" u="1"/>
        <s v="CS240600300" u="1"/>
        <s v="SHTEFROL07030" u="1"/>
        <s v="CAG2Q" u="1"/>
        <s v="LA15008014" u="1"/>
        <s v="ASCOLDSTR14" u="1"/>
        <s v="CS640400300" u="1"/>
        <s v="LAENACS150" u="1"/>
        <s v="ARAPTOOL001" u="1"/>
        <s v="5450-400GYDRO" u="1"/>
        <s v="GLGBMTAPE1015" u="1"/>
        <s v="GLG0150200GV" u="1"/>
        <s v="MAPEIKG" u="1"/>
        <s v="ASBITREL0025" u="1"/>
        <s v="LA15009014" u="1"/>
        <s v="LAANCSTB001" u="1"/>
        <s v="CAG0195200GV" u="1"/>
        <s v="GLG0195120GV" u="1"/>
        <s v="ASMIETG990" u="1"/>
        <s v="LACLEAN002" u="1"/>
        <s v="ASPINST001" u="1"/>
        <s v="SHRESEPO55HP" u="1"/>
        <s v="Hand tools - large" u="1"/>
        <s v="LA20010014" u="1"/>
        <s v="ARAPTOOL002" u="1"/>
        <s v="GLG65RESTMAT" u="1"/>
        <s v="9600-10KGLAFA" u="1"/>
        <s v="TRSPEDI001" u="1"/>
        <s v="LARESI220HP15" u="1"/>
        <s v="SHTEFROL09030" u="1"/>
        <s v="TL-PMPSP" u="1"/>
        <s v="ASJOCOMN10" u="1"/>
        <s v="GLG0087120" u="1"/>
        <s v="ASJOSTRVCOL201060OLD" u="1"/>
        <s v="FX76305EU" u="1"/>
        <s v="GLGRESTMAT" u="1"/>
        <s v="LAENACS050" u="1"/>
        <s v="PERSPEZ977" u="1"/>
      </sharedItems>
    </cacheField>
    <cacheField name="Item name" numFmtId="0">
      <sharedItems count="174">
        <s v="S&amp;P Carbophalt G (120/200kN)"/>
        <s v="S&amp;P Glasphalt G (120/120kN)"/>
        <s v="S&amp;P Carbophalt G (200/200kN)"/>
        <s v="Asphalt application work"/>
        <s v="S&amp;P Glasphalt bit (120/120 kN)" u="1"/>
        <s v="S&amp;P C-Laminate HM (200/2000) 90/1.4" u="1"/>
        <s v="S&amp;P C-Laminate SM (150/2000) 90/1.4" u="1"/>
        <s v="TL-PMP" u="1"/>
        <s v="Wartezeiten" u="1"/>
        <s v="S&amp;P End Anchor Typ 150" u="1"/>
        <s v="Asphalt Verlegearbeit Installation" u="1"/>
        <s v="S&amp;P End Anchor Typ 80" u="1"/>
        <s v="A4 screws 5.5 x 25 mm (500 piece box)" u="1"/>
        <s v="S&amp;P C-Laminate SM (150/2000) 100/1.2" u="1"/>
        <s v="MODISEAL SA - Asphalt bonding emulsion SAMI" u="1"/>
        <s v="Hand tools - small" u="1"/>
        <s v="S&amp;P Resin 220 HP (set of 5 kg)" u="1"/>
        <s v="S&amp;P Rouleau de marouflage largeur 120 mm" u="1"/>
        <s v="MIXERS QM16 (MN3) IN BOX OF 50" u="1"/>
        <s v="S&amp;P C-Laminate SM (150/2000) 150/1.2" u="1"/>
        <s v="Concacel 10kg Beillon" u="1"/>
        <s v="S&amp;P C-Laminate SM (150/2000) 10/1.4" u="1"/>
        <s v="FX-70-6MP 2 bag kit (A+B+C) _x000a_1 x A _x000a_1 x B _x000a_2 x C" u="1"/>
        <s v="S&amp;P C-Laminate SM (150/2000) 10/2.8" u="1"/>
        <s v="S&amp;P Glasphalt GBM Tape, width 0.5 m, length 15 m" u="1"/>
        <s v="S&amp;P Glasphalt GBM Tape, width 1.0 m, length 15 m" u="1"/>
        <s v="S&amp;P Unrolling set" u="1"/>
        <s v="S&amp;P ARMO-crete w ,bag of 25kg" u="1"/>
        <s v="S&amp;P Ascoprimer CP spray 500 ml" u="1"/>
        <s v="S&amp;P ARMO Power Pump / lnstallation" u="1"/>
        <s v="S&amp;P C-Laminate SM (150/2000) 50/1.2" u="1"/>
        <s v="S&amp;P Haftzüge - Installation" u="1"/>
        <s v="S&amp;P Asphalt Bitumen_x000a_Release Agent 10lt" u="1"/>
        <s v="Haftvermittler Installation" u="1"/>
        <s v="threaded rods 10x120 bag of 30" u="1"/>
        <s v="threaded rods 12x140 bag of 30" u="1"/>
        <s v="MAPEI in KG" u="1"/>
        <s v="S&amp;P Aufziehgerät Kleber Lamellen" u="1"/>
        <s v="Rest material Carbophalt G 200/200" u="1"/>
        <s v="S&amp;P C-Laminate SM (150/2000) 20/1.4" u="1"/>
        <s v="Set of 30 kg of S&amp;P Resin 230HP" u="1"/>
        <s v="S&amp;P Glasphalt GV (120/200kN), afm 40x1.95m breed, 40 mtr" u="1"/>
        <s v="S&amp;P C-Laminate SM (150/2000) 120/1.2" u="1"/>
        <s v="S&amp;P joint compound MN15A Kart Bed 17kg" u="1"/>
        <s v="S&amp;P ARMO-mesh L600" u="1"/>
        <s v="S&amp;P Laminierroller 60 x 30mm" u="1"/>
        <s v="Positionszuschlag per m1" u="1"/>
        <s v="Rest material Glasphalt GV" u="1"/>
        <s v="Asphalt Tamper" u="1"/>
        <s v="S&amp;P Asphalt Manual Application equip." u="1"/>
        <s v="Concacel 10kg S&amp;P" u="1"/>
        <s v="Concacel 10kg Starloc" u="1"/>
        <s v="Concacel 10kg Isenmann" u="1"/>
        <s v="PL cartridge 400 ml E5450 SIKO" u="1"/>
        <s v="S&amp;P Asphalt Mietgeräte" u="1"/>
        <s v="SIL PYR HYDRPHIL 200M²/GR" u="1"/>
        <s v="SIL PYR HYDRPHOB 200M²/GR" u="1"/>
        <s v="S&amp;P joint strip V-Colband 20mmx10mm á 60mtr p/ds" u="1"/>
        <s v="S&amp;P joint strip V-Colband 30mmx10mm á 30mtr p/ds" u="1"/>
        <s v="S&amp;P joint strip V-Colband 35mmx10mm á 40mtr p/ds" u="1"/>
        <s v="S&amp;P joint strip V-Colband 40mmx10mm á 20mtr p/ds" u="1"/>
        <s v="PL solution in cartridge 400ml E5450,  MANOPOX341 (GYDROZO)" u="1"/>
        <s v="MC2-Services" u="1"/>
        <s v="S&amp;P Cleaner 10 lt" u="1"/>
        <s v="S&amp;P Reactive asphalt primer  500ml" u="1"/>
        <s v="S&amp;P joint compound MN10 Kart Bed 17kg" u="1"/>
        <s v="ResEP-16 600 ml" u="1"/>
        <s v="S&amp;P End Anchor Typ 100" u="1"/>
        <s v="SF 220HP PART B 1,67kg" u="1"/>
        <s v="S&amp;P Glasphalt GV (120/120kN)" u="1"/>
        <s v="S&amp;P Resin 220 (Gebinde à 15 kg)" u="1"/>
        <s v="S&amp;P Asphalt Bitumen_x000a_Release Agent 2.5lt" u="1"/>
        <s v="Simpson Strong-Tie VT-HP resin 420ml, with two mixer, Europe" u="1"/>
        <s v="CTG-AG1" u="1"/>
        <s v="CONCACEL HARDENER 5kg" u="1"/>
        <s v="S&amp;P C-Sheet 240 400 g/m2" u="1"/>
        <s v="S&amp;P C-Sheet 640 400 g/m2" u="1"/>
        <s v="S&amp;P End Anchor Typ 120" u="1"/>
        <s v="ResAC-16 380 ml" u="1"/>
        <s v="E5450 400ml Matech" u="1"/>
        <s v="S&amp;P Anchor M16 (Vorspannung)" u="1"/>
        <s v="S&amp;P C-Laminate SM (150/2000) 80/1.2" u="1"/>
        <s v="CTG-NZ1 (bag of 10 mixers)" u="1"/>
        <s v="Rate per kilometer - prestressing" u="1"/>
        <s v="CTG-AG2" u="1"/>
        <s v="Transportkosten (Spedition)" u="1"/>
        <s v="Transportkosten (Paketversand)" u="1"/>
        <s v="S&amp;P C-Laminate SM (150/2000) 15/2.5" u="1"/>
        <s v="S&amp;P Asphalt Spezialist" u="1"/>
        <s v="S&amp;P ARMO-crete w , Siloware" u="1"/>
        <s v="S&amp;P Rouleau de marouflage largeur 70 mm" u="1"/>
        <s v="Rest material Glasphalt GV 120/200" u="1"/>
        <s v="S&amp;P Laminierroller 90 x 30mm" u="1"/>
        <s v="S&amp;P C-Laminate HM (200/2000) 50/1.4" u="1"/>
        <s v="S&amp;P C-Laminate SM (150/2000) 50/1.4" u="1"/>
        <s v="ResAC-19 420ml, blue becoming grey, with two mixers" u="1"/>
        <s v="Rest material Carbophalt G" u="1"/>
        <s v="Elect gun 1500ml 1 charg 1 battery" u="1"/>
        <s v="ANCAMINE 2719" u="1"/>
        <s v="Manual gun 400ml" u="1"/>
        <s v="S&amp;P Unrolling set - F" u="1"/>
        <s v="TECNOGROUT-N/PR (25KG)" u="1"/>
        <s v="Plastikkanister weiss 2 lt" u="1"/>
        <s v="S&amp;P C-Laminate HM (200/2000) 100/1.4" u="1"/>
        <s v="S&amp;P C-Laminate SM (150/2000) 100/1.4" u="1"/>
        <s v="S&amp;P Glasphalt G 65" u="1"/>
        <s v="S&amp;P Resin 55 HP_x000a_(Set à 6kg)" u="1"/>
        <s v="S&amp;P joint compound MN20EJ Kart Bed 17kg" u="1"/>
        <s v="S&amp;P C-Laminate SM (150/2000) 150/1.4" u="1"/>
        <s v="S&amp;P Cleaner 25 lt" u="1"/>
        <s v="S&amp;P Stahlbauteile" u="1"/>
        <s v="S&amp;P Glasphalt GV (120/200kN)" u="1"/>
        <s v="S&amp;P Carbophalt GV (120/200kN)" u="1"/>
        <s v="Glasphalt G 60, afm 50x1.95m breed" u="1"/>
        <s v="S&amp;P C-Laminate HM (200/2000) 60/1.4" u="1"/>
        <s v="S&amp;P C-Laminate SM (150/2000) 60/1.4" u="1"/>
        <s v="Concacel 10kg Cobemat" u="1"/>
        <s v="S&amp;P C-Sheet 240 300 g/m2" u="1"/>
        <s v="S&amp;P Hochleistungsnetz 70/30 kN_x000a_schwarz, 2.0m breit 50m lang" u="1"/>
        <s v="Rest material Carbophalt GV" u="1"/>
        <s v="S&amp;P Asphalt Handabrollgerät" u="1"/>
        <s v="S&amp;P Resin 220 HP (set of 15 kg)" u="1"/>
        <s v="Concacel 10kg Lafarge" u="1"/>
        <s v="Oecophalt R 0/4 bag 16 KG" u="1"/>
        <s v="S&amp;P Resin E6000 1500ml-FR" u="1"/>
        <s v="S&amp;P cold asphalt bag of 25kg" u="1"/>
        <s v="Parts A and B of S&amp;P Resin 230HP" u="1"/>
        <s v="Pneumatic extrusion tool 1500ml cartridge side by side 1:1_x000a_" u="1"/>
        <s v="S&amp;P Glasphalt G 120/120 kN 1.50m" u="1"/>
        <s v="S&amp;P Asphalt Abrollgerät maschinell" u="1"/>
        <s v="S&amp;P Hochleistungsnetz 50 kN (grau)" u="1"/>
        <s v="Asphalt Verlegearbeit_x000a_" u="1"/>
        <s v="S&amp;P equipt 1.95 m / Rent" u="1"/>
        <s v="S&amp;P Erdnagel 50 cm" u="1"/>
        <s v="S&amp;P End Anchor Typ 50" u="1"/>
        <s v="FX-763CTG 600 ml cartridge" u="1"/>
        <s v="S&amp;P Glasphalt GV2Q_x000a_" u="1"/>
        <s v="S&amp;P C-Laminate HM (200/2000) 120/1.4" u="1"/>
        <s v="S&amp;P C-Laminate SM (150/2000) 120/1.4" u="1"/>
        <s v="S&amp;PARMO-mesh 500/500_x000a_roll 1.95 x 50 m" u="1"/>
        <s v="S&amp;P Reactive asphalt bag (Rephalt) 14kg" u="1"/>
        <s v="MIXER QM16" u="1"/>
        <s v="S&amp;P ARMO Power Pump System" u="1"/>
        <s v="Hand tools - large" u="1"/>
        <s v="S&amp;P FRP Spezialist" u="1"/>
        <s v="Rest material Glasphalt G" u="1"/>
        <s v="S&amp;P Anchor plate prestressed" u="1"/>
        <s v="S&amp;P ARMO-crete w - 25 kg bag" u="1"/>
        <s v="S&amp;P Resin 55 HP_x000a_(Set à 13kg)" u="1"/>
        <s v="Film FR" u="1"/>
        <s v="Concacel 5 kg S&amp;P" u="1"/>
        <s v="E5450 400ml S&amp;P FR" u="1"/>
        <s v="S&amp;P Asphalt equipment rental" u="1"/>
        <s v="S&amp;P C-Laminate HM (200/2000) 80/1.4" u="1"/>
        <s v="S&amp;P C-Laminate SM (150/2000) 80/1.4" u="1"/>
        <s v="EV light large" u="1"/>
        <s v="S&amp;P C-Sheet 240 200 g/m2" u="1"/>
        <s v="S&amp;P Resicem HP, Set 10 kg" u="1"/>
        <s v="Rebate on product group Asphalt" u="1"/>
        <s v="E5450 1500ml S&amp;P FR" u="1"/>
        <s v="S&amp;P Adhesive-forming unit - F" u="1"/>
        <s v="S&amp;P Laminierroller 130 x 30mm" u="1"/>
        <s v="S&amp;P Carbophalt G2Q" u="1"/>
        <s v="FX-763 (set of 5 kg)" u="1"/>
        <s v="S&amp;P Resin 230 Komp. F" u="1"/>
        <s v="S&amp;P Cleaner 2 lt" u="1"/>
        <s v="S&amp;P G-Sheet AR 50/50" u="1"/>
        <s v="S&amp;P C-Sheet 240 600 g/m2" u="1"/>
        <s v="S&amp;P Resin 220 (Set of 15 kg)" u="1"/>
        <s v="S&amp;P joint strip H-Ascotekband 40mmx3mm á 50mtr p/ds" u="1"/>
        <s v="S&amp;P Glasphalt G, 1m" u="1"/>
        <s v="Concacel 5kg S&amp;P" u="1"/>
        <s v="Rest material Glasphalt G 65" u="1"/>
        <s v="S&amp;P Manual Reel 0.97m / Rent" u="1"/>
      </sharedItems>
    </cacheField>
    <cacheField name="Ship date" numFmtId="14">
      <sharedItems containsSemiMixedTypes="0" containsNonDate="0" containsDate="1" containsString="0" minDate="2021-01-25T00:00:00" maxDate="2021-12-21T00:00:00"/>
    </cacheField>
    <cacheField name="Delivered" numFmtId="0">
      <sharedItems containsSemiMixedTypes="0" containsString="0" containsNumber="1" minValue="-27500" maxValue="27500"/>
    </cacheField>
    <cacheField name="Sales unit" numFmtId="0">
      <sharedItems count="24">
        <s v="Roll"/>
        <s v="M²"/>
        <s v="PCS"/>
        <s v="FORFAIT" u="1"/>
        <s v="Sac(25KG)" u="1"/>
        <s v="Kit(5KG)" u="1"/>
        <s v="DAY" u="1"/>
        <s v="CTN(10p)" u="1"/>
        <s v="Week" u="1"/>
        <s v="ROLL(100M)" u="1"/>
        <s v="Pal(42Kit)" u="1"/>
        <s v="H" u="1"/>
        <s v="Kit(15KG)" u="1"/>
        <s v="Roll(50M)" u="1"/>
        <s v="Pal(40R)" u="1"/>
        <s v="M" u="1"/>
        <s v="COUR(100M)" u="1"/>
        <s v="KG" u="1"/>
        <s v="Pal(20R)" u="1"/>
        <s v="KM" u="1"/>
        <s v="RO" u="1"/>
        <s v="Pal(28Kit)" u="1"/>
        <s v="COUR(150M)" u="1"/>
        <s v="Kit(6KG)" u="1"/>
      </sharedItems>
    </cacheField>
    <cacheField name="Invent qty delivered" numFmtId="0">
      <sharedItems containsSemiMixedTypes="0" containsString="0" containsNumber="1" minValue="-31395" maxValue="32495"/>
    </cacheField>
    <cacheField name="Invent unit" numFmtId="0">
      <sharedItems count="8">
        <s v="M²"/>
        <s v="PCS" u="1"/>
        <s v="DAY" u="1"/>
        <s v="Week" u="1"/>
        <s v="H" u="1"/>
        <s v="M" u="1"/>
        <s v="KG" u="1"/>
        <s v="KM" u="1"/>
      </sharedItems>
    </cacheField>
    <cacheField name="Lot ID" numFmtId="0">
      <sharedItems/>
    </cacheField>
    <cacheField name="Packing slip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5">
  <r>
    <x v="0"/>
    <s v="SO0001486"/>
    <x v="0"/>
    <x v="0"/>
    <d v="2021-01-25T00:00:00"/>
    <n v="5"/>
    <x v="0"/>
    <n v="242.5"/>
    <x v="0"/>
    <s v="Lot 024273"/>
    <s v="SOPS00001265"/>
  </r>
  <r>
    <x v="0"/>
    <s v="SO0001500"/>
    <x v="1"/>
    <x v="1"/>
    <d v="2021-03-18T00:00:00"/>
    <n v="145.5"/>
    <x v="1"/>
    <n v="145.5"/>
    <x v="0"/>
    <s v="Lot 024377"/>
    <s v="SOPS00001279"/>
  </r>
  <r>
    <x v="0"/>
    <s v="SO0001500"/>
    <x v="2"/>
    <x v="1"/>
    <d v="2021-03-18T00:00:00"/>
    <n v="780.5"/>
    <x v="1"/>
    <n v="780.5"/>
    <x v="0"/>
    <s v="Lot 024378"/>
    <s v="SOPS00001279"/>
  </r>
  <r>
    <x v="0"/>
    <s v="SO0001508"/>
    <x v="2"/>
    <x v="1"/>
    <d v="2021-03-30T00:00:00"/>
    <n v="240"/>
    <x v="0"/>
    <n v="23400"/>
    <x v="0"/>
    <s v="Lot 025466"/>
    <s v="SOPS00001280"/>
  </r>
  <r>
    <x v="0"/>
    <s v="SO0001508"/>
    <x v="1"/>
    <x v="1"/>
    <d v="2021-03-30T00:00:00"/>
    <n v="40"/>
    <x v="0"/>
    <n v="1940"/>
    <x v="0"/>
    <s v="Lot 025467"/>
    <s v="SOPS00001280"/>
  </r>
  <r>
    <x v="0"/>
    <s v="SO0001511"/>
    <x v="2"/>
    <x v="1"/>
    <d v="2021-04-12T00:00:00"/>
    <n v="17"/>
    <x v="0"/>
    <n v="1657.5"/>
    <x v="0"/>
    <s v="Lot 025560"/>
    <s v="SOPS00001281"/>
  </r>
  <r>
    <x v="0"/>
    <s v="SO0001512"/>
    <x v="1"/>
    <x v="1"/>
    <d v="2021-04-26T00:00:00"/>
    <n v="145.5"/>
    <x v="1"/>
    <n v="145.5"/>
    <x v="0"/>
    <s v="Lot 025566"/>
    <s v="SOPS00001286"/>
  </r>
  <r>
    <x v="0"/>
    <s v="SO0001512"/>
    <x v="2"/>
    <x v="1"/>
    <d v="2021-04-26T00:00:00"/>
    <n v="780"/>
    <x v="1"/>
    <n v="780"/>
    <x v="0"/>
    <s v="Lot 025567"/>
    <s v="SOPS00001286"/>
  </r>
  <r>
    <x v="0"/>
    <s v="SO0001512"/>
    <x v="1"/>
    <x v="1"/>
    <d v="2021-04-29T00:00:00"/>
    <n v="-145.5"/>
    <x v="1"/>
    <n v="-145.5"/>
    <x v="0"/>
    <s v="Lot 025566"/>
    <s v="SOPS00001290"/>
  </r>
  <r>
    <x v="0"/>
    <s v="SO0001512"/>
    <x v="2"/>
    <x v="1"/>
    <d v="2021-04-29T00:00:00"/>
    <n v="-780"/>
    <x v="1"/>
    <n v="-780"/>
    <x v="0"/>
    <s v="Lot 025567"/>
    <s v="SOPS00001290"/>
  </r>
  <r>
    <x v="0"/>
    <s v="SO0001512"/>
    <x v="1"/>
    <x v="1"/>
    <d v="2021-05-03T00:00:00"/>
    <n v="145.5"/>
    <x v="1"/>
    <n v="145.5"/>
    <x v="0"/>
    <s v="Lot 025566"/>
    <s v="SOPS00001292"/>
  </r>
  <r>
    <x v="0"/>
    <s v="SO0001512"/>
    <x v="2"/>
    <x v="1"/>
    <d v="2021-05-03T00:00:00"/>
    <n v="780"/>
    <x v="1"/>
    <n v="780"/>
    <x v="0"/>
    <s v="Lot 025567"/>
    <s v="SOPS00001292"/>
  </r>
  <r>
    <x v="0"/>
    <s v="SO0001512"/>
    <x v="2"/>
    <x v="1"/>
    <d v="2021-05-03T00:00:00"/>
    <n v="97.5"/>
    <x v="1"/>
    <n v="97.5"/>
    <x v="0"/>
    <s v="Lot 025599"/>
    <s v="SOPS00001292"/>
  </r>
  <r>
    <x v="0"/>
    <s v="SO0001512"/>
    <x v="1"/>
    <x v="1"/>
    <d v="2021-05-03T00:00:00"/>
    <n v="-145.5"/>
    <x v="1"/>
    <n v="-145.5"/>
    <x v="0"/>
    <s v="Lot 025566"/>
    <s v="SOPS00001293"/>
  </r>
  <r>
    <x v="0"/>
    <s v="SO0001512"/>
    <x v="2"/>
    <x v="1"/>
    <d v="2021-05-03T00:00:00"/>
    <n v="-780"/>
    <x v="1"/>
    <n v="-780"/>
    <x v="0"/>
    <s v="Lot 025567"/>
    <s v="SOPS00001293"/>
  </r>
  <r>
    <x v="0"/>
    <s v="SO0001512"/>
    <x v="2"/>
    <x v="1"/>
    <d v="2021-05-03T00:00:00"/>
    <n v="-97.5"/>
    <x v="1"/>
    <n v="-97.5"/>
    <x v="0"/>
    <s v="Lot 025599"/>
    <s v="SOPS00001294"/>
  </r>
  <r>
    <x v="0"/>
    <s v="SO0001512"/>
    <x v="1"/>
    <x v="1"/>
    <d v="2021-05-03T00:00:00"/>
    <n v="145.5"/>
    <x v="1"/>
    <n v="145.5"/>
    <x v="0"/>
    <s v="Lot 025566"/>
    <s v="SOPS00001295"/>
  </r>
  <r>
    <x v="0"/>
    <s v="SO0001512"/>
    <x v="2"/>
    <x v="1"/>
    <d v="2021-05-03T00:00:00"/>
    <n v="780"/>
    <x v="1"/>
    <n v="780"/>
    <x v="0"/>
    <s v="Lot 025567"/>
    <s v="SOPS00001295"/>
  </r>
  <r>
    <x v="0"/>
    <s v="SO0001512"/>
    <x v="2"/>
    <x v="1"/>
    <d v="2021-05-03T00:00:00"/>
    <n v="97.5"/>
    <x v="1"/>
    <n v="97.5"/>
    <x v="0"/>
    <s v="Lot 025599"/>
    <s v="SOPS00001295"/>
  </r>
  <r>
    <x v="0"/>
    <s v="SO0001513"/>
    <x v="0"/>
    <x v="0"/>
    <d v="2021-04-13T00:00:00"/>
    <n v="4"/>
    <x v="0"/>
    <n v="194"/>
    <x v="0"/>
    <s v="Lot 025568"/>
    <s v="SOPS00001282"/>
  </r>
  <r>
    <x v="0"/>
    <s v="SO0001514"/>
    <x v="1"/>
    <x v="1"/>
    <d v="2021-04-16T00:00:00"/>
    <n v="64"/>
    <x v="0"/>
    <n v="3104"/>
    <x v="0"/>
    <s v="Lot 025570"/>
    <s v="SOPS00001283"/>
  </r>
  <r>
    <x v="0"/>
    <s v="SO0001516"/>
    <x v="1"/>
    <x v="1"/>
    <d v="2021-04-23T00:00:00"/>
    <n v="11"/>
    <x v="0"/>
    <n v="533.5"/>
    <x v="0"/>
    <s v="Lot 025583"/>
    <s v="SOPS00001285"/>
  </r>
  <r>
    <x v="0"/>
    <s v="SO0001517"/>
    <x v="3"/>
    <x v="2"/>
    <d v="2021-04-30T00:00:00"/>
    <n v="40"/>
    <x v="0"/>
    <n v="1940"/>
    <x v="0"/>
    <s v="Lot 025585"/>
    <s v="SOPS00001291"/>
  </r>
  <r>
    <x v="0"/>
    <s v="SO0001517"/>
    <x v="4"/>
    <x v="2"/>
    <d v="2021-04-30T00:00:00"/>
    <n v="60"/>
    <x v="0"/>
    <n v="5850"/>
    <x v="0"/>
    <s v="Lot 025586"/>
    <s v="SOPS00001291"/>
  </r>
  <r>
    <x v="0"/>
    <s v="SO0001517"/>
    <x v="1"/>
    <x v="1"/>
    <d v="2021-04-30T00:00:00"/>
    <n v="40"/>
    <x v="0"/>
    <n v="1940"/>
    <x v="0"/>
    <s v="Lot 025587"/>
    <s v="SOPS00001291"/>
  </r>
  <r>
    <x v="0"/>
    <s v="SO0001517"/>
    <x v="2"/>
    <x v="1"/>
    <d v="2021-04-30T00:00:00"/>
    <n v="160"/>
    <x v="0"/>
    <n v="15600"/>
    <x v="0"/>
    <s v="Lot 025588"/>
    <s v="SOPS00001291"/>
  </r>
  <r>
    <x v="0"/>
    <s v="SO0001518"/>
    <x v="4"/>
    <x v="2"/>
    <d v="2021-04-27T00:00:00"/>
    <n v="3"/>
    <x v="0"/>
    <n v="292.5"/>
    <x v="0"/>
    <s v="Lot 025589"/>
    <s v="SOPS00001287"/>
  </r>
  <r>
    <x v="0"/>
    <s v="SO0001524"/>
    <x v="5"/>
    <x v="1"/>
    <d v="2021-05-06T00:00:00"/>
    <n v="46"/>
    <x v="0"/>
    <n v="3450"/>
    <x v="0"/>
    <s v="Lot 025629"/>
    <s v="SOPS00001296"/>
  </r>
  <r>
    <x v="0"/>
    <s v="SO0001524"/>
    <x v="4"/>
    <x v="2"/>
    <d v="2021-05-06T00:00:00"/>
    <n v="220"/>
    <x v="0"/>
    <n v="21450"/>
    <x v="0"/>
    <s v="Lot 025630"/>
    <s v="SOPS00001296"/>
  </r>
  <r>
    <x v="0"/>
    <s v="SO0001526"/>
    <x v="2"/>
    <x v="1"/>
    <d v="2021-05-20T00:00:00"/>
    <n v="160"/>
    <x v="0"/>
    <n v="15600"/>
    <x v="0"/>
    <s v="Lot 025725"/>
    <s v="SOPS00001306"/>
  </r>
  <r>
    <x v="0"/>
    <s v="SO0001526"/>
    <x v="4"/>
    <x v="2"/>
    <d v="2021-05-20T00:00:00"/>
    <n v="100"/>
    <x v="0"/>
    <n v="9750"/>
    <x v="0"/>
    <s v="Lot 025726"/>
    <s v="SOPS00001306"/>
  </r>
  <r>
    <x v="0"/>
    <s v="SO0001528"/>
    <x v="1"/>
    <x v="1"/>
    <d v="2021-05-12T00:00:00"/>
    <n v="40"/>
    <x v="0"/>
    <n v="1940"/>
    <x v="0"/>
    <s v="Lot 025734"/>
    <s v="SOPS00001301"/>
  </r>
  <r>
    <x v="0"/>
    <s v="SO0001529"/>
    <x v="0"/>
    <x v="0"/>
    <d v="2021-05-11T00:00:00"/>
    <n v="1"/>
    <x v="0"/>
    <n v="48.5"/>
    <x v="0"/>
    <s v="Lot 025731"/>
    <s v="SOPS00001299"/>
  </r>
  <r>
    <x v="0"/>
    <s v="SO0001530"/>
    <x v="3"/>
    <x v="2"/>
    <d v="2021-05-20T00:00:00"/>
    <n v="4"/>
    <x v="0"/>
    <n v="194"/>
    <x v="0"/>
    <s v="Lot 025746"/>
    <s v="SOPS00001305"/>
  </r>
  <r>
    <x v="0"/>
    <s v="SO0001531"/>
    <x v="6"/>
    <x v="2"/>
    <d v="2021-05-25T00:00:00"/>
    <n v="7"/>
    <x v="0"/>
    <n v="525"/>
    <x v="0"/>
    <s v="Lot 025748"/>
    <s v="SOPS00001310"/>
  </r>
  <r>
    <x v="0"/>
    <s v="SO0001534"/>
    <x v="4"/>
    <x v="2"/>
    <d v="2021-05-24T00:00:00"/>
    <n v="2"/>
    <x v="0"/>
    <n v="195"/>
    <x v="0"/>
    <s v="Lot 025754"/>
    <s v="SOPS00001307"/>
  </r>
  <r>
    <x v="0"/>
    <s v="SO0001535"/>
    <x v="4"/>
    <x v="2"/>
    <d v="2021-05-25T00:00:00"/>
    <n v="18"/>
    <x v="0"/>
    <n v="1755"/>
    <x v="0"/>
    <s v="Lot 025756"/>
    <s v="SOPS00001311"/>
  </r>
  <r>
    <x v="0"/>
    <s v="SO0001536"/>
    <x v="1"/>
    <x v="1"/>
    <d v="2021-05-25T00:00:00"/>
    <n v="824.5"/>
    <x v="1"/>
    <n v="824.5"/>
    <x v="0"/>
    <s v="Lot 025757"/>
    <s v="SOPS00001309"/>
  </r>
  <r>
    <x v="0"/>
    <s v="SO0001537"/>
    <x v="3"/>
    <x v="2"/>
    <d v="2021-05-25T00:00:00"/>
    <n v="6"/>
    <x v="0"/>
    <n v="291"/>
    <x v="0"/>
    <s v="Lot 025758"/>
    <s v="SOPS00001308"/>
  </r>
  <r>
    <x v="0"/>
    <s v="SO0001537"/>
    <x v="1"/>
    <x v="1"/>
    <d v="2021-05-25T00:00:00"/>
    <n v="8"/>
    <x v="0"/>
    <n v="388"/>
    <x v="0"/>
    <s v="Lot 025759"/>
    <s v="SOPS00001308"/>
  </r>
  <r>
    <x v="0"/>
    <s v="SO0001538"/>
    <x v="4"/>
    <x v="2"/>
    <d v="2021-06-15T00:00:00"/>
    <n v="17"/>
    <x v="0"/>
    <n v="1657.5"/>
    <x v="0"/>
    <s v="Lot 025760"/>
    <s v="SOPS00001326"/>
  </r>
  <r>
    <x v="0"/>
    <s v="SO0001538"/>
    <x v="0"/>
    <x v="0"/>
    <d v="2021-06-15T00:00:00"/>
    <n v="2"/>
    <x v="0"/>
    <n v="97"/>
    <x v="0"/>
    <s v="Lot 025761"/>
    <s v="SOPS00001326"/>
  </r>
  <r>
    <x v="0"/>
    <s v="SO0001538"/>
    <x v="7"/>
    <x v="3"/>
    <d v="2021-06-15T00:00:00"/>
    <n v="1"/>
    <x v="2"/>
    <n v="1"/>
    <x v="0"/>
    <s v="Lot 025763"/>
    <s v="SOPS00001326"/>
  </r>
  <r>
    <x v="0"/>
    <s v="SO0001538"/>
    <x v="0"/>
    <x v="0"/>
    <d v="2021-06-15T00:00:00"/>
    <n v="-1"/>
    <x v="0"/>
    <n v="-48.5"/>
    <x v="0"/>
    <s v="Lot 025761"/>
    <s v="SOPS00001327"/>
  </r>
  <r>
    <x v="0"/>
    <s v="SO0001540"/>
    <x v="3"/>
    <x v="2"/>
    <d v="2021-05-31T00:00:00"/>
    <n v="10"/>
    <x v="0"/>
    <n v="485"/>
    <x v="0"/>
    <s v="Lot 025767"/>
    <s v="SOPS00001314"/>
  </r>
  <r>
    <x v="0"/>
    <s v="SO0001543"/>
    <x v="0"/>
    <x v="0"/>
    <d v="2021-05-31T00:00:00"/>
    <n v="1"/>
    <x v="0"/>
    <n v="48.5"/>
    <x v="0"/>
    <s v="Lot 025785"/>
    <s v="SOPS00001315"/>
  </r>
  <r>
    <x v="0"/>
    <s v="SO0001544"/>
    <x v="0"/>
    <x v="0"/>
    <d v="2021-06-01T00:00:00"/>
    <n v="66"/>
    <x v="0"/>
    <n v="3201"/>
    <x v="0"/>
    <s v="Lot 025787"/>
    <s v="SOPS00001316"/>
  </r>
  <r>
    <x v="0"/>
    <s v="SO0001545"/>
    <x v="3"/>
    <x v="2"/>
    <d v="2021-06-02T00:00:00"/>
    <n v="14"/>
    <x v="0"/>
    <n v="679"/>
    <x v="0"/>
    <s v="Lot 025789"/>
    <s v="SOPS00001317"/>
  </r>
  <r>
    <x v="0"/>
    <s v="SO0001545"/>
    <x v="6"/>
    <x v="2"/>
    <d v="2021-06-02T00:00:00"/>
    <n v="10"/>
    <x v="0"/>
    <n v="750"/>
    <x v="0"/>
    <s v="Lot 025790"/>
    <s v="SOPS00001317"/>
  </r>
  <r>
    <x v="0"/>
    <s v="SO0001545"/>
    <x v="4"/>
    <x v="2"/>
    <d v="2021-06-02T00:00:00"/>
    <n v="53"/>
    <x v="0"/>
    <n v="5167.5"/>
    <x v="0"/>
    <s v="Lot 025791"/>
    <s v="SOPS00001317"/>
  </r>
  <r>
    <x v="0"/>
    <s v="SO0001545"/>
    <x v="7"/>
    <x v="3"/>
    <d v="2021-06-02T00:00:00"/>
    <n v="1"/>
    <x v="2"/>
    <n v="1"/>
    <x v="0"/>
    <s v="Lot 025792"/>
    <s v="SOPS00001317"/>
  </r>
  <r>
    <x v="0"/>
    <s v="SO0001545"/>
    <x v="7"/>
    <x v="3"/>
    <d v="2021-06-08T00:00:00"/>
    <n v="-1"/>
    <x v="2"/>
    <n v="-1"/>
    <x v="0"/>
    <s v="Lot 025792"/>
    <s v="SOPS00001321"/>
  </r>
  <r>
    <x v="0"/>
    <s v="SO0001545"/>
    <x v="7"/>
    <x v="3"/>
    <d v="2021-09-29T00:00:00"/>
    <n v="1"/>
    <x v="2"/>
    <n v="1"/>
    <x v="0"/>
    <s v="Lot 025792"/>
    <s v="SOPS00001429"/>
  </r>
  <r>
    <x v="0"/>
    <s v="SO0001546"/>
    <x v="4"/>
    <x v="2"/>
    <d v="2021-06-07T00:00:00"/>
    <n v="153"/>
    <x v="0"/>
    <n v="14917.5"/>
    <x v="0"/>
    <s v="Lot 025806"/>
    <s v="SOPS00001319"/>
  </r>
  <r>
    <x v="0"/>
    <s v="SO0001546"/>
    <x v="3"/>
    <x v="2"/>
    <d v="2021-06-07T00:00:00"/>
    <n v="80"/>
    <x v="0"/>
    <n v="3880"/>
    <x v="0"/>
    <s v="Lot 025807"/>
    <s v="SOPS00001319"/>
  </r>
  <r>
    <x v="0"/>
    <s v="SO0001546"/>
    <x v="2"/>
    <x v="1"/>
    <d v="2021-06-07T00:00:00"/>
    <n v="60"/>
    <x v="0"/>
    <n v="5850"/>
    <x v="0"/>
    <s v="Lot 025808"/>
    <s v="SOPS00001319"/>
  </r>
  <r>
    <x v="0"/>
    <s v="SO0001547"/>
    <x v="8"/>
    <x v="0"/>
    <d v="2021-06-22T00:00:00"/>
    <n v="114"/>
    <x v="0"/>
    <n v="11115"/>
    <x v="0"/>
    <s v="Lot 025809"/>
    <s v="SOPS00001340"/>
  </r>
  <r>
    <x v="0"/>
    <s v="SO0001547"/>
    <x v="0"/>
    <x v="0"/>
    <d v="2021-06-22T00:00:00"/>
    <n v="29"/>
    <x v="0"/>
    <n v="1406.5"/>
    <x v="0"/>
    <s v="Lot 025810"/>
    <s v="SOPS00001340"/>
  </r>
  <r>
    <x v="0"/>
    <s v="SO0001547"/>
    <x v="7"/>
    <x v="3"/>
    <d v="2021-06-22T00:00:00"/>
    <n v="1"/>
    <x v="2"/>
    <n v="1"/>
    <x v="0"/>
    <s v="Lot 025873"/>
    <s v="SOPS00001340"/>
  </r>
  <r>
    <x v="0"/>
    <s v="SO0001549"/>
    <x v="1"/>
    <x v="1"/>
    <d v="2021-06-10T00:00:00"/>
    <n v="20"/>
    <x v="0"/>
    <n v="970"/>
    <x v="0"/>
    <s v="Lot 025875"/>
    <s v="SOPS00001323"/>
  </r>
  <r>
    <x v="0"/>
    <s v="SO0001550"/>
    <x v="1"/>
    <x v="1"/>
    <d v="2021-06-11T00:00:00"/>
    <n v="20"/>
    <x v="0"/>
    <n v="970"/>
    <x v="0"/>
    <s v="Lot 025877"/>
    <s v="SOPS00001324"/>
  </r>
  <r>
    <x v="0"/>
    <s v="SO0001552"/>
    <x v="2"/>
    <x v="1"/>
    <d v="2021-06-15T00:00:00"/>
    <n v="2"/>
    <x v="0"/>
    <n v="195"/>
    <x v="0"/>
    <s v="Lot 027653"/>
    <s v="SOPS00001328"/>
  </r>
  <r>
    <x v="0"/>
    <s v="SO0001554"/>
    <x v="2"/>
    <x v="1"/>
    <d v="2021-06-21T00:00:00"/>
    <n v="220"/>
    <x v="0"/>
    <n v="21450"/>
    <x v="0"/>
    <s v="Lot 027921"/>
    <s v="SOPS00001336"/>
  </r>
  <r>
    <x v="0"/>
    <s v="SO0001554"/>
    <x v="1"/>
    <x v="1"/>
    <d v="2021-06-21T00:00:00"/>
    <n v="80"/>
    <x v="0"/>
    <n v="3880"/>
    <x v="0"/>
    <s v="Lot 027922"/>
    <s v="SOPS00001336"/>
  </r>
  <r>
    <x v="0"/>
    <s v="SO0001555"/>
    <x v="6"/>
    <x v="2"/>
    <d v="2021-06-21T00:00:00"/>
    <n v="4"/>
    <x v="0"/>
    <n v="300"/>
    <x v="0"/>
    <s v="Lot 027923"/>
    <s v="SOPS00001335"/>
  </r>
  <r>
    <x v="0"/>
    <s v="SO0001556"/>
    <x v="1"/>
    <x v="1"/>
    <d v="2021-06-22T00:00:00"/>
    <n v="17"/>
    <x v="0"/>
    <n v="824.5"/>
    <x v="0"/>
    <s v="Lot 027925"/>
    <s v="SOPS00001338"/>
  </r>
  <r>
    <x v="0"/>
    <s v="SO0001556"/>
    <x v="0"/>
    <x v="0"/>
    <d v="2021-06-22T00:00:00"/>
    <n v="72"/>
    <x v="0"/>
    <n v="3492"/>
    <x v="0"/>
    <s v="Lot 027926"/>
    <s v="SOPS00001338"/>
  </r>
  <r>
    <x v="0"/>
    <s v="SO0001556"/>
    <x v="9"/>
    <x v="0"/>
    <d v="2021-06-22T00:00:00"/>
    <n v="2"/>
    <x v="0"/>
    <n v="150"/>
    <x v="0"/>
    <s v="Lot 027927"/>
    <s v="SOPS00001338"/>
  </r>
  <r>
    <x v="0"/>
    <s v="SO0001556"/>
    <x v="8"/>
    <x v="0"/>
    <d v="2021-06-22T00:00:00"/>
    <n v="4"/>
    <x v="0"/>
    <n v="390"/>
    <x v="0"/>
    <s v="Lot 027928"/>
    <s v="SOPS00001338"/>
  </r>
  <r>
    <x v="0"/>
    <s v="SO0001556"/>
    <x v="7"/>
    <x v="3"/>
    <d v="2021-06-22T00:00:00"/>
    <n v="4"/>
    <x v="2"/>
    <n v="4"/>
    <x v="0"/>
    <s v="Lot 027929"/>
    <s v="SOPS00001338"/>
  </r>
  <r>
    <x v="0"/>
    <s v="SO0001556"/>
    <x v="0"/>
    <x v="0"/>
    <d v="2021-07-20T00:00:00"/>
    <n v="-24"/>
    <x v="0"/>
    <n v="-1164"/>
    <x v="0"/>
    <s v="Lot 027926"/>
    <s v="SOPS00001366"/>
  </r>
  <r>
    <x v="0"/>
    <s v="SO0001556"/>
    <x v="8"/>
    <x v="0"/>
    <d v="2021-07-20T00:00:00"/>
    <n v="-2"/>
    <x v="0"/>
    <n v="-195"/>
    <x v="0"/>
    <s v="Lot 027928"/>
    <s v="SOPS00001366"/>
  </r>
  <r>
    <x v="0"/>
    <s v="SO0001557"/>
    <x v="4"/>
    <x v="2"/>
    <d v="2021-06-22T00:00:00"/>
    <n v="2"/>
    <x v="0"/>
    <n v="195"/>
    <x v="0"/>
    <s v="Lot 027931"/>
    <s v="SOPS00001339"/>
  </r>
  <r>
    <x v="0"/>
    <s v="SO0001559"/>
    <x v="2"/>
    <x v="1"/>
    <d v="2021-06-29T00:00:00"/>
    <n v="16"/>
    <x v="0"/>
    <n v="1560"/>
    <x v="0"/>
    <s v="Lot 028059"/>
    <s v="SOPS00001343"/>
  </r>
  <r>
    <x v="0"/>
    <s v="SO0001559"/>
    <x v="1"/>
    <x v="1"/>
    <d v="2021-06-29T00:00:00"/>
    <n v="2"/>
    <x v="0"/>
    <n v="97"/>
    <x v="0"/>
    <s v="Lot 028060"/>
    <s v="SOPS00001343"/>
  </r>
  <r>
    <x v="0"/>
    <s v="SO0001560"/>
    <x v="1"/>
    <x v="1"/>
    <d v="2021-07-07T00:00:00"/>
    <n v="60"/>
    <x v="0"/>
    <n v="2910"/>
    <x v="0"/>
    <s v="Lot 028062"/>
    <s v="SOPS00001359"/>
  </r>
  <r>
    <x v="0"/>
    <s v="SO0001560"/>
    <x v="2"/>
    <x v="1"/>
    <d v="2021-07-07T00:00:00"/>
    <n v="4"/>
    <x v="0"/>
    <n v="390"/>
    <x v="0"/>
    <s v="Lot 028063"/>
    <s v="SOPS00001359"/>
  </r>
  <r>
    <x v="0"/>
    <s v="SO0001561"/>
    <x v="1"/>
    <x v="1"/>
    <d v="2021-06-29T00:00:00"/>
    <n v="727.5"/>
    <x v="1"/>
    <n v="727.5"/>
    <x v="0"/>
    <s v="Lot 028065"/>
    <s v="SOPS00001342"/>
  </r>
  <r>
    <x v="0"/>
    <s v="SO0001561"/>
    <x v="2"/>
    <x v="1"/>
    <d v="2021-06-29T00:00:00"/>
    <n v="4387.5"/>
    <x v="1"/>
    <n v="4387.5"/>
    <x v="0"/>
    <s v="Lot 028066"/>
    <s v="SOPS00001342"/>
  </r>
  <r>
    <x v="0"/>
    <s v="SO0001564"/>
    <x v="5"/>
    <x v="1"/>
    <d v="2021-07-05T00:00:00"/>
    <n v="2"/>
    <x v="0"/>
    <n v="150"/>
    <x v="0"/>
    <s v="Lot 028080"/>
    <s v="SOPS00001350"/>
  </r>
  <r>
    <x v="0"/>
    <s v="SO0001564"/>
    <x v="7"/>
    <x v="3"/>
    <d v="2021-07-05T00:00:00"/>
    <n v="1"/>
    <x v="2"/>
    <n v="1"/>
    <x v="0"/>
    <s v="Lot 028120"/>
    <s v="SOPS00001350"/>
  </r>
  <r>
    <x v="0"/>
    <s v="SO0001571"/>
    <x v="4"/>
    <x v="2"/>
    <d v="2021-07-05T00:00:00"/>
    <n v="4"/>
    <x v="0"/>
    <n v="390"/>
    <x v="0"/>
    <s v="Lot 028117"/>
    <s v="SOPS00001349"/>
  </r>
  <r>
    <x v="0"/>
    <s v="SO0001572"/>
    <x v="4"/>
    <x v="2"/>
    <d v="2021-07-05T00:00:00"/>
    <n v="-4"/>
    <x v="0"/>
    <n v="-390"/>
    <x v="0"/>
    <s v="Lot 028121"/>
    <s v="SOPS00001351"/>
  </r>
  <r>
    <x v="0"/>
    <s v="SO0001573"/>
    <x v="4"/>
    <x v="2"/>
    <d v="2021-07-05T00:00:00"/>
    <n v="4"/>
    <x v="0"/>
    <n v="390"/>
    <x v="0"/>
    <s v="Lot 028123"/>
    <s v="SOPS00001352"/>
  </r>
  <r>
    <x v="0"/>
    <s v="SO0001574"/>
    <x v="4"/>
    <x v="2"/>
    <d v="2021-07-05T00:00:00"/>
    <n v="2"/>
    <x v="0"/>
    <n v="195"/>
    <x v="0"/>
    <s v="Lot 028125"/>
    <s v="SOPS00001353"/>
  </r>
  <r>
    <x v="0"/>
    <s v="SO0001574"/>
    <x v="7"/>
    <x v="3"/>
    <d v="2021-07-05T00:00:00"/>
    <n v="1"/>
    <x v="2"/>
    <n v="1"/>
    <x v="0"/>
    <s v="Lot 028126"/>
    <s v="SOPS00001353"/>
  </r>
  <r>
    <x v="0"/>
    <s v="SO0001575"/>
    <x v="8"/>
    <x v="0"/>
    <d v="2021-07-05T00:00:00"/>
    <n v="-114"/>
    <x v="0"/>
    <n v="-11115"/>
    <x v="0"/>
    <s v="Lot 028127"/>
    <s v="SOPS00001355"/>
  </r>
  <r>
    <x v="0"/>
    <s v="SO0001575"/>
    <x v="0"/>
    <x v="0"/>
    <d v="2021-07-05T00:00:00"/>
    <n v="-29"/>
    <x v="0"/>
    <n v="-1406.5"/>
    <x v="0"/>
    <s v="Lot 028128"/>
    <s v="SOPS00001355"/>
  </r>
  <r>
    <x v="0"/>
    <s v="SO0001575"/>
    <x v="7"/>
    <x v="3"/>
    <d v="2021-07-05T00:00:00"/>
    <n v="-1"/>
    <x v="2"/>
    <n v="-1"/>
    <x v="0"/>
    <s v="Lot 028129"/>
    <s v="SOPS00001355"/>
  </r>
  <r>
    <x v="0"/>
    <s v="SO0001576"/>
    <x v="8"/>
    <x v="0"/>
    <d v="2021-07-07T00:00:00"/>
    <n v="104"/>
    <x v="0"/>
    <n v="10140"/>
    <x v="0"/>
    <s v="Lot 028130"/>
    <s v="SOPS00001357"/>
  </r>
  <r>
    <x v="0"/>
    <s v="SO0001576"/>
    <x v="0"/>
    <x v="0"/>
    <d v="2021-07-07T00:00:00"/>
    <n v="30"/>
    <x v="0"/>
    <n v="1455"/>
    <x v="0"/>
    <s v="Lot 028131"/>
    <s v="SOPS00001357"/>
  </r>
  <r>
    <x v="0"/>
    <s v="SO0001576"/>
    <x v="7"/>
    <x v="3"/>
    <d v="2021-07-07T00:00:00"/>
    <n v="1"/>
    <x v="2"/>
    <n v="1"/>
    <x v="0"/>
    <s v="Lot 028134"/>
    <s v="SOPS00001357"/>
  </r>
  <r>
    <x v="0"/>
    <s v="SO0001577"/>
    <x v="8"/>
    <x v="0"/>
    <d v="2021-07-07T00:00:00"/>
    <n v="16"/>
    <x v="0"/>
    <n v="1560"/>
    <x v="0"/>
    <s v="Lot 028135"/>
    <s v="SOPS00001358"/>
  </r>
  <r>
    <x v="0"/>
    <s v="SO0001577"/>
    <x v="0"/>
    <x v="0"/>
    <d v="2021-07-07T00:00:00"/>
    <n v="10"/>
    <x v="0"/>
    <n v="485"/>
    <x v="0"/>
    <s v="Lot 028136"/>
    <s v="SOPS00001358"/>
  </r>
  <r>
    <x v="0"/>
    <s v="SO0001577"/>
    <x v="8"/>
    <x v="0"/>
    <d v="2021-07-22T00:00:00"/>
    <n v="-16"/>
    <x v="0"/>
    <n v="-1560"/>
    <x v="0"/>
    <s v="Lot 028135"/>
    <s v="SOPS00001367"/>
  </r>
  <r>
    <x v="0"/>
    <s v="SO0001577"/>
    <x v="0"/>
    <x v="0"/>
    <d v="2021-07-22T00:00:00"/>
    <n v="-9"/>
    <x v="0"/>
    <n v="-436.5"/>
    <x v="0"/>
    <s v="Lot 028136"/>
    <s v="SOPS00001367"/>
  </r>
  <r>
    <x v="0"/>
    <s v="SO0001579"/>
    <x v="1"/>
    <x v="1"/>
    <d v="2021-08-12T00:00:00"/>
    <n v="80"/>
    <x v="0"/>
    <n v="3880"/>
    <x v="0"/>
    <s v="Lot 028192"/>
    <s v="SOPS00001374"/>
  </r>
  <r>
    <x v="0"/>
    <s v="SO0001579"/>
    <x v="5"/>
    <x v="1"/>
    <d v="2021-08-12T00:00:00"/>
    <n v="20"/>
    <x v="0"/>
    <n v="1500"/>
    <x v="0"/>
    <s v="Lot 028356"/>
    <s v="SOPS00001374"/>
  </r>
  <r>
    <x v="0"/>
    <s v="SO0001579"/>
    <x v="1"/>
    <x v="1"/>
    <d v="2021-08-23T00:00:00"/>
    <n v="670"/>
    <x v="0"/>
    <n v="32495"/>
    <x v="0"/>
    <s v="Lot 028192"/>
    <s v="SOPS00001384"/>
  </r>
  <r>
    <x v="0"/>
    <s v="SO0001579"/>
    <x v="10"/>
    <x v="1"/>
    <d v="2021-08-23T00:00:00"/>
    <n v="315"/>
    <x v="0"/>
    <n v="19687.5"/>
    <x v="0"/>
    <s v="Lot 028287"/>
    <s v="SOPS00001384"/>
  </r>
  <r>
    <x v="0"/>
    <s v="SO0001579"/>
    <x v="1"/>
    <x v="1"/>
    <d v="2021-08-23T00:00:00"/>
    <n v="-120"/>
    <x v="0"/>
    <n v="-5820"/>
    <x v="0"/>
    <s v="Lot 028192"/>
    <s v="SOPS00001385"/>
  </r>
  <r>
    <x v="0"/>
    <s v="SO0001579"/>
    <x v="5"/>
    <x v="1"/>
    <d v="2021-08-23T00:00:00"/>
    <n v="-20"/>
    <x v="0"/>
    <n v="-1500"/>
    <x v="0"/>
    <s v="Lot 028356"/>
    <s v="SOPS00001385"/>
  </r>
  <r>
    <x v="0"/>
    <s v="SO0001579"/>
    <x v="1"/>
    <x v="1"/>
    <d v="2021-09-02T00:00:00"/>
    <n v="-586"/>
    <x v="0"/>
    <n v="-28421"/>
    <x v="0"/>
    <s v="Lot 028192"/>
    <s v="SOPS00001399"/>
  </r>
  <r>
    <x v="0"/>
    <s v="SO0001579"/>
    <x v="10"/>
    <x v="1"/>
    <d v="2021-09-02T00:00:00"/>
    <n v="-284"/>
    <x v="0"/>
    <n v="-17750"/>
    <x v="0"/>
    <s v="Lot 028287"/>
    <s v="SOPS00001399"/>
  </r>
  <r>
    <x v="0"/>
    <s v="SO0001579"/>
    <x v="1"/>
    <x v="1"/>
    <d v="2021-09-30T00:00:00"/>
    <n v="43"/>
    <x v="0"/>
    <n v="2085.5"/>
    <x v="0"/>
    <s v="Lot 030522"/>
    <s v="SOPS00001432"/>
  </r>
  <r>
    <x v="0"/>
    <s v="SO0001579"/>
    <x v="10"/>
    <x v="1"/>
    <d v="2021-09-30T00:00:00"/>
    <n v="73"/>
    <x v="0"/>
    <n v="4562.5"/>
    <x v="0"/>
    <s v="Lot 030523"/>
    <s v="SOPS00001432"/>
  </r>
  <r>
    <x v="0"/>
    <s v="SO0001579"/>
    <x v="7"/>
    <x v="3"/>
    <d v="2021-09-30T00:00:00"/>
    <n v="1"/>
    <x v="2"/>
    <n v="1"/>
    <x v="0"/>
    <s v="Lot 030545"/>
    <s v="SOPS00001432"/>
  </r>
  <r>
    <x v="0"/>
    <s v="SO0001580"/>
    <x v="3"/>
    <x v="2"/>
    <d v="2021-08-05T00:00:00"/>
    <n v="65"/>
    <x v="0"/>
    <n v="3152.5"/>
    <x v="0"/>
    <s v="Lot 028202"/>
    <s v="SOPS00001369"/>
  </r>
  <r>
    <x v="0"/>
    <s v="SO0001580"/>
    <x v="1"/>
    <x v="1"/>
    <d v="2021-08-05T00:00:00"/>
    <n v="11"/>
    <x v="0"/>
    <n v="533.5"/>
    <x v="0"/>
    <s v="Lot 028204"/>
    <s v="SOPS00001369"/>
  </r>
  <r>
    <x v="0"/>
    <s v="SO0001580"/>
    <x v="4"/>
    <x v="2"/>
    <d v="2021-08-12T00:00:00"/>
    <n v="260"/>
    <x v="0"/>
    <n v="25350"/>
    <x v="0"/>
    <s v="Lot 028203"/>
    <s v="SOPS00001373"/>
  </r>
  <r>
    <x v="0"/>
    <s v="SO0001580"/>
    <x v="7"/>
    <x v="3"/>
    <d v="2021-08-12T00:00:00"/>
    <n v="27500"/>
    <x v="1"/>
    <n v="27500"/>
    <x v="0"/>
    <s v="Lot 028206"/>
    <s v="SOPS00001373"/>
  </r>
  <r>
    <x v="0"/>
    <s v="SO0001580"/>
    <x v="4"/>
    <x v="2"/>
    <d v="2021-08-13T00:00:00"/>
    <n v="-40"/>
    <x v="0"/>
    <n v="-3900"/>
    <x v="0"/>
    <s v="Lot 028203"/>
    <s v="SOPS00001376"/>
  </r>
  <r>
    <x v="0"/>
    <s v="SO0001580"/>
    <x v="4"/>
    <x v="2"/>
    <d v="2021-08-19T00:00:00"/>
    <n v="-120"/>
    <x v="0"/>
    <n v="-11700"/>
    <x v="0"/>
    <s v="Lot 028203"/>
    <s v="SOPS00001382"/>
  </r>
  <r>
    <x v="0"/>
    <s v="SO0001580"/>
    <x v="3"/>
    <x v="2"/>
    <d v="2021-08-30T00:00:00"/>
    <n v="-15"/>
    <x v="0"/>
    <n v="-727.5"/>
    <x v="0"/>
    <s v="Lot 028202"/>
    <s v="SOPS00001392"/>
  </r>
  <r>
    <x v="0"/>
    <s v="SO0001580"/>
    <x v="4"/>
    <x v="2"/>
    <d v="2021-08-30T00:00:00"/>
    <n v="-83"/>
    <x v="0"/>
    <n v="-8092.5"/>
    <x v="0"/>
    <s v="Lot 028203"/>
    <s v="SOPS00001392"/>
  </r>
  <r>
    <x v="0"/>
    <s v="SO0001580"/>
    <x v="1"/>
    <x v="1"/>
    <d v="2021-08-30T00:00:00"/>
    <n v="-11"/>
    <x v="0"/>
    <n v="-533.5"/>
    <x v="0"/>
    <s v="Lot 028204"/>
    <s v="SOPS00001392"/>
  </r>
  <r>
    <x v="0"/>
    <s v="SO0001580"/>
    <x v="3"/>
    <x v="2"/>
    <d v="2021-09-01T00:00:00"/>
    <n v="-37"/>
    <x v="0"/>
    <n v="-1794.5"/>
    <x v="0"/>
    <s v="Lot 028202"/>
    <s v="SOPS00001397"/>
  </r>
  <r>
    <x v="0"/>
    <s v="SO0001580"/>
    <x v="3"/>
    <x v="2"/>
    <d v="2021-09-07T00:00:00"/>
    <n v="-10"/>
    <x v="0"/>
    <n v="-485"/>
    <x v="0"/>
    <s v="Lot 028202"/>
    <s v="SOPS00001411"/>
  </r>
  <r>
    <x v="0"/>
    <s v="SO0001580"/>
    <x v="7"/>
    <x v="3"/>
    <d v="2021-09-29T00:00:00"/>
    <n v="-27500"/>
    <x v="1"/>
    <n v="-27500"/>
    <x v="0"/>
    <s v="Lot 028206"/>
    <s v="SOPS00001426"/>
  </r>
  <r>
    <x v="0"/>
    <s v="SO0001580"/>
    <x v="7"/>
    <x v="3"/>
    <d v="2021-09-29T00:00:00"/>
    <n v="1"/>
    <x v="2"/>
    <n v="1"/>
    <x v="0"/>
    <s v="Lot 028206"/>
    <s v="SOPS00001427"/>
  </r>
  <r>
    <x v="0"/>
    <s v="SO0001580"/>
    <x v="4"/>
    <x v="2"/>
    <d v="2021-09-29T00:00:00"/>
    <n v="15"/>
    <x v="0"/>
    <n v="1462.5"/>
    <x v="0"/>
    <s v="Lot 028517"/>
    <s v="SOPS00001427"/>
  </r>
  <r>
    <x v="0"/>
    <s v="SO0001581"/>
    <x v="4"/>
    <x v="2"/>
    <d v="2021-08-12T00:00:00"/>
    <n v="40"/>
    <x v="0"/>
    <n v="3900"/>
    <x v="0"/>
    <s v="Lot 028212"/>
    <s v="SOPS00001372"/>
  </r>
  <r>
    <x v="0"/>
    <s v="SO0001581"/>
    <x v="3"/>
    <x v="2"/>
    <d v="2021-08-13T00:00:00"/>
    <n v="120"/>
    <x v="0"/>
    <n v="5820"/>
    <x v="0"/>
    <s v="Lot 028211"/>
    <s v="SOPS00001377"/>
  </r>
  <r>
    <x v="0"/>
    <s v="SO0001581"/>
    <x v="4"/>
    <x v="2"/>
    <d v="2021-08-13T00:00:00"/>
    <n v="284"/>
    <x v="0"/>
    <n v="27690"/>
    <x v="0"/>
    <s v="Lot 028212"/>
    <s v="SOPS00001377"/>
  </r>
  <r>
    <x v="0"/>
    <s v="SO0001581"/>
    <x v="6"/>
    <x v="2"/>
    <d v="2021-08-13T00:00:00"/>
    <n v="4"/>
    <x v="0"/>
    <n v="300"/>
    <x v="0"/>
    <s v="Lot 028213"/>
    <s v="SOPS00001377"/>
  </r>
  <r>
    <x v="0"/>
    <s v="SO0001581"/>
    <x v="7"/>
    <x v="3"/>
    <d v="2021-08-13T00:00:00"/>
    <n v="2"/>
    <x v="2"/>
    <n v="2"/>
    <x v="0"/>
    <s v="Lot 028215"/>
    <s v="SOPS00001377"/>
  </r>
  <r>
    <x v="0"/>
    <s v="SO0001581"/>
    <x v="3"/>
    <x v="2"/>
    <d v="2021-09-01T00:00:00"/>
    <n v="-30"/>
    <x v="0"/>
    <n v="-1455"/>
    <x v="0"/>
    <s v="Lot 028211"/>
    <s v="SOPS00001396"/>
  </r>
  <r>
    <x v="0"/>
    <s v="SO0001581"/>
    <x v="4"/>
    <x v="2"/>
    <d v="2021-09-01T00:00:00"/>
    <n v="-2"/>
    <x v="0"/>
    <n v="-195"/>
    <x v="0"/>
    <s v="Lot 028212"/>
    <s v="SOPS00001396"/>
  </r>
  <r>
    <x v="0"/>
    <s v="SO0001581"/>
    <x v="6"/>
    <x v="2"/>
    <d v="2021-09-01T00:00:00"/>
    <n v="-1"/>
    <x v="0"/>
    <n v="-75"/>
    <x v="0"/>
    <s v="Lot 028213"/>
    <s v="SOPS00001396"/>
  </r>
  <r>
    <x v="0"/>
    <s v="SO0001581"/>
    <x v="3"/>
    <x v="2"/>
    <d v="2021-09-07T00:00:00"/>
    <n v="-10"/>
    <x v="0"/>
    <n v="-485"/>
    <x v="0"/>
    <s v="Lot 028211"/>
    <s v="SOPS00001408"/>
  </r>
  <r>
    <x v="0"/>
    <s v="SO0001583"/>
    <x v="6"/>
    <x v="2"/>
    <d v="2021-07-16T00:00:00"/>
    <n v="78"/>
    <x v="0"/>
    <n v="5850"/>
    <x v="0"/>
    <s v="Lot 028224"/>
    <s v="SOPS00001363"/>
  </r>
  <r>
    <x v="0"/>
    <s v="SO0001584"/>
    <x v="4"/>
    <x v="2"/>
    <d v="2021-07-15T00:00:00"/>
    <n v="3"/>
    <x v="0"/>
    <n v="292.5"/>
    <x v="0"/>
    <s v="Lot 028232"/>
    <s v="SOPS00001362"/>
  </r>
  <r>
    <x v="0"/>
    <s v="SO0001587"/>
    <x v="0"/>
    <x v="0"/>
    <d v="2021-08-05T00:00:00"/>
    <n v="23"/>
    <x v="0"/>
    <n v="1115.5"/>
    <x v="0"/>
    <s v="Lot 028241"/>
    <s v="SOPS00001370"/>
  </r>
  <r>
    <x v="0"/>
    <s v="SO0001587"/>
    <x v="8"/>
    <x v="0"/>
    <d v="2021-08-05T00:00:00"/>
    <n v="69"/>
    <x v="0"/>
    <n v="6727.5"/>
    <x v="0"/>
    <s v="Lot 028242"/>
    <s v="SOPS00001370"/>
  </r>
  <r>
    <x v="0"/>
    <s v="SO0001587"/>
    <x v="7"/>
    <x v="3"/>
    <d v="2021-08-05T00:00:00"/>
    <n v="2"/>
    <x v="2"/>
    <n v="2"/>
    <x v="0"/>
    <s v="Lot 028243"/>
    <s v="SOPS00001370"/>
  </r>
  <r>
    <x v="0"/>
    <s v="SO0001587"/>
    <x v="9"/>
    <x v="0"/>
    <d v="2021-08-12T00:00:00"/>
    <n v="20"/>
    <x v="0"/>
    <n v="1500"/>
    <x v="0"/>
    <s v="Lot 028357"/>
    <s v="SOPS00001375"/>
  </r>
  <r>
    <x v="0"/>
    <s v="SO0001587"/>
    <x v="0"/>
    <x v="0"/>
    <d v="2021-08-24T00:00:00"/>
    <n v="-3"/>
    <x v="0"/>
    <n v="-145.5"/>
    <x v="0"/>
    <s v="Lot 028241"/>
    <s v="SOPS00001389"/>
  </r>
  <r>
    <x v="0"/>
    <s v="SO0001587"/>
    <x v="8"/>
    <x v="0"/>
    <d v="2021-08-24T00:00:00"/>
    <n v="-1"/>
    <x v="0"/>
    <n v="-97.5"/>
    <x v="0"/>
    <s v="Lot 028242"/>
    <s v="SOPS00001389"/>
  </r>
  <r>
    <x v="0"/>
    <s v="SO0001587"/>
    <x v="9"/>
    <x v="0"/>
    <d v="2021-08-24T00:00:00"/>
    <n v="-6"/>
    <x v="0"/>
    <n v="-450"/>
    <x v="0"/>
    <s v="Lot 028357"/>
    <s v="SOPS00001389"/>
  </r>
  <r>
    <x v="0"/>
    <s v="SO0001588"/>
    <x v="8"/>
    <x v="0"/>
    <d v="2021-08-17T00:00:00"/>
    <n v="158"/>
    <x v="0"/>
    <n v="15405"/>
    <x v="0"/>
    <s v="Lot 028264"/>
    <s v="SOPS00001379"/>
  </r>
  <r>
    <x v="0"/>
    <s v="SO0001589"/>
    <x v="8"/>
    <x v="0"/>
    <d v="2021-08-17T00:00:00"/>
    <n v="80"/>
    <x v="0"/>
    <n v="7800"/>
    <x v="0"/>
    <s v="Lot 028265"/>
    <s v="SOPS00001380"/>
  </r>
  <r>
    <x v="0"/>
    <s v="SO0001589"/>
    <x v="0"/>
    <x v="0"/>
    <d v="2021-08-17T00:00:00"/>
    <n v="80"/>
    <x v="0"/>
    <n v="3880"/>
    <x v="0"/>
    <s v="Lot 028266"/>
    <s v="SOPS00001380"/>
  </r>
  <r>
    <x v="0"/>
    <s v="SO0001589"/>
    <x v="2"/>
    <x v="1"/>
    <d v="2021-08-17T00:00:00"/>
    <n v="120"/>
    <x v="0"/>
    <n v="11700"/>
    <x v="0"/>
    <s v="Lot 028267"/>
    <s v="SOPS00001380"/>
  </r>
  <r>
    <x v="0"/>
    <s v="SO0001589"/>
    <x v="1"/>
    <x v="1"/>
    <d v="2021-08-17T00:00:00"/>
    <n v="40"/>
    <x v="0"/>
    <n v="1940"/>
    <x v="0"/>
    <s v="Lot 028268"/>
    <s v="SOPS00001380"/>
  </r>
  <r>
    <x v="0"/>
    <s v="SO0001590"/>
    <x v="7"/>
    <x v="3"/>
    <d v="2021-08-11T00:00:00"/>
    <n v="1"/>
    <x v="2"/>
    <n v="1"/>
    <x v="0"/>
    <s v="Lot 028279"/>
    <s v="SOPS00001371"/>
  </r>
  <r>
    <x v="0"/>
    <s v="SO0001590"/>
    <x v="2"/>
    <x v="1"/>
    <d v="2021-08-11T00:00:00"/>
    <n v="20"/>
    <x v="0"/>
    <n v="1950"/>
    <x v="0"/>
    <s v="Lot 028284"/>
    <s v="SOPS00001371"/>
  </r>
  <r>
    <x v="0"/>
    <s v="SO0001591"/>
    <x v="1"/>
    <x v="1"/>
    <d v="2021-07-22T00:00:00"/>
    <n v="-35"/>
    <x v="0"/>
    <n v="-1697.5"/>
    <x v="0"/>
    <s v="Lot 028285"/>
    <s v="SOPS00001368"/>
  </r>
  <r>
    <x v="0"/>
    <s v="SO0001596"/>
    <x v="1"/>
    <x v="1"/>
    <d v="2021-08-13T00:00:00"/>
    <n v="37"/>
    <x v="0"/>
    <n v="1794.5"/>
    <x v="0"/>
    <s v="Lot 028363"/>
    <s v="SOPS00001378"/>
  </r>
  <r>
    <x v="0"/>
    <s v="SO0001597"/>
    <x v="0"/>
    <x v="0"/>
    <d v="2021-09-06T00:00:00"/>
    <n v="80"/>
    <x v="0"/>
    <n v="3880"/>
    <x v="0"/>
    <s v="Lot 028368"/>
    <s v="SOPS00001406"/>
  </r>
  <r>
    <x v="0"/>
    <s v="SO0001597"/>
    <x v="8"/>
    <x v="0"/>
    <d v="2021-09-06T00:00:00"/>
    <n v="220"/>
    <x v="0"/>
    <n v="21450"/>
    <x v="0"/>
    <s v="Lot 028369"/>
    <s v="SOPS00001406"/>
  </r>
  <r>
    <x v="0"/>
    <s v="SO0001598"/>
    <x v="0"/>
    <x v="0"/>
    <d v="2021-08-19T00:00:00"/>
    <n v="1"/>
    <x v="0"/>
    <n v="48.5"/>
    <x v="0"/>
    <s v="Lot 028370"/>
    <s v="SOPS00001383"/>
  </r>
  <r>
    <x v="0"/>
    <s v="SO0001599"/>
    <x v="1"/>
    <x v="1"/>
    <d v="2021-08-24T00:00:00"/>
    <n v="40"/>
    <x v="0"/>
    <n v="1940"/>
    <x v="0"/>
    <s v="Lot 028372"/>
    <s v="SOPS00001387"/>
  </r>
  <r>
    <x v="0"/>
    <s v="SO0001600"/>
    <x v="8"/>
    <x v="0"/>
    <d v="2021-08-26T00:00:00"/>
    <n v="13"/>
    <x v="0"/>
    <n v="1267.5"/>
    <x v="0"/>
    <s v="Lot 028376"/>
    <s v="SOPS00001391"/>
  </r>
  <r>
    <x v="0"/>
    <s v="SO0001605"/>
    <x v="3"/>
    <x v="2"/>
    <d v="2021-08-30T00:00:00"/>
    <n v="15"/>
    <x v="0"/>
    <n v="727.5"/>
    <x v="0"/>
    <s v="Lot 028395"/>
    <s v="SOPS00001393"/>
  </r>
  <r>
    <x v="0"/>
    <s v="SO0001605"/>
    <x v="4"/>
    <x v="2"/>
    <d v="2021-08-30T00:00:00"/>
    <n v="60"/>
    <x v="0"/>
    <n v="5850"/>
    <x v="0"/>
    <s v="Lot 028396"/>
    <s v="SOPS00001393"/>
  </r>
  <r>
    <x v="0"/>
    <s v="SO0001605"/>
    <x v="7"/>
    <x v="3"/>
    <d v="2021-08-30T00:00:00"/>
    <n v="2"/>
    <x v="2"/>
    <n v="2"/>
    <x v="0"/>
    <s v="Lot 028397"/>
    <s v="SOPS00001393"/>
  </r>
  <r>
    <x v="0"/>
    <s v="SO0001605"/>
    <x v="3"/>
    <x v="2"/>
    <d v="2021-09-17T00:00:00"/>
    <n v="-4"/>
    <x v="0"/>
    <n v="-194"/>
    <x v="0"/>
    <s v="Lot 028395"/>
    <s v="SOPS00001418"/>
  </r>
  <r>
    <x v="0"/>
    <s v="SO0001612"/>
    <x v="1"/>
    <x v="1"/>
    <d v="2021-09-02T00:00:00"/>
    <n v="40"/>
    <x v="0"/>
    <n v="1940"/>
    <x v="0"/>
    <s v="Lot 028416"/>
    <s v="SOPS00001398"/>
  </r>
  <r>
    <x v="0"/>
    <s v="SO0001612"/>
    <x v="5"/>
    <x v="1"/>
    <d v="2021-09-02T00:00:00"/>
    <n v="40"/>
    <x v="0"/>
    <n v="3000"/>
    <x v="0"/>
    <s v="Lot 028417"/>
    <s v="SOPS00001398"/>
  </r>
  <r>
    <x v="0"/>
    <s v="SO0001612"/>
    <x v="2"/>
    <x v="1"/>
    <d v="2021-09-02T00:00:00"/>
    <n v="48"/>
    <x v="0"/>
    <n v="4680"/>
    <x v="0"/>
    <s v="Lot 028418"/>
    <s v="SOPS00001398"/>
  </r>
  <r>
    <x v="0"/>
    <s v="SO0001612"/>
    <x v="3"/>
    <x v="2"/>
    <d v="2021-09-02T00:00:00"/>
    <n v="27"/>
    <x v="0"/>
    <n v="1309.5"/>
    <x v="0"/>
    <s v="Lot 028419"/>
    <s v="SOPS00001398"/>
  </r>
  <r>
    <x v="0"/>
    <s v="SO0001612"/>
    <x v="4"/>
    <x v="2"/>
    <d v="2021-09-02T00:00:00"/>
    <n v="54"/>
    <x v="0"/>
    <n v="5265"/>
    <x v="0"/>
    <s v="Lot 028420"/>
    <s v="SOPS00001398"/>
  </r>
  <r>
    <x v="0"/>
    <s v="SO0001612"/>
    <x v="5"/>
    <x v="1"/>
    <d v="2021-09-03T00:00:00"/>
    <n v="20"/>
    <x v="0"/>
    <n v="1500"/>
    <x v="0"/>
    <s v="Lot 028417"/>
    <s v="SOPS00001401"/>
  </r>
  <r>
    <x v="0"/>
    <s v="SO0001612"/>
    <x v="5"/>
    <x v="1"/>
    <d v="2021-09-03T00:00:00"/>
    <n v="20"/>
    <x v="0"/>
    <n v="1500"/>
    <x v="0"/>
    <s v="Lot 028417"/>
    <s v="SOPS00001402"/>
  </r>
  <r>
    <x v="0"/>
    <s v="SO0001612"/>
    <x v="2"/>
    <x v="1"/>
    <d v="2021-09-27T00:00:00"/>
    <n v="65"/>
    <x v="0"/>
    <n v="6337.5"/>
    <x v="0"/>
    <s v="Lot 028418"/>
    <s v="SOPS00001421"/>
  </r>
  <r>
    <x v="0"/>
    <s v="SO0001612"/>
    <x v="7"/>
    <x v="3"/>
    <d v="2021-09-27T00:00:00"/>
    <n v="2"/>
    <x v="2"/>
    <n v="2"/>
    <x v="0"/>
    <s v="Lot 028421"/>
    <s v="SOPS00001421"/>
  </r>
  <r>
    <x v="0"/>
    <s v="SO0001612"/>
    <x v="2"/>
    <x v="1"/>
    <d v="2021-09-28T00:00:00"/>
    <n v="-8"/>
    <x v="0"/>
    <n v="-780"/>
    <x v="0"/>
    <s v="Lot 028418"/>
    <s v="SOPS00001424"/>
  </r>
  <r>
    <x v="0"/>
    <s v="SO0001614"/>
    <x v="3"/>
    <x v="2"/>
    <d v="2021-09-02T00:00:00"/>
    <n v="1"/>
    <x v="0"/>
    <n v="48.5"/>
    <x v="0"/>
    <s v="Lot 028429"/>
    <s v="SOPS00001400"/>
  </r>
  <r>
    <x v="0"/>
    <s v="SO0001614"/>
    <x v="4"/>
    <x v="2"/>
    <d v="2021-09-02T00:00:00"/>
    <n v="3"/>
    <x v="0"/>
    <n v="292.5"/>
    <x v="0"/>
    <s v="Lot 028430"/>
    <s v="SOPS00001400"/>
  </r>
  <r>
    <x v="0"/>
    <s v="SO0001614"/>
    <x v="0"/>
    <x v="0"/>
    <d v="2021-09-02T00:00:00"/>
    <n v="4"/>
    <x v="0"/>
    <n v="194"/>
    <x v="0"/>
    <s v="Lot 028437"/>
    <s v="SOPS00001400"/>
  </r>
  <r>
    <x v="0"/>
    <s v="SO0001614"/>
    <x v="9"/>
    <x v="0"/>
    <d v="2021-09-02T00:00:00"/>
    <n v="6"/>
    <x v="0"/>
    <n v="450"/>
    <x v="0"/>
    <s v="Lot 028438"/>
    <s v="SOPS00001400"/>
  </r>
  <r>
    <x v="0"/>
    <s v="SO0001614"/>
    <x v="8"/>
    <x v="0"/>
    <d v="2021-09-02T00:00:00"/>
    <n v="20"/>
    <x v="0"/>
    <n v="1950"/>
    <x v="0"/>
    <s v="Lot 028439"/>
    <s v="SOPS00001400"/>
  </r>
  <r>
    <x v="0"/>
    <s v="SO0001614"/>
    <x v="7"/>
    <x v="3"/>
    <d v="2021-09-02T00:00:00"/>
    <n v="1"/>
    <x v="2"/>
    <n v="1"/>
    <x v="0"/>
    <s v="Lot 028441"/>
    <s v="SOPS00001400"/>
  </r>
  <r>
    <x v="0"/>
    <s v="SO0001614"/>
    <x v="0"/>
    <x v="0"/>
    <d v="2021-10-12T00:00:00"/>
    <n v="-4"/>
    <x v="0"/>
    <n v="-194"/>
    <x v="0"/>
    <s v="Lot 028437"/>
    <s v="SOPS00001451"/>
  </r>
  <r>
    <x v="0"/>
    <s v="SO0001614"/>
    <x v="9"/>
    <x v="0"/>
    <d v="2021-10-12T00:00:00"/>
    <n v="-2"/>
    <x v="0"/>
    <n v="-150"/>
    <x v="0"/>
    <s v="Lot 028438"/>
    <s v="SOPS00001451"/>
  </r>
  <r>
    <x v="0"/>
    <s v="SO0001614"/>
    <x v="8"/>
    <x v="0"/>
    <d v="2021-10-12T00:00:00"/>
    <n v="-3"/>
    <x v="0"/>
    <n v="-292.5"/>
    <x v="0"/>
    <s v="Lot 028439"/>
    <s v="SOPS00001451"/>
  </r>
  <r>
    <x v="0"/>
    <s v="SO0001615"/>
    <x v="8"/>
    <x v="0"/>
    <d v="2021-09-06T00:00:00"/>
    <n v="30"/>
    <x v="0"/>
    <n v="2925"/>
    <x v="0"/>
    <s v="Lot 028442"/>
    <s v="SOPS00001403"/>
  </r>
  <r>
    <x v="0"/>
    <s v="SO0001615"/>
    <x v="0"/>
    <x v="0"/>
    <d v="2021-09-06T00:00:00"/>
    <n v="8"/>
    <x v="0"/>
    <n v="388"/>
    <x v="0"/>
    <s v="Lot 028443"/>
    <s v="SOPS00001403"/>
  </r>
  <r>
    <x v="0"/>
    <s v="SO0001615"/>
    <x v="7"/>
    <x v="3"/>
    <d v="2021-09-06T00:00:00"/>
    <n v="1"/>
    <x v="2"/>
    <n v="1"/>
    <x v="0"/>
    <s v="Lot 028445"/>
    <s v="SOPS00001403"/>
  </r>
  <r>
    <x v="0"/>
    <s v="SO0001615"/>
    <x v="8"/>
    <x v="0"/>
    <d v="2021-09-29T00:00:00"/>
    <n v="-5"/>
    <x v="0"/>
    <n v="-487.5"/>
    <x v="0"/>
    <s v="Lot 028442"/>
    <s v="SOPS00001428"/>
  </r>
  <r>
    <x v="0"/>
    <s v="SO0001618"/>
    <x v="6"/>
    <x v="2"/>
    <d v="2021-09-15T00:00:00"/>
    <n v="5"/>
    <x v="0"/>
    <n v="375"/>
    <x v="0"/>
    <s v="Lot 028506"/>
    <s v="SOPS00001413"/>
  </r>
  <r>
    <x v="0"/>
    <s v="SO0001618"/>
    <x v="4"/>
    <x v="2"/>
    <d v="2021-09-15T00:00:00"/>
    <n v="24"/>
    <x v="0"/>
    <n v="2340"/>
    <x v="0"/>
    <s v="Lot 028507"/>
    <s v="SOPS00001413"/>
  </r>
  <r>
    <x v="0"/>
    <s v="SO0001618"/>
    <x v="7"/>
    <x v="3"/>
    <d v="2021-09-15T00:00:00"/>
    <n v="2"/>
    <x v="2"/>
    <n v="2"/>
    <x v="0"/>
    <s v="Lot 028509"/>
    <s v="SOPS00001413"/>
  </r>
  <r>
    <x v="0"/>
    <s v="SO0001618"/>
    <x v="7"/>
    <x v="3"/>
    <d v="2021-10-15T00:00:00"/>
    <n v="-1"/>
    <x v="2"/>
    <n v="-1"/>
    <x v="0"/>
    <s v="Lot 028509"/>
    <s v="SOPS00001459"/>
  </r>
  <r>
    <x v="0"/>
    <s v="SO0001619"/>
    <x v="1"/>
    <x v="1"/>
    <d v="2021-09-07T00:00:00"/>
    <n v="90"/>
    <x v="0"/>
    <n v="4365"/>
    <x v="0"/>
    <s v="Lot 028513"/>
    <s v="SOPS00001409"/>
  </r>
  <r>
    <x v="0"/>
    <s v="SO0001620"/>
    <x v="1"/>
    <x v="1"/>
    <d v="2021-09-07T00:00:00"/>
    <n v="30"/>
    <x v="0"/>
    <n v="1455"/>
    <x v="0"/>
    <s v="Lot 028515"/>
    <s v="SOPS00001410"/>
  </r>
  <r>
    <x v="0"/>
    <s v="SO0001621"/>
    <x v="3"/>
    <x v="2"/>
    <d v="2021-09-17T00:00:00"/>
    <n v="13"/>
    <x v="0"/>
    <n v="630.5"/>
    <x v="0"/>
    <s v="Lot 028518"/>
    <s v="SOPS00001417"/>
  </r>
  <r>
    <x v="0"/>
    <s v="SO0001621"/>
    <x v="6"/>
    <x v="2"/>
    <d v="2021-09-17T00:00:00"/>
    <n v="13"/>
    <x v="0"/>
    <n v="975"/>
    <x v="0"/>
    <s v="Lot 028519"/>
    <s v="SOPS00001417"/>
  </r>
  <r>
    <x v="0"/>
    <s v="SO0001621"/>
    <x v="4"/>
    <x v="2"/>
    <d v="2021-09-17T00:00:00"/>
    <n v="25"/>
    <x v="0"/>
    <n v="2437.5"/>
    <x v="0"/>
    <s v="Lot 028520"/>
    <s v="SOPS00001417"/>
  </r>
  <r>
    <x v="0"/>
    <s v="SO0001621"/>
    <x v="7"/>
    <x v="3"/>
    <d v="2021-09-17T00:00:00"/>
    <n v="1"/>
    <x v="2"/>
    <n v="1"/>
    <x v="0"/>
    <s v="Lot 028522"/>
    <s v="SOPS00001417"/>
  </r>
  <r>
    <x v="0"/>
    <s v="SO0001623"/>
    <x v="5"/>
    <x v="1"/>
    <d v="2021-09-15T00:00:00"/>
    <n v="1500"/>
    <x v="1"/>
    <n v="1500"/>
    <x v="0"/>
    <s v="Lot 028532"/>
    <s v="SOPS00001414"/>
  </r>
  <r>
    <x v="0"/>
    <s v="SO0001628"/>
    <x v="4"/>
    <x v="2"/>
    <d v="2021-09-27T00:00:00"/>
    <n v="2"/>
    <x v="0"/>
    <n v="195"/>
    <x v="0"/>
    <s v="Lot 030500"/>
    <s v="SOPS00001422"/>
  </r>
  <r>
    <x v="0"/>
    <s v="SO0001629"/>
    <x v="7"/>
    <x v="3"/>
    <d v="2021-09-28T00:00:00"/>
    <n v="1"/>
    <x v="2"/>
    <n v="1"/>
    <x v="0"/>
    <s v="Lot 030505"/>
    <s v="SOPS00001423"/>
  </r>
  <r>
    <x v="0"/>
    <s v="SO0001630"/>
    <x v="2"/>
    <x v="1"/>
    <d v="2021-09-28T00:00:00"/>
    <n v="8"/>
    <x v="0"/>
    <n v="780"/>
    <x v="0"/>
    <s v="Lot 030506"/>
    <s v="SOPS00001425"/>
  </r>
  <r>
    <x v="0"/>
    <s v="SO0001630"/>
    <x v="5"/>
    <x v="1"/>
    <d v="2021-09-28T00:00:00"/>
    <n v="23"/>
    <x v="0"/>
    <n v="1725"/>
    <x v="0"/>
    <s v="Lot 030507"/>
    <s v="SOPS00001425"/>
  </r>
  <r>
    <x v="0"/>
    <s v="SO0001630"/>
    <x v="1"/>
    <x v="1"/>
    <d v="2021-09-28T00:00:00"/>
    <n v="36"/>
    <x v="0"/>
    <n v="1746"/>
    <x v="0"/>
    <s v="Lot 030508"/>
    <s v="SOPS00001425"/>
  </r>
  <r>
    <x v="0"/>
    <s v="SO0001637"/>
    <x v="1"/>
    <x v="1"/>
    <d v="2021-09-30T00:00:00"/>
    <n v="-727.5"/>
    <x v="1"/>
    <n v="-727.5"/>
    <x v="0"/>
    <s v="Lot 030532"/>
    <s v="SOPS00001430"/>
  </r>
  <r>
    <x v="0"/>
    <s v="SO0001637"/>
    <x v="2"/>
    <x v="1"/>
    <d v="2021-09-30T00:00:00"/>
    <n v="-4387.5"/>
    <x v="1"/>
    <n v="-4387.5"/>
    <x v="0"/>
    <s v="Lot 030533"/>
    <s v="SOPS00001430"/>
  </r>
  <r>
    <x v="0"/>
    <s v="SO0001638"/>
    <x v="4"/>
    <x v="2"/>
    <d v="2021-09-30T00:00:00"/>
    <n v="-15"/>
    <x v="0"/>
    <n v="-1462.5"/>
    <x v="0"/>
    <s v="Lot 030534"/>
    <s v="SOPS00001431"/>
  </r>
  <r>
    <x v="0"/>
    <s v="SO0001641"/>
    <x v="1"/>
    <x v="1"/>
    <d v="2021-10-04T00:00:00"/>
    <n v="80"/>
    <x v="0"/>
    <n v="3880"/>
    <x v="0"/>
    <s v="Lot 030552"/>
    <s v="SOPS00001434"/>
  </r>
  <r>
    <x v="0"/>
    <s v="SO0001641"/>
    <x v="2"/>
    <x v="1"/>
    <d v="2021-10-04T00:00:00"/>
    <n v="100"/>
    <x v="0"/>
    <n v="9750"/>
    <x v="0"/>
    <s v="Lot 030553"/>
    <s v="SOPS00001434"/>
  </r>
  <r>
    <x v="0"/>
    <s v="SO0001642"/>
    <x v="2"/>
    <x v="1"/>
    <d v="2021-10-04T00:00:00"/>
    <n v="120"/>
    <x v="0"/>
    <n v="11700"/>
    <x v="0"/>
    <s v="Lot 030555"/>
    <s v="SOPS00001433"/>
  </r>
  <r>
    <x v="0"/>
    <s v="SO0001645"/>
    <x v="2"/>
    <x v="1"/>
    <d v="2021-10-11T00:00:00"/>
    <n v="18"/>
    <x v="0"/>
    <n v="1755"/>
    <x v="0"/>
    <s v="Lot 030572"/>
    <s v="SOPS00001445"/>
  </r>
  <r>
    <x v="0"/>
    <s v="SO0001648"/>
    <x v="7"/>
    <x v="3"/>
    <d v="2021-10-06T00:00:00"/>
    <n v="-1"/>
    <x v="2"/>
    <n v="-1"/>
    <x v="0"/>
    <s v="Lot 030582"/>
    <s v="SOPS00001440"/>
  </r>
  <r>
    <x v="0"/>
    <s v="SO0001649"/>
    <x v="7"/>
    <x v="3"/>
    <d v="2021-10-06T00:00:00"/>
    <n v="1"/>
    <x v="1"/>
    <n v="1"/>
    <x v="0"/>
    <s v="Lot 030583"/>
    <s v="SOPS00001441"/>
  </r>
  <r>
    <x v="0"/>
    <s v="SO0001651"/>
    <x v="3"/>
    <x v="2"/>
    <d v="2021-10-11T00:00:00"/>
    <n v="-13"/>
    <x v="0"/>
    <n v="-630.5"/>
    <x v="0"/>
    <s v="Lot 030664"/>
    <s v="SOPS00001446"/>
  </r>
  <r>
    <x v="0"/>
    <s v="SO0001651"/>
    <x v="6"/>
    <x v="2"/>
    <d v="2021-10-11T00:00:00"/>
    <n v="-13"/>
    <x v="0"/>
    <n v="-975"/>
    <x v="0"/>
    <s v="Lot 030665"/>
    <s v="SOPS00001446"/>
  </r>
  <r>
    <x v="0"/>
    <s v="SO0001651"/>
    <x v="4"/>
    <x v="2"/>
    <d v="2021-10-11T00:00:00"/>
    <n v="-25"/>
    <x v="0"/>
    <n v="-2437.5"/>
    <x v="0"/>
    <s v="Lot 030666"/>
    <s v="SOPS00001446"/>
  </r>
  <r>
    <x v="0"/>
    <s v="SO0001651"/>
    <x v="7"/>
    <x v="3"/>
    <d v="2021-10-11T00:00:00"/>
    <n v="-1"/>
    <x v="2"/>
    <n v="-1"/>
    <x v="0"/>
    <s v="Lot 030668"/>
    <s v="SOPS00001446"/>
  </r>
  <r>
    <x v="0"/>
    <s v="SO0001652"/>
    <x v="3"/>
    <x v="2"/>
    <d v="2021-10-11T00:00:00"/>
    <n v="13"/>
    <x v="0"/>
    <n v="630.5"/>
    <x v="0"/>
    <s v="Lot 030669"/>
    <s v="SOPS00001450"/>
  </r>
  <r>
    <x v="0"/>
    <s v="SO0001652"/>
    <x v="6"/>
    <x v="2"/>
    <d v="2021-10-11T00:00:00"/>
    <n v="13"/>
    <x v="0"/>
    <n v="975"/>
    <x v="0"/>
    <s v="Lot 030670"/>
    <s v="SOPS00001450"/>
  </r>
  <r>
    <x v="0"/>
    <s v="SO0001652"/>
    <x v="4"/>
    <x v="2"/>
    <d v="2021-10-11T00:00:00"/>
    <n v="25"/>
    <x v="0"/>
    <n v="2437.5"/>
    <x v="0"/>
    <s v="Lot 030671"/>
    <s v="SOPS00001450"/>
  </r>
  <r>
    <x v="0"/>
    <s v="SO0001652"/>
    <x v="7"/>
    <x v="3"/>
    <d v="2021-10-11T00:00:00"/>
    <n v="2"/>
    <x v="2"/>
    <n v="2"/>
    <x v="0"/>
    <s v="Lot 030673"/>
    <s v="SOPS00001450"/>
  </r>
  <r>
    <x v="0"/>
    <s v="SO0001653"/>
    <x v="3"/>
    <x v="2"/>
    <d v="2021-10-15T00:00:00"/>
    <n v="3"/>
    <x v="0"/>
    <n v="145.5"/>
    <x v="0"/>
    <s v="Lot 030674"/>
    <s v="SOPS00001457"/>
  </r>
  <r>
    <x v="0"/>
    <s v="SO0001653"/>
    <x v="6"/>
    <x v="2"/>
    <d v="2021-10-15T00:00:00"/>
    <n v="10"/>
    <x v="0"/>
    <n v="750"/>
    <x v="0"/>
    <s v="Lot 030675"/>
    <s v="SOPS00001457"/>
  </r>
  <r>
    <x v="0"/>
    <s v="SO0001653"/>
    <x v="7"/>
    <x v="3"/>
    <d v="2021-10-15T00:00:00"/>
    <n v="1"/>
    <x v="2"/>
    <n v="1"/>
    <x v="0"/>
    <s v="Lot 030677"/>
    <s v="SOPS00001457"/>
  </r>
  <r>
    <x v="0"/>
    <s v="SO0001653"/>
    <x v="3"/>
    <x v="2"/>
    <d v="2021-11-18T00:00:00"/>
    <n v="-1"/>
    <x v="0"/>
    <n v="-48.5"/>
    <x v="0"/>
    <s v="Lot 030674"/>
    <s v="SOPS00001490"/>
  </r>
  <r>
    <x v="0"/>
    <s v="SO0001653"/>
    <x v="6"/>
    <x v="2"/>
    <d v="2021-11-18T00:00:00"/>
    <n v="-2"/>
    <x v="0"/>
    <n v="-150"/>
    <x v="0"/>
    <s v="Lot 030675"/>
    <s v="SOPS00001490"/>
  </r>
  <r>
    <x v="0"/>
    <s v="SO0001654"/>
    <x v="6"/>
    <x v="2"/>
    <d v="2021-10-15T00:00:00"/>
    <n v="6"/>
    <x v="0"/>
    <n v="450"/>
    <x v="0"/>
    <s v="Lot 030678"/>
    <s v="SOPS00001458"/>
  </r>
  <r>
    <x v="0"/>
    <s v="SO0001654"/>
    <x v="4"/>
    <x v="2"/>
    <d v="2021-10-15T00:00:00"/>
    <n v="8"/>
    <x v="0"/>
    <n v="780"/>
    <x v="0"/>
    <s v="Lot 030679"/>
    <s v="SOPS00001458"/>
  </r>
  <r>
    <x v="0"/>
    <s v="SO0001654"/>
    <x v="7"/>
    <x v="3"/>
    <d v="2021-10-15T00:00:00"/>
    <n v="1"/>
    <x v="2"/>
    <n v="1"/>
    <x v="0"/>
    <s v="Lot 030680"/>
    <s v="SOPS00001458"/>
  </r>
  <r>
    <x v="0"/>
    <s v="SO0001655"/>
    <x v="1"/>
    <x v="1"/>
    <d v="2021-10-13T00:00:00"/>
    <n v="-40"/>
    <x v="0"/>
    <n v="-1940"/>
    <x v="0"/>
    <s v="Lot 030682"/>
    <s v="SOPS00001452"/>
  </r>
  <r>
    <x v="0"/>
    <s v="SO0001655"/>
    <x v="5"/>
    <x v="1"/>
    <d v="2021-10-13T00:00:00"/>
    <n v="-80"/>
    <x v="0"/>
    <n v="-6000"/>
    <x v="0"/>
    <s v="Lot 030683"/>
    <s v="SOPS00001452"/>
  </r>
  <r>
    <x v="0"/>
    <s v="SO0001655"/>
    <x v="2"/>
    <x v="1"/>
    <d v="2021-10-13T00:00:00"/>
    <n v="-105"/>
    <x v="0"/>
    <n v="-10237.5"/>
    <x v="0"/>
    <s v="Lot 030684"/>
    <s v="SOPS00001452"/>
  </r>
  <r>
    <x v="0"/>
    <s v="SO0001655"/>
    <x v="3"/>
    <x v="2"/>
    <d v="2021-10-13T00:00:00"/>
    <n v="-27"/>
    <x v="0"/>
    <n v="-1309.5"/>
    <x v="0"/>
    <s v="Lot 030685"/>
    <s v="SOPS00001452"/>
  </r>
  <r>
    <x v="0"/>
    <s v="SO0001655"/>
    <x v="4"/>
    <x v="2"/>
    <d v="2021-10-13T00:00:00"/>
    <n v="-54"/>
    <x v="0"/>
    <n v="-5265"/>
    <x v="0"/>
    <s v="Lot 030686"/>
    <s v="SOPS00001452"/>
  </r>
  <r>
    <x v="0"/>
    <s v="SO0001655"/>
    <x v="7"/>
    <x v="3"/>
    <d v="2021-10-13T00:00:00"/>
    <n v="-2"/>
    <x v="2"/>
    <n v="-2"/>
    <x v="0"/>
    <s v="Lot 030687"/>
    <s v="SOPS00001452"/>
  </r>
  <r>
    <x v="0"/>
    <s v="SO0001656"/>
    <x v="1"/>
    <x v="1"/>
    <d v="2021-10-13T00:00:00"/>
    <n v="40"/>
    <x v="0"/>
    <n v="1940"/>
    <x v="0"/>
    <s v="Lot 030689"/>
    <s v="SOPS00001453"/>
  </r>
  <r>
    <x v="0"/>
    <s v="SO0001656"/>
    <x v="5"/>
    <x v="1"/>
    <d v="2021-10-13T00:00:00"/>
    <n v="80"/>
    <x v="0"/>
    <n v="6000"/>
    <x v="0"/>
    <s v="Lot 030690"/>
    <s v="SOPS00001453"/>
  </r>
  <r>
    <x v="0"/>
    <s v="SO0001656"/>
    <x v="2"/>
    <x v="1"/>
    <d v="2021-10-13T00:00:00"/>
    <n v="105"/>
    <x v="0"/>
    <n v="10237.5"/>
    <x v="0"/>
    <s v="Lot 030691"/>
    <s v="SOPS00001453"/>
  </r>
  <r>
    <x v="0"/>
    <s v="SO0001656"/>
    <x v="3"/>
    <x v="2"/>
    <d v="2021-10-13T00:00:00"/>
    <n v="27"/>
    <x v="0"/>
    <n v="1309.5"/>
    <x v="0"/>
    <s v="Lot 030692"/>
    <s v="SOPS00001453"/>
  </r>
  <r>
    <x v="0"/>
    <s v="SO0001656"/>
    <x v="4"/>
    <x v="2"/>
    <d v="2021-10-13T00:00:00"/>
    <n v="54"/>
    <x v="0"/>
    <n v="5265"/>
    <x v="0"/>
    <s v="Lot 030693"/>
    <s v="SOPS00001453"/>
  </r>
  <r>
    <x v="0"/>
    <s v="SO0001656"/>
    <x v="7"/>
    <x v="3"/>
    <d v="2021-10-13T00:00:00"/>
    <n v="2"/>
    <x v="2"/>
    <n v="2"/>
    <x v="0"/>
    <s v="Lot 030694"/>
    <s v="SOPS00001453"/>
  </r>
  <r>
    <x v="0"/>
    <s v="SO0001660"/>
    <x v="2"/>
    <x v="1"/>
    <d v="2021-10-13T00:00:00"/>
    <n v="-8"/>
    <x v="0"/>
    <n v="-780"/>
    <x v="0"/>
    <s v="Lot 030705"/>
    <s v="SOPS00001455"/>
  </r>
  <r>
    <x v="0"/>
    <s v="SO0001660"/>
    <x v="5"/>
    <x v="1"/>
    <d v="2021-10-13T00:00:00"/>
    <n v="-23"/>
    <x v="0"/>
    <n v="-1725"/>
    <x v="0"/>
    <s v="Lot 030706"/>
    <s v="SOPS00001455"/>
  </r>
  <r>
    <x v="0"/>
    <s v="SO0001660"/>
    <x v="1"/>
    <x v="1"/>
    <d v="2021-10-13T00:00:00"/>
    <n v="-36"/>
    <x v="0"/>
    <n v="-1746"/>
    <x v="0"/>
    <s v="Lot 030707"/>
    <s v="SOPS00001455"/>
  </r>
  <r>
    <x v="0"/>
    <s v="SO0001661"/>
    <x v="2"/>
    <x v="1"/>
    <d v="2021-10-13T00:00:00"/>
    <n v="8"/>
    <x v="0"/>
    <n v="780"/>
    <x v="0"/>
    <s v="Lot 030709"/>
    <s v="SOPS00001456"/>
  </r>
  <r>
    <x v="0"/>
    <s v="SO0001661"/>
    <x v="5"/>
    <x v="1"/>
    <d v="2021-10-13T00:00:00"/>
    <n v="24"/>
    <x v="0"/>
    <n v="1800"/>
    <x v="0"/>
    <s v="Lot 030710"/>
    <s v="SOPS00001456"/>
  </r>
  <r>
    <x v="0"/>
    <s v="SO0001661"/>
    <x v="1"/>
    <x v="1"/>
    <d v="2021-10-13T00:00:00"/>
    <n v="32"/>
    <x v="0"/>
    <n v="1552"/>
    <x v="0"/>
    <s v="Lot 030711"/>
    <s v="SOPS00001456"/>
  </r>
  <r>
    <x v="0"/>
    <s v="SO0001661"/>
    <x v="7"/>
    <x v="3"/>
    <d v="2021-10-13T00:00:00"/>
    <n v="2"/>
    <x v="2"/>
    <n v="2"/>
    <x v="0"/>
    <s v="Lot 030712"/>
    <s v="SOPS00001456"/>
  </r>
  <r>
    <x v="0"/>
    <s v="SO0001663"/>
    <x v="3"/>
    <x v="2"/>
    <d v="2021-10-21T00:00:00"/>
    <n v="11"/>
    <x v="0"/>
    <n v="533.5"/>
    <x v="0"/>
    <s v="Lot 030724"/>
    <s v="SOPS00001464"/>
  </r>
  <r>
    <x v="0"/>
    <s v="SO0001663"/>
    <x v="6"/>
    <x v="2"/>
    <d v="2021-10-21T00:00:00"/>
    <n v="8"/>
    <x v="0"/>
    <n v="600"/>
    <x v="0"/>
    <s v="Lot 030725"/>
    <s v="SOPS00001464"/>
  </r>
  <r>
    <x v="0"/>
    <s v="SO0001663"/>
    <x v="4"/>
    <x v="2"/>
    <d v="2021-10-21T00:00:00"/>
    <n v="144"/>
    <x v="0"/>
    <n v="14040"/>
    <x v="0"/>
    <s v="Lot 030726"/>
    <s v="SOPS00001464"/>
  </r>
  <r>
    <x v="0"/>
    <s v="SO0001663"/>
    <x v="7"/>
    <x v="3"/>
    <d v="2021-10-21T00:00:00"/>
    <n v="5"/>
    <x v="2"/>
    <n v="5"/>
    <x v="0"/>
    <s v="Lot 030728"/>
    <s v="SOPS00001464"/>
  </r>
  <r>
    <x v="0"/>
    <s v="SO0001663"/>
    <x v="3"/>
    <x v="2"/>
    <d v="2021-11-19T00:00:00"/>
    <n v="-2"/>
    <x v="0"/>
    <n v="-97"/>
    <x v="0"/>
    <s v="Lot 030724"/>
    <s v="SOPS00001491"/>
  </r>
  <r>
    <x v="0"/>
    <s v="SO0001663"/>
    <x v="7"/>
    <x v="3"/>
    <d v="2021-11-19T00:00:00"/>
    <n v="-4"/>
    <x v="2"/>
    <n v="-4"/>
    <x v="0"/>
    <s v="Lot 030728"/>
    <s v="SOPS00001491"/>
  </r>
  <r>
    <x v="0"/>
    <s v="SO0001663"/>
    <x v="6"/>
    <x v="2"/>
    <d v="2021-11-19T00:00:00"/>
    <n v="1"/>
    <x v="0"/>
    <n v="75"/>
    <x v="0"/>
    <s v="Lot 030725"/>
    <s v="SOPS00001492"/>
  </r>
  <r>
    <x v="0"/>
    <s v="SO0001664"/>
    <x v="0"/>
    <x v="0"/>
    <d v="2021-10-26T00:00:00"/>
    <n v="72"/>
    <x v="0"/>
    <n v="3492"/>
    <x v="0"/>
    <s v="Lot 030736"/>
    <s v="SOPS00001468"/>
  </r>
  <r>
    <x v="0"/>
    <s v="SO0001664"/>
    <x v="7"/>
    <x v="3"/>
    <d v="2021-10-26T00:00:00"/>
    <n v="2"/>
    <x v="2"/>
    <n v="2"/>
    <x v="0"/>
    <s v="Lot 030737"/>
    <s v="SOPS00001468"/>
  </r>
  <r>
    <x v="0"/>
    <s v="SO0001664"/>
    <x v="0"/>
    <x v="0"/>
    <d v="2021-11-18T00:00:00"/>
    <n v="-7"/>
    <x v="0"/>
    <n v="-339.5"/>
    <x v="0"/>
    <s v="Lot 030736"/>
    <s v="SOPS00001489"/>
  </r>
  <r>
    <x v="0"/>
    <s v="SO0001668"/>
    <x v="3"/>
    <x v="2"/>
    <d v="2021-10-25T00:00:00"/>
    <n v="20"/>
    <x v="0"/>
    <n v="970"/>
    <x v="0"/>
    <s v="Lot 030742"/>
    <s v="SOPS00001467"/>
  </r>
  <r>
    <x v="0"/>
    <s v="SO0001669"/>
    <x v="4"/>
    <x v="2"/>
    <d v="2021-10-26T00:00:00"/>
    <n v="6"/>
    <x v="0"/>
    <n v="585"/>
    <x v="0"/>
    <s v="Lot 030744"/>
    <s v="SOPS00001469"/>
  </r>
  <r>
    <x v="0"/>
    <s v="SO0001669"/>
    <x v="6"/>
    <x v="2"/>
    <d v="2021-10-26T00:00:00"/>
    <n v="5"/>
    <x v="0"/>
    <n v="375"/>
    <x v="0"/>
    <s v="Lot 030745"/>
    <s v="SOPS00001469"/>
  </r>
  <r>
    <x v="0"/>
    <s v="SO0001669"/>
    <x v="3"/>
    <x v="2"/>
    <d v="2021-10-26T00:00:00"/>
    <n v="3"/>
    <x v="0"/>
    <n v="145.5"/>
    <x v="0"/>
    <s v="Lot 030746"/>
    <s v="SOPS00001469"/>
  </r>
  <r>
    <x v="0"/>
    <s v="SO0001669"/>
    <x v="7"/>
    <x v="3"/>
    <d v="2021-10-26T00:00:00"/>
    <n v="1"/>
    <x v="2"/>
    <n v="1"/>
    <x v="0"/>
    <s v="Lot 030747"/>
    <s v="SOPS00001469"/>
  </r>
  <r>
    <x v="0"/>
    <s v="SO0001669"/>
    <x v="4"/>
    <x v="2"/>
    <d v="2021-11-19T00:00:00"/>
    <n v="-2"/>
    <x v="0"/>
    <n v="-195"/>
    <x v="0"/>
    <s v="Lot 030744"/>
    <s v="SOPS00001495"/>
  </r>
  <r>
    <x v="0"/>
    <s v="SO0001669"/>
    <x v="6"/>
    <x v="2"/>
    <d v="2021-11-19T00:00:00"/>
    <n v="-2"/>
    <x v="0"/>
    <n v="-150"/>
    <x v="0"/>
    <s v="Lot 030745"/>
    <s v="SOPS00001495"/>
  </r>
  <r>
    <x v="0"/>
    <s v="SO0001670"/>
    <x v="5"/>
    <x v="1"/>
    <d v="2021-10-28T00:00:00"/>
    <n v="2"/>
    <x v="0"/>
    <n v="150"/>
    <x v="0"/>
    <s v="Lot 030749"/>
    <s v="SOPS00001470"/>
  </r>
  <r>
    <x v="0"/>
    <s v="SO0001670"/>
    <x v="1"/>
    <x v="1"/>
    <d v="2021-10-28T00:00:00"/>
    <n v="16"/>
    <x v="0"/>
    <n v="776"/>
    <x v="0"/>
    <s v="Lot 030750"/>
    <s v="SOPS00001470"/>
  </r>
  <r>
    <x v="0"/>
    <s v="SO0001670"/>
    <x v="7"/>
    <x v="3"/>
    <d v="2021-10-28T00:00:00"/>
    <n v="1"/>
    <x v="2"/>
    <n v="1"/>
    <x v="0"/>
    <s v="Lot 030751"/>
    <s v="SOPS00001470"/>
  </r>
  <r>
    <x v="0"/>
    <s v="SO0001670"/>
    <x v="1"/>
    <x v="1"/>
    <d v="2021-11-19T00:00:00"/>
    <n v="-1"/>
    <x v="0"/>
    <n v="-48.5"/>
    <x v="0"/>
    <s v="Lot 030750"/>
    <s v="SOPS00001498"/>
  </r>
  <r>
    <x v="0"/>
    <s v="SO0001674"/>
    <x v="0"/>
    <x v="0"/>
    <d v="2021-11-01T00:00:00"/>
    <n v="12"/>
    <x v="0"/>
    <n v="582"/>
    <x v="0"/>
    <s v="Lot 030757"/>
    <s v="SOPS00001472"/>
  </r>
  <r>
    <x v="0"/>
    <s v="SO0001674"/>
    <x v="9"/>
    <x v="0"/>
    <d v="2021-11-01T00:00:00"/>
    <n v="2"/>
    <x v="0"/>
    <n v="150"/>
    <x v="0"/>
    <s v="Lot 030758"/>
    <s v="SOPS00001472"/>
  </r>
  <r>
    <x v="0"/>
    <s v="SO0001674"/>
    <x v="8"/>
    <x v="0"/>
    <d v="2021-11-01T00:00:00"/>
    <n v="23"/>
    <x v="0"/>
    <n v="2242.5"/>
    <x v="0"/>
    <s v="Lot 030759"/>
    <s v="SOPS00001472"/>
  </r>
  <r>
    <x v="0"/>
    <s v="SO0001674"/>
    <x v="7"/>
    <x v="3"/>
    <d v="2021-11-01T00:00:00"/>
    <n v="1"/>
    <x v="2"/>
    <n v="1"/>
    <x v="0"/>
    <s v="Lot 030761"/>
    <s v="SOPS00001472"/>
  </r>
  <r>
    <x v="0"/>
    <s v="SO0001674"/>
    <x v="0"/>
    <x v="0"/>
    <d v="2021-11-19T00:00:00"/>
    <n v="-2"/>
    <x v="0"/>
    <n v="-97"/>
    <x v="0"/>
    <s v="Lot 030757"/>
    <s v="SOPS00001493"/>
  </r>
  <r>
    <x v="0"/>
    <s v="SO0001674"/>
    <x v="8"/>
    <x v="0"/>
    <d v="2021-11-19T00:00:00"/>
    <n v="-4"/>
    <x v="0"/>
    <n v="-390"/>
    <x v="0"/>
    <s v="Lot 030759"/>
    <s v="SOPS00001493"/>
  </r>
  <r>
    <x v="0"/>
    <s v="SO0001674"/>
    <x v="7"/>
    <x v="3"/>
    <d v="2021-11-19T00:00:00"/>
    <n v="1"/>
    <x v="2"/>
    <n v="1"/>
    <x v="0"/>
    <s v="Lot 030761"/>
    <s v="SOPS00001494"/>
  </r>
  <r>
    <x v="0"/>
    <s v="SO0001675"/>
    <x v="3"/>
    <x v="2"/>
    <d v="2021-11-02T00:00:00"/>
    <n v="8"/>
    <x v="0"/>
    <n v="388"/>
    <x v="0"/>
    <s v="Lot 030762"/>
    <s v="SOPS00001474"/>
  </r>
  <r>
    <x v="0"/>
    <s v="SO0001675"/>
    <x v="4"/>
    <x v="2"/>
    <d v="2021-11-02T00:00:00"/>
    <n v="136"/>
    <x v="0"/>
    <n v="13260"/>
    <x v="0"/>
    <s v="Lot 030763"/>
    <s v="SOPS00001474"/>
  </r>
  <r>
    <x v="0"/>
    <s v="SO0001675"/>
    <x v="7"/>
    <x v="3"/>
    <d v="2021-11-02T00:00:00"/>
    <n v="1"/>
    <x v="2"/>
    <n v="1"/>
    <x v="0"/>
    <s v="Lot 030765"/>
    <s v="SOPS00001474"/>
  </r>
  <r>
    <x v="0"/>
    <s v="SO0001675"/>
    <x v="7"/>
    <x v="3"/>
    <d v="2021-11-02T00:00:00"/>
    <n v="1"/>
    <x v="2"/>
    <n v="1"/>
    <x v="0"/>
    <s v="Lot 030766"/>
    <s v="SOPS00001474"/>
  </r>
  <r>
    <x v="0"/>
    <s v="SO0001675"/>
    <x v="3"/>
    <x v="2"/>
    <d v="2021-12-02T00:00:00"/>
    <n v="-4"/>
    <x v="0"/>
    <n v="-194"/>
    <x v="0"/>
    <s v="Lot 030762"/>
    <s v="SOPS00001503"/>
  </r>
  <r>
    <x v="0"/>
    <s v="SO0001675"/>
    <x v="4"/>
    <x v="2"/>
    <d v="2021-12-02T00:00:00"/>
    <n v="4"/>
    <x v="0"/>
    <n v="390"/>
    <x v="0"/>
    <s v="Lot 030763"/>
    <s v="SOPS00001504"/>
  </r>
  <r>
    <x v="0"/>
    <s v="SO0001675"/>
    <x v="7"/>
    <x v="3"/>
    <d v="2021-12-02T00:00:00"/>
    <n v="1"/>
    <x v="2"/>
    <n v="1"/>
    <x v="0"/>
    <s v="Lot 030909"/>
    <s v="SOPS00001504"/>
  </r>
  <r>
    <x v="0"/>
    <s v="SO0001678"/>
    <x v="7"/>
    <x v="3"/>
    <d v="2021-11-08T00:00:00"/>
    <n v="-2"/>
    <x v="2"/>
    <n v="-2"/>
    <x v="0"/>
    <s v="Lot 030835"/>
    <s v="SOPS00001476"/>
  </r>
  <r>
    <x v="0"/>
    <s v="SO0001679"/>
    <x v="7"/>
    <x v="3"/>
    <d v="2021-11-08T00:00:00"/>
    <n v="1"/>
    <x v="2"/>
    <n v="1"/>
    <x v="0"/>
    <s v="Lot 030836"/>
    <s v="SOPS00001477"/>
  </r>
  <r>
    <x v="0"/>
    <s v="SO0001679"/>
    <x v="7"/>
    <x v="3"/>
    <d v="2021-11-08T00:00:00"/>
    <n v="1"/>
    <x v="2"/>
    <n v="1"/>
    <x v="0"/>
    <s v="Lot 030837"/>
    <s v="SOPS00001477"/>
  </r>
  <r>
    <x v="0"/>
    <s v="SO0001682"/>
    <x v="0"/>
    <x v="0"/>
    <d v="2021-11-10T00:00:00"/>
    <n v="9"/>
    <x v="0"/>
    <n v="436.5"/>
    <x v="0"/>
    <s v="Lot 030854"/>
    <s v="SOPS00001480"/>
  </r>
  <r>
    <x v="0"/>
    <s v="SO0001682"/>
    <x v="8"/>
    <x v="0"/>
    <d v="2021-11-10T00:00:00"/>
    <n v="1"/>
    <x v="0"/>
    <n v="97.5"/>
    <x v="0"/>
    <s v="Lot 030855"/>
    <s v="SOPS00001480"/>
  </r>
  <r>
    <x v="0"/>
    <s v="SO0001683"/>
    <x v="3"/>
    <x v="2"/>
    <d v="2021-11-10T00:00:00"/>
    <n v="-80"/>
    <x v="0"/>
    <n v="-3880"/>
    <x v="0"/>
    <s v="Lot 030857"/>
    <s v="SOPS00001481"/>
  </r>
  <r>
    <x v="0"/>
    <s v="SO0001683"/>
    <x v="4"/>
    <x v="2"/>
    <d v="2021-11-10T00:00:00"/>
    <n v="-322"/>
    <x v="0"/>
    <n v="-31395"/>
    <x v="0"/>
    <s v="Lot 030858"/>
    <s v="SOPS00001481"/>
  </r>
  <r>
    <x v="0"/>
    <s v="SO0001683"/>
    <x v="6"/>
    <x v="2"/>
    <d v="2021-11-10T00:00:00"/>
    <n v="-3"/>
    <x v="0"/>
    <n v="-225"/>
    <x v="0"/>
    <s v="Lot 030859"/>
    <s v="SOPS00001481"/>
  </r>
  <r>
    <x v="0"/>
    <s v="SO0001683"/>
    <x v="7"/>
    <x v="3"/>
    <d v="2021-11-10T00:00:00"/>
    <n v="-2"/>
    <x v="2"/>
    <n v="-2"/>
    <x v="0"/>
    <s v="Lot 030861"/>
    <s v="SOPS00001481"/>
  </r>
  <r>
    <x v="0"/>
    <s v="SO0001684"/>
    <x v="3"/>
    <x v="2"/>
    <d v="2021-11-11T00:00:00"/>
    <n v="69"/>
    <x v="0"/>
    <n v="3346.5"/>
    <x v="0"/>
    <s v="Lot 030862"/>
    <s v="SOPS00001483"/>
  </r>
  <r>
    <x v="0"/>
    <s v="SO0001684"/>
    <x v="4"/>
    <x v="2"/>
    <d v="2021-11-11T00:00:00"/>
    <n v="298"/>
    <x v="0"/>
    <n v="29055"/>
    <x v="0"/>
    <s v="Lot 030863"/>
    <s v="SOPS00001483"/>
  </r>
  <r>
    <x v="0"/>
    <s v="SO0001684"/>
    <x v="6"/>
    <x v="2"/>
    <d v="2021-11-11T00:00:00"/>
    <n v="3"/>
    <x v="0"/>
    <n v="225"/>
    <x v="0"/>
    <s v="Lot 030864"/>
    <s v="SOPS00001483"/>
  </r>
  <r>
    <x v="0"/>
    <s v="SO0001684"/>
    <x v="7"/>
    <x v="3"/>
    <d v="2021-11-11T00:00:00"/>
    <n v="2"/>
    <x v="2"/>
    <n v="2"/>
    <x v="0"/>
    <s v="Lot 030866"/>
    <s v="SOPS00001483"/>
  </r>
  <r>
    <x v="0"/>
    <s v="SO0001685"/>
    <x v="3"/>
    <x v="2"/>
    <d v="2021-11-11T00:00:00"/>
    <n v="11"/>
    <x v="0"/>
    <n v="533.5"/>
    <x v="0"/>
    <s v="Lot 030867"/>
    <s v="SOPS00001484"/>
  </r>
  <r>
    <x v="0"/>
    <s v="SO0001685"/>
    <x v="4"/>
    <x v="2"/>
    <d v="2021-11-11T00:00:00"/>
    <n v="24"/>
    <x v="0"/>
    <n v="2340"/>
    <x v="0"/>
    <s v="Lot 030868"/>
    <s v="SOPS00001484"/>
  </r>
  <r>
    <x v="0"/>
    <s v="SO0001689"/>
    <x v="4"/>
    <x v="2"/>
    <d v="2021-11-19T00:00:00"/>
    <n v="60"/>
    <x v="0"/>
    <n v="5850"/>
    <x v="0"/>
    <s v="Lot 030878"/>
    <s v="SOPS00001497"/>
  </r>
  <r>
    <x v="0"/>
    <s v="SO0001693"/>
    <x v="6"/>
    <x v="2"/>
    <d v="2021-11-29T00:00:00"/>
    <n v="-6"/>
    <x v="0"/>
    <n v="-450"/>
    <x v="0"/>
    <s v="Lot 030894"/>
    <s v="SOPS00001499"/>
  </r>
  <r>
    <x v="0"/>
    <s v="SO0001693"/>
    <x v="4"/>
    <x v="2"/>
    <d v="2021-11-29T00:00:00"/>
    <n v="-8"/>
    <x v="0"/>
    <n v="-780"/>
    <x v="0"/>
    <s v="Lot 030895"/>
    <s v="SOPS00001499"/>
  </r>
  <r>
    <x v="0"/>
    <s v="SO0001693"/>
    <x v="7"/>
    <x v="3"/>
    <d v="2021-11-29T00:00:00"/>
    <n v="-1"/>
    <x v="2"/>
    <n v="-1"/>
    <x v="0"/>
    <s v="Lot 030896"/>
    <s v="SOPS00001499"/>
  </r>
  <r>
    <x v="0"/>
    <s v="SO0001694"/>
    <x v="6"/>
    <x v="2"/>
    <d v="2021-11-29T00:00:00"/>
    <n v="6"/>
    <x v="0"/>
    <n v="450"/>
    <x v="0"/>
    <s v="Lot 030898"/>
    <s v="SOPS00001500"/>
  </r>
  <r>
    <x v="0"/>
    <s v="SO0001694"/>
    <x v="4"/>
    <x v="2"/>
    <d v="2021-11-29T00:00:00"/>
    <n v="8"/>
    <x v="0"/>
    <n v="780"/>
    <x v="0"/>
    <s v="Lot 030899"/>
    <s v="SOPS00001500"/>
  </r>
  <r>
    <x v="0"/>
    <s v="SO0001694"/>
    <x v="7"/>
    <x v="3"/>
    <d v="2021-11-29T00:00:00"/>
    <n v="1"/>
    <x v="2"/>
    <n v="1"/>
    <x v="0"/>
    <s v="Lot 030900"/>
    <s v="SOPS00001500"/>
  </r>
  <r>
    <x v="0"/>
    <s v="SO0001697"/>
    <x v="2"/>
    <x v="1"/>
    <d v="2021-12-03T00:00:00"/>
    <n v="975"/>
    <x v="1"/>
    <n v="975"/>
    <x v="0"/>
    <s v="Lot 030906"/>
    <s v="SOPS00001505"/>
  </r>
  <r>
    <x v="0"/>
    <s v="SO0001700"/>
    <x v="2"/>
    <x v="1"/>
    <d v="2021-12-16T00:00:00"/>
    <n v="22"/>
    <x v="0"/>
    <n v="2145"/>
    <x v="0"/>
    <s v="Lot 031897"/>
    <s v="SOPS00001518"/>
  </r>
  <r>
    <x v="0"/>
    <s v="SO0001703"/>
    <x v="2"/>
    <x v="1"/>
    <d v="2021-12-09T00:00:00"/>
    <n v="10"/>
    <x v="0"/>
    <n v="975"/>
    <x v="0"/>
    <s v="Lot 031903"/>
    <s v="SOPS00001509"/>
  </r>
  <r>
    <x v="0"/>
    <s v="SO0001707"/>
    <x v="2"/>
    <x v="1"/>
    <d v="2021-12-16T00:00:00"/>
    <n v="40"/>
    <x v="0"/>
    <n v="3900"/>
    <x v="0"/>
    <s v="Lot 031913"/>
    <s v="SOPS00001516"/>
  </r>
  <r>
    <x v="0"/>
    <s v="SO0001717"/>
    <x v="1"/>
    <x v="1"/>
    <d v="2021-12-17T00:00:00"/>
    <n v="15"/>
    <x v="0"/>
    <n v="727.5"/>
    <x v="0"/>
    <s v="Lot 032090"/>
    <s v="SOPS00001520"/>
  </r>
  <r>
    <x v="0"/>
    <s v="SO0001717"/>
    <x v="10"/>
    <x v="1"/>
    <d v="2021-12-17T00:00:00"/>
    <n v="97"/>
    <x v="0"/>
    <n v="6062.5"/>
    <x v="0"/>
    <s v="Lot 032091"/>
    <s v="SOPS00001520"/>
  </r>
  <r>
    <x v="0"/>
    <s v="SO0001717"/>
    <x v="7"/>
    <x v="3"/>
    <d v="2021-12-17T00:00:00"/>
    <n v="1"/>
    <x v="2"/>
    <n v="1"/>
    <x v="0"/>
    <s v="Lot 032092"/>
    <s v="SOPS00001521"/>
  </r>
  <r>
    <x v="0"/>
    <s v="SO0001718"/>
    <x v="1"/>
    <x v="1"/>
    <d v="2021-12-17T00:00:00"/>
    <n v="78"/>
    <x v="0"/>
    <n v="3783"/>
    <x v="0"/>
    <s v="Lot 032093"/>
    <s v="SOPS00001522"/>
  </r>
  <r>
    <x v="0"/>
    <s v="SO0001718"/>
    <x v="10"/>
    <x v="1"/>
    <d v="2021-12-17T00:00:00"/>
    <n v="68"/>
    <x v="0"/>
    <n v="4250"/>
    <x v="0"/>
    <s v="Lot 032094"/>
    <s v="SOPS00001522"/>
  </r>
  <r>
    <x v="0"/>
    <s v="SO0001718"/>
    <x v="7"/>
    <x v="3"/>
    <d v="2021-12-17T00:00:00"/>
    <n v="1"/>
    <x v="2"/>
    <n v="1"/>
    <x v="0"/>
    <s v="Lot 032095"/>
    <s v="SOPS00001522"/>
  </r>
  <r>
    <x v="0"/>
    <s v="SO0001719"/>
    <x v="0"/>
    <x v="0"/>
    <d v="2021-12-20T00:00:00"/>
    <n v="-20"/>
    <x v="0"/>
    <n v="-970"/>
    <x v="0"/>
    <s v="Lot 032096"/>
    <s v="SOPS00001523"/>
  </r>
  <r>
    <x v="0"/>
    <s v="SO0001719"/>
    <x v="8"/>
    <x v="0"/>
    <d v="2021-12-20T00:00:00"/>
    <n v="-68"/>
    <x v="0"/>
    <n v="-6630"/>
    <x v="0"/>
    <s v="Lot 032097"/>
    <s v="SOPS00001523"/>
  </r>
  <r>
    <x v="0"/>
    <s v="SO0001719"/>
    <x v="7"/>
    <x v="3"/>
    <d v="2021-12-20T00:00:00"/>
    <n v="-2"/>
    <x v="2"/>
    <n v="-2"/>
    <x v="0"/>
    <s v="Lot 032098"/>
    <s v="SOPS00001523"/>
  </r>
  <r>
    <x v="0"/>
    <s v="SO0001719"/>
    <x v="9"/>
    <x v="0"/>
    <d v="2021-12-20T00:00:00"/>
    <n v="-14"/>
    <x v="0"/>
    <n v="-1050"/>
    <x v="0"/>
    <s v="Lot 032099"/>
    <s v="SOPS00001523"/>
  </r>
  <r>
    <x v="0"/>
    <s v="SO0001720"/>
    <x v="0"/>
    <x v="0"/>
    <d v="2021-12-20T00:00:00"/>
    <n v="20"/>
    <x v="0"/>
    <n v="970"/>
    <x v="0"/>
    <s v="Lot 032101"/>
    <s v="SOPS00001524"/>
  </r>
  <r>
    <x v="0"/>
    <s v="SO0001720"/>
    <x v="8"/>
    <x v="0"/>
    <d v="2021-12-20T00:00:00"/>
    <n v="68"/>
    <x v="0"/>
    <n v="6630"/>
    <x v="0"/>
    <s v="Lot 032102"/>
    <s v="SOPS00001524"/>
  </r>
  <r>
    <x v="0"/>
    <s v="SO0001720"/>
    <x v="7"/>
    <x v="3"/>
    <d v="2021-12-20T00:00:00"/>
    <n v="2"/>
    <x v="2"/>
    <n v="2"/>
    <x v="0"/>
    <s v="Lot 032103"/>
    <s v="SOPS00001524"/>
  </r>
  <r>
    <x v="0"/>
    <s v="SO0001720"/>
    <x v="9"/>
    <x v="0"/>
    <d v="2021-12-20T00:00:00"/>
    <n v="14"/>
    <x v="0"/>
    <n v="1050"/>
    <x v="0"/>
    <s v="Lot 032104"/>
    <s v="SOPS000015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4" applyNumberFormats="0" applyBorderFormats="0" applyFontFormats="0" applyPatternFormats="0" applyAlignmentFormats="0" applyWidthHeightFormats="1" dataCaption="Values" updatedVersion="4" minRefreshableVersion="3" showDrill="0" useAutoFormatting="1" itemPrintTitles="1" createdVersion="4" indent="0" compact="0" compactData="0" gridDropZones="1" multipleFieldFilters="0">
  <location ref="A1:G19" firstHeaderRow="1" firstDataRow="2" firstDataCol="5"/>
  <pivotFields count="11">
    <pivotField axis="axisRow" compact="0" outline="0" showAll="0">
      <items count="11">
        <item m="1" x="4"/>
        <item m="1" x="1"/>
        <item m="1" x="2"/>
        <item m="1" x="6"/>
        <item x="0"/>
        <item m="1" x="7"/>
        <item m="1" x="5"/>
        <item m="1" x="8"/>
        <item m="1" x="3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axis="axisRow" compact="0" outline="0" showAll="0" defaultSubtotal="0">
      <items count="193">
        <item m="1" x="58"/>
        <item m="1" x="53"/>
        <item m="1" x="114"/>
        <item m="1" x="18"/>
        <item m="1" x="181"/>
        <item m="1" x="115"/>
        <item m="1" x="117"/>
        <item m="1" x="84"/>
        <item m="1" x="22"/>
        <item m="1" x="73"/>
        <item m="1" x="59"/>
        <item m="1" x="131"/>
        <item m="1" x="142"/>
        <item m="1" x="156"/>
        <item m="1" x="80"/>
        <item m="1" x="47"/>
        <item m="1" x="137"/>
        <item m="1" x="189"/>
        <item m="1" x="64"/>
        <item m="1" x="48"/>
        <item m="1" x="88"/>
        <item m="1" x="97"/>
        <item m="1" x="101"/>
        <item m="1" x="102"/>
        <item m="1" x="128"/>
        <item m="1" x="141"/>
        <item m="1" x="129"/>
        <item m="1" x="159"/>
        <item m="1" x="169"/>
        <item m="1" x="57"/>
        <item m="1" x="83"/>
        <item m="1" x="70"/>
        <item m="1" x="108"/>
        <item m="1" x="135"/>
        <item m="1" x="68"/>
        <item m="1" x="12"/>
        <item m="1" x="17"/>
        <item m="1" x="44"/>
        <item m="1" x="72"/>
        <item m="1" x="183"/>
        <item m="1" x="31"/>
        <item m="1" x="100"/>
        <item m="1" x="38"/>
        <item m="1" x="20"/>
        <item m="1" x="46"/>
        <item m="1" x="51"/>
        <item m="1" x="105"/>
        <item m="1" x="157"/>
        <item m="1" x="19"/>
        <item m="1" x="182"/>
        <item m="1" x="96"/>
        <item m="1" x="170"/>
        <item m="1" x="107"/>
        <item m="1" x="136"/>
        <item m="1" x="27"/>
        <item m="1" x="49"/>
        <item m="1" x="178"/>
        <item m="1" x="174"/>
        <item m="1" x="113"/>
        <item m="1" x="89"/>
        <item m="1" x="126"/>
        <item m="1" x="123"/>
        <item m="1" x="61"/>
        <item m="1" x="111"/>
        <item m="1" x="191"/>
        <item m="1" x="79"/>
        <item m="1" x="76"/>
        <item m="1" x="29"/>
        <item m="1" x="109"/>
        <item m="1" x="77"/>
        <item m="1" x="150"/>
        <item x="8"/>
        <item m="1" x="168"/>
        <item m="1" x="52"/>
        <item m="1" x="125"/>
        <item m="1" x="112"/>
        <item m="1" x="138"/>
        <item m="1" x="35"/>
        <item m="1" x="147"/>
        <item m="1" x="143"/>
        <item m="1" x="40"/>
        <item x="2"/>
        <item m="1" x="55"/>
        <item m="1" x="177"/>
        <item m="1" x="99"/>
        <item m="1" x="104"/>
        <item m="1" x="75"/>
        <item m="1" x="161"/>
        <item m="1" x="152"/>
        <item m="1" x="30"/>
        <item m="1" x="162"/>
        <item m="1" x="45"/>
        <item m="1" x="71"/>
        <item m="1" x="184"/>
        <item m="1" x="23"/>
        <item m="1" x="25"/>
        <item m="1" x="110"/>
        <item m="1" x="50"/>
        <item x="9"/>
        <item x="0"/>
        <item m="1" x="175"/>
        <item x="7"/>
        <item m="1" x="165"/>
        <item m="1" x="163"/>
        <item x="5"/>
        <item x="1"/>
        <item x="4"/>
        <item x="3"/>
        <item m="1" x="121"/>
        <item m="1" x="56"/>
        <item m="1" x="171"/>
        <item m="1" x="172"/>
        <item m="1" x="158"/>
        <item m="1" x="42"/>
        <item m="1" x="166"/>
        <item m="1" x="151"/>
        <item m="1" x="146"/>
        <item m="1" x="41"/>
        <item m="1" x="91"/>
        <item m="1" x="78"/>
        <item m="1" x="60"/>
        <item m="1" x="149"/>
        <item x="6"/>
        <item m="1" x="11"/>
        <item m="1" x="173"/>
        <item m="1" x="15"/>
        <item m="1" x="87"/>
        <item m="1" x="116"/>
        <item m="1" x="43"/>
        <item m="1" x="139"/>
        <item m="1" x="63"/>
        <item m="1" x="37"/>
        <item m="1" x="54"/>
        <item m="1" x="122"/>
        <item m="1" x="90"/>
        <item m="1" x="190"/>
        <item m="1" x="144"/>
        <item m="1" x="154"/>
        <item m="1" x="180"/>
        <item m="1" x="65"/>
        <item m="1" x="86"/>
        <item m="1" x="186"/>
        <item m="1" x="118"/>
        <item m="1" x="62"/>
        <item m="1" x="148"/>
        <item m="1" x="14"/>
        <item m="1" x="160"/>
        <item m="1" x="66"/>
        <item m="1" x="92"/>
        <item m="1" x="103"/>
        <item m="1" x="145"/>
        <item m="1" x="106"/>
        <item m="1" x="36"/>
        <item m="1" x="98"/>
        <item m="1" x="192"/>
        <item m="1" x="119"/>
        <item m="1" x="93"/>
        <item m="1" x="167"/>
        <item m="1" x="28"/>
        <item m="1" x="179"/>
        <item m="1" x="32"/>
        <item m="1" x="188"/>
        <item m="1" x="16"/>
        <item m="1" x="95"/>
        <item m="1" x="67"/>
        <item m="1" x="155"/>
        <item m="1" x="187"/>
        <item m="1" x="85"/>
        <item m="1" x="133"/>
        <item m="1" x="24"/>
        <item m="1" x="127"/>
        <item m="1" x="34"/>
        <item m="1" x="69"/>
        <item m="1" x="13"/>
        <item m="1" x="120"/>
        <item m="1" x="21"/>
        <item m="1" x="134"/>
        <item m="1" x="130"/>
        <item m="1" x="26"/>
        <item m="1" x="82"/>
        <item m="1" x="140"/>
        <item m="1" x="153"/>
        <item m="1" x="124"/>
        <item m="1" x="74"/>
        <item m="1" x="164"/>
        <item m="1" x="132"/>
        <item m="1" x="39"/>
        <item m="1" x="185"/>
        <item m="1" x="94"/>
        <item m="1" x="81"/>
        <item m="1" x="176"/>
        <item m="1" x="33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4">
        <item m="1" x="12"/>
        <item m="1" x="20"/>
        <item m="1" x="116"/>
        <item m="1" x="52"/>
        <item m="1" x="122"/>
        <item m="1" x="50"/>
        <item m="1" x="150"/>
        <item m="1" x="74"/>
        <item m="1" x="159"/>
        <item m="1" x="151"/>
        <item m="1" x="22"/>
        <item m="1" x="163"/>
        <item m="1" x="135"/>
        <item m="1" x="99"/>
        <item m="1" x="18"/>
        <item m="1" x="160"/>
        <item m="1" x="29"/>
        <item m="1" x="142"/>
        <item m="1" x="147"/>
        <item m="1" x="44"/>
        <item m="1" x="137"/>
        <item m="1" x="153"/>
        <item m="1" x="21"/>
        <item m="1" x="23"/>
        <item m="1" x="13"/>
        <item m="1" x="104"/>
        <item m="1" x="42"/>
        <item m="1" x="19"/>
        <item m="1" x="108"/>
        <item m="1" x="39"/>
        <item m="1" x="30"/>
        <item m="1" x="94"/>
        <item m="1" x="115"/>
        <item m="1" x="81"/>
        <item m="1" x="154"/>
        <item m="1" x="6"/>
        <item m="1" x="117"/>
        <item m="1" x="75"/>
        <item m="1" x="167"/>
        <item m="1" x="157"/>
        <item m="1" x="121"/>
        <item m="1" x="16"/>
        <item m="1" x="106"/>
        <item m="1" x="124"/>
        <item m="1" x="17"/>
        <item m="1" x="90"/>
        <item m="1" x="100"/>
        <item m="1" x="139"/>
        <item m="1" x="55"/>
        <item m="1" x="101"/>
        <item m="1" x="85"/>
        <item m="1" x="110"/>
        <item m="1" x="138"/>
        <item m="1" x="156"/>
        <item m="1" x="86"/>
        <item m="1" x="93"/>
        <item m="1" x="103"/>
        <item m="1" x="165"/>
        <item m="1" x="46"/>
        <item m="1" x="63"/>
        <item m="1" x="40"/>
        <item m="1" x="31"/>
        <item m="1" x="133"/>
        <item m="1" x="37"/>
        <item m="1" x="134"/>
        <item m="1" x="5"/>
        <item m="1" x="164"/>
        <item m="1" x="11"/>
        <item m="1" x="109"/>
        <item m="1" x="67"/>
        <item m="1" x="77"/>
        <item x="0"/>
        <item m="1" x="71"/>
        <item m="1" x="87"/>
        <item m="1" x="144"/>
        <item m="1" x="89"/>
        <item m="1" x="15"/>
        <item m="1" x="45"/>
        <item m="1" x="166"/>
        <item x="1"/>
        <item m="1" x="114"/>
        <item m="1" x="143"/>
        <item m="1" x="26"/>
        <item m="1" x="80"/>
        <item m="1" x="146"/>
        <item m="1" x="76"/>
        <item m="1" x="27"/>
        <item m="1" x="130"/>
        <item m="1" x="9"/>
        <item m="1" x="161"/>
        <item m="1" x="102"/>
        <item m="1" x="92"/>
        <item m="1" x="118"/>
        <item m="1" x="155"/>
        <item m="1" x="4"/>
        <item m="1" x="10"/>
        <item x="3"/>
        <item m="1" x="25"/>
        <item m="1" x="49"/>
        <item x="2"/>
        <item m="1" x="33"/>
        <item m="1" x="136"/>
        <item m="1" x="112"/>
        <item m="1" x="69"/>
        <item m="1" x="162"/>
        <item m="1" x="111"/>
        <item m="1" x="105"/>
        <item m="1" x="128"/>
        <item m="1" x="132"/>
        <item m="1" x="173"/>
        <item m="1" x="83"/>
        <item m="1" x="152"/>
        <item m="1" x="129"/>
        <item m="1" x="8"/>
        <item m="1" x="47"/>
        <item m="1" x="60"/>
        <item m="1" x="58"/>
        <item m="1" x="91"/>
        <item m="1" x="41"/>
        <item m="1" x="96"/>
        <item m="1" x="145"/>
        <item m="1" x="119"/>
        <item m="1" x="169"/>
        <item m="1" x="172"/>
        <item m="1" x="24"/>
        <item m="1" x="59"/>
        <item m="1" x="65"/>
        <item m="1" x="64"/>
        <item m="1" x="107"/>
        <item m="1" x="43"/>
        <item m="1" x="54"/>
        <item m="1" x="120"/>
        <item m="1" x="170"/>
        <item m="1" x="140"/>
        <item m="1" x="113"/>
        <item m="1" x="125"/>
        <item m="1" x="123"/>
        <item m="1" x="28"/>
        <item m="1" x="38"/>
        <item m="1" x="48"/>
        <item m="1" x="88"/>
        <item m="1" x="131"/>
        <item m="1" x="62"/>
        <item m="1" x="36"/>
        <item m="1" x="14"/>
        <item m="1" x="57"/>
        <item m="1" x="158"/>
        <item m="1" x="149"/>
        <item m="1" x="32"/>
        <item m="1" x="66"/>
        <item m="1" x="72"/>
        <item m="1" x="95"/>
        <item m="1" x="51"/>
        <item m="1" x="73"/>
        <item m="1" x="127"/>
        <item m="1" x="56"/>
        <item m="1" x="79"/>
        <item m="1" x="53"/>
        <item m="1" x="171"/>
        <item m="1" x="97"/>
        <item m="1" x="84"/>
        <item m="1" x="141"/>
        <item m="1" x="34"/>
        <item m="1" x="35"/>
        <item m="1" x="98"/>
        <item m="1" x="61"/>
        <item m="1" x="78"/>
        <item m="1" x="82"/>
        <item m="1" x="7"/>
        <item m="1" x="68"/>
        <item m="1" x="126"/>
        <item m="1" x="148"/>
        <item m="1" x="168"/>
        <item m="1"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/>
    <pivotField dataField="1" compact="0" outline="0" showAll="0"/>
    <pivotField axis="axisRow" compact="0" outline="0" subtotalTop="0" showAll="0" defaultSubtotal="0">
      <items count="24">
        <item m="1" x="16"/>
        <item m="1" x="22"/>
        <item m="1" x="7"/>
        <item m="1" x="3"/>
        <item m="1" x="17"/>
        <item m="1" x="12"/>
        <item m="1" x="5"/>
        <item m="1" x="23"/>
        <item m="1" x="15"/>
        <item m="1" x="10"/>
        <item x="2"/>
        <item m="1" x="9"/>
        <item m="1" x="13"/>
        <item m="1" x="4"/>
        <item x="1"/>
        <item m="1" x="6"/>
        <item m="1" x="14"/>
        <item m="1" x="8"/>
        <item x="0"/>
        <item m="1" x="19"/>
        <item m="1" x="11"/>
        <item m="1" x="18"/>
        <item m="1" x="20"/>
        <item m="1" x="21"/>
      </items>
    </pivotField>
    <pivotField dataField="1" compact="0" outline="0" showAll="0"/>
    <pivotField axis="axisRow" compact="0" outline="0" showAll="0">
      <items count="9">
        <item m="1" x="6"/>
        <item m="1" x="5"/>
        <item x="0"/>
        <item m="1" x="1"/>
        <item m="1" x="4"/>
        <item m="1" x="3"/>
        <item m="1" x="7"/>
        <item m="1" x="2"/>
        <item t="default"/>
      </items>
    </pivotField>
    <pivotField compact="0" outline="0" showAll="0"/>
    <pivotField compact="0" outline="0" showAll="0" defaultSubtotal="0"/>
  </pivotFields>
  <rowFields count="5">
    <field x="0"/>
    <field x="2"/>
    <field x="3"/>
    <field x="6"/>
    <field x="8"/>
  </rowFields>
  <rowItems count="17">
    <i>
      <x v="4"/>
      <x v="71"/>
      <x v="71"/>
      <x v="18"/>
      <x v="2"/>
    </i>
    <i r="1">
      <x v="81"/>
      <x v="79"/>
      <x v="14"/>
      <x v="2"/>
    </i>
    <i r="3">
      <x v="18"/>
      <x v="2"/>
    </i>
    <i r="1">
      <x v="98"/>
      <x v="71"/>
      <x v="18"/>
      <x v="2"/>
    </i>
    <i r="1">
      <x v="99"/>
      <x v="71"/>
      <x v="18"/>
      <x v="2"/>
    </i>
    <i r="1">
      <x v="101"/>
      <x v="96"/>
      <x v="10"/>
      <x v="2"/>
    </i>
    <i r="3">
      <x v="14"/>
      <x v="2"/>
    </i>
    <i r="1">
      <x v="104"/>
      <x v="79"/>
      <x v="14"/>
      <x v="2"/>
    </i>
    <i r="3">
      <x v="18"/>
      <x v="2"/>
    </i>
    <i r="1">
      <x v="105"/>
      <x v="79"/>
      <x v="14"/>
      <x v="2"/>
    </i>
    <i r="3">
      <x v="18"/>
      <x v="2"/>
    </i>
    <i r="1">
      <x v="106"/>
      <x v="99"/>
      <x v="18"/>
      <x v="2"/>
    </i>
    <i r="1">
      <x v="107"/>
      <x v="99"/>
      <x v="18"/>
      <x v="2"/>
    </i>
    <i r="1">
      <x v="122"/>
      <x v="99"/>
      <x v="18"/>
      <x v="2"/>
    </i>
    <i r="1">
      <x v="192"/>
      <x v="79"/>
      <x v="18"/>
      <x v="2"/>
    </i>
    <i t="default"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elivered" fld="5" baseField="0" baseItem="0"/>
    <dataField name="Sum of Invent qty delivered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AtlasReport_3_Table_1" displayName="AtlasReport_3_Table_1" ref="A2:K318" totalsRowCount="1">
  <autoFilter ref="A2:K317">
    <filterColumn colId="2">
      <filters>
        <filter val="GLG0097120"/>
      </filters>
    </filterColumn>
  </autoFilter>
  <tableColumns count="11">
    <tableColumn id="1" name="Company accounts" totalsRowLabel="Total" dataDxfId="31" totalsRowDxfId="10"/>
    <tableColumn id="2" name="Sales order" dataDxfId="30" totalsRowDxfId="9"/>
    <tableColumn id="3" name="Item" dataDxfId="29" totalsRowDxfId="8"/>
    <tableColumn id="4" name="Item name" dataDxfId="28" totalsRowDxfId="7"/>
    <tableColumn id="5" name="Ship date" dataDxfId="27" totalsRowDxfId="6"/>
    <tableColumn id="6" name="Delivered" totalsRowFunction="sum" dataDxfId="26" totalsRowDxfId="5"/>
    <tableColumn id="7" name="Sales unit" dataDxfId="25" totalsRowDxfId="4"/>
    <tableColumn id="8" name="Invent qty delivered" totalsRowFunction="sum" dataDxfId="1" totalsRowDxfId="0">
      <calculatedColumnFormula>SUMIFS(InventTrans!G:G,InventTrans!B:B,AtlasReport_3_Table_1[[#This Row],[Lot ID]],InventTrans!C:C,AtlasReport_3_Table_1[[#This Row],[Packing slip]],InventTrans!D:D,AtlasReport_3_Table_1[[#This Row],[Ship date]])</calculatedColumnFormula>
    </tableColumn>
    <tableColumn id="9" name="Invent unit" dataDxfId="24" totalsRowDxfId="3"/>
    <tableColumn id="10" name="Lot ID" dataDxfId="23" totalsRowDxfId="2"/>
    <tableColumn id="11" name="Packing sli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tlasReport_4_Table_1" displayName="AtlasReport_4_Table_1" ref="A2:G359" totalsRowCount="1">
  <autoFilter ref="A2:G358"/>
  <tableColumns count="7">
    <tableColumn id="1" name="Item number" totalsRowLabel="Total" dataDxfId="20" totalsRowDxfId="22"/>
    <tableColumn id="2" name="Lot ID" dataDxfId="19" totalsRowDxfId="21"/>
    <tableColumn id="3" name="Packing slip"/>
    <tableColumn id="4" name="Physical date" dataDxfId="16" totalsRowDxfId="18"/>
    <tableColumn id="5" name="Reference" dataDxfId="14" totalsRowDxfId="17"/>
    <tableColumn id="6" name="Number" dataDxfId="12" totalsRowDxfId="15"/>
    <tableColumn id="7" name="Quantity" totalsRowFunction="sum" dataDxfId="11" totalsRow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N13"/>
  <sheetViews>
    <sheetView tabSelected="1" workbookViewId="0">
      <selection activeCell="L5" sqref="L5"/>
    </sheetView>
  </sheetViews>
  <sheetFormatPr defaultRowHeight="15"/>
  <cols>
    <col min="2" max="2" width="15.85546875" bestFit="1" customWidth="1"/>
    <col min="12" max="12" width="10.7109375" bestFit="1" customWidth="1"/>
  </cols>
  <sheetData>
    <row r="2" spans="2:14">
      <c r="B2" t="s">
        <v>0</v>
      </c>
      <c r="C2">
        <v>369</v>
      </c>
      <c r="L2" t="s">
        <v>30</v>
      </c>
    </row>
    <row r="3" spans="2:14">
      <c r="B3" t="s">
        <v>1</v>
      </c>
      <c r="C3" t="s">
        <v>57</v>
      </c>
      <c r="L3" t="s">
        <v>31</v>
      </c>
      <c r="M3" t="s">
        <v>32</v>
      </c>
      <c r="N3" t="s">
        <v>33</v>
      </c>
    </row>
    <row r="4" spans="2:14">
      <c r="B4" t="s">
        <v>2</v>
      </c>
      <c r="C4" t="s">
        <v>4</v>
      </c>
      <c r="L4" t="s">
        <v>581</v>
      </c>
      <c r="M4" t="s">
        <v>582</v>
      </c>
      <c r="N4" t="s">
        <v>583</v>
      </c>
    </row>
    <row r="5" spans="2:14">
      <c r="B5" t="s">
        <v>5</v>
      </c>
      <c r="C5" t="s">
        <v>3</v>
      </c>
    </row>
    <row r="6" spans="2:14">
      <c r="B6" t="s">
        <v>6</v>
      </c>
      <c r="C6" t="s">
        <v>58</v>
      </c>
    </row>
    <row r="7" spans="2:14">
      <c r="B7" t="s">
        <v>7</v>
      </c>
      <c r="C7" t="s">
        <v>3</v>
      </c>
    </row>
    <row r="10" spans="2:14">
      <c r="B10" t="s">
        <v>34</v>
      </c>
    </row>
    <row r="11" spans="2:14">
      <c r="B11" t="s">
        <v>35</v>
      </c>
    </row>
    <row r="12" spans="2:14">
      <c r="B12" t="s">
        <v>36</v>
      </c>
    </row>
    <row r="13" spans="2:14">
      <c r="B13" t="s">
        <v>38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0"/>
  <sheetViews>
    <sheetView topLeftCell="A77" workbookViewId="0">
      <selection activeCell="H318" sqref="H318"/>
    </sheetView>
  </sheetViews>
  <sheetFormatPr defaultRowHeight="15"/>
  <cols>
    <col min="1" max="1" width="10" customWidth="1"/>
    <col min="2" max="2" width="15" customWidth="1"/>
    <col min="3" max="3" width="18.140625" customWidth="1"/>
    <col min="4" max="4" width="35.85546875" customWidth="1"/>
    <col min="5" max="5" width="11.5703125" customWidth="1"/>
    <col min="6" max="6" width="12" customWidth="1"/>
    <col min="7" max="7" width="7.140625" customWidth="1"/>
    <col min="8" max="8" width="18.5703125" customWidth="1"/>
    <col min="9" max="9" width="8.140625" customWidth="1"/>
    <col min="10" max="10" width="10.140625" customWidth="1"/>
    <col min="11" max="11" width="13.7109375" bestFit="1" customWidth="1"/>
  </cols>
  <sheetData>
    <row r="1" spans="1:11" ht="22.5">
      <c r="A1" s="1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>
      <c r="A2" s="3" t="s">
        <v>18</v>
      </c>
      <c r="B2" s="3" t="s">
        <v>17</v>
      </c>
      <c r="C2" s="3" t="s">
        <v>8</v>
      </c>
      <c r="D2" s="3" t="s">
        <v>12</v>
      </c>
      <c r="E2" s="7" t="s">
        <v>13</v>
      </c>
      <c r="F2" s="3" t="s">
        <v>9</v>
      </c>
      <c r="G2" s="3" t="s">
        <v>20</v>
      </c>
      <c r="H2" s="3" t="s">
        <v>22</v>
      </c>
      <c r="I2" s="3" t="s">
        <v>21</v>
      </c>
      <c r="J2" s="3" t="s">
        <v>19</v>
      </c>
      <c r="K2" t="s">
        <v>423</v>
      </c>
    </row>
    <row r="3" spans="1:11" hidden="1">
      <c r="A3" s="5" t="s">
        <v>39</v>
      </c>
      <c r="B3" s="5" t="s">
        <v>59</v>
      </c>
      <c r="C3" s="5" t="s">
        <v>60</v>
      </c>
      <c r="D3" s="5" t="s">
        <v>61</v>
      </c>
      <c r="E3" s="8">
        <v>44221</v>
      </c>
      <c r="F3" s="6">
        <v>5</v>
      </c>
      <c r="G3" s="5" t="s">
        <v>62</v>
      </c>
      <c r="H3" s="6">
        <f>SUMIFS(InventTrans!G:G,InventTrans!B:B,AtlasReport_3_Table_1[[#This Row],[Lot ID]],InventTrans!C:C,AtlasReport_3_Table_1[[#This Row],[Packing slip]],InventTrans!D:D,AtlasReport_3_Table_1[[#This Row],[Ship date]])</f>
        <v>242.5</v>
      </c>
      <c r="I3" s="5" t="s">
        <v>63</v>
      </c>
      <c r="J3" s="5" t="s">
        <v>64</v>
      </c>
      <c r="K3" s="10" t="s">
        <v>424</v>
      </c>
    </row>
    <row r="4" spans="1:11">
      <c r="A4" s="5" t="s">
        <v>39</v>
      </c>
      <c r="B4" s="5" t="s">
        <v>65</v>
      </c>
      <c r="C4" s="5" t="s">
        <v>66</v>
      </c>
      <c r="D4" s="5" t="s">
        <v>67</v>
      </c>
      <c r="E4" s="8">
        <v>44273</v>
      </c>
      <c r="F4" s="6">
        <v>145.5</v>
      </c>
      <c r="G4" s="5" t="s">
        <v>63</v>
      </c>
      <c r="H4" s="6">
        <f>SUMIFS(InventTrans!G:G,InventTrans!B:B,AtlasReport_3_Table_1[[#This Row],[Lot ID]],InventTrans!C:C,AtlasReport_3_Table_1[[#This Row],[Packing slip]],InventTrans!D:D,AtlasReport_3_Table_1[[#This Row],[Ship date]])</f>
        <v>145.5</v>
      </c>
      <c r="I4" s="5" t="s">
        <v>63</v>
      </c>
      <c r="J4" s="5" t="s">
        <v>68</v>
      </c>
      <c r="K4" s="10" t="s">
        <v>425</v>
      </c>
    </row>
    <row r="5" spans="1:11" hidden="1">
      <c r="A5" s="5" t="s">
        <v>39</v>
      </c>
      <c r="B5" s="5" t="s">
        <v>65</v>
      </c>
      <c r="C5" s="5" t="s">
        <v>69</v>
      </c>
      <c r="D5" s="5" t="s">
        <v>67</v>
      </c>
      <c r="E5" s="8">
        <v>44273</v>
      </c>
      <c r="F5" s="6">
        <v>780.5</v>
      </c>
      <c r="G5" s="5" t="s">
        <v>63</v>
      </c>
      <c r="H5" s="6">
        <f>SUMIFS(InventTrans!G:G,InventTrans!B:B,AtlasReport_3_Table_1[[#This Row],[Lot ID]],InventTrans!C:C,AtlasReport_3_Table_1[[#This Row],[Packing slip]],InventTrans!D:D,AtlasReport_3_Table_1[[#This Row],[Ship date]])</f>
        <v>780.5</v>
      </c>
      <c r="I5" s="5" t="s">
        <v>63</v>
      </c>
      <c r="J5" s="5" t="s">
        <v>70</v>
      </c>
      <c r="K5" s="10" t="s">
        <v>425</v>
      </c>
    </row>
    <row r="6" spans="1:11" hidden="1">
      <c r="A6" s="5" t="s">
        <v>39</v>
      </c>
      <c r="B6" s="5" t="s">
        <v>71</v>
      </c>
      <c r="C6" s="5" t="s">
        <v>69</v>
      </c>
      <c r="D6" s="5" t="s">
        <v>67</v>
      </c>
      <c r="E6" s="8">
        <v>44285</v>
      </c>
      <c r="F6" s="6">
        <v>240</v>
      </c>
      <c r="G6" s="5" t="s">
        <v>62</v>
      </c>
      <c r="H6" s="6">
        <f>SUMIFS(InventTrans!G:G,InventTrans!B:B,AtlasReport_3_Table_1[[#This Row],[Lot ID]],InventTrans!C:C,AtlasReport_3_Table_1[[#This Row],[Packing slip]],InventTrans!D:D,AtlasReport_3_Table_1[[#This Row],[Ship date]])</f>
        <v>23400</v>
      </c>
      <c r="I6" s="5" t="s">
        <v>63</v>
      </c>
      <c r="J6" s="5" t="s">
        <v>72</v>
      </c>
      <c r="K6" s="10" t="s">
        <v>426</v>
      </c>
    </row>
    <row r="7" spans="1:11">
      <c r="A7" s="5" t="s">
        <v>39</v>
      </c>
      <c r="B7" s="5" t="s">
        <v>71</v>
      </c>
      <c r="C7" s="5" t="s">
        <v>66</v>
      </c>
      <c r="D7" s="5" t="s">
        <v>67</v>
      </c>
      <c r="E7" s="8">
        <v>44285</v>
      </c>
      <c r="F7" s="6">
        <v>40</v>
      </c>
      <c r="G7" s="5" t="s">
        <v>62</v>
      </c>
      <c r="H7" s="6">
        <f>SUMIFS(InventTrans!G:G,InventTrans!B:B,AtlasReport_3_Table_1[[#This Row],[Lot ID]],InventTrans!C:C,AtlasReport_3_Table_1[[#This Row],[Packing slip]],InventTrans!D:D,AtlasReport_3_Table_1[[#This Row],[Ship date]])</f>
        <v>1940</v>
      </c>
      <c r="I7" s="5" t="s">
        <v>63</v>
      </c>
      <c r="J7" s="5" t="s">
        <v>73</v>
      </c>
      <c r="K7" s="10" t="s">
        <v>426</v>
      </c>
    </row>
    <row r="8" spans="1:11" hidden="1">
      <c r="A8" s="5" t="s">
        <v>39</v>
      </c>
      <c r="B8" s="5" t="s">
        <v>74</v>
      </c>
      <c r="C8" s="5" t="s">
        <v>69</v>
      </c>
      <c r="D8" s="5" t="s">
        <v>67</v>
      </c>
      <c r="E8" s="8">
        <v>44298</v>
      </c>
      <c r="F8" s="6">
        <v>17</v>
      </c>
      <c r="G8" s="5" t="s">
        <v>62</v>
      </c>
      <c r="H8" s="6">
        <f>SUMIFS(InventTrans!G:G,InventTrans!B:B,AtlasReport_3_Table_1[[#This Row],[Lot ID]],InventTrans!C:C,AtlasReport_3_Table_1[[#This Row],[Packing slip]],InventTrans!D:D,AtlasReport_3_Table_1[[#This Row],[Ship date]])</f>
        <v>1657.5</v>
      </c>
      <c r="I8" s="5" t="s">
        <v>63</v>
      </c>
      <c r="J8" s="5" t="s">
        <v>75</v>
      </c>
      <c r="K8" s="10" t="s">
        <v>427</v>
      </c>
    </row>
    <row r="9" spans="1:11">
      <c r="A9" s="5" t="s">
        <v>39</v>
      </c>
      <c r="B9" s="5" t="s">
        <v>76</v>
      </c>
      <c r="C9" s="5" t="s">
        <v>66</v>
      </c>
      <c r="D9" s="5" t="s">
        <v>67</v>
      </c>
      <c r="E9" s="8">
        <v>44312</v>
      </c>
      <c r="F9" s="6">
        <v>145.5</v>
      </c>
      <c r="G9" s="5" t="s">
        <v>63</v>
      </c>
      <c r="H9" s="6">
        <f>SUMIFS(InventTrans!G:G,InventTrans!B:B,AtlasReport_3_Table_1[[#This Row],[Lot ID]],InventTrans!C:C,AtlasReport_3_Table_1[[#This Row],[Packing slip]],InventTrans!D:D,AtlasReport_3_Table_1[[#This Row],[Ship date]])</f>
        <v>145.5</v>
      </c>
      <c r="I9" s="5" t="s">
        <v>63</v>
      </c>
      <c r="J9" s="5" t="s">
        <v>77</v>
      </c>
      <c r="K9" s="10" t="s">
        <v>428</v>
      </c>
    </row>
    <row r="10" spans="1:11" hidden="1">
      <c r="A10" s="5" t="s">
        <v>39</v>
      </c>
      <c r="B10" s="5" t="s">
        <v>76</v>
      </c>
      <c r="C10" s="5" t="s">
        <v>69</v>
      </c>
      <c r="D10" s="5" t="s">
        <v>67</v>
      </c>
      <c r="E10" s="8">
        <v>44312</v>
      </c>
      <c r="F10" s="6">
        <v>780</v>
      </c>
      <c r="G10" s="5" t="s">
        <v>63</v>
      </c>
      <c r="H10" s="6">
        <f>SUMIFS(InventTrans!G:G,InventTrans!B:B,AtlasReport_3_Table_1[[#This Row],[Lot ID]],InventTrans!C:C,AtlasReport_3_Table_1[[#This Row],[Packing slip]],InventTrans!D:D,AtlasReport_3_Table_1[[#This Row],[Ship date]])</f>
        <v>780</v>
      </c>
      <c r="I10" s="5" t="s">
        <v>63</v>
      </c>
      <c r="J10" s="5" t="s">
        <v>78</v>
      </c>
      <c r="K10" s="10" t="s">
        <v>428</v>
      </c>
    </row>
    <row r="11" spans="1:11">
      <c r="A11" s="5" t="s">
        <v>39</v>
      </c>
      <c r="B11" s="5" t="s">
        <v>76</v>
      </c>
      <c r="C11" s="5" t="s">
        <v>66</v>
      </c>
      <c r="D11" s="5" t="s">
        <v>67</v>
      </c>
      <c r="E11" s="8">
        <v>44315</v>
      </c>
      <c r="F11" s="6">
        <v>-145.5</v>
      </c>
      <c r="G11" s="5" t="s">
        <v>63</v>
      </c>
      <c r="H11" s="6">
        <f>SUMIFS(InventTrans!G:G,InventTrans!B:B,AtlasReport_3_Table_1[[#This Row],[Lot ID]],InventTrans!C:C,AtlasReport_3_Table_1[[#This Row],[Packing slip]],InventTrans!D:D,AtlasReport_3_Table_1[[#This Row],[Ship date]])</f>
        <v>-145.5</v>
      </c>
      <c r="I11" s="5" t="s">
        <v>63</v>
      </c>
      <c r="J11" s="5" t="s">
        <v>77</v>
      </c>
      <c r="K11" s="10" t="s">
        <v>429</v>
      </c>
    </row>
    <row r="12" spans="1:11" hidden="1">
      <c r="A12" s="5" t="s">
        <v>39</v>
      </c>
      <c r="B12" s="5" t="s">
        <v>76</v>
      </c>
      <c r="C12" s="5" t="s">
        <v>69</v>
      </c>
      <c r="D12" s="5" t="s">
        <v>67</v>
      </c>
      <c r="E12" s="8">
        <v>44315</v>
      </c>
      <c r="F12" s="6">
        <v>-780</v>
      </c>
      <c r="G12" s="5" t="s">
        <v>63</v>
      </c>
      <c r="H12" s="6">
        <f>SUMIFS(InventTrans!G:G,InventTrans!B:B,AtlasReport_3_Table_1[[#This Row],[Lot ID]],InventTrans!C:C,AtlasReport_3_Table_1[[#This Row],[Packing slip]],InventTrans!D:D,AtlasReport_3_Table_1[[#This Row],[Ship date]])</f>
        <v>-780</v>
      </c>
      <c r="I12" s="5" t="s">
        <v>63</v>
      </c>
      <c r="J12" s="5" t="s">
        <v>78</v>
      </c>
      <c r="K12" s="10" t="s">
        <v>429</v>
      </c>
    </row>
    <row r="13" spans="1:11">
      <c r="A13" s="5" t="s">
        <v>39</v>
      </c>
      <c r="B13" s="5" t="s">
        <v>76</v>
      </c>
      <c r="C13" s="5" t="s">
        <v>66</v>
      </c>
      <c r="D13" s="5" t="s">
        <v>67</v>
      </c>
      <c r="E13" s="8">
        <v>44319</v>
      </c>
      <c r="F13" s="6">
        <v>145.5</v>
      </c>
      <c r="G13" s="5" t="s">
        <v>63</v>
      </c>
      <c r="H13" s="6">
        <f>SUMIFS(InventTrans!G:G,InventTrans!B:B,AtlasReport_3_Table_1[[#This Row],[Lot ID]],InventTrans!C:C,AtlasReport_3_Table_1[[#This Row],[Packing slip]],InventTrans!D:D,AtlasReport_3_Table_1[[#This Row],[Ship date]])</f>
        <v>145.5</v>
      </c>
      <c r="I13" s="5" t="s">
        <v>63</v>
      </c>
      <c r="J13" s="5" t="s">
        <v>77</v>
      </c>
      <c r="K13" s="10" t="s">
        <v>430</v>
      </c>
    </row>
    <row r="14" spans="1:11" hidden="1">
      <c r="A14" s="5" t="s">
        <v>39</v>
      </c>
      <c r="B14" s="5" t="s">
        <v>76</v>
      </c>
      <c r="C14" s="5" t="s">
        <v>69</v>
      </c>
      <c r="D14" s="5" t="s">
        <v>67</v>
      </c>
      <c r="E14" s="8">
        <v>44319</v>
      </c>
      <c r="F14" s="6">
        <v>780</v>
      </c>
      <c r="G14" s="5" t="s">
        <v>63</v>
      </c>
      <c r="H14" s="6">
        <f>SUMIFS(InventTrans!G:G,InventTrans!B:B,AtlasReport_3_Table_1[[#This Row],[Lot ID]],InventTrans!C:C,AtlasReport_3_Table_1[[#This Row],[Packing slip]],InventTrans!D:D,AtlasReport_3_Table_1[[#This Row],[Ship date]])</f>
        <v>780</v>
      </c>
      <c r="I14" s="5" t="s">
        <v>63</v>
      </c>
      <c r="J14" s="5" t="s">
        <v>78</v>
      </c>
      <c r="K14" s="10" t="s">
        <v>430</v>
      </c>
    </row>
    <row r="15" spans="1:11" hidden="1">
      <c r="A15" s="5" t="s">
        <v>39</v>
      </c>
      <c r="B15" s="5" t="s">
        <v>76</v>
      </c>
      <c r="C15" s="5" t="s">
        <v>69</v>
      </c>
      <c r="D15" s="5" t="s">
        <v>67</v>
      </c>
      <c r="E15" s="8">
        <v>44319</v>
      </c>
      <c r="F15" s="6">
        <v>97.5</v>
      </c>
      <c r="G15" s="5" t="s">
        <v>63</v>
      </c>
      <c r="H15" s="6">
        <f>SUMIFS(InventTrans!G:G,InventTrans!B:B,AtlasReport_3_Table_1[[#This Row],[Lot ID]],InventTrans!C:C,AtlasReport_3_Table_1[[#This Row],[Packing slip]],InventTrans!D:D,AtlasReport_3_Table_1[[#This Row],[Ship date]])</f>
        <v>97.5</v>
      </c>
      <c r="I15" s="5" t="s">
        <v>63</v>
      </c>
      <c r="J15" s="5" t="s">
        <v>79</v>
      </c>
      <c r="K15" s="10" t="s">
        <v>430</v>
      </c>
    </row>
    <row r="16" spans="1:11">
      <c r="A16" s="5" t="s">
        <v>39</v>
      </c>
      <c r="B16" s="5" t="s">
        <v>76</v>
      </c>
      <c r="C16" s="5" t="s">
        <v>66</v>
      </c>
      <c r="D16" s="5" t="s">
        <v>67</v>
      </c>
      <c r="E16" s="8">
        <v>44319</v>
      </c>
      <c r="F16" s="6">
        <v>-145.5</v>
      </c>
      <c r="G16" s="5" t="s">
        <v>63</v>
      </c>
      <c r="H16" s="6">
        <f>SUMIFS(InventTrans!G:G,InventTrans!B:B,AtlasReport_3_Table_1[[#This Row],[Lot ID]],InventTrans!C:C,AtlasReport_3_Table_1[[#This Row],[Packing slip]],InventTrans!D:D,AtlasReport_3_Table_1[[#This Row],[Ship date]])</f>
        <v>-145.5</v>
      </c>
      <c r="I16" s="5" t="s">
        <v>63</v>
      </c>
      <c r="J16" s="5" t="s">
        <v>77</v>
      </c>
      <c r="K16" s="10" t="s">
        <v>431</v>
      </c>
    </row>
    <row r="17" spans="1:11" hidden="1">
      <c r="A17" s="5" t="s">
        <v>39</v>
      </c>
      <c r="B17" s="5" t="s">
        <v>76</v>
      </c>
      <c r="C17" s="5" t="s">
        <v>69</v>
      </c>
      <c r="D17" s="5" t="s">
        <v>67</v>
      </c>
      <c r="E17" s="8">
        <v>44319</v>
      </c>
      <c r="F17" s="6">
        <v>-780</v>
      </c>
      <c r="G17" s="5" t="s">
        <v>63</v>
      </c>
      <c r="H17" s="6">
        <f>SUMIFS(InventTrans!G:G,InventTrans!B:B,AtlasReport_3_Table_1[[#This Row],[Lot ID]],InventTrans!C:C,AtlasReport_3_Table_1[[#This Row],[Packing slip]],InventTrans!D:D,AtlasReport_3_Table_1[[#This Row],[Ship date]])</f>
        <v>-780</v>
      </c>
      <c r="I17" s="5" t="s">
        <v>63</v>
      </c>
      <c r="J17" s="5" t="s">
        <v>78</v>
      </c>
      <c r="K17" s="10" t="s">
        <v>431</v>
      </c>
    </row>
    <row r="18" spans="1:11" hidden="1">
      <c r="A18" s="5" t="s">
        <v>39</v>
      </c>
      <c r="B18" s="5" t="s">
        <v>76</v>
      </c>
      <c r="C18" s="5" t="s">
        <v>69</v>
      </c>
      <c r="D18" s="5" t="s">
        <v>67</v>
      </c>
      <c r="E18" s="8">
        <v>44319</v>
      </c>
      <c r="F18" s="6">
        <v>-97.5</v>
      </c>
      <c r="G18" s="5" t="s">
        <v>63</v>
      </c>
      <c r="H18" s="6">
        <f>SUMIFS(InventTrans!G:G,InventTrans!B:B,AtlasReport_3_Table_1[[#This Row],[Lot ID]],InventTrans!C:C,AtlasReport_3_Table_1[[#This Row],[Packing slip]],InventTrans!D:D,AtlasReport_3_Table_1[[#This Row],[Ship date]])</f>
        <v>-97.5</v>
      </c>
      <c r="I18" s="5" t="s">
        <v>63</v>
      </c>
      <c r="J18" s="5" t="s">
        <v>79</v>
      </c>
      <c r="K18" s="10" t="s">
        <v>432</v>
      </c>
    </row>
    <row r="19" spans="1:11">
      <c r="A19" s="5" t="s">
        <v>39</v>
      </c>
      <c r="B19" s="5" t="s">
        <v>76</v>
      </c>
      <c r="C19" s="5" t="s">
        <v>66</v>
      </c>
      <c r="D19" s="5" t="s">
        <v>67</v>
      </c>
      <c r="E19" s="8">
        <v>44319</v>
      </c>
      <c r="F19" s="6">
        <v>145.5</v>
      </c>
      <c r="G19" s="5" t="s">
        <v>63</v>
      </c>
      <c r="H19" s="6">
        <f>SUMIFS(InventTrans!G:G,InventTrans!B:B,AtlasReport_3_Table_1[[#This Row],[Lot ID]],InventTrans!C:C,AtlasReport_3_Table_1[[#This Row],[Packing slip]],InventTrans!D:D,AtlasReport_3_Table_1[[#This Row],[Ship date]])</f>
        <v>145.5</v>
      </c>
      <c r="I19" s="5" t="s">
        <v>63</v>
      </c>
      <c r="J19" s="5" t="s">
        <v>77</v>
      </c>
      <c r="K19" s="10" t="s">
        <v>433</v>
      </c>
    </row>
    <row r="20" spans="1:11" hidden="1">
      <c r="A20" s="5" t="s">
        <v>39</v>
      </c>
      <c r="B20" s="5" t="s">
        <v>76</v>
      </c>
      <c r="C20" s="5" t="s">
        <v>69</v>
      </c>
      <c r="D20" s="5" t="s">
        <v>67</v>
      </c>
      <c r="E20" s="8">
        <v>44319</v>
      </c>
      <c r="F20" s="6">
        <v>780</v>
      </c>
      <c r="G20" s="5" t="s">
        <v>63</v>
      </c>
      <c r="H20" s="6">
        <f>SUMIFS(InventTrans!G:G,InventTrans!B:B,AtlasReport_3_Table_1[[#This Row],[Lot ID]],InventTrans!C:C,AtlasReport_3_Table_1[[#This Row],[Packing slip]],InventTrans!D:D,AtlasReport_3_Table_1[[#This Row],[Ship date]])</f>
        <v>780</v>
      </c>
      <c r="I20" s="5" t="s">
        <v>63</v>
      </c>
      <c r="J20" s="5" t="s">
        <v>78</v>
      </c>
      <c r="K20" s="10" t="s">
        <v>433</v>
      </c>
    </row>
    <row r="21" spans="1:11" hidden="1">
      <c r="A21" s="5" t="s">
        <v>39</v>
      </c>
      <c r="B21" s="5" t="s">
        <v>76</v>
      </c>
      <c r="C21" s="5" t="s">
        <v>69</v>
      </c>
      <c r="D21" s="5" t="s">
        <v>67</v>
      </c>
      <c r="E21" s="8">
        <v>44319</v>
      </c>
      <c r="F21" s="6">
        <v>97.5</v>
      </c>
      <c r="G21" s="5" t="s">
        <v>63</v>
      </c>
      <c r="H21" s="6">
        <f>SUMIFS(InventTrans!G:G,InventTrans!B:B,AtlasReport_3_Table_1[[#This Row],[Lot ID]],InventTrans!C:C,AtlasReport_3_Table_1[[#This Row],[Packing slip]],InventTrans!D:D,AtlasReport_3_Table_1[[#This Row],[Ship date]])</f>
        <v>97.5</v>
      </c>
      <c r="I21" s="5" t="s">
        <v>63</v>
      </c>
      <c r="J21" s="5" t="s">
        <v>79</v>
      </c>
      <c r="K21" s="10" t="s">
        <v>433</v>
      </c>
    </row>
    <row r="22" spans="1:11" hidden="1">
      <c r="A22" s="5" t="s">
        <v>39</v>
      </c>
      <c r="B22" s="5" t="s">
        <v>80</v>
      </c>
      <c r="C22" s="5" t="s">
        <v>60</v>
      </c>
      <c r="D22" s="5" t="s">
        <v>61</v>
      </c>
      <c r="E22" s="8">
        <v>44299</v>
      </c>
      <c r="F22" s="6">
        <v>4</v>
      </c>
      <c r="G22" s="5" t="s">
        <v>62</v>
      </c>
      <c r="H22" s="6">
        <f>SUMIFS(InventTrans!G:G,InventTrans!B:B,AtlasReport_3_Table_1[[#This Row],[Lot ID]],InventTrans!C:C,AtlasReport_3_Table_1[[#This Row],[Packing slip]],InventTrans!D:D,AtlasReport_3_Table_1[[#This Row],[Ship date]])</f>
        <v>194</v>
      </c>
      <c r="I22" s="5" t="s">
        <v>63</v>
      </c>
      <c r="J22" s="5" t="s">
        <v>81</v>
      </c>
      <c r="K22" s="10" t="s">
        <v>434</v>
      </c>
    </row>
    <row r="23" spans="1:11">
      <c r="A23" s="5" t="s">
        <v>39</v>
      </c>
      <c r="B23" s="5" t="s">
        <v>82</v>
      </c>
      <c r="C23" s="5" t="s">
        <v>66</v>
      </c>
      <c r="D23" s="5" t="s">
        <v>67</v>
      </c>
      <c r="E23" s="8">
        <v>44302</v>
      </c>
      <c r="F23" s="6">
        <v>64</v>
      </c>
      <c r="G23" s="5" t="s">
        <v>62</v>
      </c>
      <c r="H23" s="6">
        <f>SUMIFS(InventTrans!G:G,InventTrans!B:B,AtlasReport_3_Table_1[[#This Row],[Lot ID]],InventTrans!C:C,AtlasReport_3_Table_1[[#This Row],[Packing slip]],InventTrans!D:D,AtlasReport_3_Table_1[[#This Row],[Ship date]])</f>
        <v>3104</v>
      </c>
      <c r="I23" s="5" t="s">
        <v>63</v>
      </c>
      <c r="J23" s="5" t="s">
        <v>83</v>
      </c>
      <c r="K23" s="10" t="s">
        <v>435</v>
      </c>
    </row>
    <row r="24" spans="1:11">
      <c r="A24" s="5" t="s">
        <v>39</v>
      </c>
      <c r="B24" s="5" t="s">
        <v>84</v>
      </c>
      <c r="C24" s="5" t="s">
        <v>66</v>
      </c>
      <c r="D24" s="5" t="s">
        <v>67</v>
      </c>
      <c r="E24" s="8">
        <v>44309</v>
      </c>
      <c r="F24" s="6">
        <v>11</v>
      </c>
      <c r="G24" s="5" t="s">
        <v>62</v>
      </c>
      <c r="H24" s="6">
        <f>SUMIFS(InventTrans!G:G,InventTrans!B:B,AtlasReport_3_Table_1[[#This Row],[Lot ID]],InventTrans!C:C,AtlasReport_3_Table_1[[#This Row],[Packing slip]],InventTrans!D:D,AtlasReport_3_Table_1[[#This Row],[Ship date]])</f>
        <v>533.5</v>
      </c>
      <c r="I24" s="5" t="s">
        <v>63</v>
      </c>
      <c r="J24" s="5" t="s">
        <v>85</v>
      </c>
      <c r="K24" s="10" t="s">
        <v>436</v>
      </c>
    </row>
    <row r="25" spans="1:11" hidden="1">
      <c r="A25" s="5" t="s">
        <v>39</v>
      </c>
      <c r="B25" s="5" t="s">
        <v>86</v>
      </c>
      <c r="C25" s="5" t="s">
        <v>87</v>
      </c>
      <c r="D25" s="5" t="s">
        <v>88</v>
      </c>
      <c r="E25" s="8">
        <v>44316</v>
      </c>
      <c r="F25" s="6">
        <v>40</v>
      </c>
      <c r="G25" s="5" t="s">
        <v>62</v>
      </c>
      <c r="H25" s="6">
        <f>SUMIFS(InventTrans!G:G,InventTrans!B:B,AtlasReport_3_Table_1[[#This Row],[Lot ID]],InventTrans!C:C,AtlasReport_3_Table_1[[#This Row],[Packing slip]],InventTrans!D:D,AtlasReport_3_Table_1[[#This Row],[Ship date]])</f>
        <v>1940</v>
      </c>
      <c r="I25" s="5" t="s">
        <v>63</v>
      </c>
      <c r="J25" s="5" t="s">
        <v>89</v>
      </c>
      <c r="K25" s="10" t="s">
        <v>437</v>
      </c>
    </row>
    <row r="26" spans="1:11" hidden="1">
      <c r="A26" s="5" t="s">
        <v>39</v>
      </c>
      <c r="B26" s="5" t="s">
        <v>86</v>
      </c>
      <c r="C26" s="5" t="s">
        <v>90</v>
      </c>
      <c r="D26" s="5" t="s">
        <v>88</v>
      </c>
      <c r="E26" s="8">
        <v>44316</v>
      </c>
      <c r="F26" s="6">
        <v>60</v>
      </c>
      <c r="G26" s="5" t="s">
        <v>62</v>
      </c>
      <c r="H26" s="6">
        <f>SUMIFS(InventTrans!G:G,InventTrans!B:B,AtlasReport_3_Table_1[[#This Row],[Lot ID]],InventTrans!C:C,AtlasReport_3_Table_1[[#This Row],[Packing slip]],InventTrans!D:D,AtlasReport_3_Table_1[[#This Row],[Ship date]])</f>
        <v>5850</v>
      </c>
      <c r="I26" s="5" t="s">
        <v>63</v>
      </c>
      <c r="J26" s="5" t="s">
        <v>91</v>
      </c>
      <c r="K26" s="10" t="s">
        <v>437</v>
      </c>
    </row>
    <row r="27" spans="1:11">
      <c r="A27" s="5" t="s">
        <v>39</v>
      </c>
      <c r="B27" s="5" t="s">
        <v>86</v>
      </c>
      <c r="C27" s="5" t="s">
        <v>66</v>
      </c>
      <c r="D27" s="5" t="s">
        <v>67</v>
      </c>
      <c r="E27" s="8">
        <v>44316</v>
      </c>
      <c r="F27" s="6">
        <v>40</v>
      </c>
      <c r="G27" s="5" t="s">
        <v>62</v>
      </c>
      <c r="H27" s="6">
        <f>SUMIFS(InventTrans!G:G,InventTrans!B:B,AtlasReport_3_Table_1[[#This Row],[Lot ID]],InventTrans!C:C,AtlasReport_3_Table_1[[#This Row],[Packing slip]],InventTrans!D:D,AtlasReport_3_Table_1[[#This Row],[Ship date]])</f>
        <v>1940</v>
      </c>
      <c r="I27" s="5" t="s">
        <v>63</v>
      </c>
      <c r="J27" s="5" t="s">
        <v>92</v>
      </c>
      <c r="K27" s="10" t="s">
        <v>437</v>
      </c>
    </row>
    <row r="28" spans="1:11" hidden="1">
      <c r="A28" s="5" t="s">
        <v>39</v>
      </c>
      <c r="B28" s="5" t="s">
        <v>86</v>
      </c>
      <c r="C28" s="5" t="s">
        <v>69</v>
      </c>
      <c r="D28" s="5" t="s">
        <v>67</v>
      </c>
      <c r="E28" s="8">
        <v>44316</v>
      </c>
      <c r="F28" s="6">
        <v>160</v>
      </c>
      <c r="G28" s="5" t="s">
        <v>62</v>
      </c>
      <c r="H28" s="6">
        <f>SUMIFS(InventTrans!G:G,InventTrans!B:B,AtlasReport_3_Table_1[[#This Row],[Lot ID]],InventTrans!C:C,AtlasReport_3_Table_1[[#This Row],[Packing slip]],InventTrans!D:D,AtlasReport_3_Table_1[[#This Row],[Ship date]])</f>
        <v>15600</v>
      </c>
      <c r="I28" s="5" t="s">
        <v>63</v>
      </c>
      <c r="J28" s="5" t="s">
        <v>93</v>
      </c>
      <c r="K28" s="10" t="s">
        <v>437</v>
      </c>
    </row>
    <row r="29" spans="1:11" hidden="1">
      <c r="A29" s="5" t="s">
        <v>39</v>
      </c>
      <c r="B29" s="5" t="s">
        <v>94</v>
      </c>
      <c r="C29" s="5" t="s">
        <v>90</v>
      </c>
      <c r="D29" s="5" t="s">
        <v>88</v>
      </c>
      <c r="E29" s="8">
        <v>44313</v>
      </c>
      <c r="F29" s="6">
        <v>3</v>
      </c>
      <c r="G29" s="5" t="s">
        <v>62</v>
      </c>
      <c r="H29" s="6">
        <f>SUMIFS(InventTrans!G:G,InventTrans!B:B,AtlasReport_3_Table_1[[#This Row],[Lot ID]],InventTrans!C:C,AtlasReport_3_Table_1[[#This Row],[Packing slip]],InventTrans!D:D,AtlasReport_3_Table_1[[#This Row],[Ship date]])</f>
        <v>292.5</v>
      </c>
      <c r="I29" s="5" t="s">
        <v>63</v>
      </c>
      <c r="J29" s="5" t="s">
        <v>95</v>
      </c>
      <c r="K29" s="10" t="s">
        <v>438</v>
      </c>
    </row>
    <row r="30" spans="1:11" hidden="1">
      <c r="A30" s="5" t="s">
        <v>39</v>
      </c>
      <c r="B30" s="5" t="s">
        <v>96</v>
      </c>
      <c r="C30" s="5" t="s">
        <v>97</v>
      </c>
      <c r="D30" s="5" t="s">
        <v>67</v>
      </c>
      <c r="E30" s="8">
        <v>44322</v>
      </c>
      <c r="F30" s="6">
        <v>46</v>
      </c>
      <c r="G30" s="5" t="s">
        <v>62</v>
      </c>
      <c r="H30" s="6">
        <f>SUMIFS(InventTrans!G:G,InventTrans!B:B,AtlasReport_3_Table_1[[#This Row],[Lot ID]],InventTrans!C:C,AtlasReport_3_Table_1[[#This Row],[Packing slip]],InventTrans!D:D,AtlasReport_3_Table_1[[#This Row],[Ship date]])</f>
        <v>3450</v>
      </c>
      <c r="I30" s="5" t="s">
        <v>63</v>
      </c>
      <c r="J30" s="5" t="s">
        <v>98</v>
      </c>
      <c r="K30" s="10" t="s">
        <v>439</v>
      </c>
    </row>
    <row r="31" spans="1:11" hidden="1">
      <c r="A31" s="5" t="s">
        <v>39</v>
      </c>
      <c r="B31" s="5" t="s">
        <v>96</v>
      </c>
      <c r="C31" s="5" t="s">
        <v>90</v>
      </c>
      <c r="D31" s="5" t="s">
        <v>88</v>
      </c>
      <c r="E31" s="8">
        <v>44322</v>
      </c>
      <c r="F31" s="6">
        <v>220</v>
      </c>
      <c r="G31" s="5" t="s">
        <v>62</v>
      </c>
      <c r="H31" s="6">
        <f>SUMIFS(InventTrans!G:G,InventTrans!B:B,AtlasReport_3_Table_1[[#This Row],[Lot ID]],InventTrans!C:C,AtlasReport_3_Table_1[[#This Row],[Packing slip]],InventTrans!D:D,AtlasReport_3_Table_1[[#This Row],[Ship date]])</f>
        <v>21450</v>
      </c>
      <c r="I31" s="5" t="s">
        <v>63</v>
      </c>
      <c r="J31" s="5" t="s">
        <v>99</v>
      </c>
      <c r="K31" s="10" t="s">
        <v>439</v>
      </c>
    </row>
    <row r="32" spans="1:11" hidden="1">
      <c r="A32" s="5" t="s">
        <v>39</v>
      </c>
      <c r="B32" s="5" t="s">
        <v>100</v>
      </c>
      <c r="C32" s="5" t="s">
        <v>69</v>
      </c>
      <c r="D32" s="5" t="s">
        <v>67</v>
      </c>
      <c r="E32" s="8">
        <v>44336</v>
      </c>
      <c r="F32" s="6">
        <v>160</v>
      </c>
      <c r="G32" s="5" t="s">
        <v>62</v>
      </c>
      <c r="H32" s="6">
        <f>SUMIFS(InventTrans!G:G,InventTrans!B:B,AtlasReport_3_Table_1[[#This Row],[Lot ID]],InventTrans!C:C,AtlasReport_3_Table_1[[#This Row],[Packing slip]],InventTrans!D:D,AtlasReport_3_Table_1[[#This Row],[Ship date]])</f>
        <v>15600</v>
      </c>
      <c r="I32" s="5" t="s">
        <v>63</v>
      </c>
      <c r="J32" s="5" t="s">
        <v>101</v>
      </c>
      <c r="K32" s="10" t="s">
        <v>440</v>
      </c>
    </row>
    <row r="33" spans="1:11" hidden="1">
      <c r="A33" s="5" t="s">
        <v>39</v>
      </c>
      <c r="B33" s="5" t="s">
        <v>100</v>
      </c>
      <c r="C33" s="5" t="s">
        <v>90</v>
      </c>
      <c r="D33" s="5" t="s">
        <v>88</v>
      </c>
      <c r="E33" s="8">
        <v>44336</v>
      </c>
      <c r="F33" s="6">
        <v>100</v>
      </c>
      <c r="G33" s="5" t="s">
        <v>62</v>
      </c>
      <c r="H33" s="6">
        <f>SUMIFS(InventTrans!G:G,InventTrans!B:B,AtlasReport_3_Table_1[[#This Row],[Lot ID]],InventTrans!C:C,AtlasReport_3_Table_1[[#This Row],[Packing slip]],InventTrans!D:D,AtlasReport_3_Table_1[[#This Row],[Ship date]])</f>
        <v>9750</v>
      </c>
      <c r="I33" s="5" t="s">
        <v>63</v>
      </c>
      <c r="J33" s="5" t="s">
        <v>102</v>
      </c>
      <c r="K33" s="10" t="s">
        <v>440</v>
      </c>
    </row>
    <row r="34" spans="1:11">
      <c r="A34" s="5" t="s">
        <v>39</v>
      </c>
      <c r="B34" s="5" t="s">
        <v>103</v>
      </c>
      <c r="C34" s="5" t="s">
        <v>66</v>
      </c>
      <c r="D34" s="5" t="s">
        <v>67</v>
      </c>
      <c r="E34" s="8">
        <v>44328</v>
      </c>
      <c r="F34" s="6">
        <v>40</v>
      </c>
      <c r="G34" s="5" t="s">
        <v>62</v>
      </c>
      <c r="H34" s="6">
        <f>SUMIFS(InventTrans!G:G,InventTrans!B:B,AtlasReport_3_Table_1[[#This Row],[Lot ID]],InventTrans!C:C,AtlasReport_3_Table_1[[#This Row],[Packing slip]],InventTrans!D:D,AtlasReport_3_Table_1[[#This Row],[Ship date]])</f>
        <v>1940</v>
      </c>
      <c r="I34" s="5" t="s">
        <v>63</v>
      </c>
      <c r="J34" s="5" t="s">
        <v>104</v>
      </c>
      <c r="K34" s="10" t="s">
        <v>441</v>
      </c>
    </row>
    <row r="35" spans="1:11" hidden="1">
      <c r="A35" s="5" t="s">
        <v>39</v>
      </c>
      <c r="B35" s="5" t="s">
        <v>105</v>
      </c>
      <c r="C35" s="5" t="s">
        <v>60</v>
      </c>
      <c r="D35" s="5" t="s">
        <v>61</v>
      </c>
      <c r="E35" s="8">
        <v>44327</v>
      </c>
      <c r="F35" s="6">
        <v>1</v>
      </c>
      <c r="G35" s="5" t="s">
        <v>62</v>
      </c>
      <c r="H35" s="6">
        <f>SUMIFS(InventTrans!G:G,InventTrans!B:B,AtlasReport_3_Table_1[[#This Row],[Lot ID]],InventTrans!C:C,AtlasReport_3_Table_1[[#This Row],[Packing slip]],InventTrans!D:D,AtlasReport_3_Table_1[[#This Row],[Ship date]])</f>
        <v>48.5</v>
      </c>
      <c r="I35" s="5" t="s">
        <v>63</v>
      </c>
      <c r="J35" s="5" t="s">
        <v>106</v>
      </c>
      <c r="K35" s="10" t="s">
        <v>442</v>
      </c>
    </row>
    <row r="36" spans="1:11" hidden="1">
      <c r="A36" s="5" t="s">
        <v>39</v>
      </c>
      <c r="B36" s="5" t="s">
        <v>107</v>
      </c>
      <c r="C36" s="5" t="s">
        <v>87</v>
      </c>
      <c r="D36" s="5" t="s">
        <v>88</v>
      </c>
      <c r="E36" s="8">
        <v>44336</v>
      </c>
      <c r="F36" s="6">
        <v>4</v>
      </c>
      <c r="G36" s="5" t="s">
        <v>62</v>
      </c>
      <c r="H36" s="6">
        <f>SUMIFS(InventTrans!G:G,InventTrans!B:B,AtlasReport_3_Table_1[[#This Row],[Lot ID]],InventTrans!C:C,AtlasReport_3_Table_1[[#This Row],[Packing slip]],InventTrans!D:D,AtlasReport_3_Table_1[[#This Row],[Ship date]])</f>
        <v>194</v>
      </c>
      <c r="I36" s="5" t="s">
        <v>63</v>
      </c>
      <c r="J36" s="5" t="s">
        <v>108</v>
      </c>
      <c r="K36" s="10" t="s">
        <v>443</v>
      </c>
    </row>
    <row r="37" spans="1:11" hidden="1">
      <c r="A37" s="5" t="s">
        <v>39</v>
      </c>
      <c r="B37" s="5" t="s">
        <v>109</v>
      </c>
      <c r="C37" s="5" t="s">
        <v>110</v>
      </c>
      <c r="D37" s="5" t="s">
        <v>88</v>
      </c>
      <c r="E37" s="8">
        <v>44341</v>
      </c>
      <c r="F37" s="6">
        <v>7</v>
      </c>
      <c r="G37" s="5" t="s">
        <v>62</v>
      </c>
      <c r="H37" s="6">
        <f>SUMIFS(InventTrans!G:G,InventTrans!B:B,AtlasReport_3_Table_1[[#This Row],[Lot ID]],InventTrans!C:C,AtlasReport_3_Table_1[[#This Row],[Packing slip]],InventTrans!D:D,AtlasReport_3_Table_1[[#This Row],[Ship date]])</f>
        <v>525</v>
      </c>
      <c r="I37" s="5" t="s">
        <v>63</v>
      </c>
      <c r="J37" s="5" t="s">
        <v>111</v>
      </c>
      <c r="K37" s="10" t="s">
        <v>444</v>
      </c>
    </row>
    <row r="38" spans="1:11" hidden="1">
      <c r="A38" s="5" t="s">
        <v>39</v>
      </c>
      <c r="B38" s="5" t="s">
        <v>112</v>
      </c>
      <c r="C38" s="5" t="s">
        <v>90</v>
      </c>
      <c r="D38" s="5" t="s">
        <v>88</v>
      </c>
      <c r="E38" s="8">
        <v>44340</v>
      </c>
      <c r="F38" s="6">
        <v>2</v>
      </c>
      <c r="G38" s="5" t="s">
        <v>62</v>
      </c>
      <c r="H38" s="6">
        <f>SUMIFS(InventTrans!G:G,InventTrans!B:B,AtlasReport_3_Table_1[[#This Row],[Lot ID]],InventTrans!C:C,AtlasReport_3_Table_1[[#This Row],[Packing slip]],InventTrans!D:D,AtlasReport_3_Table_1[[#This Row],[Ship date]])</f>
        <v>195</v>
      </c>
      <c r="I38" s="5" t="s">
        <v>63</v>
      </c>
      <c r="J38" s="5" t="s">
        <v>113</v>
      </c>
      <c r="K38" s="10" t="s">
        <v>445</v>
      </c>
    </row>
    <row r="39" spans="1:11" hidden="1">
      <c r="A39" s="5" t="s">
        <v>39</v>
      </c>
      <c r="B39" s="5" t="s">
        <v>114</v>
      </c>
      <c r="C39" s="5" t="s">
        <v>90</v>
      </c>
      <c r="D39" s="5" t="s">
        <v>88</v>
      </c>
      <c r="E39" s="8">
        <v>44341</v>
      </c>
      <c r="F39" s="6">
        <v>18</v>
      </c>
      <c r="G39" s="5" t="s">
        <v>62</v>
      </c>
      <c r="H39" s="6">
        <f>SUMIFS(InventTrans!G:G,InventTrans!B:B,AtlasReport_3_Table_1[[#This Row],[Lot ID]],InventTrans!C:C,AtlasReport_3_Table_1[[#This Row],[Packing slip]],InventTrans!D:D,AtlasReport_3_Table_1[[#This Row],[Ship date]])</f>
        <v>1755</v>
      </c>
      <c r="I39" s="5" t="s">
        <v>63</v>
      </c>
      <c r="J39" s="5" t="s">
        <v>115</v>
      </c>
      <c r="K39" s="10" t="s">
        <v>446</v>
      </c>
    </row>
    <row r="40" spans="1:11">
      <c r="A40" s="5" t="s">
        <v>39</v>
      </c>
      <c r="B40" s="5" t="s">
        <v>116</v>
      </c>
      <c r="C40" s="5" t="s">
        <v>66</v>
      </c>
      <c r="D40" s="5" t="s">
        <v>67</v>
      </c>
      <c r="E40" s="8">
        <v>44341</v>
      </c>
      <c r="F40" s="6">
        <v>824.5</v>
      </c>
      <c r="G40" s="5" t="s">
        <v>63</v>
      </c>
      <c r="H40" s="6">
        <f>SUMIFS(InventTrans!G:G,InventTrans!B:B,AtlasReport_3_Table_1[[#This Row],[Lot ID]],InventTrans!C:C,AtlasReport_3_Table_1[[#This Row],[Packing slip]],InventTrans!D:D,AtlasReport_3_Table_1[[#This Row],[Ship date]])</f>
        <v>824.5</v>
      </c>
      <c r="I40" s="5" t="s">
        <v>63</v>
      </c>
      <c r="J40" s="5" t="s">
        <v>117</v>
      </c>
      <c r="K40" s="10" t="s">
        <v>447</v>
      </c>
    </row>
    <row r="41" spans="1:11" hidden="1">
      <c r="A41" s="5" t="s">
        <v>39</v>
      </c>
      <c r="B41" s="5" t="s">
        <v>118</v>
      </c>
      <c r="C41" s="5" t="s">
        <v>87</v>
      </c>
      <c r="D41" s="5" t="s">
        <v>88</v>
      </c>
      <c r="E41" s="8">
        <v>44341</v>
      </c>
      <c r="F41" s="6">
        <v>6</v>
      </c>
      <c r="G41" s="5" t="s">
        <v>62</v>
      </c>
      <c r="H41" s="6">
        <f>SUMIFS(InventTrans!G:G,InventTrans!B:B,AtlasReport_3_Table_1[[#This Row],[Lot ID]],InventTrans!C:C,AtlasReport_3_Table_1[[#This Row],[Packing slip]],InventTrans!D:D,AtlasReport_3_Table_1[[#This Row],[Ship date]])</f>
        <v>291</v>
      </c>
      <c r="I41" s="5" t="s">
        <v>63</v>
      </c>
      <c r="J41" s="5" t="s">
        <v>119</v>
      </c>
      <c r="K41" s="10" t="s">
        <v>448</v>
      </c>
    </row>
    <row r="42" spans="1:11">
      <c r="A42" s="5" t="s">
        <v>39</v>
      </c>
      <c r="B42" s="5" t="s">
        <v>118</v>
      </c>
      <c r="C42" s="5" t="s">
        <v>66</v>
      </c>
      <c r="D42" s="5" t="s">
        <v>67</v>
      </c>
      <c r="E42" s="8">
        <v>44341</v>
      </c>
      <c r="F42" s="6">
        <v>8</v>
      </c>
      <c r="G42" s="5" t="s">
        <v>62</v>
      </c>
      <c r="H42" s="6">
        <f>SUMIFS(InventTrans!G:G,InventTrans!B:B,AtlasReport_3_Table_1[[#This Row],[Lot ID]],InventTrans!C:C,AtlasReport_3_Table_1[[#This Row],[Packing slip]],InventTrans!D:D,AtlasReport_3_Table_1[[#This Row],[Ship date]])</f>
        <v>388</v>
      </c>
      <c r="I42" s="5" t="s">
        <v>63</v>
      </c>
      <c r="J42" s="5" t="s">
        <v>120</v>
      </c>
      <c r="K42" s="10" t="s">
        <v>448</v>
      </c>
    </row>
    <row r="43" spans="1:11" hidden="1">
      <c r="A43" s="5" t="s">
        <v>39</v>
      </c>
      <c r="B43" s="5" t="s">
        <v>121</v>
      </c>
      <c r="C43" s="5" t="s">
        <v>90</v>
      </c>
      <c r="D43" s="5" t="s">
        <v>88</v>
      </c>
      <c r="E43" s="8">
        <v>44362</v>
      </c>
      <c r="F43" s="6">
        <v>17</v>
      </c>
      <c r="G43" s="5" t="s">
        <v>62</v>
      </c>
      <c r="H43" s="6">
        <f>SUMIFS(InventTrans!G:G,InventTrans!B:B,AtlasReport_3_Table_1[[#This Row],[Lot ID]],InventTrans!C:C,AtlasReport_3_Table_1[[#This Row],[Packing slip]],InventTrans!D:D,AtlasReport_3_Table_1[[#This Row],[Ship date]])</f>
        <v>1657.5</v>
      </c>
      <c r="I43" s="5" t="s">
        <v>63</v>
      </c>
      <c r="J43" s="5" t="s">
        <v>122</v>
      </c>
      <c r="K43" s="10" t="s">
        <v>449</v>
      </c>
    </row>
    <row r="44" spans="1:11" hidden="1">
      <c r="A44" s="5" t="s">
        <v>39</v>
      </c>
      <c r="B44" s="5" t="s">
        <v>121</v>
      </c>
      <c r="C44" s="5" t="s">
        <v>60</v>
      </c>
      <c r="D44" s="5" t="s">
        <v>61</v>
      </c>
      <c r="E44" s="8">
        <v>44362</v>
      </c>
      <c r="F44" s="6">
        <v>2</v>
      </c>
      <c r="G44" s="5" t="s">
        <v>62</v>
      </c>
      <c r="H44" s="6">
        <f>SUMIFS(InventTrans!G:G,InventTrans!B:B,AtlasReport_3_Table_1[[#This Row],[Lot ID]],InventTrans!C:C,AtlasReport_3_Table_1[[#This Row],[Packing slip]],InventTrans!D:D,AtlasReport_3_Table_1[[#This Row],[Ship date]])</f>
        <v>97</v>
      </c>
      <c r="I44" s="5" t="s">
        <v>63</v>
      </c>
      <c r="J44" s="5" t="s">
        <v>123</v>
      </c>
      <c r="K44" s="10" t="s">
        <v>449</v>
      </c>
    </row>
    <row r="45" spans="1:11" hidden="1">
      <c r="A45" s="5" t="s">
        <v>39</v>
      </c>
      <c r="B45" s="5" t="s">
        <v>121</v>
      </c>
      <c r="C45" s="5" t="s">
        <v>124</v>
      </c>
      <c r="D45" s="5" t="s">
        <v>125</v>
      </c>
      <c r="E45" s="8">
        <v>44362</v>
      </c>
      <c r="F45" s="6">
        <v>1</v>
      </c>
      <c r="G45" s="5" t="s">
        <v>16</v>
      </c>
      <c r="H45" s="6">
        <f>SUMIFS(InventTrans!G:G,InventTrans!B:B,AtlasReport_3_Table_1[[#This Row],[Lot ID]],InventTrans!C:C,AtlasReport_3_Table_1[[#This Row],[Packing slip]],InventTrans!D:D,AtlasReport_3_Table_1[[#This Row],[Ship date]])</f>
        <v>1</v>
      </c>
      <c r="I45" s="5" t="s">
        <v>63</v>
      </c>
      <c r="J45" s="5" t="s">
        <v>126</v>
      </c>
      <c r="K45" s="10" t="s">
        <v>449</v>
      </c>
    </row>
    <row r="46" spans="1:11" hidden="1">
      <c r="A46" s="5" t="s">
        <v>39</v>
      </c>
      <c r="B46" s="5" t="s">
        <v>121</v>
      </c>
      <c r="C46" s="5" t="s">
        <v>60</v>
      </c>
      <c r="D46" s="5" t="s">
        <v>61</v>
      </c>
      <c r="E46" s="8">
        <v>44362</v>
      </c>
      <c r="F46" s="6">
        <v>-1</v>
      </c>
      <c r="G46" s="5" t="s">
        <v>62</v>
      </c>
      <c r="H46" s="6">
        <f>SUMIFS(InventTrans!G:G,InventTrans!B:B,AtlasReport_3_Table_1[[#This Row],[Lot ID]],InventTrans!C:C,AtlasReport_3_Table_1[[#This Row],[Packing slip]],InventTrans!D:D,AtlasReport_3_Table_1[[#This Row],[Ship date]])</f>
        <v>-48.5</v>
      </c>
      <c r="I46" s="5" t="s">
        <v>63</v>
      </c>
      <c r="J46" s="5" t="s">
        <v>123</v>
      </c>
      <c r="K46" s="10" t="s">
        <v>450</v>
      </c>
    </row>
    <row r="47" spans="1:11" hidden="1">
      <c r="A47" s="5" t="s">
        <v>39</v>
      </c>
      <c r="B47" s="5" t="s">
        <v>127</v>
      </c>
      <c r="C47" s="5" t="s">
        <v>87</v>
      </c>
      <c r="D47" s="5" t="s">
        <v>88</v>
      </c>
      <c r="E47" s="8">
        <v>44347</v>
      </c>
      <c r="F47" s="6">
        <v>10</v>
      </c>
      <c r="G47" s="5" t="s">
        <v>62</v>
      </c>
      <c r="H47" s="6">
        <f>SUMIFS(InventTrans!G:G,InventTrans!B:B,AtlasReport_3_Table_1[[#This Row],[Lot ID]],InventTrans!C:C,AtlasReport_3_Table_1[[#This Row],[Packing slip]],InventTrans!D:D,AtlasReport_3_Table_1[[#This Row],[Ship date]])</f>
        <v>485</v>
      </c>
      <c r="I47" s="5" t="s">
        <v>63</v>
      </c>
      <c r="J47" s="5" t="s">
        <v>128</v>
      </c>
      <c r="K47" s="10" t="s">
        <v>451</v>
      </c>
    </row>
    <row r="48" spans="1:11" hidden="1">
      <c r="A48" s="5" t="s">
        <v>39</v>
      </c>
      <c r="B48" s="5" t="s">
        <v>129</v>
      </c>
      <c r="C48" s="5" t="s">
        <v>60</v>
      </c>
      <c r="D48" s="5" t="s">
        <v>61</v>
      </c>
      <c r="E48" s="8">
        <v>44347</v>
      </c>
      <c r="F48" s="6">
        <v>1</v>
      </c>
      <c r="G48" s="5" t="s">
        <v>62</v>
      </c>
      <c r="H48" s="6">
        <f>SUMIFS(InventTrans!G:G,InventTrans!B:B,AtlasReport_3_Table_1[[#This Row],[Lot ID]],InventTrans!C:C,AtlasReport_3_Table_1[[#This Row],[Packing slip]],InventTrans!D:D,AtlasReport_3_Table_1[[#This Row],[Ship date]])</f>
        <v>48.5</v>
      </c>
      <c r="I48" s="5" t="s">
        <v>63</v>
      </c>
      <c r="J48" s="5" t="s">
        <v>130</v>
      </c>
      <c r="K48" s="10" t="s">
        <v>452</v>
      </c>
    </row>
    <row r="49" spans="1:11" hidden="1">
      <c r="A49" s="5" t="s">
        <v>39</v>
      </c>
      <c r="B49" s="5" t="s">
        <v>131</v>
      </c>
      <c r="C49" s="5" t="s">
        <v>60</v>
      </c>
      <c r="D49" s="5" t="s">
        <v>61</v>
      </c>
      <c r="E49" s="8">
        <v>44348</v>
      </c>
      <c r="F49" s="6">
        <v>66</v>
      </c>
      <c r="G49" s="5" t="s">
        <v>62</v>
      </c>
      <c r="H49" s="6">
        <f>SUMIFS(InventTrans!G:G,InventTrans!B:B,AtlasReport_3_Table_1[[#This Row],[Lot ID]],InventTrans!C:C,AtlasReport_3_Table_1[[#This Row],[Packing slip]],InventTrans!D:D,AtlasReport_3_Table_1[[#This Row],[Ship date]])</f>
        <v>3201</v>
      </c>
      <c r="I49" s="5" t="s">
        <v>63</v>
      </c>
      <c r="J49" s="5" t="s">
        <v>132</v>
      </c>
      <c r="K49" s="10" t="s">
        <v>453</v>
      </c>
    </row>
    <row r="50" spans="1:11" hidden="1">
      <c r="A50" s="5" t="s">
        <v>39</v>
      </c>
      <c r="B50" s="5" t="s">
        <v>133</v>
      </c>
      <c r="C50" s="5" t="s">
        <v>87</v>
      </c>
      <c r="D50" s="5" t="s">
        <v>88</v>
      </c>
      <c r="E50" s="8">
        <v>44349</v>
      </c>
      <c r="F50" s="6">
        <v>14</v>
      </c>
      <c r="G50" s="5" t="s">
        <v>62</v>
      </c>
      <c r="H50" s="6">
        <f>SUMIFS(InventTrans!G:G,InventTrans!B:B,AtlasReport_3_Table_1[[#This Row],[Lot ID]],InventTrans!C:C,AtlasReport_3_Table_1[[#This Row],[Packing slip]],InventTrans!D:D,AtlasReport_3_Table_1[[#This Row],[Ship date]])</f>
        <v>679</v>
      </c>
      <c r="I50" s="5" t="s">
        <v>63</v>
      </c>
      <c r="J50" s="5" t="s">
        <v>134</v>
      </c>
      <c r="K50" s="10" t="s">
        <v>454</v>
      </c>
    </row>
    <row r="51" spans="1:11" hidden="1">
      <c r="A51" s="5" t="s">
        <v>39</v>
      </c>
      <c r="B51" s="5" t="s">
        <v>133</v>
      </c>
      <c r="C51" s="5" t="s">
        <v>110</v>
      </c>
      <c r="D51" s="5" t="s">
        <v>88</v>
      </c>
      <c r="E51" s="8">
        <v>44349</v>
      </c>
      <c r="F51" s="6">
        <v>10</v>
      </c>
      <c r="G51" s="5" t="s">
        <v>62</v>
      </c>
      <c r="H51" s="6">
        <f>SUMIFS(InventTrans!G:G,InventTrans!B:B,AtlasReport_3_Table_1[[#This Row],[Lot ID]],InventTrans!C:C,AtlasReport_3_Table_1[[#This Row],[Packing slip]],InventTrans!D:D,AtlasReport_3_Table_1[[#This Row],[Ship date]])</f>
        <v>750</v>
      </c>
      <c r="I51" s="5" t="s">
        <v>63</v>
      </c>
      <c r="J51" s="5" t="s">
        <v>135</v>
      </c>
      <c r="K51" s="10" t="s">
        <v>454</v>
      </c>
    </row>
    <row r="52" spans="1:11" hidden="1">
      <c r="A52" s="5" t="s">
        <v>39</v>
      </c>
      <c r="B52" s="5" t="s">
        <v>133</v>
      </c>
      <c r="C52" s="5" t="s">
        <v>90</v>
      </c>
      <c r="D52" s="5" t="s">
        <v>88</v>
      </c>
      <c r="E52" s="8">
        <v>44349</v>
      </c>
      <c r="F52" s="6">
        <v>53</v>
      </c>
      <c r="G52" s="5" t="s">
        <v>62</v>
      </c>
      <c r="H52" s="6">
        <f>SUMIFS(InventTrans!G:G,InventTrans!B:B,AtlasReport_3_Table_1[[#This Row],[Lot ID]],InventTrans!C:C,AtlasReport_3_Table_1[[#This Row],[Packing slip]],InventTrans!D:D,AtlasReport_3_Table_1[[#This Row],[Ship date]])</f>
        <v>5167.5</v>
      </c>
      <c r="I52" s="5" t="s">
        <v>63</v>
      </c>
      <c r="J52" s="5" t="s">
        <v>136</v>
      </c>
      <c r="K52" s="10" t="s">
        <v>454</v>
      </c>
    </row>
    <row r="53" spans="1:11" hidden="1">
      <c r="A53" s="5" t="s">
        <v>39</v>
      </c>
      <c r="B53" s="5" t="s">
        <v>133</v>
      </c>
      <c r="C53" s="5" t="s">
        <v>124</v>
      </c>
      <c r="D53" s="5" t="s">
        <v>125</v>
      </c>
      <c r="E53" s="8">
        <v>44349</v>
      </c>
      <c r="F53" s="6">
        <v>1</v>
      </c>
      <c r="G53" s="5" t="s">
        <v>16</v>
      </c>
      <c r="H53" s="6">
        <f>SUMIFS(InventTrans!G:G,InventTrans!B:B,AtlasReport_3_Table_1[[#This Row],[Lot ID]],InventTrans!C:C,AtlasReport_3_Table_1[[#This Row],[Packing slip]],InventTrans!D:D,AtlasReport_3_Table_1[[#This Row],[Ship date]])</f>
        <v>1</v>
      </c>
      <c r="I53" s="5" t="s">
        <v>63</v>
      </c>
      <c r="J53" s="5" t="s">
        <v>137</v>
      </c>
      <c r="K53" s="10" t="s">
        <v>454</v>
      </c>
    </row>
    <row r="54" spans="1:11" hidden="1">
      <c r="A54" s="5" t="s">
        <v>39</v>
      </c>
      <c r="B54" s="5" t="s">
        <v>133</v>
      </c>
      <c r="C54" s="5" t="s">
        <v>124</v>
      </c>
      <c r="D54" s="5" t="s">
        <v>125</v>
      </c>
      <c r="E54" s="8">
        <v>44355</v>
      </c>
      <c r="F54" s="6">
        <v>-1</v>
      </c>
      <c r="G54" s="5" t="s">
        <v>16</v>
      </c>
      <c r="H54" s="6">
        <f>SUMIFS(InventTrans!G:G,InventTrans!B:B,AtlasReport_3_Table_1[[#This Row],[Lot ID]],InventTrans!C:C,AtlasReport_3_Table_1[[#This Row],[Packing slip]],InventTrans!D:D,AtlasReport_3_Table_1[[#This Row],[Ship date]])</f>
        <v>-1</v>
      </c>
      <c r="I54" s="5" t="s">
        <v>63</v>
      </c>
      <c r="J54" s="5" t="s">
        <v>137</v>
      </c>
      <c r="K54" s="10" t="s">
        <v>455</v>
      </c>
    </row>
    <row r="55" spans="1:11" hidden="1">
      <c r="A55" s="5" t="s">
        <v>39</v>
      </c>
      <c r="B55" s="5" t="s">
        <v>133</v>
      </c>
      <c r="C55" s="5" t="s">
        <v>124</v>
      </c>
      <c r="D55" s="5" t="s">
        <v>125</v>
      </c>
      <c r="E55" s="8">
        <v>44468</v>
      </c>
      <c r="F55" s="6">
        <v>1</v>
      </c>
      <c r="G55" s="5" t="s">
        <v>16</v>
      </c>
      <c r="H55" s="6">
        <f>SUMIFS(InventTrans!G:G,InventTrans!B:B,AtlasReport_3_Table_1[[#This Row],[Lot ID]],InventTrans!C:C,AtlasReport_3_Table_1[[#This Row],[Packing slip]],InventTrans!D:D,AtlasReport_3_Table_1[[#This Row],[Ship date]])</f>
        <v>1</v>
      </c>
      <c r="I55" s="5" t="s">
        <v>63</v>
      </c>
      <c r="J55" s="5" t="s">
        <v>137</v>
      </c>
      <c r="K55" s="10" t="s">
        <v>456</v>
      </c>
    </row>
    <row r="56" spans="1:11" hidden="1">
      <c r="A56" s="5" t="s">
        <v>39</v>
      </c>
      <c r="B56" s="5" t="s">
        <v>138</v>
      </c>
      <c r="C56" s="5" t="s">
        <v>90</v>
      </c>
      <c r="D56" s="5" t="s">
        <v>88</v>
      </c>
      <c r="E56" s="8">
        <v>44354</v>
      </c>
      <c r="F56" s="6">
        <v>153</v>
      </c>
      <c r="G56" s="5" t="s">
        <v>62</v>
      </c>
      <c r="H56" s="6">
        <f>SUMIFS(InventTrans!G:G,InventTrans!B:B,AtlasReport_3_Table_1[[#This Row],[Lot ID]],InventTrans!C:C,AtlasReport_3_Table_1[[#This Row],[Packing slip]],InventTrans!D:D,AtlasReport_3_Table_1[[#This Row],[Ship date]])</f>
        <v>14917.5</v>
      </c>
      <c r="I56" s="5" t="s">
        <v>63</v>
      </c>
      <c r="J56" s="5" t="s">
        <v>139</v>
      </c>
      <c r="K56" s="10" t="s">
        <v>457</v>
      </c>
    </row>
    <row r="57" spans="1:11" hidden="1">
      <c r="A57" s="5" t="s">
        <v>39</v>
      </c>
      <c r="B57" s="5" t="s">
        <v>138</v>
      </c>
      <c r="C57" s="5" t="s">
        <v>87</v>
      </c>
      <c r="D57" s="5" t="s">
        <v>88</v>
      </c>
      <c r="E57" s="8">
        <v>44354</v>
      </c>
      <c r="F57" s="6">
        <v>80</v>
      </c>
      <c r="G57" s="5" t="s">
        <v>62</v>
      </c>
      <c r="H57" s="6">
        <f>SUMIFS(InventTrans!G:G,InventTrans!B:B,AtlasReport_3_Table_1[[#This Row],[Lot ID]],InventTrans!C:C,AtlasReport_3_Table_1[[#This Row],[Packing slip]],InventTrans!D:D,AtlasReport_3_Table_1[[#This Row],[Ship date]])</f>
        <v>3880</v>
      </c>
      <c r="I57" s="5" t="s">
        <v>63</v>
      </c>
      <c r="J57" s="5" t="s">
        <v>140</v>
      </c>
      <c r="K57" s="10" t="s">
        <v>457</v>
      </c>
    </row>
    <row r="58" spans="1:11" hidden="1">
      <c r="A58" s="5" t="s">
        <v>39</v>
      </c>
      <c r="B58" s="5" t="s">
        <v>138</v>
      </c>
      <c r="C58" s="5" t="s">
        <v>69</v>
      </c>
      <c r="D58" s="5" t="s">
        <v>67</v>
      </c>
      <c r="E58" s="8">
        <v>44354</v>
      </c>
      <c r="F58" s="6">
        <v>60</v>
      </c>
      <c r="G58" s="5" t="s">
        <v>62</v>
      </c>
      <c r="H58" s="6">
        <f>SUMIFS(InventTrans!G:G,InventTrans!B:B,AtlasReport_3_Table_1[[#This Row],[Lot ID]],InventTrans!C:C,AtlasReport_3_Table_1[[#This Row],[Packing slip]],InventTrans!D:D,AtlasReport_3_Table_1[[#This Row],[Ship date]])</f>
        <v>5850</v>
      </c>
      <c r="I58" s="5" t="s">
        <v>63</v>
      </c>
      <c r="J58" s="5" t="s">
        <v>141</v>
      </c>
      <c r="K58" s="10" t="s">
        <v>457</v>
      </c>
    </row>
    <row r="59" spans="1:11" hidden="1">
      <c r="A59" s="5" t="s">
        <v>39</v>
      </c>
      <c r="B59" s="5" t="s">
        <v>142</v>
      </c>
      <c r="C59" s="5" t="s">
        <v>143</v>
      </c>
      <c r="D59" s="5" t="s">
        <v>61</v>
      </c>
      <c r="E59" s="8">
        <v>44369</v>
      </c>
      <c r="F59" s="6">
        <v>114</v>
      </c>
      <c r="G59" s="5" t="s">
        <v>62</v>
      </c>
      <c r="H59" s="6">
        <f>SUMIFS(InventTrans!G:G,InventTrans!B:B,AtlasReport_3_Table_1[[#This Row],[Lot ID]],InventTrans!C:C,AtlasReport_3_Table_1[[#This Row],[Packing slip]],InventTrans!D:D,AtlasReport_3_Table_1[[#This Row],[Ship date]])</f>
        <v>11115</v>
      </c>
      <c r="I59" s="5" t="s">
        <v>63</v>
      </c>
      <c r="J59" s="5" t="s">
        <v>144</v>
      </c>
      <c r="K59" s="10" t="s">
        <v>458</v>
      </c>
    </row>
    <row r="60" spans="1:11" hidden="1">
      <c r="A60" s="5" t="s">
        <v>39</v>
      </c>
      <c r="B60" s="5" t="s">
        <v>142</v>
      </c>
      <c r="C60" s="5" t="s">
        <v>60</v>
      </c>
      <c r="D60" s="5" t="s">
        <v>61</v>
      </c>
      <c r="E60" s="8">
        <v>44369</v>
      </c>
      <c r="F60" s="6">
        <v>29</v>
      </c>
      <c r="G60" s="5" t="s">
        <v>62</v>
      </c>
      <c r="H60" s="6">
        <f>SUMIFS(InventTrans!G:G,InventTrans!B:B,AtlasReport_3_Table_1[[#This Row],[Lot ID]],InventTrans!C:C,AtlasReport_3_Table_1[[#This Row],[Packing slip]],InventTrans!D:D,AtlasReport_3_Table_1[[#This Row],[Ship date]])</f>
        <v>1406.5</v>
      </c>
      <c r="I60" s="5" t="s">
        <v>63</v>
      </c>
      <c r="J60" s="5" t="s">
        <v>145</v>
      </c>
      <c r="K60" s="10" t="s">
        <v>458</v>
      </c>
    </row>
    <row r="61" spans="1:11" hidden="1">
      <c r="A61" s="5" t="s">
        <v>39</v>
      </c>
      <c r="B61" s="5" t="s">
        <v>142</v>
      </c>
      <c r="C61" s="5" t="s">
        <v>124</v>
      </c>
      <c r="D61" s="5" t="s">
        <v>125</v>
      </c>
      <c r="E61" s="8">
        <v>44369</v>
      </c>
      <c r="F61" s="6">
        <v>1</v>
      </c>
      <c r="G61" s="5" t="s">
        <v>16</v>
      </c>
      <c r="H61" s="6">
        <f>SUMIFS(InventTrans!G:G,InventTrans!B:B,AtlasReport_3_Table_1[[#This Row],[Lot ID]],InventTrans!C:C,AtlasReport_3_Table_1[[#This Row],[Packing slip]],InventTrans!D:D,AtlasReport_3_Table_1[[#This Row],[Ship date]])</f>
        <v>1</v>
      </c>
      <c r="I61" s="5" t="s">
        <v>63</v>
      </c>
      <c r="J61" s="5" t="s">
        <v>146</v>
      </c>
      <c r="K61" s="10" t="s">
        <v>458</v>
      </c>
    </row>
    <row r="62" spans="1:11">
      <c r="A62" s="5" t="s">
        <v>39</v>
      </c>
      <c r="B62" s="5" t="s">
        <v>147</v>
      </c>
      <c r="C62" s="5" t="s">
        <v>66</v>
      </c>
      <c r="D62" s="5" t="s">
        <v>67</v>
      </c>
      <c r="E62" s="8">
        <v>44357</v>
      </c>
      <c r="F62" s="6">
        <v>20</v>
      </c>
      <c r="G62" s="5" t="s">
        <v>62</v>
      </c>
      <c r="H62" s="6">
        <f>SUMIFS(InventTrans!G:G,InventTrans!B:B,AtlasReport_3_Table_1[[#This Row],[Lot ID]],InventTrans!C:C,AtlasReport_3_Table_1[[#This Row],[Packing slip]],InventTrans!D:D,AtlasReport_3_Table_1[[#This Row],[Ship date]])</f>
        <v>970</v>
      </c>
      <c r="I62" s="5" t="s">
        <v>63</v>
      </c>
      <c r="J62" s="5" t="s">
        <v>148</v>
      </c>
      <c r="K62" s="10" t="s">
        <v>459</v>
      </c>
    </row>
    <row r="63" spans="1:11">
      <c r="A63" s="5" t="s">
        <v>39</v>
      </c>
      <c r="B63" s="5" t="s">
        <v>149</v>
      </c>
      <c r="C63" s="5" t="s">
        <v>66</v>
      </c>
      <c r="D63" s="5" t="s">
        <v>67</v>
      </c>
      <c r="E63" s="8">
        <v>44358</v>
      </c>
      <c r="F63" s="6">
        <v>20</v>
      </c>
      <c r="G63" s="5" t="s">
        <v>62</v>
      </c>
      <c r="H63" s="6">
        <f>SUMIFS(InventTrans!G:G,InventTrans!B:B,AtlasReport_3_Table_1[[#This Row],[Lot ID]],InventTrans!C:C,AtlasReport_3_Table_1[[#This Row],[Packing slip]],InventTrans!D:D,AtlasReport_3_Table_1[[#This Row],[Ship date]])</f>
        <v>970</v>
      </c>
      <c r="I63" s="5" t="s">
        <v>63</v>
      </c>
      <c r="J63" s="5" t="s">
        <v>150</v>
      </c>
      <c r="K63" s="10" t="s">
        <v>460</v>
      </c>
    </row>
    <row r="64" spans="1:11" hidden="1">
      <c r="A64" s="5" t="s">
        <v>39</v>
      </c>
      <c r="B64" s="5" t="s">
        <v>151</v>
      </c>
      <c r="C64" s="5" t="s">
        <v>69</v>
      </c>
      <c r="D64" s="5" t="s">
        <v>67</v>
      </c>
      <c r="E64" s="8">
        <v>44362</v>
      </c>
      <c r="F64" s="6">
        <v>2</v>
      </c>
      <c r="G64" s="5" t="s">
        <v>62</v>
      </c>
      <c r="H64" s="6">
        <f>SUMIFS(InventTrans!G:G,InventTrans!B:B,AtlasReport_3_Table_1[[#This Row],[Lot ID]],InventTrans!C:C,AtlasReport_3_Table_1[[#This Row],[Packing slip]],InventTrans!D:D,AtlasReport_3_Table_1[[#This Row],[Ship date]])</f>
        <v>195</v>
      </c>
      <c r="I64" s="5" t="s">
        <v>63</v>
      </c>
      <c r="J64" s="5" t="s">
        <v>152</v>
      </c>
      <c r="K64" s="10" t="s">
        <v>461</v>
      </c>
    </row>
    <row r="65" spans="1:11" hidden="1">
      <c r="A65" s="5" t="s">
        <v>39</v>
      </c>
      <c r="B65" s="5" t="s">
        <v>153</v>
      </c>
      <c r="C65" s="5" t="s">
        <v>69</v>
      </c>
      <c r="D65" s="5" t="s">
        <v>67</v>
      </c>
      <c r="E65" s="8">
        <v>44368</v>
      </c>
      <c r="F65" s="6">
        <v>220</v>
      </c>
      <c r="G65" s="5" t="s">
        <v>62</v>
      </c>
      <c r="H65" s="6">
        <f>SUMIFS(InventTrans!G:G,InventTrans!B:B,AtlasReport_3_Table_1[[#This Row],[Lot ID]],InventTrans!C:C,AtlasReport_3_Table_1[[#This Row],[Packing slip]],InventTrans!D:D,AtlasReport_3_Table_1[[#This Row],[Ship date]])</f>
        <v>21450</v>
      </c>
      <c r="I65" s="5" t="s">
        <v>63</v>
      </c>
      <c r="J65" s="5" t="s">
        <v>154</v>
      </c>
      <c r="K65" s="10" t="s">
        <v>462</v>
      </c>
    </row>
    <row r="66" spans="1:11">
      <c r="A66" s="5" t="s">
        <v>39</v>
      </c>
      <c r="B66" s="5" t="s">
        <v>153</v>
      </c>
      <c r="C66" s="5" t="s">
        <v>66</v>
      </c>
      <c r="D66" s="5" t="s">
        <v>67</v>
      </c>
      <c r="E66" s="8">
        <v>44368</v>
      </c>
      <c r="F66" s="6">
        <v>80</v>
      </c>
      <c r="G66" s="5" t="s">
        <v>62</v>
      </c>
      <c r="H66" s="6">
        <f>SUMIFS(InventTrans!G:G,InventTrans!B:B,AtlasReport_3_Table_1[[#This Row],[Lot ID]],InventTrans!C:C,AtlasReport_3_Table_1[[#This Row],[Packing slip]],InventTrans!D:D,AtlasReport_3_Table_1[[#This Row],[Ship date]])</f>
        <v>3880</v>
      </c>
      <c r="I66" s="5" t="s">
        <v>63</v>
      </c>
      <c r="J66" s="5" t="s">
        <v>155</v>
      </c>
      <c r="K66" s="10" t="s">
        <v>462</v>
      </c>
    </row>
    <row r="67" spans="1:11" hidden="1">
      <c r="A67" s="5" t="s">
        <v>39</v>
      </c>
      <c r="B67" s="5" t="s">
        <v>156</v>
      </c>
      <c r="C67" s="5" t="s">
        <v>110</v>
      </c>
      <c r="D67" s="5" t="s">
        <v>88</v>
      </c>
      <c r="E67" s="8">
        <v>44368</v>
      </c>
      <c r="F67" s="6">
        <v>4</v>
      </c>
      <c r="G67" s="5" t="s">
        <v>62</v>
      </c>
      <c r="H67" s="6">
        <f>SUMIFS(InventTrans!G:G,InventTrans!B:B,AtlasReport_3_Table_1[[#This Row],[Lot ID]],InventTrans!C:C,AtlasReport_3_Table_1[[#This Row],[Packing slip]],InventTrans!D:D,AtlasReport_3_Table_1[[#This Row],[Ship date]])</f>
        <v>300</v>
      </c>
      <c r="I67" s="5" t="s">
        <v>63</v>
      </c>
      <c r="J67" s="5" t="s">
        <v>157</v>
      </c>
      <c r="K67" s="10" t="s">
        <v>463</v>
      </c>
    </row>
    <row r="68" spans="1:11">
      <c r="A68" s="5" t="s">
        <v>39</v>
      </c>
      <c r="B68" s="5" t="s">
        <v>158</v>
      </c>
      <c r="C68" s="5" t="s">
        <v>66</v>
      </c>
      <c r="D68" s="5" t="s">
        <v>67</v>
      </c>
      <c r="E68" s="8">
        <v>44369</v>
      </c>
      <c r="F68" s="6">
        <v>17</v>
      </c>
      <c r="G68" s="5" t="s">
        <v>62</v>
      </c>
      <c r="H68" s="6">
        <f>SUMIFS(InventTrans!G:G,InventTrans!B:B,AtlasReport_3_Table_1[[#This Row],[Lot ID]],InventTrans!C:C,AtlasReport_3_Table_1[[#This Row],[Packing slip]],InventTrans!D:D,AtlasReport_3_Table_1[[#This Row],[Ship date]])</f>
        <v>824.5</v>
      </c>
      <c r="I68" s="5" t="s">
        <v>63</v>
      </c>
      <c r="J68" s="5" t="s">
        <v>159</v>
      </c>
      <c r="K68" s="10" t="s">
        <v>464</v>
      </c>
    </row>
    <row r="69" spans="1:11" hidden="1">
      <c r="A69" s="5" t="s">
        <v>39</v>
      </c>
      <c r="B69" s="5" t="s">
        <v>158</v>
      </c>
      <c r="C69" s="5" t="s">
        <v>60</v>
      </c>
      <c r="D69" s="5" t="s">
        <v>61</v>
      </c>
      <c r="E69" s="8">
        <v>44369</v>
      </c>
      <c r="F69" s="6">
        <v>72</v>
      </c>
      <c r="G69" s="5" t="s">
        <v>62</v>
      </c>
      <c r="H69" s="6">
        <f>SUMIFS(InventTrans!G:G,InventTrans!B:B,AtlasReport_3_Table_1[[#This Row],[Lot ID]],InventTrans!C:C,AtlasReport_3_Table_1[[#This Row],[Packing slip]],InventTrans!D:D,AtlasReport_3_Table_1[[#This Row],[Ship date]])</f>
        <v>3492</v>
      </c>
      <c r="I69" s="5" t="s">
        <v>63</v>
      </c>
      <c r="J69" s="5" t="s">
        <v>160</v>
      </c>
      <c r="K69" s="10" t="s">
        <v>464</v>
      </c>
    </row>
    <row r="70" spans="1:11" hidden="1">
      <c r="A70" s="5" t="s">
        <v>39</v>
      </c>
      <c r="B70" s="5" t="s">
        <v>158</v>
      </c>
      <c r="C70" s="5" t="s">
        <v>161</v>
      </c>
      <c r="D70" s="5" t="s">
        <v>61</v>
      </c>
      <c r="E70" s="8">
        <v>44369</v>
      </c>
      <c r="F70" s="6">
        <v>2</v>
      </c>
      <c r="G70" s="5" t="s">
        <v>62</v>
      </c>
      <c r="H70" s="6">
        <f>SUMIFS(InventTrans!G:G,InventTrans!B:B,AtlasReport_3_Table_1[[#This Row],[Lot ID]],InventTrans!C:C,AtlasReport_3_Table_1[[#This Row],[Packing slip]],InventTrans!D:D,AtlasReport_3_Table_1[[#This Row],[Ship date]])</f>
        <v>150</v>
      </c>
      <c r="I70" s="5" t="s">
        <v>63</v>
      </c>
      <c r="J70" s="5" t="s">
        <v>162</v>
      </c>
      <c r="K70" s="10" t="s">
        <v>464</v>
      </c>
    </row>
    <row r="71" spans="1:11" hidden="1">
      <c r="A71" s="5" t="s">
        <v>39</v>
      </c>
      <c r="B71" s="5" t="s">
        <v>158</v>
      </c>
      <c r="C71" s="5" t="s">
        <v>143</v>
      </c>
      <c r="D71" s="5" t="s">
        <v>61</v>
      </c>
      <c r="E71" s="8">
        <v>44369</v>
      </c>
      <c r="F71" s="6">
        <v>4</v>
      </c>
      <c r="G71" s="5" t="s">
        <v>62</v>
      </c>
      <c r="H71" s="6">
        <f>SUMIFS(InventTrans!G:G,InventTrans!B:B,AtlasReport_3_Table_1[[#This Row],[Lot ID]],InventTrans!C:C,AtlasReport_3_Table_1[[#This Row],[Packing slip]],InventTrans!D:D,AtlasReport_3_Table_1[[#This Row],[Ship date]])</f>
        <v>390</v>
      </c>
      <c r="I71" s="5" t="s">
        <v>63</v>
      </c>
      <c r="J71" s="5" t="s">
        <v>163</v>
      </c>
      <c r="K71" s="10" t="s">
        <v>464</v>
      </c>
    </row>
    <row r="72" spans="1:11" hidden="1">
      <c r="A72" s="5" t="s">
        <v>39</v>
      </c>
      <c r="B72" s="5" t="s">
        <v>158</v>
      </c>
      <c r="C72" s="5" t="s">
        <v>124</v>
      </c>
      <c r="D72" s="5" t="s">
        <v>125</v>
      </c>
      <c r="E72" s="8">
        <v>44369</v>
      </c>
      <c r="F72" s="6">
        <v>4</v>
      </c>
      <c r="G72" s="5" t="s">
        <v>16</v>
      </c>
      <c r="H72" s="6">
        <f>SUMIFS(InventTrans!G:G,InventTrans!B:B,AtlasReport_3_Table_1[[#This Row],[Lot ID]],InventTrans!C:C,AtlasReport_3_Table_1[[#This Row],[Packing slip]],InventTrans!D:D,AtlasReport_3_Table_1[[#This Row],[Ship date]])</f>
        <v>4</v>
      </c>
      <c r="I72" s="5" t="s">
        <v>63</v>
      </c>
      <c r="J72" s="5" t="s">
        <v>164</v>
      </c>
      <c r="K72" s="10" t="s">
        <v>464</v>
      </c>
    </row>
    <row r="73" spans="1:11" hidden="1">
      <c r="A73" s="5" t="s">
        <v>39</v>
      </c>
      <c r="B73" s="5" t="s">
        <v>158</v>
      </c>
      <c r="C73" s="5" t="s">
        <v>60</v>
      </c>
      <c r="D73" s="5" t="s">
        <v>61</v>
      </c>
      <c r="E73" s="8">
        <v>44397</v>
      </c>
      <c r="F73" s="6">
        <v>-24</v>
      </c>
      <c r="G73" s="5" t="s">
        <v>62</v>
      </c>
      <c r="H73" s="6">
        <f>SUMIFS(InventTrans!G:G,InventTrans!B:B,AtlasReport_3_Table_1[[#This Row],[Lot ID]],InventTrans!C:C,AtlasReport_3_Table_1[[#This Row],[Packing slip]],InventTrans!D:D,AtlasReport_3_Table_1[[#This Row],[Ship date]])</f>
        <v>-1164</v>
      </c>
      <c r="I73" s="5" t="s">
        <v>63</v>
      </c>
      <c r="J73" s="5" t="s">
        <v>160</v>
      </c>
      <c r="K73" s="10" t="s">
        <v>465</v>
      </c>
    </row>
    <row r="74" spans="1:11" hidden="1">
      <c r="A74" s="5" t="s">
        <v>39</v>
      </c>
      <c r="B74" s="5" t="s">
        <v>158</v>
      </c>
      <c r="C74" s="5" t="s">
        <v>143</v>
      </c>
      <c r="D74" s="5" t="s">
        <v>61</v>
      </c>
      <c r="E74" s="8">
        <v>44397</v>
      </c>
      <c r="F74" s="6">
        <v>-2</v>
      </c>
      <c r="G74" s="5" t="s">
        <v>62</v>
      </c>
      <c r="H74" s="6">
        <f>SUMIFS(InventTrans!G:G,InventTrans!B:B,AtlasReport_3_Table_1[[#This Row],[Lot ID]],InventTrans!C:C,AtlasReport_3_Table_1[[#This Row],[Packing slip]],InventTrans!D:D,AtlasReport_3_Table_1[[#This Row],[Ship date]])</f>
        <v>-195</v>
      </c>
      <c r="I74" s="5" t="s">
        <v>63</v>
      </c>
      <c r="J74" s="5" t="s">
        <v>163</v>
      </c>
      <c r="K74" s="10" t="s">
        <v>465</v>
      </c>
    </row>
    <row r="75" spans="1:11" hidden="1">
      <c r="A75" s="5" t="s">
        <v>39</v>
      </c>
      <c r="B75" s="5" t="s">
        <v>165</v>
      </c>
      <c r="C75" s="5" t="s">
        <v>90</v>
      </c>
      <c r="D75" s="5" t="s">
        <v>88</v>
      </c>
      <c r="E75" s="8">
        <v>44369</v>
      </c>
      <c r="F75" s="6">
        <v>2</v>
      </c>
      <c r="G75" s="5" t="s">
        <v>62</v>
      </c>
      <c r="H75" s="6">
        <f>SUMIFS(InventTrans!G:G,InventTrans!B:B,AtlasReport_3_Table_1[[#This Row],[Lot ID]],InventTrans!C:C,AtlasReport_3_Table_1[[#This Row],[Packing slip]],InventTrans!D:D,AtlasReport_3_Table_1[[#This Row],[Ship date]])</f>
        <v>195</v>
      </c>
      <c r="I75" s="5" t="s">
        <v>63</v>
      </c>
      <c r="J75" s="5" t="s">
        <v>166</v>
      </c>
      <c r="K75" s="10" t="s">
        <v>466</v>
      </c>
    </row>
    <row r="76" spans="1:11" hidden="1">
      <c r="A76" s="5" t="s">
        <v>39</v>
      </c>
      <c r="B76" s="5" t="s">
        <v>167</v>
      </c>
      <c r="C76" s="5" t="s">
        <v>69</v>
      </c>
      <c r="D76" s="5" t="s">
        <v>67</v>
      </c>
      <c r="E76" s="8">
        <v>44376</v>
      </c>
      <c r="F76" s="6">
        <v>16</v>
      </c>
      <c r="G76" s="5" t="s">
        <v>62</v>
      </c>
      <c r="H76" s="6">
        <f>SUMIFS(InventTrans!G:G,InventTrans!B:B,AtlasReport_3_Table_1[[#This Row],[Lot ID]],InventTrans!C:C,AtlasReport_3_Table_1[[#This Row],[Packing slip]],InventTrans!D:D,AtlasReport_3_Table_1[[#This Row],[Ship date]])</f>
        <v>1560</v>
      </c>
      <c r="I76" s="5" t="s">
        <v>63</v>
      </c>
      <c r="J76" s="5" t="s">
        <v>168</v>
      </c>
      <c r="K76" s="10" t="s">
        <v>467</v>
      </c>
    </row>
    <row r="77" spans="1:11">
      <c r="A77" s="5" t="s">
        <v>39</v>
      </c>
      <c r="B77" s="5" t="s">
        <v>167</v>
      </c>
      <c r="C77" s="5" t="s">
        <v>66</v>
      </c>
      <c r="D77" s="5" t="s">
        <v>67</v>
      </c>
      <c r="E77" s="8">
        <v>44376</v>
      </c>
      <c r="F77" s="6">
        <v>2</v>
      </c>
      <c r="G77" s="5" t="s">
        <v>62</v>
      </c>
      <c r="H77" s="6">
        <f>SUMIFS(InventTrans!G:G,InventTrans!B:B,AtlasReport_3_Table_1[[#This Row],[Lot ID]],InventTrans!C:C,AtlasReport_3_Table_1[[#This Row],[Packing slip]],InventTrans!D:D,AtlasReport_3_Table_1[[#This Row],[Ship date]])</f>
        <v>97</v>
      </c>
      <c r="I77" s="5" t="s">
        <v>63</v>
      </c>
      <c r="J77" s="5" t="s">
        <v>169</v>
      </c>
      <c r="K77" s="10" t="s">
        <v>467</v>
      </c>
    </row>
    <row r="78" spans="1:11">
      <c r="A78" s="5" t="s">
        <v>39</v>
      </c>
      <c r="B78" s="5" t="s">
        <v>170</v>
      </c>
      <c r="C78" s="5" t="s">
        <v>66</v>
      </c>
      <c r="D78" s="5" t="s">
        <v>67</v>
      </c>
      <c r="E78" s="8">
        <v>44384</v>
      </c>
      <c r="F78" s="6">
        <v>60</v>
      </c>
      <c r="G78" s="5" t="s">
        <v>62</v>
      </c>
      <c r="H78" s="6">
        <f>SUMIFS(InventTrans!G:G,InventTrans!B:B,AtlasReport_3_Table_1[[#This Row],[Lot ID]],InventTrans!C:C,AtlasReport_3_Table_1[[#This Row],[Packing slip]],InventTrans!D:D,AtlasReport_3_Table_1[[#This Row],[Ship date]])</f>
        <v>2910</v>
      </c>
      <c r="I78" s="5" t="s">
        <v>63</v>
      </c>
      <c r="J78" s="5" t="s">
        <v>171</v>
      </c>
      <c r="K78" s="10" t="s">
        <v>468</v>
      </c>
    </row>
    <row r="79" spans="1:11" hidden="1">
      <c r="A79" s="5" t="s">
        <v>39</v>
      </c>
      <c r="B79" s="5" t="s">
        <v>170</v>
      </c>
      <c r="C79" s="5" t="s">
        <v>69</v>
      </c>
      <c r="D79" s="5" t="s">
        <v>67</v>
      </c>
      <c r="E79" s="8">
        <v>44384</v>
      </c>
      <c r="F79" s="6">
        <v>4</v>
      </c>
      <c r="G79" s="5" t="s">
        <v>62</v>
      </c>
      <c r="H79" s="6">
        <f>SUMIFS(InventTrans!G:G,InventTrans!B:B,AtlasReport_3_Table_1[[#This Row],[Lot ID]],InventTrans!C:C,AtlasReport_3_Table_1[[#This Row],[Packing slip]],InventTrans!D:D,AtlasReport_3_Table_1[[#This Row],[Ship date]])</f>
        <v>390</v>
      </c>
      <c r="I79" s="5" t="s">
        <v>63</v>
      </c>
      <c r="J79" s="5" t="s">
        <v>172</v>
      </c>
      <c r="K79" s="10" t="s">
        <v>468</v>
      </c>
    </row>
    <row r="80" spans="1:11">
      <c r="A80" s="5" t="s">
        <v>39</v>
      </c>
      <c r="B80" s="5" t="s">
        <v>173</v>
      </c>
      <c r="C80" s="5" t="s">
        <v>66</v>
      </c>
      <c r="D80" s="5" t="s">
        <v>67</v>
      </c>
      <c r="E80" s="8">
        <v>44376</v>
      </c>
      <c r="F80" s="6">
        <v>727.5</v>
      </c>
      <c r="G80" s="5" t="s">
        <v>63</v>
      </c>
      <c r="H80" s="6">
        <f>SUMIFS(InventTrans!G:G,InventTrans!B:B,AtlasReport_3_Table_1[[#This Row],[Lot ID]],InventTrans!C:C,AtlasReport_3_Table_1[[#This Row],[Packing slip]],InventTrans!D:D,AtlasReport_3_Table_1[[#This Row],[Ship date]])</f>
        <v>727.5</v>
      </c>
      <c r="I80" s="5" t="s">
        <v>63</v>
      </c>
      <c r="J80" s="5" t="s">
        <v>174</v>
      </c>
      <c r="K80" s="10" t="s">
        <v>469</v>
      </c>
    </row>
    <row r="81" spans="1:11" hidden="1">
      <c r="A81" s="5" t="s">
        <v>39</v>
      </c>
      <c r="B81" s="5" t="s">
        <v>173</v>
      </c>
      <c r="C81" s="5" t="s">
        <v>69</v>
      </c>
      <c r="D81" s="5" t="s">
        <v>67</v>
      </c>
      <c r="E81" s="8">
        <v>44376</v>
      </c>
      <c r="F81" s="6">
        <v>4387.5</v>
      </c>
      <c r="G81" s="5" t="s">
        <v>63</v>
      </c>
      <c r="H81" s="6">
        <f>SUMIFS(InventTrans!G:G,InventTrans!B:B,AtlasReport_3_Table_1[[#This Row],[Lot ID]],InventTrans!C:C,AtlasReport_3_Table_1[[#This Row],[Packing slip]],InventTrans!D:D,AtlasReport_3_Table_1[[#This Row],[Ship date]])</f>
        <v>4387.5</v>
      </c>
      <c r="I81" s="5" t="s">
        <v>63</v>
      </c>
      <c r="J81" s="5" t="s">
        <v>175</v>
      </c>
      <c r="K81" s="10" t="s">
        <v>469</v>
      </c>
    </row>
    <row r="82" spans="1:11" hidden="1">
      <c r="A82" s="5" t="s">
        <v>39</v>
      </c>
      <c r="B82" s="5" t="s">
        <v>176</v>
      </c>
      <c r="C82" s="5" t="s">
        <v>97</v>
      </c>
      <c r="D82" s="5" t="s">
        <v>67</v>
      </c>
      <c r="E82" s="8">
        <v>44382</v>
      </c>
      <c r="F82" s="6">
        <v>2</v>
      </c>
      <c r="G82" s="5" t="s">
        <v>62</v>
      </c>
      <c r="H82" s="6">
        <f>SUMIFS(InventTrans!G:G,InventTrans!B:B,AtlasReport_3_Table_1[[#This Row],[Lot ID]],InventTrans!C:C,AtlasReport_3_Table_1[[#This Row],[Packing slip]],InventTrans!D:D,AtlasReport_3_Table_1[[#This Row],[Ship date]])</f>
        <v>150</v>
      </c>
      <c r="I82" s="5" t="s">
        <v>63</v>
      </c>
      <c r="J82" s="5" t="s">
        <v>177</v>
      </c>
      <c r="K82" s="10" t="s">
        <v>470</v>
      </c>
    </row>
    <row r="83" spans="1:11" hidden="1">
      <c r="A83" s="5" t="s">
        <v>39</v>
      </c>
      <c r="B83" s="5" t="s">
        <v>176</v>
      </c>
      <c r="C83" s="5" t="s">
        <v>124</v>
      </c>
      <c r="D83" s="5" t="s">
        <v>125</v>
      </c>
      <c r="E83" s="8">
        <v>44382</v>
      </c>
      <c r="F83" s="6">
        <v>1</v>
      </c>
      <c r="G83" s="5" t="s">
        <v>16</v>
      </c>
      <c r="H83" s="6">
        <f>SUMIFS(InventTrans!G:G,InventTrans!B:B,AtlasReport_3_Table_1[[#This Row],[Lot ID]],InventTrans!C:C,AtlasReport_3_Table_1[[#This Row],[Packing slip]],InventTrans!D:D,AtlasReport_3_Table_1[[#This Row],[Ship date]])</f>
        <v>1</v>
      </c>
      <c r="I83" s="5" t="s">
        <v>63</v>
      </c>
      <c r="J83" s="5" t="s">
        <v>178</v>
      </c>
      <c r="K83" s="10" t="s">
        <v>470</v>
      </c>
    </row>
    <row r="84" spans="1:11" hidden="1">
      <c r="A84" s="5" t="s">
        <v>39</v>
      </c>
      <c r="B84" s="5" t="s">
        <v>41</v>
      </c>
      <c r="C84" s="5" t="s">
        <v>90</v>
      </c>
      <c r="D84" s="5" t="s">
        <v>88</v>
      </c>
      <c r="E84" s="8">
        <v>44382</v>
      </c>
      <c r="F84" s="6">
        <v>4</v>
      </c>
      <c r="G84" s="5" t="s">
        <v>62</v>
      </c>
      <c r="H84" s="6">
        <f>SUMIFS(InventTrans!G:G,InventTrans!B:B,AtlasReport_3_Table_1[[#This Row],[Lot ID]],InventTrans!C:C,AtlasReport_3_Table_1[[#This Row],[Packing slip]],InventTrans!D:D,AtlasReport_3_Table_1[[#This Row],[Ship date]])</f>
        <v>390</v>
      </c>
      <c r="I84" s="5" t="s">
        <v>63</v>
      </c>
      <c r="J84" s="5" t="s">
        <v>179</v>
      </c>
      <c r="K84" s="10" t="s">
        <v>471</v>
      </c>
    </row>
    <row r="85" spans="1:11" hidden="1">
      <c r="A85" s="5" t="s">
        <v>39</v>
      </c>
      <c r="B85" s="5" t="s">
        <v>180</v>
      </c>
      <c r="C85" s="5" t="s">
        <v>90</v>
      </c>
      <c r="D85" s="5" t="s">
        <v>88</v>
      </c>
      <c r="E85" s="8">
        <v>44382</v>
      </c>
      <c r="F85" s="6">
        <v>-4</v>
      </c>
      <c r="G85" s="5" t="s">
        <v>62</v>
      </c>
      <c r="H85" s="6">
        <f>SUMIFS(InventTrans!G:G,InventTrans!B:B,AtlasReport_3_Table_1[[#This Row],[Lot ID]],InventTrans!C:C,AtlasReport_3_Table_1[[#This Row],[Packing slip]],InventTrans!D:D,AtlasReport_3_Table_1[[#This Row],[Ship date]])</f>
        <v>-390</v>
      </c>
      <c r="I85" s="5" t="s">
        <v>63</v>
      </c>
      <c r="J85" s="5" t="s">
        <v>181</v>
      </c>
      <c r="K85" s="10" t="s">
        <v>472</v>
      </c>
    </row>
    <row r="86" spans="1:11" hidden="1">
      <c r="A86" s="5" t="s">
        <v>39</v>
      </c>
      <c r="B86" s="5" t="s">
        <v>182</v>
      </c>
      <c r="C86" s="5" t="s">
        <v>90</v>
      </c>
      <c r="D86" s="5" t="s">
        <v>88</v>
      </c>
      <c r="E86" s="8">
        <v>44382</v>
      </c>
      <c r="F86" s="6">
        <v>4</v>
      </c>
      <c r="G86" s="5" t="s">
        <v>62</v>
      </c>
      <c r="H86" s="6">
        <f>SUMIFS(InventTrans!G:G,InventTrans!B:B,AtlasReport_3_Table_1[[#This Row],[Lot ID]],InventTrans!C:C,AtlasReport_3_Table_1[[#This Row],[Packing slip]],InventTrans!D:D,AtlasReport_3_Table_1[[#This Row],[Ship date]])</f>
        <v>390</v>
      </c>
      <c r="I86" s="5" t="s">
        <v>63</v>
      </c>
      <c r="J86" s="5" t="s">
        <v>183</v>
      </c>
      <c r="K86" s="10" t="s">
        <v>473</v>
      </c>
    </row>
    <row r="87" spans="1:11" hidden="1">
      <c r="A87" s="5" t="s">
        <v>39</v>
      </c>
      <c r="B87" s="5" t="s">
        <v>184</v>
      </c>
      <c r="C87" s="5" t="s">
        <v>90</v>
      </c>
      <c r="D87" s="5" t="s">
        <v>88</v>
      </c>
      <c r="E87" s="8">
        <v>44382</v>
      </c>
      <c r="F87" s="6">
        <v>2</v>
      </c>
      <c r="G87" s="5" t="s">
        <v>62</v>
      </c>
      <c r="H87" s="6">
        <f>SUMIFS(InventTrans!G:G,InventTrans!B:B,AtlasReport_3_Table_1[[#This Row],[Lot ID]],InventTrans!C:C,AtlasReport_3_Table_1[[#This Row],[Packing slip]],InventTrans!D:D,AtlasReport_3_Table_1[[#This Row],[Ship date]])</f>
        <v>195</v>
      </c>
      <c r="I87" s="5" t="s">
        <v>63</v>
      </c>
      <c r="J87" s="5" t="s">
        <v>185</v>
      </c>
      <c r="K87" s="10" t="s">
        <v>474</v>
      </c>
    </row>
    <row r="88" spans="1:11" hidden="1">
      <c r="A88" s="5" t="s">
        <v>39</v>
      </c>
      <c r="B88" s="5" t="s">
        <v>184</v>
      </c>
      <c r="C88" s="5" t="s">
        <v>124</v>
      </c>
      <c r="D88" s="5" t="s">
        <v>125</v>
      </c>
      <c r="E88" s="8">
        <v>44382</v>
      </c>
      <c r="F88" s="6">
        <v>1</v>
      </c>
      <c r="G88" s="5" t="s">
        <v>16</v>
      </c>
      <c r="H88" s="6">
        <f>SUMIFS(InventTrans!G:G,InventTrans!B:B,AtlasReport_3_Table_1[[#This Row],[Lot ID]],InventTrans!C:C,AtlasReport_3_Table_1[[#This Row],[Packing slip]],InventTrans!D:D,AtlasReport_3_Table_1[[#This Row],[Ship date]])</f>
        <v>1</v>
      </c>
      <c r="I88" s="5" t="s">
        <v>63</v>
      </c>
      <c r="J88" s="5" t="s">
        <v>186</v>
      </c>
      <c r="K88" s="10" t="s">
        <v>474</v>
      </c>
    </row>
    <row r="89" spans="1:11" hidden="1">
      <c r="A89" s="5" t="s">
        <v>39</v>
      </c>
      <c r="B89" s="5" t="s">
        <v>187</v>
      </c>
      <c r="C89" s="5" t="s">
        <v>143</v>
      </c>
      <c r="D89" s="5" t="s">
        <v>61</v>
      </c>
      <c r="E89" s="8">
        <v>44382</v>
      </c>
      <c r="F89" s="6">
        <v>-114</v>
      </c>
      <c r="G89" s="5" t="s">
        <v>62</v>
      </c>
      <c r="H89" s="6">
        <f>SUMIFS(InventTrans!G:G,InventTrans!B:B,AtlasReport_3_Table_1[[#This Row],[Lot ID]],InventTrans!C:C,AtlasReport_3_Table_1[[#This Row],[Packing slip]],InventTrans!D:D,AtlasReport_3_Table_1[[#This Row],[Ship date]])</f>
        <v>-11115</v>
      </c>
      <c r="I89" s="5" t="s">
        <v>63</v>
      </c>
      <c r="J89" s="5" t="s">
        <v>188</v>
      </c>
      <c r="K89" s="10" t="s">
        <v>475</v>
      </c>
    </row>
    <row r="90" spans="1:11" hidden="1">
      <c r="A90" s="5" t="s">
        <v>39</v>
      </c>
      <c r="B90" s="5" t="s">
        <v>187</v>
      </c>
      <c r="C90" s="5" t="s">
        <v>60</v>
      </c>
      <c r="D90" s="5" t="s">
        <v>61</v>
      </c>
      <c r="E90" s="8">
        <v>44382</v>
      </c>
      <c r="F90" s="6">
        <v>-29</v>
      </c>
      <c r="G90" s="5" t="s">
        <v>62</v>
      </c>
      <c r="H90" s="6">
        <f>SUMIFS(InventTrans!G:G,InventTrans!B:B,AtlasReport_3_Table_1[[#This Row],[Lot ID]],InventTrans!C:C,AtlasReport_3_Table_1[[#This Row],[Packing slip]],InventTrans!D:D,AtlasReport_3_Table_1[[#This Row],[Ship date]])</f>
        <v>-1406.5</v>
      </c>
      <c r="I90" s="5" t="s">
        <v>63</v>
      </c>
      <c r="J90" s="5" t="s">
        <v>189</v>
      </c>
      <c r="K90" s="10" t="s">
        <v>475</v>
      </c>
    </row>
    <row r="91" spans="1:11" hidden="1">
      <c r="A91" s="5" t="s">
        <v>39</v>
      </c>
      <c r="B91" s="5" t="s">
        <v>187</v>
      </c>
      <c r="C91" s="5" t="s">
        <v>124</v>
      </c>
      <c r="D91" s="5" t="s">
        <v>125</v>
      </c>
      <c r="E91" s="8">
        <v>44382</v>
      </c>
      <c r="F91" s="6">
        <v>-1</v>
      </c>
      <c r="G91" s="5" t="s">
        <v>16</v>
      </c>
      <c r="H91" s="6">
        <f>SUMIFS(InventTrans!G:G,InventTrans!B:B,AtlasReport_3_Table_1[[#This Row],[Lot ID]],InventTrans!C:C,AtlasReport_3_Table_1[[#This Row],[Packing slip]],InventTrans!D:D,AtlasReport_3_Table_1[[#This Row],[Ship date]])</f>
        <v>-1</v>
      </c>
      <c r="I91" s="5" t="s">
        <v>63</v>
      </c>
      <c r="J91" s="5" t="s">
        <v>190</v>
      </c>
      <c r="K91" s="10" t="s">
        <v>475</v>
      </c>
    </row>
    <row r="92" spans="1:11" hidden="1">
      <c r="A92" s="5" t="s">
        <v>39</v>
      </c>
      <c r="B92" s="5" t="s">
        <v>191</v>
      </c>
      <c r="C92" s="5" t="s">
        <v>143</v>
      </c>
      <c r="D92" s="5" t="s">
        <v>61</v>
      </c>
      <c r="E92" s="8">
        <v>44384</v>
      </c>
      <c r="F92" s="6">
        <v>104</v>
      </c>
      <c r="G92" s="5" t="s">
        <v>62</v>
      </c>
      <c r="H92" s="6">
        <f>SUMIFS(InventTrans!G:G,InventTrans!B:B,AtlasReport_3_Table_1[[#This Row],[Lot ID]],InventTrans!C:C,AtlasReport_3_Table_1[[#This Row],[Packing slip]],InventTrans!D:D,AtlasReport_3_Table_1[[#This Row],[Ship date]])</f>
        <v>10140</v>
      </c>
      <c r="I92" s="5" t="s">
        <v>63</v>
      </c>
      <c r="J92" s="5" t="s">
        <v>192</v>
      </c>
      <c r="K92" s="10" t="s">
        <v>476</v>
      </c>
    </row>
    <row r="93" spans="1:11" hidden="1">
      <c r="A93" s="5" t="s">
        <v>39</v>
      </c>
      <c r="B93" s="5" t="s">
        <v>191</v>
      </c>
      <c r="C93" s="5" t="s">
        <v>60</v>
      </c>
      <c r="D93" s="5" t="s">
        <v>61</v>
      </c>
      <c r="E93" s="8">
        <v>44384</v>
      </c>
      <c r="F93" s="6">
        <v>30</v>
      </c>
      <c r="G93" s="5" t="s">
        <v>62</v>
      </c>
      <c r="H93" s="6">
        <f>SUMIFS(InventTrans!G:G,InventTrans!B:B,AtlasReport_3_Table_1[[#This Row],[Lot ID]],InventTrans!C:C,AtlasReport_3_Table_1[[#This Row],[Packing slip]],InventTrans!D:D,AtlasReport_3_Table_1[[#This Row],[Ship date]])</f>
        <v>1455</v>
      </c>
      <c r="I93" s="5" t="s">
        <v>63</v>
      </c>
      <c r="J93" s="5" t="s">
        <v>193</v>
      </c>
      <c r="K93" s="10" t="s">
        <v>476</v>
      </c>
    </row>
    <row r="94" spans="1:11" hidden="1">
      <c r="A94" s="5" t="s">
        <v>39</v>
      </c>
      <c r="B94" s="5" t="s">
        <v>191</v>
      </c>
      <c r="C94" s="5" t="s">
        <v>124</v>
      </c>
      <c r="D94" s="5" t="s">
        <v>125</v>
      </c>
      <c r="E94" s="8">
        <v>44384</v>
      </c>
      <c r="F94" s="6">
        <v>1</v>
      </c>
      <c r="G94" s="5" t="s">
        <v>16</v>
      </c>
      <c r="H94" s="6">
        <f>SUMIFS(InventTrans!G:G,InventTrans!B:B,AtlasReport_3_Table_1[[#This Row],[Lot ID]],InventTrans!C:C,AtlasReport_3_Table_1[[#This Row],[Packing slip]],InventTrans!D:D,AtlasReport_3_Table_1[[#This Row],[Ship date]])</f>
        <v>1</v>
      </c>
      <c r="I94" s="5" t="s">
        <v>63</v>
      </c>
      <c r="J94" s="5" t="s">
        <v>194</v>
      </c>
      <c r="K94" s="10" t="s">
        <v>476</v>
      </c>
    </row>
    <row r="95" spans="1:11" hidden="1">
      <c r="A95" s="5" t="s">
        <v>39</v>
      </c>
      <c r="B95" s="5" t="s">
        <v>195</v>
      </c>
      <c r="C95" s="5" t="s">
        <v>143</v>
      </c>
      <c r="D95" s="5" t="s">
        <v>61</v>
      </c>
      <c r="E95" s="8">
        <v>44384</v>
      </c>
      <c r="F95" s="6">
        <v>16</v>
      </c>
      <c r="G95" s="5" t="s">
        <v>62</v>
      </c>
      <c r="H95" s="6">
        <f>SUMIFS(InventTrans!G:G,InventTrans!B:B,AtlasReport_3_Table_1[[#This Row],[Lot ID]],InventTrans!C:C,AtlasReport_3_Table_1[[#This Row],[Packing slip]],InventTrans!D:D,AtlasReport_3_Table_1[[#This Row],[Ship date]])</f>
        <v>1560</v>
      </c>
      <c r="I95" s="5" t="s">
        <v>63</v>
      </c>
      <c r="J95" s="5" t="s">
        <v>196</v>
      </c>
      <c r="K95" s="10" t="s">
        <v>477</v>
      </c>
    </row>
    <row r="96" spans="1:11" hidden="1">
      <c r="A96" s="5" t="s">
        <v>39</v>
      </c>
      <c r="B96" s="5" t="s">
        <v>195</v>
      </c>
      <c r="C96" s="5" t="s">
        <v>60</v>
      </c>
      <c r="D96" s="5" t="s">
        <v>61</v>
      </c>
      <c r="E96" s="8">
        <v>44384</v>
      </c>
      <c r="F96" s="6">
        <v>10</v>
      </c>
      <c r="G96" s="5" t="s">
        <v>62</v>
      </c>
      <c r="H96" s="6">
        <f>SUMIFS(InventTrans!G:G,InventTrans!B:B,AtlasReport_3_Table_1[[#This Row],[Lot ID]],InventTrans!C:C,AtlasReport_3_Table_1[[#This Row],[Packing slip]],InventTrans!D:D,AtlasReport_3_Table_1[[#This Row],[Ship date]])</f>
        <v>485</v>
      </c>
      <c r="I96" s="5" t="s">
        <v>63</v>
      </c>
      <c r="J96" s="5" t="s">
        <v>197</v>
      </c>
      <c r="K96" s="10" t="s">
        <v>477</v>
      </c>
    </row>
    <row r="97" spans="1:11" hidden="1">
      <c r="A97" s="5" t="s">
        <v>39</v>
      </c>
      <c r="B97" s="5" t="s">
        <v>195</v>
      </c>
      <c r="C97" s="5" t="s">
        <v>143</v>
      </c>
      <c r="D97" s="5" t="s">
        <v>61</v>
      </c>
      <c r="E97" s="8">
        <v>44399</v>
      </c>
      <c r="F97" s="6">
        <v>-16</v>
      </c>
      <c r="G97" s="5" t="s">
        <v>62</v>
      </c>
      <c r="H97" s="6">
        <f>SUMIFS(InventTrans!G:G,InventTrans!B:B,AtlasReport_3_Table_1[[#This Row],[Lot ID]],InventTrans!C:C,AtlasReport_3_Table_1[[#This Row],[Packing slip]],InventTrans!D:D,AtlasReport_3_Table_1[[#This Row],[Ship date]])</f>
        <v>-1560</v>
      </c>
      <c r="I97" s="5" t="s">
        <v>63</v>
      </c>
      <c r="J97" s="5" t="s">
        <v>196</v>
      </c>
      <c r="K97" s="10" t="s">
        <v>478</v>
      </c>
    </row>
    <row r="98" spans="1:11" hidden="1">
      <c r="A98" s="5" t="s">
        <v>39</v>
      </c>
      <c r="B98" s="5" t="s">
        <v>195</v>
      </c>
      <c r="C98" s="5" t="s">
        <v>60</v>
      </c>
      <c r="D98" s="5" t="s">
        <v>61</v>
      </c>
      <c r="E98" s="8">
        <v>44399</v>
      </c>
      <c r="F98" s="6">
        <v>-9</v>
      </c>
      <c r="G98" s="5" t="s">
        <v>62</v>
      </c>
      <c r="H98" s="6">
        <f>SUMIFS(InventTrans!G:G,InventTrans!B:B,AtlasReport_3_Table_1[[#This Row],[Lot ID]],InventTrans!C:C,AtlasReport_3_Table_1[[#This Row],[Packing slip]],InventTrans!D:D,AtlasReport_3_Table_1[[#This Row],[Ship date]])</f>
        <v>-436.5</v>
      </c>
      <c r="I98" s="5" t="s">
        <v>63</v>
      </c>
      <c r="J98" s="5" t="s">
        <v>197</v>
      </c>
      <c r="K98" s="10" t="s">
        <v>478</v>
      </c>
    </row>
    <row r="99" spans="1:11">
      <c r="A99" s="5" t="s">
        <v>39</v>
      </c>
      <c r="B99" s="5" t="s">
        <v>198</v>
      </c>
      <c r="C99" s="5" t="s">
        <v>66</v>
      </c>
      <c r="D99" s="5" t="s">
        <v>67</v>
      </c>
      <c r="E99" s="8">
        <v>44420</v>
      </c>
      <c r="F99" s="6">
        <v>80</v>
      </c>
      <c r="G99" s="5" t="s">
        <v>62</v>
      </c>
      <c r="H99" s="6">
        <f>SUMIFS(InventTrans!G:G,InventTrans!B:B,AtlasReport_3_Table_1[[#This Row],[Lot ID]],InventTrans!C:C,AtlasReport_3_Table_1[[#This Row],[Packing slip]],InventTrans!D:D,AtlasReport_3_Table_1[[#This Row],[Ship date]])</f>
        <v>3880</v>
      </c>
      <c r="I99" s="5" t="s">
        <v>63</v>
      </c>
      <c r="J99" s="5" t="s">
        <v>199</v>
      </c>
      <c r="K99" s="10" t="s">
        <v>479</v>
      </c>
    </row>
    <row r="100" spans="1:11" hidden="1">
      <c r="A100" s="5" t="s">
        <v>39</v>
      </c>
      <c r="B100" s="5" t="s">
        <v>198</v>
      </c>
      <c r="C100" s="5" t="s">
        <v>97</v>
      </c>
      <c r="D100" s="5" t="s">
        <v>67</v>
      </c>
      <c r="E100" s="8">
        <v>44420</v>
      </c>
      <c r="F100" s="6">
        <v>20</v>
      </c>
      <c r="G100" s="5" t="s">
        <v>62</v>
      </c>
      <c r="H100" s="6">
        <f>SUMIFS(InventTrans!G:G,InventTrans!B:B,AtlasReport_3_Table_1[[#This Row],[Lot ID]],InventTrans!C:C,AtlasReport_3_Table_1[[#This Row],[Packing slip]],InventTrans!D:D,AtlasReport_3_Table_1[[#This Row],[Ship date]])</f>
        <v>1500</v>
      </c>
      <c r="I100" s="5" t="s">
        <v>63</v>
      </c>
      <c r="J100" s="5" t="s">
        <v>200</v>
      </c>
      <c r="K100" s="10" t="s">
        <v>479</v>
      </c>
    </row>
    <row r="101" spans="1:11">
      <c r="A101" s="5" t="s">
        <v>39</v>
      </c>
      <c r="B101" s="5" t="s">
        <v>198</v>
      </c>
      <c r="C101" s="5" t="s">
        <v>66</v>
      </c>
      <c r="D101" s="5" t="s">
        <v>67</v>
      </c>
      <c r="E101" s="8">
        <v>44431</v>
      </c>
      <c r="F101" s="6">
        <v>670</v>
      </c>
      <c r="G101" s="5" t="s">
        <v>62</v>
      </c>
      <c r="H101" s="6">
        <f>SUMIFS(InventTrans!G:G,InventTrans!B:B,AtlasReport_3_Table_1[[#This Row],[Lot ID]],InventTrans!C:C,AtlasReport_3_Table_1[[#This Row],[Packing slip]],InventTrans!D:D,AtlasReport_3_Table_1[[#This Row],[Ship date]])</f>
        <v>32495</v>
      </c>
      <c r="I101" s="5" t="s">
        <v>63</v>
      </c>
      <c r="J101" s="5" t="s">
        <v>199</v>
      </c>
      <c r="K101" s="10" t="s">
        <v>480</v>
      </c>
    </row>
    <row r="102" spans="1:11" hidden="1">
      <c r="A102" s="5" t="s">
        <v>39</v>
      </c>
      <c r="B102" s="5" t="s">
        <v>198</v>
      </c>
      <c r="C102" s="5" t="s">
        <v>201</v>
      </c>
      <c r="D102" s="5" t="s">
        <v>67</v>
      </c>
      <c r="E102" s="8">
        <v>44431</v>
      </c>
      <c r="F102" s="6">
        <v>315</v>
      </c>
      <c r="G102" s="5" t="s">
        <v>62</v>
      </c>
      <c r="H102" s="6">
        <f>SUMIFS(InventTrans!G:G,InventTrans!B:B,AtlasReport_3_Table_1[[#This Row],[Lot ID]],InventTrans!C:C,AtlasReport_3_Table_1[[#This Row],[Packing slip]],InventTrans!D:D,AtlasReport_3_Table_1[[#This Row],[Ship date]])</f>
        <v>19687.5</v>
      </c>
      <c r="I102" s="5" t="s">
        <v>63</v>
      </c>
      <c r="J102" s="5" t="s">
        <v>202</v>
      </c>
      <c r="K102" s="10" t="s">
        <v>480</v>
      </c>
    </row>
    <row r="103" spans="1:11">
      <c r="A103" s="5" t="s">
        <v>39</v>
      </c>
      <c r="B103" s="5" t="s">
        <v>198</v>
      </c>
      <c r="C103" s="5" t="s">
        <v>66</v>
      </c>
      <c r="D103" s="5" t="s">
        <v>67</v>
      </c>
      <c r="E103" s="8">
        <v>44431</v>
      </c>
      <c r="F103" s="6">
        <v>-120</v>
      </c>
      <c r="G103" s="5" t="s">
        <v>62</v>
      </c>
      <c r="H103" s="6">
        <f>SUMIFS(InventTrans!G:G,InventTrans!B:B,AtlasReport_3_Table_1[[#This Row],[Lot ID]],InventTrans!C:C,AtlasReport_3_Table_1[[#This Row],[Packing slip]],InventTrans!D:D,AtlasReport_3_Table_1[[#This Row],[Ship date]])</f>
        <v>-5820</v>
      </c>
      <c r="I103" s="5" t="s">
        <v>63</v>
      </c>
      <c r="J103" s="5" t="s">
        <v>199</v>
      </c>
      <c r="K103" s="10" t="s">
        <v>481</v>
      </c>
    </row>
    <row r="104" spans="1:11" hidden="1">
      <c r="A104" s="5" t="s">
        <v>39</v>
      </c>
      <c r="B104" s="5" t="s">
        <v>198</v>
      </c>
      <c r="C104" s="5" t="s">
        <v>97</v>
      </c>
      <c r="D104" s="5" t="s">
        <v>67</v>
      </c>
      <c r="E104" s="8">
        <v>44431</v>
      </c>
      <c r="F104" s="6">
        <v>-20</v>
      </c>
      <c r="G104" s="5" t="s">
        <v>62</v>
      </c>
      <c r="H104" s="6">
        <f>SUMIFS(InventTrans!G:G,InventTrans!B:B,AtlasReport_3_Table_1[[#This Row],[Lot ID]],InventTrans!C:C,AtlasReport_3_Table_1[[#This Row],[Packing slip]],InventTrans!D:D,AtlasReport_3_Table_1[[#This Row],[Ship date]])</f>
        <v>-1500</v>
      </c>
      <c r="I104" s="5" t="s">
        <v>63</v>
      </c>
      <c r="J104" s="5" t="s">
        <v>200</v>
      </c>
      <c r="K104" s="10" t="s">
        <v>481</v>
      </c>
    </row>
    <row r="105" spans="1:11">
      <c r="A105" s="5" t="s">
        <v>39</v>
      </c>
      <c r="B105" s="5" t="s">
        <v>198</v>
      </c>
      <c r="C105" s="5" t="s">
        <v>66</v>
      </c>
      <c r="D105" s="5" t="s">
        <v>67</v>
      </c>
      <c r="E105" s="8">
        <v>44441</v>
      </c>
      <c r="F105" s="6">
        <v>-586</v>
      </c>
      <c r="G105" s="5" t="s">
        <v>62</v>
      </c>
      <c r="H105" s="6">
        <f>SUMIFS(InventTrans!G:G,InventTrans!B:B,AtlasReport_3_Table_1[[#This Row],[Lot ID]],InventTrans!C:C,AtlasReport_3_Table_1[[#This Row],[Packing slip]],InventTrans!D:D,AtlasReport_3_Table_1[[#This Row],[Ship date]])</f>
        <v>-28421</v>
      </c>
      <c r="I105" s="5" t="s">
        <v>63</v>
      </c>
      <c r="J105" s="5" t="s">
        <v>199</v>
      </c>
      <c r="K105" s="10" t="s">
        <v>482</v>
      </c>
    </row>
    <row r="106" spans="1:11" hidden="1">
      <c r="A106" s="5" t="s">
        <v>39</v>
      </c>
      <c r="B106" s="5" t="s">
        <v>198</v>
      </c>
      <c r="C106" s="5" t="s">
        <v>201</v>
      </c>
      <c r="D106" s="5" t="s">
        <v>67</v>
      </c>
      <c r="E106" s="8">
        <v>44441</v>
      </c>
      <c r="F106" s="6">
        <v>-284</v>
      </c>
      <c r="G106" s="5" t="s">
        <v>62</v>
      </c>
      <c r="H106" s="6">
        <f>SUMIFS(InventTrans!G:G,InventTrans!B:B,AtlasReport_3_Table_1[[#This Row],[Lot ID]],InventTrans!C:C,AtlasReport_3_Table_1[[#This Row],[Packing slip]],InventTrans!D:D,AtlasReport_3_Table_1[[#This Row],[Ship date]])</f>
        <v>-17750</v>
      </c>
      <c r="I106" s="5" t="s">
        <v>63</v>
      </c>
      <c r="J106" s="5" t="s">
        <v>202</v>
      </c>
      <c r="K106" s="10" t="s">
        <v>482</v>
      </c>
    </row>
    <row r="107" spans="1:11">
      <c r="A107" s="5" t="s">
        <v>39</v>
      </c>
      <c r="B107" s="5" t="s">
        <v>198</v>
      </c>
      <c r="C107" s="5" t="s">
        <v>66</v>
      </c>
      <c r="D107" s="5" t="s">
        <v>67</v>
      </c>
      <c r="E107" s="8">
        <v>44469</v>
      </c>
      <c r="F107" s="6">
        <v>43</v>
      </c>
      <c r="G107" s="5" t="s">
        <v>62</v>
      </c>
      <c r="H107" s="6">
        <f>SUMIFS(InventTrans!G:G,InventTrans!B:B,AtlasReport_3_Table_1[[#This Row],[Lot ID]],InventTrans!C:C,AtlasReport_3_Table_1[[#This Row],[Packing slip]],InventTrans!D:D,AtlasReport_3_Table_1[[#This Row],[Ship date]])</f>
        <v>2085.5</v>
      </c>
      <c r="I107" s="5" t="s">
        <v>63</v>
      </c>
      <c r="J107" s="5" t="s">
        <v>203</v>
      </c>
      <c r="K107" s="10" t="s">
        <v>483</v>
      </c>
    </row>
    <row r="108" spans="1:11" hidden="1">
      <c r="A108" s="5" t="s">
        <v>39</v>
      </c>
      <c r="B108" s="5" t="s">
        <v>198</v>
      </c>
      <c r="C108" s="5" t="s">
        <v>201</v>
      </c>
      <c r="D108" s="5" t="s">
        <v>67</v>
      </c>
      <c r="E108" s="8">
        <v>44469</v>
      </c>
      <c r="F108" s="6">
        <v>73</v>
      </c>
      <c r="G108" s="5" t="s">
        <v>62</v>
      </c>
      <c r="H108" s="6">
        <f>SUMIFS(InventTrans!G:G,InventTrans!B:B,AtlasReport_3_Table_1[[#This Row],[Lot ID]],InventTrans!C:C,AtlasReport_3_Table_1[[#This Row],[Packing slip]],InventTrans!D:D,AtlasReport_3_Table_1[[#This Row],[Ship date]])</f>
        <v>4562.5</v>
      </c>
      <c r="I108" s="5" t="s">
        <v>63</v>
      </c>
      <c r="J108" s="5" t="s">
        <v>204</v>
      </c>
      <c r="K108" s="10" t="s">
        <v>483</v>
      </c>
    </row>
    <row r="109" spans="1:11" hidden="1">
      <c r="A109" s="5" t="s">
        <v>39</v>
      </c>
      <c r="B109" s="5" t="s">
        <v>198</v>
      </c>
      <c r="C109" s="5" t="s">
        <v>124</v>
      </c>
      <c r="D109" s="5" t="s">
        <v>125</v>
      </c>
      <c r="E109" s="8">
        <v>44469</v>
      </c>
      <c r="F109" s="6">
        <v>1</v>
      </c>
      <c r="G109" s="5" t="s">
        <v>16</v>
      </c>
      <c r="H109" s="6">
        <f>SUMIFS(InventTrans!G:G,InventTrans!B:B,AtlasReport_3_Table_1[[#This Row],[Lot ID]],InventTrans!C:C,AtlasReport_3_Table_1[[#This Row],[Packing slip]],InventTrans!D:D,AtlasReport_3_Table_1[[#This Row],[Ship date]])</f>
        <v>1</v>
      </c>
      <c r="I109" s="5" t="s">
        <v>63</v>
      </c>
      <c r="J109" s="5" t="s">
        <v>205</v>
      </c>
      <c r="K109" s="10" t="s">
        <v>483</v>
      </c>
    </row>
    <row r="110" spans="1:11" hidden="1">
      <c r="A110" s="5" t="s">
        <v>39</v>
      </c>
      <c r="B110" s="5" t="s">
        <v>206</v>
      </c>
      <c r="C110" s="5" t="s">
        <v>87</v>
      </c>
      <c r="D110" s="5" t="s">
        <v>88</v>
      </c>
      <c r="E110" s="8">
        <v>44413</v>
      </c>
      <c r="F110" s="6">
        <v>65</v>
      </c>
      <c r="G110" s="5" t="s">
        <v>62</v>
      </c>
      <c r="H110" s="6">
        <f>SUMIFS(InventTrans!G:G,InventTrans!B:B,AtlasReport_3_Table_1[[#This Row],[Lot ID]],InventTrans!C:C,AtlasReport_3_Table_1[[#This Row],[Packing slip]],InventTrans!D:D,AtlasReport_3_Table_1[[#This Row],[Ship date]])</f>
        <v>3152.5</v>
      </c>
      <c r="I110" s="5" t="s">
        <v>63</v>
      </c>
      <c r="J110" s="5" t="s">
        <v>207</v>
      </c>
      <c r="K110" s="10" t="s">
        <v>484</v>
      </c>
    </row>
    <row r="111" spans="1:11">
      <c r="A111" s="5" t="s">
        <v>39</v>
      </c>
      <c r="B111" s="5" t="s">
        <v>206</v>
      </c>
      <c r="C111" s="5" t="s">
        <v>66</v>
      </c>
      <c r="D111" s="5" t="s">
        <v>67</v>
      </c>
      <c r="E111" s="8">
        <v>44413</v>
      </c>
      <c r="F111" s="6">
        <v>11</v>
      </c>
      <c r="G111" s="5" t="s">
        <v>62</v>
      </c>
      <c r="H111" s="6">
        <f>SUMIFS(InventTrans!G:G,InventTrans!B:B,AtlasReport_3_Table_1[[#This Row],[Lot ID]],InventTrans!C:C,AtlasReport_3_Table_1[[#This Row],[Packing slip]],InventTrans!D:D,AtlasReport_3_Table_1[[#This Row],[Ship date]])</f>
        <v>533.5</v>
      </c>
      <c r="I111" s="5" t="s">
        <v>63</v>
      </c>
      <c r="J111" s="5" t="s">
        <v>208</v>
      </c>
      <c r="K111" s="10" t="s">
        <v>484</v>
      </c>
    </row>
    <row r="112" spans="1:11" hidden="1">
      <c r="A112" s="5" t="s">
        <v>39</v>
      </c>
      <c r="B112" s="5" t="s">
        <v>206</v>
      </c>
      <c r="C112" s="5" t="s">
        <v>90</v>
      </c>
      <c r="D112" s="5" t="s">
        <v>88</v>
      </c>
      <c r="E112" s="8">
        <v>44420</v>
      </c>
      <c r="F112" s="6">
        <v>260</v>
      </c>
      <c r="G112" s="5" t="s">
        <v>62</v>
      </c>
      <c r="H112" s="6">
        <f>SUMIFS(InventTrans!G:G,InventTrans!B:B,AtlasReport_3_Table_1[[#This Row],[Lot ID]],InventTrans!C:C,AtlasReport_3_Table_1[[#This Row],[Packing slip]],InventTrans!D:D,AtlasReport_3_Table_1[[#This Row],[Ship date]])</f>
        <v>25350</v>
      </c>
      <c r="I112" s="5" t="s">
        <v>63</v>
      </c>
      <c r="J112" s="5" t="s">
        <v>209</v>
      </c>
      <c r="K112" s="10" t="s">
        <v>485</v>
      </c>
    </row>
    <row r="113" spans="1:11" hidden="1">
      <c r="A113" s="5" t="s">
        <v>39</v>
      </c>
      <c r="B113" s="5" t="s">
        <v>206</v>
      </c>
      <c r="C113" s="5" t="s">
        <v>124</v>
      </c>
      <c r="D113" s="5" t="s">
        <v>125</v>
      </c>
      <c r="E113" s="8">
        <v>44420</v>
      </c>
      <c r="F113" s="6">
        <v>27500</v>
      </c>
      <c r="G113" s="5" t="s">
        <v>63</v>
      </c>
      <c r="H113" s="6">
        <f>SUMIFS(InventTrans!G:G,InventTrans!B:B,AtlasReport_3_Table_1[[#This Row],[Lot ID]],InventTrans!C:C,AtlasReport_3_Table_1[[#This Row],[Packing slip]],InventTrans!D:D,AtlasReport_3_Table_1[[#This Row],[Ship date]])</f>
        <v>27500</v>
      </c>
      <c r="I113" s="5" t="s">
        <v>63</v>
      </c>
      <c r="J113" s="5" t="s">
        <v>210</v>
      </c>
      <c r="K113" s="10" t="s">
        <v>485</v>
      </c>
    </row>
    <row r="114" spans="1:11" hidden="1">
      <c r="A114" s="5" t="s">
        <v>39</v>
      </c>
      <c r="B114" s="5" t="s">
        <v>206</v>
      </c>
      <c r="C114" s="5" t="s">
        <v>90</v>
      </c>
      <c r="D114" s="5" t="s">
        <v>88</v>
      </c>
      <c r="E114" s="8">
        <v>44421</v>
      </c>
      <c r="F114" s="6">
        <v>-40</v>
      </c>
      <c r="G114" s="5" t="s">
        <v>62</v>
      </c>
      <c r="H114" s="6">
        <f>SUMIFS(InventTrans!G:G,InventTrans!B:B,AtlasReport_3_Table_1[[#This Row],[Lot ID]],InventTrans!C:C,AtlasReport_3_Table_1[[#This Row],[Packing slip]],InventTrans!D:D,AtlasReport_3_Table_1[[#This Row],[Ship date]])</f>
        <v>-3900</v>
      </c>
      <c r="I114" s="5" t="s">
        <v>63</v>
      </c>
      <c r="J114" s="5" t="s">
        <v>209</v>
      </c>
      <c r="K114" s="10" t="s">
        <v>486</v>
      </c>
    </row>
    <row r="115" spans="1:11" hidden="1">
      <c r="A115" s="5" t="s">
        <v>39</v>
      </c>
      <c r="B115" s="5" t="s">
        <v>206</v>
      </c>
      <c r="C115" s="5" t="s">
        <v>90</v>
      </c>
      <c r="D115" s="5" t="s">
        <v>88</v>
      </c>
      <c r="E115" s="8">
        <v>44427</v>
      </c>
      <c r="F115" s="6">
        <v>-120</v>
      </c>
      <c r="G115" s="5" t="s">
        <v>62</v>
      </c>
      <c r="H115" s="6">
        <f>SUMIFS(InventTrans!G:G,InventTrans!B:B,AtlasReport_3_Table_1[[#This Row],[Lot ID]],InventTrans!C:C,AtlasReport_3_Table_1[[#This Row],[Packing slip]],InventTrans!D:D,AtlasReport_3_Table_1[[#This Row],[Ship date]])</f>
        <v>-11700</v>
      </c>
      <c r="I115" s="5" t="s">
        <v>63</v>
      </c>
      <c r="J115" s="5" t="s">
        <v>209</v>
      </c>
      <c r="K115" s="10" t="s">
        <v>487</v>
      </c>
    </row>
    <row r="116" spans="1:11" hidden="1">
      <c r="A116" s="5" t="s">
        <v>39</v>
      </c>
      <c r="B116" s="5" t="s">
        <v>206</v>
      </c>
      <c r="C116" s="5" t="s">
        <v>87</v>
      </c>
      <c r="D116" s="5" t="s">
        <v>88</v>
      </c>
      <c r="E116" s="8">
        <v>44438</v>
      </c>
      <c r="F116" s="6">
        <v>-15</v>
      </c>
      <c r="G116" s="5" t="s">
        <v>62</v>
      </c>
      <c r="H116" s="6">
        <f>SUMIFS(InventTrans!G:G,InventTrans!B:B,AtlasReport_3_Table_1[[#This Row],[Lot ID]],InventTrans!C:C,AtlasReport_3_Table_1[[#This Row],[Packing slip]],InventTrans!D:D,AtlasReport_3_Table_1[[#This Row],[Ship date]])</f>
        <v>-727.5</v>
      </c>
      <c r="I116" s="5" t="s">
        <v>63</v>
      </c>
      <c r="J116" s="5" t="s">
        <v>207</v>
      </c>
      <c r="K116" s="10" t="s">
        <v>488</v>
      </c>
    </row>
    <row r="117" spans="1:11" hidden="1">
      <c r="A117" s="5" t="s">
        <v>39</v>
      </c>
      <c r="B117" s="5" t="s">
        <v>206</v>
      </c>
      <c r="C117" s="5" t="s">
        <v>90</v>
      </c>
      <c r="D117" s="5" t="s">
        <v>88</v>
      </c>
      <c r="E117" s="8">
        <v>44438</v>
      </c>
      <c r="F117" s="6">
        <v>-83</v>
      </c>
      <c r="G117" s="5" t="s">
        <v>62</v>
      </c>
      <c r="H117" s="6">
        <f>SUMIFS(InventTrans!G:G,InventTrans!B:B,AtlasReport_3_Table_1[[#This Row],[Lot ID]],InventTrans!C:C,AtlasReport_3_Table_1[[#This Row],[Packing slip]],InventTrans!D:D,AtlasReport_3_Table_1[[#This Row],[Ship date]])</f>
        <v>-8092.5</v>
      </c>
      <c r="I117" s="5" t="s">
        <v>63</v>
      </c>
      <c r="J117" s="5" t="s">
        <v>209</v>
      </c>
      <c r="K117" s="10" t="s">
        <v>488</v>
      </c>
    </row>
    <row r="118" spans="1:11">
      <c r="A118" s="5" t="s">
        <v>39</v>
      </c>
      <c r="B118" s="5" t="s">
        <v>206</v>
      </c>
      <c r="C118" s="5" t="s">
        <v>66</v>
      </c>
      <c r="D118" s="5" t="s">
        <v>67</v>
      </c>
      <c r="E118" s="8">
        <v>44438</v>
      </c>
      <c r="F118" s="6">
        <v>-11</v>
      </c>
      <c r="G118" s="5" t="s">
        <v>62</v>
      </c>
      <c r="H118" s="6">
        <f>SUMIFS(InventTrans!G:G,InventTrans!B:B,AtlasReport_3_Table_1[[#This Row],[Lot ID]],InventTrans!C:C,AtlasReport_3_Table_1[[#This Row],[Packing slip]],InventTrans!D:D,AtlasReport_3_Table_1[[#This Row],[Ship date]])</f>
        <v>-533.5</v>
      </c>
      <c r="I118" s="5" t="s">
        <v>63</v>
      </c>
      <c r="J118" s="5" t="s">
        <v>208</v>
      </c>
      <c r="K118" s="10" t="s">
        <v>488</v>
      </c>
    </row>
    <row r="119" spans="1:11" hidden="1">
      <c r="A119" s="5" t="s">
        <v>39</v>
      </c>
      <c r="B119" s="5" t="s">
        <v>206</v>
      </c>
      <c r="C119" s="5" t="s">
        <v>87</v>
      </c>
      <c r="D119" s="5" t="s">
        <v>88</v>
      </c>
      <c r="E119" s="8">
        <v>44440</v>
      </c>
      <c r="F119" s="6">
        <v>-37</v>
      </c>
      <c r="G119" s="5" t="s">
        <v>62</v>
      </c>
      <c r="H119" s="6">
        <f>SUMIFS(InventTrans!G:G,InventTrans!B:B,AtlasReport_3_Table_1[[#This Row],[Lot ID]],InventTrans!C:C,AtlasReport_3_Table_1[[#This Row],[Packing slip]],InventTrans!D:D,AtlasReport_3_Table_1[[#This Row],[Ship date]])</f>
        <v>-1794.5</v>
      </c>
      <c r="I119" s="5" t="s">
        <v>63</v>
      </c>
      <c r="J119" s="5" t="s">
        <v>207</v>
      </c>
      <c r="K119" s="10" t="s">
        <v>489</v>
      </c>
    </row>
    <row r="120" spans="1:11" hidden="1">
      <c r="A120" s="5" t="s">
        <v>39</v>
      </c>
      <c r="B120" s="5" t="s">
        <v>206</v>
      </c>
      <c r="C120" s="5" t="s">
        <v>87</v>
      </c>
      <c r="D120" s="5" t="s">
        <v>88</v>
      </c>
      <c r="E120" s="8">
        <v>44446</v>
      </c>
      <c r="F120" s="6">
        <v>-10</v>
      </c>
      <c r="G120" s="5" t="s">
        <v>62</v>
      </c>
      <c r="H120" s="6">
        <f>SUMIFS(InventTrans!G:G,InventTrans!B:B,AtlasReport_3_Table_1[[#This Row],[Lot ID]],InventTrans!C:C,AtlasReport_3_Table_1[[#This Row],[Packing slip]],InventTrans!D:D,AtlasReport_3_Table_1[[#This Row],[Ship date]])</f>
        <v>-485</v>
      </c>
      <c r="I120" s="5" t="s">
        <v>63</v>
      </c>
      <c r="J120" s="5" t="s">
        <v>207</v>
      </c>
      <c r="K120" s="10" t="s">
        <v>490</v>
      </c>
    </row>
    <row r="121" spans="1:11" hidden="1">
      <c r="A121" s="5" t="s">
        <v>39</v>
      </c>
      <c r="B121" s="5" t="s">
        <v>206</v>
      </c>
      <c r="C121" s="5" t="s">
        <v>124</v>
      </c>
      <c r="D121" s="5" t="s">
        <v>125</v>
      </c>
      <c r="E121" s="8">
        <v>44468</v>
      </c>
      <c r="F121" s="6">
        <v>-27500</v>
      </c>
      <c r="G121" s="5" t="s">
        <v>63</v>
      </c>
      <c r="H121" s="6">
        <f>SUMIFS(InventTrans!G:G,InventTrans!B:B,AtlasReport_3_Table_1[[#This Row],[Lot ID]],InventTrans!C:C,AtlasReport_3_Table_1[[#This Row],[Packing slip]],InventTrans!D:D,AtlasReport_3_Table_1[[#This Row],[Ship date]])</f>
        <v>-27500</v>
      </c>
      <c r="I121" s="5" t="s">
        <v>63</v>
      </c>
      <c r="J121" s="5" t="s">
        <v>210</v>
      </c>
      <c r="K121" s="10" t="s">
        <v>491</v>
      </c>
    </row>
    <row r="122" spans="1:11" hidden="1">
      <c r="A122" s="5" t="s">
        <v>39</v>
      </c>
      <c r="B122" s="5" t="s">
        <v>206</v>
      </c>
      <c r="C122" s="5" t="s">
        <v>124</v>
      </c>
      <c r="D122" s="5" t="s">
        <v>125</v>
      </c>
      <c r="E122" s="8">
        <v>44468</v>
      </c>
      <c r="F122" s="6">
        <v>1</v>
      </c>
      <c r="G122" s="5" t="s">
        <v>16</v>
      </c>
      <c r="H122" s="6">
        <f>SUMIFS(InventTrans!G:G,InventTrans!B:B,AtlasReport_3_Table_1[[#This Row],[Lot ID]],InventTrans!C:C,AtlasReport_3_Table_1[[#This Row],[Packing slip]],InventTrans!D:D,AtlasReport_3_Table_1[[#This Row],[Ship date]])</f>
        <v>1</v>
      </c>
      <c r="I122" s="5" t="s">
        <v>63</v>
      </c>
      <c r="J122" s="5" t="s">
        <v>210</v>
      </c>
      <c r="K122" s="10" t="s">
        <v>492</v>
      </c>
    </row>
    <row r="123" spans="1:11" hidden="1">
      <c r="A123" s="5" t="s">
        <v>39</v>
      </c>
      <c r="B123" s="5" t="s">
        <v>206</v>
      </c>
      <c r="C123" s="5" t="s">
        <v>90</v>
      </c>
      <c r="D123" s="5" t="s">
        <v>88</v>
      </c>
      <c r="E123" s="8">
        <v>44468</v>
      </c>
      <c r="F123" s="6">
        <v>15</v>
      </c>
      <c r="G123" s="5" t="s">
        <v>62</v>
      </c>
      <c r="H123" s="6">
        <f>SUMIFS(InventTrans!G:G,InventTrans!B:B,AtlasReport_3_Table_1[[#This Row],[Lot ID]],InventTrans!C:C,AtlasReport_3_Table_1[[#This Row],[Packing slip]],InventTrans!D:D,AtlasReport_3_Table_1[[#This Row],[Ship date]])</f>
        <v>1462.5</v>
      </c>
      <c r="I123" s="5" t="s">
        <v>63</v>
      </c>
      <c r="J123" s="5" t="s">
        <v>211</v>
      </c>
      <c r="K123" s="10" t="s">
        <v>492</v>
      </c>
    </row>
    <row r="124" spans="1:11" hidden="1">
      <c r="A124" s="5" t="s">
        <v>39</v>
      </c>
      <c r="B124" s="5" t="s">
        <v>212</v>
      </c>
      <c r="C124" s="5" t="s">
        <v>90</v>
      </c>
      <c r="D124" s="5" t="s">
        <v>88</v>
      </c>
      <c r="E124" s="8">
        <v>44420</v>
      </c>
      <c r="F124" s="6">
        <v>40</v>
      </c>
      <c r="G124" s="5" t="s">
        <v>62</v>
      </c>
      <c r="H124" s="6">
        <f>SUMIFS(InventTrans!G:G,InventTrans!B:B,AtlasReport_3_Table_1[[#This Row],[Lot ID]],InventTrans!C:C,AtlasReport_3_Table_1[[#This Row],[Packing slip]],InventTrans!D:D,AtlasReport_3_Table_1[[#This Row],[Ship date]])</f>
        <v>3900</v>
      </c>
      <c r="I124" s="5" t="s">
        <v>63</v>
      </c>
      <c r="J124" s="5" t="s">
        <v>213</v>
      </c>
      <c r="K124" s="10" t="s">
        <v>493</v>
      </c>
    </row>
    <row r="125" spans="1:11" hidden="1">
      <c r="A125" s="5" t="s">
        <v>39</v>
      </c>
      <c r="B125" s="5" t="s">
        <v>212</v>
      </c>
      <c r="C125" s="5" t="s">
        <v>87</v>
      </c>
      <c r="D125" s="5" t="s">
        <v>88</v>
      </c>
      <c r="E125" s="8">
        <v>44421</v>
      </c>
      <c r="F125" s="6">
        <v>120</v>
      </c>
      <c r="G125" s="5" t="s">
        <v>62</v>
      </c>
      <c r="H125" s="6">
        <f>SUMIFS(InventTrans!G:G,InventTrans!B:B,AtlasReport_3_Table_1[[#This Row],[Lot ID]],InventTrans!C:C,AtlasReport_3_Table_1[[#This Row],[Packing slip]],InventTrans!D:D,AtlasReport_3_Table_1[[#This Row],[Ship date]])</f>
        <v>5820</v>
      </c>
      <c r="I125" s="5" t="s">
        <v>63</v>
      </c>
      <c r="J125" s="5" t="s">
        <v>214</v>
      </c>
      <c r="K125" s="10" t="s">
        <v>494</v>
      </c>
    </row>
    <row r="126" spans="1:11" hidden="1">
      <c r="A126" s="5" t="s">
        <v>39</v>
      </c>
      <c r="B126" s="5" t="s">
        <v>212</v>
      </c>
      <c r="C126" s="5" t="s">
        <v>90</v>
      </c>
      <c r="D126" s="5" t="s">
        <v>88</v>
      </c>
      <c r="E126" s="8">
        <v>44421</v>
      </c>
      <c r="F126" s="6">
        <v>284</v>
      </c>
      <c r="G126" s="5" t="s">
        <v>62</v>
      </c>
      <c r="H126" s="6">
        <f>SUMIFS(InventTrans!G:G,InventTrans!B:B,AtlasReport_3_Table_1[[#This Row],[Lot ID]],InventTrans!C:C,AtlasReport_3_Table_1[[#This Row],[Packing slip]],InventTrans!D:D,AtlasReport_3_Table_1[[#This Row],[Ship date]])</f>
        <v>27690</v>
      </c>
      <c r="I126" s="5" t="s">
        <v>63</v>
      </c>
      <c r="J126" s="5" t="s">
        <v>213</v>
      </c>
      <c r="K126" s="10" t="s">
        <v>494</v>
      </c>
    </row>
    <row r="127" spans="1:11" hidden="1">
      <c r="A127" s="5" t="s">
        <v>39</v>
      </c>
      <c r="B127" s="5" t="s">
        <v>212</v>
      </c>
      <c r="C127" s="5" t="s">
        <v>110</v>
      </c>
      <c r="D127" s="5" t="s">
        <v>88</v>
      </c>
      <c r="E127" s="8">
        <v>44421</v>
      </c>
      <c r="F127" s="6">
        <v>4</v>
      </c>
      <c r="G127" s="5" t="s">
        <v>62</v>
      </c>
      <c r="H127" s="6">
        <f>SUMIFS(InventTrans!G:G,InventTrans!B:B,AtlasReport_3_Table_1[[#This Row],[Lot ID]],InventTrans!C:C,AtlasReport_3_Table_1[[#This Row],[Packing slip]],InventTrans!D:D,AtlasReport_3_Table_1[[#This Row],[Ship date]])</f>
        <v>300</v>
      </c>
      <c r="I127" s="5" t="s">
        <v>63</v>
      </c>
      <c r="J127" s="5" t="s">
        <v>215</v>
      </c>
      <c r="K127" s="10" t="s">
        <v>494</v>
      </c>
    </row>
    <row r="128" spans="1:11" hidden="1">
      <c r="A128" s="5" t="s">
        <v>39</v>
      </c>
      <c r="B128" s="5" t="s">
        <v>212</v>
      </c>
      <c r="C128" s="5" t="s">
        <v>124</v>
      </c>
      <c r="D128" s="5" t="s">
        <v>125</v>
      </c>
      <c r="E128" s="8">
        <v>44421</v>
      </c>
      <c r="F128" s="6">
        <v>2</v>
      </c>
      <c r="G128" s="5" t="s">
        <v>16</v>
      </c>
      <c r="H128" s="6">
        <f>SUMIFS(InventTrans!G:G,InventTrans!B:B,AtlasReport_3_Table_1[[#This Row],[Lot ID]],InventTrans!C:C,AtlasReport_3_Table_1[[#This Row],[Packing slip]],InventTrans!D:D,AtlasReport_3_Table_1[[#This Row],[Ship date]])</f>
        <v>2</v>
      </c>
      <c r="I128" s="5" t="s">
        <v>63</v>
      </c>
      <c r="J128" s="5" t="s">
        <v>216</v>
      </c>
      <c r="K128" s="10" t="s">
        <v>494</v>
      </c>
    </row>
    <row r="129" spans="1:11" hidden="1">
      <c r="A129" s="5" t="s">
        <v>39</v>
      </c>
      <c r="B129" s="5" t="s">
        <v>212</v>
      </c>
      <c r="C129" s="5" t="s">
        <v>87</v>
      </c>
      <c r="D129" s="5" t="s">
        <v>88</v>
      </c>
      <c r="E129" s="8">
        <v>44440</v>
      </c>
      <c r="F129" s="6">
        <v>-30</v>
      </c>
      <c r="G129" s="5" t="s">
        <v>62</v>
      </c>
      <c r="H129" s="6">
        <f>SUMIFS(InventTrans!G:G,InventTrans!B:B,AtlasReport_3_Table_1[[#This Row],[Lot ID]],InventTrans!C:C,AtlasReport_3_Table_1[[#This Row],[Packing slip]],InventTrans!D:D,AtlasReport_3_Table_1[[#This Row],[Ship date]])</f>
        <v>-1455</v>
      </c>
      <c r="I129" s="5" t="s">
        <v>63</v>
      </c>
      <c r="J129" s="5" t="s">
        <v>214</v>
      </c>
      <c r="K129" s="10" t="s">
        <v>495</v>
      </c>
    </row>
    <row r="130" spans="1:11" hidden="1">
      <c r="A130" s="5" t="s">
        <v>39</v>
      </c>
      <c r="B130" s="5" t="s">
        <v>212</v>
      </c>
      <c r="C130" s="5" t="s">
        <v>90</v>
      </c>
      <c r="D130" s="5" t="s">
        <v>88</v>
      </c>
      <c r="E130" s="8">
        <v>44440</v>
      </c>
      <c r="F130" s="6">
        <v>-2</v>
      </c>
      <c r="G130" s="5" t="s">
        <v>62</v>
      </c>
      <c r="H130" s="6">
        <f>SUMIFS(InventTrans!G:G,InventTrans!B:B,AtlasReport_3_Table_1[[#This Row],[Lot ID]],InventTrans!C:C,AtlasReport_3_Table_1[[#This Row],[Packing slip]],InventTrans!D:D,AtlasReport_3_Table_1[[#This Row],[Ship date]])</f>
        <v>-195</v>
      </c>
      <c r="I130" s="5" t="s">
        <v>63</v>
      </c>
      <c r="J130" s="5" t="s">
        <v>213</v>
      </c>
      <c r="K130" s="10" t="s">
        <v>495</v>
      </c>
    </row>
    <row r="131" spans="1:11" hidden="1">
      <c r="A131" s="5" t="s">
        <v>39</v>
      </c>
      <c r="B131" s="5" t="s">
        <v>212</v>
      </c>
      <c r="C131" s="5" t="s">
        <v>110</v>
      </c>
      <c r="D131" s="5" t="s">
        <v>88</v>
      </c>
      <c r="E131" s="8">
        <v>44440</v>
      </c>
      <c r="F131" s="6">
        <v>-1</v>
      </c>
      <c r="G131" s="5" t="s">
        <v>62</v>
      </c>
      <c r="H131" s="6">
        <f>SUMIFS(InventTrans!G:G,InventTrans!B:B,AtlasReport_3_Table_1[[#This Row],[Lot ID]],InventTrans!C:C,AtlasReport_3_Table_1[[#This Row],[Packing slip]],InventTrans!D:D,AtlasReport_3_Table_1[[#This Row],[Ship date]])</f>
        <v>-75</v>
      </c>
      <c r="I131" s="5" t="s">
        <v>63</v>
      </c>
      <c r="J131" s="5" t="s">
        <v>215</v>
      </c>
      <c r="K131" s="10" t="s">
        <v>495</v>
      </c>
    </row>
    <row r="132" spans="1:11" hidden="1">
      <c r="A132" s="5" t="s">
        <v>39</v>
      </c>
      <c r="B132" s="5" t="s">
        <v>212</v>
      </c>
      <c r="C132" s="5" t="s">
        <v>87</v>
      </c>
      <c r="D132" s="5" t="s">
        <v>88</v>
      </c>
      <c r="E132" s="8">
        <v>44446</v>
      </c>
      <c r="F132" s="6">
        <v>-10</v>
      </c>
      <c r="G132" s="5" t="s">
        <v>62</v>
      </c>
      <c r="H132" s="6">
        <f>SUMIFS(InventTrans!G:G,InventTrans!B:B,AtlasReport_3_Table_1[[#This Row],[Lot ID]],InventTrans!C:C,AtlasReport_3_Table_1[[#This Row],[Packing slip]],InventTrans!D:D,AtlasReport_3_Table_1[[#This Row],[Ship date]])</f>
        <v>-485</v>
      </c>
      <c r="I132" s="5" t="s">
        <v>63</v>
      </c>
      <c r="J132" s="5" t="s">
        <v>214</v>
      </c>
      <c r="K132" s="10" t="s">
        <v>496</v>
      </c>
    </row>
    <row r="133" spans="1:11" hidden="1">
      <c r="A133" s="5" t="s">
        <v>39</v>
      </c>
      <c r="B133" s="5" t="s">
        <v>217</v>
      </c>
      <c r="C133" s="5" t="s">
        <v>110</v>
      </c>
      <c r="D133" s="5" t="s">
        <v>88</v>
      </c>
      <c r="E133" s="8">
        <v>44393</v>
      </c>
      <c r="F133" s="6">
        <v>78</v>
      </c>
      <c r="G133" s="5" t="s">
        <v>62</v>
      </c>
      <c r="H133" s="6">
        <f>SUMIFS(InventTrans!G:G,InventTrans!B:B,AtlasReport_3_Table_1[[#This Row],[Lot ID]],InventTrans!C:C,AtlasReport_3_Table_1[[#This Row],[Packing slip]],InventTrans!D:D,AtlasReport_3_Table_1[[#This Row],[Ship date]])</f>
        <v>5850</v>
      </c>
      <c r="I133" s="5" t="s">
        <v>63</v>
      </c>
      <c r="J133" s="5" t="s">
        <v>218</v>
      </c>
      <c r="K133" s="10" t="s">
        <v>497</v>
      </c>
    </row>
    <row r="134" spans="1:11" hidden="1">
      <c r="A134" s="5" t="s">
        <v>39</v>
      </c>
      <c r="B134" s="5" t="s">
        <v>219</v>
      </c>
      <c r="C134" s="5" t="s">
        <v>90</v>
      </c>
      <c r="D134" s="5" t="s">
        <v>88</v>
      </c>
      <c r="E134" s="8">
        <v>44392</v>
      </c>
      <c r="F134" s="6">
        <v>3</v>
      </c>
      <c r="G134" s="5" t="s">
        <v>62</v>
      </c>
      <c r="H134" s="6">
        <f>SUMIFS(InventTrans!G:G,InventTrans!B:B,AtlasReport_3_Table_1[[#This Row],[Lot ID]],InventTrans!C:C,AtlasReport_3_Table_1[[#This Row],[Packing slip]],InventTrans!D:D,AtlasReport_3_Table_1[[#This Row],[Ship date]])</f>
        <v>292.5</v>
      </c>
      <c r="I134" s="5" t="s">
        <v>63</v>
      </c>
      <c r="J134" s="5" t="s">
        <v>220</v>
      </c>
      <c r="K134" s="10" t="s">
        <v>498</v>
      </c>
    </row>
    <row r="135" spans="1:11" hidden="1">
      <c r="A135" s="5" t="s">
        <v>39</v>
      </c>
      <c r="B135" s="5" t="s">
        <v>221</v>
      </c>
      <c r="C135" s="5" t="s">
        <v>60</v>
      </c>
      <c r="D135" s="5" t="s">
        <v>61</v>
      </c>
      <c r="E135" s="8">
        <v>44413</v>
      </c>
      <c r="F135" s="6">
        <v>23</v>
      </c>
      <c r="G135" s="5" t="s">
        <v>62</v>
      </c>
      <c r="H135" s="6">
        <f>SUMIFS(InventTrans!G:G,InventTrans!B:B,AtlasReport_3_Table_1[[#This Row],[Lot ID]],InventTrans!C:C,AtlasReport_3_Table_1[[#This Row],[Packing slip]],InventTrans!D:D,AtlasReport_3_Table_1[[#This Row],[Ship date]])</f>
        <v>1115.5</v>
      </c>
      <c r="I135" s="5" t="s">
        <v>63</v>
      </c>
      <c r="J135" s="5" t="s">
        <v>222</v>
      </c>
      <c r="K135" s="10" t="s">
        <v>499</v>
      </c>
    </row>
    <row r="136" spans="1:11" hidden="1">
      <c r="A136" s="5" t="s">
        <v>39</v>
      </c>
      <c r="B136" s="5" t="s">
        <v>221</v>
      </c>
      <c r="C136" s="5" t="s">
        <v>143</v>
      </c>
      <c r="D136" s="5" t="s">
        <v>61</v>
      </c>
      <c r="E136" s="8">
        <v>44413</v>
      </c>
      <c r="F136" s="6">
        <v>69</v>
      </c>
      <c r="G136" s="5" t="s">
        <v>62</v>
      </c>
      <c r="H136" s="6">
        <f>SUMIFS(InventTrans!G:G,InventTrans!B:B,AtlasReport_3_Table_1[[#This Row],[Lot ID]],InventTrans!C:C,AtlasReport_3_Table_1[[#This Row],[Packing slip]],InventTrans!D:D,AtlasReport_3_Table_1[[#This Row],[Ship date]])</f>
        <v>6727.5</v>
      </c>
      <c r="I136" s="5" t="s">
        <v>63</v>
      </c>
      <c r="J136" s="5" t="s">
        <v>223</v>
      </c>
      <c r="K136" s="10" t="s">
        <v>499</v>
      </c>
    </row>
    <row r="137" spans="1:11" hidden="1">
      <c r="A137" s="5" t="s">
        <v>39</v>
      </c>
      <c r="B137" s="5" t="s">
        <v>221</v>
      </c>
      <c r="C137" s="5" t="s">
        <v>124</v>
      </c>
      <c r="D137" s="5" t="s">
        <v>125</v>
      </c>
      <c r="E137" s="8">
        <v>44413</v>
      </c>
      <c r="F137" s="6">
        <v>2</v>
      </c>
      <c r="G137" s="5" t="s">
        <v>16</v>
      </c>
      <c r="H137" s="6">
        <f>SUMIFS(InventTrans!G:G,InventTrans!B:B,AtlasReport_3_Table_1[[#This Row],[Lot ID]],InventTrans!C:C,AtlasReport_3_Table_1[[#This Row],[Packing slip]],InventTrans!D:D,AtlasReport_3_Table_1[[#This Row],[Ship date]])</f>
        <v>2</v>
      </c>
      <c r="I137" s="5" t="s">
        <v>63</v>
      </c>
      <c r="J137" s="5" t="s">
        <v>224</v>
      </c>
      <c r="K137" s="10" t="s">
        <v>499</v>
      </c>
    </row>
    <row r="138" spans="1:11" hidden="1">
      <c r="A138" s="5" t="s">
        <v>39</v>
      </c>
      <c r="B138" s="5" t="s">
        <v>221</v>
      </c>
      <c r="C138" s="5" t="s">
        <v>161</v>
      </c>
      <c r="D138" s="5" t="s">
        <v>61</v>
      </c>
      <c r="E138" s="8">
        <v>44420</v>
      </c>
      <c r="F138" s="6">
        <v>20</v>
      </c>
      <c r="G138" s="5" t="s">
        <v>62</v>
      </c>
      <c r="H138" s="6">
        <f>SUMIFS(InventTrans!G:G,InventTrans!B:B,AtlasReport_3_Table_1[[#This Row],[Lot ID]],InventTrans!C:C,AtlasReport_3_Table_1[[#This Row],[Packing slip]],InventTrans!D:D,AtlasReport_3_Table_1[[#This Row],[Ship date]])</f>
        <v>1500</v>
      </c>
      <c r="I138" s="5" t="s">
        <v>63</v>
      </c>
      <c r="J138" s="5" t="s">
        <v>225</v>
      </c>
      <c r="K138" s="10" t="s">
        <v>500</v>
      </c>
    </row>
    <row r="139" spans="1:11" hidden="1">
      <c r="A139" s="5" t="s">
        <v>39</v>
      </c>
      <c r="B139" s="5" t="s">
        <v>221</v>
      </c>
      <c r="C139" s="5" t="s">
        <v>60</v>
      </c>
      <c r="D139" s="5" t="s">
        <v>61</v>
      </c>
      <c r="E139" s="8">
        <v>44432</v>
      </c>
      <c r="F139" s="6">
        <v>-3</v>
      </c>
      <c r="G139" s="5" t="s">
        <v>62</v>
      </c>
      <c r="H139" s="6">
        <f>SUMIFS(InventTrans!G:G,InventTrans!B:B,AtlasReport_3_Table_1[[#This Row],[Lot ID]],InventTrans!C:C,AtlasReport_3_Table_1[[#This Row],[Packing slip]],InventTrans!D:D,AtlasReport_3_Table_1[[#This Row],[Ship date]])</f>
        <v>-145.5</v>
      </c>
      <c r="I139" s="5" t="s">
        <v>63</v>
      </c>
      <c r="J139" s="5" t="s">
        <v>222</v>
      </c>
      <c r="K139" s="10" t="s">
        <v>501</v>
      </c>
    </row>
    <row r="140" spans="1:11" hidden="1">
      <c r="A140" s="5" t="s">
        <v>39</v>
      </c>
      <c r="B140" s="5" t="s">
        <v>221</v>
      </c>
      <c r="C140" s="5" t="s">
        <v>143</v>
      </c>
      <c r="D140" s="5" t="s">
        <v>61</v>
      </c>
      <c r="E140" s="8">
        <v>44432</v>
      </c>
      <c r="F140" s="6">
        <v>-1</v>
      </c>
      <c r="G140" s="5" t="s">
        <v>62</v>
      </c>
      <c r="H140" s="6">
        <f>SUMIFS(InventTrans!G:G,InventTrans!B:B,AtlasReport_3_Table_1[[#This Row],[Lot ID]],InventTrans!C:C,AtlasReport_3_Table_1[[#This Row],[Packing slip]],InventTrans!D:D,AtlasReport_3_Table_1[[#This Row],[Ship date]])</f>
        <v>-97.5</v>
      </c>
      <c r="I140" s="5" t="s">
        <v>63</v>
      </c>
      <c r="J140" s="5" t="s">
        <v>223</v>
      </c>
      <c r="K140" s="10" t="s">
        <v>501</v>
      </c>
    </row>
    <row r="141" spans="1:11" hidden="1">
      <c r="A141" s="5" t="s">
        <v>39</v>
      </c>
      <c r="B141" s="5" t="s">
        <v>221</v>
      </c>
      <c r="C141" s="5" t="s">
        <v>161</v>
      </c>
      <c r="D141" s="5" t="s">
        <v>61</v>
      </c>
      <c r="E141" s="8">
        <v>44432</v>
      </c>
      <c r="F141" s="6">
        <v>-6</v>
      </c>
      <c r="G141" s="5" t="s">
        <v>62</v>
      </c>
      <c r="H141" s="6">
        <f>SUMIFS(InventTrans!G:G,InventTrans!B:B,AtlasReport_3_Table_1[[#This Row],[Lot ID]],InventTrans!C:C,AtlasReport_3_Table_1[[#This Row],[Packing slip]],InventTrans!D:D,AtlasReport_3_Table_1[[#This Row],[Ship date]])</f>
        <v>-450</v>
      </c>
      <c r="I141" s="5" t="s">
        <v>63</v>
      </c>
      <c r="J141" s="5" t="s">
        <v>225</v>
      </c>
      <c r="K141" s="10" t="s">
        <v>501</v>
      </c>
    </row>
    <row r="142" spans="1:11" hidden="1">
      <c r="A142" s="5" t="s">
        <v>39</v>
      </c>
      <c r="B142" s="5" t="s">
        <v>226</v>
      </c>
      <c r="C142" s="5" t="s">
        <v>143</v>
      </c>
      <c r="D142" s="5" t="s">
        <v>61</v>
      </c>
      <c r="E142" s="8">
        <v>44425</v>
      </c>
      <c r="F142" s="6">
        <v>158</v>
      </c>
      <c r="G142" s="5" t="s">
        <v>62</v>
      </c>
      <c r="H142" s="6">
        <f>SUMIFS(InventTrans!G:G,InventTrans!B:B,AtlasReport_3_Table_1[[#This Row],[Lot ID]],InventTrans!C:C,AtlasReport_3_Table_1[[#This Row],[Packing slip]],InventTrans!D:D,AtlasReport_3_Table_1[[#This Row],[Ship date]])</f>
        <v>15405</v>
      </c>
      <c r="I142" s="5" t="s">
        <v>63</v>
      </c>
      <c r="J142" s="5" t="s">
        <v>227</v>
      </c>
      <c r="K142" s="10" t="s">
        <v>502</v>
      </c>
    </row>
    <row r="143" spans="1:11" hidden="1">
      <c r="A143" s="5" t="s">
        <v>39</v>
      </c>
      <c r="B143" s="5" t="s">
        <v>228</v>
      </c>
      <c r="C143" s="5" t="s">
        <v>143</v>
      </c>
      <c r="D143" s="5" t="s">
        <v>61</v>
      </c>
      <c r="E143" s="8">
        <v>44425</v>
      </c>
      <c r="F143" s="6">
        <v>80</v>
      </c>
      <c r="G143" s="5" t="s">
        <v>62</v>
      </c>
      <c r="H143" s="6">
        <f>SUMIFS(InventTrans!G:G,InventTrans!B:B,AtlasReport_3_Table_1[[#This Row],[Lot ID]],InventTrans!C:C,AtlasReport_3_Table_1[[#This Row],[Packing slip]],InventTrans!D:D,AtlasReport_3_Table_1[[#This Row],[Ship date]])</f>
        <v>7800</v>
      </c>
      <c r="I143" s="5" t="s">
        <v>63</v>
      </c>
      <c r="J143" s="5" t="s">
        <v>229</v>
      </c>
      <c r="K143" s="10" t="s">
        <v>503</v>
      </c>
    </row>
    <row r="144" spans="1:11" hidden="1">
      <c r="A144" s="5" t="s">
        <v>39</v>
      </c>
      <c r="B144" s="5" t="s">
        <v>228</v>
      </c>
      <c r="C144" s="5" t="s">
        <v>60</v>
      </c>
      <c r="D144" s="5" t="s">
        <v>61</v>
      </c>
      <c r="E144" s="8">
        <v>44425</v>
      </c>
      <c r="F144" s="6">
        <v>80</v>
      </c>
      <c r="G144" s="5" t="s">
        <v>62</v>
      </c>
      <c r="H144" s="6">
        <f>SUMIFS(InventTrans!G:G,InventTrans!B:B,AtlasReport_3_Table_1[[#This Row],[Lot ID]],InventTrans!C:C,AtlasReport_3_Table_1[[#This Row],[Packing slip]],InventTrans!D:D,AtlasReport_3_Table_1[[#This Row],[Ship date]])</f>
        <v>3880</v>
      </c>
      <c r="I144" s="5" t="s">
        <v>63</v>
      </c>
      <c r="J144" s="5" t="s">
        <v>230</v>
      </c>
      <c r="K144" s="10" t="s">
        <v>503</v>
      </c>
    </row>
    <row r="145" spans="1:11" hidden="1">
      <c r="A145" s="5" t="s">
        <v>39</v>
      </c>
      <c r="B145" s="5" t="s">
        <v>228</v>
      </c>
      <c r="C145" s="5" t="s">
        <v>69</v>
      </c>
      <c r="D145" s="5" t="s">
        <v>67</v>
      </c>
      <c r="E145" s="8">
        <v>44425</v>
      </c>
      <c r="F145" s="6">
        <v>120</v>
      </c>
      <c r="G145" s="5" t="s">
        <v>62</v>
      </c>
      <c r="H145" s="6">
        <f>SUMIFS(InventTrans!G:G,InventTrans!B:B,AtlasReport_3_Table_1[[#This Row],[Lot ID]],InventTrans!C:C,AtlasReport_3_Table_1[[#This Row],[Packing slip]],InventTrans!D:D,AtlasReport_3_Table_1[[#This Row],[Ship date]])</f>
        <v>11700</v>
      </c>
      <c r="I145" s="5" t="s">
        <v>63</v>
      </c>
      <c r="J145" s="5" t="s">
        <v>231</v>
      </c>
      <c r="K145" s="10" t="s">
        <v>503</v>
      </c>
    </row>
    <row r="146" spans="1:11">
      <c r="A146" s="5" t="s">
        <v>39</v>
      </c>
      <c r="B146" s="5" t="s">
        <v>228</v>
      </c>
      <c r="C146" s="5" t="s">
        <v>66</v>
      </c>
      <c r="D146" s="5" t="s">
        <v>67</v>
      </c>
      <c r="E146" s="8">
        <v>44425</v>
      </c>
      <c r="F146" s="6">
        <v>40</v>
      </c>
      <c r="G146" s="5" t="s">
        <v>62</v>
      </c>
      <c r="H146" s="6">
        <f>SUMIFS(InventTrans!G:G,InventTrans!B:B,AtlasReport_3_Table_1[[#This Row],[Lot ID]],InventTrans!C:C,AtlasReport_3_Table_1[[#This Row],[Packing slip]],InventTrans!D:D,AtlasReport_3_Table_1[[#This Row],[Ship date]])</f>
        <v>1940</v>
      </c>
      <c r="I146" s="5" t="s">
        <v>63</v>
      </c>
      <c r="J146" s="5" t="s">
        <v>232</v>
      </c>
      <c r="K146" s="10" t="s">
        <v>503</v>
      </c>
    </row>
    <row r="147" spans="1:11" hidden="1">
      <c r="A147" s="5" t="s">
        <v>39</v>
      </c>
      <c r="B147" s="5" t="s">
        <v>233</v>
      </c>
      <c r="C147" s="5" t="s">
        <v>124</v>
      </c>
      <c r="D147" s="5" t="s">
        <v>125</v>
      </c>
      <c r="E147" s="8">
        <v>44419</v>
      </c>
      <c r="F147" s="6">
        <v>1</v>
      </c>
      <c r="G147" s="5" t="s">
        <v>16</v>
      </c>
      <c r="H147" s="6">
        <f>SUMIFS(InventTrans!G:G,InventTrans!B:B,AtlasReport_3_Table_1[[#This Row],[Lot ID]],InventTrans!C:C,AtlasReport_3_Table_1[[#This Row],[Packing slip]],InventTrans!D:D,AtlasReport_3_Table_1[[#This Row],[Ship date]])</f>
        <v>1</v>
      </c>
      <c r="I147" s="5" t="s">
        <v>63</v>
      </c>
      <c r="J147" s="5" t="s">
        <v>234</v>
      </c>
      <c r="K147" s="10" t="s">
        <v>504</v>
      </c>
    </row>
    <row r="148" spans="1:11" hidden="1">
      <c r="A148" s="5" t="s">
        <v>39</v>
      </c>
      <c r="B148" s="5" t="s">
        <v>233</v>
      </c>
      <c r="C148" s="5" t="s">
        <v>69</v>
      </c>
      <c r="D148" s="5" t="s">
        <v>67</v>
      </c>
      <c r="E148" s="8">
        <v>44419</v>
      </c>
      <c r="F148" s="6">
        <v>20</v>
      </c>
      <c r="G148" s="5" t="s">
        <v>62</v>
      </c>
      <c r="H148" s="6">
        <f>SUMIFS(InventTrans!G:G,InventTrans!B:B,AtlasReport_3_Table_1[[#This Row],[Lot ID]],InventTrans!C:C,AtlasReport_3_Table_1[[#This Row],[Packing slip]],InventTrans!D:D,AtlasReport_3_Table_1[[#This Row],[Ship date]])</f>
        <v>1950</v>
      </c>
      <c r="I148" s="5" t="s">
        <v>63</v>
      </c>
      <c r="J148" s="5" t="s">
        <v>235</v>
      </c>
      <c r="K148" s="10" t="s">
        <v>504</v>
      </c>
    </row>
    <row r="149" spans="1:11">
      <c r="A149" s="5" t="s">
        <v>39</v>
      </c>
      <c r="B149" s="5" t="s">
        <v>236</v>
      </c>
      <c r="C149" s="5" t="s">
        <v>66</v>
      </c>
      <c r="D149" s="5" t="s">
        <v>67</v>
      </c>
      <c r="E149" s="8">
        <v>44399</v>
      </c>
      <c r="F149" s="6">
        <v>-35</v>
      </c>
      <c r="G149" s="5" t="s">
        <v>62</v>
      </c>
      <c r="H149" s="6">
        <f>SUMIFS(InventTrans!G:G,InventTrans!B:B,AtlasReport_3_Table_1[[#This Row],[Lot ID]],InventTrans!C:C,AtlasReport_3_Table_1[[#This Row],[Packing slip]],InventTrans!D:D,AtlasReport_3_Table_1[[#This Row],[Ship date]])</f>
        <v>-1697.5</v>
      </c>
      <c r="I149" s="5" t="s">
        <v>63</v>
      </c>
      <c r="J149" s="5" t="s">
        <v>237</v>
      </c>
      <c r="K149" s="10" t="s">
        <v>505</v>
      </c>
    </row>
    <row r="150" spans="1:11">
      <c r="A150" s="5" t="s">
        <v>39</v>
      </c>
      <c r="B150" s="5" t="s">
        <v>238</v>
      </c>
      <c r="C150" s="5" t="s">
        <v>66</v>
      </c>
      <c r="D150" s="5" t="s">
        <v>67</v>
      </c>
      <c r="E150" s="8">
        <v>44421</v>
      </c>
      <c r="F150" s="6">
        <v>37</v>
      </c>
      <c r="G150" s="5" t="s">
        <v>62</v>
      </c>
      <c r="H150" s="6">
        <f>SUMIFS(InventTrans!G:G,InventTrans!B:B,AtlasReport_3_Table_1[[#This Row],[Lot ID]],InventTrans!C:C,AtlasReport_3_Table_1[[#This Row],[Packing slip]],InventTrans!D:D,AtlasReport_3_Table_1[[#This Row],[Ship date]])</f>
        <v>1794.5</v>
      </c>
      <c r="I150" s="5" t="s">
        <v>63</v>
      </c>
      <c r="J150" s="5" t="s">
        <v>239</v>
      </c>
      <c r="K150" s="10" t="s">
        <v>506</v>
      </c>
    </row>
    <row r="151" spans="1:11" hidden="1">
      <c r="A151" s="5" t="s">
        <v>39</v>
      </c>
      <c r="B151" s="5" t="s">
        <v>240</v>
      </c>
      <c r="C151" s="5" t="s">
        <v>60</v>
      </c>
      <c r="D151" s="5" t="s">
        <v>61</v>
      </c>
      <c r="E151" s="8">
        <v>44445</v>
      </c>
      <c r="F151" s="6">
        <v>80</v>
      </c>
      <c r="G151" s="5" t="s">
        <v>62</v>
      </c>
      <c r="H151" s="6">
        <f>SUMIFS(InventTrans!G:G,InventTrans!B:B,AtlasReport_3_Table_1[[#This Row],[Lot ID]],InventTrans!C:C,AtlasReport_3_Table_1[[#This Row],[Packing slip]],InventTrans!D:D,AtlasReport_3_Table_1[[#This Row],[Ship date]])</f>
        <v>3880</v>
      </c>
      <c r="I151" s="5" t="s">
        <v>63</v>
      </c>
      <c r="J151" s="5" t="s">
        <v>241</v>
      </c>
      <c r="K151" s="10" t="s">
        <v>507</v>
      </c>
    </row>
    <row r="152" spans="1:11" hidden="1">
      <c r="A152" s="5" t="s">
        <v>39</v>
      </c>
      <c r="B152" s="5" t="s">
        <v>240</v>
      </c>
      <c r="C152" s="5" t="s">
        <v>143</v>
      </c>
      <c r="D152" s="5" t="s">
        <v>61</v>
      </c>
      <c r="E152" s="8">
        <v>44445</v>
      </c>
      <c r="F152" s="6">
        <v>220</v>
      </c>
      <c r="G152" s="5" t="s">
        <v>62</v>
      </c>
      <c r="H152" s="6">
        <f>SUMIFS(InventTrans!G:G,InventTrans!B:B,AtlasReport_3_Table_1[[#This Row],[Lot ID]],InventTrans!C:C,AtlasReport_3_Table_1[[#This Row],[Packing slip]],InventTrans!D:D,AtlasReport_3_Table_1[[#This Row],[Ship date]])</f>
        <v>21450</v>
      </c>
      <c r="I152" s="5" t="s">
        <v>63</v>
      </c>
      <c r="J152" s="5" t="s">
        <v>242</v>
      </c>
      <c r="K152" s="10" t="s">
        <v>507</v>
      </c>
    </row>
    <row r="153" spans="1:11" hidden="1">
      <c r="A153" s="5" t="s">
        <v>39</v>
      </c>
      <c r="B153" s="5" t="s">
        <v>49</v>
      </c>
      <c r="C153" s="5" t="s">
        <v>60</v>
      </c>
      <c r="D153" s="5" t="s">
        <v>61</v>
      </c>
      <c r="E153" s="8">
        <v>44427</v>
      </c>
      <c r="F153" s="6">
        <v>1</v>
      </c>
      <c r="G153" s="5" t="s">
        <v>62</v>
      </c>
      <c r="H153" s="6">
        <f>SUMIFS(InventTrans!G:G,InventTrans!B:B,AtlasReport_3_Table_1[[#This Row],[Lot ID]],InventTrans!C:C,AtlasReport_3_Table_1[[#This Row],[Packing slip]],InventTrans!D:D,AtlasReport_3_Table_1[[#This Row],[Ship date]])</f>
        <v>48.5</v>
      </c>
      <c r="I153" s="5" t="s">
        <v>63</v>
      </c>
      <c r="J153" s="5" t="s">
        <v>243</v>
      </c>
      <c r="K153" s="10" t="s">
        <v>508</v>
      </c>
    </row>
    <row r="154" spans="1:11">
      <c r="A154" s="5" t="s">
        <v>39</v>
      </c>
      <c r="B154" s="5" t="s">
        <v>244</v>
      </c>
      <c r="C154" s="5" t="s">
        <v>66</v>
      </c>
      <c r="D154" s="5" t="s">
        <v>67</v>
      </c>
      <c r="E154" s="8">
        <v>44432</v>
      </c>
      <c r="F154" s="6">
        <v>40</v>
      </c>
      <c r="G154" s="5" t="s">
        <v>62</v>
      </c>
      <c r="H154" s="6">
        <f>SUMIFS(InventTrans!G:G,InventTrans!B:B,AtlasReport_3_Table_1[[#This Row],[Lot ID]],InventTrans!C:C,AtlasReport_3_Table_1[[#This Row],[Packing slip]],InventTrans!D:D,AtlasReport_3_Table_1[[#This Row],[Ship date]])</f>
        <v>1940</v>
      </c>
      <c r="I154" s="5" t="s">
        <v>63</v>
      </c>
      <c r="J154" s="5" t="s">
        <v>245</v>
      </c>
      <c r="K154" s="10" t="s">
        <v>509</v>
      </c>
    </row>
    <row r="155" spans="1:11" hidden="1">
      <c r="A155" s="5" t="s">
        <v>39</v>
      </c>
      <c r="B155" s="5" t="s">
        <v>246</v>
      </c>
      <c r="C155" s="5" t="s">
        <v>143</v>
      </c>
      <c r="D155" s="5" t="s">
        <v>61</v>
      </c>
      <c r="E155" s="8">
        <v>44434</v>
      </c>
      <c r="F155" s="6">
        <v>13</v>
      </c>
      <c r="G155" s="5" t="s">
        <v>62</v>
      </c>
      <c r="H155" s="6">
        <f>SUMIFS(InventTrans!G:G,InventTrans!B:B,AtlasReport_3_Table_1[[#This Row],[Lot ID]],InventTrans!C:C,AtlasReport_3_Table_1[[#This Row],[Packing slip]],InventTrans!D:D,AtlasReport_3_Table_1[[#This Row],[Ship date]])</f>
        <v>1267.5</v>
      </c>
      <c r="I155" s="5" t="s">
        <v>63</v>
      </c>
      <c r="J155" s="5" t="s">
        <v>247</v>
      </c>
      <c r="K155" s="10" t="s">
        <v>510</v>
      </c>
    </row>
    <row r="156" spans="1:11" hidden="1">
      <c r="A156" s="5" t="s">
        <v>39</v>
      </c>
      <c r="B156" s="5" t="s">
        <v>248</v>
      </c>
      <c r="C156" s="5" t="s">
        <v>87</v>
      </c>
      <c r="D156" s="5" t="s">
        <v>88</v>
      </c>
      <c r="E156" s="8">
        <v>44438</v>
      </c>
      <c r="F156" s="6">
        <v>15</v>
      </c>
      <c r="G156" s="5" t="s">
        <v>62</v>
      </c>
      <c r="H156" s="6">
        <f>SUMIFS(InventTrans!G:G,InventTrans!B:B,AtlasReport_3_Table_1[[#This Row],[Lot ID]],InventTrans!C:C,AtlasReport_3_Table_1[[#This Row],[Packing slip]],InventTrans!D:D,AtlasReport_3_Table_1[[#This Row],[Ship date]])</f>
        <v>727.5</v>
      </c>
      <c r="I156" s="5" t="s">
        <v>63</v>
      </c>
      <c r="J156" s="5" t="s">
        <v>249</v>
      </c>
      <c r="K156" s="10" t="s">
        <v>511</v>
      </c>
    </row>
    <row r="157" spans="1:11" hidden="1">
      <c r="A157" s="5" t="s">
        <v>39</v>
      </c>
      <c r="B157" s="5" t="s">
        <v>248</v>
      </c>
      <c r="C157" s="5" t="s">
        <v>90</v>
      </c>
      <c r="D157" s="5" t="s">
        <v>88</v>
      </c>
      <c r="E157" s="8">
        <v>44438</v>
      </c>
      <c r="F157" s="6">
        <v>60</v>
      </c>
      <c r="G157" s="5" t="s">
        <v>62</v>
      </c>
      <c r="H157" s="6">
        <f>SUMIFS(InventTrans!G:G,InventTrans!B:B,AtlasReport_3_Table_1[[#This Row],[Lot ID]],InventTrans!C:C,AtlasReport_3_Table_1[[#This Row],[Packing slip]],InventTrans!D:D,AtlasReport_3_Table_1[[#This Row],[Ship date]])</f>
        <v>5850</v>
      </c>
      <c r="I157" s="5" t="s">
        <v>63</v>
      </c>
      <c r="J157" s="5" t="s">
        <v>250</v>
      </c>
      <c r="K157" s="10" t="s">
        <v>511</v>
      </c>
    </row>
    <row r="158" spans="1:11" hidden="1">
      <c r="A158" s="5" t="s">
        <v>39</v>
      </c>
      <c r="B158" s="5" t="s">
        <v>248</v>
      </c>
      <c r="C158" s="5" t="s">
        <v>124</v>
      </c>
      <c r="D158" s="5" t="s">
        <v>125</v>
      </c>
      <c r="E158" s="8">
        <v>44438</v>
      </c>
      <c r="F158" s="6">
        <v>2</v>
      </c>
      <c r="G158" s="5" t="s">
        <v>16</v>
      </c>
      <c r="H158" s="6">
        <f>SUMIFS(InventTrans!G:G,InventTrans!B:B,AtlasReport_3_Table_1[[#This Row],[Lot ID]],InventTrans!C:C,AtlasReport_3_Table_1[[#This Row],[Packing slip]],InventTrans!D:D,AtlasReport_3_Table_1[[#This Row],[Ship date]])</f>
        <v>2</v>
      </c>
      <c r="I158" s="5" t="s">
        <v>63</v>
      </c>
      <c r="J158" s="5" t="s">
        <v>251</v>
      </c>
      <c r="K158" s="10" t="s">
        <v>511</v>
      </c>
    </row>
    <row r="159" spans="1:11" hidden="1">
      <c r="A159" s="5" t="s">
        <v>39</v>
      </c>
      <c r="B159" s="5" t="s">
        <v>248</v>
      </c>
      <c r="C159" s="5" t="s">
        <v>87</v>
      </c>
      <c r="D159" s="5" t="s">
        <v>88</v>
      </c>
      <c r="E159" s="8">
        <v>44456</v>
      </c>
      <c r="F159" s="6">
        <v>-4</v>
      </c>
      <c r="G159" s="5" t="s">
        <v>62</v>
      </c>
      <c r="H159" s="6">
        <f>SUMIFS(InventTrans!G:G,InventTrans!B:B,AtlasReport_3_Table_1[[#This Row],[Lot ID]],InventTrans!C:C,AtlasReport_3_Table_1[[#This Row],[Packing slip]],InventTrans!D:D,AtlasReport_3_Table_1[[#This Row],[Ship date]])</f>
        <v>-194</v>
      </c>
      <c r="I159" s="5" t="s">
        <v>63</v>
      </c>
      <c r="J159" s="5" t="s">
        <v>249</v>
      </c>
      <c r="K159" s="10" t="s">
        <v>512</v>
      </c>
    </row>
    <row r="160" spans="1:11">
      <c r="A160" s="5" t="s">
        <v>39</v>
      </c>
      <c r="B160" s="5" t="s">
        <v>42</v>
      </c>
      <c r="C160" s="5" t="s">
        <v>66</v>
      </c>
      <c r="D160" s="5" t="s">
        <v>67</v>
      </c>
      <c r="E160" s="8">
        <v>44441</v>
      </c>
      <c r="F160" s="6">
        <v>40</v>
      </c>
      <c r="G160" s="5" t="s">
        <v>62</v>
      </c>
      <c r="H160" s="6">
        <f>SUMIFS(InventTrans!G:G,InventTrans!B:B,AtlasReport_3_Table_1[[#This Row],[Lot ID]],InventTrans!C:C,AtlasReport_3_Table_1[[#This Row],[Packing slip]],InventTrans!D:D,AtlasReport_3_Table_1[[#This Row],[Ship date]])</f>
        <v>1940</v>
      </c>
      <c r="I160" s="5" t="s">
        <v>63</v>
      </c>
      <c r="J160" s="5" t="s">
        <v>252</v>
      </c>
      <c r="K160" s="10" t="s">
        <v>513</v>
      </c>
    </row>
    <row r="161" spans="1:11" hidden="1">
      <c r="A161" s="5" t="s">
        <v>39</v>
      </c>
      <c r="B161" s="5" t="s">
        <v>42</v>
      </c>
      <c r="C161" s="5" t="s">
        <v>97</v>
      </c>
      <c r="D161" s="5" t="s">
        <v>67</v>
      </c>
      <c r="E161" s="8">
        <v>44441</v>
      </c>
      <c r="F161" s="6">
        <v>40</v>
      </c>
      <c r="G161" s="5" t="s">
        <v>62</v>
      </c>
      <c r="H161" s="6">
        <f>SUMIFS(InventTrans!G:G,InventTrans!B:B,AtlasReport_3_Table_1[[#This Row],[Lot ID]],InventTrans!C:C,AtlasReport_3_Table_1[[#This Row],[Packing slip]],InventTrans!D:D,AtlasReport_3_Table_1[[#This Row],[Ship date]])</f>
        <v>3000</v>
      </c>
      <c r="I161" s="5" t="s">
        <v>63</v>
      </c>
      <c r="J161" s="5" t="s">
        <v>253</v>
      </c>
      <c r="K161" s="10" t="s">
        <v>513</v>
      </c>
    </row>
    <row r="162" spans="1:11" hidden="1">
      <c r="A162" s="5" t="s">
        <v>39</v>
      </c>
      <c r="B162" s="5" t="s">
        <v>42</v>
      </c>
      <c r="C162" s="5" t="s">
        <v>69</v>
      </c>
      <c r="D162" s="5" t="s">
        <v>67</v>
      </c>
      <c r="E162" s="8">
        <v>44441</v>
      </c>
      <c r="F162" s="6">
        <v>48</v>
      </c>
      <c r="G162" s="5" t="s">
        <v>62</v>
      </c>
      <c r="H162" s="6">
        <f>SUMIFS(InventTrans!G:G,InventTrans!B:B,AtlasReport_3_Table_1[[#This Row],[Lot ID]],InventTrans!C:C,AtlasReport_3_Table_1[[#This Row],[Packing slip]],InventTrans!D:D,AtlasReport_3_Table_1[[#This Row],[Ship date]])</f>
        <v>4680</v>
      </c>
      <c r="I162" s="5" t="s">
        <v>63</v>
      </c>
      <c r="J162" s="5" t="s">
        <v>254</v>
      </c>
      <c r="K162" s="10" t="s">
        <v>513</v>
      </c>
    </row>
    <row r="163" spans="1:11" hidden="1">
      <c r="A163" s="5" t="s">
        <v>39</v>
      </c>
      <c r="B163" s="5" t="s">
        <v>42</v>
      </c>
      <c r="C163" s="5" t="s">
        <v>87</v>
      </c>
      <c r="D163" s="5" t="s">
        <v>88</v>
      </c>
      <c r="E163" s="8">
        <v>44441</v>
      </c>
      <c r="F163" s="6">
        <v>27</v>
      </c>
      <c r="G163" s="5" t="s">
        <v>62</v>
      </c>
      <c r="H163" s="6">
        <f>SUMIFS(InventTrans!G:G,InventTrans!B:B,AtlasReport_3_Table_1[[#This Row],[Lot ID]],InventTrans!C:C,AtlasReport_3_Table_1[[#This Row],[Packing slip]],InventTrans!D:D,AtlasReport_3_Table_1[[#This Row],[Ship date]])</f>
        <v>1309.5</v>
      </c>
      <c r="I163" s="5" t="s">
        <v>63</v>
      </c>
      <c r="J163" s="5" t="s">
        <v>255</v>
      </c>
      <c r="K163" s="10" t="s">
        <v>513</v>
      </c>
    </row>
    <row r="164" spans="1:11" hidden="1">
      <c r="A164" s="5" t="s">
        <v>39</v>
      </c>
      <c r="B164" s="5" t="s">
        <v>42</v>
      </c>
      <c r="C164" s="5" t="s">
        <v>90</v>
      </c>
      <c r="D164" s="5" t="s">
        <v>88</v>
      </c>
      <c r="E164" s="8">
        <v>44441</v>
      </c>
      <c r="F164" s="6">
        <v>54</v>
      </c>
      <c r="G164" s="5" t="s">
        <v>62</v>
      </c>
      <c r="H164" s="6">
        <f>SUMIFS(InventTrans!G:G,InventTrans!B:B,AtlasReport_3_Table_1[[#This Row],[Lot ID]],InventTrans!C:C,AtlasReport_3_Table_1[[#This Row],[Packing slip]],InventTrans!D:D,AtlasReport_3_Table_1[[#This Row],[Ship date]])</f>
        <v>5265</v>
      </c>
      <c r="I164" s="5" t="s">
        <v>63</v>
      </c>
      <c r="J164" s="5" t="s">
        <v>256</v>
      </c>
      <c r="K164" s="10" t="s">
        <v>513</v>
      </c>
    </row>
    <row r="165" spans="1:11" hidden="1">
      <c r="A165" s="5" t="s">
        <v>39</v>
      </c>
      <c r="B165" s="5" t="s">
        <v>42</v>
      </c>
      <c r="C165" s="5" t="s">
        <v>97</v>
      </c>
      <c r="D165" s="5" t="s">
        <v>67</v>
      </c>
      <c r="E165" s="8">
        <v>44442</v>
      </c>
      <c r="F165" s="6">
        <v>20</v>
      </c>
      <c r="G165" s="5" t="s">
        <v>62</v>
      </c>
      <c r="H165" s="6">
        <f>SUMIFS(InventTrans!G:G,InventTrans!B:B,AtlasReport_3_Table_1[[#This Row],[Lot ID]],InventTrans!C:C,AtlasReport_3_Table_1[[#This Row],[Packing slip]],InventTrans!D:D,AtlasReport_3_Table_1[[#This Row],[Ship date]])</f>
        <v>1500</v>
      </c>
      <c r="I165" s="5" t="s">
        <v>63</v>
      </c>
      <c r="J165" s="5" t="s">
        <v>253</v>
      </c>
      <c r="K165" s="10" t="s">
        <v>514</v>
      </c>
    </row>
    <row r="166" spans="1:11" hidden="1">
      <c r="A166" s="5" t="s">
        <v>39</v>
      </c>
      <c r="B166" s="5" t="s">
        <v>42</v>
      </c>
      <c r="C166" s="5" t="s">
        <v>97</v>
      </c>
      <c r="D166" s="5" t="s">
        <v>67</v>
      </c>
      <c r="E166" s="8">
        <v>44442</v>
      </c>
      <c r="F166" s="6">
        <v>20</v>
      </c>
      <c r="G166" s="5" t="s">
        <v>62</v>
      </c>
      <c r="H166" s="6">
        <f>SUMIFS(InventTrans!G:G,InventTrans!B:B,AtlasReport_3_Table_1[[#This Row],[Lot ID]],InventTrans!C:C,AtlasReport_3_Table_1[[#This Row],[Packing slip]],InventTrans!D:D,AtlasReport_3_Table_1[[#This Row],[Ship date]])</f>
        <v>1500</v>
      </c>
      <c r="I166" s="5" t="s">
        <v>63</v>
      </c>
      <c r="J166" s="5" t="s">
        <v>253</v>
      </c>
      <c r="K166" s="10" t="s">
        <v>515</v>
      </c>
    </row>
    <row r="167" spans="1:11" hidden="1">
      <c r="A167" s="5" t="s">
        <v>39</v>
      </c>
      <c r="B167" s="5" t="s">
        <v>42</v>
      </c>
      <c r="C167" s="5" t="s">
        <v>69</v>
      </c>
      <c r="D167" s="5" t="s">
        <v>67</v>
      </c>
      <c r="E167" s="8">
        <v>44466</v>
      </c>
      <c r="F167" s="6">
        <v>65</v>
      </c>
      <c r="G167" s="5" t="s">
        <v>62</v>
      </c>
      <c r="H167" s="6">
        <f>SUMIFS(InventTrans!G:G,InventTrans!B:B,AtlasReport_3_Table_1[[#This Row],[Lot ID]],InventTrans!C:C,AtlasReport_3_Table_1[[#This Row],[Packing slip]],InventTrans!D:D,AtlasReport_3_Table_1[[#This Row],[Ship date]])</f>
        <v>6337.5</v>
      </c>
      <c r="I167" s="5" t="s">
        <v>63</v>
      </c>
      <c r="J167" s="5" t="s">
        <v>254</v>
      </c>
      <c r="K167" s="10" t="s">
        <v>516</v>
      </c>
    </row>
    <row r="168" spans="1:11" hidden="1">
      <c r="A168" s="5" t="s">
        <v>39</v>
      </c>
      <c r="B168" s="5" t="s">
        <v>42</v>
      </c>
      <c r="C168" s="5" t="s">
        <v>124</v>
      </c>
      <c r="D168" s="5" t="s">
        <v>125</v>
      </c>
      <c r="E168" s="8">
        <v>44466</v>
      </c>
      <c r="F168" s="6">
        <v>2</v>
      </c>
      <c r="G168" s="5" t="s">
        <v>16</v>
      </c>
      <c r="H168" s="6">
        <f>SUMIFS(InventTrans!G:G,InventTrans!B:B,AtlasReport_3_Table_1[[#This Row],[Lot ID]],InventTrans!C:C,AtlasReport_3_Table_1[[#This Row],[Packing slip]],InventTrans!D:D,AtlasReport_3_Table_1[[#This Row],[Ship date]])</f>
        <v>2</v>
      </c>
      <c r="I168" s="5" t="s">
        <v>63</v>
      </c>
      <c r="J168" s="5" t="s">
        <v>257</v>
      </c>
      <c r="K168" s="10" t="s">
        <v>516</v>
      </c>
    </row>
    <row r="169" spans="1:11" hidden="1">
      <c r="A169" s="5" t="s">
        <v>39</v>
      </c>
      <c r="B169" s="5" t="s">
        <v>42</v>
      </c>
      <c r="C169" s="5" t="s">
        <v>69</v>
      </c>
      <c r="D169" s="5" t="s">
        <v>67</v>
      </c>
      <c r="E169" s="8">
        <v>44467</v>
      </c>
      <c r="F169" s="6">
        <v>-8</v>
      </c>
      <c r="G169" s="5" t="s">
        <v>62</v>
      </c>
      <c r="H169" s="6">
        <f>SUMIFS(InventTrans!G:G,InventTrans!B:B,AtlasReport_3_Table_1[[#This Row],[Lot ID]],InventTrans!C:C,AtlasReport_3_Table_1[[#This Row],[Packing slip]],InventTrans!D:D,AtlasReport_3_Table_1[[#This Row],[Ship date]])</f>
        <v>-780</v>
      </c>
      <c r="I169" s="5" t="s">
        <v>63</v>
      </c>
      <c r="J169" s="5" t="s">
        <v>254</v>
      </c>
      <c r="K169" s="10" t="s">
        <v>517</v>
      </c>
    </row>
    <row r="170" spans="1:11" hidden="1">
      <c r="A170" s="5" t="s">
        <v>39</v>
      </c>
      <c r="B170" s="5" t="s">
        <v>258</v>
      </c>
      <c r="C170" s="5" t="s">
        <v>87</v>
      </c>
      <c r="D170" s="5" t="s">
        <v>88</v>
      </c>
      <c r="E170" s="8">
        <v>44441</v>
      </c>
      <c r="F170" s="6">
        <v>1</v>
      </c>
      <c r="G170" s="5" t="s">
        <v>62</v>
      </c>
      <c r="H170" s="6">
        <f>SUMIFS(InventTrans!G:G,InventTrans!B:B,AtlasReport_3_Table_1[[#This Row],[Lot ID]],InventTrans!C:C,AtlasReport_3_Table_1[[#This Row],[Packing slip]],InventTrans!D:D,AtlasReport_3_Table_1[[#This Row],[Ship date]])</f>
        <v>48.5</v>
      </c>
      <c r="I170" s="5" t="s">
        <v>63</v>
      </c>
      <c r="J170" s="5" t="s">
        <v>259</v>
      </c>
      <c r="K170" s="10" t="s">
        <v>518</v>
      </c>
    </row>
    <row r="171" spans="1:11" hidden="1">
      <c r="A171" s="5" t="s">
        <v>39</v>
      </c>
      <c r="B171" s="5" t="s">
        <v>258</v>
      </c>
      <c r="C171" s="5" t="s">
        <v>90</v>
      </c>
      <c r="D171" s="5" t="s">
        <v>88</v>
      </c>
      <c r="E171" s="8">
        <v>44441</v>
      </c>
      <c r="F171" s="6">
        <v>3</v>
      </c>
      <c r="G171" s="5" t="s">
        <v>62</v>
      </c>
      <c r="H171" s="6">
        <f>SUMIFS(InventTrans!G:G,InventTrans!B:B,AtlasReport_3_Table_1[[#This Row],[Lot ID]],InventTrans!C:C,AtlasReport_3_Table_1[[#This Row],[Packing slip]],InventTrans!D:D,AtlasReport_3_Table_1[[#This Row],[Ship date]])</f>
        <v>292.5</v>
      </c>
      <c r="I171" s="5" t="s">
        <v>63</v>
      </c>
      <c r="J171" s="5" t="s">
        <v>260</v>
      </c>
      <c r="K171" s="10" t="s">
        <v>518</v>
      </c>
    </row>
    <row r="172" spans="1:11" hidden="1">
      <c r="A172" s="5" t="s">
        <v>39</v>
      </c>
      <c r="B172" s="5" t="s">
        <v>258</v>
      </c>
      <c r="C172" s="5" t="s">
        <v>60</v>
      </c>
      <c r="D172" s="5" t="s">
        <v>61</v>
      </c>
      <c r="E172" s="8">
        <v>44441</v>
      </c>
      <c r="F172" s="6">
        <v>4</v>
      </c>
      <c r="G172" s="5" t="s">
        <v>62</v>
      </c>
      <c r="H172" s="6">
        <f>SUMIFS(InventTrans!G:G,InventTrans!B:B,AtlasReport_3_Table_1[[#This Row],[Lot ID]],InventTrans!C:C,AtlasReport_3_Table_1[[#This Row],[Packing slip]],InventTrans!D:D,AtlasReport_3_Table_1[[#This Row],[Ship date]])</f>
        <v>194</v>
      </c>
      <c r="I172" s="5" t="s">
        <v>63</v>
      </c>
      <c r="J172" s="5" t="s">
        <v>261</v>
      </c>
      <c r="K172" s="10" t="s">
        <v>518</v>
      </c>
    </row>
    <row r="173" spans="1:11" hidden="1">
      <c r="A173" s="5" t="s">
        <v>39</v>
      </c>
      <c r="B173" s="5" t="s">
        <v>258</v>
      </c>
      <c r="C173" s="5" t="s">
        <v>161</v>
      </c>
      <c r="D173" s="5" t="s">
        <v>61</v>
      </c>
      <c r="E173" s="8">
        <v>44441</v>
      </c>
      <c r="F173" s="6">
        <v>6</v>
      </c>
      <c r="G173" s="5" t="s">
        <v>62</v>
      </c>
      <c r="H173" s="6">
        <f>SUMIFS(InventTrans!G:G,InventTrans!B:B,AtlasReport_3_Table_1[[#This Row],[Lot ID]],InventTrans!C:C,AtlasReport_3_Table_1[[#This Row],[Packing slip]],InventTrans!D:D,AtlasReport_3_Table_1[[#This Row],[Ship date]])</f>
        <v>450</v>
      </c>
      <c r="I173" s="5" t="s">
        <v>63</v>
      </c>
      <c r="J173" s="5" t="s">
        <v>262</v>
      </c>
      <c r="K173" s="10" t="s">
        <v>518</v>
      </c>
    </row>
    <row r="174" spans="1:11" hidden="1">
      <c r="A174" s="5" t="s">
        <v>39</v>
      </c>
      <c r="B174" s="5" t="s">
        <v>258</v>
      </c>
      <c r="C174" s="5" t="s">
        <v>143</v>
      </c>
      <c r="D174" s="5" t="s">
        <v>61</v>
      </c>
      <c r="E174" s="8">
        <v>44441</v>
      </c>
      <c r="F174" s="6">
        <v>20</v>
      </c>
      <c r="G174" s="5" t="s">
        <v>62</v>
      </c>
      <c r="H174" s="6">
        <f>SUMIFS(InventTrans!G:G,InventTrans!B:B,AtlasReport_3_Table_1[[#This Row],[Lot ID]],InventTrans!C:C,AtlasReport_3_Table_1[[#This Row],[Packing slip]],InventTrans!D:D,AtlasReport_3_Table_1[[#This Row],[Ship date]])</f>
        <v>1950</v>
      </c>
      <c r="I174" s="5" t="s">
        <v>63</v>
      </c>
      <c r="J174" s="5" t="s">
        <v>263</v>
      </c>
      <c r="K174" s="10" t="s">
        <v>518</v>
      </c>
    </row>
    <row r="175" spans="1:11" hidden="1">
      <c r="A175" s="5" t="s">
        <v>39</v>
      </c>
      <c r="B175" s="5" t="s">
        <v>258</v>
      </c>
      <c r="C175" s="5" t="s">
        <v>124</v>
      </c>
      <c r="D175" s="5" t="s">
        <v>125</v>
      </c>
      <c r="E175" s="8">
        <v>44441</v>
      </c>
      <c r="F175" s="6">
        <v>1</v>
      </c>
      <c r="G175" s="5" t="s">
        <v>16</v>
      </c>
      <c r="H175" s="6">
        <f>SUMIFS(InventTrans!G:G,InventTrans!B:B,AtlasReport_3_Table_1[[#This Row],[Lot ID]],InventTrans!C:C,AtlasReport_3_Table_1[[#This Row],[Packing slip]],InventTrans!D:D,AtlasReport_3_Table_1[[#This Row],[Ship date]])</f>
        <v>1</v>
      </c>
      <c r="I175" s="5" t="s">
        <v>63</v>
      </c>
      <c r="J175" s="5" t="s">
        <v>264</v>
      </c>
      <c r="K175" s="10" t="s">
        <v>518</v>
      </c>
    </row>
    <row r="176" spans="1:11" hidden="1">
      <c r="A176" s="5" t="s">
        <v>39</v>
      </c>
      <c r="B176" s="5" t="s">
        <v>258</v>
      </c>
      <c r="C176" s="5" t="s">
        <v>60</v>
      </c>
      <c r="D176" s="5" t="s">
        <v>61</v>
      </c>
      <c r="E176" s="8">
        <v>44481</v>
      </c>
      <c r="F176" s="6">
        <v>-4</v>
      </c>
      <c r="G176" s="5" t="s">
        <v>62</v>
      </c>
      <c r="H176" s="6">
        <f>SUMIFS(InventTrans!G:G,InventTrans!B:B,AtlasReport_3_Table_1[[#This Row],[Lot ID]],InventTrans!C:C,AtlasReport_3_Table_1[[#This Row],[Packing slip]],InventTrans!D:D,AtlasReport_3_Table_1[[#This Row],[Ship date]])</f>
        <v>-194</v>
      </c>
      <c r="I176" s="5" t="s">
        <v>63</v>
      </c>
      <c r="J176" s="5" t="s">
        <v>261</v>
      </c>
      <c r="K176" s="10" t="s">
        <v>519</v>
      </c>
    </row>
    <row r="177" spans="1:11" hidden="1">
      <c r="A177" s="5" t="s">
        <v>39</v>
      </c>
      <c r="B177" s="5" t="s">
        <v>258</v>
      </c>
      <c r="C177" s="5" t="s">
        <v>161</v>
      </c>
      <c r="D177" s="5" t="s">
        <v>61</v>
      </c>
      <c r="E177" s="8">
        <v>44481</v>
      </c>
      <c r="F177" s="6">
        <v>-2</v>
      </c>
      <c r="G177" s="5" t="s">
        <v>62</v>
      </c>
      <c r="H177" s="6">
        <f>SUMIFS(InventTrans!G:G,InventTrans!B:B,AtlasReport_3_Table_1[[#This Row],[Lot ID]],InventTrans!C:C,AtlasReport_3_Table_1[[#This Row],[Packing slip]],InventTrans!D:D,AtlasReport_3_Table_1[[#This Row],[Ship date]])</f>
        <v>-150</v>
      </c>
      <c r="I177" s="5" t="s">
        <v>63</v>
      </c>
      <c r="J177" s="5" t="s">
        <v>262</v>
      </c>
      <c r="K177" s="10" t="s">
        <v>519</v>
      </c>
    </row>
    <row r="178" spans="1:11" hidden="1">
      <c r="A178" s="5" t="s">
        <v>39</v>
      </c>
      <c r="B178" s="5" t="s">
        <v>258</v>
      </c>
      <c r="C178" s="5" t="s">
        <v>143</v>
      </c>
      <c r="D178" s="5" t="s">
        <v>61</v>
      </c>
      <c r="E178" s="8">
        <v>44481</v>
      </c>
      <c r="F178" s="6">
        <v>-3</v>
      </c>
      <c r="G178" s="5" t="s">
        <v>62</v>
      </c>
      <c r="H178" s="6">
        <f>SUMIFS(InventTrans!G:G,InventTrans!B:B,AtlasReport_3_Table_1[[#This Row],[Lot ID]],InventTrans!C:C,AtlasReport_3_Table_1[[#This Row],[Packing slip]],InventTrans!D:D,AtlasReport_3_Table_1[[#This Row],[Ship date]])</f>
        <v>-292.5</v>
      </c>
      <c r="I178" s="5" t="s">
        <v>63</v>
      </c>
      <c r="J178" s="5" t="s">
        <v>263</v>
      </c>
      <c r="K178" s="10" t="s">
        <v>519</v>
      </c>
    </row>
    <row r="179" spans="1:11" hidden="1">
      <c r="A179" s="5" t="s">
        <v>39</v>
      </c>
      <c r="B179" s="5" t="s">
        <v>265</v>
      </c>
      <c r="C179" s="5" t="s">
        <v>143</v>
      </c>
      <c r="D179" s="5" t="s">
        <v>61</v>
      </c>
      <c r="E179" s="8">
        <v>44445</v>
      </c>
      <c r="F179" s="6">
        <v>30</v>
      </c>
      <c r="G179" s="5" t="s">
        <v>62</v>
      </c>
      <c r="H179" s="6">
        <f>SUMIFS(InventTrans!G:G,InventTrans!B:B,AtlasReport_3_Table_1[[#This Row],[Lot ID]],InventTrans!C:C,AtlasReport_3_Table_1[[#This Row],[Packing slip]],InventTrans!D:D,AtlasReport_3_Table_1[[#This Row],[Ship date]])</f>
        <v>2925</v>
      </c>
      <c r="I179" s="5" t="s">
        <v>63</v>
      </c>
      <c r="J179" s="5" t="s">
        <v>266</v>
      </c>
      <c r="K179" s="10" t="s">
        <v>520</v>
      </c>
    </row>
    <row r="180" spans="1:11" hidden="1">
      <c r="A180" s="5" t="s">
        <v>39</v>
      </c>
      <c r="B180" s="5" t="s">
        <v>265</v>
      </c>
      <c r="C180" s="5" t="s">
        <v>60</v>
      </c>
      <c r="D180" s="5" t="s">
        <v>61</v>
      </c>
      <c r="E180" s="8">
        <v>44445</v>
      </c>
      <c r="F180" s="6">
        <v>8</v>
      </c>
      <c r="G180" s="5" t="s">
        <v>62</v>
      </c>
      <c r="H180" s="6">
        <f>SUMIFS(InventTrans!G:G,InventTrans!B:B,AtlasReport_3_Table_1[[#This Row],[Lot ID]],InventTrans!C:C,AtlasReport_3_Table_1[[#This Row],[Packing slip]],InventTrans!D:D,AtlasReport_3_Table_1[[#This Row],[Ship date]])</f>
        <v>388</v>
      </c>
      <c r="I180" s="5" t="s">
        <v>63</v>
      </c>
      <c r="J180" s="5" t="s">
        <v>267</v>
      </c>
      <c r="K180" s="10" t="s">
        <v>520</v>
      </c>
    </row>
    <row r="181" spans="1:11" hidden="1">
      <c r="A181" s="5" t="s">
        <v>39</v>
      </c>
      <c r="B181" s="5" t="s">
        <v>265</v>
      </c>
      <c r="C181" s="5" t="s">
        <v>124</v>
      </c>
      <c r="D181" s="5" t="s">
        <v>125</v>
      </c>
      <c r="E181" s="8">
        <v>44445</v>
      </c>
      <c r="F181" s="6">
        <v>1</v>
      </c>
      <c r="G181" s="5" t="s">
        <v>16</v>
      </c>
      <c r="H181" s="6">
        <f>SUMIFS(InventTrans!G:G,InventTrans!B:B,AtlasReport_3_Table_1[[#This Row],[Lot ID]],InventTrans!C:C,AtlasReport_3_Table_1[[#This Row],[Packing slip]],InventTrans!D:D,AtlasReport_3_Table_1[[#This Row],[Ship date]])</f>
        <v>1</v>
      </c>
      <c r="I181" s="5" t="s">
        <v>63</v>
      </c>
      <c r="J181" s="5" t="s">
        <v>268</v>
      </c>
      <c r="K181" s="10" t="s">
        <v>520</v>
      </c>
    </row>
    <row r="182" spans="1:11" hidden="1">
      <c r="A182" s="5" t="s">
        <v>39</v>
      </c>
      <c r="B182" s="5" t="s">
        <v>265</v>
      </c>
      <c r="C182" s="5" t="s">
        <v>143</v>
      </c>
      <c r="D182" s="5" t="s">
        <v>61</v>
      </c>
      <c r="E182" s="8">
        <v>44468</v>
      </c>
      <c r="F182" s="6">
        <v>-5</v>
      </c>
      <c r="G182" s="5" t="s">
        <v>62</v>
      </c>
      <c r="H182" s="6">
        <f>SUMIFS(InventTrans!G:G,InventTrans!B:B,AtlasReport_3_Table_1[[#This Row],[Lot ID]],InventTrans!C:C,AtlasReport_3_Table_1[[#This Row],[Packing slip]],InventTrans!D:D,AtlasReport_3_Table_1[[#This Row],[Ship date]])</f>
        <v>-487.5</v>
      </c>
      <c r="I182" s="5" t="s">
        <v>63</v>
      </c>
      <c r="J182" s="5" t="s">
        <v>266</v>
      </c>
      <c r="K182" s="10" t="s">
        <v>521</v>
      </c>
    </row>
    <row r="183" spans="1:11" hidden="1">
      <c r="A183" s="5" t="s">
        <v>39</v>
      </c>
      <c r="B183" s="5" t="s">
        <v>269</v>
      </c>
      <c r="C183" s="5" t="s">
        <v>110</v>
      </c>
      <c r="D183" s="5" t="s">
        <v>88</v>
      </c>
      <c r="E183" s="8">
        <v>44454</v>
      </c>
      <c r="F183" s="6">
        <v>5</v>
      </c>
      <c r="G183" s="5" t="s">
        <v>62</v>
      </c>
      <c r="H183" s="6">
        <f>SUMIFS(InventTrans!G:G,InventTrans!B:B,AtlasReport_3_Table_1[[#This Row],[Lot ID]],InventTrans!C:C,AtlasReport_3_Table_1[[#This Row],[Packing slip]],InventTrans!D:D,AtlasReport_3_Table_1[[#This Row],[Ship date]])</f>
        <v>375</v>
      </c>
      <c r="I183" s="5" t="s">
        <v>63</v>
      </c>
      <c r="J183" s="5" t="s">
        <v>270</v>
      </c>
      <c r="K183" s="10" t="s">
        <v>522</v>
      </c>
    </row>
    <row r="184" spans="1:11" hidden="1">
      <c r="A184" s="5" t="s">
        <v>39</v>
      </c>
      <c r="B184" s="5" t="s">
        <v>269</v>
      </c>
      <c r="C184" s="5" t="s">
        <v>90</v>
      </c>
      <c r="D184" s="5" t="s">
        <v>88</v>
      </c>
      <c r="E184" s="8">
        <v>44454</v>
      </c>
      <c r="F184" s="6">
        <v>24</v>
      </c>
      <c r="G184" s="5" t="s">
        <v>62</v>
      </c>
      <c r="H184" s="6">
        <f>SUMIFS(InventTrans!G:G,InventTrans!B:B,AtlasReport_3_Table_1[[#This Row],[Lot ID]],InventTrans!C:C,AtlasReport_3_Table_1[[#This Row],[Packing slip]],InventTrans!D:D,AtlasReport_3_Table_1[[#This Row],[Ship date]])</f>
        <v>2340</v>
      </c>
      <c r="I184" s="5" t="s">
        <v>63</v>
      </c>
      <c r="J184" s="5" t="s">
        <v>271</v>
      </c>
      <c r="K184" s="10" t="s">
        <v>522</v>
      </c>
    </row>
    <row r="185" spans="1:11" hidden="1">
      <c r="A185" s="5" t="s">
        <v>39</v>
      </c>
      <c r="B185" s="5" t="s">
        <v>269</v>
      </c>
      <c r="C185" s="5" t="s">
        <v>124</v>
      </c>
      <c r="D185" s="5" t="s">
        <v>125</v>
      </c>
      <c r="E185" s="8">
        <v>44454</v>
      </c>
      <c r="F185" s="6">
        <v>2</v>
      </c>
      <c r="G185" s="5" t="s">
        <v>16</v>
      </c>
      <c r="H185" s="6">
        <f>SUMIFS(InventTrans!G:G,InventTrans!B:B,AtlasReport_3_Table_1[[#This Row],[Lot ID]],InventTrans!C:C,AtlasReport_3_Table_1[[#This Row],[Packing slip]],InventTrans!D:D,AtlasReport_3_Table_1[[#This Row],[Ship date]])</f>
        <v>2</v>
      </c>
      <c r="I185" s="5" t="s">
        <v>63</v>
      </c>
      <c r="J185" s="5" t="s">
        <v>272</v>
      </c>
      <c r="K185" s="10" t="s">
        <v>522</v>
      </c>
    </row>
    <row r="186" spans="1:11" hidden="1">
      <c r="A186" s="5" t="s">
        <v>39</v>
      </c>
      <c r="B186" s="5" t="s">
        <v>269</v>
      </c>
      <c r="C186" s="5" t="s">
        <v>124</v>
      </c>
      <c r="D186" s="5" t="s">
        <v>125</v>
      </c>
      <c r="E186" s="8">
        <v>44484</v>
      </c>
      <c r="F186" s="6">
        <v>-1</v>
      </c>
      <c r="G186" s="5" t="s">
        <v>16</v>
      </c>
      <c r="H186" s="6">
        <f>SUMIFS(InventTrans!G:G,InventTrans!B:B,AtlasReport_3_Table_1[[#This Row],[Lot ID]],InventTrans!C:C,AtlasReport_3_Table_1[[#This Row],[Packing slip]],InventTrans!D:D,AtlasReport_3_Table_1[[#This Row],[Ship date]])</f>
        <v>-1</v>
      </c>
      <c r="I186" s="5" t="s">
        <v>63</v>
      </c>
      <c r="J186" s="5" t="s">
        <v>272</v>
      </c>
      <c r="K186" s="10" t="s">
        <v>523</v>
      </c>
    </row>
    <row r="187" spans="1:11">
      <c r="A187" s="5" t="s">
        <v>39</v>
      </c>
      <c r="B187" s="5" t="s">
        <v>273</v>
      </c>
      <c r="C187" s="5" t="s">
        <v>66</v>
      </c>
      <c r="D187" s="5" t="s">
        <v>67</v>
      </c>
      <c r="E187" s="8">
        <v>44446</v>
      </c>
      <c r="F187" s="6">
        <v>90</v>
      </c>
      <c r="G187" s="5" t="s">
        <v>62</v>
      </c>
      <c r="H187" s="6">
        <f>SUMIFS(InventTrans!G:G,InventTrans!B:B,AtlasReport_3_Table_1[[#This Row],[Lot ID]],InventTrans!C:C,AtlasReport_3_Table_1[[#This Row],[Packing slip]],InventTrans!D:D,AtlasReport_3_Table_1[[#This Row],[Ship date]])</f>
        <v>4365</v>
      </c>
      <c r="I187" s="5" t="s">
        <v>63</v>
      </c>
      <c r="J187" s="5" t="s">
        <v>274</v>
      </c>
      <c r="K187" s="10" t="s">
        <v>524</v>
      </c>
    </row>
    <row r="188" spans="1:11">
      <c r="A188" s="5" t="s">
        <v>39</v>
      </c>
      <c r="B188" s="5" t="s">
        <v>275</v>
      </c>
      <c r="C188" s="5" t="s">
        <v>66</v>
      </c>
      <c r="D188" s="5" t="s">
        <v>67</v>
      </c>
      <c r="E188" s="8">
        <v>44446</v>
      </c>
      <c r="F188" s="6">
        <v>30</v>
      </c>
      <c r="G188" s="5" t="s">
        <v>62</v>
      </c>
      <c r="H188" s="6">
        <f>SUMIFS(InventTrans!G:G,InventTrans!B:B,AtlasReport_3_Table_1[[#This Row],[Lot ID]],InventTrans!C:C,AtlasReport_3_Table_1[[#This Row],[Packing slip]],InventTrans!D:D,AtlasReport_3_Table_1[[#This Row],[Ship date]])</f>
        <v>1455</v>
      </c>
      <c r="I188" s="5" t="s">
        <v>63</v>
      </c>
      <c r="J188" s="5" t="s">
        <v>276</v>
      </c>
      <c r="K188" s="10" t="s">
        <v>525</v>
      </c>
    </row>
    <row r="189" spans="1:11" hidden="1">
      <c r="A189" s="5" t="s">
        <v>39</v>
      </c>
      <c r="B189" s="5" t="s">
        <v>50</v>
      </c>
      <c r="C189" s="5" t="s">
        <v>87</v>
      </c>
      <c r="D189" s="5" t="s">
        <v>88</v>
      </c>
      <c r="E189" s="8">
        <v>44456</v>
      </c>
      <c r="F189" s="6">
        <v>13</v>
      </c>
      <c r="G189" s="5" t="s">
        <v>62</v>
      </c>
      <c r="H189" s="6">
        <f>SUMIFS(InventTrans!G:G,InventTrans!B:B,AtlasReport_3_Table_1[[#This Row],[Lot ID]],InventTrans!C:C,AtlasReport_3_Table_1[[#This Row],[Packing slip]],InventTrans!D:D,AtlasReport_3_Table_1[[#This Row],[Ship date]])</f>
        <v>630.5</v>
      </c>
      <c r="I189" s="5" t="s">
        <v>63</v>
      </c>
      <c r="J189" s="5" t="s">
        <v>277</v>
      </c>
      <c r="K189" s="10" t="s">
        <v>526</v>
      </c>
    </row>
    <row r="190" spans="1:11" hidden="1">
      <c r="A190" s="5" t="s">
        <v>39</v>
      </c>
      <c r="B190" s="5" t="s">
        <v>50</v>
      </c>
      <c r="C190" s="5" t="s">
        <v>110</v>
      </c>
      <c r="D190" s="5" t="s">
        <v>88</v>
      </c>
      <c r="E190" s="8">
        <v>44456</v>
      </c>
      <c r="F190" s="6">
        <v>13</v>
      </c>
      <c r="G190" s="5" t="s">
        <v>62</v>
      </c>
      <c r="H190" s="6">
        <f>SUMIFS(InventTrans!G:G,InventTrans!B:B,AtlasReport_3_Table_1[[#This Row],[Lot ID]],InventTrans!C:C,AtlasReport_3_Table_1[[#This Row],[Packing slip]],InventTrans!D:D,AtlasReport_3_Table_1[[#This Row],[Ship date]])</f>
        <v>975</v>
      </c>
      <c r="I190" s="5" t="s">
        <v>63</v>
      </c>
      <c r="J190" s="5" t="s">
        <v>278</v>
      </c>
      <c r="K190" s="10" t="s">
        <v>526</v>
      </c>
    </row>
    <row r="191" spans="1:11" hidden="1">
      <c r="A191" s="5" t="s">
        <v>39</v>
      </c>
      <c r="B191" s="5" t="s">
        <v>50</v>
      </c>
      <c r="C191" s="5" t="s">
        <v>90</v>
      </c>
      <c r="D191" s="5" t="s">
        <v>88</v>
      </c>
      <c r="E191" s="8">
        <v>44456</v>
      </c>
      <c r="F191" s="6">
        <v>25</v>
      </c>
      <c r="G191" s="5" t="s">
        <v>62</v>
      </c>
      <c r="H191" s="6">
        <f>SUMIFS(InventTrans!G:G,InventTrans!B:B,AtlasReport_3_Table_1[[#This Row],[Lot ID]],InventTrans!C:C,AtlasReport_3_Table_1[[#This Row],[Packing slip]],InventTrans!D:D,AtlasReport_3_Table_1[[#This Row],[Ship date]])</f>
        <v>2437.5</v>
      </c>
      <c r="I191" s="5" t="s">
        <v>63</v>
      </c>
      <c r="J191" s="5" t="s">
        <v>279</v>
      </c>
      <c r="K191" s="10" t="s">
        <v>526</v>
      </c>
    </row>
    <row r="192" spans="1:11" hidden="1">
      <c r="A192" s="5" t="s">
        <v>39</v>
      </c>
      <c r="B192" s="5" t="s">
        <v>50</v>
      </c>
      <c r="C192" s="5" t="s">
        <v>124</v>
      </c>
      <c r="D192" s="5" t="s">
        <v>125</v>
      </c>
      <c r="E192" s="8">
        <v>44456</v>
      </c>
      <c r="F192" s="6">
        <v>1</v>
      </c>
      <c r="G192" s="5" t="s">
        <v>16</v>
      </c>
      <c r="H192" s="6">
        <f>SUMIFS(InventTrans!G:G,InventTrans!B:B,AtlasReport_3_Table_1[[#This Row],[Lot ID]],InventTrans!C:C,AtlasReport_3_Table_1[[#This Row],[Packing slip]],InventTrans!D:D,AtlasReport_3_Table_1[[#This Row],[Ship date]])</f>
        <v>1</v>
      </c>
      <c r="I192" s="5" t="s">
        <v>63</v>
      </c>
      <c r="J192" s="5" t="s">
        <v>280</v>
      </c>
      <c r="K192" s="10" t="s">
        <v>526</v>
      </c>
    </row>
    <row r="193" spans="1:11" hidden="1">
      <c r="A193" s="5" t="s">
        <v>39</v>
      </c>
      <c r="B193" s="5" t="s">
        <v>51</v>
      </c>
      <c r="C193" s="5" t="s">
        <v>97</v>
      </c>
      <c r="D193" s="5" t="s">
        <v>67</v>
      </c>
      <c r="E193" s="8">
        <v>44454</v>
      </c>
      <c r="F193" s="6">
        <v>1500</v>
      </c>
      <c r="G193" s="5" t="s">
        <v>63</v>
      </c>
      <c r="H193" s="6">
        <f>SUMIFS(InventTrans!G:G,InventTrans!B:B,AtlasReport_3_Table_1[[#This Row],[Lot ID]],InventTrans!C:C,AtlasReport_3_Table_1[[#This Row],[Packing slip]],InventTrans!D:D,AtlasReport_3_Table_1[[#This Row],[Ship date]])</f>
        <v>1500</v>
      </c>
      <c r="I193" s="5" t="s">
        <v>63</v>
      </c>
      <c r="J193" s="5" t="s">
        <v>281</v>
      </c>
      <c r="K193" s="10" t="s">
        <v>527</v>
      </c>
    </row>
    <row r="194" spans="1:11" hidden="1">
      <c r="A194" s="5" t="s">
        <v>39</v>
      </c>
      <c r="B194" s="5" t="s">
        <v>282</v>
      </c>
      <c r="C194" s="5" t="s">
        <v>90</v>
      </c>
      <c r="D194" s="5" t="s">
        <v>88</v>
      </c>
      <c r="E194" s="8">
        <v>44466</v>
      </c>
      <c r="F194" s="6">
        <v>2</v>
      </c>
      <c r="G194" s="5" t="s">
        <v>62</v>
      </c>
      <c r="H194" s="6">
        <f>SUMIFS(InventTrans!G:G,InventTrans!B:B,AtlasReport_3_Table_1[[#This Row],[Lot ID]],InventTrans!C:C,AtlasReport_3_Table_1[[#This Row],[Packing slip]],InventTrans!D:D,AtlasReport_3_Table_1[[#This Row],[Ship date]])</f>
        <v>195</v>
      </c>
      <c r="I194" s="5" t="s">
        <v>63</v>
      </c>
      <c r="J194" s="5" t="s">
        <v>283</v>
      </c>
      <c r="K194" s="10" t="s">
        <v>528</v>
      </c>
    </row>
    <row r="195" spans="1:11" hidden="1">
      <c r="A195" s="5" t="s">
        <v>39</v>
      </c>
      <c r="B195" s="5" t="s">
        <v>284</v>
      </c>
      <c r="C195" s="5" t="s">
        <v>124</v>
      </c>
      <c r="D195" s="5" t="s">
        <v>125</v>
      </c>
      <c r="E195" s="8">
        <v>44467</v>
      </c>
      <c r="F195" s="6">
        <v>1</v>
      </c>
      <c r="G195" s="5" t="s">
        <v>16</v>
      </c>
      <c r="H195" s="6">
        <f>SUMIFS(InventTrans!G:G,InventTrans!B:B,AtlasReport_3_Table_1[[#This Row],[Lot ID]],InventTrans!C:C,AtlasReport_3_Table_1[[#This Row],[Packing slip]],InventTrans!D:D,AtlasReport_3_Table_1[[#This Row],[Ship date]])</f>
        <v>1</v>
      </c>
      <c r="I195" s="5" t="s">
        <v>63</v>
      </c>
      <c r="J195" s="5" t="s">
        <v>285</v>
      </c>
      <c r="K195" s="10" t="s">
        <v>529</v>
      </c>
    </row>
    <row r="196" spans="1:11" hidden="1">
      <c r="A196" s="5" t="s">
        <v>39</v>
      </c>
      <c r="B196" s="5" t="s">
        <v>286</v>
      </c>
      <c r="C196" s="5" t="s">
        <v>69</v>
      </c>
      <c r="D196" s="5" t="s">
        <v>67</v>
      </c>
      <c r="E196" s="8">
        <v>44467</v>
      </c>
      <c r="F196" s="6">
        <v>8</v>
      </c>
      <c r="G196" s="5" t="s">
        <v>62</v>
      </c>
      <c r="H196" s="6">
        <f>SUMIFS(InventTrans!G:G,InventTrans!B:B,AtlasReport_3_Table_1[[#This Row],[Lot ID]],InventTrans!C:C,AtlasReport_3_Table_1[[#This Row],[Packing slip]],InventTrans!D:D,AtlasReport_3_Table_1[[#This Row],[Ship date]])</f>
        <v>780</v>
      </c>
      <c r="I196" s="5" t="s">
        <v>63</v>
      </c>
      <c r="J196" s="5" t="s">
        <v>287</v>
      </c>
      <c r="K196" s="10" t="s">
        <v>530</v>
      </c>
    </row>
    <row r="197" spans="1:11" hidden="1">
      <c r="A197" s="5" t="s">
        <v>39</v>
      </c>
      <c r="B197" s="5" t="s">
        <v>286</v>
      </c>
      <c r="C197" s="5" t="s">
        <v>97</v>
      </c>
      <c r="D197" s="5" t="s">
        <v>67</v>
      </c>
      <c r="E197" s="8">
        <v>44467</v>
      </c>
      <c r="F197" s="6">
        <v>23</v>
      </c>
      <c r="G197" s="5" t="s">
        <v>62</v>
      </c>
      <c r="H197" s="6">
        <f>SUMIFS(InventTrans!G:G,InventTrans!B:B,AtlasReport_3_Table_1[[#This Row],[Lot ID]],InventTrans!C:C,AtlasReport_3_Table_1[[#This Row],[Packing slip]],InventTrans!D:D,AtlasReport_3_Table_1[[#This Row],[Ship date]])</f>
        <v>1725</v>
      </c>
      <c r="I197" s="5" t="s">
        <v>63</v>
      </c>
      <c r="J197" s="5" t="s">
        <v>288</v>
      </c>
      <c r="K197" s="10" t="s">
        <v>530</v>
      </c>
    </row>
    <row r="198" spans="1:11">
      <c r="A198" s="5" t="s">
        <v>39</v>
      </c>
      <c r="B198" s="5" t="s">
        <v>286</v>
      </c>
      <c r="C198" s="5" t="s">
        <v>66</v>
      </c>
      <c r="D198" s="5" t="s">
        <v>67</v>
      </c>
      <c r="E198" s="8">
        <v>44467</v>
      </c>
      <c r="F198" s="6">
        <v>36</v>
      </c>
      <c r="G198" s="5" t="s">
        <v>62</v>
      </c>
      <c r="H198" s="6">
        <f>SUMIFS(InventTrans!G:G,InventTrans!B:B,AtlasReport_3_Table_1[[#This Row],[Lot ID]],InventTrans!C:C,AtlasReport_3_Table_1[[#This Row],[Packing slip]],InventTrans!D:D,AtlasReport_3_Table_1[[#This Row],[Ship date]])</f>
        <v>1746</v>
      </c>
      <c r="I198" s="5" t="s">
        <v>63</v>
      </c>
      <c r="J198" s="5" t="s">
        <v>289</v>
      </c>
      <c r="K198" s="10" t="s">
        <v>530</v>
      </c>
    </row>
    <row r="199" spans="1:11">
      <c r="A199" s="5" t="s">
        <v>39</v>
      </c>
      <c r="B199" s="5" t="s">
        <v>43</v>
      </c>
      <c r="C199" s="5" t="s">
        <v>66</v>
      </c>
      <c r="D199" s="5" t="s">
        <v>67</v>
      </c>
      <c r="E199" s="8">
        <v>44469</v>
      </c>
      <c r="F199" s="6">
        <v>-727.5</v>
      </c>
      <c r="G199" s="5" t="s">
        <v>63</v>
      </c>
      <c r="H199" s="6">
        <f>SUMIFS(InventTrans!G:G,InventTrans!B:B,AtlasReport_3_Table_1[[#This Row],[Lot ID]],InventTrans!C:C,AtlasReport_3_Table_1[[#This Row],[Packing slip]],InventTrans!D:D,AtlasReport_3_Table_1[[#This Row],[Ship date]])</f>
        <v>-727.5</v>
      </c>
      <c r="I199" s="5" t="s">
        <v>63</v>
      </c>
      <c r="J199" s="5" t="s">
        <v>290</v>
      </c>
      <c r="K199" s="10" t="s">
        <v>531</v>
      </c>
    </row>
    <row r="200" spans="1:11" hidden="1">
      <c r="A200" s="5" t="s">
        <v>39</v>
      </c>
      <c r="B200" s="5" t="s">
        <v>43</v>
      </c>
      <c r="C200" s="5" t="s">
        <v>69</v>
      </c>
      <c r="D200" s="5" t="s">
        <v>67</v>
      </c>
      <c r="E200" s="8">
        <v>44469</v>
      </c>
      <c r="F200" s="6">
        <v>-4387.5</v>
      </c>
      <c r="G200" s="5" t="s">
        <v>63</v>
      </c>
      <c r="H200" s="6">
        <f>SUMIFS(InventTrans!G:G,InventTrans!B:B,AtlasReport_3_Table_1[[#This Row],[Lot ID]],InventTrans!C:C,AtlasReport_3_Table_1[[#This Row],[Packing slip]],InventTrans!D:D,AtlasReport_3_Table_1[[#This Row],[Ship date]])</f>
        <v>-4387.5</v>
      </c>
      <c r="I200" s="5" t="s">
        <v>63</v>
      </c>
      <c r="J200" s="5" t="s">
        <v>291</v>
      </c>
      <c r="K200" s="10" t="s">
        <v>531</v>
      </c>
    </row>
    <row r="201" spans="1:11" hidden="1">
      <c r="A201" s="5" t="s">
        <v>39</v>
      </c>
      <c r="B201" s="5" t="s">
        <v>292</v>
      </c>
      <c r="C201" s="5" t="s">
        <v>90</v>
      </c>
      <c r="D201" s="5" t="s">
        <v>88</v>
      </c>
      <c r="E201" s="8">
        <v>44469</v>
      </c>
      <c r="F201" s="6">
        <v>-15</v>
      </c>
      <c r="G201" s="5" t="s">
        <v>62</v>
      </c>
      <c r="H201" s="6">
        <f>SUMIFS(InventTrans!G:G,InventTrans!B:B,AtlasReport_3_Table_1[[#This Row],[Lot ID]],InventTrans!C:C,AtlasReport_3_Table_1[[#This Row],[Packing slip]],InventTrans!D:D,AtlasReport_3_Table_1[[#This Row],[Ship date]])</f>
        <v>-1462.5</v>
      </c>
      <c r="I201" s="5" t="s">
        <v>63</v>
      </c>
      <c r="J201" s="5" t="s">
        <v>293</v>
      </c>
      <c r="K201" s="10" t="s">
        <v>532</v>
      </c>
    </row>
    <row r="202" spans="1:11">
      <c r="A202" s="5" t="s">
        <v>39</v>
      </c>
      <c r="B202" s="5" t="s">
        <v>294</v>
      </c>
      <c r="C202" s="5" t="s">
        <v>66</v>
      </c>
      <c r="D202" s="5" t="s">
        <v>67</v>
      </c>
      <c r="E202" s="8">
        <v>44473</v>
      </c>
      <c r="F202" s="6">
        <v>80</v>
      </c>
      <c r="G202" s="5" t="s">
        <v>62</v>
      </c>
      <c r="H202" s="6">
        <f>SUMIFS(InventTrans!G:G,InventTrans!B:B,AtlasReport_3_Table_1[[#This Row],[Lot ID]],InventTrans!C:C,AtlasReport_3_Table_1[[#This Row],[Packing slip]],InventTrans!D:D,AtlasReport_3_Table_1[[#This Row],[Ship date]])</f>
        <v>3880</v>
      </c>
      <c r="I202" s="5" t="s">
        <v>63</v>
      </c>
      <c r="J202" s="5" t="s">
        <v>295</v>
      </c>
      <c r="K202" s="10" t="s">
        <v>533</v>
      </c>
    </row>
    <row r="203" spans="1:11" hidden="1">
      <c r="A203" s="5" t="s">
        <v>39</v>
      </c>
      <c r="B203" s="5" t="s">
        <v>294</v>
      </c>
      <c r="C203" s="5" t="s">
        <v>69</v>
      </c>
      <c r="D203" s="5" t="s">
        <v>67</v>
      </c>
      <c r="E203" s="8">
        <v>44473</v>
      </c>
      <c r="F203" s="6">
        <v>100</v>
      </c>
      <c r="G203" s="5" t="s">
        <v>62</v>
      </c>
      <c r="H203" s="6">
        <f>SUMIFS(InventTrans!G:G,InventTrans!B:B,AtlasReport_3_Table_1[[#This Row],[Lot ID]],InventTrans!C:C,AtlasReport_3_Table_1[[#This Row],[Packing slip]],InventTrans!D:D,AtlasReport_3_Table_1[[#This Row],[Ship date]])</f>
        <v>9750</v>
      </c>
      <c r="I203" s="5" t="s">
        <v>63</v>
      </c>
      <c r="J203" s="5" t="s">
        <v>296</v>
      </c>
      <c r="K203" s="10" t="s">
        <v>533</v>
      </c>
    </row>
    <row r="204" spans="1:11" hidden="1">
      <c r="A204" s="5" t="s">
        <v>39</v>
      </c>
      <c r="B204" s="5" t="s">
        <v>297</v>
      </c>
      <c r="C204" s="5" t="s">
        <v>69</v>
      </c>
      <c r="D204" s="5" t="s">
        <v>67</v>
      </c>
      <c r="E204" s="8">
        <v>44473</v>
      </c>
      <c r="F204" s="6">
        <v>120</v>
      </c>
      <c r="G204" s="5" t="s">
        <v>62</v>
      </c>
      <c r="H204" s="6">
        <f>SUMIFS(InventTrans!G:G,InventTrans!B:B,AtlasReport_3_Table_1[[#This Row],[Lot ID]],InventTrans!C:C,AtlasReport_3_Table_1[[#This Row],[Packing slip]],InventTrans!D:D,AtlasReport_3_Table_1[[#This Row],[Ship date]])</f>
        <v>11700</v>
      </c>
      <c r="I204" s="5" t="s">
        <v>63</v>
      </c>
      <c r="J204" s="5" t="s">
        <v>298</v>
      </c>
      <c r="K204" s="10" t="s">
        <v>534</v>
      </c>
    </row>
    <row r="205" spans="1:11" hidden="1">
      <c r="A205" s="5" t="s">
        <v>39</v>
      </c>
      <c r="B205" s="5" t="s">
        <v>52</v>
      </c>
      <c r="C205" s="5" t="s">
        <v>69</v>
      </c>
      <c r="D205" s="5" t="s">
        <v>67</v>
      </c>
      <c r="E205" s="8">
        <v>44480</v>
      </c>
      <c r="F205" s="6">
        <v>18</v>
      </c>
      <c r="G205" s="5" t="s">
        <v>62</v>
      </c>
      <c r="H205" s="6">
        <f>SUMIFS(InventTrans!G:G,InventTrans!B:B,AtlasReport_3_Table_1[[#This Row],[Lot ID]],InventTrans!C:C,AtlasReport_3_Table_1[[#This Row],[Packing slip]],InventTrans!D:D,AtlasReport_3_Table_1[[#This Row],[Ship date]])</f>
        <v>1755</v>
      </c>
      <c r="I205" s="5" t="s">
        <v>63</v>
      </c>
      <c r="J205" s="5" t="s">
        <v>299</v>
      </c>
      <c r="K205" s="10" t="s">
        <v>535</v>
      </c>
    </row>
    <row r="206" spans="1:11" hidden="1">
      <c r="A206" s="5" t="s">
        <v>39</v>
      </c>
      <c r="B206" s="5" t="s">
        <v>44</v>
      </c>
      <c r="C206" s="5" t="s">
        <v>124</v>
      </c>
      <c r="D206" s="5" t="s">
        <v>125</v>
      </c>
      <c r="E206" s="8">
        <v>44475</v>
      </c>
      <c r="F206" s="6">
        <v>-1</v>
      </c>
      <c r="G206" s="5" t="s">
        <v>16</v>
      </c>
      <c r="H206" s="6">
        <f>SUMIFS(InventTrans!G:G,InventTrans!B:B,AtlasReport_3_Table_1[[#This Row],[Lot ID]],InventTrans!C:C,AtlasReport_3_Table_1[[#This Row],[Packing slip]],InventTrans!D:D,AtlasReport_3_Table_1[[#This Row],[Ship date]])</f>
        <v>-1</v>
      </c>
      <c r="I206" s="5" t="s">
        <v>63</v>
      </c>
      <c r="J206" s="5" t="s">
        <v>300</v>
      </c>
      <c r="K206" s="10" t="s">
        <v>536</v>
      </c>
    </row>
    <row r="207" spans="1:11" hidden="1">
      <c r="A207" s="5" t="s">
        <v>39</v>
      </c>
      <c r="B207" s="5" t="s">
        <v>45</v>
      </c>
      <c r="C207" s="5" t="s">
        <v>124</v>
      </c>
      <c r="D207" s="5" t="s">
        <v>125</v>
      </c>
      <c r="E207" s="8">
        <v>44475</v>
      </c>
      <c r="F207" s="6">
        <v>1</v>
      </c>
      <c r="G207" s="5" t="s">
        <v>63</v>
      </c>
      <c r="H207" s="6">
        <f>SUMIFS(InventTrans!G:G,InventTrans!B:B,AtlasReport_3_Table_1[[#This Row],[Lot ID]],InventTrans!C:C,AtlasReport_3_Table_1[[#This Row],[Packing slip]],InventTrans!D:D,AtlasReport_3_Table_1[[#This Row],[Ship date]])</f>
        <v>1</v>
      </c>
      <c r="I207" s="5" t="s">
        <v>63</v>
      </c>
      <c r="J207" s="5" t="s">
        <v>301</v>
      </c>
      <c r="K207" s="10" t="s">
        <v>537</v>
      </c>
    </row>
    <row r="208" spans="1:11" hidden="1">
      <c r="A208" s="5" t="s">
        <v>39</v>
      </c>
      <c r="B208" s="5" t="s">
        <v>302</v>
      </c>
      <c r="C208" s="5" t="s">
        <v>87</v>
      </c>
      <c r="D208" s="5" t="s">
        <v>88</v>
      </c>
      <c r="E208" s="8">
        <v>44480</v>
      </c>
      <c r="F208" s="6">
        <v>-13</v>
      </c>
      <c r="G208" s="5" t="s">
        <v>62</v>
      </c>
      <c r="H208" s="6">
        <f>SUMIFS(InventTrans!G:G,InventTrans!B:B,AtlasReport_3_Table_1[[#This Row],[Lot ID]],InventTrans!C:C,AtlasReport_3_Table_1[[#This Row],[Packing slip]],InventTrans!D:D,AtlasReport_3_Table_1[[#This Row],[Ship date]])</f>
        <v>-630.5</v>
      </c>
      <c r="I208" s="5" t="s">
        <v>63</v>
      </c>
      <c r="J208" s="5" t="s">
        <v>303</v>
      </c>
      <c r="K208" s="10" t="s">
        <v>538</v>
      </c>
    </row>
    <row r="209" spans="1:11" hidden="1">
      <c r="A209" s="5" t="s">
        <v>39</v>
      </c>
      <c r="B209" s="5" t="s">
        <v>302</v>
      </c>
      <c r="C209" s="5" t="s">
        <v>110</v>
      </c>
      <c r="D209" s="5" t="s">
        <v>88</v>
      </c>
      <c r="E209" s="8">
        <v>44480</v>
      </c>
      <c r="F209" s="6">
        <v>-13</v>
      </c>
      <c r="G209" s="5" t="s">
        <v>62</v>
      </c>
      <c r="H209" s="6">
        <f>SUMIFS(InventTrans!G:G,InventTrans!B:B,AtlasReport_3_Table_1[[#This Row],[Lot ID]],InventTrans!C:C,AtlasReport_3_Table_1[[#This Row],[Packing slip]],InventTrans!D:D,AtlasReport_3_Table_1[[#This Row],[Ship date]])</f>
        <v>-975</v>
      </c>
      <c r="I209" s="5" t="s">
        <v>63</v>
      </c>
      <c r="J209" s="5" t="s">
        <v>304</v>
      </c>
      <c r="K209" s="10" t="s">
        <v>538</v>
      </c>
    </row>
    <row r="210" spans="1:11" hidden="1">
      <c r="A210" s="5" t="s">
        <v>39</v>
      </c>
      <c r="B210" s="5" t="s">
        <v>302</v>
      </c>
      <c r="C210" s="5" t="s">
        <v>90</v>
      </c>
      <c r="D210" s="5" t="s">
        <v>88</v>
      </c>
      <c r="E210" s="8">
        <v>44480</v>
      </c>
      <c r="F210" s="6">
        <v>-25</v>
      </c>
      <c r="G210" s="5" t="s">
        <v>62</v>
      </c>
      <c r="H210" s="6">
        <f>SUMIFS(InventTrans!G:G,InventTrans!B:B,AtlasReport_3_Table_1[[#This Row],[Lot ID]],InventTrans!C:C,AtlasReport_3_Table_1[[#This Row],[Packing slip]],InventTrans!D:D,AtlasReport_3_Table_1[[#This Row],[Ship date]])</f>
        <v>-2437.5</v>
      </c>
      <c r="I210" s="5" t="s">
        <v>63</v>
      </c>
      <c r="J210" s="5" t="s">
        <v>305</v>
      </c>
      <c r="K210" s="10" t="s">
        <v>538</v>
      </c>
    </row>
    <row r="211" spans="1:11" hidden="1">
      <c r="A211" s="5" t="s">
        <v>39</v>
      </c>
      <c r="B211" s="5" t="s">
        <v>302</v>
      </c>
      <c r="C211" s="5" t="s">
        <v>124</v>
      </c>
      <c r="D211" s="5" t="s">
        <v>125</v>
      </c>
      <c r="E211" s="8">
        <v>44480</v>
      </c>
      <c r="F211" s="6">
        <v>-1</v>
      </c>
      <c r="G211" s="5" t="s">
        <v>16</v>
      </c>
      <c r="H211" s="6">
        <f>SUMIFS(InventTrans!G:G,InventTrans!B:B,AtlasReport_3_Table_1[[#This Row],[Lot ID]],InventTrans!C:C,AtlasReport_3_Table_1[[#This Row],[Packing slip]],InventTrans!D:D,AtlasReport_3_Table_1[[#This Row],[Ship date]])</f>
        <v>-1</v>
      </c>
      <c r="I211" s="5" t="s">
        <v>63</v>
      </c>
      <c r="J211" s="5" t="s">
        <v>306</v>
      </c>
      <c r="K211" s="10" t="s">
        <v>538</v>
      </c>
    </row>
    <row r="212" spans="1:11" hidden="1">
      <c r="A212" s="5" t="s">
        <v>39</v>
      </c>
      <c r="B212" s="5" t="s">
        <v>307</v>
      </c>
      <c r="C212" s="5" t="s">
        <v>87</v>
      </c>
      <c r="D212" s="5" t="s">
        <v>88</v>
      </c>
      <c r="E212" s="8">
        <v>44480</v>
      </c>
      <c r="F212" s="6">
        <v>13</v>
      </c>
      <c r="G212" s="5" t="s">
        <v>62</v>
      </c>
      <c r="H212" s="6">
        <f>SUMIFS(InventTrans!G:G,InventTrans!B:B,AtlasReport_3_Table_1[[#This Row],[Lot ID]],InventTrans!C:C,AtlasReport_3_Table_1[[#This Row],[Packing slip]],InventTrans!D:D,AtlasReport_3_Table_1[[#This Row],[Ship date]])</f>
        <v>630.5</v>
      </c>
      <c r="I212" s="5" t="s">
        <v>63</v>
      </c>
      <c r="J212" s="5" t="s">
        <v>308</v>
      </c>
      <c r="K212" s="10" t="s">
        <v>539</v>
      </c>
    </row>
    <row r="213" spans="1:11" hidden="1">
      <c r="A213" s="5" t="s">
        <v>39</v>
      </c>
      <c r="B213" s="5" t="s">
        <v>307</v>
      </c>
      <c r="C213" s="5" t="s">
        <v>110</v>
      </c>
      <c r="D213" s="5" t="s">
        <v>88</v>
      </c>
      <c r="E213" s="8">
        <v>44480</v>
      </c>
      <c r="F213" s="6">
        <v>13</v>
      </c>
      <c r="G213" s="5" t="s">
        <v>62</v>
      </c>
      <c r="H213" s="6">
        <f>SUMIFS(InventTrans!G:G,InventTrans!B:B,AtlasReport_3_Table_1[[#This Row],[Lot ID]],InventTrans!C:C,AtlasReport_3_Table_1[[#This Row],[Packing slip]],InventTrans!D:D,AtlasReport_3_Table_1[[#This Row],[Ship date]])</f>
        <v>975</v>
      </c>
      <c r="I213" s="5" t="s">
        <v>63</v>
      </c>
      <c r="J213" s="5" t="s">
        <v>309</v>
      </c>
      <c r="K213" s="10" t="s">
        <v>539</v>
      </c>
    </row>
    <row r="214" spans="1:11" hidden="1">
      <c r="A214" s="5" t="s">
        <v>39</v>
      </c>
      <c r="B214" s="5" t="s">
        <v>307</v>
      </c>
      <c r="C214" s="5" t="s">
        <v>90</v>
      </c>
      <c r="D214" s="5" t="s">
        <v>88</v>
      </c>
      <c r="E214" s="8">
        <v>44480</v>
      </c>
      <c r="F214" s="6">
        <v>25</v>
      </c>
      <c r="G214" s="5" t="s">
        <v>62</v>
      </c>
      <c r="H214" s="6">
        <f>SUMIFS(InventTrans!G:G,InventTrans!B:B,AtlasReport_3_Table_1[[#This Row],[Lot ID]],InventTrans!C:C,AtlasReport_3_Table_1[[#This Row],[Packing slip]],InventTrans!D:D,AtlasReport_3_Table_1[[#This Row],[Ship date]])</f>
        <v>2437.5</v>
      </c>
      <c r="I214" s="5" t="s">
        <v>63</v>
      </c>
      <c r="J214" s="5" t="s">
        <v>310</v>
      </c>
      <c r="K214" s="10" t="s">
        <v>539</v>
      </c>
    </row>
    <row r="215" spans="1:11" hidden="1">
      <c r="A215" s="5" t="s">
        <v>39</v>
      </c>
      <c r="B215" s="5" t="s">
        <v>307</v>
      </c>
      <c r="C215" s="5" t="s">
        <v>124</v>
      </c>
      <c r="D215" s="5" t="s">
        <v>125</v>
      </c>
      <c r="E215" s="8">
        <v>44480</v>
      </c>
      <c r="F215" s="6">
        <v>2</v>
      </c>
      <c r="G215" s="5" t="s">
        <v>16</v>
      </c>
      <c r="H215" s="6">
        <f>SUMIFS(InventTrans!G:G,InventTrans!B:B,AtlasReport_3_Table_1[[#This Row],[Lot ID]],InventTrans!C:C,AtlasReport_3_Table_1[[#This Row],[Packing slip]],InventTrans!D:D,AtlasReport_3_Table_1[[#This Row],[Ship date]])</f>
        <v>2</v>
      </c>
      <c r="I215" s="5" t="s">
        <v>63</v>
      </c>
      <c r="J215" s="5" t="s">
        <v>311</v>
      </c>
      <c r="K215" s="10" t="s">
        <v>539</v>
      </c>
    </row>
    <row r="216" spans="1:11" hidden="1">
      <c r="A216" s="5" t="s">
        <v>39</v>
      </c>
      <c r="B216" s="5" t="s">
        <v>312</v>
      </c>
      <c r="C216" s="5" t="s">
        <v>87</v>
      </c>
      <c r="D216" s="5" t="s">
        <v>88</v>
      </c>
      <c r="E216" s="8">
        <v>44484</v>
      </c>
      <c r="F216" s="6">
        <v>3</v>
      </c>
      <c r="G216" s="5" t="s">
        <v>62</v>
      </c>
      <c r="H216" s="6">
        <f>SUMIFS(InventTrans!G:G,InventTrans!B:B,AtlasReport_3_Table_1[[#This Row],[Lot ID]],InventTrans!C:C,AtlasReport_3_Table_1[[#This Row],[Packing slip]],InventTrans!D:D,AtlasReport_3_Table_1[[#This Row],[Ship date]])</f>
        <v>145.5</v>
      </c>
      <c r="I216" s="5" t="s">
        <v>63</v>
      </c>
      <c r="J216" s="5" t="s">
        <v>313</v>
      </c>
      <c r="K216" s="10" t="s">
        <v>540</v>
      </c>
    </row>
    <row r="217" spans="1:11" hidden="1">
      <c r="A217" s="5" t="s">
        <v>39</v>
      </c>
      <c r="B217" s="5" t="s">
        <v>312</v>
      </c>
      <c r="C217" s="5" t="s">
        <v>110</v>
      </c>
      <c r="D217" s="5" t="s">
        <v>88</v>
      </c>
      <c r="E217" s="8">
        <v>44484</v>
      </c>
      <c r="F217" s="6">
        <v>10</v>
      </c>
      <c r="G217" s="5" t="s">
        <v>62</v>
      </c>
      <c r="H217" s="6">
        <f>SUMIFS(InventTrans!G:G,InventTrans!B:B,AtlasReport_3_Table_1[[#This Row],[Lot ID]],InventTrans!C:C,AtlasReport_3_Table_1[[#This Row],[Packing slip]],InventTrans!D:D,AtlasReport_3_Table_1[[#This Row],[Ship date]])</f>
        <v>750</v>
      </c>
      <c r="I217" s="5" t="s">
        <v>63</v>
      </c>
      <c r="J217" s="5" t="s">
        <v>314</v>
      </c>
      <c r="K217" s="10" t="s">
        <v>540</v>
      </c>
    </row>
    <row r="218" spans="1:11" hidden="1">
      <c r="A218" s="5" t="s">
        <v>39</v>
      </c>
      <c r="B218" s="5" t="s">
        <v>312</v>
      </c>
      <c r="C218" s="5" t="s">
        <v>124</v>
      </c>
      <c r="D218" s="5" t="s">
        <v>125</v>
      </c>
      <c r="E218" s="8">
        <v>44484</v>
      </c>
      <c r="F218" s="6">
        <v>1</v>
      </c>
      <c r="G218" s="5" t="s">
        <v>16</v>
      </c>
      <c r="H218" s="6">
        <f>SUMIFS(InventTrans!G:G,InventTrans!B:B,AtlasReport_3_Table_1[[#This Row],[Lot ID]],InventTrans!C:C,AtlasReport_3_Table_1[[#This Row],[Packing slip]],InventTrans!D:D,AtlasReport_3_Table_1[[#This Row],[Ship date]])</f>
        <v>1</v>
      </c>
      <c r="I218" s="5" t="s">
        <v>63</v>
      </c>
      <c r="J218" s="5" t="s">
        <v>315</v>
      </c>
      <c r="K218" s="10" t="s">
        <v>540</v>
      </c>
    </row>
    <row r="219" spans="1:11" hidden="1">
      <c r="A219" s="5" t="s">
        <v>39</v>
      </c>
      <c r="B219" s="5" t="s">
        <v>312</v>
      </c>
      <c r="C219" s="5" t="s">
        <v>87</v>
      </c>
      <c r="D219" s="5" t="s">
        <v>88</v>
      </c>
      <c r="E219" s="8">
        <v>44518</v>
      </c>
      <c r="F219" s="6">
        <v>-1</v>
      </c>
      <c r="G219" s="5" t="s">
        <v>62</v>
      </c>
      <c r="H219" s="6">
        <f>SUMIFS(InventTrans!G:G,InventTrans!B:B,AtlasReport_3_Table_1[[#This Row],[Lot ID]],InventTrans!C:C,AtlasReport_3_Table_1[[#This Row],[Packing slip]],InventTrans!D:D,AtlasReport_3_Table_1[[#This Row],[Ship date]])</f>
        <v>-48.5</v>
      </c>
      <c r="I219" s="5" t="s">
        <v>63</v>
      </c>
      <c r="J219" s="5" t="s">
        <v>313</v>
      </c>
      <c r="K219" s="10" t="s">
        <v>541</v>
      </c>
    </row>
    <row r="220" spans="1:11" hidden="1">
      <c r="A220" s="5" t="s">
        <v>39</v>
      </c>
      <c r="B220" s="5" t="s">
        <v>312</v>
      </c>
      <c r="C220" s="5" t="s">
        <v>110</v>
      </c>
      <c r="D220" s="5" t="s">
        <v>88</v>
      </c>
      <c r="E220" s="8">
        <v>44518</v>
      </c>
      <c r="F220" s="6">
        <v>-2</v>
      </c>
      <c r="G220" s="5" t="s">
        <v>62</v>
      </c>
      <c r="H220" s="6">
        <f>SUMIFS(InventTrans!G:G,InventTrans!B:B,AtlasReport_3_Table_1[[#This Row],[Lot ID]],InventTrans!C:C,AtlasReport_3_Table_1[[#This Row],[Packing slip]],InventTrans!D:D,AtlasReport_3_Table_1[[#This Row],[Ship date]])</f>
        <v>-150</v>
      </c>
      <c r="I220" s="5" t="s">
        <v>63</v>
      </c>
      <c r="J220" s="5" t="s">
        <v>314</v>
      </c>
      <c r="K220" s="10" t="s">
        <v>541</v>
      </c>
    </row>
    <row r="221" spans="1:11" hidden="1">
      <c r="A221" s="5" t="s">
        <v>39</v>
      </c>
      <c r="B221" s="5" t="s">
        <v>316</v>
      </c>
      <c r="C221" s="5" t="s">
        <v>110</v>
      </c>
      <c r="D221" s="5" t="s">
        <v>88</v>
      </c>
      <c r="E221" s="8">
        <v>44484</v>
      </c>
      <c r="F221" s="6">
        <v>6</v>
      </c>
      <c r="G221" s="5" t="s">
        <v>62</v>
      </c>
      <c r="H221" s="6">
        <f>SUMIFS(InventTrans!G:G,InventTrans!B:B,AtlasReport_3_Table_1[[#This Row],[Lot ID]],InventTrans!C:C,AtlasReport_3_Table_1[[#This Row],[Packing slip]],InventTrans!D:D,AtlasReport_3_Table_1[[#This Row],[Ship date]])</f>
        <v>450</v>
      </c>
      <c r="I221" s="5" t="s">
        <v>63</v>
      </c>
      <c r="J221" s="5" t="s">
        <v>317</v>
      </c>
      <c r="K221" s="10" t="s">
        <v>542</v>
      </c>
    </row>
    <row r="222" spans="1:11" hidden="1">
      <c r="A222" s="5" t="s">
        <v>39</v>
      </c>
      <c r="B222" s="5" t="s">
        <v>316</v>
      </c>
      <c r="C222" s="5" t="s">
        <v>90</v>
      </c>
      <c r="D222" s="5" t="s">
        <v>88</v>
      </c>
      <c r="E222" s="8">
        <v>44484</v>
      </c>
      <c r="F222" s="6">
        <v>8</v>
      </c>
      <c r="G222" s="5" t="s">
        <v>62</v>
      </c>
      <c r="H222" s="6">
        <f>SUMIFS(InventTrans!G:G,InventTrans!B:B,AtlasReport_3_Table_1[[#This Row],[Lot ID]],InventTrans!C:C,AtlasReport_3_Table_1[[#This Row],[Packing slip]],InventTrans!D:D,AtlasReport_3_Table_1[[#This Row],[Ship date]])</f>
        <v>780</v>
      </c>
      <c r="I222" s="5" t="s">
        <v>63</v>
      </c>
      <c r="J222" s="5" t="s">
        <v>318</v>
      </c>
      <c r="K222" s="10" t="s">
        <v>542</v>
      </c>
    </row>
    <row r="223" spans="1:11" hidden="1">
      <c r="A223" s="5" t="s">
        <v>39</v>
      </c>
      <c r="B223" s="5" t="s">
        <v>316</v>
      </c>
      <c r="C223" s="5" t="s">
        <v>124</v>
      </c>
      <c r="D223" s="5" t="s">
        <v>125</v>
      </c>
      <c r="E223" s="8">
        <v>44484</v>
      </c>
      <c r="F223" s="6">
        <v>1</v>
      </c>
      <c r="G223" s="5" t="s">
        <v>16</v>
      </c>
      <c r="H223" s="6">
        <f>SUMIFS(InventTrans!G:G,InventTrans!B:B,AtlasReport_3_Table_1[[#This Row],[Lot ID]],InventTrans!C:C,AtlasReport_3_Table_1[[#This Row],[Packing slip]],InventTrans!D:D,AtlasReport_3_Table_1[[#This Row],[Ship date]])</f>
        <v>1</v>
      </c>
      <c r="I223" s="5" t="s">
        <v>63</v>
      </c>
      <c r="J223" s="5" t="s">
        <v>319</v>
      </c>
      <c r="K223" s="10" t="s">
        <v>542</v>
      </c>
    </row>
    <row r="224" spans="1:11">
      <c r="A224" s="5" t="s">
        <v>39</v>
      </c>
      <c r="B224" s="5" t="s">
        <v>53</v>
      </c>
      <c r="C224" s="5" t="s">
        <v>66</v>
      </c>
      <c r="D224" s="5" t="s">
        <v>67</v>
      </c>
      <c r="E224" s="8">
        <v>44482</v>
      </c>
      <c r="F224" s="6">
        <v>-40</v>
      </c>
      <c r="G224" s="5" t="s">
        <v>62</v>
      </c>
      <c r="H224" s="6">
        <f>SUMIFS(InventTrans!G:G,InventTrans!B:B,AtlasReport_3_Table_1[[#This Row],[Lot ID]],InventTrans!C:C,AtlasReport_3_Table_1[[#This Row],[Packing slip]],InventTrans!D:D,AtlasReport_3_Table_1[[#This Row],[Ship date]])</f>
        <v>-1940</v>
      </c>
      <c r="I224" s="5" t="s">
        <v>63</v>
      </c>
      <c r="J224" s="5" t="s">
        <v>320</v>
      </c>
      <c r="K224" s="10" t="s">
        <v>543</v>
      </c>
    </row>
    <row r="225" spans="1:11" hidden="1">
      <c r="A225" s="5" t="s">
        <v>39</v>
      </c>
      <c r="B225" s="5" t="s">
        <v>53</v>
      </c>
      <c r="C225" s="5" t="s">
        <v>97</v>
      </c>
      <c r="D225" s="5" t="s">
        <v>67</v>
      </c>
      <c r="E225" s="8">
        <v>44482</v>
      </c>
      <c r="F225" s="6">
        <v>-80</v>
      </c>
      <c r="G225" s="5" t="s">
        <v>62</v>
      </c>
      <c r="H225" s="6">
        <f>SUMIFS(InventTrans!G:G,InventTrans!B:B,AtlasReport_3_Table_1[[#This Row],[Lot ID]],InventTrans!C:C,AtlasReport_3_Table_1[[#This Row],[Packing slip]],InventTrans!D:D,AtlasReport_3_Table_1[[#This Row],[Ship date]])</f>
        <v>-6000</v>
      </c>
      <c r="I225" s="5" t="s">
        <v>63</v>
      </c>
      <c r="J225" s="5" t="s">
        <v>321</v>
      </c>
      <c r="K225" s="10" t="s">
        <v>543</v>
      </c>
    </row>
    <row r="226" spans="1:11" hidden="1">
      <c r="A226" s="5" t="s">
        <v>39</v>
      </c>
      <c r="B226" s="5" t="s">
        <v>53</v>
      </c>
      <c r="C226" s="5" t="s">
        <v>69</v>
      </c>
      <c r="D226" s="5" t="s">
        <v>67</v>
      </c>
      <c r="E226" s="8">
        <v>44482</v>
      </c>
      <c r="F226" s="6">
        <v>-105</v>
      </c>
      <c r="G226" s="5" t="s">
        <v>62</v>
      </c>
      <c r="H226" s="6">
        <f>SUMIFS(InventTrans!G:G,InventTrans!B:B,AtlasReport_3_Table_1[[#This Row],[Lot ID]],InventTrans!C:C,AtlasReport_3_Table_1[[#This Row],[Packing slip]],InventTrans!D:D,AtlasReport_3_Table_1[[#This Row],[Ship date]])</f>
        <v>-10237.5</v>
      </c>
      <c r="I226" s="5" t="s">
        <v>63</v>
      </c>
      <c r="J226" s="5" t="s">
        <v>322</v>
      </c>
      <c r="K226" s="10" t="s">
        <v>543</v>
      </c>
    </row>
    <row r="227" spans="1:11" hidden="1">
      <c r="A227" s="5" t="s">
        <v>39</v>
      </c>
      <c r="B227" s="5" t="s">
        <v>53</v>
      </c>
      <c r="C227" s="5" t="s">
        <v>87</v>
      </c>
      <c r="D227" s="5" t="s">
        <v>88</v>
      </c>
      <c r="E227" s="8">
        <v>44482</v>
      </c>
      <c r="F227" s="6">
        <v>-27</v>
      </c>
      <c r="G227" s="5" t="s">
        <v>62</v>
      </c>
      <c r="H227" s="6">
        <f>SUMIFS(InventTrans!G:G,InventTrans!B:B,AtlasReport_3_Table_1[[#This Row],[Lot ID]],InventTrans!C:C,AtlasReport_3_Table_1[[#This Row],[Packing slip]],InventTrans!D:D,AtlasReport_3_Table_1[[#This Row],[Ship date]])</f>
        <v>-1309.5</v>
      </c>
      <c r="I227" s="5" t="s">
        <v>63</v>
      </c>
      <c r="J227" s="5" t="s">
        <v>323</v>
      </c>
      <c r="K227" s="10" t="s">
        <v>543</v>
      </c>
    </row>
    <row r="228" spans="1:11" hidden="1">
      <c r="A228" s="5" t="s">
        <v>39</v>
      </c>
      <c r="B228" s="5" t="s">
        <v>53</v>
      </c>
      <c r="C228" s="5" t="s">
        <v>90</v>
      </c>
      <c r="D228" s="5" t="s">
        <v>88</v>
      </c>
      <c r="E228" s="8">
        <v>44482</v>
      </c>
      <c r="F228" s="6">
        <v>-54</v>
      </c>
      <c r="G228" s="5" t="s">
        <v>62</v>
      </c>
      <c r="H228" s="6">
        <f>SUMIFS(InventTrans!G:G,InventTrans!B:B,AtlasReport_3_Table_1[[#This Row],[Lot ID]],InventTrans!C:C,AtlasReport_3_Table_1[[#This Row],[Packing slip]],InventTrans!D:D,AtlasReport_3_Table_1[[#This Row],[Ship date]])</f>
        <v>-5265</v>
      </c>
      <c r="I228" s="5" t="s">
        <v>63</v>
      </c>
      <c r="J228" s="5" t="s">
        <v>324</v>
      </c>
      <c r="K228" s="10" t="s">
        <v>543</v>
      </c>
    </row>
    <row r="229" spans="1:11" hidden="1">
      <c r="A229" s="5" t="s">
        <v>39</v>
      </c>
      <c r="B229" s="5" t="s">
        <v>53</v>
      </c>
      <c r="C229" s="5" t="s">
        <v>124</v>
      </c>
      <c r="D229" s="5" t="s">
        <v>125</v>
      </c>
      <c r="E229" s="8">
        <v>44482</v>
      </c>
      <c r="F229" s="6">
        <v>-2</v>
      </c>
      <c r="G229" s="5" t="s">
        <v>16</v>
      </c>
      <c r="H229" s="6">
        <f>SUMIFS(InventTrans!G:G,InventTrans!B:B,AtlasReport_3_Table_1[[#This Row],[Lot ID]],InventTrans!C:C,AtlasReport_3_Table_1[[#This Row],[Packing slip]],InventTrans!D:D,AtlasReport_3_Table_1[[#This Row],[Ship date]])</f>
        <v>-2</v>
      </c>
      <c r="I229" s="5" t="s">
        <v>63</v>
      </c>
      <c r="J229" s="5" t="s">
        <v>325</v>
      </c>
      <c r="K229" s="10" t="s">
        <v>543</v>
      </c>
    </row>
    <row r="230" spans="1:11">
      <c r="A230" s="5" t="s">
        <v>39</v>
      </c>
      <c r="B230" s="5" t="s">
        <v>326</v>
      </c>
      <c r="C230" s="5" t="s">
        <v>66</v>
      </c>
      <c r="D230" s="5" t="s">
        <v>67</v>
      </c>
      <c r="E230" s="8">
        <v>44482</v>
      </c>
      <c r="F230" s="6">
        <v>40</v>
      </c>
      <c r="G230" s="5" t="s">
        <v>62</v>
      </c>
      <c r="H230" s="6">
        <f>SUMIFS(InventTrans!G:G,InventTrans!B:B,AtlasReport_3_Table_1[[#This Row],[Lot ID]],InventTrans!C:C,AtlasReport_3_Table_1[[#This Row],[Packing slip]],InventTrans!D:D,AtlasReport_3_Table_1[[#This Row],[Ship date]])</f>
        <v>1940</v>
      </c>
      <c r="I230" s="5" t="s">
        <v>63</v>
      </c>
      <c r="J230" s="5" t="s">
        <v>327</v>
      </c>
      <c r="K230" s="10" t="s">
        <v>544</v>
      </c>
    </row>
    <row r="231" spans="1:11" hidden="1">
      <c r="A231" s="5" t="s">
        <v>39</v>
      </c>
      <c r="B231" s="5" t="s">
        <v>326</v>
      </c>
      <c r="C231" s="5" t="s">
        <v>97</v>
      </c>
      <c r="D231" s="5" t="s">
        <v>67</v>
      </c>
      <c r="E231" s="8">
        <v>44482</v>
      </c>
      <c r="F231" s="6">
        <v>80</v>
      </c>
      <c r="G231" s="5" t="s">
        <v>62</v>
      </c>
      <c r="H231" s="6">
        <f>SUMIFS(InventTrans!G:G,InventTrans!B:B,AtlasReport_3_Table_1[[#This Row],[Lot ID]],InventTrans!C:C,AtlasReport_3_Table_1[[#This Row],[Packing slip]],InventTrans!D:D,AtlasReport_3_Table_1[[#This Row],[Ship date]])</f>
        <v>6000</v>
      </c>
      <c r="I231" s="5" t="s">
        <v>63</v>
      </c>
      <c r="J231" s="5" t="s">
        <v>328</v>
      </c>
      <c r="K231" s="10" t="s">
        <v>544</v>
      </c>
    </row>
    <row r="232" spans="1:11" hidden="1">
      <c r="A232" s="5" t="s">
        <v>39</v>
      </c>
      <c r="B232" s="5" t="s">
        <v>326</v>
      </c>
      <c r="C232" s="5" t="s">
        <v>69</v>
      </c>
      <c r="D232" s="5" t="s">
        <v>67</v>
      </c>
      <c r="E232" s="8">
        <v>44482</v>
      </c>
      <c r="F232" s="6">
        <v>105</v>
      </c>
      <c r="G232" s="5" t="s">
        <v>62</v>
      </c>
      <c r="H232" s="6">
        <f>SUMIFS(InventTrans!G:G,InventTrans!B:B,AtlasReport_3_Table_1[[#This Row],[Lot ID]],InventTrans!C:C,AtlasReport_3_Table_1[[#This Row],[Packing slip]],InventTrans!D:D,AtlasReport_3_Table_1[[#This Row],[Ship date]])</f>
        <v>10237.5</v>
      </c>
      <c r="I232" s="5" t="s">
        <v>63</v>
      </c>
      <c r="J232" s="5" t="s">
        <v>329</v>
      </c>
      <c r="K232" s="10" t="s">
        <v>544</v>
      </c>
    </row>
    <row r="233" spans="1:11" hidden="1">
      <c r="A233" s="5" t="s">
        <v>39</v>
      </c>
      <c r="B233" s="5" t="s">
        <v>326</v>
      </c>
      <c r="C233" s="5" t="s">
        <v>87</v>
      </c>
      <c r="D233" s="5" t="s">
        <v>88</v>
      </c>
      <c r="E233" s="8">
        <v>44482</v>
      </c>
      <c r="F233" s="6">
        <v>27</v>
      </c>
      <c r="G233" s="5" t="s">
        <v>62</v>
      </c>
      <c r="H233" s="6">
        <f>SUMIFS(InventTrans!G:G,InventTrans!B:B,AtlasReport_3_Table_1[[#This Row],[Lot ID]],InventTrans!C:C,AtlasReport_3_Table_1[[#This Row],[Packing slip]],InventTrans!D:D,AtlasReport_3_Table_1[[#This Row],[Ship date]])</f>
        <v>1309.5</v>
      </c>
      <c r="I233" s="5" t="s">
        <v>63</v>
      </c>
      <c r="J233" s="5" t="s">
        <v>330</v>
      </c>
      <c r="K233" s="10" t="s">
        <v>544</v>
      </c>
    </row>
    <row r="234" spans="1:11" hidden="1">
      <c r="A234" s="5" t="s">
        <v>39</v>
      </c>
      <c r="B234" s="5" t="s">
        <v>326</v>
      </c>
      <c r="C234" s="5" t="s">
        <v>90</v>
      </c>
      <c r="D234" s="5" t="s">
        <v>88</v>
      </c>
      <c r="E234" s="8">
        <v>44482</v>
      </c>
      <c r="F234" s="6">
        <v>54</v>
      </c>
      <c r="G234" s="5" t="s">
        <v>62</v>
      </c>
      <c r="H234" s="6">
        <f>SUMIFS(InventTrans!G:G,InventTrans!B:B,AtlasReport_3_Table_1[[#This Row],[Lot ID]],InventTrans!C:C,AtlasReport_3_Table_1[[#This Row],[Packing slip]],InventTrans!D:D,AtlasReport_3_Table_1[[#This Row],[Ship date]])</f>
        <v>5265</v>
      </c>
      <c r="I234" s="5" t="s">
        <v>63</v>
      </c>
      <c r="J234" s="5" t="s">
        <v>331</v>
      </c>
      <c r="K234" s="10" t="s">
        <v>544</v>
      </c>
    </row>
    <row r="235" spans="1:11" hidden="1">
      <c r="A235" s="5" t="s">
        <v>39</v>
      </c>
      <c r="B235" s="5" t="s">
        <v>326</v>
      </c>
      <c r="C235" s="5" t="s">
        <v>124</v>
      </c>
      <c r="D235" s="5" t="s">
        <v>125</v>
      </c>
      <c r="E235" s="8">
        <v>44482</v>
      </c>
      <c r="F235" s="6">
        <v>2</v>
      </c>
      <c r="G235" s="5" t="s">
        <v>16</v>
      </c>
      <c r="H235" s="6">
        <f>SUMIFS(InventTrans!G:G,InventTrans!B:B,AtlasReport_3_Table_1[[#This Row],[Lot ID]],InventTrans!C:C,AtlasReport_3_Table_1[[#This Row],[Packing slip]],InventTrans!D:D,AtlasReport_3_Table_1[[#This Row],[Ship date]])</f>
        <v>2</v>
      </c>
      <c r="I235" s="5" t="s">
        <v>63</v>
      </c>
      <c r="J235" s="5" t="s">
        <v>332</v>
      </c>
      <c r="K235" s="10" t="s">
        <v>544</v>
      </c>
    </row>
    <row r="236" spans="1:11" hidden="1">
      <c r="A236" s="5" t="s">
        <v>39</v>
      </c>
      <c r="B236" s="5" t="s">
        <v>333</v>
      </c>
      <c r="C236" s="5" t="s">
        <v>69</v>
      </c>
      <c r="D236" s="5" t="s">
        <v>67</v>
      </c>
      <c r="E236" s="8">
        <v>44482</v>
      </c>
      <c r="F236" s="6">
        <v>-8</v>
      </c>
      <c r="G236" s="5" t="s">
        <v>62</v>
      </c>
      <c r="H236" s="6">
        <f>SUMIFS(InventTrans!G:G,InventTrans!B:B,AtlasReport_3_Table_1[[#This Row],[Lot ID]],InventTrans!C:C,AtlasReport_3_Table_1[[#This Row],[Packing slip]],InventTrans!D:D,AtlasReport_3_Table_1[[#This Row],[Ship date]])</f>
        <v>-780</v>
      </c>
      <c r="I236" s="5" t="s">
        <v>63</v>
      </c>
      <c r="J236" s="5" t="s">
        <v>334</v>
      </c>
      <c r="K236" s="10" t="s">
        <v>545</v>
      </c>
    </row>
    <row r="237" spans="1:11" hidden="1">
      <c r="A237" s="5" t="s">
        <v>39</v>
      </c>
      <c r="B237" s="5" t="s">
        <v>333</v>
      </c>
      <c r="C237" s="5" t="s">
        <v>97</v>
      </c>
      <c r="D237" s="5" t="s">
        <v>67</v>
      </c>
      <c r="E237" s="8">
        <v>44482</v>
      </c>
      <c r="F237" s="6">
        <v>-23</v>
      </c>
      <c r="G237" s="5" t="s">
        <v>62</v>
      </c>
      <c r="H237" s="6">
        <f>SUMIFS(InventTrans!G:G,InventTrans!B:B,AtlasReport_3_Table_1[[#This Row],[Lot ID]],InventTrans!C:C,AtlasReport_3_Table_1[[#This Row],[Packing slip]],InventTrans!D:D,AtlasReport_3_Table_1[[#This Row],[Ship date]])</f>
        <v>-1725</v>
      </c>
      <c r="I237" s="5" t="s">
        <v>63</v>
      </c>
      <c r="J237" s="5" t="s">
        <v>335</v>
      </c>
      <c r="K237" s="10" t="s">
        <v>545</v>
      </c>
    </row>
    <row r="238" spans="1:11">
      <c r="A238" s="5" t="s">
        <v>39</v>
      </c>
      <c r="B238" s="5" t="s">
        <v>333</v>
      </c>
      <c r="C238" s="5" t="s">
        <v>66</v>
      </c>
      <c r="D238" s="5" t="s">
        <v>67</v>
      </c>
      <c r="E238" s="8">
        <v>44482</v>
      </c>
      <c r="F238" s="6">
        <v>-36</v>
      </c>
      <c r="G238" s="5" t="s">
        <v>62</v>
      </c>
      <c r="H238" s="6">
        <f>SUMIFS(InventTrans!G:G,InventTrans!B:B,AtlasReport_3_Table_1[[#This Row],[Lot ID]],InventTrans!C:C,AtlasReport_3_Table_1[[#This Row],[Packing slip]],InventTrans!D:D,AtlasReport_3_Table_1[[#This Row],[Ship date]])</f>
        <v>-1746</v>
      </c>
      <c r="I238" s="5" t="s">
        <v>63</v>
      </c>
      <c r="J238" s="5" t="s">
        <v>336</v>
      </c>
      <c r="K238" s="10" t="s">
        <v>545</v>
      </c>
    </row>
    <row r="239" spans="1:11" hidden="1">
      <c r="A239" s="5" t="s">
        <v>39</v>
      </c>
      <c r="B239" s="5" t="s">
        <v>54</v>
      </c>
      <c r="C239" s="5" t="s">
        <v>69</v>
      </c>
      <c r="D239" s="5" t="s">
        <v>67</v>
      </c>
      <c r="E239" s="8">
        <v>44482</v>
      </c>
      <c r="F239" s="6">
        <v>8</v>
      </c>
      <c r="G239" s="5" t="s">
        <v>62</v>
      </c>
      <c r="H239" s="6">
        <f>SUMIFS(InventTrans!G:G,InventTrans!B:B,AtlasReport_3_Table_1[[#This Row],[Lot ID]],InventTrans!C:C,AtlasReport_3_Table_1[[#This Row],[Packing slip]],InventTrans!D:D,AtlasReport_3_Table_1[[#This Row],[Ship date]])</f>
        <v>780</v>
      </c>
      <c r="I239" s="5" t="s">
        <v>63</v>
      </c>
      <c r="J239" s="5" t="s">
        <v>337</v>
      </c>
      <c r="K239" s="10" t="s">
        <v>546</v>
      </c>
    </row>
    <row r="240" spans="1:11" hidden="1">
      <c r="A240" s="5" t="s">
        <v>39</v>
      </c>
      <c r="B240" s="5" t="s">
        <v>54</v>
      </c>
      <c r="C240" s="5" t="s">
        <v>97</v>
      </c>
      <c r="D240" s="5" t="s">
        <v>67</v>
      </c>
      <c r="E240" s="8">
        <v>44482</v>
      </c>
      <c r="F240" s="6">
        <v>24</v>
      </c>
      <c r="G240" s="5" t="s">
        <v>62</v>
      </c>
      <c r="H240" s="6">
        <f>SUMIFS(InventTrans!G:G,InventTrans!B:B,AtlasReport_3_Table_1[[#This Row],[Lot ID]],InventTrans!C:C,AtlasReport_3_Table_1[[#This Row],[Packing slip]],InventTrans!D:D,AtlasReport_3_Table_1[[#This Row],[Ship date]])</f>
        <v>1800</v>
      </c>
      <c r="I240" s="5" t="s">
        <v>63</v>
      </c>
      <c r="J240" s="5" t="s">
        <v>338</v>
      </c>
      <c r="K240" s="10" t="s">
        <v>546</v>
      </c>
    </row>
    <row r="241" spans="1:11">
      <c r="A241" s="5" t="s">
        <v>39</v>
      </c>
      <c r="B241" s="5" t="s">
        <v>54</v>
      </c>
      <c r="C241" s="5" t="s">
        <v>66</v>
      </c>
      <c r="D241" s="5" t="s">
        <v>67</v>
      </c>
      <c r="E241" s="8">
        <v>44482</v>
      </c>
      <c r="F241" s="6">
        <v>32</v>
      </c>
      <c r="G241" s="5" t="s">
        <v>62</v>
      </c>
      <c r="H241" s="6">
        <f>SUMIFS(InventTrans!G:G,InventTrans!B:B,AtlasReport_3_Table_1[[#This Row],[Lot ID]],InventTrans!C:C,AtlasReport_3_Table_1[[#This Row],[Packing slip]],InventTrans!D:D,AtlasReport_3_Table_1[[#This Row],[Ship date]])</f>
        <v>1552</v>
      </c>
      <c r="I241" s="5" t="s">
        <v>63</v>
      </c>
      <c r="J241" s="5" t="s">
        <v>339</v>
      </c>
      <c r="K241" s="10" t="s">
        <v>546</v>
      </c>
    </row>
    <row r="242" spans="1:11" hidden="1">
      <c r="A242" s="5" t="s">
        <v>39</v>
      </c>
      <c r="B242" s="5" t="s">
        <v>54</v>
      </c>
      <c r="C242" s="5" t="s">
        <v>124</v>
      </c>
      <c r="D242" s="5" t="s">
        <v>125</v>
      </c>
      <c r="E242" s="8">
        <v>44482</v>
      </c>
      <c r="F242" s="6">
        <v>2</v>
      </c>
      <c r="G242" s="5" t="s">
        <v>16</v>
      </c>
      <c r="H242" s="6">
        <f>SUMIFS(InventTrans!G:G,InventTrans!B:B,AtlasReport_3_Table_1[[#This Row],[Lot ID]],InventTrans!C:C,AtlasReport_3_Table_1[[#This Row],[Packing slip]],InventTrans!D:D,AtlasReport_3_Table_1[[#This Row],[Ship date]])</f>
        <v>2</v>
      </c>
      <c r="I242" s="5" t="s">
        <v>63</v>
      </c>
      <c r="J242" s="5" t="s">
        <v>340</v>
      </c>
      <c r="K242" s="10" t="s">
        <v>546</v>
      </c>
    </row>
    <row r="243" spans="1:11" hidden="1">
      <c r="A243" s="5" t="s">
        <v>39</v>
      </c>
      <c r="B243" s="5" t="s">
        <v>46</v>
      </c>
      <c r="C243" s="5" t="s">
        <v>87</v>
      </c>
      <c r="D243" s="5" t="s">
        <v>88</v>
      </c>
      <c r="E243" s="8">
        <v>44490</v>
      </c>
      <c r="F243" s="6">
        <v>11</v>
      </c>
      <c r="G243" s="5" t="s">
        <v>62</v>
      </c>
      <c r="H243" s="6">
        <f>SUMIFS(InventTrans!G:G,InventTrans!B:B,AtlasReport_3_Table_1[[#This Row],[Lot ID]],InventTrans!C:C,AtlasReport_3_Table_1[[#This Row],[Packing slip]],InventTrans!D:D,AtlasReport_3_Table_1[[#This Row],[Ship date]])</f>
        <v>533.5</v>
      </c>
      <c r="I243" s="5" t="s">
        <v>63</v>
      </c>
      <c r="J243" s="5" t="s">
        <v>341</v>
      </c>
      <c r="K243" s="10" t="s">
        <v>547</v>
      </c>
    </row>
    <row r="244" spans="1:11" hidden="1">
      <c r="A244" s="5" t="s">
        <v>39</v>
      </c>
      <c r="B244" s="5" t="s">
        <v>46</v>
      </c>
      <c r="C244" s="5" t="s">
        <v>110</v>
      </c>
      <c r="D244" s="5" t="s">
        <v>88</v>
      </c>
      <c r="E244" s="8">
        <v>44490</v>
      </c>
      <c r="F244" s="6">
        <v>8</v>
      </c>
      <c r="G244" s="5" t="s">
        <v>62</v>
      </c>
      <c r="H244" s="6">
        <f>SUMIFS(InventTrans!G:G,InventTrans!B:B,AtlasReport_3_Table_1[[#This Row],[Lot ID]],InventTrans!C:C,AtlasReport_3_Table_1[[#This Row],[Packing slip]],InventTrans!D:D,AtlasReport_3_Table_1[[#This Row],[Ship date]])</f>
        <v>600</v>
      </c>
      <c r="I244" s="5" t="s">
        <v>63</v>
      </c>
      <c r="J244" s="5" t="s">
        <v>342</v>
      </c>
      <c r="K244" s="10" t="s">
        <v>547</v>
      </c>
    </row>
    <row r="245" spans="1:11" hidden="1">
      <c r="A245" s="5" t="s">
        <v>39</v>
      </c>
      <c r="B245" s="5" t="s">
        <v>46</v>
      </c>
      <c r="C245" s="5" t="s">
        <v>90</v>
      </c>
      <c r="D245" s="5" t="s">
        <v>88</v>
      </c>
      <c r="E245" s="8">
        <v>44490</v>
      </c>
      <c r="F245" s="6">
        <v>144</v>
      </c>
      <c r="G245" s="5" t="s">
        <v>62</v>
      </c>
      <c r="H245" s="6">
        <f>SUMIFS(InventTrans!G:G,InventTrans!B:B,AtlasReport_3_Table_1[[#This Row],[Lot ID]],InventTrans!C:C,AtlasReport_3_Table_1[[#This Row],[Packing slip]],InventTrans!D:D,AtlasReport_3_Table_1[[#This Row],[Ship date]])</f>
        <v>14040</v>
      </c>
      <c r="I245" s="5" t="s">
        <v>63</v>
      </c>
      <c r="J245" s="5" t="s">
        <v>343</v>
      </c>
      <c r="K245" s="10" t="s">
        <v>547</v>
      </c>
    </row>
    <row r="246" spans="1:11" hidden="1">
      <c r="A246" s="5" t="s">
        <v>39</v>
      </c>
      <c r="B246" s="5" t="s">
        <v>46</v>
      </c>
      <c r="C246" s="5" t="s">
        <v>124</v>
      </c>
      <c r="D246" s="5" t="s">
        <v>125</v>
      </c>
      <c r="E246" s="8">
        <v>44490</v>
      </c>
      <c r="F246" s="6">
        <v>5</v>
      </c>
      <c r="G246" s="5" t="s">
        <v>16</v>
      </c>
      <c r="H246" s="6">
        <f>SUMIFS(InventTrans!G:G,InventTrans!B:B,AtlasReport_3_Table_1[[#This Row],[Lot ID]],InventTrans!C:C,AtlasReport_3_Table_1[[#This Row],[Packing slip]],InventTrans!D:D,AtlasReport_3_Table_1[[#This Row],[Ship date]])</f>
        <v>5</v>
      </c>
      <c r="I246" s="5" t="s">
        <v>63</v>
      </c>
      <c r="J246" s="5" t="s">
        <v>344</v>
      </c>
      <c r="K246" s="10" t="s">
        <v>547</v>
      </c>
    </row>
    <row r="247" spans="1:11" hidden="1">
      <c r="A247" s="5" t="s">
        <v>39</v>
      </c>
      <c r="B247" s="5" t="s">
        <v>46</v>
      </c>
      <c r="C247" s="5" t="s">
        <v>87</v>
      </c>
      <c r="D247" s="5" t="s">
        <v>88</v>
      </c>
      <c r="E247" s="8">
        <v>44519</v>
      </c>
      <c r="F247" s="6">
        <v>-2</v>
      </c>
      <c r="G247" s="5" t="s">
        <v>62</v>
      </c>
      <c r="H247" s="6">
        <f>SUMIFS(InventTrans!G:G,InventTrans!B:B,AtlasReport_3_Table_1[[#This Row],[Lot ID]],InventTrans!C:C,AtlasReport_3_Table_1[[#This Row],[Packing slip]],InventTrans!D:D,AtlasReport_3_Table_1[[#This Row],[Ship date]])</f>
        <v>-97</v>
      </c>
      <c r="I247" s="5" t="s">
        <v>63</v>
      </c>
      <c r="J247" s="5" t="s">
        <v>341</v>
      </c>
      <c r="K247" s="10" t="s">
        <v>548</v>
      </c>
    </row>
    <row r="248" spans="1:11" hidden="1">
      <c r="A248" s="5" t="s">
        <v>39</v>
      </c>
      <c r="B248" s="5" t="s">
        <v>46</v>
      </c>
      <c r="C248" s="5" t="s">
        <v>124</v>
      </c>
      <c r="D248" s="5" t="s">
        <v>125</v>
      </c>
      <c r="E248" s="8">
        <v>44519</v>
      </c>
      <c r="F248" s="6">
        <v>-4</v>
      </c>
      <c r="G248" s="5" t="s">
        <v>16</v>
      </c>
      <c r="H248" s="6">
        <f>SUMIFS(InventTrans!G:G,InventTrans!B:B,AtlasReport_3_Table_1[[#This Row],[Lot ID]],InventTrans!C:C,AtlasReport_3_Table_1[[#This Row],[Packing slip]],InventTrans!D:D,AtlasReport_3_Table_1[[#This Row],[Ship date]])</f>
        <v>-4</v>
      </c>
      <c r="I248" s="5" t="s">
        <v>63</v>
      </c>
      <c r="J248" s="5" t="s">
        <v>344</v>
      </c>
      <c r="K248" s="10" t="s">
        <v>548</v>
      </c>
    </row>
    <row r="249" spans="1:11" hidden="1">
      <c r="A249" s="5" t="s">
        <v>39</v>
      </c>
      <c r="B249" s="5" t="s">
        <v>46</v>
      </c>
      <c r="C249" s="5" t="s">
        <v>110</v>
      </c>
      <c r="D249" s="5" t="s">
        <v>88</v>
      </c>
      <c r="E249" s="8">
        <v>44519</v>
      </c>
      <c r="F249" s="6">
        <v>1</v>
      </c>
      <c r="G249" s="5" t="s">
        <v>62</v>
      </c>
      <c r="H249" s="6">
        <f>SUMIFS(InventTrans!G:G,InventTrans!B:B,AtlasReport_3_Table_1[[#This Row],[Lot ID]],InventTrans!C:C,AtlasReport_3_Table_1[[#This Row],[Packing slip]],InventTrans!D:D,AtlasReport_3_Table_1[[#This Row],[Ship date]])</f>
        <v>75</v>
      </c>
      <c r="I249" s="5" t="s">
        <v>63</v>
      </c>
      <c r="J249" s="5" t="s">
        <v>342</v>
      </c>
      <c r="K249" s="10" t="s">
        <v>549</v>
      </c>
    </row>
    <row r="250" spans="1:11" hidden="1">
      <c r="A250" s="5" t="s">
        <v>39</v>
      </c>
      <c r="B250" s="5" t="s">
        <v>47</v>
      </c>
      <c r="C250" s="5" t="s">
        <v>60</v>
      </c>
      <c r="D250" s="5" t="s">
        <v>61</v>
      </c>
      <c r="E250" s="8">
        <v>44495</v>
      </c>
      <c r="F250" s="6">
        <v>72</v>
      </c>
      <c r="G250" s="5" t="s">
        <v>62</v>
      </c>
      <c r="H250" s="6">
        <f>SUMIFS(InventTrans!G:G,InventTrans!B:B,AtlasReport_3_Table_1[[#This Row],[Lot ID]],InventTrans!C:C,AtlasReport_3_Table_1[[#This Row],[Packing slip]],InventTrans!D:D,AtlasReport_3_Table_1[[#This Row],[Ship date]])</f>
        <v>3492</v>
      </c>
      <c r="I250" s="5" t="s">
        <v>63</v>
      </c>
      <c r="J250" s="5" t="s">
        <v>345</v>
      </c>
      <c r="K250" s="10" t="s">
        <v>550</v>
      </c>
    </row>
    <row r="251" spans="1:11" hidden="1">
      <c r="A251" s="5" t="s">
        <v>39</v>
      </c>
      <c r="B251" s="5" t="s">
        <v>47</v>
      </c>
      <c r="C251" s="5" t="s">
        <v>124</v>
      </c>
      <c r="D251" s="5" t="s">
        <v>125</v>
      </c>
      <c r="E251" s="8">
        <v>44495</v>
      </c>
      <c r="F251" s="6">
        <v>2</v>
      </c>
      <c r="G251" s="5" t="s">
        <v>16</v>
      </c>
      <c r="H251" s="6">
        <f>SUMIFS(InventTrans!G:G,InventTrans!B:B,AtlasReport_3_Table_1[[#This Row],[Lot ID]],InventTrans!C:C,AtlasReport_3_Table_1[[#This Row],[Packing slip]],InventTrans!D:D,AtlasReport_3_Table_1[[#This Row],[Ship date]])</f>
        <v>2</v>
      </c>
      <c r="I251" s="5" t="s">
        <v>63</v>
      </c>
      <c r="J251" s="5" t="s">
        <v>346</v>
      </c>
      <c r="K251" s="10" t="s">
        <v>550</v>
      </c>
    </row>
    <row r="252" spans="1:11" hidden="1">
      <c r="A252" s="5" t="s">
        <v>39</v>
      </c>
      <c r="B252" s="5" t="s">
        <v>47</v>
      </c>
      <c r="C252" s="5" t="s">
        <v>60</v>
      </c>
      <c r="D252" s="5" t="s">
        <v>61</v>
      </c>
      <c r="E252" s="8">
        <v>44518</v>
      </c>
      <c r="F252" s="6">
        <v>-7</v>
      </c>
      <c r="G252" s="5" t="s">
        <v>62</v>
      </c>
      <c r="H252" s="6">
        <f>SUMIFS(InventTrans!G:G,InventTrans!B:B,AtlasReport_3_Table_1[[#This Row],[Lot ID]],InventTrans!C:C,AtlasReport_3_Table_1[[#This Row],[Packing slip]],InventTrans!D:D,AtlasReport_3_Table_1[[#This Row],[Ship date]])</f>
        <v>-339.5</v>
      </c>
      <c r="I252" s="5" t="s">
        <v>63</v>
      </c>
      <c r="J252" s="5" t="s">
        <v>345</v>
      </c>
      <c r="K252" s="10" t="s">
        <v>551</v>
      </c>
    </row>
    <row r="253" spans="1:11" hidden="1">
      <c r="A253" s="5" t="s">
        <v>39</v>
      </c>
      <c r="B253" s="5" t="s">
        <v>48</v>
      </c>
      <c r="C253" s="5" t="s">
        <v>87</v>
      </c>
      <c r="D253" s="5" t="s">
        <v>88</v>
      </c>
      <c r="E253" s="8">
        <v>44494</v>
      </c>
      <c r="F253" s="6">
        <v>20</v>
      </c>
      <c r="G253" s="5" t="s">
        <v>62</v>
      </c>
      <c r="H253" s="6">
        <f>SUMIFS(InventTrans!G:G,InventTrans!B:B,AtlasReport_3_Table_1[[#This Row],[Lot ID]],InventTrans!C:C,AtlasReport_3_Table_1[[#This Row],[Packing slip]],InventTrans!D:D,AtlasReport_3_Table_1[[#This Row],[Ship date]])</f>
        <v>970</v>
      </c>
      <c r="I253" s="5" t="s">
        <v>63</v>
      </c>
      <c r="J253" s="5" t="s">
        <v>347</v>
      </c>
      <c r="K253" s="10" t="s">
        <v>552</v>
      </c>
    </row>
    <row r="254" spans="1:11" hidden="1">
      <c r="A254" s="5" t="s">
        <v>39</v>
      </c>
      <c r="B254" s="5" t="s">
        <v>348</v>
      </c>
      <c r="C254" s="5" t="s">
        <v>90</v>
      </c>
      <c r="D254" s="5" t="s">
        <v>88</v>
      </c>
      <c r="E254" s="8">
        <v>44495</v>
      </c>
      <c r="F254" s="6">
        <v>6</v>
      </c>
      <c r="G254" s="5" t="s">
        <v>62</v>
      </c>
      <c r="H254" s="6">
        <f>SUMIFS(InventTrans!G:G,InventTrans!B:B,AtlasReport_3_Table_1[[#This Row],[Lot ID]],InventTrans!C:C,AtlasReport_3_Table_1[[#This Row],[Packing slip]],InventTrans!D:D,AtlasReport_3_Table_1[[#This Row],[Ship date]])</f>
        <v>585</v>
      </c>
      <c r="I254" s="5" t="s">
        <v>63</v>
      </c>
      <c r="J254" s="5" t="s">
        <v>349</v>
      </c>
      <c r="K254" s="10" t="s">
        <v>553</v>
      </c>
    </row>
    <row r="255" spans="1:11" hidden="1">
      <c r="A255" s="5" t="s">
        <v>39</v>
      </c>
      <c r="B255" s="5" t="s">
        <v>348</v>
      </c>
      <c r="C255" s="5" t="s">
        <v>110</v>
      </c>
      <c r="D255" s="5" t="s">
        <v>88</v>
      </c>
      <c r="E255" s="8">
        <v>44495</v>
      </c>
      <c r="F255" s="6">
        <v>5</v>
      </c>
      <c r="G255" s="5" t="s">
        <v>62</v>
      </c>
      <c r="H255" s="6">
        <f>SUMIFS(InventTrans!G:G,InventTrans!B:B,AtlasReport_3_Table_1[[#This Row],[Lot ID]],InventTrans!C:C,AtlasReport_3_Table_1[[#This Row],[Packing slip]],InventTrans!D:D,AtlasReport_3_Table_1[[#This Row],[Ship date]])</f>
        <v>375</v>
      </c>
      <c r="I255" s="5" t="s">
        <v>63</v>
      </c>
      <c r="J255" s="5" t="s">
        <v>350</v>
      </c>
      <c r="K255" s="10" t="s">
        <v>553</v>
      </c>
    </row>
    <row r="256" spans="1:11" hidden="1">
      <c r="A256" s="5" t="s">
        <v>39</v>
      </c>
      <c r="B256" s="5" t="s">
        <v>348</v>
      </c>
      <c r="C256" s="5" t="s">
        <v>87</v>
      </c>
      <c r="D256" s="5" t="s">
        <v>88</v>
      </c>
      <c r="E256" s="8">
        <v>44495</v>
      </c>
      <c r="F256" s="6">
        <v>3</v>
      </c>
      <c r="G256" s="5" t="s">
        <v>62</v>
      </c>
      <c r="H256" s="6">
        <f>SUMIFS(InventTrans!G:G,InventTrans!B:B,AtlasReport_3_Table_1[[#This Row],[Lot ID]],InventTrans!C:C,AtlasReport_3_Table_1[[#This Row],[Packing slip]],InventTrans!D:D,AtlasReport_3_Table_1[[#This Row],[Ship date]])</f>
        <v>145.5</v>
      </c>
      <c r="I256" s="5" t="s">
        <v>63</v>
      </c>
      <c r="J256" s="5" t="s">
        <v>351</v>
      </c>
      <c r="K256" s="10" t="s">
        <v>553</v>
      </c>
    </row>
    <row r="257" spans="1:11" hidden="1">
      <c r="A257" s="5" t="s">
        <v>39</v>
      </c>
      <c r="B257" s="5" t="s">
        <v>348</v>
      </c>
      <c r="C257" s="5" t="s">
        <v>124</v>
      </c>
      <c r="D257" s="5" t="s">
        <v>125</v>
      </c>
      <c r="E257" s="8">
        <v>44495</v>
      </c>
      <c r="F257" s="6">
        <v>1</v>
      </c>
      <c r="G257" s="5" t="s">
        <v>16</v>
      </c>
      <c r="H257" s="6">
        <f>SUMIFS(InventTrans!G:G,InventTrans!B:B,AtlasReport_3_Table_1[[#This Row],[Lot ID]],InventTrans!C:C,AtlasReport_3_Table_1[[#This Row],[Packing slip]],InventTrans!D:D,AtlasReport_3_Table_1[[#This Row],[Ship date]])</f>
        <v>1</v>
      </c>
      <c r="I257" s="5" t="s">
        <v>63</v>
      </c>
      <c r="J257" s="5" t="s">
        <v>352</v>
      </c>
      <c r="K257" s="10" t="s">
        <v>553</v>
      </c>
    </row>
    <row r="258" spans="1:11" hidden="1">
      <c r="A258" s="5" t="s">
        <v>39</v>
      </c>
      <c r="B258" s="5" t="s">
        <v>348</v>
      </c>
      <c r="C258" s="5" t="s">
        <v>90</v>
      </c>
      <c r="D258" s="5" t="s">
        <v>88</v>
      </c>
      <c r="E258" s="8">
        <v>44519</v>
      </c>
      <c r="F258" s="6">
        <v>-2</v>
      </c>
      <c r="G258" s="5" t="s">
        <v>62</v>
      </c>
      <c r="H258" s="6">
        <f>SUMIFS(InventTrans!G:G,InventTrans!B:B,AtlasReport_3_Table_1[[#This Row],[Lot ID]],InventTrans!C:C,AtlasReport_3_Table_1[[#This Row],[Packing slip]],InventTrans!D:D,AtlasReport_3_Table_1[[#This Row],[Ship date]])</f>
        <v>-195</v>
      </c>
      <c r="I258" s="5" t="s">
        <v>63</v>
      </c>
      <c r="J258" s="5" t="s">
        <v>349</v>
      </c>
      <c r="K258" s="10" t="s">
        <v>554</v>
      </c>
    </row>
    <row r="259" spans="1:11" hidden="1">
      <c r="A259" s="5" t="s">
        <v>39</v>
      </c>
      <c r="B259" s="5" t="s">
        <v>348</v>
      </c>
      <c r="C259" s="5" t="s">
        <v>110</v>
      </c>
      <c r="D259" s="5" t="s">
        <v>88</v>
      </c>
      <c r="E259" s="8">
        <v>44519</v>
      </c>
      <c r="F259" s="6">
        <v>-2</v>
      </c>
      <c r="G259" s="5" t="s">
        <v>62</v>
      </c>
      <c r="H259" s="6">
        <f>SUMIFS(InventTrans!G:G,InventTrans!B:B,AtlasReport_3_Table_1[[#This Row],[Lot ID]],InventTrans!C:C,AtlasReport_3_Table_1[[#This Row],[Packing slip]],InventTrans!D:D,AtlasReport_3_Table_1[[#This Row],[Ship date]])</f>
        <v>-150</v>
      </c>
      <c r="I259" s="5" t="s">
        <v>63</v>
      </c>
      <c r="J259" s="5" t="s">
        <v>350</v>
      </c>
      <c r="K259" s="10" t="s">
        <v>554</v>
      </c>
    </row>
    <row r="260" spans="1:11" hidden="1">
      <c r="A260" s="5" t="s">
        <v>39</v>
      </c>
      <c r="B260" s="5" t="s">
        <v>353</v>
      </c>
      <c r="C260" s="5" t="s">
        <v>97</v>
      </c>
      <c r="D260" s="5" t="s">
        <v>67</v>
      </c>
      <c r="E260" s="8">
        <v>44497</v>
      </c>
      <c r="F260" s="6">
        <v>2</v>
      </c>
      <c r="G260" s="5" t="s">
        <v>62</v>
      </c>
      <c r="H260" s="6">
        <f>SUMIFS(InventTrans!G:G,InventTrans!B:B,AtlasReport_3_Table_1[[#This Row],[Lot ID]],InventTrans!C:C,AtlasReport_3_Table_1[[#This Row],[Packing slip]],InventTrans!D:D,AtlasReport_3_Table_1[[#This Row],[Ship date]])</f>
        <v>150</v>
      </c>
      <c r="I260" s="5" t="s">
        <v>63</v>
      </c>
      <c r="J260" s="5" t="s">
        <v>354</v>
      </c>
      <c r="K260" s="10" t="s">
        <v>555</v>
      </c>
    </row>
    <row r="261" spans="1:11">
      <c r="A261" s="5" t="s">
        <v>39</v>
      </c>
      <c r="B261" s="5" t="s">
        <v>353</v>
      </c>
      <c r="C261" s="5" t="s">
        <v>66</v>
      </c>
      <c r="D261" s="5" t="s">
        <v>67</v>
      </c>
      <c r="E261" s="8">
        <v>44497</v>
      </c>
      <c r="F261" s="6">
        <v>16</v>
      </c>
      <c r="G261" s="5" t="s">
        <v>62</v>
      </c>
      <c r="H261" s="6">
        <f>SUMIFS(InventTrans!G:G,InventTrans!B:B,AtlasReport_3_Table_1[[#This Row],[Lot ID]],InventTrans!C:C,AtlasReport_3_Table_1[[#This Row],[Packing slip]],InventTrans!D:D,AtlasReport_3_Table_1[[#This Row],[Ship date]])</f>
        <v>776</v>
      </c>
      <c r="I261" s="5" t="s">
        <v>63</v>
      </c>
      <c r="J261" s="5" t="s">
        <v>355</v>
      </c>
      <c r="K261" s="10" t="s">
        <v>555</v>
      </c>
    </row>
    <row r="262" spans="1:11" hidden="1">
      <c r="A262" s="5" t="s">
        <v>39</v>
      </c>
      <c r="B262" s="5" t="s">
        <v>353</v>
      </c>
      <c r="C262" s="5" t="s">
        <v>124</v>
      </c>
      <c r="D262" s="5" t="s">
        <v>125</v>
      </c>
      <c r="E262" s="8">
        <v>44497</v>
      </c>
      <c r="F262" s="6">
        <v>1</v>
      </c>
      <c r="G262" s="5" t="s">
        <v>16</v>
      </c>
      <c r="H262" s="6">
        <f>SUMIFS(InventTrans!G:G,InventTrans!B:B,AtlasReport_3_Table_1[[#This Row],[Lot ID]],InventTrans!C:C,AtlasReport_3_Table_1[[#This Row],[Packing slip]],InventTrans!D:D,AtlasReport_3_Table_1[[#This Row],[Ship date]])</f>
        <v>1</v>
      </c>
      <c r="I262" s="5" t="s">
        <v>63</v>
      </c>
      <c r="J262" s="5" t="s">
        <v>356</v>
      </c>
      <c r="K262" s="10" t="s">
        <v>555</v>
      </c>
    </row>
    <row r="263" spans="1:11">
      <c r="A263" s="5" t="s">
        <v>39</v>
      </c>
      <c r="B263" s="5" t="s">
        <v>353</v>
      </c>
      <c r="C263" s="5" t="s">
        <v>66</v>
      </c>
      <c r="D263" s="5" t="s">
        <v>67</v>
      </c>
      <c r="E263" s="8">
        <v>44519</v>
      </c>
      <c r="F263" s="6">
        <v>-1</v>
      </c>
      <c r="G263" s="5" t="s">
        <v>62</v>
      </c>
      <c r="H263" s="6">
        <f>SUMIFS(InventTrans!G:G,InventTrans!B:B,AtlasReport_3_Table_1[[#This Row],[Lot ID]],InventTrans!C:C,AtlasReport_3_Table_1[[#This Row],[Packing slip]],InventTrans!D:D,AtlasReport_3_Table_1[[#This Row],[Ship date]])</f>
        <v>-48.5</v>
      </c>
      <c r="I263" s="5" t="s">
        <v>63</v>
      </c>
      <c r="J263" s="5" t="s">
        <v>355</v>
      </c>
      <c r="K263" s="10" t="s">
        <v>556</v>
      </c>
    </row>
    <row r="264" spans="1:11" hidden="1">
      <c r="A264" s="5" t="s">
        <v>39</v>
      </c>
      <c r="B264" s="5" t="s">
        <v>357</v>
      </c>
      <c r="C264" s="5" t="s">
        <v>60</v>
      </c>
      <c r="D264" s="5" t="s">
        <v>61</v>
      </c>
      <c r="E264" s="8">
        <v>44501</v>
      </c>
      <c r="F264" s="6">
        <v>12</v>
      </c>
      <c r="G264" s="5" t="s">
        <v>62</v>
      </c>
      <c r="H264" s="6">
        <f>SUMIFS(InventTrans!G:G,InventTrans!B:B,AtlasReport_3_Table_1[[#This Row],[Lot ID]],InventTrans!C:C,AtlasReport_3_Table_1[[#This Row],[Packing slip]],InventTrans!D:D,AtlasReport_3_Table_1[[#This Row],[Ship date]])</f>
        <v>582</v>
      </c>
      <c r="I264" s="5" t="s">
        <v>63</v>
      </c>
      <c r="J264" s="5" t="s">
        <v>358</v>
      </c>
      <c r="K264" s="10" t="s">
        <v>557</v>
      </c>
    </row>
    <row r="265" spans="1:11" hidden="1">
      <c r="A265" s="5" t="s">
        <v>39</v>
      </c>
      <c r="B265" s="5" t="s">
        <v>357</v>
      </c>
      <c r="C265" s="5" t="s">
        <v>161</v>
      </c>
      <c r="D265" s="5" t="s">
        <v>61</v>
      </c>
      <c r="E265" s="8">
        <v>44501</v>
      </c>
      <c r="F265" s="6">
        <v>2</v>
      </c>
      <c r="G265" s="5" t="s">
        <v>62</v>
      </c>
      <c r="H265" s="6">
        <f>SUMIFS(InventTrans!G:G,InventTrans!B:B,AtlasReport_3_Table_1[[#This Row],[Lot ID]],InventTrans!C:C,AtlasReport_3_Table_1[[#This Row],[Packing slip]],InventTrans!D:D,AtlasReport_3_Table_1[[#This Row],[Ship date]])</f>
        <v>150</v>
      </c>
      <c r="I265" s="5" t="s">
        <v>63</v>
      </c>
      <c r="J265" s="5" t="s">
        <v>359</v>
      </c>
      <c r="K265" s="10" t="s">
        <v>557</v>
      </c>
    </row>
    <row r="266" spans="1:11" hidden="1">
      <c r="A266" s="5" t="s">
        <v>39</v>
      </c>
      <c r="B266" s="5" t="s">
        <v>357</v>
      </c>
      <c r="C266" s="5" t="s">
        <v>143</v>
      </c>
      <c r="D266" s="5" t="s">
        <v>61</v>
      </c>
      <c r="E266" s="8">
        <v>44501</v>
      </c>
      <c r="F266" s="6">
        <v>23</v>
      </c>
      <c r="G266" s="5" t="s">
        <v>62</v>
      </c>
      <c r="H266" s="6">
        <f>SUMIFS(InventTrans!G:G,InventTrans!B:B,AtlasReport_3_Table_1[[#This Row],[Lot ID]],InventTrans!C:C,AtlasReport_3_Table_1[[#This Row],[Packing slip]],InventTrans!D:D,AtlasReport_3_Table_1[[#This Row],[Ship date]])</f>
        <v>2242.5</v>
      </c>
      <c r="I266" s="5" t="s">
        <v>63</v>
      </c>
      <c r="J266" s="5" t="s">
        <v>360</v>
      </c>
      <c r="K266" s="10" t="s">
        <v>557</v>
      </c>
    </row>
    <row r="267" spans="1:11" hidden="1">
      <c r="A267" s="5" t="s">
        <v>39</v>
      </c>
      <c r="B267" s="5" t="s">
        <v>357</v>
      </c>
      <c r="C267" s="5" t="s">
        <v>124</v>
      </c>
      <c r="D267" s="5" t="s">
        <v>125</v>
      </c>
      <c r="E267" s="8">
        <v>44501</v>
      </c>
      <c r="F267" s="6">
        <v>1</v>
      </c>
      <c r="G267" s="5" t="s">
        <v>16</v>
      </c>
      <c r="H267" s="6">
        <f>SUMIFS(InventTrans!G:G,InventTrans!B:B,AtlasReport_3_Table_1[[#This Row],[Lot ID]],InventTrans!C:C,AtlasReport_3_Table_1[[#This Row],[Packing slip]],InventTrans!D:D,AtlasReport_3_Table_1[[#This Row],[Ship date]])</f>
        <v>1</v>
      </c>
      <c r="I267" s="5" t="s">
        <v>63</v>
      </c>
      <c r="J267" s="5" t="s">
        <v>361</v>
      </c>
      <c r="K267" s="10" t="s">
        <v>557</v>
      </c>
    </row>
    <row r="268" spans="1:11" hidden="1">
      <c r="A268" s="5" t="s">
        <v>39</v>
      </c>
      <c r="B268" s="5" t="s">
        <v>357</v>
      </c>
      <c r="C268" s="5" t="s">
        <v>60</v>
      </c>
      <c r="D268" s="5" t="s">
        <v>61</v>
      </c>
      <c r="E268" s="8">
        <v>44519</v>
      </c>
      <c r="F268" s="6">
        <v>-2</v>
      </c>
      <c r="G268" s="5" t="s">
        <v>62</v>
      </c>
      <c r="H268" s="6">
        <f>SUMIFS(InventTrans!G:G,InventTrans!B:B,AtlasReport_3_Table_1[[#This Row],[Lot ID]],InventTrans!C:C,AtlasReport_3_Table_1[[#This Row],[Packing slip]],InventTrans!D:D,AtlasReport_3_Table_1[[#This Row],[Ship date]])</f>
        <v>-97</v>
      </c>
      <c r="I268" s="5" t="s">
        <v>63</v>
      </c>
      <c r="J268" s="5" t="s">
        <v>358</v>
      </c>
      <c r="K268" s="10" t="s">
        <v>558</v>
      </c>
    </row>
    <row r="269" spans="1:11" hidden="1">
      <c r="A269" s="5" t="s">
        <v>39</v>
      </c>
      <c r="B269" s="5" t="s">
        <v>357</v>
      </c>
      <c r="C269" s="5" t="s">
        <v>143</v>
      </c>
      <c r="D269" s="5" t="s">
        <v>61</v>
      </c>
      <c r="E269" s="8">
        <v>44519</v>
      </c>
      <c r="F269" s="6">
        <v>-4</v>
      </c>
      <c r="G269" s="5" t="s">
        <v>62</v>
      </c>
      <c r="H269" s="6">
        <f>SUMIFS(InventTrans!G:G,InventTrans!B:B,AtlasReport_3_Table_1[[#This Row],[Lot ID]],InventTrans!C:C,AtlasReport_3_Table_1[[#This Row],[Packing slip]],InventTrans!D:D,AtlasReport_3_Table_1[[#This Row],[Ship date]])</f>
        <v>-390</v>
      </c>
      <c r="I269" s="5" t="s">
        <v>63</v>
      </c>
      <c r="J269" s="5" t="s">
        <v>360</v>
      </c>
      <c r="K269" s="10" t="s">
        <v>558</v>
      </c>
    </row>
    <row r="270" spans="1:11" hidden="1">
      <c r="A270" s="5" t="s">
        <v>39</v>
      </c>
      <c r="B270" s="5" t="s">
        <v>357</v>
      </c>
      <c r="C270" s="5" t="s">
        <v>124</v>
      </c>
      <c r="D270" s="5" t="s">
        <v>125</v>
      </c>
      <c r="E270" s="8">
        <v>44519</v>
      </c>
      <c r="F270" s="6">
        <v>1</v>
      </c>
      <c r="G270" s="5" t="s">
        <v>16</v>
      </c>
      <c r="H270" s="6">
        <f>SUMIFS(InventTrans!G:G,InventTrans!B:B,AtlasReport_3_Table_1[[#This Row],[Lot ID]],InventTrans!C:C,AtlasReport_3_Table_1[[#This Row],[Packing slip]],InventTrans!D:D,AtlasReport_3_Table_1[[#This Row],[Ship date]])</f>
        <v>1</v>
      </c>
      <c r="I270" s="5" t="s">
        <v>63</v>
      </c>
      <c r="J270" s="5" t="s">
        <v>361</v>
      </c>
      <c r="K270" s="10" t="s">
        <v>559</v>
      </c>
    </row>
    <row r="271" spans="1:11" hidden="1">
      <c r="A271" s="5" t="s">
        <v>39</v>
      </c>
      <c r="B271" s="5" t="s">
        <v>362</v>
      </c>
      <c r="C271" s="5" t="s">
        <v>87</v>
      </c>
      <c r="D271" s="5" t="s">
        <v>88</v>
      </c>
      <c r="E271" s="8">
        <v>44502</v>
      </c>
      <c r="F271" s="6">
        <v>8</v>
      </c>
      <c r="G271" s="5" t="s">
        <v>62</v>
      </c>
      <c r="H271" s="6">
        <f>SUMIFS(InventTrans!G:G,InventTrans!B:B,AtlasReport_3_Table_1[[#This Row],[Lot ID]],InventTrans!C:C,AtlasReport_3_Table_1[[#This Row],[Packing slip]],InventTrans!D:D,AtlasReport_3_Table_1[[#This Row],[Ship date]])</f>
        <v>388</v>
      </c>
      <c r="I271" s="5" t="s">
        <v>63</v>
      </c>
      <c r="J271" s="5" t="s">
        <v>363</v>
      </c>
      <c r="K271" s="10" t="s">
        <v>560</v>
      </c>
    </row>
    <row r="272" spans="1:11" hidden="1">
      <c r="A272" s="5" t="s">
        <v>39</v>
      </c>
      <c r="B272" s="5" t="s">
        <v>362</v>
      </c>
      <c r="C272" s="5" t="s">
        <v>90</v>
      </c>
      <c r="D272" s="5" t="s">
        <v>88</v>
      </c>
      <c r="E272" s="8">
        <v>44502</v>
      </c>
      <c r="F272" s="6">
        <v>136</v>
      </c>
      <c r="G272" s="5" t="s">
        <v>62</v>
      </c>
      <c r="H272" s="6">
        <f>SUMIFS(InventTrans!G:G,InventTrans!B:B,AtlasReport_3_Table_1[[#This Row],[Lot ID]],InventTrans!C:C,AtlasReport_3_Table_1[[#This Row],[Packing slip]],InventTrans!D:D,AtlasReport_3_Table_1[[#This Row],[Ship date]])</f>
        <v>13260</v>
      </c>
      <c r="I272" s="5" t="s">
        <v>63</v>
      </c>
      <c r="J272" s="5" t="s">
        <v>364</v>
      </c>
      <c r="K272" s="10" t="s">
        <v>560</v>
      </c>
    </row>
    <row r="273" spans="1:11" hidden="1">
      <c r="A273" s="5" t="s">
        <v>39</v>
      </c>
      <c r="B273" s="5" t="s">
        <v>362</v>
      </c>
      <c r="C273" s="5" t="s">
        <v>124</v>
      </c>
      <c r="D273" s="5" t="s">
        <v>125</v>
      </c>
      <c r="E273" s="8">
        <v>44502</v>
      </c>
      <c r="F273" s="6">
        <v>1</v>
      </c>
      <c r="G273" s="5" t="s">
        <v>16</v>
      </c>
      <c r="H273" s="6">
        <f>SUMIFS(InventTrans!G:G,InventTrans!B:B,AtlasReport_3_Table_1[[#This Row],[Lot ID]],InventTrans!C:C,AtlasReport_3_Table_1[[#This Row],[Packing slip]],InventTrans!D:D,AtlasReport_3_Table_1[[#This Row],[Ship date]])</f>
        <v>1</v>
      </c>
      <c r="I273" s="5" t="s">
        <v>63</v>
      </c>
      <c r="J273" s="5" t="s">
        <v>365</v>
      </c>
      <c r="K273" s="10" t="s">
        <v>560</v>
      </c>
    </row>
    <row r="274" spans="1:11" hidden="1">
      <c r="A274" s="5" t="s">
        <v>39</v>
      </c>
      <c r="B274" s="5" t="s">
        <v>362</v>
      </c>
      <c r="C274" s="5" t="s">
        <v>124</v>
      </c>
      <c r="D274" s="5" t="s">
        <v>125</v>
      </c>
      <c r="E274" s="8">
        <v>44502</v>
      </c>
      <c r="F274" s="6">
        <v>1</v>
      </c>
      <c r="G274" s="5" t="s">
        <v>16</v>
      </c>
      <c r="H274" s="6">
        <f>SUMIFS(InventTrans!G:G,InventTrans!B:B,AtlasReport_3_Table_1[[#This Row],[Lot ID]],InventTrans!C:C,AtlasReport_3_Table_1[[#This Row],[Packing slip]],InventTrans!D:D,AtlasReport_3_Table_1[[#This Row],[Ship date]])</f>
        <v>1</v>
      </c>
      <c r="I274" s="5" t="s">
        <v>63</v>
      </c>
      <c r="J274" s="5" t="s">
        <v>366</v>
      </c>
      <c r="K274" s="10" t="s">
        <v>560</v>
      </c>
    </row>
    <row r="275" spans="1:11" hidden="1">
      <c r="A275" s="5" t="s">
        <v>39</v>
      </c>
      <c r="B275" s="5" t="s">
        <v>362</v>
      </c>
      <c r="C275" s="5" t="s">
        <v>87</v>
      </c>
      <c r="D275" s="5" t="s">
        <v>88</v>
      </c>
      <c r="E275" s="8">
        <v>44532</v>
      </c>
      <c r="F275" s="6">
        <v>-4</v>
      </c>
      <c r="G275" s="5" t="s">
        <v>62</v>
      </c>
      <c r="H275" s="6">
        <f>SUMIFS(InventTrans!G:G,InventTrans!B:B,AtlasReport_3_Table_1[[#This Row],[Lot ID]],InventTrans!C:C,AtlasReport_3_Table_1[[#This Row],[Packing slip]],InventTrans!D:D,AtlasReport_3_Table_1[[#This Row],[Ship date]])</f>
        <v>-194</v>
      </c>
      <c r="I275" s="5" t="s">
        <v>63</v>
      </c>
      <c r="J275" s="5" t="s">
        <v>363</v>
      </c>
      <c r="K275" s="10" t="s">
        <v>561</v>
      </c>
    </row>
    <row r="276" spans="1:11" hidden="1">
      <c r="A276" s="5" t="s">
        <v>39</v>
      </c>
      <c r="B276" s="5" t="s">
        <v>362</v>
      </c>
      <c r="C276" s="5" t="s">
        <v>90</v>
      </c>
      <c r="D276" s="5" t="s">
        <v>88</v>
      </c>
      <c r="E276" s="8">
        <v>44532</v>
      </c>
      <c r="F276" s="6">
        <v>4</v>
      </c>
      <c r="G276" s="5" t="s">
        <v>62</v>
      </c>
      <c r="H276" s="6">
        <f>SUMIFS(InventTrans!G:G,InventTrans!B:B,AtlasReport_3_Table_1[[#This Row],[Lot ID]],InventTrans!C:C,AtlasReport_3_Table_1[[#This Row],[Packing slip]],InventTrans!D:D,AtlasReport_3_Table_1[[#This Row],[Ship date]])</f>
        <v>390</v>
      </c>
      <c r="I276" s="5" t="s">
        <v>63</v>
      </c>
      <c r="J276" s="5" t="s">
        <v>364</v>
      </c>
      <c r="K276" s="10" t="s">
        <v>562</v>
      </c>
    </row>
    <row r="277" spans="1:11" hidden="1">
      <c r="A277" s="5" t="s">
        <v>39</v>
      </c>
      <c r="B277" s="5" t="s">
        <v>362</v>
      </c>
      <c r="C277" s="5" t="s">
        <v>124</v>
      </c>
      <c r="D277" s="5" t="s">
        <v>125</v>
      </c>
      <c r="E277" s="8">
        <v>44532</v>
      </c>
      <c r="F277" s="6">
        <v>1</v>
      </c>
      <c r="G277" s="5" t="s">
        <v>16</v>
      </c>
      <c r="H277" s="6">
        <f>SUMIFS(InventTrans!G:G,InventTrans!B:B,AtlasReport_3_Table_1[[#This Row],[Lot ID]],InventTrans!C:C,AtlasReport_3_Table_1[[#This Row],[Packing slip]],InventTrans!D:D,AtlasReport_3_Table_1[[#This Row],[Ship date]])</f>
        <v>1</v>
      </c>
      <c r="I277" s="5" t="s">
        <v>63</v>
      </c>
      <c r="J277" s="5" t="s">
        <v>367</v>
      </c>
      <c r="K277" s="10" t="s">
        <v>562</v>
      </c>
    </row>
    <row r="278" spans="1:11" hidden="1">
      <c r="A278" s="5" t="s">
        <v>39</v>
      </c>
      <c r="B278" s="5" t="s">
        <v>368</v>
      </c>
      <c r="C278" s="5" t="s">
        <v>124</v>
      </c>
      <c r="D278" s="5" t="s">
        <v>125</v>
      </c>
      <c r="E278" s="8">
        <v>44508</v>
      </c>
      <c r="F278" s="6">
        <v>-2</v>
      </c>
      <c r="G278" s="5" t="s">
        <v>16</v>
      </c>
      <c r="H278" s="6">
        <f>SUMIFS(InventTrans!G:G,InventTrans!B:B,AtlasReport_3_Table_1[[#This Row],[Lot ID]],InventTrans!C:C,AtlasReport_3_Table_1[[#This Row],[Packing slip]],InventTrans!D:D,AtlasReport_3_Table_1[[#This Row],[Ship date]])</f>
        <v>-2</v>
      </c>
      <c r="I278" s="5" t="s">
        <v>63</v>
      </c>
      <c r="J278" s="5" t="s">
        <v>369</v>
      </c>
      <c r="K278" s="10" t="s">
        <v>563</v>
      </c>
    </row>
    <row r="279" spans="1:11" hidden="1">
      <c r="A279" s="5" t="s">
        <v>39</v>
      </c>
      <c r="B279" s="5" t="s">
        <v>370</v>
      </c>
      <c r="C279" s="5" t="s">
        <v>124</v>
      </c>
      <c r="D279" s="5" t="s">
        <v>125</v>
      </c>
      <c r="E279" s="8">
        <v>44508</v>
      </c>
      <c r="F279" s="6">
        <v>1</v>
      </c>
      <c r="G279" s="5" t="s">
        <v>16</v>
      </c>
      <c r="H279" s="6">
        <f>SUMIFS(InventTrans!G:G,InventTrans!B:B,AtlasReport_3_Table_1[[#This Row],[Lot ID]],InventTrans!C:C,AtlasReport_3_Table_1[[#This Row],[Packing slip]],InventTrans!D:D,AtlasReport_3_Table_1[[#This Row],[Ship date]])</f>
        <v>1</v>
      </c>
      <c r="I279" s="5" t="s">
        <v>63</v>
      </c>
      <c r="J279" s="5" t="s">
        <v>371</v>
      </c>
      <c r="K279" s="10" t="s">
        <v>564</v>
      </c>
    </row>
    <row r="280" spans="1:11" hidden="1">
      <c r="A280" s="5" t="s">
        <v>39</v>
      </c>
      <c r="B280" s="5" t="s">
        <v>370</v>
      </c>
      <c r="C280" s="5" t="s">
        <v>124</v>
      </c>
      <c r="D280" s="5" t="s">
        <v>125</v>
      </c>
      <c r="E280" s="8">
        <v>44508</v>
      </c>
      <c r="F280" s="6">
        <v>1</v>
      </c>
      <c r="G280" s="5" t="s">
        <v>16</v>
      </c>
      <c r="H280" s="6">
        <f>SUMIFS(InventTrans!G:G,InventTrans!B:B,AtlasReport_3_Table_1[[#This Row],[Lot ID]],InventTrans!C:C,AtlasReport_3_Table_1[[#This Row],[Packing slip]],InventTrans!D:D,AtlasReport_3_Table_1[[#This Row],[Ship date]])</f>
        <v>1</v>
      </c>
      <c r="I280" s="5" t="s">
        <v>63</v>
      </c>
      <c r="J280" s="5" t="s">
        <v>372</v>
      </c>
      <c r="K280" s="10" t="s">
        <v>564</v>
      </c>
    </row>
    <row r="281" spans="1:11" hidden="1">
      <c r="A281" s="5" t="s">
        <v>39</v>
      </c>
      <c r="B281" s="5" t="s">
        <v>373</v>
      </c>
      <c r="C281" s="5" t="s">
        <v>60</v>
      </c>
      <c r="D281" s="5" t="s">
        <v>61</v>
      </c>
      <c r="E281" s="8">
        <v>44510</v>
      </c>
      <c r="F281" s="6">
        <v>9</v>
      </c>
      <c r="G281" s="5" t="s">
        <v>62</v>
      </c>
      <c r="H281" s="6">
        <f>SUMIFS(InventTrans!G:G,InventTrans!B:B,AtlasReport_3_Table_1[[#This Row],[Lot ID]],InventTrans!C:C,AtlasReport_3_Table_1[[#This Row],[Packing slip]],InventTrans!D:D,AtlasReport_3_Table_1[[#This Row],[Ship date]])</f>
        <v>436.5</v>
      </c>
      <c r="I281" s="5" t="s">
        <v>63</v>
      </c>
      <c r="J281" s="5" t="s">
        <v>374</v>
      </c>
      <c r="K281" s="10" t="s">
        <v>565</v>
      </c>
    </row>
    <row r="282" spans="1:11" hidden="1">
      <c r="A282" s="5" t="s">
        <v>39</v>
      </c>
      <c r="B282" s="5" t="s">
        <v>373</v>
      </c>
      <c r="C282" s="5" t="s">
        <v>143</v>
      </c>
      <c r="D282" s="5" t="s">
        <v>61</v>
      </c>
      <c r="E282" s="8">
        <v>44510</v>
      </c>
      <c r="F282" s="6">
        <v>1</v>
      </c>
      <c r="G282" s="5" t="s">
        <v>62</v>
      </c>
      <c r="H282" s="6">
        <f>SUMIFS(InventTrans!G:G,InventTrans!B:B,AtlasReport_3_Table_1[[#This Row],[Lot ID]],InventTrans!C:C,AtlasReport_3_Table_1[[#This Row],[Packing slip]],InventTrans!D:D,AtlasReport_3_Table_1[[#This Row],[Ship date]])</f>
        <v>97.5</v>
      </c>
      <c r="I282" s="5" t="s">
        <v>63</v>
      </c>
      <c r="J282" s="5" t="s">
        <v>375</v>
      </c>
      <c r="K282" s="10" t="s">
        <v>565</v>
      </c>
    </row>
    <row r="283" spans="1:11" hidden="1">
      <c r="A283" s="5" t="s">
        <v>39</v>
      </c>
      <c r="B283" s="5" t="s">
        <v>376</v>
      </c>
      <c r="C283" s="5" t="s">
        <v>87</v>
      </c>
      <c r="D283" s="5" t="s">
        <v>88</v>
      </c>
      <c r="E283" s="8">
        <v>44510</v>
      </c>
      <c r="F283" s="6">
        <v>-80</v>
      </c>
      <c r="G283" s="5" t="s">
        <v>62</v>
      </c>
      <c r="H283" s="6">
        <f>SUMIFS(InventTrans!G:G,InventTrans!B:B,AtlasReport_3_Table_1[[#This Row],[Lot ID]],InventTrans!C:C,AtlasReport_3_Table_1[[#This Row],[Packing slip]],InventTrans!D:D,AtlasReport_3_Table_1[[#This Row],[Ship date]])</f>
        <v>-3880</v>
      </c>
      <c r="I283" s="5" t="s">
        <v>63</v>
      </c>
      <c r="J283" s="5" t="s">
        <v>377</v>
      </c>
      <c r="K283" s="10" t="s">
        <v>566</v>
      </c>
    </row>
    <row r="284" spans="1:11" hidden="1">
      <c r="A284" s="5" t="s">
        <v>39</v>
      </c>
      <c r="B284" s="5" t="s">
        <v>376</v>
      </c>
      <c r="C284" s="5" t="s">
        <v>90</v>
      </c>
      <c r="D284" s="5" t="s">
        <v>88</v>
      </c>
      <c r="E284" s="8">
        <v>44510</v>
      </c>
      <c r="F284" s="6">
        <v>-322</v>
      </c>
      <c r="G284" s="5" t="s">
        <v>62</v>
      </c>
      <c r="H284" s="6">
        <f>SUMIFS(InventTrans!G:G,InventTrans!B:B,AtlasReport_3_Table_1[[#This Row],[Lot ID]],InventTrans!C:C,AtlasReport_3_Table_1[[#This Row],[Packing slip]],InventTrans!D:D,AtlasReport_3_Table_1[[#This Row],[Ship date]])</f>
        <v>-31395</v>
      </c>
      <c r="I284" s="5" t="s">
        <v>63</v>
      </c>
      <c r="J284" s="5" t="s">
        <v>378</v>
      </c>
      <c r="K284" s="10" t="s">
        <v>566</v>
      </c>
    </row>
    <row r="285" spans="1:11" hidden="1">
      <c r="A285" s="5" t="s">
        <v>39</v>
      </c>
      <c r="B285" s="5" t="s">
        <v>376</v>
      </c>
      <c r="C285" s="5" t="s">
        <v>110</v>
      </c>
      <c r="D285" s="5" t="s">
        <v>88</v>
      </c>
      <c r="E285" s="8">
        <v>44510</v>
      </c>
      <c r="F285" s="6">
        <v>-3</v>
      </c>
      <c r="G285" s="5" t="s">
        <v>62</v>
      </c>
      <c r="H285" s="6">
        <f>SUMIFS(InventTrans!G:G,InventTrans!B:B,AtlasReport_3_Table_1[[#This Row],[Lot ID]],InventTrans!C:C,AtlasReport_3_Table_1[[#This Row],[Packing slip]],InventTrans!D:D,AtlasReport_3_Table_1[[#This Row],[Ship date]])</f>
        <v>-225</v>
      </c>
      <c r="I285" s="5" t="s">
        <v>63</v>
      </c>
      <c r="J285" s="5" t="s">
        <v>379</v>
      </c>
      <c r="K285" s="10" t="s">
        <v>566</v>
      </c>
    </row>
    <row r="286" spans="1:11" hidden="1">
      <c r="A286" s="5" t="s">
        <v>39</v>
      </c>
      <c r="B286" s="5" t="s">
        <v>376</v>
      </c>
      <c r="C286" s="5" t="s">
        <v>124</v>
      </c>
      <c r="D286" s="5" t="s">
        <v>125</v>
      </c>
      <c r="E286" s="8">
        <v>44510</v>
      </c>
      <c r="F286" s="6">
        <v>-2</v>
      </c>
      <c r="G286" s="5" t="s">
        <v>16</v>
      </c>
      <c r="H286" s="6">
        <f>SUMIFS(InventTrans!G:G,InventTrans!B:B,AtlasReport_3_Table_1[[#This Row],[Lot ID]],InventTrans!C:C,AtlasReport_3_Table_1[[#This Row],[Packing slip]],InventTrans!D:D,AtlasReport_3_Table_1[[#This Row],[Ship date]])</f>
        <v>-2</v>
      </c>
      <c r="I286" s="5" t="s">
        <v>63</v>
      </c>
      <c r="J286" s="5" t="s">
        <v>380</v>
      </c>
      <c r="K286" s="10" t="s">
        <v>566</v>
      </c>
    </row>
    <row r="287" spans="1:11" hidden="1">
      <c r="A287" s="5" t="s">
        <v>39</v>
      </c>
      <c r="B287" s="5" t="s">
        <v>381</v>
      </c>
      <c r="C287" s="5" t="s">
        <v>87</v>
      </c>
      <c r="D287" s="5" t="s">
        <v>88</v>
      </c>
      <c r="E287" s="8">
        <v>44511</v>
      </c>
      <c r="F287" s="6">
        <v>69</v>
      </c>
      <c r="G287" s="5" t="s">
        <v>62</v>
      </c>
      <c r="H287" s="6">
        <f>SUMIFS(InventTrans!G:G,InventTrans!B:B,AtlasReport_3_Table_1[[#This Row],[Lot ID]],InventTrans!C:C,AtlasReport_3_Table_1[[#This Row],[Packing slip]],InventTrans!D:D,AtlasReport_3_Table_1[[#This Row],[Ship date]])</f>
        <v>3346.5</v>
      </c>
      <c r="I287" s="5" t="s">
        <v>63</v>
      </c>
      <c r="J287" s="5" t="s">
        <v>382</v>
      </c>
      <c r="K287" s="10" t="s">
        <v>567</v>
      </c>
    </row>
    <row r="288" spans="1:11" hidden="1">
      <c r="A288" s="5" t="s">
        <v>39</v>
      </c>
      <c r="B288" s="5" t="s">
        <v>381</v>
      </c>
      <c r="C288" s="5" t="s">
        <v>90</v>
      </c>
      <c r="D288" s="5" t="s">
        <v>88</v>
      </c>
      <c r="E288" s="8">
        <v>44511</v>
      </c>
      <c r="F288" s="6">
        <v>298</v>
      </c>
      <c r="G288" s="5" t="s">
        <v>62</v>
      </c>
      <c r="H288" s="6">
        <f>SUMIFS(InventTrans!G:G,InventTrans!B:B,AtlasReport_3_Table_1[[#This Row],[Lot ID]],InventTrans!C:C,AtlasReport_3_Table_1[[#This Row],[Packing slip]],InventTrans!D:D,AtlasReport_3_Table_1[[#This Row],[Ship date]])</f>
        <v>29055</v>
      </c>
      <c r="I288" s="5" t="s">
        <v>63</v>
      </c>
      <c r="J288" s="5" t="s">
        <v>383</v>
      </c>
      <c r="K288" s="10" t="s">
        <v>567</v>
      </c>
    </row>
    <row r="289" spans="1:11" hidden="1">
      <c r="A289" s="5" t="s">
        <v>39</v>
      </c>
      <c r="B289" s="5" t="s">
        <v>381</v>
      </c>
      <c r="C289" s="5" t="s">
        <v>110</v>
      </c>
      <c r="D289" s="5" t="s">
        <v>88</v>
      </c>
      <c r="E289" s="8">
        <v>44511</v>
      </c>
      <c r="F289" s="6">
        <v>3</v>
      </c>
      <c r="G289" s="5" t="s">
        <v>62</v>
      </c>
      <c r="H289" s="6">
        <f>SUMIFS(InventTrans!G:G,InventTrans!B:B,AtlasReport_3_Table_1[[#This Row],[Lot ID]],InventTrans!C:C,AtlasReport_3_Table_1[[#This Row],[Packing slip]],InventTrans!D:D,AtlasReport_3_Table_1[[#This Row],[Ship date]])</f>
        <v>225</v>
      </c>
      <c r="I289" s="5" t="s">
        <v>63</v>
      </c>
      <c r="J289" s="5" t="s">
        <v>384</v>
      </c>
      <c r="K289" s="10" t="s">
        <v>567</v>
      </c>
    </row>
    <row r="290" spans="1:11" hidden="1">
      <c r="A290" s="5" t="s">
        <v>39</v>
      </c>
      <c r="B290" s="5" t="s">
        <v>381</v>
      </c>
      <c r="C290" s="5" t="s">
        <v>124</v>
      </c>
      <c r="D290" s="5" t="s">
        <v>125</v>
      </c>
      <c r="E290" s="8">
        <v>44511</v>
      </c>
      <c r="F290" s="6">
        <v>2</v>
      </c>
      <c r="G290" s="5" t="s">
        <v>16</v>
      </c>
      <c r="H290" s="6">
        <f>SUMIFS(InventTrans!G:G,InventTrans!B:B,AtlasReport_3_Table_1[[#This Row],[Lot ID]],InventTrans!C:C,AtlasReport_3_Table_1[[#This Row],[Packing slip]],InventTrans!D:D,AtlasReport_3_Table_1[[#This Row],[Ship date]])</f>
        <v>2</v>
      </c>
      <c r="I290" s="5" t="s">
        <v>63</v>
      </c>
      <c r="J290" s="5" t="s">
        <v>385</v>
      </c>
      <c r="K290" s="10" t="s">
        <v>567</v>
      </c>
    </row>
    <row r="291" spans="1:11" hidden="1">
      <c r="A291" s="5" t="s">
        <v>39</v>
      </c>
      <c r="B291" s="5" t="s">
        <v>386</v>
      </c>
      <c r="C291" s="5" t="s">
        <v>87</v>
      </c>
      <c r="D291" s="5" t="s">
        <v>88</v>
      </c>
      <c r="E291" s="8">
        <v>44511</v>
      </c>
      <c r="F291" s="6">
        <v>11</v>
      </c>
      <c r="G291" s="5" t="s">
        <v>62</v>
      </c>
      <c r="H291" s="6">
        <f>SUMIFS(InventTrans!G:G,InventTrans!B:B,AtlasReport_3_Table_1[[#This Row],[Lot ID]],InventTrans!C:C,AtlasReport_3_Table_1[[#This Row],[Packing slip]],InventTrans!D:D,AtlasReport_3_Table_1[[#This Row],[Ship date]])</f>
        <v>533.5</v>
      </c>
      <c r="I291" s="5" t="s">
        <v>63</v>
      </c>
      <c r="J291" s="5" t="s">
        <v>387</v>
      </c>
      <c r="K291" s="10" t="s">
        <v>568</v>
      </c>
    </row>
    <row r="292" spans="1:11" hidden="1">
      <c r="A292" s="5" t="s">
        <v>39</v>
      </c>
      <c r="B292" s="5" t="s">
        <v>386</v>
      </c>
      <c r="C292" s="5" t="s">
        <v>90</v>
      </c>
      <c r="D292" s="5" t="s">
        <v>88</v>
      </c>
      <c r="E292" s="8">
        <v>44511</v>
      </c>
      <c r="F292" s="6">
        <v>24</v>
      </c>
      <c r="G292" s="5" t="s">
        <v>62</v>
      </c>
      <c r="H292" s="6">
        <f>SUMIFS(InventTrans!G:G,InventTrans!B:B,AtlasReport_3_Table_1[[#This Row],[Lot ID]],InventTrans!C:C,AtlasReport_3_Table_1[[#This Row],[Packing slip]],InventTrans!D:D,AtlasReport_3_Table_1[[#This Row],[Ship date]])</f>
        <v>2340</v>
      </c>
      <c r="I292" s="5" t="s">
        <v>63</v>
      </c>
      <c r="J292" s="5" t="s">
        <v>388</v>
      </c>
      <c r="K292" s="10" t="s">
        <v>568</v>
      </c>
    </row>
    <row r="293" spans="1:11" hidden="1">
      <c r="A293" s="5" t="s">
        <v>39</v>
      </c>
      <c r="B293" s="5" t="s">
        <v>389</v>
      </c>
      <c r="C293" s="5" t="s">
        <v>90</v>
      </c>
      <c r="D293" s="5" t="s">
        <v>88</v>
      </c>
      <c r="E293" s="8">
        <v>44519</v>
      </c>
      <c r="F293" s="6">
        <v>60</v>
      </c>
      <c r="G293" s="5" t="s">
        <v>62</v>
      </c>
      <c r="H293" s="6">
        <f>SUMIFS(InventTrans!G:G,InventTrans!B:B,AtlasReport_3_Table_1[[#This Row],[Lot ID]],InventTrans!C:C,AtlasReport_3_Table_1[[#This Row],[Packing slip]],InventTrans!D:D,AtlasReport_3_Table_1[[#This Row],[Ship date]])</f>
        <v>5850</v>
      </c>
      <c r="I293" s="5" t="s">
        <v>63</v>
      </c>
      <c r="J293" s="5" t="s">
        <v>390</v>
      </c>
      <c r="K293" s="10" t="s">
        <v>569</v>
      </c>
    </row>
    <row r="294" spans="1:11" hidden="1">
      <c r="A294" s="5" t="s">
        <v>39</v>
      </c>
      <c r="B294" s="5" t="s">
        <v>391</v>
      </c>
      <c r="C294" s="5" t="s">
        <v>110</v>
      </c>
      <c r="D294" s="5" t="s">
        <v>88</v>
      </c>
      <c r="E294" s="8">
        <v>44529</v>
      </c>
      <c r="F294" s="6">
        <v>-6</v>
      </c>
      <c r="G294" s="5" t="s">
        <v>62</v>
      </c>
      <c r="H294" s="6">
        <f>SUMIFS(InventTrans!G:G,InventTrans!B:B,AtlasReport_3_Table_1[[#This Row],[Lot ID]],InventTrans!C:C,AtlasReport_3_Table_1[[#This Row],[Packing slip]],InventTrans!D:D,AtlasReport_3_Table_1[[#This Row],[Ship date]])</f>
        <v>-450</v>
      </c>
      <c r="I294" s="5" t="s">
        <v>63</v>
      </c>
      <c r="J294" s="5" t="s">
        <v>392</v>
      </c>
      <c r="K294" s="10" t="s">
        <v>570</v>
      </c>
    </row>
    <row r="295" spans="1:11" hidden="1">
      <c r="A295" s="5" t="s">
        <v>39</v>
      </c>
      <c r="B295" s="5" t="s">
        <v>391</v>
      </c>
      <c r="C295" s="5" t="s">
        <v>90</v>
      </c>
      <c r="D295" s="5" t="s">
        <v>88</v>
      </c>
      <c r="E295" s="8">
        <v>44529</v>
      </c>
      <c r="F295" s="6">
        <v>-8</v>
      </c>
      <c r="G295" s="5" t="s">
        <v>62</v>
      </c>
      <c r="H295" s="6">
        <f>SUMIFS(InventTrans!G:G,InventTrans!B:B,AtlasReport_3_Table_1[[#This Row],[Lot ID]],InventTrans!C:C,AtlasReport_3_Table_1[[#This Row],[Packing slip]],InventTrans!D:D,AtlasReport_3_Table_1[[#This Row],[Ship date]])</f>
        <v>-780</v>
      </c>
      <c r="I295" s="5" t="s">
        <v>63</v>
      </c>
      <c r="J295" s="5" t="s">
        <v>393</v>
      </c>
      <c r="K295" s="10" t="s">
        <v>570</v>
      </c>
    </row>
    <row r="296" spans="1:11" hidden="1">
      <c r="A296" s="5" t="s">
        <v>39</v>
      </c>
      <c r="B296" s="5" t="s">
        <v>391</v>
      </c>
      <c r="C296" s="5" t="s">
        <v>124</v>
      </c>
      <c r="D296" s="5" t="s">
        <v>125</v>
      </c>
      <c r="E296" s="8">
        <v>44529</v>
      </c>
      <c r="F296" s="6">
        <v>-1</v>
      </c>
      <c r="G296" s="5" t="s">
        <v>16</v>
      </c>
      <c r="H296" s="6">
        <f>SUMIFS(InventTrans!G:G,InventTrans!B:B,AtlasReport_3_Table_1[[#This Row],[Lot ID]],InventTrans!C:C,AtlasReport_3_Table_1[[#This Row],[Packing slip]],InventTrans!D:D,AtlasReport_3_Table_1[[#This Row],[Ship date]])</f>
        <v>-1</v>
      </c>
      <c r="I296" s="5" t="s">
        <v>63</v>
      </c>
      <c r="J296" s="5" t="s">
        <v>394</v>
      </c>
      <c r="K296" s="10" t="s">
        <v>570</v>
      </c>
    </row>
    <row r="297" spans="1:11" hidden="1">
      <c r="A297" s="5" t="s">
        <v>39</v>
      </c>
      <c r="B297" s="5" t="s">
        <v>395</v>
      </c>
      <c r="C297" s="5" t="s">
        <v>110</v>
      </c>
      <c r="D297" s="5" t="s">
        <v>88</v>
      </c>
      <c r="E297" s="8">
        <v>44529</v>
      </c>
      <c r="F297" s="6">
        <v>6</v>
      </c>
      <c r="G297" s="5" t="s">
        <v>62</v>
      </c>
      <c r="H297" s="6">
        <f>SUMIFS(InventTrans!G:G,InventTrans!B:B,AtlasReport_3_Table_1[[#This Row],[Lot ID]],InventTrans!C:C,AtlasReport_3_Table_1[[#This Row],[Packing slip]],InventTrans!D:D,AtlasReport_3_Table_1[[#This Row],[Ship date]])</f>
        <v>450</v>
      </c>
      <c r="I297" s="5" t="s">
        <v>63</v>
      </c>
      <c r="J297" s="5" t="s">
        <v>396</v>
      </c>
      <c r="K297" s="10" t="s">
        <v>571</v>
      </c>
    </row>
    <row r="298" spans="1:11" hidden="1">
      <c r="A298" s="5" t="s">
        <v>39</v>
      </c>
      <c r="B298" s="5" t="s">
        <v>395</v>
      </c>
      <c r="C298" s="5" t="s">
        <v>90</v>
      </c>
      <c r="D298" s="5" t="s">
        <v>88</v>
      </c>
      <c r="E298" s="8">
        <v>44529</v>
      </c>
      <c r="F298" s="6">
        <v>8</v>
      </c>
      <c r="G298" s="5" t="s">
        <v>62</v>
      </c>
      <c r="H298" s="6">
        <f>SUMIFS(InventTrans!G:G,InventTrans!B:B,AtlasReport_3_Table_1[[#This Row],[Lot ID]],InventTrans!C:C,AtlasReport_3_Table_1[[#This Row],[Packing slip]],InventTrans!D:D,AtlasReport_3_Table_1[[#This Row],[Ship date]])</f>
        <v>780</v>
      </c>
      <c r="I298" s="5" t="s">
        <v>63</v>
      </c>
      <c r="J298" s="5" t="s">
        <v>397</v>
      </c>
      <c r="K298" s="10" t="s">
        <v>571</v>
      </c>
    </row>
    <row r="299" spans="1:11" hidden="1">
      <c r="A299" s="5" t="s">
        <v>39</v>
      </c>
      <c r="B299" s="5" t="s">
        <v>395</v>
      </c>
      <c r="C299" s="5" t="s">
        <v>124</v>
      </c>
      <c r="D299" s="5" t="s">
        <v>125</v>
      </c>
      <c r="E299" s="8">
        <v>44529</v>
      </c>
      <c r="F299" s="6">
        <v>1</v>
      </c>
      <c r="G299" s="5" t="s">
        <v>16</v>
      </c>
      <c r="H299" s="6">
        <f>SUMIFS(InventTrans!G:G,InventTrans!B:B,AtlasReport_3_Table_1[[#This Row],[Lot ID]],InventTrans!C:C,AtlasReport_3_Table_1[[#This Row],[Packing slip]],InventTrans!D:D,AtlasReport_3_Table_1[[#This Row],[Ship date]])</f>
        <v>1</v>
      </c>
      <c r="I299" s="5" t="s">
        <v>63</v>
      </c>
      <c r="J299" s="5" t="s">
        <v>398</v>
      </c>
      <c r="K299" s="10" t="s">
        <v>571</v>
      </c>
    </row>
    <row r="300" spans="1:11" hidden="1">
      <c r="A300" s="5" t="s">
        <v>39</v>
      </c>
      <c r="B300" s="5" t="s">
        <v>399</v>
      </c>
      <c r="C300" s="5" t="s">
        <v>69</v>
      </c>
      <c r="D300" s="5" t="s">
        <v>67</v>
      </c>
      <c r="E300" s="8">
        <v>44533</v>
      </c>
      <c r="F300" s="6">
        <v>975</v>
      </c>
      <c r="G300" s="5" t="s">
        <v>63</v>
      </c>
      <c r="H300" s="6">
        <f>SUMIFS(InventTrans!G:G,InventTrans!B:B,AtlasReport_3_Table_1[[#This Row],[Lot ID]],InventTrans!C:C,AtlasReport_3_Table_1[[#This Row],[Packing slip]],InventTrans!D:D,AtlasReport_3_Table_1[[#This Row],[Ship date]])</f>
        <v>975</v>
      </c>
      <c r="I300" s="5" t="s">
        <v>63</v>
      </c>
      <c r="J300" s="5" t="s">
        <v>400</v>
      </c>
      <c r="K300" s="10" t="s">
        <v>572</v>
      </c>
    </row>
    <row r="301" spans="1:11" hidden="1">
      <c r="A301" s="5" t="s">
        <v>39</v>
      </c>
      <c r="B301" s="5" t="s">
        <v>401</v>
      </c>
      <c r="C301" s="5" t="s">
        <v>69</v>
      </c>
      <c r="D301" s="5" t="s">
        <v>67</v>
      </c>
      <c r="E301" s="8">
        <v>44546</v>
      </c>
      <c r="F301" s="6">
        <v>22</v>
      </c>
      <c r="G301" s="5" t="s">
        <v>62</v>
      </c>
      <c r="H301" s="6">
        <f>SUMIFS(InventTrans!G:G,InventTrans!B:B,AtlasReport_3_Table_1[[#This Row],[Lot ID]],InventTrans!C:C,AtlasReport_3_Table_1[[#This Row],[Packing slip]],InventTrans!D:D,AtlasReport_3_Table_1[[#This Row],[Ship date]])</f>
        <v>2145</v>
      </c>
      <c r="I301" s="5" t="s">
        <v>63</v>
      </c>
      <c r="J301" s="5" t="s">
        <v>402</v>
      </c>
      <c r="K301" s="10" t="s">
        <v>573</v>
      </c>
    </row>
    <row r="302" spans="1:11" hidden="1">
      <c r="A302" s="5" t="s">
        <v>39</v>
      </c>
      <c r="B302" s="5" t="s">
        <v>55</v>
      </c>
      <c r="C302" s="5" t="s">
        <v>69</v>
      </c>
      <c r="D302" s="5" t="s">
        <v>67</v>
      </c>
      <c r="E302" s="8">
        <v>44539</v>
      </c>
      <c r="F302" s="6">
        <v>10</v>
      </c>
      <c r="G302" s="5" t="s">
        <v>62</v>
      </c>
      <c r="H302" s="6">
        <f>SUMIFS(InventTrans!G:G,InventTrans!B:B,AtlasReport_3_Table_1[[#This Row],[Lot ID]],InventTrans!C:C,AtlasReport_3_Table_1[[#This Row],[Packing slip]],InventTrans!D:D,AtlasReport_3_Table_1[[#This Row],[Ship date]])</f>
        <v>975</v>
      </c>
      <c r="I302" s="5" t="s">
        <v>63</v>
      </c>
      <c r="J302" s="5" t="s">
        <v>403</v>
      </c>
      <c r="K302" s="10" t="s">
        <v>574</v>
      </c>
    </row>
    <row r="303" spans="1:11" hidden="1">
      <c r="A303" s="5" t="s">
        <v>39</v>
      </c>
      <c r="B303" s="5" t="s">
        <v>404</v>
      </c>
      <c r="C303" s="5" t="s">
        <v>69</v>
      </c>
      <c r="D303" s="5" t="s">
        <v>67</v>
      </c>
      <c r="E303" s="8">
        <v>44546</v>
      </c>
      <c r="F303" s="6">
        <v>40</v>
      </c>
      <c r="G303" s="5" t="s">
        <v>62</v>
      </c>
      <c r="H303" s="6">
        <f>SUMIFS(InventTrans!G:G,InventTrans!B:B,AtlasReport_3_Table_1[[#This Row],[Lot ID]],InventTrans!C:C,AtlasReport_3_Table_1[[#This Row],[Packing slip]],InventTrans!D:D,AtlasReport_3_Table_1[[#This Row],[Ship date]])</f>
        <v>3900</v>
      </c>
      <c r="I303" s="5" t="s">
        <v>63</v>
      </c>
      <c r="J303" s="5" t="s">
        <v>405</v>
      </c>
      <c r="K303" s="10" t="s">
        <v>575</v>
      </c>
    </row>
    <row r="304" spans="1:11">
      <c r="A304" s="5" t="s">
        <v>39</v>
      </c>
      <c r="B304" s="5" t="s">
        <v>406</v>
      </c>
      <c r="C304" s="5" t="s">
        <v>66</v>
      </c>
      <c r="D304" s="5" t="s">
        <v>67</v>
      </c>
      <c r="E304" s="8">
        <v>44547</v>
      </c>
      <c r="F304" s="6">
        <v>15</v>
      </c>
      <c r="G304" s="5" t="s">
        <v>62</v>
      </c>
      <c r="H304" s="6">
        <f>SUMIFS(InventTrans!G:G,InventTrans!B:B,AtlasReport_3_Table_1[[#This Row],[Lot ID]],InventTrans!C:C,AtlasReport_3_Table_1[[#This Row],[Packing slip]],InventTrans!D:D,AtlasReport_3_Table_1[[#This Row],[Ship date]])</f>
        <v>727.5</v>
      </c>
      <c r="I304" s="5" t="s">
        <v>63</v>
      </c>
      <c r="J304" s="5" t="s">
        <v>407</v>
      </c>
      <c r="K304" s="10" t="s">
        <v>576</v>
      </c>
    </row>
    <row r="305" spans="1:11" hidden="1">
      <c r="A305" s="5" t="s">
        <v>39</v>
      </c>
      <c r="B305" s="5" t="s">
        <v>406</v>
      </c>
      <c r="C305" s="5" t="s">
        <v>201</v>
      </c>
      <c r="D305" s="5" t="s">
        <v>67</v>
      </c>
      <c r="E305" s="8">
        <v>44547</v>
      </c>
      <c r="F305" s="6">
        <v>97</v>
      </c>
      <c r="G305" s="5" t="s">
        <v>62</v>
      </c>
      <c r="H305" s="6">
        <f>SUMIFS(InventTrans!G:G,InventTrans!B:B,AtlasReport_3_Table_1[[#This Row],[Lot ID]],InventTrans!C:C,AtlasReport_3_Table_1[[#This Row],[Packing slip]],InventTrans!D:D,AtlasReport_3_Table_1[[#This Row],[Ship date]])</f>
        <v>6062.5</v>
      </c>
      <c r="I305" s="5" t="s">
        <v>63</v>
      </c>
      <c r="J305" s="5" t="s">
        <v>408</v>
      </c>
      <c r="K305" s="10" t="s">
        <v>576</v>
      </c>
    </row>
    <row r="306" spans="1:11" hidden="1">
      <c r="A306" s="5" t="s">
        <v>39</v>
      </c>
      <c r="B306" s="5" t="s">
        <v>406</v>
      </c>
      <c r="C306" s="5" t="s">
        <v>124</v>
      </c>
      <c r="D306" s="5" t="s">
        <v>125</v>
      </c>
      <c r="E306" s="8">
        <v>44547</v>
      </c>
      <c r="F306" s="6">
        <v>1</v>
      </c>
      <c r="G306" s="5" t="s">
        <v>16</v>
      </c>
      <c r="H306" s="6">
        <f>SUMIFS(InventTrans!G:G,InventTrans!B:B,AtlasReport_3_Table_1[[#This Row],[Lot ID]],InventTrans!C:C,AtlasReport_3_Table_1[[#This Row],[Packing slip]],InventTrans!D:D,AtlasReport_3_Table_1[[#This Row],[Ship date]])</f>
        <v>1</v>
      </c>
      <c r="I306" s="5" t="s">
        <v>63</v>
      </c>
      <c r="J306" s="5" t="s">
        <v>409</v>
      </c>
      <c r="K306" s="10" t="s">
        <v>577</v>
      </c>
    </row>
    <row r="307" spans="1:11">
      <c r="A307" s="5" t="s">
        <v>39</v>
      </c>
      <c r="B307" s="5" t="s">
        <v>410</v>
      </c>
      <c r="C307" s="5" t="s">
        <v>66</v>
      </c>
      <c r="D307" s="5" t="s">
        <v>67</v>
      </c>
      <c r="E307" s="8">
        <v>44547</v>
      </c>
      <c r="F307" s="6">
        <v>78</v>
      </c>
      <c r="G307" s="5" t="s">
        <v>62</v>
      </c>
      <c r="H307" s="6">
        <f>SUMIFS(InventTrans!G:G,InventTrans!B:B,AtlasReport_3_Table_1[[#This Row],[Lot ID]],InventTrans!C:C,AtlasReport_3_Table_1[[#This Row],[Packing slip]],InventTrans!D:D,AtlasReport_3_Table_1[[#This Row],[Ship date]])</f>
        <v>3783</v>
      </c>
      <c r="I307" s="5" t="s">
        <v>63</v>
      </c>
      <c r="J307" s="5" t="s">
        <v>411</v>
      </c>
      <c r="K307" s="10" t="s">
        <v>578</v>
      </c>
    </row>
    <row r="308" spans="1:11" hidden="1">
      <c r="A308" s="5" t="s">
        <v>39</v>
      </c>
      <c r="B308" s="5" t="s">
        <v>410</v>
      </c>
      <c r="C308" s="5" t="s">
        <v>201</v>
      </c>
      <c r="D308" s="5" t="s">
        <v>67</v>
      </c>
      <c r="E308" s="8">
        <v>44547</v>
      </c>
      <c r="F308" s="6">
        <v>68</v>
      </c>
      <c r="G308" s="5" t="s">
        <v>62</v>
      </c>
      <c r="H308" s="6">
        <f>SUMIFS(InventTrans!G:G,InventTrans!B:B,AtlasReport_3_Table_1[[#This Row],[Lot ID]],InventTrans!C:C,AtlasReport_3_Table_1[[#This Row],[Packing slip]],InventTrans!D:D,AtlasReport_3_Table_1[[#This Row],[Ship date]])</f>
        <v>4250</v>
      </c>
      <c r="I308" s="5" t="s">
        <v>63</v>
      </c>
      <c r="J308" s="5" t="s">
        <v>412</v>
      </c>
      <c r="K308" s="10" t="s">
        <v>578</v>
      </c>
    </row>
    <row r="309" spans="1:11" hidden="1">
      <c r="A309" s="5" t="s">
        <v>39</v>
      </c>
      <c r="B309" s="5" t="s">
        <v>410</v>
      </c>
      <c r="C309" s="5" t="s">
        <v>124</v>
      </c>
      <c r="D309" s="5" t="s">
        <v>125</v>
      </c>
      <c r="E309" s="8">
        <v>44547</v>
      </c>
      <c r="F309" s="6">
        <v>1</v>
      </c>
      <c r="G309" s="5" t="s">
        <v>16</v>
      </c>
      <c r="H309" s="6">
        <f>SUMIFS(InventTrans!G:G,InventTrans!B:B,AtlasReport_3_Table_1[[#This Row],[Lot ID]],InventTrans!C:C,AtlasReport_3_Table_1[[#This Row],[Packing slip]],InventTrans!D:D,AtlasReport_3_Table_1[[#This Row],[Ship date]])</f>
        <v>1</v>
      </c>
      <c r="I309" s="5" t="s">
        <v>63</v>
      </c>
      <c r="J309" s="5" t="s">
        <v>413</v>
      </c>
      <c r="K309" s="10" t="s">
        <v>578</v>
      </c>
    </row>
    <row r="310" spans="1:11" hidden="1">
      <c r="A310" s="5" t="s">
        <v>39</v>
      </c>
      <c r="B310" s="5" t="s">
        <v>414</v>
      </c>
      <c r="C310" s="5" t="s">
        <v>60</v>
      </c>
      <c r="D310" s="5" t="s">
        <v>61</v>
      </c>
      <c r="E310" s="8">
        <v>44550</v>
      </c>
      <c r="F310" s="6">
        <v>-20</v>
      </c>
      <c r="G310" s="5" t="s">
        <v>62</v>
      </c>
      <c r="H310" s="6">
        <f>SUMIFS(InventTrans!G:G,InventTrans!B:B,AtlasReport_3_Table_1[[#This Row],[Lot ID]],InventTrans!C:C,AtlasReport_3_Table_1[[#This Row],[Packing slip]],InventTrans!D:D,AtlasReport_3_Table_1[[#This Row],[Ship date]])</f>
        <v>-970</v>
      </c>
      <c r="I310" s="5" t="s">
        <v>63</v>
      </c>
      <c r="J310" s="5" t="s">
        <v>415</v>
      </c>
      <c r="K310" s="10" t="s">
        <v>579</v>
      </c>
    </row>
    <row r="311" spans="1:11" hidden="1">
      <c r="A311" s="5" t="s">
        <v>39</v>
      </c>
      <c r="B311" s="5" t="s">
        <v>414</v>
      </c>
      <c r="C311" s="5" t="s">
        <v>143</v>
      </c>
      <c r="D311" s="5" t="s">
        <v>61</v>
      </c>
      <c r="E311" s="8">
        <v>44550</v>
      </c>
      <c r="F311" s="6">
        <v>-68</v>
      </c>
      <c r="G311" s="5" t="s">
        <v>62</v>
      </c>
      <c r="H311" s="6">
        <f>SUMIFS(InventTrans!G:G,InventTrans!B:B,AtlasReport_3_Table_1[[#This Row],[Lot ID]],InventTrans!C:C,AtlasReport_3_Table_1[[#This Row],[Packing slip]],InventTrans!D:D,AtlasReport_3_Table_1[[#This Row],[Ship date]])</f>
        <v>-6630</v>
      </c>
      <c r="I311" s="5" t="s">
        <v>63</v>
      </c>
      <c r="J311" s="5" t="s">
        <v>416</v>
      </c>
      <c r="K311" s="10" t="s">
        <v>579</v>
      </c>
    </row>
    <row r="312" spans="1:11" hidden="1">
      <c r="A312" s="5" t="s">
        <v>39</v>
      </c>
      <c r="B312" s="5" t="s">
        <v>414</v>
      </c>
      <c r="C312" s="5" t="s">
        <v>124</v>
      </c>
      <c r="D312" s="5" t="s">
        <v>125</v>
      </c>
      <c r="E312" s="8">
        <v>44550</v>
      </c>
      <c r="F312" s="6">
        <v>-2</v>
      </c>
      <c r="G312" s="5" t="s">
        <v>16</v>
      </c>
      <c r="H312" s="6">
        <f>SUMIFS(InventTrans!G:G,InventTrans!B:B,AtlasReport_3_Table_1[[#This Row],[Lot ID]],InventTrans!C:C,AtlasReport_3_Table_1[[#This Row],[Packing slip]],InventTrans!D:D,AtlasReport_3_Table_1[[#This Row],[Ship date]])</f>
        <v>-2</v>
      </c>
      <c r="I312" s="5" t="s">
        <v>63</v>
      </c>
      <c r="J312" s="5" t="s">
        <v>417</v>
      </c>
      <c r="K312" s="10" t="s">
        <v>579</v>
      </c>
    </row>
    <row r="313" spans="1:11" hidden="1">
      <c r="A313" s="5" t="s">
        <v>39</v>
      </c>
      <c r="B313" s="5" t="s">
        <v>414</v>
      </c>
      <c r="C313" s="5" t="s">
        <v>161</v>
      </c>
      <c r="D313" s="5" t="s">
        <v>61</v>
      </c>
      <c r="E313" s="8">
        <v>44550</v>
      </c>
      <c r="F313" s="6">
        <v>-14</v>
      </c>
      <c r="G313" s="5" t="s">
        <v>62</v>
      </c>
      <c r="H313" s="6">
        <f>SUMIFS(InventTrans!G:G,InventTrans!B:B,AtlasReport_3_Table_1[[#This Row],[Lot ID]],InventTrans!C:C,AtlasReport_3_Table_1[[#This Row],[Packing slip]],InventTrans!D:D,AtlasReport_3_Table_1[[#This Row],[Ship date]])</f>
        <v>-1050</v>
      </c>
      <c r="I313" s="5" t="s">
        <v>63</v>
      </c>
      <c r="J313" s="5" t="s">
        <v>418</v>
      </c>
      <c r="K313" s="10" t="s">
        <v>579</v>
      </c>
    </row>
    <row r="314" spans="1:11" hidden="1">
      <c r="A314" s="5" t="s">
        <v>39</v>
      </c>
      <c r="B314" s="5" t="s">
        <v>56</v>
      </c>
      <c r="C314" s="5" t="s">
        <v>60</v>
      </c>
      <c r="D314" s="5" t="s">
        <v>61</v>
      </c>
      <c r="E314" s="8">
        <v>44550</v>
      </c>
      <c r="F314" s="6">
        <v>20</v>
      </c>
      <c r="G314" s="5" t="s">
        <v>62</v>
      </c>
      <c r="H314" s="6">
        <f>SUMIFS(InventTrans!G:G,InventTrans!B:B,AtlasReport_3_Table_1[[#This Row],[Lot ID]],InventTrans!C:C,AtlasReport_3_Table_1[[#This Row],[Packing slip]],InventTrans!D:D,AtlasReport_3_Table_1[[#This Row],[Ship date]])</f>
        <v>970</v>
      </c>
      <c r="I314" s="5" t="s">
        <v>63</v>
      </c>
      <c r="J314" s="5" t="s">
        <v>419</v>
      </c>
      <c r="K314" s="10" t="s">
        <v>580</v>
      </c>
    </row>
    <row r="315" spans="1:11" hidden="1">
      <c r="A315" s="5" t="s">
        <v>39</v>
      </c>
      <c r="B315" s="5" t="s">
        <v>56</v>
      </c>
      <c r="C315" s="5" t="s">
        <v>143</v>
      </c>
      <c r="D315" s="5" t="s">
        <v>61</v>
      </c>
      <c r="E315" s="8">
        <v>44550</v>
      </c>
      <c r="F315" s="6">
        <v>68</v>
      </c>
      <c r="G315" s="5" t="s">
        <v>62</v>
      </c>
      <c r="H315" s="6">
        <f>SUMIFS(InventTrans!G:G,InventTrans!B:B,AtlasReport_3_Table_1[[#This Row],[Lot ID]],InventTrans!C:C,AtlasReport_3_Table_1[[#This Row],[Packing slip]],InventTrans!D:D,AtlasReport_3_Table_1[[#This Row],[Ship date]])</f>
        <v>6630</v>
      </c>
      <c r="I315" s="5" t="s">
        <v>63</v>
      </c>
      <c r="J315" s="5" t="s">
        <v>420</v>
      </c>
      <c r="K315" s="10" t="s">
        <v>580</v>
      </c>
    </row>
    <row r="316" spans="1:11" hidden="1">
      <c r="A316" s="5" t="s">
        <v>39</v>
      </c>
      <c r="B316" s="5" t="s">
        <v>56</v>
      </c>
      <c r="C316" s="5" t="s">
        <v>124</v>
      </c>
      <c r="D316" s="5" t="s">
        <v>125</v>
      </c>
      <c r="E316" s="8">
        <v>44550</v>
      </c>
      <c r="F316" s="6">
        <v>2</v>
      </c>
      <c r="G316" s="5" t="s">
        <v>16</v>
      </c>
      <c r="H316" s="6">
        <f>SUMIFS(InventTrans!G:G,InventTrans!B:B,AtlasReport_3_Table_1[[#This Row],[Lot ID]],InventTrans!C:C,AtlasReport_3_Table_1[[#This Row],[Packing slip]],InventTrans!D:D,AtlasReport_3_Table_1[[#This Row],[Ship date]])</f>
        <v>2</v>
      </c>
      <c r="I316" s="5" t="s">
        <v>63</v>
      </c>
      <c r="J316" s="5" t="s">
        <v>421</v>
      </c>
      <c r="K316" s="10" t="s">
        <v>580</v>
      </c>
    </row>
    <row r="317" spans="1:11" hidden="1">
      <c r="A317" s="5" t="s">
        <v>39</v>
      </c>
      <c r="B317" s="5" t="s">
        <v>56</v>
      </c>
      <c r="C317" s="5" t="s">
        <v>161</v>
      </c>
      <c r="D317" s="5" t="s">
        <v>61</v>
      </c>
      <c r="E317" s="8">
        <v>44550</v>
      </c>
      <c r="F317" s="6">
        <v>14</v>
      </c>
      <c r="G317" s="5" t="s">
        <v>62</v>
      </c>
      <c r="H317" s="6">
        <f>SUMIFS(InventTrans!G:G,InventTrans!B:B,AtlasReport_3_Table_1[[#This Row],[Lot ID]],InventTrans!C:C,AtlasReport_3_Table_1[[#This Row],[Packing slip]],InventTrans!D:D,AtlasReport_3_Table_1[[#This Row],[Ship date]])</f>
        <v>1050</v>
      </c>
      <c r="I317" s="5" t="s">
        <v>63</v>
      </c>
      <c r="J317" s="5" t="s">
        <v>422</v>
      </c>
      <c r="K317" s="10" t="s">
        <v>580</v>
      </c>
    </row>
    <row r="318" spans="1:11">
      <c r="A318" s="3" t="s">
        <v>10</v>
      </c>
      <c r="B318" s="4"/>
      <c r="C318" s="4"/>
      <c r="D318" s="4"/>
      <c r="E318" s="7"/>
      <c r="F318" s="3">
        <f>SUBTOTAL(109,AtlasReport_3_Table_1[Delivered])</f>
        <v>2066.5</v>
      </c>
      <c r="G318" s="4"/>
      <c r="H318" s="3">
        <f>SUBTOTAL(109,AtlasReport_3_Table_1[Invent qty delivered])</f>
        <v>47239</v>
      </c>
      <c r="I318" s="4"/>
      <c r="J318" s="4"/>
    </row>
    <row r="319" spans="1:11">
      <c r="A319" s="3"/>
      <c r="B319" s="3"/>
      <c r="C319" s="3"/>
      <c r="D319" s="3"/>
      <c r="E319" s="7"/>
      <c r="F319" s="3"/>
      <c r="G319" s="3"/>
      <c r="H319" s="3"/>
      <c r="I319" s="3"/>
      <c r="J319" s="3"/>
    </row>
    <row r="320" spans="1:11">
      <c r="A320" s="3"/>
      <c r="B320" s="3"/>
      <c r="C320" s="3"/>
      <c r="D320" s="3"/>
      <c r="E320" s="7"/>
      <c r="F320" s="3"/>
      <c r="G320" s="3"/>
      <c r="H320" s="3"/>
      <c r="I320" s="3"/>
      <c r="J320" s="3"/>
      <c r="K320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61"/>
  <sheetViews>
    <sheetView workbookViewId="0">
      <selection activeCell="D311" sqref="D311"/>
    </sheetView>
  </sheetViews>
  <sheetFormatPr defaultRowHeight="15"/>
  <cols>
    <col min="1" max="1" width="27.140625" customWidth="1"/>
    <col min="2" max="2" width="10.140625" customWidth="1"/>
    <col min="3" max="3" width="13.7109375" bestFit="1" customWidth="1"/>
    <col min="4" max="4" width="14.85546875" customWidth="1"/>
    <col min="5" max="5" width="12.42578125" customWidth="1"/>
    <col min="6" max="6" width="17.85546875" customWidth="1"/>
    <col min="7" max="7" width="11" customWidth="1"/>
  </cols>
  <sheetData>
    <row r="1" spans="1:7" ht="22.5">
      <c r="A1" s="1" t="s">
        <v>23</v>
      </c>
      <c r="B1" s="1"/>
      <c r="C1" s="1"/>
      <c r="D1" s="1"/>
      <c r="E1" s="1"/>
      <c r="F1" s="1"/>
      <c r="G1" s="1"/>
    </row>
    <row r="2" spans="1:7">
      <c r="A2" s="3" t="s">
        <v>24</v>
      </c>
      <c r="B2" s="3" t="s">
        <v>19</v>
      </c>
      <c r="C2" t="s">
        <v>423</v>
      </c>
      <c r="D2" s="7" t="s">
        <v>15</v>
      </c>
      <c r="E2" s="3" t="s">
        <v>25</v>
      </c>
      <c r="F2" s="3" t="s">
        <v>26</v>
      </c>
      <c r="G2" s="3" t="s">
        <v>14</v>
      </c>
    </row>
    <row r="3" spans="1:7">
      <c r="A3" s="5" t="s">
        <v>124</v>
      </c>
      <c r="B3" s="5" t="s">
        <v>137</v>
      </c>
      <c r="C3" s="10" t="s">
        <v>454</v>
      </c>
      <c r="D3" s="8">
        <v>44349</v>
      </c>
      <c r="E3" s="5" t="s">
        <v>17</v>
      </c>
      <c r="F3" s="5" t="s">
        <v>133</v>
      </c>
      <c r="G3" s="6">
        <v>1</v>
      </c>
    </row>
    <row r="4" spans="1:7">
      <c r="A4" s="5" t="s">
        <v>124</v>
      </c>
      <c r="B4" s="5" t="s">
        <v>137</v>
      </c>
      <c r="C4" s="10" t="s">
        <v>455</v>
      </c>
      <c r="D4" s="8">
        <v>44355</v>
      </c>
      <c r="E4" s="5" t="s">
        <v>17</v>
      </c>
      <c r="F4" s="5" t="s">
        <v>133</v>
      </c>
      <c r="G4" s="6">
        <v>-1</v>
      </c>
    </row>
    <row r="5" spans="1:7">
      <c r="A5" s="5" t="s">
        <v>124</v>
      </c>
      <c r="B5" s="5" t="s">
        <v>126</v>
      </c>
      <c r="C5" s="10" t="s">
        <v>449</v>
      </c>
      <c r="D5" s="8">
        <v>44362</v>
      </c>
      <c r="E5" s="5" t="s">
        <v>17</v>
      </c>
      <c r="F5" s="5" t="s">
        <v>121</v>
      </c>
      <c r="G5" s="6">
        <v>1</v>
      </c>
    </row>
    <row r="6" spans="1:7">
      <c r="A6" s="5" t="s">
        <v>124</v>
      </c>
      <c r="B6" s="5" t="s">
        <v>146</v>
      </c>
      <c r="C6" s="10" t="s">
        <v>458</v>
      </c>
      <c r="D6" s="8">
        <v>44369</v>
      </c>
      <c r="E6" s="5" t="s">
        <v>17</v>
      </c>
      <c r="F6" s="5" t="s">
        <v>142</v>
      </c>
      <c r="G6" s="6">
        <v>1</v>
      </c>
    </row>
    <row r="7" spans="1:7">
      <c r="A7" s="5" t="s">
        <v>124</v>
      </c>
      <c r="B7" s="5" t="s">
        <v>164</v>
      </c>
      <c r="C7" s="10" t="s">
        <v>464</v>
      </c>
      <c r="D7" s="8">
        <v>44369</v>
      </c>
      <c r="E7" s="5" t="s">
        <v>17</v>
      </c>
      <c r="F7" s="5" t="s">
        <v>158</v>
      </c>
      <c r="G7" s="6">
        <v>4</v>
      </c>
    </row>
    <row r="8" spans="1:7">
      <c r="A8" s="5" t="s">
        <v>124</v>
      </c>
      <c r="B8" s="5" t="s">
        <v>178</v>
      </c>
      <c r="C8" s="10" t="s">
        <v>470</v>
      </c>
      <c r="D8" s="8">
        <v>44382</v>
      </c>
      <c r="E8" s="5" t="s">
        <v>17</v>
      </c>
      <c r="F8" s="5" t="s">
        <v>176</v>
      </c>
      <c r="G8" s="6">
        <v>1</v>
      </c>
    </row>
    <row r="9" spans="1:7">
      <c r="A9" s="5" t="s">
        <v>124</v>
      </c>
      <c r="B9" s="5" t="s">
        <v>186</v>
      </c>
      <c r="C9" s="10" t="s">
        <v>474</v>
      </c>
      <c r="D9" s="8">
        <v>44382</v>
      </c>
      <c r="E9" s="5" t="s">
        <v>17</v>
      </c>
      <c r="F9" s="5" t="s">
        <v>184</v>
      </c>
      <c r="G9" s="6">
        <v>1</v>
      </c>
    </row>
    <row r="10" spans="1:7">
      <c r="A10" s="5" t="s">
        <v>124</v>
      </c>
      <c r="B10" s="5" t="s">
        <v>190</v>
      </c>
      <c r="C10" s="10" t="s">
        <v>475</v>
      </c>
      <c r="D10" s="8">
        <v>44382</v>
      </c>
      <c r="E10" s="5" t="s">
        <v>17</v>
      </c>
      <c r="F10" s="5" t="s">
        <v>187</v>
      </c>
      <c r="G10" s="6">
        <v>-1</v>
      </c>
    </row>
    <row r="11" spans="1:7">
      <c r="A11" s="5" t="s">
        <v>124</v>
      </c>
      <c r="B11" s="5" t="s">
        <v>194</v>
      </c>
      <c r="C11" s="10" t="s">
        <v>476</v>
      </c>
      <c r="D11" s="8">
        <v>44384</v>
      </c>
      <c r="E11" s="5" t="s">
        <v>17</v>
      </c>
      <c r="F11" s="5" t="s">
        <v>191</v>
      </c>
      <c r="G11" s="6">
        <v>1</v>
      </c>
    </row>
    <row r="12" spans="1:7">
      <c r="A12" s="5" t="s">
        <v>124</v>
      </c>
      <c r="B12" s="5" t="s">
        <v>224</v>
      </c>
      <c r="C12" s="10" t="s">
        <v>499</v>
      </c>
      <c r="D12" s="8">
        <v>44413</v>
      </c>
      <c r="E12" s="5" t="s">
        <v>17</v>
      </c>
      <c r="F12" s="5" t="s">
        <v>221</v>
      </c>
      <c r="G12" s="6">
        <v>2</v>
      </c>
    </row>
    <row r="13" spans="1:7">
      <c r="A13" s="5" t="s">
        <v>124</v>
      </c>
      <c r="B13" s="5" t="s">
        <v>234</v>
      </c>
      <c r="C13" s="10" t="s">
        <v>504</v>
      </c>
      <c r="D13" s="8">
        <v>44419</v>
      </c>
      <c r="E13" s="5" t="s">
        <v>17</v>
      </c>
      <c r="F13" s="5" t="s">
        <v>233</v>
      </c>
      <c r="G13" s="6">
        <v>1</v>
      </c>
    </row>
    <row r="14" spans="1:7">
      <c r="A14" s="5" t="s">
        <v>124</v>
      </c>
      <c r="B14" s="5" t="s">
        <v>210</v>
      </c>
      <c r="C14" s="10" t="s">
        <v>485</v>
      </c>
      <c r="D14" s="8">
        <v>44420</v>
      </c>
      <c r="E14" s="5" t="s">
        <v>17</v>
      </c>
      <c r="F14" s="5" t="s">
        <v>206</v>
      </c>
      <c r="G14" s="6">
        <v>27500</v>
      </c>
    </row>
    <row r="15" spans="1:7">
      <c r="A15" s="5" t="s">
        <v>124</v>
      </c>
      <c r="B15" s="5" t="s">
        <v>216</v>
      </c>
      <c r="C15" s="10" t="s">
        <v>494</v>
      </c>
      <c r="D15" s="8">
        <v>44421</v>
      </c>
      <c r="E15" s="5" t="s">
        <v>17</v>
      </c>
      <c r="F15" s="5" t="s">
        <v>212</v>
      </c>
      <c r="G15" s="6">
        <v>2</v>
      </c>
    </row>
    <row r="16" spans="1:7">
      <c r="A16" s="5" t="s">
        <v>124</v>
      </c>
      <c r="B16" s="5" t="s">
        <v>251</v>
      </c>
      <c r="C16" s="10" t="s">
        <v>511</v>
      </c>
      <c r="D16" s="8">
        <v>44438</v>
      </c>
      <c r="E16" s="5" t="s">
        <v>17</v>
      </c>
      <c r="F16" s="5" t="s">
        <v>248</v>
      </c>
      <c r="G16" s="6">
        <v>2</v>
      </c>
    </row>
    <row r="17" spans="1:7">
      <c r="A17" s="5" t="s">
        <v>124</v>
      </c>
      <c r="B17" s="5" t="s">
        <v>264</v>
      </c>
      <c r="C17" s="10" t="s">
        <v>518</v>
      </c>
      <c r="D17" s="8">
        <v>44441</v>
      </c>
      <c r="E17" s="5" t="s">
        <v>17</v>
      </c>
      <c r="F17" s="5" t="s">
        <v>258</v>
      </c>
      <c r="G17" s="6">
        <v>1</v>
      </c>
    </row>
    <row r="18" spans="1:7">
      <c r="A18" s="5" t="s">
        <v>124</v>
      </c>
      <c r="B18" s="5" t="s">
        <v>268</v>
      </c>
      <c r="C18" s="10" t="s">
        <v>520</v>
      </c>
      <c r="D18" s="8">
        <v>44445</v>
      </c>
      <c r="E18" s="5" t="s">
        <v>17</v>
      </c>
      <c r="F18" s="5" t="s">
        <v>265</v>
      </c>
      <c r="G18" s="6">
        <v>1</v>
      </c>
    </row>
    <row r="19" spans="1:7">
      <c r="A19" s="5" t="s">
        <v>124</v>
      </c>
      <c r="B19" s="5" t="s">
        <v>272</v>
      </c>
      <c r="C19" s="10" t="s">
        <v>522</v>
      </c>
      <c r="D19" s="8">
        <v>44454</v>
      </c>
      <c r="E19" s="5" t="s">
        <v>17</v>
      </c>
      <c r="F19" s="5" t="s">
        <v>269</v>
      </c>
      <c r="G19" s="6">
        <v>1</v>
      </c>
    </row>
    <row r="20" spans="1:7">
      <c r="A20" s="5" t="s">
        <v>124</v>
      </c>
      <c r="B20" s="5" t="s">
        <v>272</v>
      </c>
      <c r="C20" s="10" t="s">
        <v>522</v>
      </c>
      <c r="D20" s="8">
        <v>44454</v>
      </c>
      <c r="E20" s="5" t="s">
        <v>17</v>
      </c>
      <c r="F20" s="5" t="s">
        <v>269</v>
      </c>
      <c r="G20" s="6">
        <v>1</v>
      </c>
    </row>
    <row r="21" spans="1:7">
      <c r="A21" s="5" t="s">
        <v>124</v>
      </c>
      <c r="B21" s="5" t="s">
        <v>280</v>
      </c>
      <c r="C21" s="10" t="s">
        <v>526</v>
      </c>
      <c r="D21" s="8">
        <v>44456</v>
      </c>
      <c r="E21" s="5" t="s">
        <v>17</v>
      </c>
      <c r="F21" s="5" t="s">
        <v>50</v>
      </c>
      <c r="G21" s="6">
        <v>1</v>
      </c>
    </row>
    <row r="22" spans="1:7">
      <c r="A22" s="5" t="s">
        <v>124</v>
      </c>
      <c r="B22" s="5" t="s">
        <v>257</v>
      </c>
      <c r="C22" s="10" t="s">
        <v>516</v>
      </c>
      <c r="D22" s="8">
        <v>44466</v>
      </c>
      <c r="E22" s="5" t="s">
        <v>17</v>
      </c>
      <c r="F22" s="5" t="s">
        <v>42</v>
      </c>
      <c r="G22" s="6">
        <v>2</v>
      </c>
    </row>
    <row r="23" spans="1:7">
      <c r="A23" s="5" t="s">
        <v>124</v>
      </c>
      <c r="B23" s="5" t="s">
        <v>285</v>
      </c>
      <c r="C23" s="10" t="s">
        <v>529</v>
      </c>
      <c r="D23" s="8">
        <v>44467</v>
      </c>
      <c r="E23" s="5" t="s">
        <v>17</v>
      </c>
      <c r="F23" s="5" t="s">
        <v>284</v>
      </c>
      <c r="G23" s="6">
        <v>1</v>
      </c>
    </row>
    <row r="24" spans="1:7">
      <c r="A24" s="5" t="s">
        <v>124</v>
      </c>
      <c r="B24" s="5" t="s">
        <v>137</v>
      </c>
      <c r="C24" s="10" t="s">
        <v>456</v>
      </c>
      <c r="D24" s="8">
        <v>44468</v>
      </c>
      <c r="E24" s="5" t="s">
        <v>17</v>
      </c>
      <c r="F24" s="5" t="s">
        <v>133</v>
      </c>
      <c r="G24" s="6">
        <v>1</v>
      </c>
    </row>
    <row r="25" spans="1:7">
      <c r="A25" s="5" t="s">
        <v>124</v>
      </c>
      <c r="B25" s="5" t="s">
        <v>210</v>
      </c>
      <c r="C25" s="10" t="s">
        <v>491</v>
      </c>
      <c r="D25" s="8">
        <v>44468</v>
      </c>
      <c r="E25" s="5" t="s">
        <v>17</v>
      </c>
      <c r="F25" s="5" t="s">
        <v>206</v>
      </c>
      <c r="G25" s="6">
        <v>-27500</v>
      </c>
    </row>
    <row r="26" spans="1:7">
      <c r="A26" s="5" t="s">
        <v>124</v>
      </c>
      <c r="B26" s="5" t="s">
        <v>210</v>
      </c>
      <c r="C26" s="10" t="s">
        <v>492</v>
      </c>
      <c r="D26" s="8">
        <v>44468</v>
      </c>
      <c r="E26" s="5" t="s">
        <v>17</v>
      </c>
      <c r="F26" s="5" t="s">
        <v>206</v>
      </c>
      <c r="G26" s="6">
        <v>1</v>
      </c>
    </row>
    <row r="27" spans="1:7">
      <c r="A27" s="5" t="s">
        <v>124</v>
      </c>
      <c r="B27" s="5" t="s">
        <v>205</v>
      </c>
      <c r="C27" s="10" t="s">
        <v>483</v>
      </c>
      <c r="D27" s="8">
        <v>44469</v>
      </c>
      <c r="E27" s="5" t="s">
        <v>17</v>
      </c>
      <c r="F27" s="5" t="s">
        <v>198</v>
      </c>
      <c r="G27" s="6">
        <v>1</v>
      </c>
    </row>
    <row r="28" spans="1:7">
      <c r="A28" s="5" t="s">
        <v>124</v>
      </c>
      <c r="B28" s="5" t="s">
        <v>300</v>
      </c>
      <c r="C28" s="10" t="s">
        <v>536</v>
      </c>
      <c r="D28" s="8">
        <v>44475</v>
      </c>
      <c r="E28" s="5" t="s">
        <v>17</v>
      </c>
      <c r="F28" s="5" t="s">
        <v>44</v>
      </c>
      <c r="G28" s="6">
        <v>-1</v>
      </c>
    </row>
    <row r="29" spans="1:7">
      <c r="A29" s="5" t="s">
        <v>124</v>
      </c>
      <c r="B29" s="5" t="s">
        <v>301</v>
      </c>
      <c r="C29" s="10" t="s">
        <v>537</v>
      </c>
      <c r="D29" s="8">
        <v>44475</v>
      </c>
      <c r="E29" s="5" t="s">
        <v>17</v>
      </c>
      <c r="F29" s="5" t="s">
        <v>45</v>
      </c>
      <c r="G29" s="6">
        <v>1</v>
      </c>
    </row>
    <row r="30" spans="1:7">
      <c r="A30" s="5" t="s">
        <v>124</v>
      </c>
      <c r="B30" s="5" t="s">
        <v>306</v>
      </c>
      <c r="C30" s="10" t="s">
        <v>538</v>
      </c>
      <c r="D30" s="8">
        <v>44480</v>
      </c>
      <c r="E30" s="5" t="s">
        <v>17</v>
      </c>
      <c r="F30" s="5" t="s">
        <v>302</v>
      </c>
      <c r="G30" s="6">
        <v>-1</v>
      </c>
    </row>
    <row r="31" spans="1:7">
      <c r="A31" s="5" t="s">
        <v>124</v>
      </c>
      <c r="B31" s="5" t="s">
        <v>311</v>
      </c>
      <c r="C31" s="10" t="s">
        <v>539</v>
      </c>
      <c r="D31" s="8">
        <v>44480</v>
      </c>
      <c r="E31" s="5" t="s">
        <v>17</v>
      </c>
      <c r="F31" s="5" t="s">
        <v>307</v>
      </c>
      <c r="G31" s="6">
        <v>2</v>
      </c>
    </row>
    <row r="32" spans="1:7">
      <c r="A32" s="5" t="s">
        <v>124</v>
      </c>
      <c r="B32" s="5" t="s">
        <v>325</v>
      </c>
      <c r="C32" s="10" t="s">
        <v>543</v>
      </c>
      <c r="D32" s="8">
        <v>44482</v>
      </c>
      <c r="E32" s="5" t="s">
        <v>17</v>
      </c>
      <c r="F32" s="5" t="s">
        <v>53</v>
      </c>
      <c r="G32" s="6">
        <v>-2</v>
      </c>
    </row>
    <row r="33" spans="1:7">
      <c r="A33" s="5" t="s">
        <v>124</v>
      </c>
      <c r="B33" s="5" t="s">
        <v>332</v>
      </c>
      <c r="C33" s="10" t="s">
        <v>544</v>
      </c>
      <c r="D33" s="8">
        <v>44482</v>
      </c>
      <c r="E33" s="5" t="s">
        <v>17</v>
      </c>
      <c r="F33" s="5" t="s">
        <v>326</v>
      </c>
      <c r="G33" s="6">
        <v>2</v>
      </c>
    </row>
    <row r="34" spans="1:7">
      <c r="A34" s="5" t="s">
        <v>124</v>
      </c>
      <c r="B34" s="5" t="s">
        <v>340</v>
      </c>
      <c r="C34" s="10" t="s">
        <v>546</v>
      </c>
      <c r="D34" s="8">
        <v>44482</v>
      </c>
      <c r="E34" s="5" t="s">
        <v>17</v>
      </c>
      <c r="F34" s="5" t="s">
        <v>54</v>
      </c>
      <c r="G34" s="6">
        <v>2</v>
      </c>
    </row>
    <row r="35" spans="1:7">
      <c r="A35" s="5" t="s">
        <v>124</v>
      </c>
      <c r="B35" s="5" t="s">
        <v>272</v>
      </c>
      <c r="C35" s="10" t="s">
        <v>523</v>
      </c>
      <c r="D35" s="8">
        <v>44484</v>
      </c>
      <c r="E35" s="5" t="s">
        <v>17</v>
      </c>
      <c r="F35" s="5" t="s">
        <v>269</v>
      </c>
      <c r="G35" s="6">
        <v>-1</v>
      </c>
    </row>
    <row r="36" spans="1:7">
      <c r="A36" s="5" t="s">
        <v>124</v>
      </c>
      <c r="B36" s="5" t="s">
        <v>315</v>
      </c>
      <c r="C36" s="10" t="s">
        <v>540</v>
      </c>
      <c r="D36" s="8">
        <v>44484</v>
      </c>
      <c r="E36" s="5" t="s">
        <v>17</v>
      </c>
      <c r="F36" s="5" t="s">
        <v>312</v>
      </c>
      <c r="G36" s="6">
        <v>1</v>
      </c>
    </row>
    <row r="37" spans="1:7">
      <c r="A37" s="5" t="s">
        <v>124</v>
      </c>
      <c r="B37" s="5" t="s">
        <v>319</v>
      </c>
      <c r="C37" s="10" t="s">
        <v>542</v>
      </c>
      <c r="D37" s="8">
        <v>44484</v>
      </c>
      <c r="E37" s="5" t="s">
        <v>17</v>
      </c>
      <c r="F37" s="5" t="s">
        <v>316</v>
      </c>
      <c r="G37" s="6">
        <v>1</v>
      </c>
    </row>
    <row r="38" spans="1:7">
      <c r="A38" s="5" t="s">
        <v>124</v>
      </c>
      <c r="B38" s="5" t="s">
        <v>344</v>
      </c>
      <c r="C38" s="10" t="s">
        <v>547</v>
      </c>
      <c r="D38" s="8">
        <v>44490</v>
      </c>
      <c r="E38" s="5" t="s">
        <v>17</v>
      </c>
      <c r="F38" s="5" t="s">
        <v>46</v>
      </c>
      <c r="G38" s="6">
        <v>1</v>
      </c>
    </row>
    <row r="39" spans="1:7">
      <c r="A39" s="5" t="s">
        <v>124</v>
      </c>
      <c r="B39" s="5" t="s">
        <v>344</v>
      </c>
      <c r="C39" s="10" t="s">
        <v>547</v>
      </c>
      <c r="D39" s="8">
        <v>44490</v>
      </c>
      <c r="E39" s="5" t="s">
        <v>17</v>
      </c>
      <c r="F39" s="5" t="s">
        <v>46</v>
      </c>
      <c r="G39" s="6">
        <v>4</v>
      </c>
    </row>
    <row r="40" spans="1:7">
      <c r="A40" s="5" t="s">
        <v>124</v>
      </c>
      <c r="B40" s="5" t="s">
        <v>346</v>
      </c>
      <c r="C40" s="10" t="s">
        <v>550</v>
      </c>
      <c r="D40" s="8">
        <v>44495</v>
      </c>
      <c r="E40" s="5" t="s">
        <v>17</v>
      </c>
      <c r="F40" s="5" t="s">
        <v>47</v>
      </c>
      <c r="G40" s="6">
        <v>2</v>
      </c>
    </row>
    <row r="41" spans="1:7">
      <c r="A41" s="5" t="s">
        <v>124</v>
      </c>
      <c r="B41" s="5" t="s">
        <v>352</v>
      </c>
      <c r="C41" s="10" t="s">
        <v>553</v>
      </c>
      <c r="D41" s="8">
        <v>44495</v>
      </c>
      <c r="E41" s="5" t="s">
        <v>17</v>
      </c>
      <c r="F41" s="5" t="s">
        <v>348</v>
      </c>
      <c r="G41" s="6">
        <v>1</v>
      </c>
    </row>
    <row r="42" spans="1:7">
      <c r="A42" s="5" t="s">
        <v>124</v>
      </c>
      <c r="B42" s="5" t="s">
        <v>356</v>
      </c>
      <c r="C42" s="10" t="s">
        <v>555</v>
      </c>
      <c r="D42" s="8">
        <v>44497</v>
      </c>
      <c r="E42" s="5" t="s">
        <v>17</v>
      </c>
      <c r="F42" s="5" t="s">
        <v>353</v>
      </c>
      <c r="G42" s="6">
        <v>1</v>
      </c>
    </row>
    <row r="43" spans="1:7">
      <c r="A43" s="5" t="s">
        <v>124</v>
      </c>
      <c r="B43" s="5" t="s">
        <v>361</v>
      </c>
      <c r="C43" s="10" t="s">
        <v>557</v>
      </c>
      <c r="D43" s="8">
        <v>44501</v>
      </c>
      <c r="E43" s="5" t="s">
        <v>17</v>
      </c>
      <c r="F43" s="5" t="s">
        <v>357</v>
      </c>
      <c r="G43" s="6">
        <v>1</v>
      </c>
    </row>
    <row r="44" spans="1:7">
      <c r="A44" s="5" t="s">
        <v>124</v>
      </c>
      <c r="B44" s="5" t="s">
        <v>365</v>
      </c>
      <c r="C44" s="10" t="s">
        <v>560</v>
      </c>
      <c r="D44" s="8">
        <v>44502</v>
      </c>
      <c r="E44" s="5" t="s">
        <v>17</v>
      </c>
      <c r="F44" s="5" t="s">
        <v>362</v>
      </c>
      <c r="G44" s="6">
        <v>1</v>
      </c>
    </row>
    <row r="45" spans="1:7">
      <c r="A45" s="5" t="s">
        <v>124</v>
      </c>
      <c r="B45" s="5" t="s">
        <v>366</v>
      </c>
      <c r="C45" s="10" t="s">
        <v>560</v>
      </c>
      <c r="D45" s="8">
        <v>44502</v>
      </c>
      <c r="E45" s="5" t="s">
        <v>17</v>
      </c>
      <c r="F45" s="5" t="s">
        <v>362</v>
      </c>
      <c r="G45" s="6">
        <v>1</v>
      </c>
    </row>
    <row r="46" spans="1:7">
      <c r="A46" s="5" t="s">
        <v>124</v>
      </c>
      <c r="B46" s="5" t="s">
        <v>369</v>
      </c>
      <c r="C46" s="10" t="s">
        <v>563</v>
      </c>
      <c r="D46" s="8">
        <v>44508</v>
      </c>
      <c r="E46" s="5" t="s">
        <v>17</v>
      </c>
      <c r="F46" s="5" t="s">
        <v>368</v>
      </c>
      <c r="G46" s="6">
        <v>-2</v>
      </c>
    </row>
    <row r="47" spans="1:7">
      <c r="A47" s="5" t="s">
        <v>124</v>
      </c>
      <c r="B47" s="5" t="s">
        <v>371</v>
      </c>
      <c r="C47" s="10" t="s">
        <v>564</v>
      </c>
      <c r="D47" s="8">
        <v>44508</v>
      </c>
      <c r="E47" s="5" t="s">
        <v>17</v>
      </c>
      <c r="F47" s="5" t="s">
        <v>370</v>
      </c>
      <c r="G47" s="6">
        <v>1</v>
      </c>
    </row>
    <row r="48" spans="1:7">
      <c r="A48" s="5" t="s">
        <v>124</v>
      </c>
      <c r="B48" s="5" t="s">
        <v>372</v>
      </c>
      <c r="C48" s="10" t="s">
        <v>564</v>
      </c>
      <c r="D48" s="8">
        <v>44508</v>
      </c>
      <c r="E48" s="5" t="s">
        <v>17</v>
      </c>
      <c r="F48" s="5" t="s">
        <v>370</v>
      </c>
      <c r="G48" s="6">
        <v>1</v>
      </c>
    </row>
    <row r="49" spans="1:7">
      <c r="A49" s="5" t="s">
        <v>124</v>
      </c>
      <c r="B49" s="5" t="s">
        <v>380</v>
      </c>
      <c r="C49" s="10" t="s">
        <v>566</v>
      </c>
      <c r="D49" s="8">
        <v>44510</v>
      </c>
      <c r="E49" s="5" t="s">
        <v>17</v>
      </c>
      <c r="F49" s="5" t="s">
        <v>376</v>
      </c>
      <c r="G49" s="6">
        <v>-2</v>
      </c>
    </row>
    <row r="50" spans="1:7">
      <c r="A50" s="5" t="s">
        <v>124</v>
      </c>
      <c r="B50" s="5" t="s">
        <v>385</v>
      </c>
      <c r="C50" s="10" t="s">
        <v>567</v>
      </c>
      <c r="D50" s="8">
        <v>44511</v>
      </c>
      <c r="E50" s="5" t="s">
        <v>17</v>
      </c>
      <c r="F50" s="5" t="s">
        <v>381</v>
      </c>
      <c r="G50" s="6">
        <v>2</v>
      </c>
    </row>
    <row r="51" spans="1:7">
      <c r="A51" s="5" t="s">
        <v>124</v>
      </c>
      <c r="B51" s="5" t="s">
        <v>344</v>
      </c>
      <c r="C51" s="10" t="s">
        <v>548</v>
      </c>
      <c r="D51" s="8">
        <v>44519</v>
      </c>
      <c r="E51" s="5" t="s">
        <v>17</v>
      </c>
      <c r="F51" s="5" t="s">
        <v>46</v>
      </c>
      <c r="G51" s="6">
        <v>-4</v>
      </c>
    </row>
    <row r="52" spans="1:7">
      <c r="A52" s="5" t="s">
        <v>124</v>
      </c>
      <c r="B52" s="5" t="s">
        <v>361</v>
      </c>
      <c r="C52" s="10" t="s">
        <v>559</v>
      </c>
      <c r="D52" s="8">
        <v>44519</v>
      </c>
      <c r="E52" s="5" t="s">
        <v>17</v>
      </c>
      <c r="F52" s="5" t="s">
        <v>357</v>
      </c>
      <c r="G52" s="6">
        <v>1</v>
      </c>
    </row>
    <row r="53" spans="1:7">
      <c r="A53" s="5" t="s">
        <v>124</v>
      </c>
      <c r="B53" s="5" t="s">
        <v>394</v>
      </c>
      <c r="C53" s="10" t="s">
        <v>570</v>
      </c>
      <c r="D53" s="8">
        <v>44529</v>
      </c>
      <c r="E53" s="5" t="s">
        <v>17</v>
      </c>
      <c r="F53" s="5" t="s">
        <v>391</v>
      </c>
      <c r="G53" s="6">
        <v>-1</v>
      </c>
    </row>
    <row r="54" spans="1:7">
      <c r="A54" s="5" t="s">
        <v>124</v>
      </c>
      <c r="B54" s="5" t="s">
        <v>398</v>
      </c>
      <c r="C54" s="10" t="s">
        <v>571</v>
      </c>
      <c r="D54" s="8">
        <v>44529</v>
      </c>
      <c r="E54" s="5" t="s">
        <v>17</v>
      </c>
      <c r="F54" s="5" t="s">
        <v>395</v>
      </c>
      <c r="G54" s="6">
        <v>1</v>
      </c>
    </row>
    <row r="55" spans="1:7">
      <c r="A55" s="5" t="s">
        <v>124</v>
      </c>
      <c r="B55" s="5" t="s">
        <v>367</v>
      </c>
      <c r="C55" s="10" t="s">
        <v>562</v>
      </c>
      <c r="D55" s="8">
        <v>44532</v>
      </c>
      <c r="E55" s="5" t="s">
        <v>17</v>
      </c>
      <c r="F55" s="5" t="s">
        <v>362</v>
      </c>
      <c r="G55" s="6">
        <v>1</v>
      </c>
    </row>
    <row r="56" spans="1:7">
      <c r="A56" s="5" t="s">
        <v>124</v>
      </c>
      <c r="B56" s="5" t="s">
        <v>409</v>
      </c>
      <c r="C56" s="10" t="s">
        <v>577</v>
      </c>
      <c r="D56" s="8">
        <v>44547</v>
      </c>
      <c r="E56" s="5" t="s">
        <v>17</v>
      </c>
      <c r="F56" s="5" t="s">
        <v>406</v>
      </c>
      <c r="G56" s="6">
        <v>1</v>
      </c>
    </row>
    <row r="57" spans="1:7">
      <c r="A57" s="5" t="s">
        <v>124</v>
      </c>
      <c r="B57" s="5" t="s">
        <v>413</v>
      </c>
      <c r="C57" s="10" t="s">
        <v>578</v>
      </c>
      <c r="D57" s="8">
        <v>44547</v>
      </c>
      <c r="E57" s="5" t="s">
        <v>17</v>
      </c>
      <c r="F57" s="5" t="s">
        <v>410</v>
      </c>
      <c r="G57" s="6">
        <v>1</v>
      </c>
    </row>
    <row r="58" spans="1:7">
      <c r="A58" s="5" t="s">
        <v>124</v>
      </c>
      <c r="B58" s="5" t="s">
        <v>417</v>
      </c>
      <c r="C58" s="10" t="s">
        <v>579</v>
      </c>
      <c r="D58" s="8">
        <v>44550</v>
      </c>
      <c r="E58" s="5" t="s">
        <v>17</v>
      </c>
      <c r="F58" s="5" t="s">
        <v>414</v>
      </c>
      <c r="G58" s="6">
        <v>-2</v>
      </c>
    </row>
    <row r="59" spans="1:7">
      <c r="A59" s="5" t="s">
        <v>124</v>
      </c>
      <c r="B59" s="5" t="s">
        <v>421</v>
      </c>
      <c r="C59" s="10" t="s">
        <v>580</v>
      </c>
      <c r="D59" s="8">
        <v>44550</v>
      </c>
      <c r="E59" s="5" t="s">
        <v>17</v>
      </c>
      <c r="F59" s="5" t="s">
        <v>56</v>
      </c>
      <c r="G59" s="6">
        <v>2</v>
      </c>
    </row>
    <row r="60" spans="1:7">
      <c r="A60" s="5" t="s">
        <v>60</v>
      </c>
      <c r="B60" s="5" t="s">
        <v>64</v>
      </c>
      <c r="C60" s="10" t="s">
        <v>424</v>
      </c>
      <c r="D60" s="8">
        <v>44221</v>
      </c>
      <c r="E60" s="5" t="s">
        <v>17</v>
      </c>
      <c r="F60" s="5" t="s">
        <v>59</v>
      </c>
      <c r="G60" s="6">
        <v>242.5</v>
      </c>
    </row>
    <row r="61" spans="1:7">
      <c r="A61" s="5" t="s">
        <v>60</v>
      </c>
      <c r="B61" s="5" t="s">
        <v>81</v>
      </c>
      <c r="C61" s="10" t="s">
        <v>434</v>
      </c>
      <c r="D61" s="8">
        <v>44299</v>
      </c>
      <c r="E61" s="5" t="s">
        <v>17</v>
      </c>
      <c r="F61" s="5" t="s">
        <v>80</v>
      </c>
      <c r="G61" s="6">
        <v>194</v>
      </c>
    </row>
    <row r="62" spans="1:7">
      <c r="A62" s="5" t="s">
        <v>60</v>
      </c>
      <c r="B62" s="5" t="s">
        <v>106</v>
      </c>
      <c r="C62" s="10" t="s">
        <v>442</v>
      </c>
      <c r="D62" s="8">
        <v>44327</v>
      </c>
      <c r="E62" s="5" t="s">
        <v>17</v>
      </c>
      <c r="F62" s="5" t="s">
        <v>105</v>
      </c>
      <c r="G62" s="6">
        <v>48.5</v>
      </c>
    </row>
    <row r="63" spans="1:7">
      <c r="A63" s="5" t="s">
        <v>60</v>
      </c>
      <c r="B63" s="5" t="s">
        <v>130</v>
      </c>
      <c r="C63" s="10" t="s">
        <v>452</v>
      </c>
      <c r="D63" s="8">
        <v>44347</v>
      </c>
      <c r="E63" s="5" t="s">
        <v>17</v>
      </c>
      <c r="F63" s="5" t="s">
        <v>129</v>
      </c>
      <c r="G63" s="6">
        <v>48.5</v>
      </c>
    </row>
    <row r="64" spans="1:7">
      <c r="A64" s="5" t="s">
        <v>60</v>
      </c>
      <c r="B64" s="5" t="s">
        <v>132</v>
      </c>
      <c r="C64" s="10" t="s">
        <v>453</v>
      </c>
      <c r="D64" s="8">
        <v>44348</v>
      </c>
      <c r="E64" s="5" t="s">
        <v>17</v>
      </c>
      <c r="F64" s="5" t="s">
        <v>131</v>
      </c>
      <c r="G64" s="6">
        <v>3201</v>
      </c>
    </row>
    <row r="65" spans="1:7">
      <c r="A65" s="5" t="s">
        <v>60</v>
      </c>
      <c r="B65" s="5" t="s">
        <v>123</v>
      </c>
      <c r="C65" s="10" t="s">
        <v>449</v>
      </c>
      <c r="D65" s="8">
        <v>44362</v>
      </c>
      <c r="E65" s="5" t="s">
        <v>17</v>
      </c>
      <c r="F65" s="5" t="s">
        <v>121</v>
      </c>
      <c r="G65" s="6">
        <v>48.5</v>
      </c>
    </row>
    <row r="66" spans="1:7">
      <c r="A66" s="5" t="s">
        <v>60</v>
      </c>
      <c r="B66" s="5" t="s">
        <v>123</v>
      </c>
      <c r="C66" s="10" t="s">
        <v>449</v>
      </c>
      <c r="D66" s="8">
        <v>44362</v>
      </c>
      <c r="E66" s="5" t="s">
        <v>17</v>
      </c>
      <c r="F66" s="5" t="s">
        <v>121</v>
      </c>
      <c r="G66" s="6">
        <v>48.5</v>
      </c>
    </row>
    <row r="67" spans="1:7">
      <c r="A67" s="5" t="s">
        <v>60</v>
      </c>
      <c r="B67" s="5" t="s">
        <v>123</v>
      </c>
      <c r="C67" s="10" t="s">
        <v>450</v>
      </c>
      <c r="D67" s="8">
        <v>44362</v>
      </c>
      <c r="E67" s="5" t="s">
        <v>17</v>
      </c>
      <c r="F67" s="5" t="s">
        <v>121</v>
      </c>
      <c r="G67" s="6">
        <v>-48.5</v>
      </c>
    </row>
    <row r="68" spans="1:7">
      <c r="A68" s="5" t="s">
        <v>60</v>
      </c>
      <c r="B68" s="5" t="s">
        <v>145</v>
      </c>
      <c r="C68" s="10" t="s">
        <v>458</v>
      </c>
      <c r="D68" s="8">
        <v>44369</v>
      </c>
      <c r="E68" s="5" t="s">
        <v>17</v>
      </c>
      <c r="F68" s="5" t="s">
        <v>142</v>
      </c>
      <c r="G68" s="6">
        <v>1406.5</v>
      </c>
    </row>
    <row r="69" spans="1:7">
      <c r="A69" s="5" t="s">
        <v>60</v>
      </c>
      <c r="B69" s="5" t="s">
        <v>160</v>
      </c>
      <c r="C69" s="10" t="s">
        <v>464</v>
      </c>
      <c r="D69" s="8">
        <v>44369</v>
      </c>
      <c r="E69" s="5" t="s">
        <v>17</v>
      </c>
      <c r="F69" s="5" t="s">
        <v>158</v>
      </c>
      <c r="G69" s="6">
        <v>2328</v>
      </c>
    </row>
    <row r="70" spans="1:7">
      <c r="A70" s="5" t="s">
        <v>60</v>
      </c>
      <c r="B70" s="5" t="s">
        <v>160</v>
      </c>
      <c r="C70" s="10" t="s">
        <v>464</v>
      </c>
      <c r="D70" s="8">
        <v>44369</v>
      </c>
      <c r="E70" s="5" t="s">
        <v>17</v>
      </c>
      <c r="F70" s="5" t="s">
        <v>158</v>
      </c>
      <c r="G70" s="6">
        <v>1164</v>
      </c>
    </row>
    <row r="71" spans="1:7">
      <c r="A71" s="5" t="s">
        <v>60</v>
      </c>
      <c r="B71" s="5" t="s">
        <v>189</v>
      </c>
      <c r="C71" s="10" t="s">
        <v>475</v>
      </c>
      <c r="D71" s="8">
        <v>44382</v>
      </c>
      <c r="E71" s="5" t="s">
        <v>17</v>
      </c>
      <c r="F71" s="5" t="s">
        <v>187</v>
      </c>
      <c r="G71" s="6">
        <v>-1406.5</v>
      </c>
    </row>
    <row r="72" spans="1:7">
      <c r="A72" s="5" t="s">
        <v>60</v>
      </c>
      <c r="B72" s="5" t="s">
        <v>193</v>
      </c>
      <c r="C72" s="10" t="s">
        <v>476</v>
      </c>
      <c r="D72" s="8">
        <v>44384</v>
      </c>
      <c r="E72" s="5" t="s">
        <v>17</v>
      </c>
      <c r="F72" s="5" t="s">
        <v>191</v>
      </c>
      <c r="G72" s="6">
        <v>1455</v>
      </c>
    </row>
    <row r="73" spans="1:7">
      <c r="A73" s="5" t="s">
        <v>60</v>
      </c>
      <c r="B73" s="5" t="s">
        <v>197</v>
      </c>
      <c r="C73" s="10" t="s">
        <v>477</v>
      </c>
      <c r="D73" s="8">
        <v>44384</v>
      </c>
      <c r="E73" s="5" t="s">
        <v>17</v>
      </c>
      <c r="F73" s="5" t="s">
        <v>195</v>
      </c>
      <c r="G73" s="6">
        <v>48.5</v>
      </c>
    </row>
    <row r="74" spans="1:7">
      <c r="A74" s="5" t="s">
        <v>60</v>
      </c>
      <c r="B74" s="5" t="s">
        <v>197</v>
      </c>
      <c r="C74" s="10" t="s">
        <v>477</v>
      </c>
      <c r="D74" s="8">
        <v>44384</v>
      </c>
      <c r="E74" s="5" t="s">
        <v>17</v>
      </c>
      <c r="F74" s="5" t="s">
        <v>195</v>
      </c>
      <c r="G74" s="6">
        <v>436.5</v>
      </c>
    </row>
    <row r="75" spans="1:7">
      <c r="A75" s="5" t="s">
        <v>60</v>
      </c>
      <c r="B75" s="5" t="s">
        <v>160</v>
      </c>
      <c r="C75" s="10" t="s">
        <v>465</v>
      </c>
      <c r="D75" s="8">
        <v>44397</v>
      </c>
      <c r="E75" s="5" t="s">
        <v>17</v>
      </c>
      <c r="F75" s="5" t="s">
        <v>158</v>
      </c>
      <c r="G75" s="6">
        <v>-1164</v>
      </c>
    </row>
    <row r="76" spans="1:7">
      <c r="A76" s="5" t="s">
        <v>60</v>
      </c>
      <c r="B76" s="5" t="s">
        <v>197</v>
      </c>
      <c r="C76" s="10" t="s">
        <v>478</v>
      </c>
      <c r="D76" s="8">
        <v>44399</v>
      </c>
      <c r="E76" s="5" t="s">
        <v>17</v>
      </c>
      <c r="F76" s="5" t="s">
        <v>195</v>
      </c>
      <c r="G76" s="6">
        <v>-436.5</v>
      </c>
    </row>
    <row r="77" spans="1:7">
      <c r="A77" s="5" t="s">
        <v>60</v>
      </c>
      <c r="B77" s="5" t="s">
        <v>222</v>
      </c>
      <c r="C77" s="10" t="s">
        <v>499</v>
      </c>
      <c r="D77" s="8">
        <v>44413</v>
      </c>
      <c r="E77" s="5" t="s">
        <v>17</v>
      </c>
      <c r="F77" s="5" t="s">
        <v>221</v>
      </c>
      <c r="G77" s="6">
        <v>970</v>
      </c>
    </row>
    <row r="78" spans="1:7">
      <c r="A78" s="5" t="s">
        <v>60</v>
      </c>
      <c r="B78" s="5" t="s">
        <v>222</v>
      </c>
      <c r="C78" s="10" t="s">
        <v>499</v>
      </c>
      <c r="D78" s="8">
        <v>44413</v>
      </c>
      <c r="E78" s="5" t="s">
        <v>17</v>
      </c>
      <c r="F78" s="5" t="s">
        <v>221</v>
      </c>
      <c r="G78" s="6">
        <v>145.5</v>
      </c>
    </row>
    <row r="79" spans="1:7">
      <c r="A79" s="5" t="s">
        <v>60</v>
      </c>
      <c r="B79" s="5" t="s">
        <v>230</v>
      </c>
      <c r="C79" s="10" t="s">
        <v>503</v>
      </c>
      <c r="D79" s="8">
        <v>44425</v>
      </c>
      <c r="E79" s="5" t="s">
        <v>17</v>
      </c>
      <c r="F79" s="5" t="s">
        <v>228</v>
      </c>
      <c r="G79" s="6">
        <v>3880</v>
      </c>
    </row>
    <row r="80" spans="1:7">
      <c r="A80" s="5" t="s">
        <v>60</v>
      </c>
      <c r="B80" s="5" t="s">
        <v>243</v>
      </c>
      <c r="C80" s="10" t="s">
        <v>508</v>
      </c>
      <c r="D80" s="8">
        <v>44427</v>
      </c>
      <c r="E80" s="5" t="s">
        <v>17</v>
      </c>
      <c r="F80" s="5" t="s">
        <v>49</v>
      </c>
      <c r="G80" s="6">
        <v>48.5</v>
      </c>
    </row>
    <row r="81" spans="1:7">
      <c r="A81" s="5" t="s">
        <v>60</v>
      </c>
      <c r="B81" s="5" t="s">
        <v>222</v>
      </c>
      <c r="C81" s="10" t="s">
        <v>501</v>
      </c>
      <c r="D81" s="8">
        <v>44432</v>
      </c>
      <c r="E81" s="5" t="s">
        <v>17</v>
      </c>
      <c r="F81" s="5" t="s">
        <v>221</v>
      </c>
      <c r="G81" s="6">
        <v>-145.5</v>
      </c>
    </row>
    <row r="82" spans="1:7">
      <c r="A82" s="5" t="s">
        <v>60</v>
      </c>
      <c r="B82" s="5" t="s">
        <v>261</v>
      </c>
      <c r="C82" s="10" t="s">
        <v>518</v>
      </c>
      <c r="D82" s="8">
        <v>44441</v>
      </c>
      <c r="E82" s="5" t="s">
        <v>17</v>
      </c>
      <c r="F82" s="5" t="s">
        <v>258</v>
      </c>
      <c r="G82" s="6">
        <v>194</v>
      </c>
    </row>
    <row r="83" spans="1:7">
      <c r="A83" s="5" t="s">
        <v>60</v>
      </c>
      <c r="B83" s="5" t="s">
        <v>241</v>
      </c>
      <c r="C83" s="10" t="s">
        <v>507</v>
      </c>
      <c r="D83" s="8">
        <v>44445</v>
      </c>
      <c r="E83" s="5" t="s">
        <v>17</v>
      </c>
      <c r="F83" s="5" t="s">
        <v>240</v>
      </c>
      <c r="G83" s="6">
        <v>3880</v>
      </c>
    </row>
    <row r="84" spans="1:7">
      <c r="A84" s="5" t="s">
        <v>60</v>
      </c>
      <c r="B84" s="5" t="s">
        <v>267</v>
      </c>
      <c r="C84" s="10" t="s">
        <v>520</v>
      </c>
      <c r="D84" s="8">
        <v>44445</v>
      </c>
      <c r="E84" s="5" t="s">
        <v>17</v>
      </c>
      <c r="F84" s="5" t="s">
        <v>265</v>
      </c>
      <c r="G84" s="6">
        <v>388</v>
      </c>
    </row>
    <row r="85" spans="1:7">
      <c r="A85" s="5" t="s">
        <v>60</v>
      </c>
      <c r="B85" s="5" t="s">
        <v>261</v>
      </c>
      <c r="C85" s="10" t="s">
        <v>519</v>
      </c>
      <c r="D85" s="8">
        <v>44481</v>
      </c>
      <c r="E85" s="5" t="s">
        <v>17</v>
      </c>
      <c r="F85" s="5" t="s">
        <v>258</v>
      </c>
      <c r="G85" s="6">
        <v>-194</v>
      </c>
    </row>
    <row r="86" spans="1:7">
      <c r="A86" s="5" t="s">
        <v>60</v>
      </c>
      <c r="B86" s="5" t="s">
        <v>345</v>
      </c>
      <c r="C86" s="10" t="s">
        <v>550</v>
      </c>
      <c r="D86" s="8">
        <v>44495</v>
      </c>
      <c r="E86" s="5" t="s">
        <v>17</v>
      </c>
      <c r="F86" s="5" t="s">
        <v>47</v>
      </c>
      <c r="G86" s="6">
        <v>3152.5</v>
      </c>
    </row>
    <row r="87" spans="1:7">
      <c r="A87" s="5" t="s">
        <v>60</v>
      </c>
      <c r="B87" s="5" t="s">
        <v>345</v>
      </c>
      <c r="C87" s="10" t="s">
        <v>550</v>
      </c>
      <c r="D87" s="8">
        <v>44495</v>
      </c>
      <c r="E87" s="5" t="s">
        <v>17</v>
      </c>
      <c r="F87" s="5" t="s">
        <v>47</v>
      </c>
      <c r="G87" s="6">
        <v>339.5</v>
      </c>
    </row>
    <row r="88" spans="1:7">
      <c r="A88" s="5" t="s">
        <v>60</v>
      </c>
      <c r="B88" s="5" t="s">
        <v>358</v>
      </c>
      <c r="C88" s="10" t="s">
        <v>557</v>
      </c>
      <c r="D88" s="8">
        <v>44501</v>
      </c>
      <c r="E88" s="5" t="s">
        <v>17</v>
      </c>
      <c r="F88" s="5" t="s">
        <v>357</v>
      </c>
      <c r="G88" s="6">
        <v>485</v>
      </c>
    </row>
    <row r="89" spans="1:7">
      <c r="A89" s="5" t="s">
        <v>60</v>
      </c>
      <c r="B89" s="5" t="s">
        <v>358</v>
      </c>
      <c r="C89" s="10" t="s">
        <v>557</v>
      </c>
      <c r="D89" s="8">
        <v>44501</v>
      </c>
      <c r="E89" s="5" t="s">
        <v>17</v>
      </c>
      <c r="F89" s="5" t="s">
        <v>357</v>
      </c>
      <c r="G89" s="6">
        <v>97</v>
      </c>
    </row>
    <row r="90" spans="1:7">
      <c r="A90" s="5" t="s">
        <v>60</v>
      </c>
      <c r="B90" s="5" t="s">
        <v>374</v>
      </c>
      <c r="C90" s="10" t="s">
        <v>565</v>
      </c>
      <c r="D90" s="8">
        <v>44510</v>
      </c>
      <c r="E90" s="5" t="s">
        <v>17</v>
      </c>
      <c r="F90" s="5" t="s">
        <v>373</v>
      </c>
      <c r="G90" s="6">
        <v>436.5</v>
      </c>
    </row>
    <row r="91" spans="1:7">
      <c r="A91" s="5" t="s">
        <v>60</v>
      </c>
      <c r="B91" s="5" t="s">
        <v>345</v>
      </c>
      <c r="C91" s="10" t="s">
        <v>551</v>
      </c>
      <c r="D91" s="8">
        <v>44518</v>
      </c>
      <c r="E91" s="5" t="s">
        <v>17</v>
      </c>
      <c r="F91" s="5" t="s">
        <v>47</v>
      </c>
      <c r="G91" s="6">
        <v>-339.5</v>
      </c>
    </row>
    <row r="92" spans="1:7">
      <c r="A92" s="5" t="s">
        <v>60</v>
      </c>
      <c r="B92" s="5" t="s">
        <v>358</v>
      </c>
      <c r="C92" s="10" t="s">
        <v>558</v>
      </c>
      <c r="D92" s="8">
        <v>44519</v>
      </c>
      <c r="E92" s="5" t="s">
        <v>17</v>
      </c>
      <c r="F92" s="5" t="s">
        <v>357</v>
      </c>
      <c r="G92" s="6">
        <v>-97</v>
      </c>
    </row>
    <row r="93" spans="1:7">
      <c r="A93" s="5" t="s">
        <v>60</v>
      </c>
      <c r="B93" s="5" t="s">
        <v>415</v>
      </c>
      <c r="C93" s="10" t="s">
        <v>579</v>
      </c>
      <c r="D93" s="8">
        <v>44550</v>
      </c>
      <c r="E93" s="5" t="s">
        <v>17</v>
      </c>
      <c r="F93" s="5" t="s">
        <v>414</v>
      </c>
      <c r="G93" s="6">
        <v>-970</v>
      </c>
    </row>
    <row r="94" spans="1:7">
      <c r="A94" s="5" t="s">
        <v>60</v>
      </c>
      <c r="B94" s="5" t="s">
        <v>419</v>
      </c>
      <c r="C94" s="10" t="s">
        <v>580</v>
      </c>
      <c r="D94" s="8">
        <v>44550</v>
      </c>
      <c r="E94" s="5" t="s">
        <v>17</v>
      </c>
      <c r="F94" s="5" t="s">
        <v>56</v>
      </c>
      <c r="G94" s="6">
        <v>970</v>
      </c>
    </row>
    <row r="95" spans="1:7">
      <c r="A95" s="5" t="s">
        <v>87</v>
      </c>
      <c r="B95" s="5" t="s">
        <v>89</v>
      </c>
      <c r="C95" s="10" t="s">
        <v>437</v>
      </c>
      <c r="D95" s="8">
        <v>44316</v>
      </c>
      <c r="E95" s="5" t="s">
        <v>17</v>
      </c>
      <c r="F95" s="5" t="s">
        <v>86</v>
      </c>
      <c r="G95" s="6">
        <v>1940</v>
      </c>
    </row>
    <row r="96" spans="1:7">
      <c r="A96" s="5" t="s">
        <v>87</v>
      </c>
      <c r="B96" s="5" t="s">
        <v>108</v>
      </c>
      <c r="C96" s="10" t="s">
        <v>443</v>
      </c>
      <c r="D96" s="8">
        <v>44336</v>
      </c>
      <c r="E96" s="5" t="s">
        <v>17</v>
      </c>
      <c r="F96" s="5" t="s">
        <v>107</v>
      </c>
      <c r="G96" s="6">
        <v>194</v>
      </c>
    </row>
    <row r="97" spans="1:7">
      <c r="A97" s="5" t="s">
        <v>87</v>
      </c>
      <c r="B97" s="5" t="s">
        <v>119</v>
      </c>
      <c r="C97" s="10" t="s">
        <v>448</v>
      </c>
      <c r="D97" s="8">
        <v>44341</v>
      </c>
      <c r="E97" s="5" t="s">
        <v>17</v>
      </c>
      <c r="F97" s="5" t="s">
        <v>118</v>
      </c>
      <c r="G97" s="6">
        <v>291</v>
      </c>
    </row>
    <row r="98" spans="1:7">
      <c r="A98" s="5" t="s">
        <v>87</v>
      </c>
      <c r="B98" s="5" t="s">
        <v>128</v>
      </c>
      <c r="C98" s="10" t="s">
        <v>451</v>
      </c>
      <c r="D98" s="8">
        <v>44347</v>
      </c>
      <c r="E98" s="5" t="s">
        <v>17</v>
      </c>
      <c r="F98" s="5" t="s">
        <v>127</v>
      </c>
      <c r="G98" s="6">
        <v>485</v>
      </c>
    </row>
    <row r="99" spans="1:7">
      <c r="A99" s="5" t="s">
        <v>87</v>
      </c>
      <c r="B99" s="5" t="s">
        <v>134</v>
      </c>
      <c r="C99" s="10" t="s">
        <v>454</v>
      </c>
      <c r="D99" s="8">
        <v>44349</v>
      </c>
      <c r="E99" s="5" t="s">
        <v>17</v>
      </c>
      <c r="F99" s="5" t="s">
        <v>133</v>
      </c>
      <c r="G99" s="6">
        <v>679</v>
      </c>
    </row>
    <row r="100" spans="1:7">
      <c r="A100" s="5" t="s">
        <v>87</v>
      </c>
      <c r="B100" s="5" t="s">
        <v>140</v>
      </c>
      <c r="C100" s="10" t="s">
        <v>457</v>
      </c>
      <c r="D100" s="8">
        <v>44354</v>
      </c>
      <c r="E100" s="5" t="s">
        <v>17</v>
      </c>
      <c r="F100" s="5" t="s">
        <v>138</v>
      </c>
      <c r="G100" s="6">
        <v>3880</v>
      </c>
    </row>
    <row r="101" spans="1:7">
      <c r="A101" s="5" t="s">
        <v>87</v>
      </c>
      <c r="B101" s="5" t="s">
        <v>207</v>
      </c>
      <c r="C101" s="10" t="s">
        <v>484</v>
      </c>
      <c r="D101" s="8">
        <v>44413</v>
      </c>
      <c r="E101" s="5" t="s">
        <v>17</v>
      </c>
      <c r="F101" s="5" t="s">
        <v>206</v>
      </c>
      <c r="G101" s="6">
        <v>145.5</v>
      </c>
    </row>
    <row r="102" spans="1:7">
      <c r="A102" s="5" t="s">
        <v>87</v>
      </c>
      <c r="B102" s="5" t="s">
        <v>207</v>
      </c>
      <c r="C102" s="10" t="s">
        <v>484</v>
      </c>
      <c r="D102" s="8">
        <v>44413</v>
      </c>
      <c r="E102" s="5" t="s">
        <v>17</v>
      </c>
      <c r="F102" s="5" t="s">
        <v>206</v>
      </c>
      <c r="G102" s="6">
        <v>727.5</v>
      </c>
    </row>
    <row r="103" spans="1:7">
      <c r="A103" s="5" t="s">
        <v>87</v>
      </c>
      <c r="B103" s="5" t="s">
        <v>207</v>
      </c>
      <c r="C103" s="10" t="s">
        <v>484</v>
      </c>
      <c r="D103" s="8">
        <v>44413</v>
      </c>
      <c r="E103" s="5" t="s">
        <v>17</v>
      </c>
      <c r="F103" s="5" t="s">
        <v>206</v>
      </c>
      <c r="G103" s="6">
        <v>1794.5</v>
      </c>
    </row>
    <row r="104" spans="1:7">
      <c r="A104" s="5" t="s">
        <v>87</v>
      </c>
      <c r="B104" s="5" t="s">
        <v>207</v>
      </c>
      <c r="C104" s="10" t="s">
        <v>484</v>
      </c>
      <c r="D104" s="8">
        <v>44413</v>
      </c>
      <c r="E104" s="5" t="s">
        <v>17</v>
      </c>
      <c r="F104" s="5" t="s">
        <v>206</v>
      </c>
      <c r="G104" s="6">
        <v>485</v>
      </c>
    </row>
    <row r="105" spans="1:7">
      <c r="A105" s="5" t="s">
        <v>87</v>
      </c>
      <c r="B105" s="5" t="s">
        <v>214</v>
      </c>
      <c r="C105" s="10" t="s">
        <v>494</v>
      </c>
      <c r="D105" s="8">
        <v>44421</v>
      </c>
      <c r="E105" s="5" t="s">
        <v>17</v>
      </c>
      <c r="F105" s="5" t="s">
        <v>212</v>
      </c>
      <c r="G105" s="6">
        <v>3880</v>
      </c>
    </row>
    <row r="106" spans="1:7">
      <c r="A106" s="5" t="s">
        <v>87</v>
      </c>
      <c r="B106" s="5" t="s">
        <v>214</v>
      </c>
      <c r="C106" s="10" t="s">
        <v>494</v>
      </c>
      <c r="D106" s="8">
        <v>44421</v>
      </c>
      <c r="E106" s="5" t="s">
        <v>17</v>
      </c>
      <c r="F106" s="5" t="s">
        <v>212</v>
      </c>
      <c r="G106" s="6">
        <v>1455</v>
      </c>
    </row>
    <row r="107" spans="1:7">
      <c r="A107" s="5" t="s">
        <v>87</v>
      </c>
      <c r="B107" s="5" t="s">
        <v>214</v>
      </c>
      <c r="C107" s="10" t="s">
        <v>494</v>
      </c>
      <c r="D107" s="8">
        <v>44421</v>
      </c>
      <c r="E107" s="5" t="s">
        <v>17</v>
      </c>
      <c r="F107" s="5" t="s">
        <v>212</v>
      </c>
      <c r="G107" s="6">
        <v>485</v>
      </c>
    </row>
    <row r="108" spans="1:7">
      <c r="A108" s="5" t="s">
        <v>87</v>
      </c>
      <c r="B108" s="5" t="s">
        <v>207</v>
      </c>
      <c r="C108" s="10" t="s">
        <v>488</v>
      </c>
      <c r="D108" s="8">
        <v>44438</v>
      </c>
      <c r="E108" s="5" t="s">
        <v>17</v>
      </c>
      <c r="F108" s="5" t="s">
        <v>206</v>
      </c>
      <c r="G108" s="6">
        <v>-727.5</v>
      </c>
    </row>
    <row r="109" spans="1:7">
      <c r="A109" s="5" t="s">
        <v>87</v>
      </c>
      <c r="B109" s="5" t="s">
        <v>249</v>
      </c>
      <c r="C109" s="10" t="s">
        <v>511</v>
      </c>
      <c r="D109" s="8">
        <v>44438</v>
      </c>
      <c r="E109" s="5" t="s">
        <v>17</v>
      </c>
      <c r="F109" s="5" t="s">
        <v>248</v>
      </c>
      <c r="G109" s="6">
        <v>533.5</v>
      </c>
    </row>
    <row r="110" spans="1:7">
      <c r="A110" s="5" t="s">
        <v>87</v>
      </c>
      <c r="B110" s="5" t="s">
        <v>249</v>
      </c>
      <c r="C110" s="10" t="s">
        <v>511</v>
      </c>
      <c r="D110" s="8">
        <v>44438</v>
      </c>
      <c r="E110" s="5" t="s">
        <v>17</v>
      </c>
      <c r="F110" s="5" t="s">
        <v>248</v>
      </c>
      <c r="G110" s="6">
        <v>194</v>
      </c>
    </row>
    <row r="111" spans="1:7">
      <c r="A111" s="5" t="s">
        <v>87</v>
      </c>
      <c r="B111" s="5" t="s">
        <v>207</v>
      </c>
      <c r="C111" s="10" t="s">
        <v>489</v>
      </c>
      <c r="D111" s="8">
        <v>44440</v>
      </c>
      <c r="E111" s="5" t="s">
        <v>17</v>
      </c>
      <c r="F111" s="5" t="s">
        <v>206</v>
      </c>
      <c r="G111" s="6">
        <v>-1794.5</v>
      </c>
    </row>
    <row r="112" spans="1:7">
      <c r="A112" s="5" t="s">
        <v>87</v>
      </c>
      <c r="B112" s="5" t="s">
        <v>214</v>
      </c>
      <c r="C112" s="10" t="s">
        <v>495</v>
      </c>
      <c r="D112" s="8">
        <v>44440</v>
      </c>
      <c r="E112" s="5" t="s">
        <v>17</v>
      </c>
      <c r="F112" s="5" t="s">
        <v>212</v>
      </c>
      <c r="G112" s="6">
        <v>-1455</v>
      </c>
    </row>
    <row r="113" spans="1:7">
      <c r="A113" s="5" t="s">
        <v>87</v>
      </c>
      <c r="B113" s="5" t="s">
        <v>255</v>
      </c>
      <c r="C113" s="10" t="s">
        <v>513</v>
      </c>
      <c r="D113" s="8">
        <v>44441</v>
      </c>
      <c r="E113" s="5" t="s">
        <v>17</v>
      </c>
      <c r="F113" s="5" t="s">
        <v>42</v>
      </c>
      <c r="G113" s="6">
        <v>1309.5</v>
      </c>
    </row>
    <row r="114" spans="1:7">
      <c r="A114" s="5" t="s">
        <v>87</v>
      </c>
      <c r="B114" s="5" t="s">
        <v>259</v>
      </c>
      <c r="C114" s="10" t="s">
        <v>518</v>
      </c>
      <c r="D114" s="8">
        <v>44441</v>
      </c>
      <c r="E114" s="5" t="s">
        <v>17</v>
      </c>
      <c r="F114" s="5" t="s">
        <v>258</v>
      </c>
      <c r="G114" s="6">
        <v>48.5</v>
      </c>
    </row>
    <row r="115" spans="1:7">
      <c r="A115" s="5" t="s">
        <v>87</v>
      </c>
      <c r="B115" s="5" t="s">
        <v>207</v>
      </c>
      <c r="C115" s="10" t="s">
        <v>490</v>
      </c>
      <c r="D115" s="8">
        <v>44446</v>
      </c>
      <c r="E115" s="5" t="s">
        <v>17</v>
      </c>
      <c r="F115" s="5" t="s">
        <v>206</v>
      </c>
      <c r="G115" s="6">
        <v>-485</v>
      </c>
    </row>
    <row r="116" spans="1:7">
      <c r="A116" s="5" t="s">
        <v>87</v>
      </c>
      <c r="B116" s="5" t="s">
        <v>214</v>
      </c>
      <c r="C116" s="10" t="s">
        <v>496</v>
      </c>
      <c r="D116" s="8">
        <v>44446</v>
      </c>
      <c r="E116" s="5" t="s">
        <v>17</v>
      </c>
      <c r="F116" s="5" t="s">
        <v>212</v>
      </c>
      <c r="G116" s="6">
        <v>-485</v>
      </c>
    </row>
    <row r="117" spans="1:7">
      <c r="A117" s="5" t="s">
        <v>87</v>
      </c>
      <c r="B117" s="5" t="s">
        <v>249</v>
      </c>
      <c r="C117" s="10" t="s">
        <v>512</v>
      </c>
      <c r="D117" s="8">
        <v>44456</v>
      </c>
      <c r="E117" s="5" t="s">
        <v>17</v>
      </c>
      <c r="F117" s="5" t="s">
        <v>248</v>
      </c>
      <c r="G117" s="6">
        <v>-194</v>
      </c>
    </row>
    <row r="118" spans="1:7">
      <c r="A118" s="5" t="s">
        <v>87</v>
      </c>
      <c r="B118" s="5" t="s">
        <v>277</v>
      </c>
      <c r="C118" s="10" t="s">
        <v>526</v>
      </c>
      <c r="D118" s="8">
        <v>44456</v>
      </c>
      <c r="E118" s="5" t="s">
        <v>17</v>
      </c>
      <c r="F118" s="5" t="s">
        <v>50</v>
      </c>
      <c r="G118" s="6">
        <v>630.5</v>
      </c>
    </row>
    <row r="119" spans="1:7">
      <c r="A119" s="5" t="s">
        <v>87</v>
      </c>
      <c r="B119" s="5" t="s">
        <v>303</v>
      </c>
      <c r="C119" s="10" t="s">
        <v>538</v>
      </c>
      <c r="D119" s="8">
        <v>44480</v>
      </c>
      <c r="E119" s="5" t="s">
        <v>17</v>
      </c>
      <c r="F119" s="5" t="s">
        <v>302</v>
      </c>
      <c r="G119" s="6">
        <v>-630.5</v>
      </c>
    </row>
    <row r="120" spans="1:7">
      <c r="A120" s="5" t="s">
        <v>87</v>
      </c>
      <c r="B120" s="5" t="s">
        <v>308</v>
      </c>
      <c r="C120" s="10" t="s">
        <v>539</v>
      </c>
      <c r="D120" s="8">
        <v>44480</v>
      </c>
      <c r="E120" s="5" t="s">
        <v>17</v>
      </c>
      <c r="F120" s="5" t="s">
        <v>307</v>
      </c>
      <c r="G120" s="6">
        <v>630.5</v>
      </c>
    </row>
    <row r="121" spans="1:7">
      <c r="A121" s="5" t="s">
        <v>87</v>
      </c>
      <c r="B121" s="5" t="s">
        <v>323</v>
      </c>
      <c r="C121" s="10" t="s">
        <v>543</v>
      </c>
      <c r="D121" s="8">
        <v>44482</v>
      </c>
      <c r="E121" s="5" t="s">
        <v>17</v>
      </c>
      <c r="F121" s="5" t="s">
        <v>53</v>
      </c>
      <c r="G121" s="6">
        <v>-1309.5</v>
      </c>
    </row>
    <row r="122" spans="1:7">
      <c r="A122" s="5" t="s">
        <v>87</v>
      </c>
      <c r="B122" s="5" t="s">
        <v>330</v>
      </c>
      <c r="C122" s="10" t="s">
        <v>544</v>
      </c>
      <c r="D122" s="8">
        <v>44482</v>
      </c>
      <c r="E122" s="5" t="s">
        <v>17</v>
      </c>
      <c r="F122" s="5" t="s">
        <v>326</v>
      </c>
      <c r="G122" s="6">
        <v>1309.5</v>
      </c>
    </row>
    <row r="123" spans="1:7">
      <c r="A123" s="5" t="s">
        <v>87</v>
      </c>
      <c r="B123" s="5" t="s">
        <v>313</v>
      </c>
      <c r="C123" s="10" t="s">
        <v>540</v>
      </c>
      <c r="D123" s="8">
        <v>44484</v>
      </c>
      <c r="E123" s="5" t="s">
        <v>17</v>
      </c>
      <c r="F123" s="5" t="s">
        <v>312</v>
      </c>
      <c r="G123" s="6">
        <v>97</v>
      </c>
    </row>
    <row r="124" spans="1:7">
      <c r="A124" s="5" t="s">
        <v>87</v>
      </c>
      <c r="B124" s="5" t="s">
        <v>313</v>
      </c>
      <c r="C124" s="10" t="s">
        <v>540</v>
      </c>
      <c r="D124" s="8">
        <v>44484</v>
      </c>
      <c r="E124" s="5" t="s">
        <v>17</v>
      </c>
      <c r="F124" s="5" t="s">
        <v>312</v>
      </c>
      <c r="G124" s="6">
        <v>48.5</v>
      </c>
    </row>
    <row r="125" spans="1:7">
      <c r="A125" s="5" t="s">
        <v>87</v>
      </c>
      <c r="B125" s="5" t="s">
        <v>341</v>
      </c>
      <c r="C125" s="10" t="s">
        <v>547</v>
      </c>
      <c r="D125" s="8">
        <v>44490</v>
      </c>
      <c r="E125" s="5" t="s">
        <v>17</v>
      </c>
      <c r="F125" s="5" t="s">
        <v>46</v>
      </c>
      <c r="G125" s="6">
        <v>436.5</v>
      </c>
    </row>
    <row r="126" spans="1:7">
      <c r="A126" s="5" t="s">
        <v>87</v>
      </c>
      <c r="B126" s="5" t="s">
        <v>341</v>
      </c>
      <c r="C126" s="10" t="s">
        <v>547</v>
      </c>
      <c r="D126" s="8">
        <v>44490</v>
      </c>
      <c r="E126" s="5" t="s">
        <v>17</v>
      </c>
      <c r="F126" s="5" t="s">
        <v>46</v>
      </c>
      <c r="G126" s="6">
        <v>97</v>
      </c>
    </row>
    <row r="127" spans="1:7">
      <c r="A127" s="5" t="s">
        <v>87</v>
      </c>
      <c r="B127" s="5" t="s">
        <v>347</v>
      </c>
      <c r="C127" s="10" t="s">
        <v>552</v>
      </c>
      <c r="D127" s="8">
        <v>44494</v>
      </c>
      <c r="E127" s="5" t="s">
        <v>17</v>
      </c>
      <c r="F127" s="5" t="s">
        <v>48</v>
      </c>
      <c r="G127" s="6">
        <v>970</v>
      </c>
    </row>
    <row r="128" spans="1:7">
      <c r="A128" s="5" t="s">
        <v>87</v>
      </c>
      <c r="B128" s="5" t="s">
        <v>351</v>
      </c>
      <c r="C128" s="10" t="s">
        <v>553</v>
      </c>
      <c r="D128" s="8">
        <v>44495</v>
      </c>
      <c r="E128" s="5" t="s">
        <v>17</v>
      </c>
      <c r="F128" s="5" t="s">
        <v>348</v>
      </c>
      <c r="G128" s="6">
        <v>145.5</v>
      </c>
    </row>
    <row r="129" spans="1:7">
      <c r="A129" s="5" t="s">
        <v>87</v>
      </c>
      <c r="B129" s="5" t="s">
        <v>363</v>
      </c>
      <c r="C129" s="10" t="s">
        <v>560</v>
      </c>
      <c r="D129" s="8">
        <v>44502</v>
      </c>
      <c r="E129" s="5" t="s">
        <v>17</v>
      </c>
      <c r="F129" s="5" t="s">
        <v>362</v>
      </c>
      <c r="G129" s="6">
        <v>194</v>
      </c>
    </row>
    <row r="130" spans="1:7">
      <c r="A130" s="5" t="s">
        <v>87</v>
      </c>
      <c r="B130" s="5" t="s">
        <v>363</v>
      </c>
      <c r="C130" s="10" t="s">
        <v>560</v>
      </c>
      <c r="D130" s="8">
        <v>44502</v>
      </c>
      <c r="E130" s="5" t="s">
        <v>17</v>
      </c>
      <c r="F130" s="5" t="s">
        <v>362</v>
      </c>
      <c r="G130" s="6">
        <v>194</v>
      </c>
    </row>
    <row r="131" spans="1:7">
      <c r="A131" s="5" t="s">
        <v>87</v>
      </c>
      <c r="B131" s="5" t="s">
        <v>377</v>
      </c>
      <c r="C131" s="10" t="s">
        <v>566</v>
      </c>
      <c r="D131" s="8">
        <v>44510</v>
      </c>
      <c r="E131" s="5" t="s">
        <v>17</v>
      </c>
      <c r="F131" s="5" t="s">
        <v>376</v>
      </c>
      <c r="G131" s="6">
        <v>-3880</v>
      </c>
    </row>
    <row r="132" spans="1:7">
      <c r="A132" s="5" t="s">
        <v>87</v>
      </c>
      <c r="B132" s="5" t="s">
        <v>382</v>
      </c>
      <c r="C132" s="10" t="s">
        <v>567</v>
      </c>
      <c r="D132" s="8">
        <v>44511</v>
      </c>
      <c r="E132" s="5" t="s">
        <v>17</v>
      </c>
      <c r="F132" s="5" t="s">
        <v>381</v>
      </c>
      <c r="G132" s="6">
        <v>3346.5</v>
      </c>
    </row>
    <row r="133" spans="1:7">
      <c r="A133" s="5" t="s">
        <v>87</v>
      </c>
      <c r="B133" s="5" t="s">
        <v>387</v>
      </c>
      <c r="C133" s="10" t="s">
        <v>568</v>
      </c>
      <c r="D133" s="8">
        <v>44511</v>
      </c>
      <c r="E133" s="5" t="s">
        <v>17</v>
      </c>
      <c r="F133" s="5" t="s">
        <v>386</v>
      </c>
      <c r="G133" s="6">
        <v>533.5</v>
      </c>
    </row>
    <row r="134" spans="1:7">
      <c r="A134" s="5" t="s">
        <v>87</v>
      </c>
      <c r="B134" s="5" t="s">
        <v>313</v>
      </c>
      <c r="C134" s="10" t="s">
        <v>541</v>
      </c>
      <c r="D134" s="8">
        <v>44518</v>
      </c>
      <c r="E134" s="5" t="s">
        <v>17</v>
      </c>
      <c r="F134" s="5" t="s">
        <v>312</v>
      </c>
      <c r="G134" s="6">
        <v>-48.5</v>
      </c>
    </row>
    <row r="135" spans="1:7">
      <c r="A135" s="5" t="s">
        <v>87</v>
      </c>
      <c r="B135" s="5" t="s">
        <v>341</v>
      </c>
      <c r="C135" s="10" t="s">
        <v>548</v>
      </c>
      <c r="D135" s="8">
        <v>44519</v>
      </c>
      <c r="E135" s="5" t="s">
        <v>17</v>
      </c>
      <c r="F135" s="5" t="s">
        <v>46</v>
      </c>
      <c r="G135" s="6">
        <v>-97</v>
      </c>
    </row>
    <row r="136" spans="1:7">
      <c r="A136" s="5" t="s">
        <v>87</v>
      </c>
      <c r="B136" s="5" t="s">
        <v>363</v>
      </c>
      <c r="C136" s="10" t="s">
        <v>561</v>
      </c>
      <c r="D136" s="8">
        <v>44532</v>
      </c>
      <c r="E136" s="5" t="s">
        <v>17</v>
      </c>
      <c r="F136" s="5" t="s">
        <v>362</v>
      </c>
      <c r="G136" s="6">
        <v>-194</v>
      </c>
    </row>
    <row r="137" spans="1:7">
      <c r="A137" s="5" t="s">
        <v>161</v>
      </c>
      <c r="B137" s="5" t="s">
        <v>162</v>
      </c>
      <c r="C137" s="10" t="s">
        <v>464</v>
      </c>
      <c r="D137" s="8">
        <v>44369</v>
      </c>
      <c r="E137" s="5" t="s">
        <v>17</v>
      </c>
      <c r="F137" s="5" t="s">
        <v>158</v>
      </c>
      <c r="G137" s="6">
        <v>150</v>
      </c>
    </row>
    <row r="138" spans="1:7">
      <c r="A138" s="5" t="s">
        <v>161</v>
      </c>
      <c r="B138" s="5" t="s">
        <v>225</v>
      </c>
      <c r="C138" s="10" t="s">
        <v>500</v>
      </c>
      <c r="D138" s="8">
        <v>44420</v>
      </c>
      <c r="E138" s="5" t="s">
        <v>17</v>
      </c>
      <c r="F138" s="5" t="s">
        <v>221</v>
      </c>
      <c r="G138" s="6">
        <v>1050</v>
      </c>
    </row>
    <row r="139" spans="1:7">
      <c r="A139" s="5" t="s">
        <v>161</v>
      </c>
      <c r="B139" s="5" t="s">
        <v>225</v>
      </c>
      <c r="C139" s="10" t="s">
        <v>500</v>
      </c>
      <c r="D139" s="8">
        <v>44420</v>
      </c>
      <c r="E139" s="5" t="s">
        <v>17</v>
      </c>
      <c r="F139" s="5" t="s">
        <v>221</v>
      </c>
      <c r="G139" s="6">
        <v>450</v>
      </c>
    </row>
    <row r="140" spans="1:7">
      <c r="A140" s="5" t="s">
        <v>161</v>
      </c>
      <c r="B140" s="5" t="s">
        <v>225</v>
      </c>
      <c r="C140" s="10" t="s">
        <v>501</v>
      </c>
      <c r="D140" s="8">
        <v>44432</v>
      </c>
      <c r="E140" s="5" t="s">
        <v>17</v>
      </c>
      <c r="F140" s="5" t="s">
        <v>221</v>
      </c>
      <c r="G140" s="6">
        <v>-450</v>
      </c>
    </row>
    <row r="141" spans="1:7">
      <c r="A141" s="5" t="s">
        <v>161</v>
      </c>
      <c r="B141" s="5" t="s">
        <v>262</v>
      </c>
      <c r="C141" s="10" t="s">
        <v>518</v>
      </c>
      <c r="D141" s="8">
        <v>44441</v>
      </c>
      <c r="E141" s="5" t="s">
        <v>17</v>
      </c>
      <c r="F141" s="5" t="s">
        <v>258</v>
      </c>
      <c r="G141" s="6">
        <v>300</v>
      </c>
    </row>
    <row r="142" spans="1:7">
      <c r="A142" s="5" t="s">
        <v>161</v>
      </c>
      <c r="B142" s="5" t="s">
        <v>262</v>
      </c>
      <c r="C142" s="10" t="s">
        <v>518</v>
      </c>
      <c r="D142" s="8">
        <v>44441</v>
      </c>
      <c r="E142" s="5" t="s">
        <v>17</v>
      </c>
      <c r="F142" s="5" t="s">
        <v>258</v>
      </c>
      <c r="G142" s="6">
        <v>150</v>
      </c>
    </row>
    <row r="143" spans="1:7">
      <c r="A143" s="5" t="s">
        <v>161</v>
      </c>
      <c r="B143" s="5" t="s">
        <v>262</v>
      </c>
      <c r="C143" s="10" t="s">
        <v>519</v>
      </c>
      <c r="D143" s="8">
        <v>44481</v>
      </c>
      <c r="E143" s="5" t="s">
        <v>17</v>
      </c>
      <c r="F143" s="5" t="s">
        <v>258</v>
      </c>
      <c r="G143" s="6">
        <v>-150</v>
      </c>
    </row>
    <row r="144" spans="1:7">
      <c r="A144" s="5" t="s">
        <v>161</v>
      </c>
      <c r="B144" s="5" t="s">
        <v>359</v>
      </c>
      <c r="C144" s="10" t="s">
        <v>557</v>
      </c>
      <c r="D144" s="8">
        <v>44501</v>
      </c>
      <c r="E144" s="5" t="s">
        <v>17</v>
      </c>
      <c r="F144" s="5" t="s">
        <v>357</v>
      </c>
      <c r="G144" s="6">
        <v>150</v>
      </c>
    </row>
    <row r="145" spans="1:7">
      <c r="A145" s="5" t="s">
        <v>161</v>
      </c>
      <c r="B145" s="5" t="s">
        <v>418</v>
      </c>
      <c r="C145" s="10" t="s">
        <v>579</v>
      </c>
      <c r="D145" s="8">
        <v>44550</v>
      </c>
      <c r="E145" s="5" t="s">
        <v>17</v>
      </c>
      <c r="F145" s="5" t="s">
        <v>414</v>
      </c>
      <c r="G145" s="6">
        <v>-1050</v>
      </c>
    </row>
    <row r="146" spans="1:7">
      <c r="A146" s="5" t="s">
        <v>161</v>
      </c>
      <c r="B146" s="5" t="s">
        <v>422</v>
      </c>
      <c r="C146" s="10" t="s">
        <v>580</v>
      </c>
      <c r="D146" s="8">
        <v>44550</v>
      </c>
      <c r="E146" s="5" t="s">
        <v>17</v>
      </c>
      <c r="F146" s="5" t="s">
        <v>56</v>
      </c>
      <c r="G146" s="6">
        <v>1050</v>
      </c>
    </row>
    <row r="147" spans="1:7">
      <c r="A147" s="5" t="s">
        <v>143</v>
      </c>
      <c r="B147" s="5" t="s">
        <v>144</v>
      </c>
      <c r="C147" s="10" t="s">
        <v>458</v>
      </c>
      <c r="D147" s="8">
        <v>44369</v>
      </c>
      <c r="E147" s="5" t="s">
        <v>17</v>
      </c>
      <c r="F147" s="5" t="s">
        <v>142</v>
      </c>
      <c r="G147" s="6">
        <v>11115</v>
      </c>
    </row>
    <row r="148" spans="1:7">
      <c r="A148" s="5" t="s">
        <v>143</v>
      </c>
      <c r="B148" s="5" t="s">
        <v>163</v>
      </c>
      <c r="C148" s="10" t="s">
        <v>464</v>
      </c>
      <c r="D148" s="8">
        <v>44369</v>
      </c>
      <c r="E148" s="5" t="s">
        <v>17</v>
      </c>
      <c r="F148" s="5" t="s">
        <v>158</v>
      </c>
      <c r="G148" s="6">
        <v>195</v>
      </c>
    </row>
    <row r="149" spans="1:7">
      <c r="A149" s="5" t="s">
        <v>143</v>
      </c>
      <c r="B149" s="5" t="s">
        <v>163</v>
      </c>
      <c r="C149" s="10" t="s">
        <v>464</v>
      </c>
      <c r="D149" s="8">
        <v>44369</v>
      </c>
      <c r="E149" s="5" t="s">
        <v>17</v>
      </c>
      <c r="F149" s="5" t="s">
        <v>158</v>
      </c>
      <c r="G149" s="6">
        <v>195</v>
      </c>
    </row>
    <row r="150" spans="1:7">
      <c r="A150" s="5" t="s">
        <v>143</v>
      </c>
      <c r="B150" s="5" t="s">
        <v>188</v>
      </c>
      <c r="C150" s="10" t="s">
        <v>475</v>
      </c>
      <c r="D150" s="8">
        <v>44382</v>
      </c>
      <c r="E150" s="5" t="s">
        <v>17</v>
      </c>
      <c r="F150" s="5" t="s">
        <v>187</v>
      </c>
      <c r="G150" s="6">
        <v>-11115</v>
      </c>
    </row>
    <row r="151" spans="1:7">
      <c r="A151" s="5" t="s">
        <v>143</v>
      </c>
      <c r="B151" s="5" t="s">
        <v>192</v>
      </c>
      <c r="C151" s="10" t="s">
        <v>476</v>
      </c>
      <c r="D151" s="8">
        <v>44384</v>
      </c>
      <c r="E151" s="5" t="s">
        <v>17</v>
      </c>
      <c r="F151" s="5" t="s">
        <v>191</v>
      </c>
      <c r="G151" s="6">
        <v>10140</v>
      </c>
    </row>
    <row r="152" spans="1:7">
      <c r="A152" s="5" t="s">
        <v>143</v>
      </c>
      <c r="B152" s="5" t="s">
        <v>196</v>
      </c>
      <c r="C152" s="10" t="s">
        <v>477</v>
      </c>
      <c r="D152" s="8">
        <v>44384</v>
      </c>
      <c r="E152" s="5" t="s">
        <v>17</v>
      </c>
      <c r="F152" s="5" t="s">
        <v>195</v>
      </c>
      <c r="G152" s="6">
        <v>1560</v>
      </c>
    </row>
    <row r="153" spans="1:7">
      <c r="A153" s="5" t="s">
        <v>143</v>
      </c>
      <c r="B153" s="5" t="s">
        <v>163</v>
      </c>
      <c r="C153" s="10" t="s">
        <v>465</v>
      </c>
      <c r="D153" s="8">
        <v>44397</v>
      </c>
      <c r="E153" s="5" t="s">
        <v>17</v>
      </c>
      <c r="F153" s="5" t="s">
        <v>158</v>
      </c>
      <c r="G153" s="6">
        <v>-195</v>
      </c>
    </row>
    <row r="154" spans="1:7">
      <c r="A154" s="5" t="s">
        <v>143</v>
      </c>
      <c r="B154" s="5" t="s">
        <v>196</v>
      </c>
      <c r="C154" s="10" t="s">
        <v>478</v>
      </c>
      <c r="D154" s="8">
        <v>44399</v>
      </c>
      <c r="E154" s="5" t="s">
        <v>17</v>
      </c>
      <c r="F154" s="5" t="s">
        <v>195</v>
      </c>
      <c r="G154" s="6">
        <v>-1560</v>
      </c>
    </row>
    <row r="155" spans="1:7">
      <c r="A155" s="5" t="s">
        <v>143</v>
      </c>
      <c r="B155" s="5" t="s">
        <v>223</v>
      </c>
      <c r="C155" s="10" t="s">
        <v>499</v>
      </c>
      <c r="D155" s="8">
        <v>44413</v>
      </c>
      <c r="E155" s="5" t="s">
        <v>17</v>
      </c>
      <c r="F155" s="5" t="s">
        <v>221</v>
      </c>
      <c r="G155" s="6">
        <v>6630</v>
      </c>
    </row>
    <row r="156" spans="1:7">
      <c r="A156" s="5" t="s">
        <v>143</v>
      </c>
      <c r="B156" s="5" t="s">
        <v>223</v>
      </c>
      <c r="C156" s="10" t="s">
        <v>499</v>
      </c>
      <c r="D156" s="8">
        <v>44413</v>
      </c>
      <c r="E156" s="5" t="s">
        <v>17</v>
      </c>
      <c r="F156" s="5" t="s">
        <v>221</v>
      </c>
      <c r="G156" s="6">
        <v>97.5</v>
      </c>
    </row>
    <row r="157" spans="1:7">
      <c r="A157" s="5" t="s">
        <v>143</v>
      </c>
      <c r="B157" s="5" t="s">
        <v>227</v>
      </c>
      <c r="C157" s="10" t="s">
        <v>502</v>
      </c>
      <c r="D157" s="8">
        <v>44425</v>
      </c>
      <c r="E157" s="5" t="s">
        <v>17</v>
      </c>
      <c r="F157" s="5" t="s">
        <v>226</v>
      </c>
      <c r="G157" s="6">
        <v>15405</v>
      </c>
    </row>
    <row r="158" spans="1:7">
      <c r="A158" s="5" t="s">
        <v>143</v>
      </c>
      <c r="B158" s="5" t="s">
        <v>229</v>
      </c>
      <c r="C158" s="10" t="s">
        <v>503</v>
      </c>
      <c r="D158" s="8">
        <v>44425</v>
      </c>
      <c r="E158" s="5" t="s">
        <v>17</v>
      </c>
      <c r="F158" s="5" t="s">
        <v>228</v>
      </c>
      <c r="G158" s="6">
        <v>7800</v>
      </c>
    </row>
    <row r="159" spans="1:7">
      <c r="A159" s="5" t="s">
        <v>143</v>
      </c>
      <c r="B159" s="5" t="s">
        <v>223</v>
      </c>
      <c r="C159" s="10" t="s">
        <v>501</v>
      </c>
      <c r="D159" s="8">
        <v>44432</v>
      </c>
      <c r="E159" s="5" t="s">
        <v>17</v>
      </c>
      <c r="F159" s="5" t="s">
        <v>221</v>
      </c>
      <c r="G159" s="6">
        <v>-97.5</v>
      </c>
    </row>
    <row r="160" spans="1:7">
      <c r="A160" s="5" t="s">
        <v>143</v>
      </c>
      <c r="B160" s="5" t="s">
        <v>247</v>
      </c>
      <c r="C160" s="10" t="s">
        <v>510</v>
      </c>
      <c r="D160" s="8">
        <v>44434</v>
      </c>
      <c r="E160" s="5" t="s">
        <v>17</v>
      </c>
      <c r="F160" s="5" t="s">
        <v>246</v>
      </c>
      <c r="G160" s="6">
        <v>1267.5</v>
      </c>
    </row>
    <row r="161" spans="1:7">
      <c r="A161" s="5" t="s">
        <v>143</v>
      </c>
      <c r="B161" s="5" t="s">
        <v>263</v>
      </c>
      <c r="C161" s="10" t="s">
        <v>518</v>
      </c>
      <c r="D161" s="8">
        <v>44441</v>
      </c>
      <c r="E161" s="5" t="s">
        <v>17</v>
      </c>
      <c r="F161" s="5" t="s">
        <v>258</v>
      </c>
      <c r="G161" s="6">
        <v>1657.5</v>
      </c>
    </row>
    <row r="162" spans="1:7">
      <c r="A162" s="5" t="s">
        <v>143</v>
      </c>
      <c r="B162" s="5" t="s">
        <v>263</v>
      </c>
      <c r="C162" s="10" t="s">
        <v>518</v>
      </c>
      <c r="D162" s="8">
        <v>44441</v>
      </c>
      <c r="E162" s="5" t="s">
        <v>17</v>
      </c>
      <c r="F162" s="5" t="s">
        <v>258</v>
      </c>
      <c r="G162" s="6">
        <v>292.5</v>
      </c>
    </row>
    <row r="163" spans="1:7">
      <c r="A163" s="5" t="s">
        <v>143</v>
      </c>
      <c r="B163" s="5" t="s">
        <v>242</v>
      </c>
      <c r="C163" s="10" t="s">
        <v>507</v>
      </c>
      <c r="D163" s="8">
        <v>44445</v>
      </c>
      <c r="E163" s="5" t="s">
        <v>17</v>
      </c>
      <c r="F163" s="5" t="s">
        <v>240</v>
      </c>
      <c r="G163" s="6">
        <v>21450</v>
      </c>
    </row>
    <row r="164" spans="1:7">
      <c r="A164" s="5" t="s">
        <v>143</v>
      </c>
      <c r="B164" s="5" t="s">
        <v>266</v>
      </c>
      <c r="C164" s="10" t="s">
        <v>520</v>
      </c>
      <c r="D164" s="8">
        <v>44445</v>
      </c>
      <c r="E164" s="5" t="s">
        <v>17</v>
      </c>
      <c r="F164" s="5" t="s">
        <v>265</v>
      </c>
      <c r="G164" s="6">
        <v>2437.5</v>
      </c>
    </row>
    <row r="165" spans="1:7">
      <c r="A165" s="5" t="s">
        <v>143</v>
      </c>
      <c r="B165" s="5" t="s">
        <v>266</v>
      </c>
      <c r="C165" s="10" t="s">
        <v>520</v>
      </c>
      <c r="D165" s="8">
        <v>44445</v>
      </c>
      <c r="E165" s="5" t="s">
        <v>17</v>
      </c>
      <c r="F165" s="5" t="s">
        <v>265</v>
      </c>
      <c r="G165" s="6">
        <v>487.5</v>
      </c>
    </row>
    <row r="166" spans="1:7">
      <c r="A166" s="5" t="s">
        <v>143</v>
      </c>
      <c r="B166" s="5" t="s">
        <v>266</v>
      </c>
      <c r="C166" s="10" t="s">
        <v>521</v>
      </c>
      <c r="D166" s="8">
        <v>44468</v>
      </c>
      <c r="E166" s="5" t="s">
        <v>17</v>
      </c>
      <c r="F166" s="5" t="s">
        <v>265</v>
      </c>
      <c r="G166" s="6">
        <v>-487.5</v>
      </c>
    </row>
    <row r="167" spans="1:7">
      <c r="A167" s="5" t="s">
        <v>143</v>
      </c>
      <c r="B167" s="5" t="s">
        <v>263</v>
      </c>
      <c r="C167" s="10" t="s">
        <v>519</v>
      </c>
      <c r="D167" s="8">
        <v>44481</v>
      </c>
      <c r="E167" s="5" t="s">
        <v>17</v>
      </c>
      <c r="F167" s="5" t="s">
        <v>258</v>
      </c>
      <c r="G167" s="6">
        <v>-292.5</v>
      </c>
    </row>
    <row r="168" spans="1:7">
      <c r="A168" s="5" t="s">
        <v>143</v>
      </c>
      <c r="B168" s="5" t="s">
        <v>360</v>
      </c>
      <c r="C168" s="10" t="s">
        <v>557</v>
      </c>
      <c r="D168" s="8">
        <v>44501</v>
      </c>
      <c r="E168" s="5" t="s">
        <v>17</v>
      </c>
      <c r="F168" s="5" t="s">
        <v>357</v>
      </c>
      <c r="G168" s="6">
        <v>1852.5</v>
      </c>
    </row>
    <row r="169" spans="1:7">
      <c r="A169" s="5" t="s">
        <v>143</v>
      </c>
      <c r="B169" s="5" t="s">
        <v>360</v>
      </c>
      <c r="C169" s="10" t="s">
        <v>557</v>
      </c>
      <c r="D169" s="8">
        <v>44501</v>
      </c>
      <c r="E169" s="5" t="s">
        <v>17</v>
      </c>
      <c r="F169" s="5" t="s">
        <v>357</v>
      </c>
      <c r="G169" s="6">
        <v>390</v>
      </c>
    </row>
    <row r="170" spans="1:7">
      <c r="A170" s="5" t="s">
        <v>143</v>
      </c>
      <c r="B170" s="5" t="s">
        <v>375</v>
      </c>
      <c r="C170" s="10" t="s">
        <v>565</v>
      </c>
      <c r="D170" s="8">
        <v>44510</v>
      </c>
      <c r="E170" s="5" t="s">
        <v>17</v>
      </c>
      <c r="F170" s="5" t="s">
        <v>373</v>
      </c>
      <c r="G170" s="6">
        <v>97.5</v>
      </c>
    </row>
    <row r="171" spans="1:7">
      <c r="A171" s="5" t="s">
        <v>143</v>
      </c>
      <c r="B171" s="5" t="s">
        <v>360</v>
      </c>
      <c r="C171" s="10" t="s">
        <v>558</v>
      </c>
      <c r="D171" s="8">
        <v>44519</v>
      </c>
      <c r="E171" s="5" t="s">
        <v>17</v>
      </c>
      <c r="F171" s="5" t="s">
        <v>357</v>
      </c>
      <c r="G171" s="6">
        <v>-390</v>
      </c>
    </row>
    <row r="172" spans="1:7">
      <c r="A172" s="5" t="s">
        <v>143</v>
      </c>
      <c r="B172" s="5" t="s">
        <v>416</v>
      </c>
      <c r="C172" s="10" t="s">
        <v>579</v>
      </c>
      <c r="D172" s="8">
        <v>44550</v>
      </c>
      <c r="E172" s="5" t="s">
        <v>17</v>
      </c>
      <c r="F172" s="5" t="s">
        <v>414</v>
      </c>
      <c r="G172" s="6">
        <v>-6630</v>
      </c>
    </row>
    <row r="173" spans="1:7">
      <c r="A173" s="5" t="s">
        <v>143</v>
      </c>
      <c r="B173" s="5" t="s">
        <v>420</v>
      </c>
      <c r="C173" s="10" t="s">
        <v>580</v>
      </c>
      <c r="D173" s="8">
        <v>44550</v>
      </c>
      <c r="E173" s="5" t="s">
        <v>17</v>
      </c>
      <c r="F173" s="5" t="s">
        <v>56</v>
      </c>
      <c r="G173" s="6">
        <v>6630</v>
      </c>
    </row>
    <row r="174" spans="1:7">
      <c r="A174" s="5" t="s">
        <v>110</v>
      </c>
      <c r="B174" s="5" t="s">
        <v>111</v>
      </c>
      <c r="C174" s="10" t="s">
        <v>444</v>
      </c>
      <c r="D174" s="8">
        <v>44341</v>
      </c>
      <c r="E174" s="5" t="s">
        <v>17</v>
      </c>
      <c r="F174" s="5" t="s">
        <v>109</v>
      </c>
      <c r="G174" s="6">
        <v>525</v>
      </c>
    </row>
    <row r="175" spans="1:7">
      <c r="A175" s="5" t="s">
        <v>110</v>
      </c>
      <c r="B175" s="5" t="s">
        <v>135</v>
      </c>
      <c r="C175" s="10" t="s">
        <v>454</v>
      </c>
      <c r="D175" s="8">
        <v>44349</v>
      </c>
      <c r="E175" s="5" t="s">
        <v>17</v>
      </c>
      <c r="F175" s="5" t="s">
        <v>133</v>
      </c>
      <c r="G175" s="6">
        <v>750</v>
      </c>
    </row>
    <row r="176" spans="1:7">
      <c r="A176" s="5" t="s">
        <v>110</v>
      </c>
      <c r="B176" s="5" t="s">
        <v>157</v>
      </c>
      <c r="C176" s="10" t="s">
        <v>463</v>
      </c>
      <c r="D176" s="8">
        <v>44368</v>
      </c>
      <c r="E176" s="5" t="s">
        <v>17</v>
      </c>
      <c r="F176" s="5" t="s">
        <v>156</v>
      </c>
      <c r="G176" s="6">
        <v>300</v>
      </c>
    </row>
    <row r="177" spans="1:7">
      <c r="A177" s="5" t="s">
        <v>110</v>
      </c>
      <c r="B177" s="5" t="s">
        <v>218</v>
      </c>
      <c r="C177" s="10" t="s">
        <v>497</v>
      </c>
      <c r="D177" s="8">
        <v>44393</v>
      </c>
      <c r="E177" s="5" t="s">
        <v>17</v>
      </c>
      <c r="F177" s="5" t="s">
        <v>217</v>
      </c>
      <c r="G177" s="6">
        <v>5850</v>
      </c>
    </row>
    <row r="178" spans="1:7">
      <c r="A178" s="5" t="s">
        <v>110</v>
      </c>
      <c r="B178" s="5" t="s">
        <v>215</v>
      </c>
      <c r="C178" s="10" t="s">
        <v>494</v>
      </c>
      <c r="D178" s="8">
        <v>44421</v>
      </c>
      <c r="E178" s="5" t="s">
        <v>17</v>
      </c>
      <c r="F178" s="5" t="s">
        <v>212</v>
      </c>
      <c r="G178" s="6">
        <v>225</v>
      </c>
    </row>
    <row r="179" spans="1:7">
      <c r="A179" s="5" t="s">
        <v>110</v>
      </c>
      <c r="B179" s="5" t="s">
        <v>215</v>
      </c>
      <c r="C179" s="10" t="s">
        <v>494</v>
      </c>
      <c r="D179" s="8">
        <v>44421</v>
      </c>
      <c r="E179" s="5" t="s">
        <v>17</v>
      </c>
      <c r="F179" s="5" t="s">
        <v>212</v>
      </c>
      <c r="G179" s="6">
        <v>75</v>
      </c>
    </row>
    <row r="180" spans="1:7">
      <c r="A180" s="5" t="s">
        <v>110</v>
      </c>
      <c r="B180" s="5" t="s">
        <v>215</v>
      </c>
      <c r="C180" s="10" t="s">
        <v>495</v>
      </c>
      <c r="D180" s="8">
        <v>44440</v>
      </c>
      <c r="E180" s="5" t="s">
        <v>17</v>
      </c>
      <c r="F180" s="5" t="s">
        <v>212</v>
      </c>
      <c r="G180" s="6">
        <v>-75</v>
      </c>
    </row>
    <row r="181" spans="1:7">
      <c r="A181" s="5" t="s">
        <v>110</v>
      </c>
      <c r="B181" s="5" t="s">
        <v>270</v>
      </c>
      <c r="C181" s="10" t="s">
        <v>522</v>
      </c>
      <c r="D181" s="8">
        <v>44454</v>
      </c>
      <c r="E181" s="5" t="s">
        <v>17</v>
      </c>
      <c r="F181" s="5" t="s">
        <v>269</v>
      </c>
      <c r="G181" s="6">
        <v>375</v>
      </c>
    </row>
    <row r="182" spans="1:7">
      <c r="A182" s="5" t="s">
        <v>110</v>
      </c>
      <c r="B182" s="5" t="s">
        <v>278</v>
      </c>
      <c r="C182" s="10" t="s">
        <v>526</v>
      </c>
      <c r="D182" s="8">
        <v>44456</v>
      </c>
      <c r="E182" s="5" t="s">
        <v>17</v>
      </c>
      <c r="F182" s="5" t="s">
        <v>50</v>
      </c>
      <c r="G182" s="6">
        <v>975</v>
      </c>
    </row>
    <row r="183" spans="1:7">
      <c r="A183" s="5" t="s">
        <v>110</v>
      </c>
      <c r="B183" s="5" t="s">
        <v>304</v>
      </c>
      <c r="C183" s="10" t="s">
        <v>538</v>
      </c>
      <c r="D183" s="8">
        <v>44480</v>
      </c>
      <c r="E183" s="5" t="s">
        <v>17</v>
      </c>
      <c r="F183" s="5" t="s">
        <v>302</v>
      </c>
      <c r="G183" s="6">
        <v>-975</v>
      </c>
    </row>
    <row r="184" spans="1:7">
      <c r="A184" s="5" t="s">
        <v>110</v>
      </c>
      <c r="B184" s="5" t="s">
        <v>309</v>
      </c>
      <c r="C184" s="10" t="s">
        <v>539</v>
      </c>
      <c r="D184" s="8">
        <v>44480</v>
      </c>
      <c r="E184" s="5" t="s">
        <v>17</v>
      </c>
      <c r="F184" s="5" t="s">
        <v>307</v>
      </c>
      <c r="G184" s="6">
        <v>975</v>
      </c>
    </row>
    <row r="185" spans="1:7">
      <c r="A185" s="5" t="s">
        <v>110</v>
      </c>
      <c r="B185" s="5" t="s">
        <v>314</v>
      </c>
      <c r="C185" s="10" t="s">
        <v>540</v>
      </c>
      <c r="D185" s="8">
        <v>44484</v>
      </c>
      <c r="E185" s="5" t="s">
        <v>17</v>
      </c>
      <c r="F185" s="5" t="s">
        <v>312</v>
      </c>
      <c r="G185" s="6">
        <v>600</v>
      </c>
    </row>
    <row r="186" spans="1:7">
      <c r="A186" s="5" t="s">
        <v>110</v>
      </c>
      <c r="B186" s="5" t="s">
        <v>314</v>
      </c>
      <c r="C186" s="10" t="s">
        <v>540</v>
      </c>
      <c r="D186" s="8">
        <v>44484</v>
      </c>
      <c r="E186" s="5" t="s">
        <v>17</v>
      </c>
      <c r="F186" s="5" t="s">
        <v>312</v>
      </c>
      <c r="G186" s="6">
        <v>150</v>
      </c>
    </row>
    <row r="187" spans="1:7">
      <c r="A187" s="5" t="s">
        <v>110</v>
      </c>
      <c r="B187" s="5" t="s">
        <v>317</v>
      </c>
      <c r="C187" s="10" t="s">
        <v>542</v>
      </c>
      <c r="D187" s="8">
        <v>44484</v>
      </c>
      <c r="E187" s="5" t="s">
        <v>17</v>
      </c>
      <c r="F187" s="5" t="s">
        <v>316</v>
      </c>
      <c r="G187" s="6">
        <v>450</v>
      </c>
    </row>
    <row r="188" spans="1:7">
      <c r="A188" s="5" t="s">
        <v>110</v>
      </c>
      <c r="B188" s="5" t="s">
        <v>342</v>
      </c>
      <c r="C188" s="10" t="s">
        <v>547</v>
      </c>
      <c r="D188" s="8">
        <v>44490</v>
      </c>
      <c r="E188" s="5" t="s">
        <v>17</v>
      </c>
      <c r="F188" s="5" t="s">
        <v>46</v>
      </c>
      <c r="G188" s="6">
        <v>600</v>
      </c>
    </row>
    <row r="189" spans="1:7">
      <c r="A189" s="5" t="s">
        <v>110</v>
      </c>
      <c r="B189" s="5" t="s">
        <v>350</v>
      </c>
      <c r="C189" s="10" t="s">
        <v>553</v>
      </c>
      <c r="D189" s="8">
        <v>44495</v>
      </c>
      <c r="E189" s="5" t="s">
        <v>17</v>
      </c>
      <c r="F189" s="5" t="s">
        <v>348</v>
      </c>
      <c r="G189" s="6">
        <v>225</v>
      </c>
    </row>
    <row r="190" spans="1:7">
      <c r="A190" s="5" t="s">
        <v>110</v>
      </c>
      <c r="B190" s="5" t="s">
        <v>350</v>
      </c>
      <c r="C190" s="10" t="s">
        <v>553</v>
      </c>
      <c r="D190" s="8">
        <v>44495</v>
      </c>
      <c r="E190" s="5" t="s">
        <v>17</v>
      </c>
      <c r="F190" s="5" t="s">
        <v>348</v>
      </c>
      <c r="G190" s="6">
        <v>150</v>
      </c>
    </row>
    <row r="191" spans="1:7">
      <c r="A191" s="5" t="s">
        <v>110</v>
      </c>
      <c r="B191" s="5" t="s">
        <v>379</v>
      </c>
      <c r="C191" s="10" t="s">
        <v>566</v>
      </c>
      <c r="D191" s="8">
        <v>44510</v>
      </c>
      <c r="E191" s="5" t="s">
        <v>17</v>
      </c>
      <c r="F191" s="5" t="s">
        <v>376</v>
      </c>
      <c r="G191" s="6">
        <v>-225</v>
      </c>
    </row>
    <row r="192" spans="1:7">
      <c r="A192" s="5" t="s">
        <v>110</v>
      </c>
      <c r="B192" s="5" t="s">
        <v>384</v>
      </c>
      <c r="C192" s="10" t="s">
        <v>567</v>
      </c>
      <c r="D192" s="8">
        <v>44511</v>
      </c>
      <c r="E192" s="5" t="s">
        <v>17</v>
      </c>
      <c r="F192" s="5" t="s">
        <v>381</v>
      </c>
      <c r="G192" s="6">
        <v>225</v>
      </c>
    </row>
    <row r="193" spans="1:7">
      <c r="A193" s="5" t="s">
        <v>110</v>
      </c>
      <c r="B193" s="5" t="s">
        <v>314</v>
      </c>
      <c r="C193" s="10" t="s">
        <v>541</v>
      </c>
      <c r="D193" s="8">
        <v>44518</v>
      </c>
      <c r="E193" s="5" t="s">
        <v>17</v>
      </c>
      <c r="F193" s="5" t="s">
        <v>312</v>
      </c>
      <c r="G193" s="6">
        <v>-150</v>
      </c>
    </row>
    <row r="194" spans="1:7">
      <c r="A194" s="5" t="s">
        <v>110</v>
      </c>
      <c r="B194" s="5" t="s">
        <v>342</v>
      </c>
      <c r="C194" s="10" t="s">
        <v>549</v>
      </c>
      <c r="D194" s="8">
        <v>44519</v>
      </c>
      <c r="E194" s="5" t="s">
        <v>17</v>
      </c>
      <c r="F194" s="5" t="s">
        <v>46</v>
      </c>
      <c r="G194" s="6">
        <v>75</v>
      </c>
    </row>
    <row r="195" spans="1:7">
      <c r="A195" s="5" t="s">
        <v>110</v>
      </c>
      <c r="B195" s="5" t="s">
        <v>350</v>
      </c>
      <c r="C195" s="10" t="s">
        <v>554</v>
      </c>
      <c r="D195" s="8">
        <v>44519</v>
      </c>
      <c r="E195" s="5" t="s">
        <v>17</v>
      </c>
      <c r="F195" s="5" t="s">
        <v>348</v>
      </c>
      <c r="G195" s="6">
        <v>-150</v>
      </c>
    </row>
    <row r="196" spans="1:7">
      <c r="A196" s="5" t="s">
        <v>110</v>
      </c>
      <c r="B196" s="5" t="s">
        <v>392</v>
      </c>
      <c r="C196" s="10" t="s">
        <v>570</v>
      </c>
      <c r="D196" s="8">
        <v>44529</v>
      </c>
      <c r="E196" s="5" t="s">
        <v>17</v>
      </c>
      <c r="F196" s="5" t="s">
        <v>391</v>
      </c>
      <c r="G196" s="6">
        <v>-450</v>
      </c>
    </row>
    <row r="197" spans="1:7">
      <c r="A197" s="5" t="s">
        <v>110</v>
      </c>
      <c r="B197" s="5" t="s">
        <v>396</v>
      </c>
      <c r="C197" s="10" t="s">
        <v>571</v>
      </c>
      <c r="D197" s="8">
        <v>44529</v>
      </c>
      <c r="E197" s="5" t="s">
        <v>17</v>
      </c>
      <c r="F197" s="5" t="s">
        <v>395</v>
      </c>
      <c r="G197" s="6">
        <v>450</v>
      </c>
    </row>
    <row r="198" spans="1:7">
      <c r="A198" s="5" t="s">
        <v>90</v>
      </c>
      <c r="B198" s="5" t="s">
        <v>95</v>
      </c>
      <c r="C198" s="10" t="s">
        <v>438</v>
      </c>
      <c r="D198" s="8">
        <v>44313</v>
      </c>
      <c r="E198" s="5" t="s">
        <v>17</v>
      </c>
      <c r="F198" s="5" t="s">
        <v>94</v>
      </c>
      <c r="G198" s="6">
        <v>292.5</v>
      </c>
    </row>
    <row r="199" spans="1:7">
      <c r="A199" s="5" t="s">
        <v>90</v>
      </c>
      <c r="B199" s="5" t="s">
        <v>91</v>
      </c>
      <c r="C199" s="10" t="s">
        <v>437</v>
      </c>
      <c r="D199" s="8">
        <v>44316</v>
      </c>
      <c r="E199" s="5" t="s">
        <v>17</v>
      </c>
      <c r="F199" s="5" t="s">
        <v>86</v>
      </c>
      <c r="G199" s="6">
        <v>5850</v>
      </c>
    </row>
    <row r="200" spans="1:7">
      <c r="A200" s="5" t="s">
        <v>90</v>
      </c>
      <c r="B200" s="5" t="s">
        <v>99</v>
      </c>
      <c r="C200" s="10" t="s">
        <v>439</v>
      </c>
      <c r="D200" s="8">
        <v>44322</v>
      </c>
      <c r="E200" s="5" t="s">
        <v>17</v>
      </c>
      <c r="F200" s="5" t="s">
        <v>96</v>
      </c>
      <c r="G200" s="6">
        <v>21450</v>
      </c>
    </row>
    <row r="201" spans="1:7">
      <c r="A201" s="5" t="s">
        <v>90</v>
      </c>
      <c r="B201" s="5" t="s">
        <v>102</v>
      </c>
      <c r="C201" s="10" t="s">
        <v>440</v>
      </c>
      <c r="D201" s="8">
        <v>44336</v>
      </c>
      <c r="E201" s="5" t="s">
        <v>17</v>
      </c>
      <c r="F201" s="5" t="s">
        <v>100</v>
      </c>
      <c r="G201" s="6">
        <v>9750</v>
      </c>
    </row>
    <row r="202" spans="1:7">
      <c r="A202" s="5" t="s">
        <v>90</v>
      </c>
      <c r="B202" s="5" t="s">
        <v>113</v>
      </c>
      <c r="C202" s="10" t="s">
        <v>445</v>
      </c>
      <c r="D202" s="8">
        <v>44340</v>
      </c>
      <c r="E202" s="5" t="s">
        <v>17</v>
      </c>
      <c r="F202" s="5" t="s">
        <v>112</v>
      </c>
      <c r="G202" s="6">
        <v>195</v>
      </c>
    </row>
    <row r="203" spans="1:7">
      <c r="A203" s="5" t="s">
        <v>90</v>
      </c>
      <c r="B203" s="5" t="s">
        <v>115</v>
      </c>
      <c r="C203" s="10" t="s">
        <v>446</v>
      </c>
      <c r="D203" s="8">
        <v>44341</v>
      </c>
      <c r="E203" s="5" t="s">
        <v>17</v>
      </c>
      <c r="F203" s="5" t="s">
        <v>114</v>
      </c>
      <c r="G203" s="6">
        <v>1755</v>
      </c>
    </row>
    <row r="204" spans="1:7">
      <c r="A204" s="5" t="s">
        <v>90</v>
      </c>
      <c r="B204" s="5" t="s">
        <v>136</v>
      </c>
      <c r="C204" s="10" t="s">
        <v>454</v>
      </c>
      <c r="D204" s="8">
        <v>44349</v>
      </c>
      <c r="E204" s="5" t="s">
        <v>17</v>
      </c>
      <c r="F204" s="5" t="s">
        <v>133</v>
      </c>
      <c r="G204" s="6">
        <v>5167.5</v>
      </c>
    </row>
    <row r="205" spans="1:7">
      <c r="A205" s="5" t="s">
        <v>90</v>
      </c>
      <c r="B205" s="5" t="s">
        <v>139</v>
      </c>
      <c r="C205" s="10" t="s">
        <v>457</v>
      </c>
      <c r="D205" s="8">
        <v>44354</v>
      </c>
      <c r="E205" s="5" t="s">
        <v>17</v>
      </c>
      <c r="F205" s="5" t="s">
        <v>138</v>
      </c>
      <c r="G205" s="6">
        <v>14917.5</v>
      </c>
    </row>
    <row r="206" spans="1:7">
      <c r="A206" s="5" t="s">
        <v>90</v>
      </c>
      <c r="B206" s="5" t="s">
        <v>122</v>
      </c>
      <c r="C206" s="10" t="s">
        <v>449</v>
      </c>
      <c r="D206" s="8">
        <v>44362</v>
      </c>
      <c r="E206" s="5" t="s">
        <v>17</v>
      </c>
      <c r="F206" s="5" t="s">
        <v>121</v>
      </c>
      <c r="G206" s="6">
        <v>1657.5</v>
      </c>
    </row>
    <row r="207" spans="1:7">
      <c r="A207" s="5" t="s">
        <v>90</v>
      </c>
      <c r="B207" s="5" t="s">
        <v>166</v>
      </c>
      <c r="C207" s="10" t="s">
        <v>466</v>
      </c>
      <c r="D207" s="8">
        <v>44369</v>
      </c>
      <c r="E207" s="5" t="s">
        <v>17</v>
      </c>
      <c r="F207" s="5" t="s">
        <v>165</v>
      </c>
      <c r="G207" s="6">
        <v>195</v>
      </c>
    </row>
    <row r="208" spans="1:7">
      <c r="A208" s="5" t="s">
        <v>90</v>
      </c>
      <c r="B208" s="5" t="s">
        <v>179</v>
      </c>
      <c r="C208" s="10" t="s">
        <v>471</v>
      </c>
      <c r="D208" s="8">
        <v>44382</v>
      </c>
      <c r="E208" s="5" t="s">
        <v>17</v>
      </c>
      <c r="F208" s="5" t="s">
        <v>41</v>
      </c>
      <c r="G208" s="6">
        <v>390</v>
      </c>
    </row>
    <row r="209" spans="1:7">
      <c r="A209" s="5" t="s">
        <v>90</v>
      </c>
      <c r="B209" s="5" t="s">
        <v>181</v>
      </c>
      <c r="C209" s="10" t="s">
        <v>472</v>
      </c>
      <c r="D209" s="8">
        <v>44382</v>
      </c>
      <c r="E209" s="5" t="s">
        <v>17</v>
      </c>
      <c r="F209" s="5" t="s">
        <v>180</v>
      </c>
      <c r="G209" s="6">
        <v>-390</v>
      </c>
    </row>
    <row r="210" spans="1:7">
      <c r="A210" s="5" t="s">
        <v>90</v>
      </c>
      <c r="B210" s="5" t="s">
        <v>183</v>
      </c>
      <c r="C210" s="10" t="s">
        <v>473</v>
      </c>
      <c r="D210" s="8">
        <v>44382</v>
      </c>
      <c r="E210" s="5" t="s">
        <v>17</v>
      </c>
      <c r="F210" s="5" t="s">
        <v>182</v>
      </c>
      <c r="G210" s="6">
        <v>390</v>
      </c>
    </row>
    <row r="211" spans="1:7">
      <c r="A211" s="5" t="s">
        <v>90</v>
      </c>
      <c r="B211" s="5" t="s">
        <v>185</v>
      </c>
      <c r="C211" s="10" t="s">
        <v>474</v>
      </c>
      <c r="D211" s="8">
        <v>44382</v>
      </c>
      <c r="E211" s="5" t="s">
        <v>17</v>
      </c>
      <c r="F211" s="5" t="s">
        <v>184</v>
      </c>
      <c r="G211" s="6">
        <v>195</v>
      </c>
    </row>
    <row r="212" spans="1:7">
      <c r="A212" s="5" t="s">
        <v>90</v>
      </c>
      <c r="B212" s="5" t="s">
        <v>220</v>
      </c>
      <c r="C212" s="10" t="s">
        <v>498</v>
      </c>
      <c r="D212" s="8">
        <v>44392</v>
      </c>
      <c r="E212" s="5" t="s">
        <v>17</v>
      </c>
      <c r="F212" s="5" t="s">
        <v>219</v>
      </c>
      <c r="G212" s="6">
        <v>292.5</v>
      </c>
    </row>
    <row r="213" spans="1:7">
      <c r="A213" s="5" t="s">
        <v>90</v>
      </c>
      <c r="B213" s="5" t="s">
        <v>209</v>
      </c>
      <c r="C213" s="10" t="s">
        <v>485</v>
      </c>
      <c r="D213" s="8">
        <v>44420</v>
      </c>
      <c r="E213" s="5" t="s">
        <v>17</v>
      </c>
      <c r="F213" s="5" t="s">
        <v>206</v>
      </c>
      <c r="G213" s="6">
        <v>1657.5</v>
      </c>
    </row>
    <row r="214" spans="1:7">
      <c r="A214" s="5" t="s">
        <v>90</v>
      </c>
      <c r="B214" s="5" t="s">
        <v>209</v>
      </c>
      <c r="C214" s="10" t="s">
        <v>485</v>
      </c>
      <c r="D214" s="8">
        <v>44420</v>
      </c>
      <c r="E214" s="5" t="s">
        <v>17</v>
      </c>
      <c r="F214" s="5" t="s">
        <v>206</v>
      </c>
      <c r="G214" s="6">
        <v>3900</v>
      </c>
    </row>
    <row r="215" spans="1:7">
      <c r="A215" s="5" t="s">
        <v>90</v>
      </c>
      <c r="B215" s="5" t="s">
        <v>209</v>
      </c>
      <c r="C215" s="10" t="s">
        <v>485</v>
      </c>
      <c r="D215" s="8">
        <v>44420</v>
      </c>
      <c r="E215" s="5" t="s">
        <v>17</v>
      </c>
      <c r="F215" s="5" t="s">
        <v>206</v>
      </c>
      <c r="G215" s="6">
        <v>11700</v>
      </c>
    </row>
    <row r="216" spans="1:7">
      <c r="A216" s="5" t="s">
        <v>90</v>
      </c>
      <c r="B216" s="5" t="s">
        <v>209</v>
      </c>
      <c r="C216" s="10" t="s">
        <v>485</v>
      </c>
      <c r="D216" s="8">
        <v>44420</v>
      </c>
      <c r="E216" s="5" t="s">
        <v>17</v>
      </c>
      <c r="F216" s="5" t="s">
        <v>206</v>
      </c>
      <c r="G216" s="6">
        <v>8092.5</v>
      </c>
    </row>
    <row r="217" spans="1:7">
      <c r="A217" s="5" t="s">
        <v>90</v>
      </c>
      <c r="B217" s="5" t="s">
        <v>213</v>
      </c>
      <c r="C217" s="10" t="s">
        <v>493</v>
      </c>
      <c r="D217" s="8">
        <v>44420</v>
      </c>
      <c r="E217" s="5" t="s">
        <v>17</v>
      </c>
      <c r="F217" s="5" t="s">
        <v>212</v>
      </c>
      <c r="G217" s="6">
        <v>3900</v>
      </c>
    </row>
    <row r="218" spans="1:7">
      <c r="A218" s="5" t="s">
        <v>90</v>
      </c>
      <c r="B218" s="5" t="s">
        <v>209</v>
      </c>
      <c r="C218" s="10" t="s">
        <v>486</v>
      </c>
      <c r="D218" s="8">
        <v>44421</v>
      </c>
      <c r="E218" s="5" t="s">
        <v>17</v>
      </c>
      <c r="F218" s="5" t="s">
        <v>206</v>
      </c>
      <c r="G218" s="6">
        <v>-3900</v>
      </c>
    </row>
    <row r="219" spans="1:7">
      <c r="A219" s="5" t="s">
        <v>90</v>
      </c>
      <c r="B219" s="5" t="s">
        <v>213</v>
      </c>
      <c r="C219" s="10" t="s">
        <v>494</v>
      </c>
      <c r="D219" s="8">
        <v>44421</v>
      </c>
      <c r="E219" s="5" t="s">
        <v>17</v>
      </c>
      <c r="F219" s="5" t="s">
        <v>212</v>
      </c>
      <c r="G219" s="6">
        <v>27495</v>
      </c>
    </row>
    <row r="220" spans="1:7">
      <c r="A220" s="5" t="s">
        <v>90</v>
      </c>
      <c r="B220" s="5" t="s">
        <v>213</v>
      </c>
      <c r="C220" s="10" t="s">
        <v>494</v>
      </c>
      <c r="D220" s="8">
        <v>44421</v>
      </c>
      <c r="E220" s="5" t="s">
        <v>17</v>
      </c>
      <c r="F220" s="5" t="s">
        <v>212</v>
      </c>
      <c r="G220" s="6">
        <v>195</v>
      </c>
    </row>
    <row r="221" spans="1:7">
      <c r="A221" s="5" t="s">
        <v>90</v>
      </c>
      <c r="B221" s="5" t="s">
        <v>209</v>
      </c>
      <c r="C221" s="10" t="s">
        <v>487</v>
      </c>
      <c r="D221" s="8">
        <v>44427</v>
      </c>
      <c r="E221" s="5" t="s">
        <v>17</v>
      </c>
      <c r="F221" s="5" t="s">
        <v>206</v>
      </c>
      <c r="G221" s="6">
        <v>-11700</v>
      </c>
    </row>
    <row r="222" spans="1:7">
      <c r="A222" s="5" t="s">
        <v>90</v>
      </c>
      <c r="B222" s="5" t="s">
        <v>209</v>
      </c>
      <c r="C222" s="10" t="s">
        <v>488</v>
      </c>
      <c r="D222" s="8">
        <v>44438</v>
      </c>
      <c r="E222" s="5" t="s">
        <v>17</v>
      </c>
      <c r="F222" s="5" t="s">
        <v>206</v>
      </c>
      <c r="G222" s="6">
        <v>-8092.5</v>
      </c>
    </row>
    <row r="223" spans="1:7">
      <c r="A223" s="5" t="s">
        <v>90</v>
      </c>
      <c r="B223" s="5" t="s">
        <v>250</v>
      </c>
      <c r="C223" s="10" t="s">
        <v>511</v>
      </c>
      <c r="D223" s="8">
        <v>44438</v>
      </c>
      <c r="E223" s="5" t="s">
        <v>17</v>
      </c>
      <c r="F223" s="5" t="s">
        <v>248</v>
      </c>
      <c r="G223" s="6">
        <v>5850</v>
      </c>
    </row>
    <row r="224" spans="1:7">
      <c r="A224" s="5" t="s">
        <v>90</v>
      </c>
      <c r="B224" s="5" t="s">
        <v>213</v>
      </c>
      <c r="C224" s="10" t="s">
        <v>495</v>
      </c>
      <c r="D224" s="8">
        <v>44440</v>
      </c>
      <c r="E224" s="5" t="s">
        <v>17</v>
      </c>
      <c r="F224" s="5" t="s">
        <v>212</v>
      </c>
      <c r="G224" s="6">
        <v>-195</v>
      </c>
    </row>
    <row r="225" spans="1:7">
      <c r="A225" s="5" t="s">
        <v>90</v>
      </c>
      <c r="B225" s="5" t="s">
        <v>256</v>
      </c>
      <c r="C225" s="10" t="s">
        <v>513</v>
      </c>
      <c r="D225" s="8">
        <v>44441</v>
      </c>
      <c r="E225" s="5" t="s">
        <v>17</v>
      </c>
      <c r="F225" s="5" t="s">
        <v>42</v>
      </c>
      <c r="G225" s="6">
        <v>5265</v>
      </c>
    </row>
    <row r="226" spans="1:7">
      <c r="A226" s="5" t="s">
        <v>90</v>
      </c>
      <c r="B226" s="5" t="s">
        <v>260</v>
      </c>
      <c r="C226" s="10" t="s">
        <v>518</v>
      </c>
      <c r="D226" s="8">
        <v>44441</v>
      </c>
      <c r="E226" s="5" t="s">
        <v>17</v>
      </c>
      <c r="F226" s="5" t="s">
        <v>258</v>
      </c>
      <c r="G226" s="6">
        <v>292.5</v>
      </c>
    </row>
    <row r="227" spans="1:7">
      <c r="A227" s="5" t="s">
        <v>90</v>
      </c>
      <c r="B227" s="5" t="s">
        <v>271</v>
      </c>
      <c r="C227" s="10" t="s">
        <v>522</v>
      </c>
      <c r="D227" s="8">
        <v>44454</v>
      </c>
      <c r="E227" s="5" t="s">
        <v>17</v>
      </c>
      <c r="F227" s="5" t="s">
        <v>269</v>
      </c>
      <c r="G227" s="6">
        <v>2340</v>
      </c>
    </row>
    <row r="228" spans="1:7">
      <c r="A228" s="5" t="s">
        <v>90</v>
      </c>
      <c r="B228" s="5" t="s">
        <v>279</v>
      </c>
      <c r="C228" s="10" t="s">
        <v>526</v>
      </c>
      <c r="D228" s="8">
        <v>44456</v>
      </c>
      <c r="E228" s="5" t="s">
        <v>17</v>
      </c>
      <c r="F228" s="5" t="s">
        <v>50</v>
      </c>
      <c r="G228" s="6">
        <v>2437.5</v>
      </c>
    </row>
    <row r="229" spans="1:7">
      <c r="A229" s="5" t="s">
        <v>90</v>
      </c>
      <c r="B229" s="5" t="s">
        <v>283</v>
      </c>
      <c r="C229" s="10" t="s">
        <v>528</v>
      </c>
      <c r="D229" s="8">
        <v>44466</v>
      </c>
      <c r="E229" s="5" t="s">
        <v>17</v>
      </c>
      <c r="F229" s="5" t="s">
        <v>282</v>
      </c>
      <c r="G229" s="6">
        <v>195</v>
      </c>
    </row>
    <row r="230" spans="1:7">
      <c r="A230" s="5" t="s">
        <v>90</v>
      </c>
      <c r="B230" s="5" t="s">
        <v>211</v>
      </c>
      <c r="C230" s="10" t="s">
        <v>492</v>
      </c>
      <c r="D230" s="8">
        <v>44468</v>
      </c>
      <c r="E230" s="5" t="s">
        <v>17</v>
      </c>
      <c r="F230" s="5" t="s">
        <v>206</v>
      </c>
      <c r="G230" s="6">
        <v>1462.5</v>
      </c>
    </row>
    <row r="231" spans="1:7">
      <c r="A231" s="5" t="s">
        <v>90</v>
      </c>
      <c r="B231" s="5" t="s">
        <v>293</v>
      </c>
      <c r="C231" s="10" t="s">
        <v>532</v>
      </c>
      <c r="D231" s="8">
        <v>44469</v>
      </c>
      <c r="E231" s="5" t="s">
        <v>17</v>
      </c>
      <c r="F231" s="5" t="s">
        <v>292</v>
      </c>
      <c r="G231" s="6">
        <v>-1462.5</v>
      </c>
    </row>
    <row r="232" spans="1:7">
      <c r="A232" s="5" t="s">
        <v>90</v>
      </c>
      <c r="B232" s="5" t="s">
        <v>305</v>
      </c>
      <c r="C232" s="10" t="s">
        <v>538</v>
      </c>
      <c r="D232" s="8">
        <v>44480</v>
      </c>
      <c r="E232" s="5" t="s">
        <v>17</v>
      </c>
      <c r="F232" s="5" t="s">
        <v>302</v>
      </c>
      <c r="G232" s="6">
        <v>-2437.5</v>
      </c>
    </row>
    <row r="233" spans="1:7">
      <c r="A233" s="5" t="s">
        <v>90</v>
      </c>
      <c r="B233" s="5" t="s">
        <v>310</v>
      </c>
      <c r="C233" s="10" t="s">
        <v>539</v>
      </c>
      <c r="D233" s="8">
        <v>44480</v>
      </c>
      <c r="E233" s="5" t="s">
        <v>17</v>
      </c>
      <c r="F233" s="5" t="s">
        <v>307</v>
      </c>
      <c r="G233" s="6">
        <v>2437.5</v>
      </c>
    </row>
    <row r="234" spans="1:7">
      <c r="A234" s="5" t="s">
        <v>90</v>
      </c>
      <c r="B234" s="5" t="s">
        <v>324</v>
      </c>
      <c r="C234" s="10" t="s">
        <v>543</v>
      </c>
      <c r="D234" s="8">
        <v>44482</v>
      </c>
      <c r="E234" s="5" t="s">
        <v>17</v>
      </c>
      <c r="F234" s="5" t="s">
        <v>53</v>
      </c>
      <c r="G234" s="6">
        <v>-5265</v>
      </c>
    </row>
    <row r="235" spans="1:7">
      <c r="A235" s="5" t="s">
        <v>90</v>
      </c>
      <c r="B235" s="5" t="s">
        <v>331</v>
      </c>
      <c r="C235" s="10" t="s">
        <v>544</v>
      </c>
      <c r="D235" s="8">
        <v>44482</v>
      </c>
      <c r="E235" s="5" t="s">
        <v>17</v>
      </c>
      <c r="F235" s="5" t="s">
        <v>326</v>
      </c>
      <c r="G235" s="6">
        <v>5265</v>
      </c>
    </row>
    <row r="236" spans="1:7">
      <c r="A236" s="5" t="s">
        <v>90</v>
      </c>
      <c r="B236" s="5" t="s">
        <v>318</v>
      </c>
      <c r="C236" s="10" t="s">
        <v>542</v>
      </c>
      <c r="D236" s="8">
        <v>44484</v>
      </c>
      <c r="E236" s="5" t="s">
        <v>17</v>
      </c>
      <c r="F236" s="5" t="s">
        <v>316</v>
      </c>
      <c r="G236" s="6">
        <v>780</v>
      </c>
    </row>
    <row r="237" spans="1:7">
      <c r="A237" s="5" t="s">
        <v>90</v>
      </c>
      <c r="B237" s="5" t="s">
        <v>343</v>
      </c>
      <c r="C237" s="10" t="s">
        <v>547</v>
      </c>
      <c r="D237" s="8">
        <v>44490</v>
      </c>
      <c r="E237" s="5" t="s">
        <v>17</v>
      </c>
      <c r="F237" s="5" t="s">
        <v>46</v>
      </c>
      <c r="G237" s="6">
        <v>14040</v>
      </c>
    </row>
    <row r="238" spans="1:7">
      <c r="A238" s="5" t="s">
        <v>90</v>
      </c>
      <c r="B238" s="5" t="s">
        <v>349</v>
      </c>
      <c r="C238" s="10" t="s">
        <v>553</v>
      </c>
      <c r="D238" s="8">
        <v>44495</v>
      </c>
      <c r="E238" s="5" t="s">
        <v>17</v>
      </c>
      <c r="F238" s="5" t="s">
        <v>348</v>
      </c>
      <c r="G238" s="6">
        <v>390</v>
      </c>
    </row>
    <row r="239" spans="1:7">
      <c r="A239" s="5" t="s">
        <v>90</v>
      </c>
      <c r="B239" s="5" t="s">
        <v>349</v>
      </c>
      <c r="C239" s="10" t="s">
        <v>553</v>
      </c>
      <c r="D239" s="8">
        <v>44495</v>
      </c>
      <c r="E239" s="5" t="s">
        <v>17</v>
      </c>
      <c r="F239" s="5" t="s">
        <v>348</v>
      </c>
      <c r="G239" s="6">
        <v>195</v>
      </c>
    </row>
    <row r="240" spans="1:7">
      <c r="A240" s="5" t="s">
        <v>90</v>
      </c>
      <c r="B240" s="5" t="s">
        <v>364</v>
      </c>
      <c r="C240" s="10" t="s">
        <v>560</v>
      </c>
      <c r="D240" s="8">
        <v>44502</v>
      </c>
      <c r="E240" s="5" t="s">
        <v>17</v>
      </c>
      <c r="F240" s="5" t="s">
        <v>362</v>
      </c>
      <c r="G240" s="6">
        <v>13260</v>
      </c>
    </row>
    <row r="241" spans="1:7">
      <c r="A241" s="5" t="s">
        <v>90</v>
      </c>
      <c r="B241" s="5" t="s">
        <v>378</v>
      </c>
      <c r="C241" s="10" t="s">
        <v>566</v>
      </c>
      <c r="D241" s="8">
        <v>44510</v>
      </c>
      <c r="E241" s="5" t="s">
        <v>17</v>
      </c>
      <c r="F241" s="5" t="s">
        <v>376</v>
      </c>
      <c r="G241" s="6">
        <v>-31395</v>
      </c>
    </row>
    <row r="242" spans="1:7">
      <c r="A242" s="5" t="s">
        <v>90</v>
      </c>
      <c r="B242" s="5" t="s">
        <v>383</v>
      </c>
      <c r="C242" s="10" t="s">
        <v>567</v>
      </c>
      <c r="D242" s="8">
        <v>44511</v>
      </c>
      <c r="E242" s="5" t="s">
        <v>17</v>
      </c>
      <c r="F242" s="5" t="s">
        <v>381</v>
      </c>
      <c r="G242" s="6">
        <v>29055</v>
      </c>
    </row>
    <row r="243" spans="1:7">
      <c r="A243" s="5" t="s">
        <v>90</v>
      </c>
      <c r="B243" s="5" t="s">
        <v>388</v>
      </c>
      <c r="C243" s="10" t="s">
        <v>568</v>
      </c>
      <c r="D243" s="8">
        <v>44511</v>
      </c>
      <c r="E243" s="5" t="s">
        <v>17</v>
      </c>
      <c r="F243" s="5" t="s">
        <v>386</v>
      </c>
      <c r="G243" s="6">
        <v>2340</v>
      </c>
    </row>
    <row r="244" spans="1:7">
      <c r="A244" s="5" t="s">
        <v>90</v>
      </c>
      <c r="B244" s="5" t="s">
        <v>349</v>
      </c>
      <c r="C244" s="10" t="s">
        <v>554</v>
      </c>
      <c r="D244" s="8">
        <v>44519</v>
      </c>
      <c r="E244" s="5" t="s">
        <v>17</v>
      </c>
      <c r="F244" s="5" t="s">
        <v>348</v>
      </c>
      <c r="G244" s="6">
        <v>-195</v>
      </c>
    </row>
    <row r="245" spans="1:7">
      <c r="A245" s="5" t="s">
        <v>90</v>
      </c>
      <c r="B245" s="5" t="s">
        <v>390</v>
      </c>
      <c r="C245" s="10" t="s">
        <v>569</v>
      </c>
      <c r="D245" s="8">
        <v>44519</v>
      </c>
      <c r="E245" s="5" t="s">
        <v>17</v>
      </c>
      <c r="F245" s="5" t="s">
        <v>389</v>
      </c>
      <c r="G245" s="6">
        <v>5850</v>
      </c>
    </row>
    <row r="246" spans="1:7">
      <c r="A246" s="5" t="s">
        <v>90</v>
      </c>
      <c r="B246" s="5" t="s">
        <v>393</v>
      </c>
      <c r="C246" s="10" t="s">
        <v>570</v>
      </c>
      <c r="D246" s="8">
        <v>44529</v>
      </c>
      <c r="E246" s="5" t="s">
        <v>17</v>
      </c>
      <c r="F246" s="5" t="s">
        <v>391</v>
      </c>
      <c r="G246" s="6">
        <v>-780</v>
      </c>
    </row>
    <row r="247" spans="1:7">
      <c r="A247" s="5" t="s">
        <v>90</v>
      </c>
      <c r="B247" s="5" t="s">
        <v>397</v>
      </c>
      <c r="C247" s="10" t="s">
        <v>571</v>
      </c>
      <c r="D247" s="8">
        <v>44529</v>
      </c>
      <c r="E247" s="5" t="s">
        <v>17</v>
      </c>
      <c r="F247" s="5" t="s">
        <v>395</v>
      </c>
      <c r="G247" s="6">
        <v>780</v>
      </c>
    </row>
    <row r="248" spans="1:7">
      <c r="A248" s="5" t="s">
        <v>90</v>
      </c>
      <c r="B248" s="5" t="s">
        <v>364</v>
      </c>
      <c r="C248" s="10" t="s">
        <v>562</v>
      </c>
      <c r="D248" s="8">
        <v>44532</v>
      </c>
      <c r="E248" s="5" t="s">
        <v>17</v>
      </c>
      <c r="F248" s="5" t="s">
        <v>362</v>
      </c>
      <c r="G248" s="6">
        <v>390</v>
      </c>
    </row>
    <row r="249" spans="1:7">
      <c r="A249" s="5" t="s">
        <v>66</v>
      </c>
      <c r="B249" s="5" t="s">
        <v>68</v>
      </c>
      <c r="C249" s="10" t="s">
        <v>425</v>
      </c>
      <c r="D249" s="8">
        <v>44273</v>
      </c>
      <c r="E249" s="5" t="s">
        <v>17</v>
      </c>
      <c r="F249" s="5" t="s">
        <v>65</v>
      </c>
      <c r="G249" s="6">
        <v>145.5</v>
      </c>
    </row>
    <row r="250" spans="1:7">
      <c r="A250" s="5" t="s">
        <v>66</v>
      </c>
      <c r="B250" s="5" t="s">
        <v>73</v>
      </c>
      <c r="C250" s="10" t="s">
        <v>426</v>
      </c>
      <c r="D250" s="8">
        <v>44285</v>
      </c>
      <c r="E250" s="5" t="s">
        <v>17</v>
      </c>
      <c r="F250" s="5" t="s">
        <v>71</v>
      </c>
      <c r="G250" s="6">
        <v>1940</v>
      </c>
    </row>
    <row r="251" spans="1:7">
      <c r="A251" s="5" t="s">
        <v>66</v>
      </c>
      <c r="B251" s="5" t="s">
        <v>83</v>
      </c>
      <c r="C251" s="10" t="s">
        <v>435</v>
      </c>
      <c r="D251" s="8">
        <v>44302</v>
      </c>
      <c r="E251" s="5" t="s">
        <v>17</v>
      </c>
      <c r="F251" s="5" t="s">
        <v>82</v>
      </c>
      <c r="G251" s="6">
        <v>3104</v>
      </c>
    </row>
    <row r="252" spans="1:7">
      <c r="A252" s="5" t="s">
        <v>66</v>
      </c>
      <c r="B252" s="5" t="s">
        <v>85</v>
      </c>
      <c r="C252" s="10" t="s">
        <v>436</v>
      </c>
      <c r="D252" s="8">
        <v>44309</v>
      </c>
      <c r="E252" s="5" t="s">
        <v>17</v>
      </c>
      <c r="F252" s="5" t="s">
        <v>84</v>
      </c>
      <c r="G252" s="6">
        <v>533.5</v>
      </c>
    </row>
    <row r="253" spans="1:7">
      <c r="A253" s="5" t="s">
        <v>66</v>
      </c>
      <c r="B253" s="5" t="s">
        <v>77</v>
      </c>
      <c r="C253" s="10" t="s">
        <v>428</v>
      </c>
      <c r="D253" s="8">
        <v>44312</v>
      </c>
      <c r="E253" s="5" t="s">
        <v>17</v>
      </c>
      <c r="F253" s="5" t="s">
        <v>76</v>
      </c>
      <c r="G253" s="6">
        <v>145.5</v>
      </c>
    </row>
    <row r="254" spans="1:7">
      <c r="A254" s="5" t="s">
        <v>66</v>
      </c>
      <c r="B254" s="5" t="s">
        <v>77</v>
      </c>
      <c r="C254" s="10" t="s">
        <v>429</v>
      </c>
      <c r="D254" s="8">
        <v>44315</v>
      </c>
      <c r="E254" s="5" t="s">
        <v>17</v>
      </c>
      <c r="F254" s="5" t="s">
        <v>76</v>
      </c>
      <c r="G254" s="6">
        <v>-145.5</v>
      </c>
    </row>
    <row r="255" spans="1:7">
      <c r="A255" s="5" t="s">
        <v>66</v>
      </c>
      <c r="B255" s="5" t="s">
        <v>92</v>
      </c>
      <c r="C255" s="10" t="s">
        <v>437</v>
      </c>
      <c r="D255" s="8">
        <v>44316</v>
      </c>
      <c r="E255" s="5" t="s">
        <v>17</v>
      </c>
      <c r="F255" s="5" t="s">
        <v>86</v>
      </c>
      <c r="G255" s="6">
        <v>1940</v>
      </c>
    </row>
    <row r="256" spans="1:7">
      <c r="A256" s="5" t="s">
        <v>66</v>
      </c>
      <c r="B256" s="5" t="s">
        <v>77</v>
      </c>
      <c r="C256" s="10" t="s">
        <v>430</v>
      </c>
      <c r="D256" s="8">
        <v>44319</v>
      </c>
      <c r="E256" s="5" t="s">
        <v>17</v>
      </c>
      <c r="F256" s="5" t="s">
        <v>76</v>
      </c>
      <c r="G256" s="6">
        <v>145.5</v>
      </c>
    </row>
    <row r="257" spans="1:7">
      <c r="A257" s="5" t="s">
        <v>66</v>
      </c>
      <c r="B257" s="5" t="s">
        <v>77</v>
      </c>
      <c r="C257" s="10" t="s">
        <v>431</v>
      </c>
      <c r="D257" s="8">
        <v>44319</v>
      </c>
      <c r="E257" s="5" t="s">
        <v>17</v>
      </c>
      <c r="F257" s="5" t="s">
        <v>76</v>
      </c>
      <c r="G257" s="6">
        <v>-145.5</v>
      </c>
    </row>
    <row r="258" spans="1:7">
      <c r="A258" s="5" t="s">
        <v>66</v>
      </c>
      <c r="B258" s="5" t="s">
        <v>77</v>
      </c>
      <c r="C258" s="10" t="s">
        <v>433</v>
      </c>
      <c r="D258" s="8">
        <v>44319</v>
      </c>
      <c r="E258" s="5" t="s">
        <v>17</v>
      </c>
      <c r="F258" s="5" t="s">
        <v>76</v>
      </c>
      <c r="G258" s="6">
        <v>145.5</v>
      </c>
    </row>
    <row r="259" spans="1:7">
      <c r="A259" s="5" t="s">
        <v>66</v>
      </c>
      <c r="B259" s="5" t="s">
        <v>104</v>
      </c>
      <c r="C259" s="10" t="s">
        <v>441</v>
      </c>
      <c r="D259" s="8">
        <v>44328</v>
      </c>
      <c r="E259" s="5" t="s">
        <v>17</v>
      </c>
      <c r="F259" s="5" t="s">
        <v>103</v>
      </c>
      <c r="G259" s="6">
        <v>1940</v>
      </c>
    </row>
    <row r="260" spans="1:7">
      <c r="A260" s="5" t="s">
        <v>66</v>
      </c>
      <c r="B260" s="5" t="s">
        <v>117</v>
      </c>
      <c r="C260" s="10" t="s">
        <v>447</v>
      </c>
      <c r="D260" s="8">
        <v>44341</v>
      </c>
      <c r="E260" s="5" t="s">
        <v>17</v>
      </c>
      <c r="F260" s="5" t="s">
        <v>116</v>
      </c>
      <c r="G260" s="6">
        <v>824.5</v>
      </c>
    </row>
    <row r="261" spans="1:7">
      <c r="A261" s="5" t="s">
        <v>66</v>
      </c>
      <c r="B261" s="5" t="s">
        <v>120</v>
      </c>
      <c r="C261" s="10" t="s">
        <v>448</v>
      </c>
      <c r="D261" s="8">
        <v>44341</v>
      </c>
      <c r="E261" s="5" t="s">
        <v>17</v>
      </c>
      <c r="F261" s="5" t="s">
        <v>118</v>
      </c>
      <c r="G261" s="6">
        <v>388</v>
      </c>
    </row>
    <row r="262" spans="1:7">
      <c r="A262" s="5" t="s">
        <v>66</v>
      </c>
      <c r="B262" s="5" t="s">
        <v>148</v>
      </c>
      <c r="C262" s="10" t="s">
        <v>459</v>
      </c>
      <c r="D262" s="8">
        <v>44357</v>
      </c>
      <c r="E262" s="5" t="s">
        <v>17</v>
      </c>
      <c r="F262" s="5" t="s">
        <v>147</v>
      </c>
      <c r="G262" s="6">
        <v>582</v>
      </c>
    </row>
    <row r="263" spans="1:7">
      <c r="A263" s="5" t="s">
        <v>66</v>
      </c>
      <c r="B263" s="5" t="s">
        <v>148</v>
      </c>
      <c r="C263" s="10" t="s">
        <v>459</v>
      </c>
      <c r="D263" s="8">
        <v>44357</v>
      </c>
      <c r="E263" s="5" t="s">
        <v>17</v>
      </c>
      <c r="F263" s="5" t="s">
        <v>147</v>
      </c>
      <c r="G263" s="6">
        <v>388</v>
      </c>
    </row>
    <row r="264" spans="1:7">
      <c r="A264" s="5" t="s">
        <v>66</v>
      </c>
      <c r="B264" s="5" t="s">
        <v>150</v>
      </c>
      <c r="C264" s="10" t="s">
        <v>460</v>
      </c>
      <c r="D264" s="8">
        <v>44358</v>
      </c>
      <c r="E264" s="5" t="s">
        <v>17</v>
      </c>
      <c r="F264" s="5" t="s">
        <v>149</v>
      </c>
      <c r="G264" s="6">
        <v>970</v>
      </c>
    </row>
    <row r="265" spans="1:7">
      <c r="A265" s="5" t="s">
        <v>66</v>
      </c>
      <c r="B265" s="5" t="s">
        <v>155</v>
      </c>
      <c r="C265" s="10" t="s">
        <v>462</v>
      </c>
      <c r="D265" s="8">
        <v>44368</v>
      </c>
      <c r="E265" s="5" t="s">
        <v>17</v>
      </c>
      <c r="F265" s="5" t="s">
        <v>153</v>
      </c>
      <c r="G265" s="6">
        <v>3880</v>
      </c>
    </row>
    <row r="266" spans="1:7">
      <c r="A266" s="5" t="s">
        <v>66</v>
      </c>
      <c r="B266" s="5" t="s">
        <v>159</v>
      </c>
      <c r="C266" s="10" t="s">
        <v>464</v>
      </c>
      <c r="D266" s="8">
        <v>44369</v>
      </c>
      <c r="E266" s="5" t="s">
        <v>17</v>
      </c>
      <c r="F266" s="5" t="s">
        <v>158</v>
      </c>
      <c r="G266" s="6">
        <v>824.5</v>
      </c>
    </row>
    <row r="267" spans="1:7">
      <c r="A267" s="5" t="s">
        <v>66</v>
      </c>
      <c r="B267" s="5" t="s">
        <v>169</v>
      </c>
      <c r="C267" s="10" t="s">
        <v>467</v>
      </c>
      <c r="D267" s="8">
        <v>44376</v>
      </c>
      <c r="E267" s="5" t="s">
        <v>17</v>
      </c>
      <c r="F267" s="5" t="s">
        <v>167</v>
      </c>
      <c r="G267" s="6">
        <v>97</v>
      </c>
    </row>
    <row r="268" spans="1:7">
      <c r="A268" s="5" t="s">
        <v>66</v>
      </c>
      <c r="B268" s="5" t="s">
        <v>174</v>
      </c>
      <c r="C268" s="10" t="s">
        <v>469</v>
      </c>
      <c r="D268" s="8">
        <v>44376</v>
      </c>
      <c r="E268" s="5" t="s">
        <v>17</v>
      </c>
      <c r="F268" s="5" t="s">
        <v>173</v>
      </c>
      <c r="G268" s="6">
        <v>727.5</v>
      </c>
    </row>
    <row r="269" spans="1:7">
      <c r="A269" s="5" t="s">
        <v>66</v>
      </c>
      <c r="B269" s="5" t="s">
        <v>171</v>
      </c>
      <c r="C269" s="10" t="s">
        <v>468</v>
      </c>
      <c r="D269" s="8">
        <v>44384</v>
      </c>
      <c r="E269" s="5" t="s">
        <v>17</v>
      </c>
      <c r="F269" s="5" t="s">
        <v>170</v>
      </c>
      <c r="G269" s="6">
        <v>1212.5</v>
      </c>
    </row>
    <row r="270" spans="1:7">
      <c r="A270" s="5" t="s">
        <v>66</v>
      </c>
      <c r="B270" s="5" t="s">
        <v>171</v>
      </c>
      <c r="C270" s="10" t="s">
        <v>468</v>
      </c>
      <c r="D270" s="8">
        <v>44384</v>
      </c>
      <c r="E270" s="5" t="s">
        <v>17</v>
      </c>
      <c r="F270" s="5" t="s">
        <v>170</v>
      </c>
      <c r="G270" s="6">
        <v>1697.5</v>
      </c>
    </row>
    <row r="271" spans="1:7">
      <c r="A271" s="5" t="s">
        <v>66</v>
      </c>
      <c r="B271" s="5" t="s">
        <v>237</v>
      </c>
      <c r="C271" s="10" t="s">
        <v>505</v>
      </c>
      <c r="D271" s="8">
        <v>44399</v>
      </c>
      <c r="E271" s="5" t="s">
        <v>17</v>
      </c>
      <c r="F271" s="5" t="s">
        <v>236</v>
      </c>
      <c r="G271" s="6">
        <v>-1697.5</v>
      </c>
    </row>
    <row r="272" spans="1:7">
      <c r="A272" s="5" t="s">
        <v>66</v>
      </c>
      <c r="B272" s="5" t="s">
        <v>208</v>
      </c>
      <c r="C272" s="10" t="s">
        <v>484</v>
      </c>
      <c r="D272" s="8">
        <v>44413</v>
      </c>
      <c r="E272" s="5" t="s">
        <v>17</v>
      </c>
      <c r="F272" s="5" t="s">
        <v>206</v>
      </c>
      <c r="G272" s="6">
        <v>533.5</v>
      </c>
    </row>
    <row r="273" spans="1:7">
      <c r="A273" s="5" t="s">
        <v>66</v>
      </c>
      <c r="B273" s="5" t="s">
        <v>199</v>
      </c>
      <c r="C273" s="10" t="s">
        <v>479</v>
      </c>
      <c r="D273" s="8">
        <v>44420</v>
      </c>
      <c r="E273" s="5" t="s">
        <v>17</v>
      </c>
      <c r="F273" s="5" t="s">
        <v>198</v>
      </c>
      <c r="G273" s="6">
        <v>3880</v>
      </c>
    </row>
    <row r="274" spans="1:7">
      <c r="A274" s="5" t="s">
        <v>66</v>
      </c>
      <c r="B274" s="5" t="s">
        <v>239</v>
      </c>
      <c r="C274" s="10" t="s">
        <v>506</v>
      </c>
      <c r="D274" s="8">
        <v>44421</v>
      </c>
      <c r="E274" s="5" t="s">
        <v>17</v>
      </c>
      <c r="F274" s="5" t="s">
        <v>238</v>
      </c>
      <c r="G274" s="6">
        <v>1794.5</v>
      </c>
    </row>
    <row r="275" spans="1:7">
      <c r="A275" s="5" t="s">
        <v>66</v>
      </c>
      <c r="B275" s="5" t="s">
        <v>232</v>
      </c>
      <c r="C275" s="10" t="s">
        <v>503</v>
      </c>
      <c r="D275" s="8">
        <v>44425</v>
      </c>
      <c r="E275" s="5" t="s">
        <v>17</v>
      </c>
      <c r="F275" s="5" t="s">
        <v>228</v>
      </c>
      <c r="G275" s="6">
        <v>1940</v>
      </c>
    </row>
    <row r="276" spans="1:7">
      <c r="A276" s="5" t="s">
        <v>66</v>
      </c>
      <c r="B276" s="5" t="s">
        <v>199</v>
      </c>
      <c r="C276" s="10" t="s">
        <v>480</v>
      </c>
      <c r="D276" s="8">
        <v>44431</v>
      </c>
      <c r="E276" s="5" t="s">
        <v>17</v>
      </c>
      <c r="F276" s="5" t="s">
        <v>198</v>
      </c>
      <c r="G276" s="6">
        <v>2134</v>
      </c>
    </row>
    <row r="277" spans="1:7">
      <c r="A277" s="5" t="s">
        <v>66</v>
      </c>
      <c r="B277" s="5" t="s">
        <v>199</v>
      </c>
      <c r="C277" s="10" t="s">
        <v>481</v>
      </c>
      <c r="D277" s="8">
        <v>44431</v>
      </c>
      <c r="E277" s="5" t="s">
        <v>17</v>
      </c>
      <c r="F277" s="5" t="s">
        <v>198</v>
      </c>
      <c r="G277" s="6">
        <v>-3880</v>
      </c>
    </row>
    <row r="278" spans="1:7">
      <c r="A278" s="5" t="s">
        <v>66</v>
      </c>
      <c r="B278" s="5" t="s">
        <v>199</v>
      </c>
      <c r="C278" s="10" t="s">
        <v>480</v>
      </c>
      <c r="D278" s="8">
        <v>44431</v>
      </c>
      <c r="E278" s="5" t="s">
        <v>17</v>
      </c>
      <c r="F278" s="5" t="s">
        <v>198</v>
      </c>
      <c r="G278" s="6">
        <v>1940</v>
      </c>
    </row>
    <row r="279" spans="1:7">
      <c r="A279" s="5" t="s">
        <v>66</v>
      </c>
      <c r="B279" s="5" t="s">
        <v>199</v>
      </c>
      <c r="C279" s="10" t="s">
        <v>481</v>
      </c>
      <c r="D279" s="8">
        <v>44431</v>
      </c>
      <c r="E279" s="5" t="s">
        <v>17</v>
      </c>
      <c r="F279" s="5" t="s">
        <v>198</v>
      </c>
      <c r="G279" s="6">
        <v>-1940</v>
      </c>
    </row>
    <row r="280" spans="1:7">
      <c r="A280" s="5" t="s">
        <v>66</v>
      </c>
      <c r="B280" s="5" t="s">
        <v>199</v>
      </c>
      <c r="C280" s="10" t="s">
        <v>480</v>
      </c>
      <c r="D280" s="8">
        <v>44431</v>
      </c>
      <c r="E280" s="5" t="s">
        <v>17</v>
      </c>
      <c r="F280" s="5" t="s">
        <v>198</v>
      </c>
      <c r="G280" s="6">
        <v>28421</v>
      </c>
    </row>
    <row r="281" spans="1:7">
      <c r="A281" s="5" t="s">
        <v>66</v>
      </c>
      <c r="B281" s="5" t="s">
        <v>245</v>
      </c>
      <c r="C281" s="10" t="s">
        <v>509</v>
      </c>
      <c r="D281" s="8">
        <v>44432</v>
      </c>
      <c r="E281" s="5" t="s">
        <v>17</v>
      </c>
      <c r="F281" s="5" t="s">
        <v>244</v>
      </c>
      <c r="G281" s="6">
        <v>1940</v>
      </c>
    </row>
    <row r="282" spans="1:7">
      <c r="A282" s="5" t="s">
        <v>66</v>
      </c>
      <c r="B282" s="5" t="s">
        <v>208</v>
      </c>
      <c r="C282" s="10" t="s">
        <v>488</v>
      </c>
      <c r="D282" s="8">
        <v>44438</v>
      </c>
      <c r="E282" s="5" t="s">
        <v>17</v>
      </c>
      <c r="F282" s="5" t="s">
        <v>206</v>
      </c>
      <c r="G282" s="6">
        <v>-533.5</v>
      </c>
    </row>
    <row r="283" spans="1:7">
      <c r="A283" s="5" t="s">
        <v>66</v>
      </c>
      <c r="B283" s="5" t="s">
        <v>199</v>
      </c>
      <c r="C283" s="10" t="s">
        <v>482</v>
      </c>
      <c r="D283" s="8">
        <v>44441</v>
      </c>
      <c r="E283" s="5" t="s">
        <v>17</v>
      </c>
      <c r="F283" s="5" t="s">
        <v>198</v>
      </c>
      <c r="G283" s="6">
        <v>-28421</v>
      </c>
    </row>
    <row r="284" spans="1:7">
      <c r="A284" s="5" t="s">
        <v>66</v>
      </c>
      <c r="B284" s="5" t="s">
        <v>252</v>
      </c>
      <c r="C284" s="10" t="s">
        <v>513</v>
      </c>
      <c r="D284" s="8">
        <v>44441</v>
      </c>
      <c r="E284" s="5" t="s">
        <v>17</v>
      </c>
      <c r="F284" s="5" t="s">
        <v>42</v>
      </c>
      <c r="G284" s="6">
        <v>1940</v>
      </c>
    </row>
    <row r="285" spans="1:7">
      <c r="A285" s="5" t="s">
        <v>66</v>
      </c>
      <c r="B285" s="5" t="s">
        <v>274</v>
      </c>
      <c r="C285" s="10" t="s">
        <v>524</v>
      </c>
      <c r="D285" s="8">
        <v>44446</v>
      </c>
      <c r="E285" s="5" t="s">
        <v>17</v>
      </c>
      <c r="F285" s="5" t="s">
        <v>273</v>
      </c>
      <c r="G285" s="6">
        <v>4365</v>
      </c>
    </row>
    <row r="286" spans="1:7">
      <c r="A286" s="5" t="s">
        <v>66</v>
      </c>
      <c r="B286" s="5" t="s">
        <v>276</v>
      </c>
      <c r="C286" s="10" t="s">
        <v>525</v>
      </c>
      <c r="D286" s="8">
        <v>44446</v>
      </c>
      <c r="E286" s="5" t="s">
        <v>17</v>
      </c>
      <c r="F286" s="5" t="s">
        <v>275</v>
      </c>
      <c r="G286" s="6">
        <v>1455</v>
      </c>
    </row>
    <row r="287" spans="1:7">
      <c r="A287" s="5" t="s">
        <v>66</v>
      </c>
      <c r="B287" s="5" t="s">
        <v>289</v>
      </c>
      <c r="C287" s="10" t="s">
        <v>530</v>
      </c>
      <c r="D287" s="8">
        <v>44467</v>
      </c>
      <c r="E287" s="5" t="s">
        <v>17</v>
      </c>
      <c r="F287" s="5" t="s">
        <v>286</v>
      </c>
      <c r="G287" s="6">
        <v>1746</v>
      </c>
    </row>
    <row r="288" spans="1:7">
      <c r="A288" s="5" t="s">
        <v>66</v>
      </c>
      <c r="B288" s="5" t="s">
        <v>203</v>
      </c>
      <c r="C288" s="10" t="s">
        <v>483</v>
      </c>
      <c r="D288" s="8">
        <v>44469</v>
      </c>
      <c r="E288" s="5" t="s">
        <v>17</v>
      </c>
      <c r="F288" s="5" t="s">
        <v>198</v>
      </c>
      <c r="G288" s="6">
        <v>2085.5</v>
      </c>
    </row>
    <row r="289" spans="1:7">
      <c r="A289" s="5" t="s">
        <v>66</v>
      </c>
      <c r="B289" s="5" t="s">
        <v>290</v>
      </c>
      <c r="C289" s="10" t="s">
        <v>531</v>
      </c>
      <c r="D289" s="8">
        <v>44469</v>
      </c>
      <c r="E289" s="5" t="s">
        <v>17</v>
      </c>
      <c r="F289" s="5" t="s">
        <v>43</v>
      </c>
      <c r="G289" s="6">
        <v>-727.5</v>
      </c>
    </row>
    <row r="290" spans="1:7">
      <c r="A290" s="5" t="s">
        <v>66</v>
      </c>
      <c r="B290" s="5" t="s">
        <v>295</v>
      </c>
      <c r="C290" s="10" t="s">
        <v>533</v>
      </c>
      <c r="D290" s="8">
        <v>44473</v>
      </c>
      <c r="E290" s="5" t="s">
        <v>17</v>
      </c>
      <c r="F290" s="5" t="s">
        <v>294</v>
      </c>
      <c r="G290" s="6">
        <v>3880</v>
      </c>
    </row>
    <row r="291" spans="1:7">
      <c r="A291" s="5" t="s">
        <v>66</v>
      </c>
      <c r="B291" s="5" t="s">
        <v>320</v>
      </c>
      <c r="C291" s="10" t="s">
        <v>543</v>
      </c>
      <c r="D291" s="8">
        <v>44482</v>
      </c>
      <c r="E291" s="5" t="s">
        <v>17</v>
      </c>
      <c r="F291" s="5" t="s">
        <v>53</v>
      </c>
      <c r="G291" s="6">
        <v>-1940</v>
      </c>
    </row>
    <row r="292" spans="1:7">
      <c r="A292" s="5" t="s">
        <v>66</v>
      </c>
      <c r="B292" s="5" t="s">
        <v>327</v>
      </c>
      <c r="C292" s="10" t="s">
        <v>544</v>
      </c>
      <c r="D292" s="8">
        <v>44482</v>
      </c>
      <c r="E292" s="5" t="s">
        <v>17</v>
      </c>
      <c r="F292" s="5" t="s">
        <v>326</v>
      </c>
      <c r="G292" s="6">
        <v>1940</v>
      </c>
    </row>
    <row r="293" spans="1:7">
      <c r="A293" s="5" t="s">
        <v>66</v>
      </c>
      <c r="B293" s="5" t="s">
        <v>336</v>
      </c>
      <c r="C293" s="10" t="s">
        <v>545</v>
      </c>
      <c r="D293" s="8">
        <v>44482</v>
      </c>
      <c r="E293" s="5" t="s">
        <v>17</v>
      </c>
      <c r="F293" s="5" t="s">
        <v>333</v>
      </c>
      <c r="G293" s="6">
        <v>-1746</v>
      </c>
    </row>
    <row r="294" spans="1:7">
      <c r="A294" s="5" t="s">
        <v>66</v>
      </c>
      <c r="B294" s="5" t="s">
        <v>339</v>
      </c>
      <c r="C294" s="10" t="s">
        <v>546</v>
      </c>
      <c r="D294" s="8">
        <v>44482</v>
      </c>
      <c r="E294" s="5" t="s">
        <v>17</v>
      </c>
      <c r="F294" s="5" t="s">
        <v>54</v>
      </c>
      <c r="G294" s="6">
        <v>1552</v>
      </c>
    </row>
    <row r="295" spans="1:7">
      <c r="A295" s="5" t="s">
        <v>66</v>
      </c>
      <c r="B295" s="5" t="s">
        <v>355</v>
      </c>
      <c r="C295" s="10" t="s">
        <v>555</v>
      </c>
      <c r="D295" s="8">
        <v>44497</v>
      </c>
      <c r="E295" s="5" t="s">
        <v>17</v>
      </c>
      <c r="F295" s="5" t="s">
        <v>353</v>
      </c>
      <c r="G295" s="6">
        <v>727.5</v>
      </c>
    </row>
    <row r="296" spans="1:7">
      <c r="A296" s="5" t="s">
        <v>66</v>
      </c>
      <c r="B296" s="5" t="s">
        <v>355</v>
      </c>
      <c r="C296" s="10" t="s">
        <v>555</v>
      </c>
      <c r="D296" s="8">
        <v>44497</v>
      </c>
      <c r="E296" s="5" t="s">
        <v>17</v>
      </c>
      <c r="F296" s="5" t="s">
        <v>353</v>
      </c>
      <c r="G296" s="6">
        <v>48.5</v>
      </c>
    </row>
    <row r="297" spans="1:7">
      <c r="A297" s="5" t="s">
        <v>66</v>
      </c>
      <c r="B297" s="5" t="s">
        <v>355</v>
      </c>
      <c r="C297" s="10" t="s">
        <v>556</v>
      </c>
      <c r="D297" s="8">
        <v>44519</v>
      </c>
      <c r="E297" s="5" t="s">
        <v>17</v>
      </c>
      <c r="F297" s="5" t="s">
        <v>353</v>
      </c>
      <c r="G297" s="6">
        <v>-48.5</v>
      </c>
    </row>
    <row r="298" spans="1:7">
      <c r="A298" s="5" t="s">
        <v>66</v>
      </c>
      <c r="B298" s="5" t="s">
        <v>407</v>
      </c>
      <c r="C298" s="10" t="s">
        <v>576</v>
      </c>
      <c r="D298" s="8">
        <v>44547</v>
      </c>
      <c r="E298" s="5" t="s">
        <v>17</v>
      </c>
      <c r="F298" s="5" t="s">
        <v>406</v>
      </c>
      <c r="G298" s="6">
        <v>727.5</v>
      </c>
    </row>
    <row r="299" spans="1:7">
      <c r="A299" s="5" t="s">
        <v>66</v>
      </c>
      <c r="B299" s="5" t="s">
        <v>411</v>
      </c>
      <c r="C299" s="10" t="s">
        <v>578</v>
      </c>
      <c r="D299" s="8">
        <v>44547</v>
      </c>
      <c r="E299" s="5" t="s">
        <v>17</v>
      </c>
      <c r="F299" s="5" t="s">
        <v>410</v>
      </c>
      <c r="G299" s="6">
        <v>3783</v>
      </c>
    </row>
    <row r="300" spans="1:7">
      <c r="A300" s="5" t="s">
        <v>201</v>
      </c>
      <c r="B300" s="5" t="s">
        <v>202</v>
      </c>
      <c r="C300" s="10" t="s">
        <v>480</v>
      </c>
      <c r="D300" s="8">
        <v>44431</v>
      </c>
      <c r="E300" s="5" t="s">
        <v>17</v>
      </c>
      <c r="F300" s="5" t="s">
        <v>198</v>
      </c>
      <c r="G300" s="6">
        <v>1937.5</v>
      </c>
    </row>
    <row r="301" spans="1:7">
      <c r="A301" s="5" t="s">
        <v>201</v>
      </c>
      <c r="B301" s="5" t="s">
        <v>202</v>
      </c>
      <c r="C301" s="10" t="s">
        <v>480</v>
      </c>
      <c r="D301" s="8">
        <v>44431</v>
      </c>
      <c r="E301" s="5" t="s">
        <v>17</v>
      </c>
      <c r="F301" s="5" t="s">
        <v>198</v>
      </c>
      <c r="G301" s="6">
        <v>17750</v>
      </c>
    </row>
    <row r="302" spans="1:7">
      <c r="A302" s="5" t="s">
        <v>201</v>
      </c>
      <c r="B302" s="5" t="s">
        <v>202</v>
      </c>
      <c r="C302" s="10" t="s">
        <v>482</v>
      </c>
      <c r="D302" s="8">
        <v>44441</v>
      </c>
      <c r="E302" s="5" t="s">
        <v>17</v>
      </c>
      <c r="F302" s="5" t="s">
        <v>198</v>
      </c>
      <c r="G302" s="6">
        <v>-17750</v>
      </c>
    </row>
    <row r="303" spans="1:7">
      <c r="A303" s="5" t="s">
        <v>201</v>
      </c>
      <c r="B303" s="5" t="s">
        <v>204</v>
      </c>
      <c r="C303" s="10" t="s">
        <v>483</v>
      </c>
      <c r="D303" s="8">
        <v>44469</v>
      </c>
      <c r="E303" s="5" t="s">
        <v>17</v>
      </c>
      <c r="F303" s="5" t="s">
        <v>198</v>
      </c>
      <c r="G303" s="6">
        <v>4562.5</v>
      </c>
    </row>
    <row r="304" spans="1:7">
      <c r="A304" s="5" t="s">
        <v>201</v>
      </c>
      <c r="B304" s="5" t="s">
        <v>408</v>
      </c>
      <c r="C304" s="10" t="s">
        <v>576</v>
      </c>
      <c r="D304" s="8">
        <v>44547</v>
      </c>
      <c r="E304" s="5" t="s">
        <v>17</v>
      </c>
      <c r="F304" s="5" t="s">
        <v>406</v>
      </c>
      <c r="G304" s="6">
        <v>6062.5</v>
      </c>
    </row>
    <row r="305" spans="1:7">
      <c r="A305" s="5" t="s">
        <v>201</v>
      </c>
      <c r="B305" s="5" t="s">
        <v>412</v>
      </c>
      <c r="C305" s="10" t="s">
        <v>578</v>
      </c>
      <c r="D305" s="8">
        <v>44547</v>
      </c>
      <c r="E305" s="5" t="s">
        <v>17</v>
      </c>
      <c r="F305" s="5" t="s">
        <v>410</v>
      </c>
      <c r="G305" s="6">
        <v>4250</v>
      </c>
    </row>
    <row r="306" spans="1:7">
      <c r="A306" s="5" t="s">
        <v>97</v>
      </c>
      <c r="B306" s="5" t="s">
        <v>98</v>
      </c>
      <c r="C306" s="10" t="s">
        <v>439</v>
      </c>
      <c r="D306" s="8">
        <v>44322</v>
      </c>
      <c r="E306" s="5" t="s">
        <v>17</v>
      </c>
      <c r="F306" s="5" t="s">
        <v>96</v>
      </c>
      <c r="G306" s="6">
        <v>3450</v>
      </c>
    </row>
    <row r="307" spans="1:7">
      <c r="A307" s="5" t="s">
        <v>97</v>
      </c>
      <c r="B307" s="5" t="s">
        <v>177</v>
      </c>
      <c r="C307" s="10" t="s">
        <v>470</v>
      </c>
      <c r="D307" s="8">
        <v>44382</v>
      </c>
      <c r="E307" s="5" t="s">
        <v>17</v>
      </c>
      <c r="F307" s="5" t="s">
        <v>176</v>
      </c>
      <c r="G307" s="6">
        <v>150</v>
      </c>
    </row>
    <row r="308" spans="1:7">
      <c r="A308" s="5" t="s">
        <v>97</v>
      </c>
      <c r="B308" s="5" t="s">
        <v>200</v>
      </c>
      <c r="C308" s="10" t="s">
        <v>479</v>
      </c>
      <c r="D308" s="8">
        <v>44420</v>
      </c>
      <c r="E308" s="5" t="s">
        <v>17</v>
      </c>
      <c r="F308" s="5" t="s">
        <v>198</v>
      </c>
      <c r="G308" s="6">
        <v>1500</v>
      </c>
    </row>
    <row r="309" spans="1:7">
      <c r="A309" s="5" t="s">
        <v>97</v>
      </c>
      <c r="B309" s="5" t="s">
        <v>200</v>
      </c>
      <c r="C309" s="10" t="s">
        <v>481</v>
      </c>
      <c r="D309" s="8">
        <v>44431</v>
      </c>
      <c r="E309" s="5" t="s">
        <v>17</v>
      </c>
      <c r="F309" s="5" t="s">
        <v>198</v>
      </c>
      <c r="G309" s="6">
        <v>-1500</v>
      </c>
    </row>
    <row r="310" spans="1:7">
      <c r="A310" s="5" t="s">
        <v>97</v>
      </c>
      <c r="B310" s="5" t="s">
        <v>253</v>
      </c>
      <c r="C310" s="10" t="s">
        <v>513</v>
      </c>
      <c r="D310" s="8">
        <v>44441</v>
      </c>
      <c r="E310" s="5" t="s">
        <v>17</v>
      </c>
      <c r="F310" s="5" t="s">
        <v>42</v>
      </c>
      <c r="G310" s="6">
        <v>3000</v>
      </c>
    </row>
    <row r="311" spans="1:7">
      <c r="A311" s="5" t="s">
        <v>97</v>
      </c>
      <c r="B311" s="5" t="s">
        <v>253</v>
      </c>
      <c r="C311" s="10" t="s">
        <v>515</v>
      </c>
      <c r="D311" s="8">
        <v>44442</v>
      </c>
      <c r="E311" s="5" t="s">
        <v>17</v>
      </c>
      <c r="F311" s="5" t="s">
        <v>42</v>
      </c>
      <c r="G311" s="6">
        <v>1500</v>
      </c>
    </row>
    <row r="312" spans="1:7">
      <c r="A312" s="5" t="s">
        <v>97</v>
      </c>
      <c r="B312" s="5" t="s">
        <v>253</v>
      </c>
      <c r="C312" s="10" t="s">
        <v>514</v>
      </c>
      <c r="D312" s="8">
        <v>44442</v>
      </c>
      <c r="E312" s="5" t="s">
        <v>17</v>
      </c>
      <c r="F312" s="5" t="s">
        <v>42</v>
      </c>
      <c r="G312" s="6">
        <v>1500</v>
      </c>
    </row>
    <row r="313" spans="1:7">
      <c r="A313" s="5" t="s">
        <v>97</v>
      </c>
      <c r="B313" s="5" t="s">
        <v>281</v>
      </c>
      <c r="C313" s="10" t="s">
        <v>527</v>
      </c>
      <c r="D313" s="8">
        <v>44454</v>
      </c>
      <c r="E313" s="5" t="s">
        <v>17</v>
      </c>
      <c r="F313" s="5" t="s">
        <v>51</v>
      </c>
      <c r="G313" s="6">
        <v>1500</v>
      </c>
    </row>
    <row r="314" spans="1:7">
      <c r="A314" s="5" t="s">
        <v>97</v>
      </c>
      <c r="B314" s="5" t="s">
        <v>288</v>
      </c>
      <c r="C314" s="10" t="s">
        <v>530</v>
      </c>
      <c r="D314" s="8">
        <v>44467</v>
      </c>
      <c r="E314" s="5" t="s">
        <v>17</v>
      </c>
      <c r="F314" s="5" t="s">
        <v>286</v>
      </c>
      <c r="G314" s="6">
        <v>1725</v>
      </c>
    </row>
    <row r="315" spans="1:7">
      <c r="A315" s="5" t="s">
        <v>97</v>
      </c>
      <c r="B315" s="5" t="s">
        <v>321</v>
      </c>
      <c r="C315" s="10" t="s">
        <v>543</v>
      </c>
      <c r="D315" s="8">
        <v>44482</v>
      </c>
      <c r="E315" s="5" t="s">
        <v>17</v>
      </c>
      <c r="F315" s="5" t="s">
        <v>53</v>
      </c>
      <c r="G315" s="6">
        <v>-6000</v>
      </c>
    </row>
    <row r="316" spans="1:7">
      <c r="A316" s="5" t="s">
        <v>97</v>
      </c>
      <c r="B316" s="5" t="s">
        <v>328</v>
      </c>
      <c r="C316" s="10" t="s">
        <v>544</v>
      </c>
      <c r="D316" s="8">
        <v>44482</v>
      </c>
      <c r="E316" s="5" t="s">
        <v>17</v>
      </c>
      <c r="F316" s="5" t="s">
        <v>326</v>
      </c>
      <c r="G316" s="6">
        <v>6000</v>
      </c>
    </row>
    <row r="317" spans="1:7">
      <c r="A317" s="5" t="s">
        <v>97</v>
      </c>
      <c r="B317" s="5" t="s">
        <v>335</v>
      </c>
      <c r="C317" s="10" t="s">
        <v>545</v>
      </c>
      <c r="D317" s="8">
        <v>44482</v>
      </c>
      <c r="E317" s="5" t="s">
        <v>17</v>
      </c>
      <c r="F317" s="5" t="s">
        <v>333</v>
      </c>
      <c r="G317" s="6">
        <v>-1725</v>
      </c>
    </row>
    <row r="318" spans="1:7">
      <c r="A318" s="5" t="s">
        <v>97</v>
      </c>
      <c r="B318" s="5" t="s">
        <v>338</v>
      </c>
      <c r="C318" s="10" t="s">
        <v>546</v>
      </c>
      <c r="D318" s="8">
        <v>44482</v>
      </c>
      <c r="E318" s="5" t="s">
        <v>17</v>
      </c>
      <c r="F318" s="5" t="s">
        <v>54</v>
      </c>
      <c r="G318" s="6">
        <v>1800</v>
      </c>
    </row>
    <row r="319" spans="1:7">
      <c r="A319" s="5" t="s">
        <v>97</v>
      </c>
      <c r="B319" s="5" t="s">
        <v>354</v>
      </c>
      <c r="C319" s="10" t="s">
        <v>555</v>
      </c>
      <c r="D319" s="8">
        <v>44497</v>
      </c>
      <c r="E319" s="5" t="s">
        <v>17</v>
      </c>
      <c r="F319" s="5" t="s">
        <v>353</v>
      </c>
      <c r="G319" s="6">
        <v>150</v>
      </c>
    </row>
    <row r="320" spans="1:7">
      <c r="A320" s="5" t="s">
        <v>69</v>
      </c>
      <c r="B320" s="5" t="s">
        <v>70</v>
      </c>
      <c r="C320" s="10" t="s">
        <v>425</v>
      </c>
      <c r="D320" s="8">
        <v>44273</v>
      </c>
      <c r="E320" s="5" t="s">
        <v>17</v>
      </c>
      <c r="F320" s="5" t="s">
        <v>65</v>
      </c>
      <c r="G320" s="6">
        <v>0.5</v>
      </c>
    </row>
    <row r="321" spans="1:7">
      <c r="A321" s="5" t="s">
        <v>69</v>
      </c>
      <c r="B321" s="5" t="s">
        <v>70</v>
      </c>
      <c r="C321" s="10" t="s">
        <v>425</v>
      </c>
      <c r="D321" s="8">
        <v>44273</v>
      </c>
      <c r="E321" s="5" t="s">
        <v>17</v>
      </c>
      <c r="F321" s="5" t="s">
        <v>65</v>
      </c>
      <c r="G321" s="6">
        <v>780</v>
      </c>
    </row>
    <row r="322" spans="1:7">
      <c r="A322" s="5" t="s">
        <v>69</v>
      </c>
      <c r="B322" s="5" t="s">
        <v>72</v>
      </c>
      <c r="C322" s="10" t="s">
        <v>426</v>
      </c>
      <c r="D322" s="8">
        <v>44285</v>
      </c>
      <c r="E322" s="5" t="s">
        <v>17</v>
      </c>
      <c r="F322" s="5" t="s">
        <v>71</v>
      </c>
      <c r="G322" s="6">
        <v>23400</v>
      </c>
    </row>
    <row r="323" spans="1:7">
      <c r="A323" s="5" t="s">
        <v>69</v>
      </c>
      <c r="B323" s="5" t="s">
        <v>75</v>
      </c>
      <c r="C323" s="10" t="s">
        <v>427</v>
      </c>
      <c r="D323" s="8">
        <v>44298</v>
      </c>
      <c r="E323" s="5" t="s">
        <v>17</v>
      </c>
      <c r="F323" s="5" t="s">
        <v>74</v>
      </c>
      <c r="G323" s="6">
        <v>1657.5</v>
      </c>
    </row>
    <row r="324" spans="1:7">
      <c r="A324" s="5" t="s">
        <v>69</v>
      </c>
      <c r="B324" s="5" t="s">
        <v>78</v>
      </c>
      <c r="C324" s="10" t="s">
        <v>428</v>
      </c>
      <c r="D324" s="8">
        <v>44312</v>
      </c>
      <c r="E324" s="5" t="s">
        <v>17</v>
      </c>
      <c r="F324" s="5" t="s">
        <v>76</v>
      </c>
      <c r="G324" s="6">
        <v>780</v>
      </c>
    </row>
    <row r="325" spans="1:7">
      <c r="A325" s="5" t="s">
        <v>69</v>
      </c>
      <c r="B325" s="5" t="s">
        <v>78</v>
      </c>
      <c r="C325" s="10" t="s">
        <v>429</v>
      </c>
      <c r="D325" s="8">
        <v>44315</v>
      </c>
      <c r="E325" s="5" t="s">
        <v>17</v>
      </c>
      <c r="F325" s="5" t="s">
        <v>76</v>
      </c>
      <c r="G325" s="6">
        <v>-780</v>
      </c>
    </row>
    <row r="326" spans="1:7">
      <c r="A326" s="5" t="s">
        <v>69</v>
      </c>
      <c r="B326" s="5" t="s">
        <v>93</v>
      </c>
      <c r="C326" s="10" t="s">
        <v>437</v>
      </c>
      <c r="D326" s="8">
        <v>44316</v>
      </c>
      <c r="E326" s="5" t="s">
        <v>17</v>
      </c>
      <c r="F326" s="5" t="s">
        <v>86</v>
      </c>
      <c r="G326" s="6">
        <v>15600</v>
      </c>
    </row>
    <row r="327" spans="1:7">
      <c r="A327" s="5" t="s">
        <v>69</v>
      </c>
      <c r="B327" s="5" t="s">
        <v>78</v>
      </c>
      <c r="C327" s="10" t="s">
        <v>430</v>
      </c>
      <c r="D327" s="8">
        <v>44319</v>
      </c>
      <c r="E327" s="5" t="s">
        <v>17</v>
      </c>
      <c r="F327" s="5" t="s">
        <v>76</v>
      </c>
      <c r="G327" s="6">
        <v>780</v>
      </c>
    </row>
    <row r="328" spans="1:7">
      <c r="A328" s="5" t="s">
        <v>69</v>
      </c>
      <c r="B328" s="5" t="s">
        <v>78</v>
      </c>
      <c r="C328" s="10" t="s">
        <v>431</v>
      </c>
      <c r="D328" s="8">
        <v>44319</v>
      </c>
      <c r="E328" s="5" t="s">
        <v>17</v>
      </c>
      <c r="F328" s="5" t="s">
        <v>76</v>
      </c>
      <c r="G328" s="6">
        <v>-780</v>
      </c>
    </row>
    <row r="329" spans="1:7">
      <c r="A329" s="5" t="s">
        <v>69</v>
      </c>
      <c r="B329" s="5" t="s">
        <v>78</v>
      </c>
      <c r="C329" s="10" t="s">
        <v>433</v>
      </c>
      <c r="D329" s="8">
        <v>44319</v>
      </c>
      <c r="E329" s="5" t="s">
        <v>17</v>
      </c>
      <c r="F329" s="5" t="s">
        <v>76</v>
      </c>
      <c r="G329" s="6">
        <v>780</v>
      </c>
    </row>
    <row r="330" spans="1:7">
      <c r="A330" s="5" t="s">
        <v>69</v>
      </c>
      <c r="B330" s="5" t="s">
        <v>79</v>
      </c>
      <c r="C330" s="10" t="s">
        <v>430</v>
      </c>
      <c r="D330" s="8">
        <v>44319</v>
      </c>
      <c r="E330" s="5" t="s">
        <v>17</v>
      </c>
      <c r="F330" s="5" t="s">
        <v>76</v>
      </c>
      <c r="G330" s="6">
        <v>97.5</v>
      </c>
    </row>
    <row r="331" spans="1:7">
      <c r="A331" s="5" t="s">
        <v>69</v>
      </c>
      <c r="B331" s="5" t="s">
        <v>79</v>
      </c>
      <c r="C331" s="10" t="s">
        <v>432</v>
      </c>
      <c r="D331" s="8">
        <v>44319</v>
      </c>
      <c r="E331" s="5" t="s">
        <v>17</v>
      </c>
      <c r="F331" s="5" t="s">
        <v>76</v>
      </c>
      <c r="G331" s="6">
        <v>-97.5</v>
      </c>
    </row>
    <row r="332" spans="1:7">
      <c r="A332" s="5" t="s">
        <v>69</v>
      </c>
      <c r="B332" s="5" t="s">
        <v>79</v>
      </c>
      <c r="C332" s="10" t="s">
        <v>433</v>
      </c>
      <c r="D332" s="8">
        <v>44319</v>
      </c>
      <c r="E332" s="5" t="s">
        <v>17</v>
      </c>
      <c r="F332" s="5" t="s">
        <v>76</v>
      </c>
      <c r="G332" s="6">
        <v>97.5</v>
      </c>
    </row>
    <row r="333" spans="1:7">
      <c r="A333" s="5" t="s">
        <v>69</v>
      </c>
      <c r="B333" s="5" t="s">
        <v>101</v>
      </c>
      <c r="C333" s="10" t="s">
        <v>440</v>
      </c>
      <c r="D333" s="8">
        <v>44336</v>
      </c>
      <c r="E333" s="5" t="s">
        <v>17</v>
      </c>
      <c r="F333" s="5" t="s">
        <v>100</v>
      </c>
      <c r="G333" s="6">
        <v>15600</v>
      </c>
    </row>
    <row r="334" spans="1:7">
      <c r="A334" s="5" t="s">
        <v>69</v>
      </c>
      <c r="B334" s="5" t="s">
        <v>141</v>
      </c>
      <c r="C334" s="10" t="s">
        <v>457</v>
      </c>
      <c r="D334" s="8">
        <v>44354</v>
      </c>
      <c r="E334" s="5" t="s">
        <v>17</v>
      </c>
      <c r="F334" s="5" t="s">
        <v>138</v>
      </c>
      <c r="G334" s="6">
        <v>5850</v>
      </c>
    </row>
    <row r="335" spans="1:7">
      <c r="A335" s="5" t="s">
        <v>69</v>
      </c>
      <c r="B335" s="5" t="s">
        <v>152</v>
      </c>
      <c r="C335" s="10" t="s">
        <v>461</v>
      </c>
      <c r="D335" s="8">
        <v>44362</v>
      </c>
      <c r="E335" s="5" t="s">
        <v>17</v>
      </c>
      <c r="F335" s="5" t="s">
        <v>151</v>
      </c>
      <c r="G335" s="6">
        <v>195</v>
      </c>
    </row>
    <row r="336" spans="1:7">
      <c r="A336" s="5" t="s">
        <v>69</v>
      </c>
      <c r="B336" s="5" t="s">
        <v>154</v>
      </c>
      <c r="C336" s="10" t="s">
        <v>462</v>
      </c>
      <c r="D336" s="8">
        <v>44368</v>
      </c>
      <c r="E336" s="5" t="s">
        <v>17</v>
      </c>
      <c r="F336" s="5" t="s">
        <v>153</v>
      </c>
      <c r="G336" s="6">
        <v>21450</v>
      </c>
    </row>
    <row r="337" spans="1:7">
      <c r="A337" s="5" t="s">
        <v>69</v>
      </c>
      <c r="B337" s="5" t="s">
        <v>168</v>
      </c>
      <c r="C337" s="10" t="s">
        <v>467</v>
      </c>
      <c r="D337" s="8">
        <v>44376</v>
      </c>
      <c r="E337" s="5" t="s">
        <v>17</v>
      </c>
      <c r="F337" s="5" t="s">
        <v>167</v>
      </c>
      <c r="G337" s="6">
        <v>1560</v>
      </c>
    </row>
    <row r="338" spans="1:7">
      <c r="A338" s="5" t="s">
        <v>69</v>
      </c>
      <c r="B338" s="5" t="s">
        <v>175</v>
      </c>
      <c r="C338" s="10" t="s">
        <v>469</v>
      </c>
      <c r="D338" s="8">
        <v>44376</v>
      </c>
      <c r="E338" s="5" t="s">
        <v>17</v>
      </c>
      <c r="F338" s="5" t="s">
        <v>173</v>
      </c>
      <c r="G338" s="6">
        <v>4387.5</v>
      </c>
    </row>
    <row r="339" spans="1:7">
      <c r="A339" s="5" t="s">
        <v>69</v>
      </c>
      <c r="B339" s="5" t="s">
        <v>172</v>
      </c>
      <c r="C339" s="10" t="s">
        <v>468</v>
      </c>
      <c r="D339" s="8">
        <v>44384</v>
      </c>
      <c r="E339" s="5" t="s">
        <v>17</v>
      </c>
      <c r="F339" s="5" t="s">
        <v>170</v>
      </c>
      <c r="G339" s="6">
        <v>390</v>
      </c>
    </row>
    <row r="340" spans="1:7">
      <c r="A340" s="5" t="s">
        <v>69</v>
      </c>
      <c r="B340" s="5" t="s">
        <v>235</v>
      </c>
      <c r="C340" s="10" t="s">
        <v>504</v>
      </c>
      <c r="D340" s="8">
        <v>44419</v>
      </c>
      <c r="E340" s="5" t="s">
        <v>17</v>
      </c>
      <c r="F340" s="5" t="s">
        <v>233</v>
      </c>
      <c r="G340" s="6">
        <v>1950</v>
      </c>
    </row>
    <row r="341" spans="1:7">
      <c r="A341" s="5" t="s">
        <v>69</v>
      </c>
      <c r="B341" s="5" t="s">
        <v>231</v>
      </c>
      <c r="C341" s="10" t="s">
        <v>503</v>
      </c>
      <c r="D341" s="8">
        <v>44425</v>
      </c>
      <c r="E341" s="5" t="s">
        <v>17</v>
      </c>
      <c r="F341" s="5" t="s">
        <v>228</v>
      </c>
      <c r="G341" s="6">
        <v>11700</v>
      </c>
    </row>
    <row r="342" spans="1:7">
      <c r="A342" s="5" t="s">
        <v>69</v>
      </c>
      <c r="B342" s="5" t="s">
        <v>254</v>
      </c>
      <c r="C342" s="10" t="s">
        <v>513</v>
      </c>
      <c r="D342" s="8">
        <v>44441</v>
      </c>
      <c r="E342" s="5" t="s">
        <v>17</v>
      </c>
      <c r="F342" s="5" t="s">
        <v>42</v>
      </c>
      <c r="G342" s="6">
        <v>4680</v>
      </c>
    </row>
    <row r="343" spans="1:7">
      <c r="A343" s="5" t="s">
        <v>69</v>
      </c>
      <c r="B343" s="5" t="s">
        <v>254</v>
      </c>
      <c r="C343" s="10" t="s">
        <v>516</v>
      </c>
      <c r="D343" s="8">
        <v>44466</v>
      </c>
      <c r="E343" s="5" t="s">
        <v>17</v>
      </c>
      <c r="F343" s="5" t="s">
        <v>42</v>
      </c>
      <c r="G343" s="6">
        <v>5557.5</v>
      </c>
    </row>
    <row r="344" spans="1:7">
      <c r="A344" s="5" t="s">
        <v>69</v>
      </c>
      <c r="B344" s="5" t="s">
        <v>254</v>
      </c>
      <c r="C344" s="10" t="s">
        <v>516</v>
      </c>
      <c r="D344" s="8">
        <v>44466</v>
      </c>
      <c r="E344" s="5" t="s">
        <v>17</v>
      </c>
      <c r="F344" s="5" t="s">
        <v>42</v>
      </c>
      <c r="G344" s="6">
        <v>780</v>
      </c>
    </row>
    <row r="345" spans="1:7">
      <c r="A345" s="5" t="s">
        <v>69</v>
      </c>
      <c r="B345" s="5" t="s">
        <v>254</v>
      </c>
      <c r="C345" s="10" t="s">
        <v>517</v>
      </c>
      <c r="D345" s="8">
        <v>44467</v>
      </c>
      <c r="E345" s="5" t="s">
        <v>17</v>
      </c>
      <c r="F345" s="5" t="s">
        <v>42</v>
      </c>
      <c r="G345" s="6">
        <v>-780</v>
      </c>
    </row>
    <row r="346" spans="1:7">
      <c r="A346" s="5" t="s">
        <v>69</v>
      </c>
      <c r="B346" s="5" t="s">
        <v>287</v>
      </c>
      <c r="C346" s="10" t="s">
        <v>530</v>
      </c>
      <c r="D346" s="8">
        <v>44467</v>
      </c>
      <c r="E346" s="5" t="s">
        <v>17</v>
      </c>
      <c r="F346" s="5" t="s">
        <v>286</v>
      </c>
      <c r="G346" s="6">
        <v>780</v>
      </c>
    </row>
    <row r="347" spans="1:7">
      <c r="A347" s="5" t="s">
        <v>69</v>
      </c>
      <c r="B347" s="5" t="s">
        <v>291</v>
      </c>
      <c r="C347" s="10" t="s">
        <v>531</v>
      </c>
      <c r="D347" s="8">
        <v>44469</v>
      </c>
      <c r="E347" s="5" t="s">
        <v>17</v>
      </c>
      <c r="F347" s="5" t="s">
        <v>43</v>
      </c>
      <c r="G347" s="6">
        <v>-4387.5</v>
      </c>
    </row>
    <row r="348" spans="1:7">
      <c r="A348" s="5" t="s">
        <v>69</v>
      </c>
      <c r="B348" s="5" t="s">
        <v>296</v>
      </c>
      <c r="C348" s="10" t="s">
        <v>533</v>
      </c>
      <c r="D348" s="8">
        <v>44473</v>
      </c>
      <c r="E348" s="5" t="s">
        <v>17</v>
      </c>
      <c r="F348" s="5" t="s">
        <v>294</v>
      </c>
      <c r="G348" s="6">
        <v>9750</v>
      </c>
    </row>
    <row r="349" spans="1:7">
      <c r="A349" s="5" t="s">
        <v>69</v>
      </c>
      <c r="B349" s="5" t="s">
        <v>298</v>
      </c>
      <c r="C349" s="10" t="s">
        <v>534</v>
      </c>
      <c r="D349" s="8">
        <v>44473</v>
      </c>
      <c r="E349" s="5" t="s">
        <v>17</v>
      </c>
      <c r="F349" s="5" t="s">
        <v>297</v>
      </c>
      <c r="G349" s="6">
        <v>11700</v>
      </c>
    </row>
    <row r="350" spans="1:7">
      <c r="A350" s="5" t="s">
        <v>69</v>
      </c>
      <c r="B350" s="5" t="s">
        <v>299</v>
      </c>
      <c r="C350" s="10" t="s">
        <v>535</v>
      </c>
      <c r="D350" s="8">
        <v>44480</v>
      </c>
      <c r="E350" s="5" t="s">
        <v>17</v>
      </c>
      <c r="F350" s="5" t="s">
        <v>52</v>
      </c>
      <c r="G350" s="6">
        <v>1755</v>
      </c>
    </row>
    <row r="351" spans="1:7">
      <c r="A351" s="5" t="s">
        <v>69</v>
      </c>
      <c r="B351" s="5" t="s">
        <v>322</v>
      </c>
      <c r="C351" s="10" t="s">
        <v>543</v>
      </c>
      <c r="D351" s="8">
        <v>44482</v>
      </c>
      <c r="E351" s="5" t="s">
        <v>17</v>
      </c>
      <c r="F351" s="5" t="s">
        <v>53</v>
      </c>
      <c r="G351" s="6">
        <v>-10237.5</v>
      </c>
    </row>
    <row r="352" spans="1:7">
      <c r="A352" s="5" t="s">
        <v>69</v>
      </c>
      <c r="B352" s="5" t="s">
        <v>329</v>
      </c>
      <c r="C352" s="10" t="s">
        <v>544</v>
      </c>
      <c r="D352" s="8">
        <v>44482</v>
      </c>
      <c r="E352" s="5" t="s">
        <v>17</v>
      </c>
      <c r="F352" s="5" t="s">
        <v>326</v>
      </c>
      <c r="G352" s="6">
        <v>10237.5</v>
      </c>
    </row>
    <row r="353" spans="1:7">
      <c r="A353" s="5" t="s">
        <v>69</v>
      </c>
      <c r="B353" s="5" t="s">
        <v>334</v>
      </c>
      <c r="C353" s="10" t="s">
        <v>545</v>
      </c>
      <c r="D353" s="8">
        <v>44482</v>
      </c>
      <c r="E353" s="5" t="s">
        <v>17</v>
      </c>
      <c r="F353" s="5" t="s">
        <v>333</v>
      </c>
      <c r="G353" s="6">
        <v>-780</v>
      </c>
    </row>
    <row r="354" spans="1:7">
      <c r="A354" s="5" t="s">
        <v>69</v>
      </c>
      <c r="B354" s="5" t="s">
        <v>337</v>
      </c>
      <c r="C354" s="10" t="s">
        <v>546</v>
      </c>
      <c r="D354" s="8">
        <v>44482</v>
      </c>
      <c r="E354" s="5" t="s">
        <v>17</v>
      </c>
      <c r="F354" s="5" t="s">
        <v>54</v>
      </c>
      <c r="G354" s="6">
        <v>780</v>
      </c>
    </row>
    <row r="355" spans="1:7">
      <c r="A355" s="5" t="s">
        <v>69</v>
      </c>
      <c r="B355" s="5" t="s">
        <v>400</v>
      </c>
      <c r="C355" s="10" t="s">
        <v>572</v>
      </c>
      <c r="D355" s="8">
        <v>44533</v>
      </c>
      <c r="E355" s="5" t="s">
        <v>17</v>
      </c>
      <c r="F355" s="5" t="s">
        <v>399</v>
      </c>
      <c r="G355" s="6">
        <v>975</v>
      </c>
    </row>
    <row r="356" spans="1:7">
      <c r="A356" s="5" t="s">
        <v>69</v>
      </c>
      <c r="B356" s="5" t="s">
        <v>403</v>
      </c>
      <c r="C356" s="10" t="s">
        <v>574</v>
      </c>
      <c r="D356" s="8">
        <v>44539</v>
      </c>
      <c r="E356" s="5" t="s">
        <v>17</v>
      </c>
      <c r="F356" s="5" t="s">
        <v>55</v>
      </c>
      <c r="G356" s="6">
        <v>975</v>
      </c>
    </row>
    <row r="357" spans="1:7">
      <c r="A357" s="5" t="s">
        <v>69</v>
      </c>
      <c r="B357" s="5" t="s">
        <v>402</v>
      </c>
      <c r="C357" s="10" t="s">
        <v>573</v>
      </c>
      <c r="D357" s="8">
        <v>44546</v>
      </c>
      <c r="E357" s="5" t="s">
        <v>17</v>
      </c>
      <c r="F357" s="5" t="s">
        <v>401</v>
      </c>
      <c r="G357" s="6">
        <v>2145</v>
      </c>
    </row>
    <row r="358" spans="1:7">
      <c r="A358" s="5" t="s">
        <v>69</v>
      </c>
      <c r="B358" s="5" t="s">
        <v>405</v>
      </c>
      <c r="C358" s="10" t="s">
        <v>575</v>
      </c>
      <c r="D358" s="8">
        <v>44546</v>
      </c>
      <c r="E358" s="5" t="s">
        <v>17</v>
      </c>
      <c r="F358" s="5" t="s">
        <v>404</v>
      </c>
      <c r="G358" s="6">
        <v>3900</v>
      </c>
    </row>
    <row r="359" spans="1:7">
      <c r="A359" s="3" t="s">
        <v>10</v>
      </c>
      <c r="B359" s="4"/>
      <c r="C359" s="10"/>
      <c r="D359" s="7"/>
      <c r="E359" s="4"/>
      <c r="F359" s="4"/>
      <c r="G359" s="3">
        <f>SUBTOTAL(109,AtlasReport_4_Table_1[Quantity])</f>
        <v>484868.5</v>
      </c>
    </row>
    <row r="360" spans="1:7">
      <c r="A360" s="3"/>
      <c r="B360" s="3"/>
      <c r="D360" s="7"/>
      <c r="E360" s="3"/>
      <c r="F360" s="3"/>
      <c r="G360" s="3"/>
    </row>
    <row r="361" spans="1:7">
      <c r="A361" s="3"/>
      <c r="B361" s="3"/>
      <c r="C361" s="7"/>
      <c r="D361" s="7"/>
      <c r="E361" s="3"/>
      <c r="F361" s="3"/>
      <c r="G361" s="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9"/>
  <sheetViews>
    <sheetView workbookViewId="0">
      <selection activeCell="K12" sqref="K12"/>
    </sheetView>
  </sheetViews>
  <sheetFormatPr defaultRowHeight="15"/>
  <cols>
    <col min="1" max="1" width="20" bestFit="1" customWidth="1"/>
    <col min="2" max="2" width="16.42578125" bestFit="1" customWidth="1"/>
    <col min="3" max="3" width="43.5703125" bestFit="1" customWidth="1"/>
    <col min="4" max="4" width="12.42578125" bestFit="1" customWidth="1"/>
    <col min="5" max="5" width="13" bestFit="1" customWidth="1"/>
    <col min="6" max="6" width="16.42578125" bestFit="1" customWidth="1"/>
    <col min="7" max="7" width="26.140625" bestFit="1" customWidth="1"/>
  </cols>
  <sheetData>
    <row r="1" spans="1:7">
      <c r="F1" s="9" t="s">
        <v>29</v>
      </c>
    </row>
    <row r="2" spans="1:7">
      <c r="A2" s="9" t="s">
        <v>18</v>
      </c>
      <c r="B2" s="9" t="s">
        <v>8</v>
      </c>
      <c r="C2" s="9" t="s">
        <v>12</v>
      </c>
      <c r="D2" s="9" t="s">
        <v>20</v>
      </c>
      <c r="E2" s="9" t="s">
        <v>21</v>
      </c>
      <c r="F2" t="s">
        <v>27</v>
      </c>
      <c r="G2" t="s">
        <v>28</v>
      </c>
    </row>
    <row r="3" spans="1:7">
      <c r="A3" t="s">
        <v>39</v>
      </c>
      <c r="B3" t="s">
        <v>143</v>
      </c>
      <c r="C3" t="s">
        <v>61</v>
      </c>
      <c r="D3" t="s">
        <v>62</v>
      </c>
      <c r="E3" t="s">
        <v>63</v>
      </c>
      <c r="F3" s="2">
        <v>707</v>
      </c>
      <c r="G3" s="2">
        <v>68932.5</v>
      </c>
    </row>
    <row r="4" spans="1:7">
      <c r="A4" t="s">
        <v>39</v>
      </c>
      <c r="B4" t="s">
        <v>69</v>
      </c>
      <c r="C4" t="s">
        <v>67</v>
      </c>
      <c r="D4" t="s">
        <v>63</v>
      </c>
      <c r="E4" t="s">
        <v>63</v>
      </c>
      <c r="F4" s="2">
        <v>2633</v>
      </c>
      <c r="G4" s="2">
        <v>2633</v>
      </c>
    </row>
    <row r="5" spans="1:7">
      <c r="A5" t="s">
        <v>39</v>
      </c>
      <c r="B5" t="s">
        <v>69</v>
      </c>
      <c r="C5" t="s">
        <v>67</v>
      </c>
      <c r="D5" t="s">
        <v>62</v>
      </c>
      <c r="E5" t="s">
        <v>63</v>
      </c>
      <c r="F5" s="2">
        <v>1442</v>
      </c>
      <c r="G5" s="2">
        <v>140595</v>
      </c>
    </row>
    <row r="6" spans="1:7">
      <c r="A6" t="s">
        <v>39</v>
      </c>
      <c r="B6" t="s">
        <v>161</v>
      </c>
      <c r="C6" t="s">
        <v>61</v>
      </c>
      <c r="D6" t="s">
        <v>62</v>
      </c>
      <c r="E6" t="s">
        <v>63</v>
      </c>
      <c r="F6" s="2">
        <v>22</v>
      </c>
      <c r="G6" s="2">
        <v>1650</v>
      </c>
    </row>
    <row r="7" spans="1:7">
      <c r="A7" t="s">
        <v>39</v>
      </c>
      <c r="B7" t="s">
        <v>60</v>
      </c>
      <c r="C7" t="s">
        <v>61</v>
      </c>
      <c r="D7" t="s">
        <v>62</v>
      </c>
      <c r="E7" t="s">
        <v>63</v>
      </c>
      <c r="F7" s="2">
        <v>430</v>
      </c>
      <c r="G7" s="2">
        <v>20855</v>
      </c>
    </row>
    <row r="8" spans="1:7">
      <c r="A8" t="s">
        <v>39</v>
      </c>
      <c r="B8" t="s">
        <v>124</v>
      </c>
      <c r="C8" t="s">
        <v>125</v>
      </c>
      <c r="D8" t="s">
        <v>16</v>
      </c>
      <c r="E8" t="s">
        <v>63</v>
      </c>
      <c r="F8" s="2">
        <v>41</v>
      </c>
      <c r="G8" s="2">
        <v>41</v>
      </c>
    </row>
    <row r="9" spans="1:7">
      <c r="A9" t="s">
        <v>39</v>
      </c>
      <c r="B9" t="s">
        <v>124</v>
      </c>
      <c r="C9" t="s">
        <v>125</v>
      </c>
      <c r="D9" t="s">
        <v>63</v>
      </c>
      <c r="E9" t="s">
        <v>63</v>
      </c>
      <c r="F9" s="2">
        <v>1</v>
      </c>
      <c r="G9" s="2">
        <v>1</v>
      </c>
    </row>
    <row r="10" spans="1:7">
      <c r="A10" t="s">
        <v>39</v>
      </c>
      <c r="B10" t="s">
        <v>97</v>
      </c>
      <c r="C10" t="s">
        <v>67</v>
      </c>
      <c r="D10" t="s">
        <v>63</v>
      </c>
      <c r="E10" t="s">
        <v>63</v>
      </c>
      <c r="F10" s="2">
        <v>1500</v>
      </c>
      <c r="G10" s="2">
        <v>1500</v>
      </c>
    </row>
    <row r="11" spans="1:7">
      <c r="A11" t="s">
        <v>39</v>
      </c>
      <c r="B11" t="s">
        <v>97</v>
      </c>
      <c r="C11" t="s">
        <v>67</v>
      </c>
      <c r="D11" t="s">
        <v>62</v>
      </c>
      <c r="E11" t="s">
        <v>63</v>
      </c>
      <c r="F11" s="2">
        <v>154</v>
      </c>
      <c r="G11" s="2">
        <v>11550</v>
      </c>
    </row>
    <row r="12" spans="1:7">
      <c r="A12" t="s">
        <v>39</v>
      </c>
      <c r="B12" t="s">
        <v>66</v>
      </c>
      <c r="C12" t="s">
        <v>67</v>
      </c>
      <c r="D12" t="s">
        <v>63</v>
      </c>
      <c r="E12" t="s">
        <v>63</v>
      </c>
      <c r="F12" s="2">
        <v>1115.5</v>
      </c>
      <c r="G12" s="2">
        <v>1115.5</v>
      </c>
    </row>
    <row r="13" spans="1:7">
      <c r="A13" t="s">
        <v>39</v>
      </c>
      <c r="B13" t="s">
        <v>66</v>
      </c>
      <c r="C13" t="s">
        <v>67</v>
      </c>
      <c r="D13" t="s">
        <v>62</v>
      </c>
      <c r="E13" t="s">
        <v>63</v>
      </c>
      <c r="F13" s="2">
        <v>951</v>
      </c>
      <c r="G13" s="2">
        <v>46123.5</v>
      </c>
    </row>
    <row r="14" spans="1:7">
      <c r="A14" t="s">
        <v>39</v>
      </c>
      <c r="B14" t="s">
        <v>90</v>
      </c>
      <c r="C14" t="s">
        <v>88</v>
      </c>
      <c r="D14" t="s">
        <v>62</v>
      </c>
      <c r="E14" t="s">
        <v>63</v>
      </c>
      <c r="F14" s="2">
        <v>1500</v>
      </c>
      <c r="G14" s="2">
        <v>146250</v>
      </c>
    </row>
    <row r="15" spans="1:7">
      <c r="A15" t="s">
        <v>39</v>
      </c>
      <c r="B15" t="s">
        <v>87</v>
      </c>
      <c r="C15" t="s">
        <v>88</v>
      </c>
      <c r="D15" t="s">
        <v>62</v>
      </c>
      <c r="E15" t="s">
        <v>63</v>
      </c>
      <c r="F15" s="2">
        <v>327</v>
      </c>
      <c r="G15" s="2">
        <v>15859.5</v>
      </c>
    </row>
    <row r="16" spans="1:7">
      <c r="A16" t="s">
        <v>39</v>
      </c>
      <c r="B16" t="s">
        <v>110</v>
      </c>
      <c r="C16" t="s">
        <v>88</v>
      </c>
      <c r="D16" t="s">
        <v>62</v>
      </c>
      <c r="E16" t="s">
        <v>63</v>
      </c>
      <c r="F16" s="2">
        <v>146</v>
      </c>
      <c r="G16" s="2">
        <v>10950</v>
      </c>
    </row>
    <row r="17" spans="1:7">
      <c r="A17" t="s">
        <v>39</v>
      </c>
      <c r="B17" t="s">
        <v>201</v>
      </c>
      <c r="C17" t="s">
        <v>67</v>
      </c>
      <c r="D17" t="s">
        <v>62</v>
      </c>
      <c r="E17" t="s">
        <v>63</v>
      </c>
      <c r="F17" s="2">
        <v>269</v>
      </c>
      <c r="G17" s="2">
        <v>16812.5</v>
      </c>
    </row>
    <row r="18" spans="1:7">
      <c r="A18" t="s">
        <v>40</v>
      </c>
      <c r="F18" s="2">
        <v>11238.5</v>
      </c>
      <c r="G18" s="2">
        <v>484868.5</v>
      </c>
    </row>
    <row r="19" spans="1:7">
      <c r="A19" t="s">
        <v>37</v>
      </c>
      <c r="F19" s="2">
        <v>11238.5</v>
      </c>
      <c r="G19" s="2">
        <v>484868.5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y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GAAAABg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Bkl0ZW1JZAYiAAAABEl0ZW0GIwAAAAZTdHJpbmcGJAAAAAAGJQAAACQwNDU2NDIyMi1kMmE2LTRlN2ItOGU1My01N2JhMWE3YjJmMjMF2v///y1HbG9iZVNvZnR3YXJlLkF0bGFzNDAuQXRsYXNDb21tb24uQWdncmVnYXRpb24BAAAAB3ZhbHVlX18ACA4AAAD/////AAAAAAXZ////LEdsb2JlU29mdHdhcmUuQXRsYXM0MC5BdGxhc0NvbW1vbi5Db2x1bW5UeXBlAQAAAAd2YWx1ZV9fAAgOAAAAAAAAAAXY////K0dsb2JlU29mdHdhcmUuQXRsYXM0MC5BdGxhc0NvbW1vbi5Tb3J0T3JkZXIBAAAAB3ZhbHVlX18ACA4AAAACAAAAAAAAAAAF1////0BHbG9iZVNvZnR3YXJlLkF0bGFzNDAuQXRsYXNDb21tb24uVHlwZS5Db2x1bW4rQ3Jvc3NUYWJDb2x1bW5UeXBlAQAAAAd2YWx1ZV9fAAgOAAAAAAAAAAoBAAAAAAAAAAAAAAAAAAYqAAAAJDY0MDFhNjVjLWFjZDItNDliNC1iMzRkLTA4MzQzNDkyODg5YQYrAAAAIVRhYmxlLkN1c3RQYWNraW5nU2xpcFRyYW5zLkl0ZW1JZAoKCgoBFQAAABQAAAAJLAAAAAktAAAACS4AAAAGLwAAAAhJdGVtTmFtZQYwAAAACUl0ZW0gbmFtZQYxAAAABlN0cmluZwkkAAAABjMAAAAkYjgzMmU3MzItNTA1Yi00NTAxLThhYTUtNTc3ZDEwZjVjZGEyAcz////a/////////wEAAAABy////9n///8AAAAAAcr////Y////AgAAAAAAAAAAAcn////X////AAAAAAoBAAAAAAAAAAABAAAAAAY4AAAAJGMyM2IwNzFlLWY4ZWEtNDJhMi1iMTgyLWNkNWVkNWU1NjY2ZAY5AAAAPFRhYmxlLkN1c3RQYWNraW5nU2xpcFRyYW5zLkl0ZW1JZH5UYWJsZS5JbnZlbnRUYWJsZS5JdGVtTmFtZQoKCgoBFgAAABQAAAAJOgAAAAk7AAAACTwAAAAGPQAAAAROYW1lBj4AAAALRGVzY3JpcHRpb24GPwAAAAZTdHJpbmcJJAAAAAZBAAAAJDQyMjgzZTllLWE1ZjAtNGIyMC05OTc5LTZiZDNiNzRmYTAxZQG+////2v////////8CAAAAAb3////Z////AAAAAAG8////2P///wIAAAAAAAAAAAG7////1////wAAAAAKAQAAAAAAAAAAAgAAAAAGRgAAACQxZjg4OTVkNi05MmY0LTRjOWMtYTg0MC1lOTQxMzZmOWViYzAGRwAAAB9UYWJsZS5DdXN0UGFja2luZ1NsaXBUcmFucy5OYW1lCgoKCgEXAAAAFAAAAAlIAAAACUkAAAAJSgAAAAZLAAAAA1F0eQZMAAAACURlbGl2ZXJlZAZNAAAABFJlYWwJJAAAAAZPAAAAJGI1MmFjNWNjLTgwOWUtNGJjNC04M2Y1LWFiNDExNDIyNTljNAGw////2v///wEAAAADAAAAAa/////Z////AAAAAAGu////2P///wIAAAAAAAAAAAGt////1////wAAAAAKAQAAAAAAAAAAAwAAAAAGVAAAACQzYWZmNWQ5Yy0zYzc1LTRlNjUtODE4Yy1hYjA5MTg2ZjhkMGQGVQAAAB5UYWJsZS5DdXN0UGFja2luZ1NsaXBUcmFucy5RdHkKCgoKARgAAAAUAAAACVYAAAAJVwAAAAlYAAAABlkAAAAHT3JkZXJlZAZaAAAAB09yZGVyZWQGWwAAAARSZWFsCSQAAAAGXQAAACQ2NzY3YTJmZS0xZTg1LTRjMjUtYjZkMC01MmEyZTc4NDYzMmMBov///9r///8BAAAABAAAAAGh////2f///wAAAAABoP///9j///8CAAAAAAAAAAABn////9f///8AAAAACgEAAAAAAAAAAAQAAAAABmIAAAAkNTU2YzI3M2UtYmIyOS00ZDFjLTk1OTMtM2ExNWFkOGFmNDk3BmMAAAAiVGFibGUuQ3VzdFBhY2tpbmdTbGlwVHJhbnMuT3JkZXJlZAoKCgoBGQAAABQAAAAJZAAAAAllAAAACWYAAAAGZwAAAAZSZW1haW4GaAAAABJSZW1haW5pbmcgcXVhbnRpdHkGaQAAAARSZWFsCSQAAAAGawAAACQyNjg2YjRmYy0wYzlkLTQzYWUtYTk3Zi1hZjgyYTMzMDllYmUBlP///9r///8BAAAABQAAAAGT////2f///wAAAAABkv///9j///8CAAAAAAAAAAABkf///9f///8AAAAACgEAAAAAAAAAAAUAAAAABnAAAAAkMDg0N2EyMmItMzhhNS00NzdmLWJkOGItMjQ1ODM1Yjc3M2MzBnEAAAAhVGFibGUuQ3VzdFBhY2tpbmdTbGlwVHJhbnMuUmVtYWluCgoKCgUcAAAAOEdsb2JlU29mdHdhcmUuQXRsYXM0MC5BdGxhc0NvbW1vbkNsaWVudC5SZXBvcnQuUmVmZXJlbmNlAQAAAApfcmVmZXJlbmNlBwgaAAAACXIAAAAHHQAAAAABAAAACAAAAAQ8R2xvYmVTb2Z0d2FyZS5BdGxhczQwLkF0bGFzQ29tbW9uQ2xpZW50LkRhdGFTb3VyY2VGaWVsZFZhbHVlGgAAAAlzAAAACXQAAAAJdQAAAAl2AAAACXcAAAAJeAAAAA0CBB4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XkAAAABAAAAAQAAAAQf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0AAAAJegAAAAcAAAAJewAAAAQ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fAAAAAcAAAAJfQAAAAEsAAAAHgAAAAl+AAAAAQAAAAEAAAABLQAAAB8AAAADAAAACX8AAAADAAAACYAAAAAEL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DAAAAAAAAAABOgAAAB4AAAAJggAAAAEAAAABAAAAATsAAAAfAAAACgAAAAl/AAAABwAAAAmEAAAAATwAAAAgAAAABwAAAAkMAAAABwAAAAmGAAAAAUgAAAAeAAAACYcAAAABAAAAAQAAAAFJAAAAHwAAAB0AAAAJegAAAAcAAAAJiQAAAAFKAAAAIAAAABUAAAAJfAAAAAcAAAAJiwAAAAFWAAAAHgAAAAmMAAAAAQAAAAEAAAABVwAAAB8AAAAdAAAACXoAAAAHAAAACY4AAAABWAAAACAAAAAVAAAACXwAAAAHAAAACZAAAAABZAAAAB4AAAAJkQAAAAEAAAABAAAAAWUAAAAfAAAAHQAAAAl6AAAABwAAAAmTAAAAAWYAAAAgAAAAFQAAAAl8AAAABwAAAAmVAAAAD3IAAAABAAAACAEAAAAFcwAAADxHbG9iZVNvZnR3YXJlLkF0bGFzNDAuQXRsYXNDb21tb25DbGllbnQuRGF0YVNvdXJjZUZpZWxkVmFsdWUEAAAAEl9pc0RyaWxsRG93bkZpbHRlcgZfZHNLZXkKX2ZpZWxkbmFtZQtfZmllbGRWYWx1ZQABAQEBGgAAAAAGlgAAABpUYWJsZS5DdXN0UGFja2luZ1NsaXBUcmFucwaXAAAACkRhdGFBcmVhSWQJBgAAAAF0AAAAcwAAAAAJlgAAAAaaAAAABkl0ZW1JZAabAAAAASoBdQAAAHMAAAAACZYAAAAGnQAAAAxEZWxpdmVyeURhdGUGngAAABUxLjEuMjAyMSAuLiAyLjI4LjIwMjEBdgAAAHMAAAAACZYAAAAGoAAAAAxEaW1lbnNpb25bOF0GoQAAAAEqAXcAAABzAAAAAAmWAAAABqMAAAAMRGltZW5zaW9uWzddBqQAAAABKgF4AAAAcwAAAAAGpQAAADNUYWJsZS5DdXN0UGFja2luZ1NsaXBUcmFucy5TYWxlc0lkflRhYmxlLlNhbGVzVGFibGUGpgAAAAlDdXN0R3JvdXAGpwAAAAQhSUMqB3kAAAAAAQAAAAQAAAAEN0dsb2JlU29mdHdhcmUuQXRsYXM0MC5BdGxhc0NvbW1vbi5UeXBlLkZpZWxkT3V0cHV0RmllbGQOAAAACagAAAANAwR6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/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W////Mkdsb2JlU29mdHdhcmUuQXRsYXM0MC5BdGxhc0NvbW1vbi5Db2x1bW5BdHRyaWJ1dGVzAQAAAAd2YWx1ZV9fAAgOAAAAEAAAAAarAAAABE5vbmUBVP///1f///8BU////1b///8JAAAACSQAAAABUf///1f///8BUP///1b///8LAAAABrEAAAABMAFO////V////wFN////Vv///wQAAAAGtAAAAAdHZW5lcmFsAUv///9X////AUr///9W////AgAAAAa3AAAAATEBSP///1f///8BR////1b///8AAAAABroAAAAFMTcuNDMBfAAAAAwAAAAHf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F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rwAAAAIRm9udEJvbGQGvQAAAAVGYWxzZQFC////Rf///wa/AAAACkZvbnRJdGFsaWMJvQAAAAE/////Rf///wbCAAAADUZvbnRVbmRlcmxpbmUGwwAAAAUtNDE0MgE8////Rf///wbFAAAACEZvbnROYW1lBsYAAAAHQ2FsaWJyaQE5////Rf///wbIAAAACUZvbnRDb2xvcgbJAAAAATABNv///0X///8GywAAAAhGb250U2l6ZQbMAAAAAjExATP///9F////Bs4AAAAJRm9udFN0eWxlBs8AAAAHUmVndWxhcgd+AAAAAAEAAAAEAAAABDdHbG9iZVNvZnR3YXJlLkF0bGFzNDAuQXRsYXNDb21tb24uVHlwZS5GaWVsZE91dHB1dEZpZWxkDgAAAAnQAAAADQMBfwAAAHoAAAAHgAA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////9X////AS7///9W////CQAAAAkkAAAAASz///9X////ASv///9W////CwAAAAbWAAAAATEHggAAAAABAAAABAAAAAQ3R2xvYmVTb2Z0d2FyZS5BdGxhczQwLkF0bGFzQ29tbW9uLlR5cGUuRmllbGRPdXRwdXRGaWVsZA4AAAAJ1wAAAA0DB4Q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o////V////wEn////Vv///wkAAAAJJAAAAAEl////V////wEk////Vv///wsAAAAG3QAAAAEyASL///9X////ASH///9W////BAAAAAbgAAAAB0dlbmVyYWwBH////1f///8BHv///1b///8CAAAABuMAAAABMQEc////V////wEb////Vv///wAAAAAG5gAAAAYxNjQuNDMHh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///Rf///wm8AAAACb0AAAABFv///0X///8JvwAAAAm9AAAAARP///9F////CcIAAAAG7wAAAAUtNDE0MgEQ////Rf///wnFAAAABvIAAAAHQ2FsaWJyaQEN////Rf///wnIAAAABvUAAAABMAEK////Rf///wnLAAAABvgAAAACMTEBB////0X///8JzgAAAAb7AAAAB1JlZ3VsYXIHhwAAAAABAAAABAAAAAQ3R2xvYmVTb2Z0d2FyZS5BdGxhczQwLkF0bGFzQ29tbW9uLlR5cGUuRmllbGRPdXRwdXRGaWVsZA4AAAAJ/AAAAA0DB4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V////wEC////Vv///xAAAAAJqwAAAAEA////V////wH//v//Vv///wkAAAAJJAAAAAH9/v//V////wH8/v//Vv///wsAAAAGBQEAAAEzAfr+//9X////Afn+//9W////BAAAAAYIAQAAB0dlbmVyYWwB9/7//1f///8B9v7//1b///8CAAAABgsBAAABMQH0/v//V////wHz/v//Vv///wAAAAAGDgEAAAUxMS4yOQ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+//9F////CbwAAAAJvQAAAAHu/v//Rf///wm/AAAACb0AAAAB6/7//0X///8JwgAAAAYXAQAABS00MTQyAej+//9F////CcUAAAAGGgEAAAdDYWxpYnJpAeX+//9F////CcgAAAAGHQEAAAEwAeL+//9F////CcsAAAAGIAEAAAIxMQHf/v//Rf///wnOAAAABiMBAAAHUmVndWxhcgeMAAAAAAEAAAAEAAAABDdHbG9iZVNvZnR3YXJlLkF0bGFzNDAuQXRsYXNDb21tb24uVHlwZS5GaWVsZE91dHB1dEZpZWxkDgAAAAkkAQAADQMHj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+//9X////Adr+//9W////EAAAAAmrAAAAAdj+//9X////Adf+//9W////CQAAAAkkAAAAAdX+//9X////AdT+//9W////CwAAAAYtAQAAATQB0v7//1f///8B0f7//1b///8EAAAABjABAAAHR2VuZXJhbAHP/v//V////wHO/v//Vv///wIAAAAGMwEAAAExAcz+//9X////Acv+//9W////AAAAAAY2AQAAAjEwB5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7//0X///8JvAAAAAm9AAAAAcb+//9F////Cb8AAAAJvQAAAAHD/v//Rf///wnCAAAABj8BAAAFLTQxNDIBwP7//0X///8JxQAAAAZCAQAAB0NhbGlicmkBvf7//0X///8JyAAAAAZFAQAAATABuv7//0X///8JywAAAAZIAQAAAjExAbf+//9F////Cc4AAAAGSwEAAAdSZWd1bGFyB5EAAAAAAQAAAAQAAAAEN0dsb2JlU29mdHdhcmUuQXRsYXM0MC5BdGxhc0NvbW1vbi5UeXBlLkZpZWxkT3V0cHV0RmllbGQOAAAACUwBAAANAweT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/7//1f///8Bsv7//1b///8QAAAACasAAAABsP7//1f///8Br/7//1b///8JAAAACSQAAAABrf7//1f///8BrP7//1b///8LAAAABlUBAAABNQGq/v//V////wGp/v//Vv///wQAAAAGWAEAAAdHZW5lcmFsAaf+//9X////Aab+//9W////AgAAAAZbAQAAATEBpP7//1f///8Bo/7//1b///8AAAAABl4BAAAFMjAuMTQHl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v//Rf///wm8AAAACb0AAAABnv7//0X///8JvwAAAAm9AAAAAZv+//9F////CcIAAAAGZwEAAAUtNDE0MgGY/v//Rf///wnFAAAABmoBAAAHQ2FsaWJyaQGV/v//Rf///wnIAAAABm0BAAABMAGS/v//Rf///wnLAAAABnABAAACMTEBj/7//0X///8JzgAAAAZzAQAAB1JlZ3VsYXIFq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jP7//9r/////////AAZ1AQAABlN0cmluZwZ2AQAABEl0ZW0JdwEAAAGI/v//2P///wIAAAAFh/7//zlHbG9iZVNvZnR3YXJlLkF0bGFzNDAuQXRsYXNDb21tb24uTnVtYmVyU2VxdWVuY2VDb25kaXRpb24BAAAAB3ZhbHVlX18ACA4AAAABAAAAAAAGegEAABpUYWJsZS5DdXN0UGFja2luZ1NsaXBUcmFucwkhAAAACSQAAAAK/////wl6AQAACgkhAAAACgoKCSQAAAAJgAEAAAkkAAAAAdAAAACoAAAAAX7+///a/////////wAGgwEAAAZTdHJpbmcGhAEAAAlJdGVtIG5hbWUJhQEAAAF6/v//2P///wIAAAABef7//4f+//8BAAAAAAAGiAEAADNUYWJsZS5DdXN0UGFja2luZ1NsaXBUcmFucy5JdGVtSWR+VGFibGUuSW52ZW50VGFibGUJLwAAAAkkAAAACv////8JiAEAAAoJLwAAAAaNAQAABkl0ZW1JZAaOAQAAFEN1c3RQYWNraW5nU2xpcFRyYW5zCgkkAAAACZABAAAJJAAAAAHXAAAAqAAAAAFu/v//2v////////8ABpMBAAAGU3RyaW5nBpQBAAALRGVzY3JpcHRpb24JlQEAAAFq/v//2P///wIAAAABaf7//4f+//8BAAAAAAAGmAEAABpUYWJsZS5DdXN0UGFja2luZ1NsaXBUcmFucwk9AAAACSQAAAAK/////wmYAQAACgk9AAAACgoKCSQAAAAJngEAAAkkAAAAAfwAAACoAAAAAWD+///a/////////wAGoQEAAARSZWFsBqIBAAAJRGVsaXZlcmVkCXcBAAABXP7//9j///8CAAAAAVv+//+H/v//AQAAAAAACXoBAAAJSwAAAAkkAAAACv////8JegEAAAoJSwAAAAoKCgkkAAAACawBAAAJJAAAAAEkAQAAqAAAAAFS/v//2v////////8ABq8BAAAEUmVhbAawAQAAB09yZGVyZWQJdwEAAAFO/v//2P///wIAAAABTf7//4f+//8BAAAAAAAJegEAAAlZAAAACSQAAAAK/////wl6AQAACglZAAAACgoKCSQAAAAJugEAAAkkAAAAAUwBAACoAAAAAUT+///a/////////wAGvQEAAARSZWFsBr4BAAASUmVtYWluaW5nIHF1YW50aXR5CXcBAAABQP7//9j///8CAAAAAT/+//+H/v//AQAAAAAACXoBAAAJZwAAAAkkAAAACv////8JegEAAAoJZwAAAAoKCgkkAAAACcgBAAAJJAAAAAV3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BIAAAABsoBAAAUQ3VzdFBhY2tpbmdTbGlwVHJhbnMGywEAAB1DdXN0b21lciAtIFBhY2tpbmcgc2xpcCBsaW5lcwkkAAAACSQAAAAJJAAAAAUz/v//MEdsb2JlU29mdHdhcmUuQXRsYXM0MC5BdGxhc0NvbW1vbi5EYXRhU291cmNlVHlwZQEAAAAHdmFsdWVfXwAIDgAAAAAAAAAJzgEAAAnPAQAABDD+//8LU3lzdGVtLkd1aWQLAAAAAl9hAl9iAl9jAl9kAl9lAl9mAl9nAl9oAl9pAl9qAl9rAAAAAAAAAAAAAAAIBwcCAgICAgICAtmGVy3QSpNOiDs3qVZ3QuMJJAAAAAkkAAAACdIBAAAJegEAAAoKCgoKAQAAAAUs/v//NEdsb2JlU29mdHdhcmUuQXRsYXM0MC5BdGxhc0NvbW1vbi5EYXRhU291cmNlSm9pbk1vZGUBAAAAB3ZhbHVlX18ACA4AAAAAAAAABSv+//81R2xvYmVTb2Z0d2FyZS5BdGxhczQwLkF0bGFzQ29tbW9uLkRhdGFTb3VyY2VGZXRjaE1vZGUBAAAAB3ZhbHVlX18ACA4AAAAAAAAAAAnWAQAAAYABAAAgAAAAGQAAAAl8AAAAAwAAAAnYAQAAAYUBAAB3AQAA/////wbZAQAAC0ludmVudFRhYmxlBtoBAAAFSXRlbXMJJAAAAAkkAAAACSQAAAABJP7//zP+//8AAAAACd0BAAAJ3gEAAAEh/v//MP7//zJwWgxM0oVOj+iheHXSGqYJJAAAAAkkAAAACeEBAAAJiAEAAAbjAQAAFEN1c3RQYWNraW5nU2xpcFRyYW5zBuQBAAAaVGFibGUuQ3VzdFBhY2tpbmdTbGlwVHJhbnMG5QEAACFUYWJsZS5DdXN0UGFja2luZ1NsaXBUcmFucy5JdGVtSWQG5gEAAAZJdGVtSWQG5wEAAAZJdGVtSWQBAAAAARj+//8s/v//AAAAAAEX/v//K/7//wAAAAAACeoBAAABkAEAACAAAAACAAAACQwAAAADAAAACewBAAABlQEAAHcBAAD/////Bu0BAAAUQ3VzdFBhY2tpbmdTbGlwVHJhbnMG7gEAAB1DdXN0b21lciAtIFBhY2tpbmcgc2xpcCBsaW5lcwkkAAAACSQAAAAJJAAAAAEQ/v//M/7//wAAAAAJ8QEAAAnyAQAAAQ3+//8w/v//uENsFseU+02dOVUON8ovtgkkAAAACSQAAAAJ9QEAAAmYAQAACgoKCgoBAAAAAQn+//8s/v//AAAAAAEI/v//K/7//wAAAAAACfkBAAABngEAACAAAAAIAAAACQwAAAADAAAACfsBAAABrAEAACAAAAAZAAAACXwAAAADAAAACf0BAAABugEAACAAAAAZAAAACXwAAAADAAAACf8BAAAByAEAACAAAAAZAAAACXwAAAADAAAACQECAAAEzg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UAAAAJAgIAAAcAAAAJAwIAAATP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GAAAACQICAAAHAAAACQUCAAAE0g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AgIAAAMAAAAJBwIAAATW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IAgAAAAAAAAfY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f9//9F////BgoCAAAISGVscFRleHQGCwIAAA5JZGVudGlmeSBpdGVtLgH0/f//Rf///wYNAgAABUxhYmVsCXYBAAAB8f3//0X///8GEAIAAARUeXBlCXUBAAAB3QEAAM4BAAABAAAACQwAAAADAAAACRMCAAAE3g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AAAAAAAAAATh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DAAAAAAAAAAB6gEAANYBAAAAAAAACRUCAAAAAAAAB+w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v3//0X///8GFwIAAAVMYWJlbAmEAQAAAef9//9F////BhoCAAAEVHlwZQmDAQAAAfEBAADOAQAABwAAAAkcAgAABwAAAAkdAgAAAfIBAADPAQAABAAAAAkMAAAABwAAAAkfAgAAAfUBAADSAQAAAQAAAAkcAgAAAwAAAAkhAgAAAfkBAADWAQAAAAAAAAkiAgAAAAAAAAf7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39//9F////CRcCAAAJlAEAAAHa/f//Rf///wkaAgAACZMBAAAH/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f//Rf///wkKAgAABisCAAAkVG90YWwgcXVhbnRpdHkgb2YgdGhpcyBpdGVtIHJlbGVhc2VkAdT9//9F////CQ0CAAAJogEAAAHR/f//Rf///wkQAgAACaEBAAAH/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O/f//Rf///wkKAgAABjQCAAAQUXVhbnRpdHkgb3JkZXJlZAHL/f//Rf///wkNAgAACbABAAAByP3//0X///8JEAIAAAmvAQAABwE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3//0X///8JCgIAAAY9AgAASVJlbWFpbmluZyBxdWFudGl0eSBmb3IgdGhlIHNhbGVzIG9yZGVyIGxpbmUgbm90IHlldCBwYWNraW5nIHNsaXAgdXBkYXRlZC4Bwv3//0X///8JDQIAAAm+AQAAAb/9//9F////CRACAAAJvQEAAAECAgAADAAAAAcDAg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8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ZFAgAAKFRhYmxlLkN1c3RQYWNraW5nU2xpcFRyYW5zLlBhY2tpbmdTbGlwSWQJRgIAAAG5/f//vP3//wZIAgAAIVRhYmxlLkN1c3RQYWNraW5nU2xpcFRyYW5zLkl0ZW1JZAmoAAAAAbb9//+8/f//BksCAAAeVGFibGUuQ3VzdFBhY2tpbmdTbGlwVHJhbnMuUXR5CfwAAAABs/3//7z9//8GTgIAACJUYWJsZS5DdXN0UGFja2luZ1NsaXBUcmFucy5PcmRlcmVkCSQBAAABsP3//7z9//8GUQIAACFUYWJsZS5DdXN0UGFja2luZ1NsaXBUcmFucy5SZW1haW4JTAEAAAcFAgAAAAEAAAAG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rf3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ZUAgAAJVRhYmxlLkN1c3RQYWNraW5nU2xpcFRyYW5zLkRhdGFBcmVhSWQJVQIAAAGq/f//rf3//wZXAgAAIVRhYmxlLkN1c3RQYWNraW5nU2xpcFRyYW5zLkl0ZW1JZAlYAgAAAaf9//+t/f//BloCAAAoVGFibGUuQ3VzdFBhY2tpbmdTbGlwVHJhbnMuUGFja2luZ1NsaXBJZAlbAgAAAaT9//+t/f//Bl0CAAAnVGFibGUuQ3VzdFBhY2tpbmdTbGlwVHJhbnMuRGVsaXZlcnlEYXRlCV4CAAABof3//639//8GYAIAACdUYWJsZS5DdXN0UGFja2luZ1NsaXBUcmFucy5EaW1lbnNpb25bOF0JYQIAAAGe/f//rf3//wZjAgAAJ1RhYmxlLkN1c3RQYWNraW5nU2xpcFRyYW5zLkRpbWVuc2lvbls3XQlkAgAABwcC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Jv9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aUAAAAJZwIAAAQI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EwI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mP3//7z9//8GaQIAADxUYWJsZS5DdXN0UGFja2luZ1NsaXBUcmFucy5JdGVtSWR+VGFibGUuSW52ZW50VGFibGUuSXRlbU5hbWUJ0AAAAAEVAgAACAIAAAEcAgAADAAAAAcdAg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V/f//vP3//wZsAgAAIVRhYmxlLkN1c3RQYWNraW5nU2xpcFRyYW5zLkl0ZW1JZAmoAAAAAZL9//+8/f//Bm8CAAAeVGFibGUuQ3VzdFBhY2tpbmdTbGlwVHJhbnMuUXR5CfwAAAABj/3//7z9//8GcgIAACJUYWJsZS5DdXN0UGFja2luZ1NsaXBUcmFucy5PcmRlcmVkCSQBAAABjP3//7z9//8GdQIAACFUYWJsZS5DdXN0UGFja2luZ1NsaXBUcmFucy5SZW1haW4JTAEAAAGJ/f//vP3//wZ4AgAAH1RhYmxlLkN1c3RQYWNraW5nU2xpcFRyYW5zLk5hbWUJ1wAAAAcfAg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hv3//639//8GewIAACFUYWJsZS5DdXN0UGFja2luZ1NsaXBUcmFucy5JdGVtSWQJfAIAAAGD/f//rf3//wZ+AgAAJ1RhYmxlLkN1c3RQYWNraW5nU2xpcFRyYW5zLkRlbGl2ZXJ5RGF0ZQl/AgAAAYD9//+t/f//BoECAAAnVGFibGUuQ3VzdFBhY2tpbmdTbGlwVHJhbnMuRGltZW5zaW9uWzhdCYICAAABff3//639//8GhAIAACdUYWJsZS5DdXN0UGFja2luZ1NsaXBUcmFucy5EaW1lbnNpb25bN10JhQIAAAch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6/f//m/3//wmlAAAACWcCAAABIgIAAAgCAAABRgIAAKgAAAABd/3//9r/////////AAaKAgAABlN0cmluZwaLAgAADFBhY2tpbmcgc2xpcAl3AQAAAXP9///Y////AgAAAAFy/f//h/7//wEAAAAAAAl6AQAABpACAAANUGFja2luZ1NsaXBJZAkkAAAACv////8JegEAAAoJkAIAAAoKCgkkAAAACZUCAAAJJAAAAAVVA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egEAAAaYAgAACkRhdGFBcmVhSWQJJAAAAAkkAAAA/////wl6AQAACgmYAgAACgoKCSQAAAAJnQIAAAkkAAAAAVgCAABVAgAACXoBAAAGoAIAAAZJdGVtSWQJJAAAAAkkAAAA/////wl6AQAACgmgAgAACgoKCSQAAAAJpQIAAAkkAAAAAVsCAABVAgAACXoBAAAGqAIAAA1QYWNraW5nU2xpcElkCSQAAAAJJAAAAP////8JegEAAAoJqAIAAAoKCgkkAAAACa0CAAAJJAAAAAFeAgAAVQIAAAl6AQAACZ0AAAAJJAAAAAkkAAAA/////wl6AQAACgmdAAAACgoKCSQAAAAJtQIAAAkkAAAAAWECAABVAgAACXoBAAAGuAIAAAxEaW1lbnNpb25bOF0JJAAAAAkkAAAA/////wl6AQAACgm4AgAACgoKCSQAAAAJvQIAAAkkAAAAAWQCAABVAgAACXoBAAAGwAIAAAxEaW1lbnNpb25bN10JJAAAAAkkAAAA/////wl6AQAACgnAAgAACgoKCSQAAAAJxQIAAAkkAAAAAWcCAAB3AQAA/////wbHAgAAClNhbGVzVGFibGUGyAIAAAxTYWxlcyBvcmRlcnMJJAAAAAkkAAAACSQAAAABNv3//zP+//8AAAAACcsCAAAJzAIAAAEz/f//MP7//z7Q2GxdJftBloNw0dZCYJ0JJAAAAAkkAAAACc8CAAAJpQAAAAbRAgAAFEN1c3RQYWNraW5nU2xpcFRyYW5zBtICAAAaVGFibGUuQ3VzdFBhY2tpbmdTbGlwVHJhbnMG0wIAACJUYWJsZS5DdXN0UGFja2luZ1NsaXBUcmFucy5TYWxlc0lkBtQCAAAHU2FsZXNJZAbVAgAAB1NhbGVzSWQBAAAAASr9//8s/v//AAAAAAEp/f//K/7//wAAAAAACdgCAAABfAIAAFUCAAAG2QIAABpUYWJsZS5DdXN0UGFja2luZ1NsaXBUcmFucwmaAAAACSQAAAAJmwAAAP////8J2QIAAAoJmgAAAAoKCgkkAAAACeACAAAJJAAAAAF/AgAAVQIAAAnZAgAACZ0AAAAJJAAAAAmeAAAA/////wnZAgAACgmdAAAACgoKCSQAAAAJ6QIAAAkkAAAAAYICAABVAgAACdkCAAAJoAAAAAkkAAAACaEAAAD/////CdkCAAAKCaAAAAAKCgoJJAAAAAnyAgAACSQAAAABhQIAAFUCAAAJ2QIAAAmjAAAACSQAAAAJpAAAAP////8J2QIAAAoJowAAAAoKCgkkAAAACfsCAAAJJAAAAAGVAgAAIAAAABEAAAAJfAAAAAMAAAAJ/gIAAASd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Sl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St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S1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S9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T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TL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fAAAAAAAAAABzAIAAM8BAAABAAAACQwAAAADAAAACQEDAAAEzw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wAAAAAAAAAAdgCAADWAQAAAAAAAAkDAwAAAAAAAAHgAgAAIAAAABMAAAAJDAAAAAMAAAAJBQMAAAHpAgAAIAAAABMAAAAJDAAAAAMAAAAJBwMAAAHyAgAAIAAAABMAAAAJDAAAAAMAAAAJCQMAAAH7AgAAIAAAABMAAAAJDAAAAAMAAAAJCwMAAAf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T8//9F////CQoCAAAGDgMAACNJZGVudGlmaWNhdGlvbiBvZiB0aGUgcGFja2luZyBzbGlwLgHx/P//Rf///wkNAgAACYsCAAAB7vz//0X///8JEAIAAAmKAgAABwED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r/P//rf3//wYWAwAAPVRhYmxlLkN1c3RQYWNraW5nU2xpcFRyYW5zLlNhbGVzSWR+VGFibGUuU2FsZXNUYWJsZS5DdXN0R3JvdXAJFwMAAAEDAwAACAIAAAcF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j8//9F////CRoCAAAJdQEAAAHl/P//Rf///wkXAgAACXYBAAAB4vz//0X///8GHwMAAAhSZWZlcnNUbwYgAwAACz1JdGVtTnVtYmVyBw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z//0X///8JGgIAAAYjAwAABERhdGUB3Pz//0X///8JFwIAAAYmAwAACVNoaXAgZGF0ZQHZ/P//Rf///wkfAwAABikDAAALPURhdGVQZXJpb2QHC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P//Rf///wkaAgAABiwDAAAGU3RyaW5nAdP8//9F////CRcCAAAGLwMAABZEZXRhaWwgTWFya2V0aW5nIEdyb3VwAdD8//9F////CR8DAAAGMgMAAAQ9RE1HBw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0X///8JGgIAAAksAwAAAcr8//9F////CRcCAAAGOAMAABVNYWpvciBNYXJrZXRpbmcgR3JvdXABx/z//0X///8JHwMAAAY7AwAABD1NTUcBFwMAAFUCAAAJpQAAAAmmAAAACSQAAAAJpwAAAP////8JpQAAAAoJpgAAAAZCAwAAB1NhbGVzSWQKCgkkAAAACUQDAAAJJAAAAAFEAwAAIAAAABMAAAAJDAAAAAMAAAAJRwMAAAdH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8//9F////CRoCAAAGSgMAAAZTdHJpbmcBtfz//0X///8JFwIAAAZNAwAADkN1c3RvbWVyIGdyb3VwAbL8//9F////CR8DAAAGUAMAAAo9Q3VzdEdyb3VwCw==</Report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FAAAAB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0DDBk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QAAAAgCAAAABhoAAAAVQXRsYXNSZXBvcnRfMV9UYWJsZV8xCRs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kAAAAICAkcAAAABgAAAAY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QAAAAkeAAAACR8AAAAGIAAAAA1QYWNraW5nU2xpcElkBiEAAAAMUGFja2luZyBzbGlwBiIAAAAGU3RyaW5nBiMAAAAABiQAAAAkNzM3MjAyOTYtM2I4Ny00ZDdjLTgzYTQtODY4MmFkYTE0OGE3Bdv///8tR2xvYmVTb2Z0d2FyZS5BdGxhczQwLkF0bGFzQ29tbW9uLkFnZ3JlZ2F0aW9uAQAAAAd2YWx1ZV9fAAgOAAAA/////wAAAAAF2v///yxHbG9iZVNvZnR3YXJlLkF0bGFzNDAuQXRsYXNDb21tb24uQ29sdW1uVHlwZQEAAAAHdmFsdWVfXwAIDgAAAAAAAAAF2f///ytHbG9iZVNvZnR3YXJlLkF0bGFzNDAuQXRsYXNDb21tb24uU29ydE9yZGVyAQAAAAd2YWx1ZV9fAAgOAAAAAgAAAAAAAAAABdj///9AR2xvYmVTb2Z0d2FyZS5BdGxhczQwLkF0bGFzQ29tbW9uLlR5cGUuQ29sdW1uK0Nyb3NzVGFiQ29sdW1uVHlwZQEAAAAHdmFsdWVfXwAIDgAAAAAAAAAKAQAAAAAAAAAAAAAAAAAGKQAAACQ5ODY0MGYwZi1mZjdhLTQxNTAtOThlZC02ZjA5Mjc2YzY2NjUJIwAAAAoKCgoBFQAAABQAAAAJKwAAAAksAAAACS0AAAAGLgAAAAZJdGVtSWQGLwAAAARJdGVtBjAAAAAGU3RyaW5nCSMAAAAGMgAAACQwNDU2NDIyMi1kMmE2LTRlN2ItOGU1My01N2JhMWE3YjJmMjMBzf///9v/////////AQAAAAHM////2v///wAAAAABy////9n///8CAAAAAAAAAAAByv///9j///8AAAAACgEAAAAAAAAAAAEAAAAABjcAAAAkNjQwMWE2NWMtYWNkMi00OWI0LWIzNGQtMDgzNDM0OTI4ODlhCSMAAAAKCgoKARYAAAAUAAAACTkAAAAJOgAAAAk7AAAABjwAAAADUXR5Bj0AAAAJRGVsaXZlcmVkBj4AAAAEUmVhbAkjAAAABkAAAAAkYjUyYWM1Y2MtODA5ZS00YmM0LTgzZjUtYWI0MTE0MjI1OWM0Ab/////b////AQAAAAIAAAABvv///9r///8AAAAAAb3////Z////AgAAAAAAAAAAAbz////Y////AAAAAAoBAAAAAAAAAAACAAAAAAZFAAAAJDNhZmY1ZDljLTNjNzUtNGU2NS04MThjLWFiMDkxODZmOGQwZAkjAAAACgoKCgEXAAAAFAAAAAlHAAAACUgAAAAJSQAAAAZKAAAAB09yZGVyZWQGSwAAAAdPcmRlcmVkBkwAAAAEUmVhbAkjAAAABk4AAAAkNjc2N2EyZmUtMWU4NS00YzI1LWI2ZDAtNTJhMmU3ODQ2MzJjAbH////b////AQAAAAMAAAABsP///9r///8AAAAAAa/////Z////AgAAAAAAAAAAAa7////Y////AAAAAAoBAAAAAAAAAAADAAAAAAZTAAAAJDU1NmMyNzNlLWJiMjktNGQxYy05NTkzLTNhMTVhZDhhZjQ5NwkjAAAACgoKCgEYAAAAFAAAAAlVAAAACVYAAAAJVwAAAAZYAAAABlJlbWFpbgZZAAAAElJlbWFpbmluZyBxdWFudGl0eQZaAAAABFJlYWwJIwAAAAZcAAAAJDI2ODZiNGZjLTBjOWQtNDNhZS1hOTdmLWFmODJhMzMwOWViZQGj////2////wEAAAAEAAAAAaL////a////AAAAAAGh////2f///wIAAAAAAAAAAAGg////2P///wAAAAAKAQAAAAAAAAAABAAAAAAGYQAAACQwODQ3YTIyYi0zOGE1LTQ3N2YtYmQ4Yi0yNDU4MzViNzczYzMJIwAAAAoKCgoFGwAAADhHbG9iZVNvZnR3YXJlLkF0bGFzNDAuQXRsYXNDb21tb25DbGllbnQuUmVwb3J0LlJlZmVyZW5jZQEAAAAKX3JlZmVyZW5jZQcIGQAAAAljAAAABxwAAAAAAQAAAAgAAAAEPEdsb2JlU29mdHdhcmUuQXRsYXM0MC5BdGxhc0NvbW1vbkNsaWVudC5EYXRhU291cmNlRmllbGRWYWx1ZRkAAAAJZAAAAAllAAAACWYAAAAJZwAAAAloAAAACWkAAAANAgQd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qAAAAAQAAAAEAAAAEH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FAAAACWsAAAAHAAAACWwAAAAEH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DAAAAAAAAAABKwAAAB0AAAAJbgAAAAEAAAABAAAAASwAAAAeAAAABAAAAAlrAAAAAwAAAAlwAAAAAS0AAAAfAAAAAAAAAAkMAAAAAAAAAAE5AAAAHQAAAAlyAAAAAQAAAAEAAAABOgAAAB4AAAAEAAAACWsAAAADAAAACXQAAAABOwAAAB8AAAAAAAAACQwAAAAAAAAAAUcAAAAdAAAACXYAAAABAAAAAQAAAAFIAAAAHgAAAAQAAAAJawAAAAMAAAAJeAAAAAFJAAAAHwAAAAAAAAAJDAAAAAAAAAABVQAAAB0AAAAJegAAAAEAAAABAAAAAVYAAAAeAAAABAAAAAlrAAAAAwAAAAl8AAAAAVcAAAAfAAAAAAAAAAkMAAAAAAAAAA9jAAAAAQAAAAgBAAAABWQAAAA8R2xvYmVTb2Z0d2FyZS5BdGxhczQwLkF0bGFzQ29tbW9uQ2xpZW50LkRhdGFTb3VyY2VGaWVsZFZhbHVlBAAAABJfaXNEcmlsbERvd25GaWx0ZXIGX2RzS2V5Cl9maWVsZG5hbWULX2ZpZWxkVmFsdWUAAQEBARkAAAAABn4AAAAaVGFibGUuQ3VzdFBhY2tpbmdTbGlwVHJhbnMGfwAAAApEYXRhQXJlYUlkCQYAAAABZQAAAGQAAAAACX4AAAAGggAAAAZJdGVtSWQGgwAAAAEqAWYAAABkAAAAAAl+AAAABoUAAAAMRGVsaXZlcnlEYXRlBoYAAAAVMS4xLjIwMjEgLi4gMi4yOC4yMDIxAWcAAABkAAAAAAl+AAAABogAAAAMRGltZW5zaW9uWzhdCSMAAAABaAAAAGQAAAAACX4AAAAGiwAAAAxEaW1lbnNpb25bN10GjAAAAAEqAWkAAABkAAAAAAaNAAAAM1RhYmxlLkN1c3RQYWNraW5nU2xpcFRyYW5zLlNhbGVzSWR+VGFibGUuU2FsZXNUYWJsZQaOAAAACUN1c3RHcm91cAaPAAAABCFJQyoHagAAAAABAAAABAAAAAQ3R2xvYmVTb2Z0d2FyZS5BdGxhczQwLkF0bGFzQ29tbW9uLlR5cGUuRmllbGRPdXRwdXRGaWVsZA4AAAAJkAAAAA0DBGs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2wAAAAAAQAAAAQ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v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W7///8yR2xvYmVTb2Z0d2FyZS5BdGxhczQwLkF0bGFzQ29tbW9uLkNvbHVtbkF0dHJpYnV0ZXMBAAAAB3ZhbHVlX18ACA4AAAAGAAAABpMAAAAFVG90YWwBbP///2////8Ba////27///8QAAAABpYAAAAETm9uZQFp////b////wFo////bv///wkAAAAJIwAAAAFm////b////wFl////bv///wsAAAAGnAAAAAEwB24AAAAAAQAAAAQAAAAEN0dsb2JlU29mdHdhcmUuQXRsYXM0MC5BdGxhc0NvbW1vbi5UeXBlLkZpZWxkT3V0cHV0RmllbGQOAAAACZ0AAAANAwdw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v///2////8BYf///27///8QAAAACZYAAAABX////2////8BXv///27///8JAAAACSMAAAABXP///2////8BW////27///8LAAAABqYAAAABMQdyAAAAAAEAAAAEAAAABDdHbG9iZVNvZnR3YXJlLkF0bGFzNDAuQXRsYXNDb21tb24uVHlwZS5GaWVsZE91dHB1dEZpZWxkDgAAAAmnAAAADQMHdA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j///9v////AVf///9u////EAAAAAmWAAAAAVX///9v////AVT///9u////CQAAAAkjAAAAAVL///9v////AVH///9u////CwAAAAawAAAAATIHdgAAAAABAAAABAAAAAQ3R2xvYmVTb2Z0d2FyZS5BdGxhczQwLkF0bGFzQ29tbW9uLlR5cGUuRmllbGRPdXRwdXRGaWVsZA4AAAAJsQAAAA0DB3g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////b////wFN////bv///xAAAAAJlgAAAAFL////b////wFK////bv///wkAAAAJIwAAAAFI////b////wFH////bv///wsAAAAGugAAAAEzB3oAAAAAAQAAAAQAAAAEN0dsb2JlU29mdHdhcmUuQXRsYXM0MC5BdGxhc0NvbW1vbi5UeXBlLkZpZWxkT3V0cHV0RmllbGQOAAAACbsAAAANAwd8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///2////8BQ////27///8QAAAACZYAAAABQf///2////8BQP///27///8JAAAACSMAAAABPv///2////8BPf///27///8LAAAABsQAAAABNAWQ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7////2/////////8ABsYAAAAGU3RyaW5nBscAAAAMUGFja2luZyBzbGlwCcgAAAABN////9n///8CAAAABTb///85R2xvYmVTb2Z0d2FyZS5BdGxhczQwLkF0bGFzQ29tbW9uLk51bWJlclNlcXVlbmNlQ29uZGl0aW9uAQAAAAd2YWx1ZV9fAAgOAAAAAQAAAAAABssAAAAaVGFibGUuQ3VzdFBhY2tpbmdTbGlwVHJhbnMJIAAAAAkjAAAACv////8JywAAAAoJIAAAAAoKCgkjAAAACdEAAAAJIwAAAAGdAAAAkAAAAAEt////2/////////8ABtQAAAAGU3RyaW5nBtUAAAAESXRlbQnIAAAAASn////Z////AgAAAAEo////Nv///wEAAAAAAAnLAAAACS4AAAAJIwAAAAr/////CcsAAAAKCS4AAAAKCgoJIwAAAAnfAAAACSMAAAABpwAAAJAAAAABH////9v/////////AAbiAAAABFJlYWwG4wAAAAlEZWxpdmVyZWQJyAAAAAEb////2f///wIAAAABGv///zb///8BAAAAAAAJywAAAAk8AAAACSMAAAAK/////wnLAAAACgk8AAAACgoKCSMAAAAJ7QAAAAkjAAAAAbEAAACQAAAAARH////b/////////wAG8AAAAARSZWFsBvEAAAAHT3JkZXJlZAnIAAAAAQ3////Z////AgAAAAEM////Nv///wEAAAAAAAnLAAAACUoAAAAJIwAAAAr/////CcsAAAAKCUoAAAAKCgoJIwAAAAn7AAAACSMAAAABuwAAAJAAAAABA////9v/////////AAb+AAAABFJlYWwG/wAAABJSZW1haW5pbmcgcXVhbnRpdHkJyAAAAAH//v//2f///wIAAAAB/v7//zb///8BAAAAAAAJywAAAAlYAAAACSMAAAAK/////wnLAAAACglYAAAACgoKCSMAAAAJCQEAAAkjAAAABcg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EgAAAAGCwEAABRDdXN0UGFja2luZ1NsaXBUcmFucwYMAQAAHUN1c3RvbWVyIC0gUGFja2luZyBzbGlwIGxpbmVzCSMAAAAJIwAAAAkjAAAABfL+//8wR2xvYmVTb2Z0d2FyZS5BdGxhczQwLkF0bGFzQ29tbW9uLkRhdGFTb3VyY2VUeXBlAQAAAAd2YWx1ZV9fAAgOAAAAAAAAAAkPAQAACRABAAAE7/7//wtTeXN0ZW0uR3VpZAsAAAACX2ECX2ICX2MCX2QCX2UCX2YCX2cCX2gCX2kCX2oCX2sAAAAAAAAAAAAAAAgHBwICAgICAgIC2YZXLdBKk06IOzepVndC4wkjAAAACSMAAAAJEwEAAAnLAAAACgoKCgoBAAAABev+//80R2xvYmVTb2Z0d2FyZS5BdGxhczQwLkF0bGFzQ29tbW9uLkRhdGFTb3VyY2VKb2luTW9kZQEAAAAHdmFsdWVfXwAIDgAAAAAAAAAF6v7//zVHbG9iZVNvZnR3YXJlLkF0bGFzNDAuQXRsYXNDb21tb24uRGF0YVNvdXJjZUZldGNoTW9kZQEAAAAHdmFsdWVfXwAIDgAAAAAAAAAACRcBAAAE0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RkBAAAE3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RsBAAAE7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R0BAAAE+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R8BAAAEC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SEBAAAEDw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UAAAAJIgEAAAcAAAAJIwEAAAQQ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GAAAACSIBAAAHAAAACSUBAAAEEw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IgEAAAMAAAAJJwEAAAQX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oAQAAAAAAAAcZ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Nf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KgEAAAhIZWxwVGV4dAYrAQAAI0lkZW50aWZpY2F0aW9uIG9mIHRoZSBwYWNraW5nIHNsaXAuAdT+///X/v//Bi0BAAAFTGFiZWwJxwAAAAHR/v//1/7//wYwAQAABFR5cGUJxgAAAAcb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7+///X/v//CSoBAAAGNAEAAA5JZGVudGlmeSBpdGVtLgHL/v//1/7//wktAQAACdUAAAAByP7//9f+//8JMAEAAAnUAAAABx0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7//9f+//8JKgEAAAY9AQAAJFRvdGFsIHF1YW50aXR5IG9mIHRoaXMgaXRlbSByZWxlYXNlZAHC/v//1/7//wktAQAACeMAAAABv/7//9f+//8JMAEAAAniAAAABx8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7//9f+//8JKgEAAAZGAQAAEFF1YW50aXR5IG9yZGVyZWQBuf7//9f+//8JLQEAAAnxAAAAAbb+///X/v//CTABAAAJ8AAAAAch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+///X/v//CSoBAAAGTwEAAElSZW1haW5pbmcgcXVhbnRpdHkgZm9yIHRoZSBzYWxlcyBvcmRlciBsaW5lIG5vdCB5ZXQgcGFja2luZyBzbGlwIHVwZGF0ZWQuAbD+///X/v//CS0BAAAJ/wAAAAGt/v//1/7//wkwAQAACf4AAAABIgEAAAwAAAAHIwE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qv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VwEAAChUYWJsZS5DdXN0UGFja2luZ1NsaXBUcmFucy5QYWNraW5nU2xpcElkCZAAAAABp/7//6r+//8GWgEAACFUYWJsZS5DdXN0UGFja2luZ1NsaXBUcmFucy5JdGVtSWQJnQAAAAGk/v//qv7//wZdAQAAHlRhYmxlLkN1c3RQYWNraW5nU2xpcFRyYW5zLlF0eQmnAAAAAaH+//+q/v//BmABAAAiVGFibGUuQ3VzdFBhY2tpbmdTbGlwVHJhbnMuT3JkZXJlZAmxAAAAAZ7+//+q/v//BmMBAAAhVGFibGUuQ3VzdFBhY2tpbmdTbGlwVHJhbnMuUmVtYWluCbsAAAAHJQE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Jv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ZgEAACVUYWJsZS5DdXN0UGFja2luZ1NsaXBUcmFucy5EYXRhQXJlYUlkCWcBAAABmP7//5v+//8GaQEAACFUYWJsZS5DdXN0UGFja2luZ1NsaXBUcmFucy5JdGVtSWQJagEAAAGV/v//m/7//wZsAQAAKFRhYmxlLkN1c3RQYWNraW5nU2xpcFRyYW5zLlBhY2tpbmdTbGlwSWQJbQEAAAGS/v//m/7//wZvAQAAJ1RhYmxlLkN1c3RQYWNraW5nU2xpcFRyYW5zLkRlbGl2ZXJ5RGF0ZQlwAQAAAY/+//+b/v//BnIBAAAnVGFibGUuQ3VzdFBhY2tpbmdTbGlwVHJhbnMuRGltZW5zaW9uWzhdCXMBAAABjP7//5v+//8GdQEAACdUYWJsZS5DdXN0UGFja2luZ1NsaXBUcmFucy5EaW1lbnNpb25bN10JdgEAAAcn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SJ/v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mNAAAACXkBAAAEKA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Wc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nLAAAABnsBAAAKRGF0YUFyZWFJZAkjAAAACSMAAAD/////CcsAAAAKCXsBAAAKCgoJIwAAAAmAAQAACSMAAAABagEAAGcBAAAJywAAAAaDAQAABkl0ZW1JZAkjAAAACSMAAAD/////CcsAAAAKCYMBAAAKCgoJIwAAAAmIAQAACSMAAAABbQEAAGcBAAAJywAAAAaLAQAADVBhY2tpbmdTbGlwSWQJIwAAAAkjAAAA/////wnLAAAACgmLAQAACgoKCSMAAAAJkAEAAAkjAAAAAXABAABnAQAACcsAAAAJhQAAAAkjAAAACSMAAAD/////CcsAAAAKCYUAAAAKCgoJIwAAAAmYAQAACSMAAAABcwEAAGcBAAAJywAAAAmIAAAACSMAAAAJIwAAAP////8JywAAAAoJiAAAAAoKCgkjAAAACaABAAAJIwAAAAF2AQAAZwEAAAnLAAAACYsAAAAJIwAAAAkjAAAA/////wnLAAAACgmLAAAACgoKCSMAAAAJqAEAAAkjAAAAAXkBAADIAAAA/////waqAQAAClNhbGVzVGFibGUGqwEAAAxTYWxlcyBvcmRlcnMJIwAAAAkjAAAACSMAAAABU/7///L+//8AAAAACa4BAAAJrwEAAAFQ/v//7/7//z7Q2GxdJftBloNw0dZCYJ0JIwAAAAkjAAAACbIBAAAJjQAAAAa0AQAAFEN1c3RQYWNraW5nU2xpcFRyYW5zBrUBAAAaVGFibGUuQ3VzdFBhY2tpbmdTbGlwVHJhbnMGtgEAACJUYWJsZS5DdXN0UGFja2luZ1NsaXBUcmFucy5TYWxlc0lkBrcBAAAHU2FsZXNJZAa4AQAAB1NhbGVzSWQBAAAAAUf+///r/v//AAAAAAFG/v//6v7//wAAAAAACbsBAAABgAEAAB8AAAAAAAAACQwAAAAAAAAAAYgBAAAfAAAAAAAAAAkMAAAAAAAAAAGQAQAAHwAAAAAAAAAJDAAAAAAAAAABmAEAAB8AAAAAAAAACQwAAAAAAAAAAaABAAAfAAAAAAAAAAkMAAAAAAAAAAGoAQAAHwAAAAAAAAAJDAAAAAAAAAAErg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wAAAAAAAAAAa8BAAAQAQAAAQAAAAkMAAAAAwAAAAm9AQAABLI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AAAAAAAAAAG7AQAAFwEAAAAAAAAJvwEAAAAAAAAHv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D+//+b/v//BsEBAAA9VGFibGUuQ3VzdFBhY2tpbmdTbGlwVHJhbnMuU2FsZXNJZH5UYWJsZS5TYWxlc1RhYmxlLkN1c3RHcm91cAnCAQAAAb8BAAAoAQAAAcIBAABnAQAACY0AAAAJjgAAAAkjAAAACY8AAAD/////CY0AAAAKCY4AAAAGyQEAAAdTYWxlc0lkCgoJIwAAAAnLAQAACSMAAAAEy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c4BAAAHz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v//1/7//wkwAQAABtEBAAAGU3RyaW5nAS7+///X/v//CS0BAAAG1AEAAA5DdXN0b21lciBncm91cAEr/v//1/7//wbWAQAACFJlZmVyc1RvBtcBAAAKPUN1c3RHcm91cAs=</Report>
</Atlas>
</file>

<file path=customXml/item3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NV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BwAAAAc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pEYXRhQXJlYUlkBiMAAAAQQ29tcGFueSBhY2NvdW50cwYkAAAABlN0cmluZwYlAAAAAAYmAAAAJGVhMjQ0YTIzLWM1YzEtNDY4Ni05ODFlLTZhMDdhM2M2N2Y5OA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N2U4YTJkNTUtOTNkOC00NzJkLWFmY2ItMTAxN2JlNWM5ZjU2BiwAAAAlVGFibGUuQ3VzdFBhY2tpbmdTbGlwVHJhbnMuRGF0YUFyZWFJZAoKCgoBFQAAABQAAAAJLQAAAAkuAAAACS8AAAAGMAAAAAZJdGVtSWQGMQAAAARJdGVtBjIAAAAGU3RyaW5nCSUAAAAGNAAAACQwNDU2NDIyMi1kMmE2LTRlN2ItOGU1My01N2JhMWE3YjJmMjMBy////9n/////////AQAAAAHK////2P///wAAAAAByf///9f///8CAAAAAAAAAAAByP///9b///8AAAAACgEAAAAAAAAAAAEAAAAABjkAAAAkNjQwMWE2NWMtYWNkMi00OWI0LWIzNGQtMDgzNDM0OTI4ODlhBjoAAAAhVGFibGUuQ3VzdFBhY2tpbmdTbGlwVHJhbnMuSXRlbUlkCgoKCgEWAAAAFAAAAAk7AAAACTwAAAAJPQAAAAY+AAAACEl0ZW1OYW1lBj8AAAAJSXRlbSBuYW1lBkAAAAAGU3RyaW5nCSUAAAAGQgAAACRiODMyZTczMi01MDViLTQ1MDEtOGFhNS01NzdkMTBmNWNkYTIBvf///9n/////////AgAAAAG8////2P///wAAAAABu////9f///8CAAAAAAAAAAABuv///9b///8AAAAACgEAAAAAAAAAAAIAAAAABkcAAAAkYzIzYjA3MWUtZjhlYS00MmEyLWIxODItY2Q1ZWQ1ZTU2NjZkBkgAAAA8VGFibGUuQ3VzdFBhY2tpbmdTbGlwVHJhbnMuSXRlbUlkflRhYmxlLkludmVudFRhYmxlLkl0ZW1OYW1lCgoKCgEXAAAAFAAAAAlJAAAACUoAAAAJSwAAAAZMAAAAA1F0eQZNAAAACURlbGl2ZXJlZAZOAAAABFJlYWwJJQAAAAZQAAAAJGI1MmFjNWNjLTgwOWUtNGJjNC04M2Y1LWFiNDExNDIyNTljNAGv////2f///wEAAAADAAAAAa7////Y////AAAAAAGt////1////wIAAAAAAAAAAAGs////1v///wAAAAAKAQAAAAAAAAAAAwAAAAAGVQAAACQzYWZmNWQ5Yy0zYzc1LTRlNjUtODE4Yy1hYjA5MTg2ZjhkMGQGVgAAAB5UYWJsZS5DdXN0UGFja2luZ1NsaXBUcmFucy5RdHkKCgoKARgAAAAUAAAACVcAAAAJWAAAAAlZAAAABloAAAAJU2FsZXNVbml0BlsAAAAKU2FsZXMgdW5pdAZcAAAABlN0cmluZwklAAAABl4AAAAkZjI0YWIxNjYtYjFjYy00ZTk3LTgwZTItN2YxZTc4MTQ4OTllAaH////Z/////////wQAAAABoP///9j///8AAAAAAZ/////X////AgAAAAAAAAAAAZ7////W////AAAAAAoBAAAAAAAAAAAEAAAAAAZjAAAAJDFkMTgwNGVmLTg1MWItNGI5YS1iYzY4LTY4MzhjNjQxYjA4MAZkAAAAJFRhYmxlLkN1c3RQYWNraW5nU2xpcFRyYW5zLlNhbGVzVW5pdAoKCgoBGQAAABQAAAAJZQAAAAlmAAAACWcAAAAGaAAAADdBdGxhc01hbmFnZWRDb2x1bW5fNmRmN2JjZmYtYjVhYy00YWRhLTg0YzItZTYzYzdlNDIyYjg3BmkAAAAUSW52ZW50IHF0eSBkZWxpdmVyZWQJJQAAAAklAAAABmsAAAAkYTc1MGM5YWMtYmMyNi00OGEyLThlNzYtN2M3YjgxMDE2YTY5AZT////Z/////////wUAAAABk////9j///8CAAAAAZL////X////AgAAAAAAAAAAAZH////W////AAAAAAoBAAAAAAAAAAAFAAAAAAZwAAAAJGZhYmI1YjIyLWJkNWQtNGYyNS1iOWNlLWYxMGVhMWE2ZDlhNAklAAAACgoKCgEaAAAAFAAAAAlyAAAACXMAAAAJdAAAAAZ1AAAABlVuaXRJZAZ2AAAAC0ludmVudCB1bml0BncAAAAGU3RyaW5nCSUAAAAGeQAAACQ2YjJiMDA2ZS02M2E3LTQxYzctOGYxYS0zNTExYjEyYjlkODIBhv///9n/////////BgAAAAGF////2P///wAAAAABhP///9f///8CAAAAAAAAAAABg////9b///8AAAAACgEAAAAAAAAAAAYAAAAABn4AAAAkZTU2NDJiYjItOThjZC00MGJlLTkzNjgtNjY0NTkwZDNmNDgyBn8AAABAVGFibGUuQ3VzdFBhY2tpbmdTbGlwVHJhbnMuSXRlbUlkflRhYmxlLkludmVudFRhYmxlTW9kdWxlLlVuaXRJZAoKCgoFHQAAADhHbG9iZVNvZnR3YXJlLkF0bGFzNDAuQXRsYXNDb21tb25DbGllbnQuUmVwb3J0LlJlZmVyZW5jZQEAAAAKX3JlZmVyZW5jZQcIGwAAAAmAAAAABx4AAAAAAQAAAAgAAAAEPEdsb2JlU29mdHdhcmUuQXRsYXM0MC5BdGxhc0NvbW1vbkNsaWVudC5EYXRhU291cmNlRmllbGRWYWx1ZRsAAAAJgQAAAAmCAAAACYMAAAAJhAAAAAmFAAAACYYAAAAJhwAAAAoEH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iAAAAAEAAAABAAAABCA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wAAAAmJAAAABwAAAAmKAAAABC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LAAAABwAAAAmMAAAAAS0AAAAfAAAACY0AAAABAAAAAQAAAAEuAAAAIAAAAJsAAAAJjgAAAAcAAAAJjwAAAAEvAAAAIQAAAIwAAAAJkAAAAAcAAAAJkQAAAAE7AAAAHwAAAAmSAAAAAQAAAAEAAAABPAAAACAAAACBAAAACZMAAAAHAAAACZQAAAABPQAAACEAAAB3AAAACZUAAAAHAAAACZYAAAABSQAAAB8AAAAJlwAAAAEAAAABAAAAAUoAAAAgAAAAmwAAAAmOAAAABwAAAAmZAAAAAUsAAAAhAAAAjAAAAAmQAAAABwAAAAmbAAAAAVcAAAAfAAAACZwAAAABAAAAAQAAAAFYAAAAIAAAAHkAAAAJnQAAAAcAAAAJngAAAAFZAAAAIQAAAGkAAAAJnwAAAAcAAAAJoAAAAAFlAAAAHwAAAAmhAAAAAAAAAAAAAAABZgAAACAAAAB2AAAACZ0AAAAHAAAACaMAAAABZwAAACEAAABiAAAACZ8AAAAHAAAACaUAAAABcgAAAB8AAAAJpgAAAAEAAAABAAAAAXMAAAAgAAAAXgAAAAmnAAAABwAAAAmoAAAAAXQAAAAhAAAATQAAAAmpAAAABwAAAAmqAAAAD4AAAAABAAAACAEAAAAFgQAAADxHbG9iZVNvZnR3YXJlLkF0bGFzNDAuQXRsYXNDb21tb25DbGllbnQuRGF0YVNvdXJjZUZpZWxkVmFsdWUEAAAAEl9pc0RyaWxsRG93bkZpbHRlcgZfZHNLZXkKX2ZpZWxkbmFtZQtfZmllbGRWYWx1ZQABAQEBGwAAAAAGqwAAABpUYWJsZS5DdXN0UGFja2luZ1NsaXBUcmFucwasAAAACkRhdGFBcmVhSWQJBgAAAAGCAAAAgQAAAAAJqwAAAAavAAAABkl0ZW1JZAawAAAAASoBgwAAAIEAAAAACasAAAAGsgAAAAxEZWxpdmVyeURhdGUGswAAABUxLjEuMjAyMSAuLiAyLjI4LjIwMjEBhAAAAIEAAAAACasAAAAGtQAAAAxEaW1lbnNpb25bOF0GtgAAAAEqAYUAAACBAAAAAAmrAAAABrgAAAAMRGltZW5zaW9uWzddBrkAAAABKgGGAAAAgQAAAAAGugAAADNUYWJsZS5DdXN0UGFja2luZ1NsaXBUcmFucy5TYWxlc0lkflRhYmxlLlNhbGVzVGFibGUGuwAAAAlDdXN0R3JvdXAGvAAAAAQhSUMqAYcAAACBAAAAAAa9AAAAOVRhYmxlLkN1c3RQYWNraW5nU2xpcFRyYW5zLkl0ZW1JZH5UYWJsZS5JbnZlbnRUYWJsZU1vZHVsZQa+AAAACk1vZHVsZVR5cGUGvwAAAAZJbnZlbnQHiAAAAAABAAAABAAAAAQ3R2xvYmVTb2Z0d2FyZS5BdGxhczQwLkF0bGFzQ29tbW9uLlR5cGUuRmllbGRPdXRwdXRGaWVsZA4AAAAJwAAAAA0DBIk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o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/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T7///8yR2xvYmVTb2Z0d2FyZS5BdGxhczQwLkF0bGFzQ29tbW9uLkNvbHVtbkF0dHJpYnV0ZXMBAAAAB3ZhbHVlX18ACA4AAAAJAAAACSUAAAABPP///z////8BO////z7///8LAAAABsYAAAABMAE5////P////wE4////Pv///wQAAAAGyQAAAAdHZW5lcmFsATb///8/////ATX///8+////AgAAAAbMAAAAATEBM////z////8BMv///z7///8AAAAABs8AAAAEOS4yOQGLAAAADAAAAAe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DD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0QAAAAhGb250Qm9sZAbSAAAABUZhbHNlAS3///8w////BtQAAAAKRm9udEl0YWxpYwnSAAAAASr///8w////BtcAAAANRm9udFVuZGVybGluZQbYAAAABS00MTQyASf///8w////BtoAAAAIRm9udE5hbWUG2wAAAAdDYWxpYnJpAST///8w////Bt0AAAAJRm9udENvbG9yBt4AAAABMAEh////MP///wbgAAAACEZvbnRTaXplBuEAAAACMTEBHv///zD///8G4wAAAAlGb250U3R5bGUG5AAAAAdSZWd1bGFyB40AAAAAAQAAAAQAAAAEN0dsb2JlU29mdHdhcmUuQXRsYXM0MC5BdGxhc0NvbW1vbi5UeXBlLkZpZWxkT3V0cHV0RmllbGQOAAAACeUAAAANAwGOAAAAiQAAAAe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v///z////8BGf///z7///8QAAAABugAAAAETm9uZQEX////P////wEW////Pv///wkAAAAJJQAAAAEU////P////wET////Pv///wsAAAAG7gAAAAExARH///8/////ARD///8+////BAAAAAbxAAAAB0dlbmVyYWwBDv///z////8BDf///z7///8CAAAABvQAAAABMQEL////P////wEK////Pv///wAAAAAG9wAAAAUxNy40MwGQAAAADAAAAA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j///8w////BvkAAAAIRm9udEJvbGQJ0gAAAAEF////MP///wb8AAAACkZvbnRJdGFsaWMJ0gAAAAEC////MP///wb/AAAADUZvbnRVbmRlcmxpbmUGAAEAAAUtNDE0MgH//v//MP///wYCAQAACEZvbnROYW1lBgMBAAAHQ2FsaWJyaQH8/v//MP///wYFAQAACUZvbnRDb2xvcgYGAQAAATAB+f7//zD///8GCAEAAAhGb250U2l6ZQYJAQAAAjExAfb+//8w////BgsBAAAJRm9udFN0eWxlBgwBAAAHUmVndWxhcgeSAAAAAAEAAAAEAAAABDdHbG9iZVNvZnR3YXJlLkF0bGFzNDAuQXRsYXNDb21tb24uVHlwZS5GaWVsZE91dHB1dEZpZWxkDgAAAAkNAQAADQMBkwAAAIkAAAAHl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L+//8/////AfH+//8+////CQAAAAklAAAAAe/+//8/////Ae7+//8+////CwAAAAYTAQAAATIB7P7//z////8B6/7//z7///8EAAAABhYBAAAHR2VuZXJhbAHp/v//P////wHo/v//Pv///wIAAAAGGQEAAAExAeb+//8/////AeX+//8+////AAAAAAYcAQAABTM1LjE0AZUAAAAMAAAAB5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7//zD///8GHgEAAAhGb250Qm9sZAnSAAAAAeD+//8w////BiEBAAAKRm9udEl0YWxpYwnSAAAAAd3+//8w////BiQBAAANRm9udFVuZGVybGluZQYlAQAABS00MTQyAdr+//8w////BicBAAAIRm9udE5hbWUGKAEAAAdDYWxpYnJpAdf+//8w////BioBAAAJRm9udENvbG9yBisBAAABMAHU/v//MP///wYtAQAACEZvbnRTaXplBi4BAAACMTEB0f7//zD///8GMAEAAAlGb250U3R5bGUGMQEAAAdSZWd1bGFyB5cAAAAAAQAAAAQAAAAEN0dsb2JlU29mdHdhcmUuQXRsYXM0MC5BdGxhc0NvbW1vbi5UeXBlLkZpZWxkT3V0cHV0RmllbGQOAAAACTIBAAANAweZ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7//z////8BzP7//z7///8QAAAACegAAAAByv7//z////8Byf7//z7///8JAAAACSUAAAABx/7//z////8Bxv7//z7///8LAAAABjsBAAABMwHE/v//P////wHD/v//Pv///wQAAAAGPgEAAAdHZW5lcmFsAcH+//8/////AcD+//8+////AgAAAAZBAQAAATEBvv7//z////8Bvf7//z7///8AAAAABkQBAAAFMTEuMjkHm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7/v//MP///wn5AAAACdIAAAABuP7//zD///8J/AAAAAnSAAAAAbX+//8w////Cf8AAAAGTQEAAAUtNDE0MgGy/v//MP///wkCAQAABlABAAAHQ2FsaWJyaQGv/v//MP///wkFAQAABlMBAAABMAGs/v//MP///wkIAQAABlYBAAACMTEBqf7//zD///8JCwEAAAZZAQAAB1JlZ3VsYXIHnAAAAAABAAAABAAAAAQ3R2xvYmVTb2Z0d2FyZS5BdGxhczQwLkF0bGFzQ29tbW9uLlR5cGUuRmllbGRPdXRwdXRGaWVsZA4AAAAJWgEAAA0DAZ0AAACJAAAAB54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l/v//P////wGk/v//Pv///wkAAAAJJQAAAAGi/v//P////wGh/v//Pv///wsAAAAGYAEAAAE0AZ/+//8/////AZ7+//8+////BAAAAAZjAQAAB0dlbmVyYWwBnP7//z////8Bm/7//z7///8CAAAABmYBAAABMQGZ/v//P////wGY/v//Pv///wAAAAAGaQEAAAQ2LjQzAZb+//8/////AZX+//8+////JAAAAAlbAAAAAZ8AAAAMAAAAB6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7//zD///8JHgEAAAnSAAAAAZD+//8w////CSEBAAAJ0gAAAAGN/v//MP///wkkAQAABnUBAAAFLTQxNDIBiv7//zD///8JJwEAAAZ4AQAAB0NhbGlicmkBh/7//zD///8JKgEAAAZ7AQAAATABhP7//zD///8JLQEAAAZ+AQAAAjExAYH+//8w////CTABAAAGgQEAAAdSZWd1bGFyB6EAAAAAAQAAAAAAAAAEN0dsb2JlU29mdHdhcmUuQXRsYXM0MC5BdGxhc0NvbW1vbi5UeXBlLkZpZWxkT3V0cHV0RmllbGQOAAAA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+/v//P////wF9/v//Pv///yQAAAAJaQAAAAF7/v//P////wF6/v//Pv///wsAAAAGhwEAAAE1AXj+//8/////AXf+//8+////BAAAAAaKAQAAB0dlbmVyYWwBdf7//z////8BdP7//z7///8CAAAABo0BAAABMQFy/v//P////wFx/v//Pv///wAAAAAGkAEAAAUxNy44NgFv/v//P////wFu/v//Pv///wMAAAAGkwEAAFhSRUY6ID1TVU1JRlMoSW52ZW50VHJhbnMhRjpGLEludmVudFRyYW5zIUI6QixbQFtMb3QgSURdXSxJbnZlbnRUcmFucyFDOkMsW0BbU2hpcCBkYXRlXV0pB6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7//zD///8GlQEAAAhGb250Qm9sZAnSAAAAAWn+//8w////BpgBAAAKRm9udEl0YWxpYwnSAAAAAWb+//8w////BpsBAAANRm9udFVuZGVybGluZQacAQAABS00MTQyAWP+//8w////Bp4BAAAIRm9udE5hbWUGnwEAAAdDYWxpYnJpAWD+//8w////BqEBAAAJRm9udENvbG9yBqIBAAABMAFd/v//MP///wakAQAACEZvbnRTaXplBqUBAAACMTEBWv7//zD///8GpwEAAAlGb250U3R5bGUGqAEAAAdSZWd1bGFyB6YAAAAAAQAAAAQAAAAEN0dsb2JlU29mdHdhcmUuQXRsYXM0MC5BdGxhc0NvbW1vbi5UeXBlLkZpZWxkT3V0cHV0RmllbGQOAAAACakBAAANAwGnAAAAiQAAAAeo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v7//z////8BVf7//z7///8JAAAACSUAAAABU/7//z////8BUv7//z7///8LAAAABq8BAAABNgFQ/v//P////wFP/v//Pv///yQAAAAJdgAAAAFN/v//P////wFM/v//Pv///wQAAAAGtQEAAAdHZW5lcmFsAUr+//8/////AUn+//8+////AgAAAAa4AQAAATEBR/7//z////8BRv7//z7///8AAAAABrsBAAAENy40MwGpAAAADAAAAAe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T+//8w////CdEAAAAJ0gAAAAFB/v//MP///wnUAAAACdIAAAABPv7//zD///8J1wAAAAbEAQAABS00MTQyATv+//8w////CdoAAAAGxwEAAAdDYWxpYnJpATj+//8w////Cd0AAAAGygEAAAEwATX+//8w////CeAAAAAGzQEAAAIxMQEy/v//MP///wnjAAAABtABAAAHUmVndWxhcgXA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v/v//2f////////8ABtIBAAAGU3RyaW5nBtMBAAAQQ29tcGFueSBhY2NvdW50cwnUAQAAASv+///X////AgAAAAUq/v//OUdsb2JlU29mdHdhcmUuQXRsYXM0MC5BdGxhc0NvbW1vbi5OdW1iZXJTZXF1ZW5jZUNvbmRpdGlvbgEAAAAHdmFsdWVfXwAIDgAAAAEAAAAAAAbXAQAAGlRhYmxlLkN1c3RQYWNraW5nU2xpcFRyYW5zCSIAAAAJJQAAAAr/////CdcBAAAKCSIAAAAKCgoJJQAAAAndAQAACSUAAAAB5QAAAMAAAAABIf7//9n/////////AAbgAQAABlN0cmluZwbhAQAABEl0ZW0J4gEAAAEd/v//1////wIAAAABHP7//yr+//8BAAAAAAAG5QEAABpUYWJsZS5DdXN0UGFja2luZ1NsaXBUcmFucwkwAAAACSUAAAAK/////wnlAQAACgkwAAAACgoKCSUAAAAJ6wEAAAklAAAAAQ0BAADAAAAAARP+///Z/////////wAG7gEAAAZTdHJpbmcG7wEAAAlJdGVtIG5hbWUJ8AEAAAEP/v//1////wIAAAABDv7//yr+//8BAAAAAAAG8wEAADNUYWJsZS5DdXN0UGFja2luZ1NsaXBUcmFucy5JdGVtSWR+VGFibGUuSW52ZW50VGFibGUJPgAAAAklAAAACv////8J8wEAAAoJPgAAAAb4AQAABkl0ZW1JZAb5AQAAFEN1c3RQYWNraW5nU2xpcFRyYW5zCgklAAAACfsBAAAJJQAAAAEyAQAAwAAAAAED/v//2f///wEAAAAABv4BAAAEUmVhbAb/AQAACURlbGl2ZXJlZAniAQAAAf/9///X////AgAAAAH+/f//Kv7//wEAAAAAAAnlAQAACUwAAAAJJQAAAAr/////CeUBAAAKCUwAAAAKCgoJJQAAAAkJAgAACSUAAAABWgEAAMAAAAAB9f3//9n/////////AAYMAgAABlN0cmluZwYNAgAABFVuaXQJDgIAAAHx/f//1////wIAAAAB8P3//yr+//8BAAAAAAAGEQIAABpUYWJsZS5DdXN0UGFja2luZ1NsaXBUcmFucwlaAAAACSUAAAAK/////wkRAgAACglaAAAACgoKCSUAAAAJFwIAAAklAAAAAakBAADAAAAAAef9///Z/////////wAGGgIAAAZTdHJpbmcGGwIAAARVbml0CRwCAAAB4/3//9f///8CAAAAAeL9//8q/v//AQAAAAAACb0AAAAJdQAAAAklAAAACv////8JvQAAAAoJdQAAAAYkAgAABkl0ZW1JZAYlAgAAFEN1c3RQYWNraW5nU2xpcFRyYW5zCgklAAAACScCAAAJJQAAAAXU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/////BikCAAAUQ3VzdFBhY2tpbmdTbGlwVHJhbnMGKgIAAB1DdXN0b21lciAtIFBhY2tpbmcgc2xpcCBsaW5lcwklAAAACSUAAAAJJQAAAAXU/f//MEdsb2JlU29mdHdhcmUuQXRsYXM0MC5BdGxhc0NvbW1vbi5EYXRhU291cmNlVHlwZQEAAAAHdmFsdWVfXwAIDgAAAAAAAAAJLQIAAAkuAgAABNH9//8LU3lzdGVtLkd1aWQLAAAAAl9hAl9iAl9jAl9kAl9lAl9mAl9nAl9oAl9pAl9qAl9rAAAAAAAAAAAAAAAIBwcCAgICAgICAhibWGlMoHpDrmm2LamVJ4oJJQAAAAklAAAACTECAAAJ1wEAAAoKCgoKAQAAAAXN/f//NEdsb2JlU29mdHdhcmUuQXRsYXM0MC5BdGxhc0NvbW1vbi5EYXRhU291cmNlSm9pbk1vZGUBAAAAB3ZhbHVlX18ACA4AAAAAAAAABcz9//81R2xvYmVTb2Z0d2FyZS5BdGxhczQwLkF0bGFzQ29tbW9uLkRhdGFTb3VyY2VGZXRjaE1vZGUBAAAAB3ZhbHVlX18ACA4AAAAAAAAAAAk1AgAAAd0BAAAhAAAASAAAAAmLAAAAAwAAAAk3AgAAAeIBAADUAQAASAAAAAY4AgAAFEN1c3RQYWNraW5nU2xpcFRyYW5zBjkCAAAdQ3VzdG9tZXIgLSBQYWNraW5nIHNsaXAgbGluZXMJJQAAAAklAAAACSUAAAABxf3//9T9//8AAAAACTwCAAAJPQIAAAHC/f//0f3//9mGVy3QSpNOiDs3qVZ3QuMJJQAAAAklAAAACUACAAAJ5QEAAAoKCgoKAQAAAAG+/f//zf3//wAAAAABvf3//8z9//8AAAAAAAlEAgAAAesBAAAhAAAAfwAAAAmQAAAAAwAAAAlGAgAAAfABAADUAQAA/////wZHAgAAC0ludmVudFRhYmxlBkgCAAAFSXRlbXMJJQAAAAklAAAACSUAAAABtv3//9T9//8AAAAACUsCAAAJTAIAAAGz/f//0f3//zJwWgxM0oVOj+iheHXSGqYJJQAAAAklAAAACU8CAAAJ8wEAAAZRAgAAFEN1c3RQYWNraW5nU2xpcFRyYW5zBlICAAAaVGFibGUuQ3VzdFBhY2tpbmdTbGlwVHJhbnMGUwIAACFUYWJsZS5DdXN0UGFja2luZ1NsaXBUcmFucy5JdGVtSWQGVAIAAAZJdGVtSWQGVQIAAAZJdGVtSWQBAAAAAar9///N/f//AAAAAAGp/f//zP3//wAAAAAACVgCAAAB+wEAACEAAABoAAAACZUAAAADAAAACVoCAAABCQIAACEAAAB/AAAACZAAAAADAAAACVwCAAABDgIAANQBAAD/////Bl0CAAAUQ3VzdFBhY2tpbmdTbGlwVHJhbnMGXgIAAB1DdXN0b21lciAtIFBhY2tpbmcgc2xpcCBsaW5lcwklAAAACSUAAAAJJQAAAAGg/f//1P3//wAAAAAJYQIAAAliAgAAAZ39///R/f//yZs2aE97kU+Tn2QE/1dCkgklAAAACSUAAAAJZQIAAAkRAgAACgoKCgoBAAAAAZn9///N/f//AAAAAAGY/f//zP3//wAAAAAACWkCAAABFwIAACEAAABaAAAACZ8AAAADAAAACWsCAAABHAIAANQBAAD/////BmwCAAARSW52ZW50VGFibGVNb2R1bGUGbQIAABtJbnZlbnRvcnkgbW9kdWxlIHBhcmFtZXRlcnMJJQAAAAklAAAACSUAAAABkf3//9T9//8AAAAACXACAAAJcQIAAAGO/f//0f3//8vizqVuVH5LktyfmW/IUWsJJQAAAAklAAAACXQCAAAJvQAAAAZ2AgAAFEN1c3RQYWNraW5nU2xpcFRyYW5zBncCAAAaVGFibGUuQ3VzdFBhY2tpbmdTbGlwVHJhbnMGeAIAACFUYWJsZS5DdXN0UGFja2luZ1NsaXBUcmFucy5JdGVtSWQGeQIAAAZJdGVtSWQGegIAAAZJdGVtSWQBAAAAAYX9///N/f//AAAAAAGE/f//zP3//wAAAAAACX0CAAABJwIAACEAAABCAAAACakAAAADAAAACX8CAAAEL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gAIAAAcAAAAJgQIAAAQu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EAAAACYICAAAHAAAACYMCAAAEM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MAAAAJgAIAAAMAAAAJhQIAAAQ1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GAgAAAAAAAAc3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9//8w////BogCAAAFTGFiZWwJ0wEAAAF2/f//MP///waLAgAABFR5cGUJ0gEAAAE8AgAALQIAAAUAAAAJjQIAAAcAAAAJjgIAAAE9AgAALgIAAAYAAAAJjQIAAAcAAAAJkAIAAAFAAgAAMQIAAAEAAAAJjQIAAAMAAAAJkgIAAAFEAgAANQIAAAAAAAAJkwIAAAAAAAAHR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s/f//MP///waVAgAACEhlbHBUZXh0BpYCAAAOSWRlbnRpZnkgaXRlbS4Baf3//zD///8GmAIAAAVMYWJlbAnhAQAAAWb9//8w////BpsCAAAEVHlwZQngAQAAAUsCAAAtAgAAAQAAAAmVAAAAAwAAAAmeAgAABEw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DAAAAAAAAAAETw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UAAAAAAAAAAVgCAAA1AgAAAAAAAAmhAgAAAAAAAAda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79//8w////BqMCAAAFTGFiZWwJ7wEAAAFb/f//MP///wamAgAABFR5cGUJ7gEAAAdc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j9//8w////CZUCAAAGqgIAACRUb3RhbCBxdWFudGl0eSBvZiB0aGlzIGl0ZW0gcmVsZWFzZWQBVf3//zD///8JmAIAAAn/AQAAAVL9//8w////CZsCAAAJ/gEAAAFhAgAALQIAAAgAAAAJsQIAAAcAAAAJsgIAAAFiAgAALgIAAAQAAAAJnwAAAAcAAAAJtAIAAAFlAgAAMQIAAAMAAAAJsQIAAAMAAAAJtgIAAAFpAgAANQIAAAAAAAAJtwIAAAAAAAAHa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/f//MP///wa5AgAABUxhYmVsCQ0CAAABRf3//zD///8GvAIAAARUeXBlCQwCAAABcAIAAC0CAAABAAAACakAAAADAAAACb8CAAABcQIAAC4CAAABAAAACQwAAAADAAAACcECAAAEd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kAAAAAAAAAAX0CAAA1AgAAAAAAAAnDAgAAAAAAAAd/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z9//8w////BsUCAAAFTGFiZWwJGwIAAAE5/f//MP///wbIAgAABFR5cGUJGgIAAAGAAgAADAAAAAeBAg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2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LAgAAIlRhYmxlLkN1c3RQYWNraW5nU2xpcFRyYW5zLlNhbGVzSWQJzAIAAAEz/f//Nv3//wbOAgAAIVRhYmxlLkN1c3RQYWNraW5nU2xpcFRyYW5zLkl0ZW1JZAnlAAAAATD9//82/f//BtECAAAnVGFibGUuQ3VzdFBhY2tpbmdTbGlwVHJhbnMuRGVsaXZlcnlEYXRlCdICAAABLf3//zb9//8G1AIAAB5UYWJsZS5DdXN0UGFja2luZ1NsaXBUcmFucy5RdHkJMgEAAAEq/f//Nv3//wbXAgAAJFRhYmxlLkN1c3RQYWNraW5nU2xpcFRyYW5zLlNhbGVzVW5pdAlaAQAAASf9//82/f//BtoCAAAlVGFibGUuQ3VzdFBhY2tpbmdTbGlwVHJhbnMuRGF0YUFyZWFJZAnAAAAAAST9//82/f//Bt0CAAAoVGFibGUuQ3VzdFBhY2tpbmdTbGlwVHJhbnMuSW52ZW50VHJhbnNJZAneAgAAAYICAAAMAAAAB4MCAAAAAQAAAAQ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h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uACAAAhVGFibGUuQ3VzdFBhY2tpbmdTbGlwVHJhbnMuSXRlbUlkCeECAAABHv3//yH9//8G4wIAACdUYWJsZS5DdXN0UGFja2luZ1NsaXBUcmFucy5EZWxpdmVyeURhdGUJ5AIAAAEb/f//If3//wbmAgAAJ1RhYmxlLkN1c3RQYWNraW5nU2xpcFRyYW5zLkRpbWVuc2lvbls4XQnnAgAAARj9//8h/f//BukCAAAnVGFibGUuQ3VzdFBhY2tpbmdTbGlwVHJhbnMuRGltZW5zaW9uWzddCeoCAAAHhQI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Ff3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ugAAAAntAgAAARL9//8V/f//CfMBAAAJ8AEAAAEP/f//Ff3//wbyAgAAOlRhYmxlLkN1c3RQYWNraW5nU2xpcFRyYW5zLkludmVudFRyYW5zSWR+VGFibGUuSW52ZW50VHJhbnMJ8wIAAASG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jQIAAAwAAAAHjg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DP3//zb9//8G9QIAAChUYWJsZS5DdXN0UGFja2luZ1NsaXBUcmFucy5QYWNraW5nU2xpcElkCfYCAAABCf3//zb9//8G+AIAACFUYWJsZS5DdXN0UGFja2luZ1NsaXBUcmFucy5JdGVtSWQJ5QAAAAEG/f//Nv3//wb7AgAAHlRhYmxlLkN1c3RQYWNraW5nU2xpcFRyYW5zLlF0eQkyAQAAAQP9//82/f//Bv4CAAAiVGFibGUuQ3VzdFBhY2tpbmdTbGlwVHJhbnMuT3JkZXJlZAn/AgAAAQD9//82/f//BgEDAAAhVGFibGUuQ3VzdFBhY2tpbmdTbGlwVHJhbnMuUmVtYWluCQIDAAAHkAI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f38//8h/f//BgQDAAAlVGFibGUuQ3VzdFBhY2tpbmdTbGlwVHJhbnMuRGF0YUFyZWFJZAkFAwAAAfr8//8h/f//BgcDAAAhVGFibGUuQ3VzdFBhY2tpbmdTbGlwVHJhbnMuSXRlbUlkCQgDAAAB9/z//yH9//8GCgMAAChUYWJsZS5DdXN0UGFja2luZ1NsaXBUcmFucy5QYWNraW5nU2xpcElkCQsDAAAB9Pz//yH9//8GDQMAACdUYWJsZS5DdXN0UGFja2luZ1NsaXBUcmFucy5EZWxpdmVyeURhdGUJDgMAAAHx/P//If3//wYQAwAAJ1RhYmxlLkN1c3RQYWNraW5nU2xpcFRyYW5zLkRpbWVuc2lvbls4XQkRAwAAAe78//8h/f//BhMDAAAnVGFibGUuQ3VzdFBhY2tpbmdTbGlwVHJhbnMuRGltZW5zaW9uWzddCRQDAAAHkgI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6/z//xX9//8JugAAAAntAgAAAZMCAACGAgAAB54C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j8//82/f//BhkDAAA8VGFibGUuQ3VzdFBhY2tpbmdTbGlwVHJhbnMuSXRlbUlkflRhYmxlLkludmVudFRhYmxlLkl0ZW1OYW1lCQ0BAAABoQIAAIYCAAABsQIAAAwAAAAHsgI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5fz//zb9//8GHAMAACFUYWJsZS5DdXN0UGFja2luZ1NsaXBUcmFucy5JdGVtSWQJ5QAAAAHi/P//Nv3//wYfAwAAHlRhYmxlLkN1c3RQYWNraW5nU2xpcFRyYW5zLlF0eQkyAQAAAd/8//82/f//BiIDAAAnVGFibGUuQ3VzdFBhY2tpbmdTbGlwVHJhbnMuRGVsaXZlcnlEYXRlCdICAAAB3Pz//zb9//8GJQMAACRUYWJsZS5DdXN0UGFja2luZ1NsaXBUcmFucy5TYWxlc1VuaXQJWgEAAAe0Ag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2fz//yH9//8GKAMAACFUYWJsZS5DdXN0UGFja2luZ1NsaXBUcmFucy5JdGVtSWQJ4QIAAAHW/P//If3//wYrAwAAJ1RhYmxlLkN1c3RQYWNraW5nU2xpcFRyYW5zLkRlbGl2ZXJ5RGF0ZQnkAgAAAdP8//8h/f//Bi4DAAAnVGFibGUuQ3VzdFBhY2tpbmdTbGlwVHJhbnMuRGltZW5zaW9uWzhdCecCAAAB0Pz//yH9//8GMQMAACdUYWJsZS5DdXN0UGFja2luZ1NsaXBUcmFucy5EaW1lbnNpb25bN10J6gIAAAe2Ag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N/P//Ff3//wm6AAAACe0CAAAByvz//xX9//8J8wEAAAnwAQAAAcf8//8V/f//CfICAAAJ8wIAAAG3AgAAhgIAAAe/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E/P//Nv3//wY9AwAAQFRhYmxlLkN1c3RQYWNraW5nU2xpcFRyYW5zLkl0ZW1JZH5UYWJsZS5JbnZlbnRUYWJsZU1vZHVsZS5Vbml0SWQJqQEAAAfBA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fz//yH9//8GQAMAAERUYWJsZS5DdXN0UGFja2luZ1NsaXBUcmFucy5JdGVtSWR+VGFibGUuSW52ZW50VGFibGVNb2R1bGUuTW9kdWxlVHlwZQlBAwAAAcMCAACGAgAAAcwCAADAAAAAAb78///Z/////////wAGQwMAAAZTdHJpbmcGRAMAAAtTYWxlcyBvcmRlcglFAwAAAbr8///X////AgAAAAG5/P//Kv7//wEAAAAAAAZIAwAAGlRhYmxlLkN1c3RQYWNraW5nU2xpcFRyYW5zBkkDAAAHU2FsZXNJZAklAAAACv////8JSAMAAAoJSQMAAAoKCgklAAAACU4DAAAJJQAAAAHSAgAAwAAAAAGw/P//2f////////8ABlEDAAAERGF0ZQZSAwAACVNoaXAgZGF0ZQkOAgAAAaz8///X////AgAAAAGr/P//Kv7//wEAAAAAAAkRAgAABlcDAAAMRGVsaXZlcnlEYXRlCSUAAAAK/////wkRAgAACglXAwAACgoKCSUAAAAJXAMAAAklAAAAAd4CAADAAAAAAaL8///Z/////////wAGXwMAAAZTdHJpbmcGYAMAAAZMb3QgSUQJ1AEAAAGe/P//1////wIAAAABnfz//yr+//8BAAAAAAAJ1wEAAAZlAwAADUludmVudFRyYW5zSWQJJQAAAAr/////CdcBAAAKCWUDAAAKCgoJJQAAAAlqAwAACSUAAAAF4QI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BmwDAAAaVGFibGUuQ3VzdFBhY2tpbmdTbGlwVHJhbnMJrwAAAAklAAAABm8DAAABKv////8JbAMAAAoJrwAAAAoKCgklAAAACXMDAAAJJQAAAAHkAgAA4QIAAAlsAwAACbIAAAAJJQAAAAZ4AwAAFTEuMS4yMDIxIC4uIDIuMjguMjAyMf////8JbAMAAAoJsgAAAAoKCgklAAAACXwDAAAJJQAAAAHnAgAA4QIAAAlsAwAACbUAAAAJJQAAAAaBAwAAASr/////CWwDAAAKCbUAAAAKCgoJJQAAAAmFAwAACSUAAAAB6gIAAOECAAAJbAMAAAm4AAAACSUAAAAGigMAAAEq/////wlsAwAACgm4AAAACgoKCSUAAAAJjgMAAAklAAAAAe0CAADUAQAA/////waQAwAAClNhbGVzVGFibGUGkQMAAAxTYWxlcyBvcmRlcnMJJQAAAAklAAAACSUAAAABbfz//9T9//8AAAAACZQDAAAJlQMAAAFq/P//0f3//z7Q2GxdJftBloNw0dZCYJ0JJQAAAAklAAAACZgDAAAJugAAAAaaAwAAFEN1c3RQYWNraW5nU2xpcFRyYW5zBpsDAAAaVGFibGUuQ3VzdFBhY2tpbmdTbGlwVHJhbnMGnAMAACJUYWJsZS5DdXN0UGFja2luZ1NsaXBUcmFucy5TYWxlc0lkBp0DAAAHU2FsZXNJZAaeAwAAB1NhbGVzSWQBAAAAAWH8///N/f//AAAAAAFg/P//zP3//wAAAAAACaEDAAAB8wIAANQBAAD/////BqIDAAALSW52ZW50VHJhbnMGowMAABZJbnZlbnRvcnkgdHJhbnNhY3Rpb25zCSUAAAAJJQAAAAklAAAAAVv8///U/f//AAAAAAmmAwAACacDAAABWPz//9H9//9XXxLfDxlcTZXm5oDNzSVjCSUAAAAJJQAAAAmqAwAACfICAAAGrAMAABRDdXN0UGFja2luZ1NsaXBUcmFucwatAwAAGlRhYmxlLkN1c3RQYWNraW5nU2xpcFRyYW5zBq4DAAAoVGFibGUuQ3VzdFBhY2tpbmdTbGlwVHJhbnMuSW52ZW50VHJhbnNJZAavAwAADUludmVudFRyYW5zSWQGsAMAAA1JbnZlbnRUcmFuc0lkAQAAAAFP/P//zf3//wEAAAABTvz//8z9//8BAAAAAAmzAwAAAfYCAADAAAAAAUz8///Z/////////wAGtQMAAAZTdHJpbmcGtgMAAAxQYWNraW5nIHNsaXAJ4gEAAAFI/P//1////wIAAAABR/z//yr+//8BAAAAAAAJ5QEAAAa7AwAADVBhY2tpbmdTbGlwSWQJJQAAAAr/////CeUBAAAKCbsDAAAKCgoJJQAAAAnAAwAACSUAAAAB/wIAAMAAAAABPvz//9n/////////AAbDAwAABFJlYWwGxAMAAAdPcmRlcmVkCeIBAAABOvz//9f///8CAAAAATn8//8q/v//AQAAAAAACeUBAAAGyQMAAAdPcmRlcmVkCSUAAAAK/////wnlAQAACgnJAwAACgoKCSUAAAAJzgMAAAklAAAAAQIDAADAAAAAATD8///Z/////////wAG0QMAAARSZWFsBtIDAAASUmVtYWluaW5nIHF1YW50aXR5CeIBAAABLPz//9f///8CAAAAASv8//8q/v//AQAAAAAACeUBAAAG1wMAAAZSZW1haW4JJQAAAAr/////CeUBAAAKCdcDAAAKCgoJJQAAAAncAwAACSUAAAABBQMAAOECAAAJ5QEAAAbfAwAACkRhdGFBcmVhSWQJJQAAAAklAAAA/////wnlAQAACgnfAwAACgoKCSUAAAAJ5AMAAAklAAAAAQgDAADhAgAACeUBAAAG5wMAAAZJdGVtSWQJJQAAAAklAAAA/////wnlAQAACgnnAwAACgoKCSUAAAAJ7AMAAAklAAAAAQsDAADhAgAACeUBAAAG7wMAAA1QYWNraW5nU2xpcElkCSUAAAAJJQAAAP////8J5QEAAAoJ7wMAAAoKCgklAAAACfQDAAAJJQAAAAEOAwAA4QIAAAnlAQAACbIAAAAJJQAAAAklAAAA/////wnlAQAACgmyAAAACgoKCSUAAAAJ/AMAAAklAAAAAREDAADhAgAACeUBAAAG/wMAAAxEaW1lbnNpb25bOF0JJQAAAAklAAAA/////wnlAQAACgn/AwAACgoKCSUAAAAJBAQAAAklAAAAARQDAADhAgAACeUBAAAGBwQAAAxEaW1lbnNpb25bN10JJQAAAAklAAAA/////wnlAQAACgkHBAAACgoKCSUAAAAJDAQAAAklAAAAAUEDAADhAgAACb0AAAAJvgAAAAklAAAACb8AAAD/////Cb0AAAAGEwQAABFJbnZlbnRUYWJsZU1vZHVsZQm+AAAABhUEAAAGSXRlbUlkCgoJJQAAAAkXBAAACSUAAAABRQMAANQBAAD/////BhkEAAAUQ3VzdFBhY2tpbmdTbGlwVHJhbnMGGgQAAB1DdXN0b21lciAtIFBhY2tpbmcgc2xpcCBsaW5lcwklAAAACSUAAAAJJQAAAAHk+///1P3//wAAAAAJHQQAAAkeBAAAAeH7///R/f//nzvHZP3w6kmstofvpzjgkgklAAAACSUAAAAJIQQAAAlIAwAACgoKCgoBAAAAAd37///N/f//AAAAAAHc+///zP3//wAAAAAACSUEAAABTgMAACEAAABAAAAACYICAAADAAAACScEAAABXAMAACEAAABMAAAACZ8AAAADAAAACSkEAAABagMAACEAAAA6AAAACYsAAAADAAAACSsEAAABcwMAACEAAABLAAAACZUAAAADAAAACS0EAAABfAMAACEAAABLAAAACZUAAAADAAAACS8EAAABhQMAACEAAABLAAAACZUAAAADAAAACTEEAAABjgMAACEAAABLAAAACZUAAAADAAAACTMEAAAElA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AAAAAAAAAAAZUDAAAuAgAAAQAAAAkMAAAAAwAAAAk2BAAABJg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QAAAAAAAAAAGhAwAANQIAAAAAAAAJOAQAAAAAAAABpgMAAC0CAAAEAAAACZ8AAAADAAAACToEAAAEpw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7BAAAAAAAAASq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nwAAAAAAAAABswMAADUCAAAAAAAACT0EAAAAAAAAAcADAAAhAAAAEQAAAAmQAAAAAwAAAAk/BAAAAc4DAAAhAAAAJQAAAAmQAAAAAwAAAAlBBAAAAdwDAAAhAAAAJQAAAAmQAAAAAwAAAAlDBAAABOQ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ZAAAAAAAAAABOw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ZAAAAAAAAAABPQ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ZAAAAAAAAAABPw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ZAAAAAAAAAABAQ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ZAAAAAAAAAABAw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ZAAAAAAAAAAARcEAAAhAAAAOAAAAAmpAAAAAwAAAAlGBAAAAR0EAAAtAgAABQAAAAlHBAAABwAAAAlIBAAAAR4EAAAuAgAABAAAAAmfAAAABwAAAAlKBAAAASEEAAAxAgAAAwAAAAlHBAAAAwAAAAlMBAAAASUEAAA1AgAAAAAAAAlNBAAAAAAAAAcn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7//8w////Bk8EAAAFTGFiZWwJRAMAAAGv+///MP///wZSBAAABFR5cGUJQwMAAAcp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z7//8w////CbkCAAAJUgMAAAGp+///MP///wm8AgAACVEDAAAHK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+///MP///wmIAgAACWADAAABo/v//zD///8JiwIAAAlfAwAABy0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v//zD///8JpgIAAAZiBAAABlN0cmluZwGd+///MP///wmjAgAABmUEAAAESXRlbQGa+///MP///wZnBAAACFJlZmVyc1RvBmgEAAALPUl0ZW1OdW1iZXIHL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+///MP///wmmAgAABmsEAAAERGF0ZQGU+///MP///wmjAgAABm4EAAAJU2hpcCBkYXRlAZH7//8w////CWcEAAAGcQQAAAs9RGF0ZVBlcmlvZAcx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77//8w////CaYCAAAGdAQAAAZTdHJpbmcBi/v//zD///8JowIAAAZ3BAAAFkRldGFpbCBNYXJrZXRpbmcgR3JvdXABiPv//zD///8JZwQAAAZ6BAAABD1ETUcHM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///MP///wmmAgAACXQEAAABgvv//zD///8JowIAAAaABAAAFU1ham9yIE1hcmtldGluZyBHcm91cAF/+///MP///wlnBAAABoMEAAAEPU1NRwc2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fPv//yH9//8GhQQAAD1UYWJsZS5DdXN0UGFja2luZ1NsaXBUcmFucy5TYWxlc0lkflRhYmxlLlNhbGVzVGFibGUuQ3VzdEdyb3VwCYYEAAABOAQAAIYCAAAHOgQAAAABAAAAA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OwQAAAwAAAABPQQAAIYCAAAHP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+///MP///wmVAgAABokEAAAjSWRlbnRpZmljYXRpb24gb2YgdGhlIHBhY2tpbmcgc2xpcC4Bdvv//zD///8JmAIAAAm2AwAAAXP7//8w////CZsCAAAJtQMAAAdB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D7//8w////CZUCAAAGkgQAABBRdWFudGl0eSBvcmRlcmVkAW37//8w////CZgCAAAJxAMAAAFq+///MP///wmbAgAACcMDAAAHQ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+///MP///wmVAgAABpsEAABJUmVtYWluaW5nIHF1YW50aXR5IGZvciB0aGUgc2FsZXMgb3JkZXIgbGluZSBub3QgeWV0IHBhY2tpbmcgc2xpcCB1cGRhdGVkLgFk+///MP///wmYAgAACdIDAAABYfv//zD///8JmwIAAAnRAwAAB0Y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v//zD///8JyAIAAAakBAAABEVudW0BW/v//zD///8JxQIAAAanBAAAC01vZHVsZSB0eXBlAUcEAAAMAAAAB0gE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j7//82/f//BqkEAAAhVGFibGUuQ3VzdFBhY2tpbmdTbGlwVHJhbnMuSXRlbUlkCeUAAAABVfv//zb9//8GrAQAACdUYWJsZS5DdXN0UGFja2luZ1NsaXBUcmFucy5EZWxpdmVyeURhdGUJ0gIAAAFS+///Nv3//wavBAAAHlRhYmxlLkN1c3RQYWNraW5nU2xpcFRyYW5zLlF0eQkyAQAAAU/7//82/f//BrIEAAAkVGFibGUuQ3VzdFBhY2tpbmdTbGlwVHJhbnMuU2FsZXNVbml0CVoBAAABTPv//zb9//8GtQQAACJUYWJsZS5DdXN0UGFja2luZ1NsaXBUcmFucy5TYWxlc0lkCcwCAAAHSgQ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n7//8h/f//BrgEAAAhVGFibGUuQ3VzdFBhY2tpbmdTbGlwVHJhbnMuSXRlbUlkCeECAAABRvv//yH9//8GuwQAACdUYWJsZS5DdXN0UGFja2luZ1NsaXBUcmFucy5EZWxpdmVyeURhdGUJ5AIAAAFD+///If3//wa+BAAAJ1RhYmxlLkN1c3RQYWNraW5nU2xpcFRyYW5zLkRpbWVuc2lvbls4XQnnAgAAAUD7//8h/f//BsEEAAAnVGFibGUuQ3VzdFBhY2tpbmdTbGlwVHJhbnMuRGltZW5zaW9uWzddCeoCAAAHTAQ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Pfv//xX9//8JugAAAAntAgAAATr7//8V/f//CfMBAAAJ8AEAAAE3+///Ff3//wnyAgAACfMCAAABTQQAAIYCAAABhgQAAOECAAAJugAAAAm7AAAACSUAAAAJvAAAAP////8JugAAAAoJuwAAAAbSBAAAB1NhbGVzSWQKCgklAAAACdQEAAAJJQAAAAHUBAAAIQAAAEIAAAAJqQAAAAMAAAAJ1wQAAAfX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j7//8w////CcgCAAAG2gQAAAZTdHJpbmcBJfv//zD///8JxQIAAAbdBAAADkN1c3RvbWVyIGdyb3VwASL7//8w////Bt8EAAAIUmVmZXJzVG8G4AQAAAo9Q3VzdEdyb3VwCw==</Report>
</Atlas>
</file>

<file path=customXml/item4.xml><?xml version="1.0" encoding="utf-8"?>
<Atlas>
  <Query type="ReportList" id="47523f1a-b058-494c-9d0b-735da5fa4f00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LAAAAC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FEN1c3RQYWNraW5nU2xpcFRyYW5zBh4AAAAdQ3VzdG9tZXIgLSBQYWNraW5nIHNsaXAgbGluZXMJCAAAAAkIAAAACQgAAAAF4P///zBHbG9iZVNvZnR3YXJlLkF0bGFzNDAuQXRsYXNDb21tb24uRGF0YVNvdXJjZVR5cGUBAAAAB3ZhbHVlX18ACAIAAAAAAAAACSEAAAAJIgAAAATd////C1N5c3RlbS5HdWlkCwAAAAJfYQJfYgJfYwJfZAJfZQJfZgJfZwJfaAJfaQJfagJfawAAAAAAAAAAAAAACAcHAgICAgICAgKYoymh/up3Tq5xfFrn3U2UCQgAAAAJCAAAAAklAAAABiYAAAAaVGFibGUuQ3VzdFBhY2tpbmdTbGlw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Q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1RhYmxlLkN1c3RQYWNraW5nU2xpcFRyYW5zLlNhbGVzSWR+VGFibGUuU2FsZXNUYWJsZQkxAAAAAc7////U////BjMAAAAzVGFibGUuQ3VzdFBhY2tpbmdTbGlwVHJhbnMuSXRlbUlkflRhYmxlLkludmVudFRhYmxlCTQAAAABy////9T///8GNgAAADlUYWJsZS5DdXN0UGFja2luZ1NsaXBUcmFucy5JdGVtSWR+VGFibGUuSW52ZW50VGFibGVNb2R1bGUJNwAAAAcUAAAAAAEAAAAQAAAABC1HbG9iZVNvZnR3YXJlLkF0bGFzNDAuQXRsYXNDb21tb24uVHlwZS5Db2x1bW4CAAAACTgAAAAJOQAAAAk6AAAACTsAAAAJPAAAAAk9AAAACT4AAAAJPwAAAAlAAAAACUEAAAAJQgAAAA0FERUAAAAEAAAABkMAAAANQXRsYXNSZXBvcnRfMw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vP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uv///7z///8GRwAAABBUYWJsZS5TYWxlc1RhYmxlCTAAAAABt////7z///8GSgAAABFUYWJsZS5JbnZlbnRUYWJsZQkzAAAAAbT///+8////Bk0AAAAXVGFibGUuSW52ZW50VGFibGVNb2R1bGU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sf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w////Pkdsb2JlU29mdHdhcmUuQXRsYXM0MC5BdGxhc0NvbW1vbi5UeXBlLkF0bGFzUXVlcnlBdHRyaWJ1dGVOYW1lAQAAAAd2YWx1ZV9fAAgCAAAAAgAAAAZRAAAAJDQ3NTIzZjFhLWIwNTgtNDk0Yy05ZDBiLTczNWRhNWZhNGYwMAGu////sf///wGt////sP///wAAAAAGVAAAAAR0cnVlAav///+x////Aar///+w////CwAAAAZXAAAAHUN1c3RvbWVyIC0gUGFja2luZyBzbGlwIGxpbmVzAaj///+x////Aaf///+w////GwAAAAZaAAAABFRydWUBpf///7H///8BpP///7D///8GAAAABl0AAAAFRmFsc2UBov///7H///8Bof///7D///8cAAAACVoAAAABn////7H///8Bnv///7D///8dAAAACV0AAAABnP///7H///8Bm////7D///8qAAAACVoAAAABmf///7H///8BmP///7D///8BAAAABmkAAAADMzY5AZb///+x////AZX///+w////JwAAAAZsAAAACz1EYXRhQXJlYUlkAZP///+x////AZL///+w////GQAAAAZvAAAAD0NlbGxzVmVydGljYWxseQGQ////sf///wGP////sP///wkAAAAKAY7///+x////AY3///+w////KAAAAAZ0AAAAAjExAYv///+x////AYr///+w////KwAAAAZ3AAAAEVRhYmxlU3R5bGVNZWRpdW0yBxwAAAAAAQAAAAQ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I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kAAAAUQ3VzdFBhY2tpbmdTbGlwVHJhbnMBAAAAAYb///+I////BnsAAAAKU2FsZXNUYWJsZQEAAAABhP///4j///8GfQAAAAtJbnZlbnRUYWJsZQEAAAABgv///4j///8GfwAAABFJbnZlbnRUYWJsZU1vZHV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gAAAABEAAAAJg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EAAAACRIAAAAHAAAACYMAAAABJQAAAAQAAAADAAAACYAAAAADAAAACYU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hgAAAAAAAAAHKgAAAAABAAAAAAAAAAQtR2xvYmVTb2Z0d2FyZS5BdGxhczQwLkF0bGFzQ29tbW9uLlR5cGUuQ29sdW1uAgAAAAExAAAADgAAAP////8GhwAAAApTYWxlc1RhYmxlBogAAAAMU2FsZXMgb3JkZXJzCQgAAAAJCAAAAAkIAAAAAXb////g////AAAAAAmLAAAACYwAAAABc////93///8+0NhsXSX7QZaDcNHWQmCdCQgAAAAJCAAAAAmPAAAACTAAAAAGkQAAABRDdXN0UGFja2luZ1NsaXBUcmFucwaSAAAAGlRhYmxlLkN1c3RQYWNraW5nU2xpcFRyYW5zBpMAAAAiVGFibGUuQ3VzdFBhY2tpbmdTbGlwVHJhbnMuU2FsZXNJZAaUAAAAB1NhbGVzSWQGlQAAAAdTYWxlc0lkAQAAAAFq////2f///wAAAAABaf///9j///8AAAAAAAmYAAAAATQAAAAOAAAA/////waZAAAAC0ludmVudFRhYmxlBpoAAAAFSXRlbXMJCAAAAAkIAAAACQgAAAABZP///+D///8AAAAACZ0AAAAJngAAAAFh////3f///zJwWgxM0oVOj+iheHXSGqYJCAAAAAkIAAAACaEAAAAJMwAAAAajAAAAFEN1c3RQYWNraW5nU2xpcFRyYW5zBqQAAAAaVGFibGUuQ3VzdFBhY2tpbmdTbGlwVHJhbnMGpQAAACFUYWJsZS5DdXN0UGFja2luZ1NsaXBUcmFucy5JdGVtSWQGpgAAAAZJdGVtSWQGpwAAAAZJdGVtSWQBAAAAAVj////Z////AAAAAAFX////2P///wAAAAAACaoAAAABNwAAAA4AAAD/////BqsAAAARSW52ZW50VGFibGVNb2R1bGUGrAAAABtJbnZlbnRvcnkgbW9kdWxlIHBhcmFtZXRlcnMJCAAAAAkIAAAACQgAAAABUv///+D///8AAAAACa8AAAAJsAAAAAFP////3f///8vizqVuVH5LktyfmW/IUWsJCAAAAAkIAAAACbMAAAAJNgAAAAa1AAAAFEN1c3RQYWNraW5nU2xpcFRyYW5zBrYAAAAaVGFibGUuQ3VzdFBhY2tpbmdTbGlwVHJhbnMGtwAAACFUYWJsZS5DdXN0UGFja2luZ1NsaXBUcmFucy5JdGVtSWQGuAAAAAZJdGVtSWQGuQAAAAZJdGVtSWQBAAAAAUb////Z////AAAAAAFF////2P///wAAAAAACbw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vQAAAAm+AAAACb8AAAAGwAAAAApEYXRhQXJlYUlkBsEAAAAQQ29tcGFueSBhY2NvdW50cwbCAAAABlN0cmluZwkIAAAABsQAAAAkZWEyNDRhMjMtYzVjMS00Njg2LTk4MWUtNmEwN2EzYzY3Zjk4BTv///8tR2xvYmVTb2Z0d2FyZS5BdGxhczQwLkF0bGFzQ29tbW9uLkFnZ3JlZ2F0aW9uAQAAAAd2YWx1ZV9fAAgCAAAA/////wAAAAAFOv///yxHbG9iZVNvZnR3YXJlLkF0bGFzNDAuQXRsYXNDb21tb24uQ29sdW1uVHlwZQEAAAAHdmFsdWVfXwAIAgAAAAAAAAAFOf///ytHbG9iZVNvZnR3YXJlLkF0bGFzNDAuQXRsYXNDb21tb24uU29ydE9yZGVyAQAAAAd2YWx1ZV9fAAgCAAAAAgAAAAAAAAAABTj///9AR2xvYmVTb2Z0d2FyZS5BdGxhczQwLkF0bGFzQ29tbW9uLlR5cGUuQ29sdW1uK0Nyb3NzVGFiQ29sdW1uVHlwZQEAAAAHdmFsdWVfXwAIAgAAAAAAAAAKAQAAAAAAAAAAAAAAAAAGyQAAACQ3ZThhMmQ1NS05M2Q4LTQ3MmQtYWZjYi0xMDE3YmU1YzlmNTYGygAAACVUYWJsZS5DdXN0UGFja2luZ1NsaXBUcmFucy5EYXRhQXJlYUlkCgoKCgE5AAAAOAAAAAnLAAAACcwAAAAJzQAAAAbOAAAAB1NhbGVzSWQGzwAAAAtTYWxlcyBvcmRlcgbQAAAABlN0cmluZwkIAAAABtIAAAAkZGY5YzdiMjQtNTkwZS00YjcxLTg4N2ItMTUyYWI5MWRmMTg2AS3///87/////////wEAAAABLP///zr///8AAAAAASv///85////AgAAAAAAAAAAASr///84////AAAAAAoBAAAAAAAAAAABAAAAAAbXAAAAJDFhMmY1YWEzLWU3YjItNDU5OS1hZWNjLWQ3MTY1ZWY4OWY1NQbYAAAAIlRhYmxlLkN1c3RQYWNraW5nU2xpcFRyYW5zLlNhbGVzSWQKCgoKAToAAAA4AAAACdkAAAAJ2gAAAAnbAAAABtwAAAAGSXRlbUlkBt0AAAAESXRlbQbeAAAABlN0cmluZwkIAAAABuAAAAAkMDQ1NjQyMjItZDJhNi00ZTdiLThlNTMtNTdiYTFhN2IyZjIzAR////87/////////wIAAAABHv///zr///8AAAAAAR3///85////AgAAAAAAAAAAARz///84////AAAAAAoBAAAAAAAAAAACAAAAAAblAAAAJDY0MDFhNjVjLWFjZDItNDliNC1iMzRkLTA4MzQzNDkyODg5YQbmAAAAIVRhYmxlLkN1c3RQYWNraW5nU2xpcFRyYW5zLkl0ZW1JZAoKCgoBOwAAADgAAAAJ5wAAAAnoAAAACekAAAAG6gAAAAhJdGVtTmFtZQbrAAAACUl0ZW0gbmFtZQbsAAAABlN0cmluZwkIAAAABu4AAAAkYjgzMmU3MzItNTA1Yi00NTAxLThhYTUtNTc3ZDEwZjVjZGEyARH///87/////////wMAAAABEP///zr///8AAAAAAQ////85////AgAAAAAAAAAAAQ7///84////AAAAAAoBAAAAAAAAAAADAAAAAAbzAAAAJGMyM2IwNzFlLWY4ZWEtNDJhMi1iMTgyLWNkNWVkNWU1NjY2ZAb0AAAAPFRhYmxlLkN1c3RQYWNraW5nU2xpcFRyYW5zLkl0ZW1JZH5UYWJsZS5JbnZlbnRUYWJsZS5JdGVtTmFtZQoKCgoBPAAAADgAAAAJ9QAAAAn2AAAACfcAAAAG+AAAAAxEZWxpdmVyeURhdGUG+QAAAAlTaGlwIGRhdGUG+gAAAAREYXRlCQgAAAAG/AAAACRjYmMxYjEwOS1jYTdjLTQ2ODQtYjRjOC1kNTg1ZGIwNjEyMTIBA////zv/////////BAAAAAEC////Ov///wAAAAABAf///zn///8CAAAAAAAAAAABAP///zj///8AAAAACgEAAAAAAAAAAAQAAAAABgEBAAAkZDZhM2JjZWQtMjE1Ni00ZjcyLWJlNjUtNjY5Mzk3MDllNjllBgIBAAAnVGFibGUuQ3VzdFBhY2tpbmdTbGlwVHJhbnMuRGVsaXZlcnlEYXRlCgoKCgE9AAAAOAAAAAkDAQAACQQBAAAJBQEAAAYGAQAAA1F0eQYHAQAACURlbGl2ZXJlZAYIAQAABFJlYWwJCAAAAAYKAQAAJGI1MmFjNWNjLTgwOWUtNGJjNC04M2Y1LWFiNDExNDIyNTljNAH1/v//O////wEAAAAFAAAAAfT+//86////AAAAAAHz/v//Of///wIAAAAAAAAAAAHy/v//OP///wAAAAAKAQAAAAAAAAAABQAAAAAGDwEAACQzYWZmNWQ5Yy0zYzc1LTRlNjUtODE4Yy1hYjA5MTg2ZjhkMGQGEAEAAB5UYWJsZS5DdXN0UGFja2luZ1NsaXBUcmFucy5RdHkKCgoKAT4AAAA4AAAACREBAAAJEgEAAAkTAQAABhQBAAAJU2FsZXNVbml0BhUBAAAKU2FsZXMgdW5pdAYWAQAABlN0cmluZwkIAAAABhgBAAAkZjI0YWIxNjYtYjFjYy00ZTk3LTgwZTItN2YxZTc4MTQ4OTllAef+//87/////////wYAAAAB5v7//zr///8AAAAAAeX+//85////AgAAAAAAAAAAAeT+//84////AAAAAAoBAAAAAAAAAAAGAAAAAAYdAQAAJDFkMTgwNGVmLTg1MWItNGI5YS1iYzY4LTY4MzhjNjQxYjA4MAYeAQAAJFRhYmxlLkN1c3RQYWNraW5nU2xpcFRyYW5zLlNhbGVzVW5pdAoKCgoBPwAAADgAAAAJHwEAAAkgAQAACSEBAAAGIgEAADdBdGxhc01hbmFnZWRDb2x1bW5fNmRmN2JjZmYtYjVhYy00YWRhLTg0YzItZTYzYzdlNDIyYjg3BiMBAAAUSW52ZW50IHF0eSBkZWxpdmVyZWQJCAAAAAkIAAAABiUBAAAkYTc1MGM5YWMtYmMyNi00OGEyLThlNzYtN2M3YjgxMDE2YTY5Adr+//87/////////wcAAAAB2f7//zr///8CAAAAAdj+//85////AgAAAAAAAAAAAdf+//84////AAAAAAoBAAAAAAAAAAAHAAAAAAYqAQAAJGZhYmI1YjIyLWJkNWQtNGYyNS1iOWNlLWYxMGVhMWE2ZDlhNAkIAAAACgoKCgFAAAAAOAAAAAksAQAACS0BAAAJLgEAAAYvAQAABlVuaXRJZAYwAQAAC0ludmVudCB1bml0BjEBAAAGU3RyaW5nCQgAAAAGMwEAACQ2YjJiMDA2ZS02M2E3LTQxYzctOGYxYS0zNTExYjEyYjlkODIBzP7//zv/////////CAAAAAHL/v//Ov///wAAAAAByv7//zn///8CAAAAAAAAAAAByf7//zj///8AAAAACgEAAAAAAAAAAAgAAAAABjgBAAAkZTU2NDJiYjItOThjZC00MGJlLTkzNjgtNjY0NTkwZDNmNDgyBjkBAABAVGFibGUuQ3VzdFBhY2tpbmdTbGlwVHJhbnMuSXRlbUlkflRhYmxlLkludmVudFRhYmxlTW9kdWxlLlVuaXRJZAoKCgoBQQAAADgAAAAJOgEAAAk7AQAACTwBAAAGPQEAAA1JbnZlbnRUcmFuc0lkBj4BAAAGTG90IElEBj8BAAAGU3RyaW5nCQgAAAAGQQEAACRhODRjNjAwMS1kZGRiLTQ5ZGMtYmZkOC03ZGRkMzI2NmE1YTEBvv7//zv/////////CQAAAAG9/v//Ov///wAAAAABvP7//zn///8CAAAAAAAAAAABu/7//zj///8AAAAACgEAAAAAAAAAAAkAAAAABkYBAAAkM2Y2NTc3Y2YtNGU4Ny00MmE0LThlYTMtMGRhNTEzZGQ0ZmU1BkcBAAAoVGFibGUuQ3VzdFBhY2tpbmdTbGlwVHJhbnMuSW52ZW50VHJhbnNJZAoKCgoBQgAAADgAAAAJSAEAAAlJAQAACUoBAAAGSwEAAA1QYWNraW5nU2xpcElkBkwBAAAMUGFja2luZyBzbGlwBk0BAAAGU3RyaW5nCQgAAAAGTwEAACRkNjllZDM0MS1jYWNmLTQyOGEtOGZlYS1hYzAxZGE5MGZmM2YBsP7//zv/////////CgAAAAGv/v//Ov///wAAAAABrv7//zn///8CAAAAAAAAAAABrf7//zj///8AAAAACgEAAAAAAAAAAAoAAAAABlQBAAAkZDRjM2FjYjgtNmRiMy00NjIyLWJlMWItYTAxOGUwODBkOGMwBlUBAAAoVGFibGUuQ3VzdFBhY2tpbmdTbGlwVHJhbnMuUGFja2luZ1NsaXBJZAoKCgoBgAAAABIAAAAHgQA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qv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VwEAACVUYWJsZS5DdXN0UGFja2luZ1NsaXBUcmFucy5EYXRhQXJlYUlkCVgBAAABp/7//6r+//8GWgEAACJUYWJsZS5DdXN0UGFja2luZ1NsaXBUcmFucy5TYWxlc0lkCVsBAAABpP7//6r+//8GXQEAACFUYWJsZS5DdXN0UGFja2luZ1NsaXBUcmFucy5JdGVtSWQJXgEAAAGh/v//qv7//wZgAQAAJ1RhYmxlLkN1c3RQYWNraW5nU2xpcFRyYW5zLkRlbGl2ZXJ5RGF0ZQlhAQAAAZ7+//+q/v//BmMBAAAeVGFibGUuQ3VzdFBhY2tpbmdTbGlwVHJhbnMuUXR5CWQBAAABm/7//6r+//8GZgEAACRUYWJsZS5DdXN0UGFja2luZ1NsaXBUcmFucy5TYWxlc1VuaXQJZwEAAAGY/v//qv7//wZpAQAAKFRhYmxlLkN1c3RQYWNraW5nU2xpcFRyYW5zLkludmVudFRyYW5zSWQJagEAAAGV/v//qv7//wZsAQAAKFRhYmxlLkN1c3RQYWNraW5nU2xpcFRyYW5zLlBhY2tpbmdTbGlwSWQJbQEAAAeDAA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v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ZvAQAAIVRhYmxlLkN1c3RQYWNraW5nU2xpcFRyYW5zLkl0ZW1JZAlwAQAAAY/+//+S/v//BnIBAAAnVGFibGUuQ3VzdFBhY2tpbmdTbGlwVHJhbnMuRGVsaXZlcnlEYXRlCXMBAAABjP7//5L+//8GdQEAACdUYWJsZS5DdXN0UGFja2luZ1NsaXBUcmFucy5EaW1lbnNpb25bOF0JdgEAAAGJ/v//kv7//wZ4AQAAJ1RhYmxlLkN1c3RQYWNraW5nU2xpcFRyYW5zLkRpbWVuc2lvbls3XQl5AQAAB4U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Yb+///U////CTAAAAAJMQAAAAGD/v//1P///wkzAAAACTQAAAABgP7//9T///8JNgAAAAk3AAAABIY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SL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gwEAAAAAAAABjAAAACIAAAABAAAACRIAAAADAAAACYUBAAAEjw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MBAAAAAAAAAZgAAAApAAAAAAAAAAmHAQAAAAAAAAGdAAAAIQAAAAEAAAAJiAEAAAMAAAAJiQEAAASe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KE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QAAAAAAAAGqAAAAKQAAAAAAAAAJjAEAAAAAAAABrwAAACEAAAABAAAACY0BAAADAAAACY4BAAABsAAAACIAAAABAAAACRIAAAADAAAACZABAAAEsw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0BAAAAAAAAAbwAAAApAAAAAAAAAAmSAQAAAAAAAAS9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TAQAAAQAAAAEAAAAEv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HAAAACZQBAAAHAAAACZUBAAAEv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EAAAACZYBAAAHAAAACZcBAAABywAAAL0AAAAJmAEAAAEAAAABAAAAAcwAAAC+AAAAzgAAAAmZAQAABwAAAAmaAQAABM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wAAAAmbAQAABwAAAAmcAQAAAdkAAAC9AAAACZ0BAAABAAAAAQAAAAHaAAAAvgAAAAcBAAAJngEAAAcAAAAJnwEAAATb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fwAAAAJgwEAAAcAAAAJoQEAAAHnAAAAvQAAAAmiAQAAAQAAAAEAAAAB6AAAAL4AAADtAAAACaMBAAAHAAAACaQBAAAE6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nAAAACYgBAAAHAAAACaYBAAAB9QAAAL0AAAAJpwEAAAEAAAABAAAAAfYAAAC+AAAA3AAAAAmoAQAABwAAAAmpAQAABP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2QAAAAmqAQAABwAAAAmrAQAAAQMBAAC9AAAACawBAAABAAAAAQAAAAEEAQAAvgAAAAcBAAAJngEAAAcAAAAJrgEAAAQ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fwAAAAJgwEAAAcAAAAJsAEAAAERAQAAvQAAAAmxAQAAAQAAAAEAAAABEgEAAL4AAADiAAAACagBAAAHAAAACbMBAAAEE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ZAAAACaoBAAAHAAAACbUBAAABHwEAAL0AAAAJtgEAAAAAAAAAAAAAASABAAC+AAAA4AAAAAmoAQAABwAAAAm4AQAABC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0gAAAAmqAQAABwAAAAm6AQAAASwBAAC9AAAACbsBAAABAAAAAQAAAAEtAQAAvgAAAMcAAAAJvAEAAAcAAAAJvQEAAAQ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jQEAAAcAAAAJvwEAAAE6AQAAvQAAAAnAAQAAAQAAAAEAAAABOwEAAL4AAADHAAAACZQBAAAHAAAACcIBAAAEP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EAAAACZYBAAAHAAAACcQBAAABSAEAAL0AAAAJxQEAAAEAAAABAAAAAUkBAAC+AAAAAwAAAAnGAQAAAwAAAAnHAQAAAUoBAAAQAAAAAAAAAAkSAAAAAAAAAAVY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3/v//O/////////8ABsoBAAAGU3RyaW5nBssBAAAQQ29tcGFueSBhY2NvdW50cwnMAQAAATP+//85////AgAAAAUy/v//OUdsb2JlU29mdHdhcmUuQXRsYXM0MC5BdGxhc0NvbW1vbi5OdW1iZXJTZXF1ZW5jZUNvbmRpdGlvbgEAAAAHdmFsdWVfXwAIAgAAAAEAAAAAAAbPAQAAGlRhYmxlLkN1c3RQYWNraW5nU2xpcFRyYW5zCcAAAAAJCAAAAAr/////Cc8BAAAKCcAAAAAKCgoJCAAAAAnVAQAACQgAAAABWwEAAFgBAAABKf7//zv/////////AAbYAQAABlN0cmluZwbZAQAAC1NhbGVzIG9yZGVyCdoBAAABJf7//zn///8CAAAAAST+//8y/v//AQAAAAAABt0BAAAaVGFibGUuQ3VzdFBhY2tpbmdTbGlwVHJhbnMJzgAAAAkIAAAACv////8J3QEAAAoJzgAAAAoKCgkIAAAACeMBAAAJCAAAAAFeAQAAWAEAAAEb/v//O/////////8ABuYBAAAGU3RyaW5nBucBAAAESXRlbQnoAQAAARf+//85////AgAAAAEW/v//Mv7//wEAAAAAAAbrAQAAGlRhYmxlLkN1c3RQYWNraW5nU2xpcFRyYW5zCdwAAAAJCAAAAAr/////CesBAAAKCdwAAAAKCgoJCAAAAAnxAQAACQgAAAABYQEAAFgBAAABDf7//zv/////////AAb0AQAABERhdGUG9QEAAAlTaGlwIGRhdGUJ9gEAAAEJ/v//Of///wIAAAABCP7//zL+//8BAAAAAAAG+QEAABpUYWJsZS5DdXN0UGFja2luZ1NsaXBUcmFucwn4AAAACQgAAAAK/////wn5AQAACgn4AAAACgoKCQgAAAAJ/wEAAAkIAAAAAWQBAABYAQAAAf/9//87/////////wAGAgIAAARSZWFsBgMCAAAJRGVsaXZlcmVkCegBAAAB+/3//zn///8CAAAAAfr9//8y/v//AQAAAAAACesBAAAJBgEAAAkIAAAACv////8J6wEAAAoJBgEAAAoKCgkIAAAACQ0CAAAJCAAAAAFnAQAAWAEAAAHx/f//O/////////8ABhACAAAGU3RyaW5nBhECAAAEVW5pdAn2AQAAAe39//85////AgAAAAHs/f//Mv7//wEAAAAAAAn5AQAACRQBAAAJCAAAAAr/////CfkBAAAKCRQBAAAKCgoJCAAAAAkbAgAACQgAAAABagEAAFgBAAAB4/3//zv/////////AAYeAgAABlN0cmluZwYfAgAABkxvdCBJRAnMAQAAAd/9//85////AgAAAAHe/f//Mv7//wEAAAAAAAnPAQAACT0BAAAJCAAAAAr/////Cc8BAAAKCT0BAAAKCgoJCAAAAAkpAgAACQgAAAABbQEAAFgBAAAB1f3//zv/////////AAYsAgAABlN0cmluZwYtAgAADFBhY2tpbmcgc2xpcAkuAgAAAdH9//85////AgAAAAHQ/f//Mv7//wEAAAAAAAYxAgAAGlRhYmxlLkN1c3RQYWNraW5nU2xpcFRyYW5zCUsBAAAJCAAAAAr/////CTECAAAKCUsBAAAKCgoJCAAAAAk3AgAACQgAAAAFcA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jkCAAAaVGFibGUuQ3VzdFBhY2tpbmdTbGlwVHJhbnMGOgIAAAZJdGVtSWQJCAAAAAY8AgAAASr/////CTkCAAAKCToCAAAKCgoJCAAAAAlAAgAACQgAAAABcwEAAHABAAAJOQIAAAZDAgAADERlbGl2ZXJ5RGF0ZQkIAAAABkUCAAAWMS4xLjIwMjEgLi4gMTIuMzEuMjAyMf////8JOQIAAAoJQwIAAAoKCgkIAAAACUkCAAAJCAAAAAF2AQAAcAEAAAk5AgAABkwCAAAMRGltZW5zaW9uWzhdCQgAAAAGTgIAAAEq/////wk5AgAACglMAgAACgoKCQgAAAAJUgIAAAkIAAAAAXkBAABwAQAACTkCAAAGVQIAAAxEaW1lbnNpb25bN10JCAAAAAZXAgAAB0FzcGhhbHT/////CTkCAAAKCVUCAAAKCgoJCAAAAAlbAgAACQgAAAABgwEAABIAAAAHh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aP9//+S/v//Bl4CAAA9VGFibGUuQ3VzdFBhY2tpbmdTbGlwVHJhbnMuU2FsZXNJZH5UYWJsZS5TYWxlc1RhYmxlLkN1c3RHcm91cAlfAgAAAYcBAACGAAAAAYgBAAASAAAAB4k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D9//+q/v//BmECAAA8VGFibGUuQ3VzdFBhY2tpbmdTbGlwVHJhbnMuSXRlbUlkflRhYmxlLkludmVudFRhYmxlLkl0ZW1OYW1lCWICAAABjAEAAIYAAAABjQEAABIAAAAHj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f3//6r+//8GZAIAAEBUYWJsZS5DdXN0UGFja2luZ1NsaXBUcmFucy5JdGVtSWR+VGFibGUuSW52ZW50VGFibGVNb2R1bGUuVW5pdElkCWUCAAAHkA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Zr9//+S/v//BmcCAABEVGFibGUuQ3VzdFBhY2tpbmdTbGlwVHJhbnMuSXRlbUlkflRhYmxlLkludmVudFRhYmxlTW9kdWxlLk1vZHVsZVR5cGUJaAIAAAGSAQAAhgAAAAeTAQAAAAEAAAAEAAAABDdHbG9iZVNvZnR3YXJlLkF0bGFzNDAuQXRsYXNDb21tb24uVHlwZS5GaWVsZE91dHB1dEZpZWxkAgAAAAlYAQAADQMElA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l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Jb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lf3//zJHbG9iZVNvZnR3YXJlLkF0bGFzNDAuQXRsYXNDb21tb24uQ29sdW1uQXR0cmlidXRlcwEAAAAHdmFsdWVfXwAIAgAAAAkAAAAJCAAAAAGT/f//lv3//wGS/f//lf3//wsAAAAGbwIAAAEwAZD9//+W/f//AY/9//+V/f//BAAAAAZyAgAAB0dlbmVyYWwBjf3//5b9//8BjP3//5X9//8CAAAABnUCAAABMQGK/f//lv3//wGJ/f//lf3//wAAAAAGeAIAAAQ5LjI5AZYBAAASAAAAB5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h/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6AgAACEZvbnRCb2xkBnsCAAAFRmFsc2UBhP3//4f9//8GfQIAAApGb250SXRhbGljCXsCAAABgf3//4f9//8GgAIAAA1Gb250VW5kZXJsaW5lBoECAAAFLTQxNDIBfv3//4f9//8GgwIAAAhGb250TmFtZQaEAgAAB0NhbGlicmkBe/3//4f9//8GhgIAAAlGb250Q29sb3IGhwIAAAEwAXj9//+H/f//BokCAAAIRm9udFNpemUGigIAAAIxMQF1/f//h/3//waMAgAACUZvbnRTdHlsZQaNAgAAB1JlZ3VsYXIHmAEAAAABAAAABAAAAAQ3R2xvYmVTb2Z0d2FyZS5BdGxhczQwLkF0bGFzQ29tbW9uLlR5cGUuRmllbGRPdXRwdXRGaWVsZAIAAAAJWwEAAA0DAZkBAACUAQAAB5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x/f//lv3//wFw/f//lf3//wkAAAAJCAAAAAFu/f//lv3//wFt/f//lf3//wsAAAAGlAIAAAExAWv9//+W/f//AWr9//+V/f//BAAAAAaXAgAAB0dlbmVyYWwBaP3//5b9//8BZ/3//5X9//8CAAAABpoCAAABMQFl/f//lv3//wFk/f//lf3//wAAAAAGnQIAAAUxNC4yOQGbAQAAEgAAAAe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L9//+H/f//Bp8CAAAIRm9udEJvbGQJewIAAAFf/f//h/3//waiAgAACkZvbnRJdGFsaWMJewIAAAFc/f//h/3//walAgAADUZvbnRVbmRlcmxpbmUGpgIAAAUtNDE0MgFZ/f//h/3//waoAgAACEZvbnROYW1lBqkCAAAHQ2FsaWJyaQFW/f//h/3//warAgAACUZvbnRDb2xvcgasAgAAATABU/3//4f9//8GrgIAAAhGb250U2l6ZQavAgAAAjExAVD9//+H/f//BrECAAAJRm9udFN0eWxlBrICAAAHUmVndWxhcgedAQAAAAEAAAAEAAAABDdHbG9iZVNvZnR3YXJlLkF0bGFzNDAuQXRsYXNDb21tb24uVHlwZS5GaWVsZE91dHB1dEZpZWxkAgAAAAleAQAADQMBngEAAJQBAAAHn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z9//+W/f//AUv9//+V/f//EAAAAAa2AgAABE5vbmUBSf3//5b9//8BSP3//5X9//8JAAAACQgAAAABRv3//5b9//8BRf3//5X9//8LAAAABrwCAAABMgFD/f//lv3//wFC/f//lf3//wQAAAAGvwIAAAdHZW5lcmFsAUD9//+W/f//AT/9//+V/f//AgAAAAbCAgAAATEBPf3//5b9//8BPP3//5X9//8AAAAABsUCAAAFMTcuNDMHo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6/f//h/3//wbHAgAACEZvbnRCb2xkCXsCAAABN/3//4f9//8GygIAAApGb250SXRhbGljCXsCAAABNP3//4f9//8GzQIAAA1Gb250VW5kZXJsaW5lBs4CAAAFLTQxNDIBMf3//4f9//8G0AIAAAhGb250TmFtZQbRAgAAB0NhbGlicmkBLv3//4f9//8G0wIAAAlGb250Q29sb3IG1AIAAAEwASv9//+H/f//BtYCAAAIRm9udFNpemUG1wIAAAIxMQEo/f//h/3//wbZAgAACUZvbnRTdHlsZQbaAgAAB1JlZ3VsYXIHogEAAAABAAAABAAAAAQ3R2xvYmVTb2Z0d2FyZS5BdGxhczQwLkF0bGFzQ29tbW9uLlR5cGUuRmllbGRPdXRwdXRGaWVsZAIAAAAJYgIAAA0DAaMBAACUAQAAB6Q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k/f//lv3//wEj/f//lf3//wkAAAAJCAAAAAEh/f//lv3//wEg/f//lf3//wsAAAAG4QIAAAEzAR79//+W/f//AR39//+V/f//BAAAAAbkAgAAB0dlbmVyYWwBG/3//5b9//8BGv3//5X9//8CAAAABucCAAABMQEY/f//lv3//wEX/f//lf3//wAAAAAG6gIAAAUzNS4xNAe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9//+H/f//BuwCAAAIRm9udEJvbGQJewIAAAES/f//h/3//wbvAgAACkZvbnRJdGFsaWMJewIAAAEP/f//h/3//wbyAgAADUZvbnRVbmRlcmxpbmUG8wIAAAUtNDE0MgEM/f//h/3//wb1AgAACEZvbnROYW1lBvYCAAAHQ2FsaWJyaQEJ/f//h/3//wb4AgAACUZvbnRDb2xvcgb5AgAAATABBv3//4f9//8G+wIAAAhGb250U2l6ZQb8AgAAAjExAQP9//+H/f//Bv4CAAAJRm9udFN0eWxlBv8CAAAHUmVndWxhcgenAQAAAAEAAAAEAAAABDdHbG9iZVNvZnR3YXJlLkF0bGFzNDAuQXRsYXNDb21tb24uVHlwZS5GaWVsZE91dHB1dEZpZWxkAgAAAAlhAQAADQMBqAEAAJQBAAAHq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/8//+W/f//Af78//+V/f//CQAAAAkIAAAAAfz8//+W/f//Afv8//+V/f//CwAAAAYGAwAAATQB+fz//5b9//8B+Pz//5X9//8EAAAABgkDAAAIbS9kL3l5eXkB9vz//5b9//8B9fz//5X9//8CAAAABgwDAAABMQHz/P//lv3//wHy/P//lf3//wAAAAAGDwMAAAUxMC44NgGqAQAAEgAAAAe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D8//+H/f//CewCAAAJewIAAAHt/P//h/3//wnvAgAACXsCAAAB6vz//4f9//8J8gIAAAYYAwAABS00MTQyAef8//+H/f//CfUCAAAGGwMAAAdDYWxpYnJpAeT8//+H/f//CfgCAAAGHgMAAAEwAeH8//+H/f//CfsCAAAGIQMAAAIxMQHe/P//h/3//wn+AgAABiQDAAAHUmVndWxhcgesAQAAAAEAAAAEAAAABDdHbG9iZVNvZnR3YXJlLkF0bGFzNDAuQXRsYXNDb21tb24uVHlwZS5GaWVsZE91dHB1dEZpZWxkAgAAAAlkAQAADQMHr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r8//+W/f//Adn8//+V/f//EAAAAAm2AgAAAdf8//+W/f//Adb8//+V/f//CQAAAAkIAAAAAdT8//+W/f//AdP8//+V/f//CwAAAAYuAwAAATUB0fz//5b9//8B0Pz//5X9//8EAAAABjEDAAAHR2VuZXJhbAHO/P//lv3//wHN/P//lf3//wIAAAAGNAMAAAExAcv8//+W/f//Acr8//+V/f//AAAAAAY3AwAABTExLjI5B7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z//4f9//8JxwIAAAl7AgAAAcX8//+H/f//CcoCAAAJewIAAAHC/P//h/3//wnNAgAABkADAAAFLTQxNDIBv/z//4f9//8J0AIAAAZDAwAAB0NhbGlicmkBvPz//4f9//8J0wIAAAZGAwAAATABufz//4f9//8J1gIAAAZJAwAAAjExAbb8//+H/f//CdkCAAAGTAMAAAdSZWd1bGFyB7EBAAAAAQAAAAQAAAAEN0dsb2JlU29mdHdhcmUuQXRsYXM0MC5BdGxhc0NvbW1vbi5UeXBlLkZpZWxkT3V0cHV0RmllbGQCAAAACWcBAAANAwez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vz//5b9//8Bsfz//5X9//8JAAAACQgAAAABr/z//5b9//8Brvz//5X9//8LAAAABlMDAAABNgGs/P//lv3//wGr/P//lf3//wQAAAAGVgMAAAdHZW5lcmFsAan8//+W/f//Aaj8//+V/f//AgAAAAZZAwAAATEBpvz//5b9//8Bpfz//5X9//8AAAAABlwDAAAENi40MwGj/P//lv3//wGi/P//lf3//yQAAAAJFQEAAAe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D8//+H/f//CewCAAAJewIAAAGd/P//h/3//wnvAgAACXsCAAABmvz//4f9//8J8gIAAAZoAwAABS00MTQyAZf8//+H/f//CfUCAAAGawMAAAdDYWxpYnJpAZT8//+H/f//CfgCAAAGbgMAAAEwAZH8//+H/f//CfsCAAAGcQMAAAIxMQGO/P//h/3//wn+AgAABnQDAAAHUmVndWxhcge2AQAAAAEAAAAAAAAABDdHbG9iZVNvZnR3YXJlLkF0bGFzNDAuQXRsYXNDb21tb24uVHlwZS5GaWVsZE91dHB1dEZpZWxkAgAAAAe4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z//5b9//8Bivz//5X9//8kAAAACSMBAAABiPz//5b9//8Bh/z//5X9//8LAAAABnoDAAABNwGF/P//lv3//wGE/P//lf3//wQAAAAGfQMAAAdHZW5lcmFsAYL8//+W/f//AYH8//+V/f//AgAAAAaAAwAAATEBf/z//5b9//8Bfvz//5X9//8AAAAABoMDAAAFMTcuODYBfPz//5b9//8Be/z//5X9//8DAAAABoYDAABTPVNVTUlGUyhJbnZlbnRUcmFucyFGOkYsSW52ZW50VHJhbnMhQjpCLFtAW0xvdCBJRF1dLEludmVudFRyYW5zIUM6QyxbQFtTaGlwIGRhdGVdXSkHu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P//h/3//waIAwAACEZvbnRCb2xkCXsCAAABdvz//4f9//8GiwMAAApGb250SXRhbGljCXsCAAABc/z//4f9//8GjgMAAA1Gb250VW5kZXJsaW5lBo8DAAAFLTQxNDIBcPz//4f9//8GkQMAAAhGb250TmFtZQaSAwAAB0NhbGlicmkBbfz//4f9//8GlAMAAAlGb250Q29sb3IGlQMAAAEwAWr8//+H/f//BpcDAAAIRm9udFNpemUGmAMAAAIxMQFn/P//h/3//waaAwAACUZvbnRTdHlsZQabAwAAB1JlZ3VsYXIHuwEAAAABAAAABAAAAAQ3R2xvYmVTb2Z0d2FyZS5BdGxhczQwLkF0bGFzQ29tbW9uLlR5cGUuRmllbGRPdXRwdXRGaWVsZAIAAAAJZQIAAA0DAbwBAACUAQAAB70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P//lv3//wFi/P//lf3//wkAAAAJCAAAAAFg/P//lv3//wFf/P//lf3//wsAAAAGogMAAAE4AV38//+W/f//AVz8//+V/f//JAAAAAkwAQAAAVr8//+W/f//AVn8//+V/f//BAAAAAaoAwAAB0dlbmVyYWwBV/z//5b9//8BVvz//5X9//8CAAAABqsDAAABMQFU/P//lv3//wFT/P//lf3//wAAAAAGrgMAAAQ3LjQzB78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z//4f9//8JegIAAAl7AgAAAU78//+H/f//CX0CAAAJewIAAAFL/P//h/3//wmAAgAABrcDAAAFLTQxNDIBSPz//4f9//8JgwIAAAa6AwAAB0NhbGlicmkBRfz//4f9//8JhgIAAAa9AwAAATABQvz//4f9//8JiQIAAAbAAwAAAjExAT/8//+H/f//CYwCAAAGwwMAAAdSZWd1bGFyB8ABAAAAAQAAAAQAAAAEN0dsb2JlU29mdHdhcmUuQXRsYXM0MC5BdGxhc0NvbW1vbi5UeXBlLkZpZWxkT3V0cHV0RmllbGQCAAAACWoBAAANAwfC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/z//5b9//8BOvz//5X9//8JAAAACQgAAAABOPz//5b9//8BN/z//5X9//8LAAAABsoDAAABOQE1/P//lv3//wE0/P//lf3//wQAAAAGzQMAAAdHZW5lcmFsATL8//+W/f//ATH8//+V/f//AgAAAAbQAwAAATEBL/z//5b9//8BLvz//5X9//8AAAAABtMDAAAEOS40MwfE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z8//+H/f//CXoCAAAJewIAAAEp/P//h/3//wl9AgAACXsCAAABJvz//4f9//8JgAIAAAbcAwAABS00MTQyASP8//+H/f//CYMCAAAG3wMAAAdDYWxpYnJpASD8//+H/f//CYYCAAAG4gMAAAEwAR38//+H/f//CYkCAAAG5QMAAAIxMQEa/P//h/3//wmMAgAABugDAAAHUmVndWxhcgfFAQAAAAEAAAAEAAAABDdHbG9iZVNvZnR3YXJlLkF0bGFzNDAuQXRsYXNDb21tb24uVHlwZS5GaWVsZE91dHB1dEZpZWxkAgAAAAltAQAADQMBxgEAAJQBAAAHxwE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b8//+W/f//ARX8//+V/f//CQAAAAkIAAAAARP8//+W/f//ARL8//+V/f//CwAAAAbvAwAAAjEwAcwBAAAOAAAA/////wbwAwAAFEN1c3RQYWNraW5nU2xpcFRyYW5zBvEDAAAdQ3VzdG9tZXIgLSBQYWNraW5nIHNsaXAgbGluZXMJCAAAAAkIAAAACQgAAAABDfz//+D///8AAAAACfQDAAAJ9QMAAAEK/P//3f///xibWGlMoHpDrmm2LamVJ4oJCAAAAAkIAAAACfgDAAAJzwEAAAoKCgoKAQAAAAEG/P//2f///wAAAAABBfz//9j///8AAAAAAAn8AwAABN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gAAAAmWAQAAAwAAAAn+AwAAAdoBAAAOAAAA/////wb/AwAAFEN1c3RQYWNraW5nU2xpcFRyYW5zBgAEAAAdQ3VzdG9tZXIgLSBQYWNraW5nIHNsaXAgbGluZXMJCAAAAAkIAAAACQgAAAAB/vv//+D///8AAAAACQMEAAAJBAQAAAH7+///3f///587x2T98OpJrLaH76c44JIJCAAAAAkIAAAACQcEAAAJ3QEAAAoKCgoKAQAAAAH3+///2f///wAAAAAB9vv//9j///8AAAAAAAkLBAAABO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AAAAAmbAQAAAwAAAAkNBAAAAegBAAAOAAAASAAAAAYOBAAAFEN1c3RQYWNraW5nU2xpcFRyYW5zBg8EAAAdQ3VzdG9tZXIgLSBQYWNraW5nIHNsaXAgbGluZXMJCAAAAAkIAAAACQgAAAAB7/v//+D///8AAAAACRIEAAAJEwQAAAHs+///3f///9mGVy3QSpNOiDs3qVZ3QuMJCAAAAAkIAAAACRYEAAAJ6wEAAAoKCgoKAQAAAAHo+///2f///wAAAAAB5/v//9j///8AAAAAAAkaBAAABP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QAAAAmDAQAAAwAAAAkcBAAAAfYBAAAOAAAA/////wYdBAAAFEN1c3RQYWNraW5nU2xpcFRyYW5zBh4EAAAdQ3VzdG9tZXIgLSBQYWNraW5nIHNsaXAgbGluZXMJCAAAAAkIAAAACQgAAAAB4Pv//+D///8AAAAACSEEAAAJIgQAAAHd+///3f///8mbNmhPe5FPk59kBP9XQpIJCAAAAAkIAAAACSUEAAAJ+QEAAAoKCgoKAQAAAAHZ+///2f///wAAAAAB2Pv//9j///8AAAAAAAkpBAAABP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AAAAAmqAQAAAwAAAAkrBAAABA0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QAAAAmDAQAAAwAAAAktBAAABBs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AAAAAmqAQAAAwAAAAkvBAAABCk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gAAAAmWAQAAAwAAAAkxBAAAAS4CAAAOAAAA/////wYyBAAAFEN1c3RQYWNraW5nU2xpcFRyYW5zBjMEAAAdQ3VzdG9tZXIgLSBQYWNraW5nIHNsaXAgbGluZXMJCAAAAAkIAAAACQgAAAABy/v//+D///8AAAAACTYEAAAJNwQAAAHI+///3f///4aeEUURtOxAmzZ+FVyW1fUJCAAAAAkIAAAACToEAAAJMQIAAAoKCgoKAQAAAAHE+///2f///wAAAAABw/v//9j///8AAAAAAAk+BAAABDc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ABAAABEA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QAAAAmNAQAAAwAAAAlCBAAABEk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QAAAAmNAQAAAwAAAAlEBAAABFI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QAAAAmNAQAAAwAAAAlGBAAABFs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QAAAAmNAQAAAwAAAAlIBAAAAV8CAABwAQAACTAAAAAGSgQAAAlDdXN0R3JvdXAJCAAAAAZMBAAABCFJQyr/////CTAAAAAKCUoEAAAGTwQAAAdTYWxlc0lkCgoJCAAAAAlRBAAACQgAAAABYgIAAFgBAAABrfv//zv/////////AAZUBAAABlN0cmluZwZVBAAACUl0ZW0gbmFtZQk0AAAAAan7//85////AgAAAAGo+///Mv7//wEAAAAAAAkzAAAACeoAAAAJCAAAAAr/////CTMAAAAKCeoAAAAGXgQAAAZJdGVtSWQGXwQAABRDdXN0UGFja2luZ1NsaXBUcmFucwoJCAAAAAlhBAAACQgAAAABZQIAAFgBAAABnfv//zv/////////AAZkBAAABlN0cmluZwZlBAAABFVuaXQJNwAAAAGZ+///Of///wIAAAABmPv//zL+//8BAAAAAAAJNgAAAAkvAQAACQgAAAAK/////wk2AAAACgkvAQAABm4EAAAGSXRlbUlkBm8EAAAUQ3VzdFBhY2tpbmdTbGlwVHJhbnMKCQgAAAAJcQQAAAkIAAAAAWgCAABwAQAACTYAAAAGdAQAAApNb2R1bGVUeXBlCQgAAAAGdgQAAAZJbnZlbnT/////CTYAAAAGeAQAABFJbnZlbnRUYWJsZU1vZHVsZQl0BAAABnoEAAAGSXRlbUlkCgoJCAAAAAl8BAAACQgAAAAB9AMAACEAAAAHAAAACX4EAAAHAAAACX8EAAAB9QMAACIAAAAEAAAACZsBAAAHAAAACYEEAAAB+AMAAAQAAAADAAAACX4EAAADAAAACYMEAAAB/AMAACkAAAAAAAAACYQEAAAAAAAAB/4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v//4f9//8GhgQAAAVMYWJlbAnLAQAAAXj7//+H/f//BokEAAAEVHlwZQnKAQAAAQMEAAAhAAAABQAAAAmLBAAABwAAAAmMBAAAAQQEAAAiAAAABAAAAAmqAQAABwAAAAmOBAAAAQcEAAAEAAAAAwAAAAmLBAAAAwAAAAmQBAAAAQsEAAApAAAAAAAAAAmRBAAAAAAAAAcN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77//+H/f//BpMEAAAFTGFiZWwJ2QEAAAFr+///h/3//waWBAAABFR5cGUJ2AEAAAESBAAAIQAAAAUAAAAJmAQAAAcAAAAJmQQAAAETBAAAIgAAAAYAAAAJmAQAAAcAAAAJmwQAAAEWBAAABAAAAAEAAAAJmAQAAAMAAAAJnQQAAAEaBAAAKQAAAAAAAAAJngQAAAAAAAAHH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+///h/3//wagBAAACEhlbHBUZXh0BqEEAAAOSWRlbnRpZnkgaXRlbS4BXvv//4f9//8GowQAAAVMYWJlbAnnAQAAAVv7//+H/f//BqYEAAAEVHlwZQnmAQAAASEEAAAhAAAACAAAAAmoBAAABwAAAAmpBAAAASIEAAAiAAAABAAAAAmqAQAABwAAAAmrBAAAASUEAAAEAAAAAwAAAAmoBAAAAwAAAAmtBAAAASkEAAApAAAAAAAAAAmuBAAAAAAAAAcr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7//+H/f//BrAEAAAFTGFiZWwJ9QEAAAFO+///h/3//wazBAAABFR5cGUJ9AEAAAct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v7//+H/f//CaAEAAAGtwQAACRUb3RhbCBxdWFudGl0eSBvZiB0aGlzIGl0ZW0gcmVsZWFzZWQBSPv//4f9//8JowQAAAkDAgAAAUX7//+H/f//CaYEAAAJAgIAAAcv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L7//+H/f//CbAEAAAJEQIAAAE/+///h/3//wmzBAAACRACAAAHM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8+///h/3//wmGBAAACR8CAAABOfv//4f9//8JiQQAAAkeAgAAATYEAAAhAAAACAAAAAnKBAAAEQAAAAnLBAAAATcEAAAiAAAABAAAAAnMBAAABwAAAAnNBAAAAToEAAAEAAAAAwAAAAnKBAAAAwAAAAnPBAAAAT4EAAApAAAAAAAAAAnQBAAAAAAAAAdA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/7//+H/f//BtIEAAAFTGFiZWwJLQIAAAEs+///h/3//wbVBAAABFR5cGUJLAIAAAdC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7//+H/f//BtgEAAAEVHlwZQnmAQAAASb7//+H/f//BtsEAAAFTGFiZWwJ5wEAAAEj+///h/3//wbeBAAACFJlZmVyc1RvBt8EAAALPUl0ZW1OdW1iZXIHR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+///h/3//wnYBAAACfQBAAABHfv//4f9//8J2wQAAAn1AQAAARr7//+H/f//Cd4EAAAG6AQAAAs9RGF0ZVBlcmlvZAdG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7//+H/f//CdgEAAAG6wQAAAZTdHJpbmcBFPv//4f9//8J2wQAAAbuBAAAFkRldGFpbCBNYXJrZXRpbmcgR3JvdXABEfv//4f9//8J3gQAAAbxBAAABD1ETUcHS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O+///h/3//wnYBAAACesEAAABC/v//4f9//8J2wQAAAb3BAAAFU1ham9yIE1hcmtldGluZyBHcm91cAEI+///h/3//wneBAAABvoEAAAEPU1NRwRR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EAAAAJjQEAAAMAAAAJ/AQAAARh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oAAAAJiAEAAAMAAAAJ/gQAAARx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jQEAAAMAAAAJAAUAAAR8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oAAAAJjQEAAAMAAAAJAgUAAAF+BAAAEgAAAAd/B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9+v//qv7//wYEBQAAIlRhYmxlLkN1c3RQYWNraW5nU2xpcFRyYW5zLlNhbGVzSWQJWwEAAAH6+v//qv7//wYHBQAAIVRhYmxlLkN1c3RQYWNraW5nU2xpcFRyYW5zLkl0ZW1JZAleAQAAAff6//+q/v//BgoFAAAnVGFibGUuQ3VzdFBhY2tpbmdTbGlwVHJhbnMuRGVsaXZlcnlEYXRlCWEBAAAB9Pr//6r+//8GDQUAAB5UYWJsZS5DdXN0UGFja2luZ1NsaXBUcmFucy5RdHkJZAEAAAHx+v//qv7//wYQBQAAJFRhYmxlLkN1c3RQYWNraW5nU2xpcFRyYW5zLlNhbGVzVW5pdAlnAQAAAe76//+q/v//BhMFAAAlVGFibGUuQ3VzdFBhY2tpbmdTbGlwVHJhbnMuRGF0YUFyZWFJZAlYAQAAAev6//+q/v//BhYFAAAoVGFibGUuQ3VzdFBhY2tpbmdTbGlwVHJhbnMuSW52ZW50VHJhbnNJZAlqAQAAB4EEAAAAAQAAAAQ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o+v//kv7//wYZBQAAIVRhYmxlLkN1c3RQYWNraW5nU2xpcFRyYW5zLkl0ZW1JZAkaBQAAAeX6//+S/v//BhwFAAAnVGFibGUuQ3VzdFBhY2tpbmdTbGlwVHJhbnMuRGVsaXZlcnlEYXRlCR0FAAAB4vr//5L+//8GHwUAACdUYWJsZS5DdXN0UGFja2luZ1NsaXBUcmFucy5EaW1lbnNpb25bOF0JIAUAAAHf+v//kv7//wYiBQAAJ1RhYmxlLkN1c3RQYWNraW5nU2xpcFRyYW5zLkRpbWVuc2lvbls3XQkjBQAAB4ME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dz6///U////CTAAAAAJMQAAAAHZ+v//1P///wkzAAAACTQAAAAB1vr//9T///8GKwUAADpUYWJsZS5DdXN0UGFja2luZ1NsaXBUcmFucy5JbnZlbnRUcmFuc0lkflRhYmxlLkludmVudFRyYW5zCSwFAAABhAQAAIYAAAABiwQAABIAAAAHjAQ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0/r//6r+//8GLgUAACFUYWJsZS5DdXN0UGFja2luZ1NsaXBUcmFucy5JdGVtSWQJXgEAAAHQ+v//qv7//wYxBQAAJ1RhYmxlLkN1c3RQYWNraW5nU2xpcFRyYW5zLkRlbGl2ZXJ5RGF0ZQlhAQAAAc36//+q/v//BjQFAAAeVGFibGUuQ3VzdFBhY2tpbmdTbGlwVHJhbnMuUXR5CWQBAAAByvr//6r+//8GNwUAACRUYWJsZS5DdXN0UGFja2luZ1NsaXBUcmFucy5TYWxlc1VuaXQJZwEAAAHH+v//qv7//wY6BQAAIlRhYmxlLkN1c3RQYWNraW5nU2xpcFRyYW5zLlNhbGVzSWQJWwEAAAeOBA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xPr//5L+//8GPQUAACFUYWJsZS5DdXN0UGFja2luZ1NsaXBUcmFucy5JdGVtSWQJGgUAAAHB+v//kv7//wZABQAAJ1RhYmxlLkN1c3RQYWNraW5nU2xpcFRyYW5zLkRlbGl2ZXJ5RGF0ZQkdBQAAAb76//+S/v//BkMFAAAnVGFibGUuQ3VzdFBhY2tpbmdTbGlwVHJhbnMuRGltZW5zaW9uWzhdCSAFAAABu/r//5L+//8GRgUAACdUYWJsZS5DdXN0UGFja2luZ1NsaXBUcmFucy5EaW1lbnNpb25bN10JIwUAAAeQB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4+v//1P///wkwAAAACTEAAAABtfr//9T///8JMwAAAAk0AAAAAbL6///U////CSsFAAAJLAUAAAGRBAAAhgAAAAGYBAAAEgAAAAeZBA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v+v//qv7//wZSBQAAKFRhYmxlLkN1c3RQYWNraW5nU2xpcFRyYW5zLlBhY2tpbmdTbGlwSWQJUwUAAAGs+v//qv7//wZVBQAAIVRhYmxlLkN1c3RQYWNraW5nU2xpcFRyYW5zLkl0ZW1JZAleAQAAAan6//+q/v//BlgFAAAeVGFibGUuQ3VzdFBhY2tpbmdTbGlwVHJhbnMuUXR5CWQBAAABpvr//6r+//8GWwUAACJUYWJsZS5DdXN0UGFja2luZ1NsaXBUcmFucy5PcmRlcmVkCVwFAAABo/r//6r+//8GXgUAACFUYWJsZS5DdXN0UGFja2luZ1NsaXBUcmFucy5SZW1haW4JXwUAAAebBAAAAAEAAAAG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Pr//5L+//8GYQUAACVUYWJsZS5DdXN0UGFja2luZ1NsaXBUcmFucy5EYXRhQXJlYUlkCWIFAAABnfr//5L+//8GZAUAACFUYWJsZS5DdXN0UGFja2luZ1NsaXBUcmFucy5JdGVtSWQJZQUAAAGa+v//kv7//wZnBQAAKFRhYmxlLkN1c3RQYWNraW5nU2xpcFRyYW5zLlBhY2tpbmdTbGlwSWQJaAUAAAGX+v//kv7//wZqBQAAJ1RhYmxlLkN1c3RQYWNraW5nU2xpcFRyYW5zLkRlbGl2ZXJ5RGF0ZQlrBQAAAZT6//+S/v//Bm0FAAAnVGFibGUuQ3VzdFBhY2tpbmdTbGlwVHJhbnMuRGltZW5zaW9uWzhdCW4FAAABkfr//5L+//8GcAUAACdUYWJsZS5DdXN0UGFja2luZ1NsaXBUcmFucy5EaW1lbnNpb25bN10JcQUAAAed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O+v//1P///wkwAAAACTEAAAABngQAAIYAAAABqAQAABIAAAAHqQQ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i/r//6r+//8GdgUAACFUYWJsZS5DdXN0UGFja2luZ1NsaXBUcmFucy5JdGVtSWQJXgEAAAGI+v//qv7//wZ5BQAAHlRhYmxlLkN1c3RQYWNraW5nU2xpcFRyYW5zLlF0eQlkAQAAAYX6//+q/v//BnwFAAAnVGFibGUuQ3VzdFBhY2tpbmdTbGlwVHJhbnMuRGVsaXZlcnlEYXRlCWEBAAABgvr//6r+//8GfwUAACRUYWJsZS5DdXN0UGFja2luZ1NsaXBUcmFucy5TYWxlc1VuaXQJZwEAAAerBA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f/r//5L+//8GggUAACFUYWJsZS5DdXN0UGFja2luZ1NsaXBUcmFucy5JdGVtSWQJGgUAAAF8+v//kv7//waFBQAAJ1RhYmxlLkN1c3RQYWNraW5nU2xpcFRyYW5zLkRlbGl2ZXJ5RGF0ZQkdBQAAAXn6//+S/v//BogFAAAnVGFibGUuQ3VzdFBhY2tpbmdTbGlwVHJhbnMuRGltZW5zaW9uWzhdCSAFAAABdvr//5L+//8GiwUAACdUYWJsZS5DdXN0UGFja2luZ1NsaXBUcmFucy5EaW1lbnNpb25bN10JIwUAAAetB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z+v//1P///wkwAAAACTEAAAABcPr//9T///8JMwAAAAk0AAAAAW36///U////CSsFAAAJLAUAAAGuBAAAhgAAAAHKBAAAEgAAAAfLBA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q+v//qv7//waXBQAAJVRhYmxlLkN1c3RQYWNraW5nU2xpcFRyYW5zLkRhdGFBcmVhSWQJWAEAAAFn+v//qv7//waaBQAAIlRhYmxlLkN1c3RQYWNraW5nU2xpcFRyYW5zLlNhbGVzSWQJWwEAAAFk+v//qv7//wadBQAAIVRhYmxlLkN1c3RQYWNraW5nU2xpcFRyYW5zLkl0ZW1JZAleAQAAAWH6//+q/v//BqAFAAAnVGFibGUuQ3VzdFBhY2tpbmdTbGlwVHJhbnMuRGVsaXZlcnlEYXRlCWEBAAABXvr//6r+//8GowUAAB5UYWJsZS5DdXN0UGFja2luZ1NsaXBUcmFucy5RdHkJZAEAAAFb+v//qv7//wamBQAAJFRhYmxlLkN1c3RQYWNraW5nU2xpcFRyYW5zLlNhbGVzVW5pdAlnAQAAAVj6//+q/v//BqkFAAAoVGFibGUuQ3VzdFBhY2tpbmdTbGlwVHJhbnMuSW52ZW50VHJhbnNJZAlqAQAAAVX6//+q/v//BqwFAAAoVGFibGUuQ3VzdFBhY2tpbmdTbGlwVHJhbnMuUGFja2luZ1NsaXBJZAltAQAAAcwEAAASAAAAB80EAAAAAQAAAAQ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S+v//kv7//wavBQAAIVRhYmxlLkN1c3RQYWNraW5nU2xpcFRyYW5zLkl0ZW1JZAlwAQAAAU/6//+S/v//BrIFAAAnVGFibGUuQ3VzdFBhY2tpbmdTbGlwVHJhbnMuRGVsaXZlcnlEYXRlCXMBAAABTPr//5L+//8GtQUAACdUYWJsZS5DdXN0UGFja2luZ1NsaXBUcmFucy5EaW1lbnNpb25bOF0JdgEAAAFJ+v//kv7//wa4BQAAJ1RhYmxlLkN1c3RQYWNraW5nU2xpcFRyYW5zLkRpbWVuc2lvbls3XQl5AQAAB88E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Ub6///U////CTAAAAAJMQAAAAFD+v//1P///wkzAAAACTQAAAABQPr//9T///8JNgAAAAk3AAAAAdAEAACGAAAAB/w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r//4f9//8J2AQAAAbFBQAABlN0cmluZwE6+v//h/3//wnbBAAABsgFAAAOQ3VzdG9tZXIgZ3JvdXABN/r//4f9//8J3gQAAAbLBQAACj1DdXN0R3JvdXAH/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0+v//h/3//wbNBQAABUxhYmVsCVUEAAABMfr//4f9//8G0AUAAARUeXBlCVQEAAAHA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+v//h/3//wnbBAAACWUEAAABK/r//4f9//8J2AQAAAlkBAAABwI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r//4f9//8J2AQAAAbaBQAABEVudW0BJfr//4f9//8J2wQAAAbdBQAAC01vZHVsZSB0eXBlARoFAABwAQAABt4FAAAaVGFibGUuQ3VzdFBhY2tpbmdTbGlwVHJhbnMJOgIAAAkIAAAABuEFAAABKv////8J3gUAAAoJOgIAAAoKCgkIAAAACeUFAAAJCAAAAAEdBQAAcAEAAAneBQAACUMCAAAJCAAAAAbqBQAAFTEuMS4yMDIxIC4uIDIuMjguMjAyMf////8J3gUAAAoJQwIAAAoKCgkIAAAACe4FAAAJCAAAAAEgBQAAcAEAAAneBQAACUwCAAAJCAAAAAbzBQAAASr/////Cd4FAAAKCUwCAAAKCgoJCAAAAAn3BQAACQgAAAABIwUAAHABAAAJ3gUAAAlVAgAACQgAAAAG/AUAAAEq/////wneBQAACglVAgAACgoKCQgAAAAJAAYAAAkIAAAAASwFAAAOAAAA/////wYCBgAAC0ludmVudFRyYW5zBgMGAAAWSW52ZW50b3J5IHRyYW5zYWN0aW9ucwkIAAAACQgAAAAJCAAAAAH7+f//4P///wAAAAAJBgYAAAkHBgAAAfj5///d////V18S3w8ZXE2V5uaAzc0lYwkIAAAACQgAAAAJCgYAAAkrBQAABgwGAAAUQ3VzdFBhY2tpbmdTbGlwVHJhbnMGDQYAABpUYWJsZS5DdXN0UGFja2luZ1NsaXBUcmFucwYOBgAAKFRhYmxlLkN1c3RQYWNraW5nU2xpcFRyYW5zLkludmVudFRyYW5zSWQGDwYAAA1JbnZlbnRUcmFuc0lkBhAGAAANSW52ZW50VHJhbnNJZAEAAAAB7/n//9n///8BAAAAAe75///Y////AQAAAAAJEwYAAAFTBQAAWAEAAAHs+f//O/////////8ABhUGAAAGU3RyaW5nBhYGAAAMUGFja2luZyBzbGlwCegBAAAB6Pn//zn///8CAAAAAef5//8y/v//AQAAAAAACesBAAAGGwYAAA1QYWNraW5nU2xpcElkCQgAAAAK/////wnrAQAACgkbBgAACgoKCQgAAAAJIAYAAAkIAAAAAVwFAABYAQAAAd75//87/////////wAGIwYAAARSZWFsBiQGAAAHT3JkZXJlZAnoAQAAAdr5//85////AgAAAAHZ+f//Mv7//wEAAAAAAAnrAQAABikGAAAHT3JkZXJlZAkIAAAACv////8J6wEAAAoJKQYAAAoKCgkIAAAACS4GAAAJCAAAAAFfBQAAWAEAAAHQ+f//O/////////8ABjEGAAAEUmVhbAYyBgAAElJlbWFpbmluZyBxdWFudGl0eQnoAQAAAcz5//85////AgAAAAHL+f//Mv7//wEAAAAAAAnrAQAABjcGAAAGUmVtYWluCQgAAAAK/////wnrAQAACgk3BgAACgoKCQgAAAAJPAYAAAkIAAAAAWIFAABwAQAACesBAAAGPwYAAApEYXRhQXJlYUlkCQgAAAAJCAAAAP////8J6wEAAAoJPwYAAAoKCgkIAAAACUQGAAAJCAAAAAFlBQAAcAEAAAnrAQAABkcGAAAGSXRlbUlkCQgAAAAJCAAAAP////8J6wEAAAoJRwYAAAoKCgkIAAAACUwGAAAJCAAAAAFoBQAAcAEAAAnrAQAABk8GAAANUGFja2luZ1NsaXBJZAkIAAAACQgAAAD/////CesBAAAKCU8GAAAKCgoJCAAAAAlUBgAACQgAAAABawUAAHABAAAJ6wEAAAlDAgAACQgAAAAJCAAAAP////8J6wEAAAoJQwIAAAoKCgkIAAAACVwGAAAJCAAAAAFuBQAAcAEAAAnrAQAABl8GAAAMRGltZW5zaW9uWzhdCQgAAAAJCAAAAP////8J6wEAAAoJXwYAAAoKCgkIAAAACWQGAAAJCAAAAAFxBQAAcAEAAAnrAQAABmcGAAAMRGltZW5zaW9uWzddCQgAAAAJCAAAAP////8J6wEAAAoJZwYAAAoKCgkIAAAACWwGAAAJCAAAAATl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iAEAAAMAAAAJbwYAAATu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iAEAAAMAAAAJcQYAAAT3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iAEAAAMAAAAJcwYAAAQA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iAEAAAMAAAAJdQYAAAEGBgAAIQAAAAQAAAAJqgEAAAMAAAAJdwYAAAQHB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wEAAAAAAAABAoG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qAQAAAAAAAAETBgAAKQAAAAAAAAAJegYAAAAAAAAEI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YMBAAADAAAACXwGAAAEL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YMBAAADAAAACX4GAAAEP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YMBAAADAAAACYAGAAABRAYAABAAAAAAAAAACYMBAAAAAAAAAUwGAAAQAAAAAAAAAAmDAQAAAAAAAAFUBgAAEAAAAAAAAAAJgwEAAAAAAAABXAYAABAAAAAAAAAACYMBAAAAAAAAAWQGAAAQAAAAAAAAAAmDAQAAAAAAAAFsBgAAEAAAAAAAAAAJgwEAAAAAAAAHbw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+f//h/3//wnQBQAABoQGAAAGU3RyaW5nAXv5//+H/f//Cc0FAAAGhwYAAARJdGVtAXj5//+H/f//BokGAAAIUmVmZXJzVG8J3wQAAAdx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X5//+H/f//CdAFAAAGjQYAAAREYXRlAXL5//+H/f//Cc0FAAAGkAYAAAlTaGlwIGRhdGUBb/n//4f9//8JiQYAAAnoBAAAB3M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n//4f9//8J0AUAAAaWBgAABlN0cmluZwFp+f//h/3//wnNBQAABpkGAAAWRGV0YWlsIE1hcmtldGluZyBHcm91cAFm+f//h/3//wmJBgAACfEEAAAHdQ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j+f//h/3//wnQBQAACZYGAAABYPn//4f9//8JzQUAAAaiBgAAFU1ham9yIE1hcmtldGluZyBHcm91cAFd+f//h/3//wmJBgAACfoEAAAHdwYAAAABAAAAA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gYAAIYAAAAHfA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+f//h/3//wmgBAAABqgGAAAjSWRlbnRpZmljYXRpb24gb2YgdGhlIHBhY2tpbmcgc2xpcC4BV/n//4f9//8JowQAAAkWBgAAAVT5//+H/f//CaYEAAAJFQYAAAd+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5//+H/f//CaAEAAAGsQYAABBRdWFudGl0eSBvcmRlcmVkAU75//+H/f//CaMEAAAJJAYAAAFL+f//h/3//wmmBAAACSMGAAAHgA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+f//h/3//wmgBAAABroGAABJUmVtYWluaW5nIHF1YW50aXR5IGZvciB0aGUgc2FsZXMgb3JkZXIgbGluZSBub3QgeWV0IHBhY2tpbmcgc2xpcCB1cGRhdGVkLgFF+f//h/3//wmjBAAACTIGAAABQvn//4f9//8JpgQAAAkxBgAACw==
    <Output>
      <OutputObject name="AtlasReport_3"/>
    </Output>
  </Query>
</Atlas>
</file>

<file path=customXml/item5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5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LAAAAC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0FDB8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HwAAAAgCAAAABiAAAAAVQXRsYXNSZXBvcnRfM19UYWJsZV8xCSE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8AAAAICAkiAAAABwAAAAc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IwAAAAkkAAAACSUAAAAGJgAAAApEYXRhQXJlYUlkBicAAAAQQ29tcGFueSBhY2NvdW50cwYoAAAABlN0cmluZwYpAAAAAAYqAAAAJGVhMjQ0YTIzLWM1YzEtNDY4Ni05ODFlLTZhMDdhM2M2N2Y5OAXV////LUdsb2JlU29mdHdhcmUuQXRsYXM0MC5BdGxhc0NvbW1vbi5BZ2dyZWdhdGlvbgEAAAAHdmFsdWVfXwAIDgAAAP////8AAAAABdT///8sR2xvYmVTb2Z0d2FyZS5BdGxhczQwLkF0bGFzQ29tbW9uLkNvbHVtblR5cGUBAAAAB3ZhbHVlX18ACA4AAAAAAAAABdP///8rR2xvYmVTb2Z0d2FyZS5BdGxhczQwLkF0bGFzQ29tbW9uLlNvcnRPcmRlcgEAAAAHdmFsdWVfXwAIDgAAAAIAAAAAAAAAAAXS////QEdsb2JlU29mdHdhcmUuQXRsYXM0MC5BdGxhc0NvbW1vbi5UeXBlLkNvbHVtbitDcm9zc1RhYkNvbHVtblR5cGUBAAAAB3ZhbHVlX18ACA4AAAAAAAAACgEAAAAAAAAAAAAAAAAABi8AAAAkN2U4YTJkNTUtOTNkOC00NzJkLWFmY2ItMTAxN2JlNWM5ZjU2BjAAAAAlVGFibGUuQ3VzdFBhY2tpbmdTbGlwVHJhbnMuRGF0YUFyZWFJZAoKCgoBFQAAABQAAAAJMQAAAAkyAAAACTMAAAAGNAAAAAdTYWxlc0lkBjUAAAALU2FsZXMgb3JkZXIGNgAAAAZTdHJpbmcJKQAAAAY4AAAAJGRmOWM3YjI0LTU5MGUtNGI3MS04ODdiLTE1MmFiOTFkZjE4NgHH////1f////////8BAAAAAcb////U////AAAAAAHF////0////wIAAAAAAAAAAAHE////0v///wAAAAAKAQAAAAAAAAAAAQAAAAAGPQAAACQxYTJmNWFhMy1lN2IyLTQ1OTktYWVjYy1kNzE2NWVmODlmNTUGPgAAACJUYWJsZS5DdXN0UGFja2luZ1NsaXBUcmFucy5TYWxlc0lkCgoKCgEWAAAAFAAAAAk/AAAACUAAAAAJQQAAAAZCAAAABkl0ZW1JZAZDAAAABEl0ZW0GRAAAAAZTdHJpbmcJKQAAAAZGAAAAJDA0NTY0MjIyLWQyYTYtNGU3Yi04ZTUzLTU3YmExYTdiMmYyMwG5////1f////////8CAAAAAbj////U////AAAAAAG3////0////wIAAAAAAAAAAAG2////0v///wAAAAAKAQAAAAAAAAAAAgAAAAAGSwAAACQ2NDAxYTY1Yy1hY2QyLTQ5YjQtYjM0ZC0wODM0MzQ5Mjg4OWEGTAAAACFUYWJsZS5DdXN0UGFja2luZ1NsaXBUcmFucy5JdGVtSWQKCgoKARcAAAAUAAAACU0AAAAJTgAAAAlPAAAABlAAAAAISXRlbU5hbWUGUQAAAAlJdGVtIG5hbWUGUgAAAAZTdHJpbmcJKQAAAAZUAAAAJGI4MzJlNzMyLTUwNWItNDUwMS04YWE1LTU3N2QxMGY1Y2RhMgGr////1f////////8DAAAAAar////U////AAAAAAGp////0////wIAAAAAAAAAAAGo////0v///wAAAAAKAQAAAAAAAAAAAwAAAAAGWQAAACRjMjNiMDcxZS1mOGVhLTQyYTItYjE4Mi1jZDVlZDVlNTY2NmQGWgAAADxUYWJsZS5DdXN0UGFja2luZ1NsaXBUcmFucy5JdGVtSWR+VGFibGUuSW52ZW50VGFibGUuSXRlbU5hbWUKCgoKARgAAAAUAAAACVsAAAAJXAAAAAldAAAABl4AAAAMRGVsaXZlcnlEYXRlBl8AAAAJU2hpcCBkYXRlBmAAAAAERGF0ZQkpAAAABmIAAAAkY2JjMWIxMDktY2E3Yy00Njg0LWI0YzgtZDU4NWRiMDYxMjEyAZ3////V/////////wQAAAABnP///9T///8AAAAAAZv////T////AgAAAAAAAAAAAZr////S////AAAAAAoBAAAAAAAAAAAEAAAAAAZnAAAAJGQ2YTNiY2VkLTIxNTYtNGY3Mi1iZTY1LTY2OTM5NzA5ZTY5ZQZoAAAAJ1RhYmxlLkN1c3RQYWNraW5nU2xpcFRyYW5zLkRlbGl2ZXJ5RGF0ZQoKCgoBGQAAABQAAAAJaQAAAAlqAAAACWsAAAAGbAAAAANRdHkGbQAAAAlEZWxpdmVyZWQGbgAAAARSZWFsCSkAAAAGcAAAACRiNTJhYzVjYy04MDllLTRiYzQtODNmNS1hYjQxMTQyMjU5YzQBj////9X///8BAAAABQAAAAGO////1P///wAAAAABjf///9P///8CAAAAAAAAAAABjP///9L///8AAAAACgEAAAAAAAAAAAUAAAAABnUAAAAkM2FmZjVkOWMtM2M3NS00ZTY1LTgxOGMtYWIwOTE4NmY4ZDBkBnYAAAAeVGFibGUuQ3VzdFBhY2tpbmdTbGlwVHJhbnMuUXR5CgoKCgEaAAAAFAAAAAl3AAAACXgAAAAJeQAAAAZ6AAAACVNhbGVzVW5pdAZ7AAAAClNhbGVzIHVuaXQGfAAAAAZTdHJpbmcJKQAAAAZ+AAAAJGYyNGFiMTY2LWIxY2MtNGU5Ny04MGUyLTdmMWU3ODE0ODk5ZQGB////1f////////8GAAAAAYD////U////AAAAAAF/////0////wIAAAAAAAAAAAF+////0v///wAAAAAKAQAAAAAAAAAABgAAAAAGgwAAACQxZDE4MDRlZi04NTFiLTRiOWEtYmM2OC02ODM4YzY0MWIwODAGhAAAACRUYWJsZS5DdXN0UGFja2luZ1NsaXBUcmFucy5TYWxlc1VuaXQKCgoKARsAAAAUAAAACYUAAAAJhgAAAAmHAAAABogAAAA3QXRsYXNNYW5hZ2VkQ29sdW1uXzZkZjdiY2ZmLWI1YWMtNGFkYS04NGMyLWU2M2M3ZTQyMmI4NwaJAAAAFEludmVudCBxdHkgZGVsaXZlcmVkCSkAAAAJKQAAAAaLAAAAJGE3NTBjOWFjLWJjMjYtNDhhMi04ZTc2LTdjN2I4MTAxNmE2OQF0////1f////////8HAAAAAXP////U////AgAAAAFy////0////wIAAAAAAAAAAAFx////0v///wAAAAAKAQAAAAAAAAAABwAAAAAGkAAAACRmYWJiNWIyMi1iZDVkLTRmMjUtYjljZS1mMTBlYTFhNmQ5YTQJKQAAAAoKCgoBHAAAABQAAAAJkgAAAAmTAAAACZQAAAAGlQAAAAZVbml0SWQGlgAAAAtJbnZlbnQgdW5pdAaXAAAABlN0cmluZwkpAAAABpkAAAAkNmIyYjAwNmUtNjNhNy00MWM3LThmMWEtMzUxMWIxMmI5ZDgyAWb////V/////////wgAAAABZf///9T///8AAAAAAWT////T////AgAAAAAAAAAAAWP////S////AAAAAAoBAAAAAAAAAAAIAAAAAAaeAAAAJGU1NjQyYmIyLTk4Y2QtNDBiZS05MzY4LTY2NDU5MGQzZjQ4MgafAAAAQFRhYmxlLkN1c3RQYWNraW5nU2xpcFRyYW5zLkl0ZW1JZH5UYWJsZS5JbnZlbnRUYWJsZU1vZHVsZS5Vbml0SWQKCgoKAR0AAAAUAAAACaAAAAAJoQAAAAmiAAAABqMAAAANSW52ZW50VHJhbnNJZAakAAAABkxvdCBJRAalAAAABlN0cmluZwkpAAAABqcAAAAkYTg0YzYwMDEtZGRkYi00OWRjLWJmZDgtN2RkZDMyNjZhNWExAVj////V/////////wkAAAABV////9T///8AAAAAAVb////T////AgAAAAAAAAAAAVX////S////AAAAAAoBAAAAAAAAAAAJAAAAAAasAAAAJDNmNjU3N2NmLTRlODctNDJhNC04ZWEzLTBkYTUxM2RkNGZlNQatAAAAKFRhYmxlLkN1c3RQYWNraW5nU2xpcFRyYW5zLkludmVudFRyYW5zSWQKCgoKAR4AAAAUAAAACa4AAAAJrwAAAAmwAAAABrEAAAANUGFja2luZ1NsaXBJZAayAAAADFBhY2tpbmcgc2xpcAazAAAABlN0cmluZwkpAAAABrUAAAAkZDY5ZWQzNDEtY2FjZi00MjhhLThmZWEtYWMwMWRhOTBmZjNmAUr////V/////////woAAAABSf///9T///8AAAAAAUj////T////AgAAAAAAAAAAAUf////S////AAAAAAoBAAAAAAAAAAAKAAAAAAa6AAAAJGQ0YzNhY2I4LTZkYjMtNDYyMi1iZTFiLWEwMThlMDgwZDhjMAa7AAAAKFRhYmxlLkN1c3RQYWNraW5nU2xpcFRyYW5zLlBhY2tpbmdTbGlwSWQKCgoKBSEAAAA4R2xvYmVTb2Z0d2FyZS5BdGxhczQwLkF0bGFzQ29tbW9uQ2xpZW50LlJlcG9ydC5SZWZlcmVuY2UBAAAACl9yZWZlcmVuY2UHCB8AAAAJvAAAAAciAAAAAAEAAAAIAAAABDxHbG9iZVNvZnR3YXJlLkF0bGFzNDAuQXRsYXNDb21tb25DbGllbnQuRGF0YVNvdXJjZUZpZWxkVmFsdWUfAAAACb0AAAAJvgAAAAm/AAAACcAAAAAJwQAAAAnCAAAACcMAAAAKBCM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cQAAAABAAAAAQAAAAQk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ccAAAAJxQAAAAcAAAAJxgAAAAQl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cQAAAAJxwAAAAcAAAAJyAAAAAExAAAAIwAAAAnJAAAAAQAAAAEAAAABMgAAACQAAADOAAAACcoAAAAHAAAACcsAAAABMwAAACUAAADLAAAACcwAAAAHAAAACc0AAAABPwAAACMAAAAJzgAAAAEAAAABAAAAAUAAAAAkAAAABwEAAAnPAAAABwAAAAnQAAAAAUEAAAAlAAAA/AAAAAnRAAAABwAAAAnSAAAAAU0AAAAjAAAACdMAAAABAAAAAQAAAAFOAAAAJAAAAO0AAAAJ1AAAAAcAAAAJ1QAAAAFPAAAAJQAAAOcAAAAJ1gAAAAcAAAAJ1wAAAAFbAAAAIwAAAAnYAAAAAQAAAAEAAAABXAAAACQAAADcAAAACdkAAAAHAAAACdoAAAABXQAAACUAAADZAAAACdsAAAAHAAAACdwAAAABaQAAACMAAAAJ3QAAAAEAAAABAAAAAWoAAAAkAAAABwEAAAnPAAAABwAAAAnfAAAAAWsAAAAlAAAA/AAAAAnRAAAABwAAAAnhAAAAAXcAAAAjAAAACeIAAAABAAAAAQAAAAF4AAAAJAAAAOIAAAAJ2QAAAAcAAAAJ5AAAAAF5AAAAJQAAANkAAAAJ2wAAAAcAAAAJ5gAAAAGFAAAAIwAAAAnnAAAAAAAAAAAAAAABhgAAACQAAADgAAAACdkAAAAHAAAACekAAAABhwAAACUAAADSAAAACdsAAAAHAAAACesAAAABkgAAACMAAAAJ7AAAAAEAAAABAAAAAZMAAAAkAAAAxwAAAAntAAAABwAAAAnuAAAAAZQAAAAlAAAAvQAAAAnvAAAABwAAAAnwAAAAAaAAAAAjAAAACfEAAAABAAAAAQAAAAGhAAAAJAAAAMcAAAAJxQAAAAcAAAAJ8wAAAAGiAAAAJQAAAMQAAAAJxwAAAAcAAAAJ9QAAAAGuAAAAIwAAAAn2AAAAAQAAAAEAAAABrwAAACQAAAADAAAACfcAAAADAAAACfgAAAAEs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DAAAAAAAAAAPvAAAAAEAAAAIAQAAAAW9AAAAPEdsb2JlU29mdHdhcmUuQXRsYXM0MC5BdGxhc0NvbW1vbkNsaWVudC5EYXRhU291cmNlRmllbGRWYWx1ZQQAAAASX2lzRHJpbGxEb3duRmlsdGVyBl9kc0tleQpfZmllbGRuYW1lC19maWVsZFZhbHVlAAEBAQEfAAAAAAb6AAAAGlRhYmxlLkN1c3RQYWNraW5nU2xpcFRyYW5zBvsAAAAKRGF0YUFyZWFJZAkGAAAAAb4AAAC9AAAAAAn6AAAABv4AAAAGSXRlbUlkBv8AAAABKgG/AAAAvQAAAAAJ+gAAAAYBAQAADERlbGl2ZXJ5RGF0ZQYCAQAAFjEuMS4yMDIxIC4uIDEyLjMxLjIwMjEBwAAAAL0AAAAACfoAAAAGBAEAAAxEaW1lbnNpb25bOF0GBQEAAAEqAcEAAAC9AAAAAAn6AAAABgcBAAAMRGltZW5zaW9uWzddBggBAAAHQXNwaGFsdAHCAAAAvQAAAAAGCQEAADNUYWJsZS5DdXN0UGFja2luZ1NsaXBUcmFucy5TYWxlc0lkflRhYmxlLlNhbGVzVGFibGUGCgEAAAlDdXN0R3JvdXAGCwEAAAQhSUMqAcMAAAC9AAAAAAYMAQAAOVRhYmxlLkN1c3RQYWNraW5nU2xpcFRyYW5zLkl0ZW1JZH5UYWJsZS5JbnZlbnRUYWJsZU1vZHVsZQYNAQAACk1vZHVsZVR5cGUGDgEAAAZJbnZlbnQHxAAAAAABAAAABAAAAAQ3R2xvYmVTb2Z0d2FyZS5BdGxhczQwLkF0bGFzQ29tbW9uLlR5cGUuRmllbGRPdXRwdXRGaWVsZA4AAAAJDwEAAA0DBMU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8Y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w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e/+//8yR2xvYmVTb2Z0d2FyZS5BdGxhczQwLkF0bGFzQ29tbW9uLkNvbHVtbkF0dHJpYnV0ZXMBAAAAB3ZhbHVlX18ACA4AAAAJAAAACSkAAAAB7f7///D+//8B7P7//+/+//8LAAAABhUBAAABMAHq/v//8P7//wHp/v//7/7//wQAAAAGGAEAAAdHZW5lcmFsAef+///w/v//Aeb+///v/v//AgAAAAYbAQAAATEB5P7///D+//8B4/7//+/+//8AAAAABh4BAAAEOS4yOQHHAAAADAAAAAf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OH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IAEAAAhGb250Qm9sZAYhAQAABUZhbHNlAd7+///h/v//BiMBAAAKRm9udEl0YWxpYwkhAQAAAdv+///h/v//BiYBAAANRm9udFVuZGVybGluZQYnAQAABS00MTQyAdj+///h/v//BikBAAAIRm9udE5hbWUGKgEAAAdDYWxpYnJpAdX+///h/v//BiwBAAAJRm9udENvbG9yBi0BAAABMAHS/v//4f7//wYvAQAACEZvbnRTaXplBjABAAACMTEBz/7//+H+//8GMgEAAAlGb250U3R5bGUGMwEAAAdSZWd1bGFyB8kAAAAAAQAAAAQAAAAEN0dsb2JlU29mdHdhcmUuQXRsYXM0MC5BdGxhc0NvbW1vbi5UeXBlLkZpZWxkT3V0cHV0RmllbGQOAAAACTQBAAANAwHKAAAAxQAAAAfL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7///D+//8Byv7//+/+//8JAAAACSkAAAAByP7///D+//8Bx/7//+/+//8LAAAABjoBAAABMQHF/v//8P7//wHE/v//7/7//wQAAAAGPQEAAAdHZW5lcmFsAcL+///w/v//AcH+///v/v//AgAAAAZAAQAAATEBv/7///D+//8Bvv7//+/+//8AAAAABkMBAAAFMTQuMjkBzAAAAAwAAAAHz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8/v//4f7//wZFAQAACEZvbnRCb2xkCSEBAAABuf7//+H+//8GSAEAAApGb250SXRhbGljCSEBAAABtv7//+H+//8GSwEAAA1Gb250VW5kZXJsaW5lBkwBAAAFLTQxNDIBs/7//+H+//8GTgEAAAhGb250TmFtZQZPAQAAB0NhbGlicmkBsP7//+H+//8GUQEAAAlGb250Q29sb3IGUgEAAAEwAa3+///h/v//BlQBAAAIRm9udFNpemUGVQEAAAIxMQGq/v//4f7//wZXAQAACUZvbnRTdHlsZQZYAQAAB1JlZ3VsYXIHzgAAAAABAAAABAAAAAQ3R2xvYmVTb2Z0d2FyZS5BdGxhczQwLkF0bGFzQ29tbW9uLlR5cGUuRmllbGRPdXRwdXRGaWVsZA4AAAAJWQEAAA0DAc8AAADFAAAAB9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m/v//8P7//wGl/v//7/7//xAAAAAGXAEAAAROb25lAaP+///w/v//AaL+///v/v//CQAAAAkpAAAAAaD+///w/v//AZ/+///v/v//CwAAAAZiAQAAATIBnf7///D+//8BnP7//+/+//8EAAAABmUBAAAHR2VuZXJhbAGa/v//8P7//wGZ/v//7/7//wIAAAAGaAEAAAExAZf+///w/v//AZb+///v/v//AAAAAAZrAQAABTE3LjQzAdEAAAAMAAAAB9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7//+H+//8GbQEAAAhGb250Qm9sZAkhAQAAAZH+///h/v//BnABAAAKRm9udEl0YWxpYwkhAQAAAY7+///h/v//BnMBAAANRm9udFVuZGVybGluZQZ0AQAABS00MTQyAYv+///h/v//BnYBAAAIRm9udE5hbWUGdwEAAAdDYWxpYnJpAYj+///h/v//BnkBAAAJRm9udENvbG9yBnoBAAABMAGF/v//4f7//wZ8AQAACEZvbnRTaXplBn0BAAACMTEBgv7//+H+//8GfwEAAAlGb250U3R5bGUGgAEAAAdSZWd1bGFyB9MAAAAAAQAAAAQAAAAEN0dsb2JlU29mdHdhcmUuQXRsYXM0MC5BdGxhc0NvbW1vbi5UeXBlLkZpZWxkT3V0cHV0RmllbGQOAAAACYEBAAANAwHUAAAAxQAAAAfV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v7///D+//8Bff7//+/+//8JAAAACSkAAAABe/7///D+//8Bev7//+/+//8LAAAABocBAAABMwF4/v//8P7//wF3/v//7/7//wQAAAAGigEAAAdHZW5lcmFsAXX+///w/v//AXT+///v/v//AgAAAAaNAQAAATEBcv7///D+//8Bcf7//+/+//8AAAAABpABAAAFMzUuMTQB1gAAAAwAAAAH1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v//4f7//waSAQAACEZvbnRCb2xkCSEBAAABbP7//+H+//8GlQEAAApGb250SXRhbGljCSEBAAABaf7//+H+//8GmAEAAA1Gb250VW5kZXJsaW5lBpkBAAAFLTQxNDIBZv7//+H+//8GmwEAAAhGb250TmFtZQacAQAAB0NhbGlicmkBY/7//+H+//8GngEAAAlGb250Q29sb3IGnwEAAAEwAWD+///h/v//BqEBAAAIRm9udFNpemUGogEAAAIxMQFd/v//4f7//wakAQAACUZvbnRTdHlsZQalAQAAB1JlZ3VsYXIH2AAAAAABAAAABAAAAAQ3R2xvYmVTb2Z0d2FyZS5BdGxhczQwLkF0bGFzQ29tbW9uLlR5cGUuRmllbGRPdXRwdXRGaWVsZA4AAAAJpgEAAA0DAdkAAADFAAAAB9o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Z/v//8P7//wFY/v//7/7//wkAAAAJKQAAAAFW/v//8P7//wFV/v//7/7//wsAAAAGrAEAAAE0AVP+///w/v//AVL+///v/v//BAAAAAavAQAACG0vZC95eXl5AVD+///w/v//AU/+///v/v//AgAAAAayAQAAATEBTf7///D+//8BTP7//+/+//8AAAAABrUBAAAFMTAuODYB2wAAAAwAAAAH3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/v//4f7//wmSAQAACSEBAAABR/7//+H+//8JlQEAAAkhAQAAAUT+///h/v//CZgBAAAGvgEAAAUtNDE0MgFB/v//4f7//wmbAQAABsEBAAAHQ2FsaWJyaQE+/v//4f7//wmeAQAABsQBAAABMAE7/v//4f7//wmhAQAABscBAAACMTEBOP7//+H+//8JpAEAAAbKAQAAB1JlZ3VsYXIH3QAAAAABAAAABAAAAAQ3R2xvYmVTb2Z0d2FyZS5BdGxhczQwLkF0bGFzQ29tbW9uLlR5cGUuRmllbGRPdXRwdXRGaWVsZA4AAAAJywEAAA0DB98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0/v//8P7//wEz/v//7/7//xAAAAAJXAEAAAEx/v//8P7//wEw/v//7/7//wkAAAAJKQAAAAEu/v//8P7//wEt/v//7/7//wsAAAAG1AEAAAE1ASv+///w/v//ASr+///v/v//BAAAAAbXAQAAB0dlbmVyYWwBKP7///D+//8BJ/7//+/+//8CAAAABtoBAAABMQEl/v//8P7//wEk/v//7/7//wAAAAAG3QEAAAUxMS4yOQf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L+///h/v//CW0BAAAJIQEAAAEf/v//4f7//wlwAQAACSEBAAABHP7//+H+//8JcwEAAAbmAQAABS00MTQyARn+///h/v//CXYBAAAG6QEAAAdDYWxpYnJpARb+///h/v//CXkBAAAG7AEAAAEwARP+///h/v//CXwBAAAG7wEAAAIxMQEQ/v//4f7//wl/AQAABvIBAAAHUmVndWxhcgfiAAAAAAEAAAAEAAAABDdHbG9iZVNvZnR3YXJlLkF0bGFzNDAuQXRsYXNDb21tb24uVHlwZS5GaWVsZE91dHB1dEZpZWxkDgAAAAnzAQAADQMH5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z+///w/v//AQv+///v/v//CQAAAAkpAAAAAQn+///w/v//AQj+///v/v//CwAAAAb5AQAAATYBBv7///D+//8BBf7//+/+//8EAAAABvwBAAAHR2VuZXJhbAED/v//8P7//wEC/v//7/7//wIAAAAG/wEAAAExAQD+///w/v//Af/9///v/v//AAAAAAYCAgAABDYuNDMB/f3///D+//8B/P3//+/+//8kAAAACXsAAAAH5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6/f//4f7//wmSAQAACSEBAAAB9/3//+H+//8JlQEAAAkhAQAAAfT9///h/v//CZgBAAAGDgIAAAUtNDE0MgHx/f//4f7//wmbAQAABhECAAAHQ2FsaWJyaQHu/f//4f7//wmeAQAABhQCAAABMAHr/f//4f7//wmhAQAABhcCAAACMTEB6P3//+H+//8JpAEAAAYaAgAAB1JlZ3VsYXIH5wAAAAABAAAAAAAAAAQ3R2xvYmVTb2Z0d2FyZS5BdGxhczQwLkF0bGFzQ29tbW9uLlR5cGUuRmllbGRPdXRwdXRGaWVsZA4AAAAH6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X9///w/v//AeT9///v/v//JAAAAAmJAAAAAeL9///w/v//AeH9///v/v//CwAAAAYgAgAAATcB3/3///D+//8B3v3//+/+//8EAAAABiMCAAAHR2VuZXJhbAHc/f//8P7//wHb/f//7/7//wIAAAAGJgIAAAExAdn9///w/v//Adj9///v/v//AAAAAAYpAgAABTE3Ljg2Adb9///w/v//AdX9///v/v//AwAAAAYsAgAAUz1TVU1JRlMoSW52ZW50VHJhbnMhRjpGLEludmVudFRyYW5zIUI6QixbQFtMb3QgSURdXSxJbnZlbnRUcmFucyFDOkMsW0BbU2hpcCBkYXRlXV0pB+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/3//+H+//8GLgIAAAhGb250Qm9sZAkhAQAAAdD9///h/v//BjECAAAKRm9udEl0YWxpYwkhAQAAAc39///h/v//BjQCAAANRm9udFVuZGVybGluZQY1AgAABS00MTQyAcr9///h/v//BjcCAAAIRm9udE5hbWUGOAIAAAdDYWxpYnJpAcf9///h/v//BjoCAAAJRm9udENvbG9yBjsCAAABMAHE/f//4f7//wY9AgAACEZvbnRTaXplBj4CAAACMTEBwf3//+H+//8GQAIAAAlGb250U3R5bGUGQQIAAAdSZWd1bGFyB+wAAAAAAQAAAAQAAAAEN0dsb2JlU29mdHdhcmUuQXRsYXM0MC5BdGxhc0NvbW1vbi5UeXBlLkZpZWxkT3V0cHV0RmllbGQOAAAACUICAAANAwHtAAAAxQAAAAfu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f3///D+//8BvP3//+/+//8JAAAACSkAAAABuv3///D+//8Buf3//+/+//8LAAAABkgCAAABOAG3/f//8P7//wG2/f//7/7//yQAAAAJlgAAAAG0/f//8P7//wGz/f//7/7//wQAAAAGTgIAAAdHZW5lcmFsAbH9///w/v//AbD9///v/v//AgAAAAZRAgAAATEBrv3///D+//8Brf3//+/+//8AAAAABlQCAAAENy40MwHvAAAADAAAAAf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9///h/v//CSABAAAJIQEAAAGo/f//4f7//wkjAQAACSEBAAABpf3//+H+//8JJgEAAAZdAgAABS00MTQyAaL9///h/v//CSkBAAAGYAIAAAdDYWxpYnJpAZ/9///h/v//CSwBAAAGYwIAAAEwAZz9///h/v//CS8BAAAGZgIAAAIxMQGZ/f//4f7//wkyAQAABmkCAAAHUmVndWxhcgfxAAAAAAEAAAAEAAAABDdHbG9iZVNvZnR3YXJlLkF0bGFzNDAuQXRsYXNDb21tb24uVHlwZS5GaWVsZE91dHB1dEZpZWxkDgAAAAlqAgAADQMH8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X9///w/v//AZT9///v/v//CQAAAAkpAAAAAZL9///w/v//AZH9///v/v//CwAAAAZwAgAAATkBj/3///D+//8Bjv3//+/+//8EAAAABnMCAAAHR2VuZXJhbAGM/f//8P7//wGL/f//7/7//wIAAAAGdgIAAAExAYn9///w/v//AYj9///v/v//AAAAAAZ5AgAABDkuNDMH9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4f7//wkgAQAACSEBAAABg/3//+H+//8JIwEAAAkhAQAAAYD9///h/v//CSYBAAAGggIAAAUtNDE0MgF9/f//4f7//wkpAQAABoUCAAAHQ2FsaWJyaQF6/f//4f7//wksAQAABogCAAABMAF3/f//4f7//wkvAQAABosCAAACMTEBdP3//+H+//8JMgEAAAaOAgAAB1JlZ3VsYXIH9gAAAAABAAAABAAAAAQ3R2xvYmVTb2Z0d2FyZS5BdGxhczQwLkF0bGFzQ29tbW9uLlR5cGUuRmllbGRPdXRwdXRGaWVsZA4AAAAJjwIAAA0DAfcAAADFAAAAB/g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w/f//8P7//wFv/f//7/7//wkAAAAJKQAAAAFt/f//8P7//wFs/f//7/7//wsAAAAGlQIAAAIxMAUP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q/f//1f////////8ABpcCAAAGU3RyaW5nBpgCAAAQQ29tcGFueSBhY2NvdW50cwmZAgAAAWb9///T////AgAAAAVl/f//OUdsb2JlU29mdHdhcmUuQXRsYXM0MC5BdGxhc0NvbW1vbi5OdW1iZXJTZXF1ZW5jZUNvbmRpdGlvbgEAAAAHdmFsdWVfXwAIDgAAAAEAAAAAAAacAgAAGlRhYmxlLkN1c3RQYWNraW5nU2xpcFRyYW5zCSYAAAAJKQAAAAr/////CZwCAAAKCSYAAAAKCgoJKQAAAAmiAgAACSkAAAABNAEAAA8BAAABXP3//9X/////////AAalAgAABlN0cmluZwamAgAAC1NhbGVzIG9yZGVyCacCAAABWP3//9P///8CAAAAAVf9//9l/f//AQAAAAAABqoCAAAaVGFibGUuQ3VzdFBhY2tpbmdTbGlwVHJhbnMJNAAAAAkpAAAACv////8JqgIAAAoJNAAAAAoKCgkpAAAACbACAAAJKQAAAAFZAQAADwEAAAFO/f//1f////////8ABrMCAAAGU3RyaW5nBrQCAAAESXRlbQm1AgAAAUr9///T////AgAAAAFJ/f//Zf3//wEAAAAAAAa4AgAAGlRhYmxlLkN1c3RQYWNraW5nU2xpcFRyYW5zCUIAAAAJKQAAAAr/////CbgCAAAKCUIAAAAKCgoJKQAAAAm+AgAACSkAAAABgQEAAA8BAAABQP3//9X/////////AAbBAgAABlN0cmluZwbCAgAACUl0ZW0gbmFtZQnDAgAAATz9///T////AgAAAAE7/f//Zf3//wEAAAAAAAbGAgAAM1RhYmxlLkN1c3RQYWNraW5nU2xpcFRyYW5zLkl0ZW1JZH5UYWJsZS5JbnZlbnRUYWJsZQlQAAAACSkAAAAK/////wnGAgAACglQAAAABssCAAAGSXRlbUlkBswCAAAUQ3VzdFBhY2tpbmdTbGlwVHJhbnMKCSkAAAAJzgIAAAkpAAAAAaYBAAAPAQAAATD9///V/////////wAG0QIAAAREYXRlBtICAAAJU2hpcCBkYXRlCdMCAAABLP3//9P///8CAAAAASv9//9l/f//AQAAAAAABtYCAAAaVGFibGUuQ3VzdFBhY2tpbmdTbGlwVHJhbnMJXgAAAAkpAAAACv////8J1gIAAAoJXgAAAAoKCgkpAAAACdwCAAAJKQAAAAHLAQAADwEAAAEi/f//1f////////8ABt8CAAAEUmVhbAbgAgAACURlbGl2ZXJlZAm1AgAAAR79///T////AgAAAAEd/f//Zf3//wEAAAAAAAm4AgAACWwAAAAJKQAAAAr/////CbgCAAAKCWwAAAAKCgoJKQAAAAnqAgAACSkAAAAB8wEAAA8BAAABFP3//9X/////////AAbtAgAABlN0cmluZwbuAgAABFVuaXQJ0wIAAAEQ/f//0////wIAAAABD/3//2X9//8BAAAAAAAJ1gIAAAl6AAAACSkAAAAK/////wnWAgAACgl6AAAACgoKCSkAAAAJ+AIAAAkpAAAAAUICAAAPAQAAAQb9///V/////////wAG+wIAAAZTdHJpbmcG/AIAAARVbml0Cf0CAAABAv3//9P///8CAAAAAQH9//9l/f//AQAAAAAACQwBAAAJlQAAAAkpAAAACv////8JDAEAAAoJlQAAAAYFAwAABkl0ZW1JZAYGAwAAFEN1c3RQYWNraW5nU2xpcFRyYW5zCgkpAAAACQgDAAAJKQAAAAFqAgAADwEAAAH2/P//1f////////8ABgsDAAAGU3RyaW5nBgwDAAAGTG90IElECZkCAAAB8vz//9P///8CAAAAAfH8//9l/f//AQAAAAAACZwCAAAJowAAAAkpAAAACv////8JnAIAAAoJowAAAAoKCgkpAAAACRYDAAAJKQAAAAGPAgAADwEAAAHo/P//1f////////8ABhkDAAAGU3RyaW5nBhoDAAAMUGFja2luZyBzbGlwCRsDAAAB5Pz//9P///8CAAAAAeP8//9l/f//AQAAAAAABh4DAAAaVGFibGUuQ3VzdFBhY2tpbmdTbGlwVHJhbnMJsQAAAAkpAAAACv////8JHgMAAAoJsQAAAAoKCgkpAAAACSQDAAAJKQAAAAWZ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/////BiYDAAAUQ3VzdFBhY2tpbmdTbGlwVHJhbnMGJwMAAB1DdXN0b21lciAtIFBhY2tpbmcgc2xpcCBsaW5lcwkpAAAACSkAAAAJKQAAAAXX/P//MEdsb2JlU29mdHdhcmUuQXRsYXM0MC5BdGxhc0NvbW1vbi5EYXRhU291cmNlVHlwZQEAAAAHdmFsdWVfXwAIDgAAAAAAAAAJKgMAAAkrAwAABNT8//8LU3lzdGVtLkd1aWQLAAAAAl9hAl9iAl9jAl9kAl9lAl9mAl9nAl9oAl9pAl9qAl9rAAAAAAAAAAAAAAAIBwcCAgICAgICAhibWGlMoHpDrmm2LamVJ4oJKQAAAAkpAAAACS4DAAAJnAIAAAoKCgoKAQAAAAXQ/P//NEdsb2JlU29mdHdhcmUuQXRsYXM0MC5BdGxhc0NvbW1vbi5EYXRhU291cmNlSm9pbk1vZGUBAAAAB3ZhbHVlX18ACA4AAAAAAAAABc/8//81R2xvYmVTb2Z0d2FyZS5BdGxhczQwLkF0bGFzQ29tbW9uLkRhdGFTb3VyY2VGZXRjaE1vZGUBAAAAB3ZhbHVlX18ACA4AAAAAAAAAAAkyAwAAAaICAAAlAAAAWgAAAAnHAAAAAwAAAAk0AwAAAacCAACZAgAA/////wY1AwAAFEN1c3RQYWNraW5nU2xpcFRyYW5zBjYDAAAdQ3VzdG9tZXIgLSBQYWNraW5nIHNsaXAgbGluZXMJKQAAAAkpAAAACSkAAAAByPz//9f8//8AAAAACTkDAAAJOgMAAAHF/P//1Pz//587x2T98OpJrLaH76c44JIJKQAAAAkpAAAACT0DAAAJqgIAAAoKCgoKAQAAAAHB/P//0Pz//wAAAAABwPz//8/8//8AAAAAAAlBAwAAAbACAAAlAAAAYAAAAAnMAAAAAwAAAAlDAwAAAbUCAACZAgAASAAAAAZEAwAAFEN1c3RQYWNraW5nU2xpcFRyYW5zBkUDAAAdQ3VzdG9tZXIgLSBQYWNraW5nIHNsaXAgbGluZXMJKQAAAAkpAAAACSkAAAABufz//9f8//8AAAAACUgDAAAJSQMAAAG2/P//1Pz//9mGVy3QSpNOiDs3qVZ3QuMJKQAAAAkpAAAACUwDAAAJuAIAAAoKCgoKAQAAAAGy/P//0Pz//wAAAAABsfz//8/8//8AAAAAAAlQAwAAAb4CAAAlAAAAkQAAAAnRAAAAAwAAAAlSAwAAAcMCAACZAgAA/////wZTAwAAC0ludmVudFRhYmxlBlQDAAAFSXRlbXMJKQAAAAkpAAAACSkAAAABqvz//9f8//8AAAAACVcDAAAJWAMAAAGn/P//1Pz//zJwWgxM0oVOj+iheHXSGqYJKQAAAAkpAAAACVsDAAAJxgIAAAZdAwAAFEN1c3RQYWNraW5nU2xpcFRyYW5zBl4DAAAaVGFibGUuQ3VzdFBhY2tpbmdTbGlwVHJhbnMGXwMAACFUYWJsZS5DdXN0UGFja2luZ1NsaXBUcmFucy5JdGVtSWQGYAMAAAZJdGVtSWQGYQMAAAZJdGVtSWQBAAAAAZ78///Q/P//AAAAAAGd/P//z/z//wAAAAAACWQDAAABzgIAACUAAAB6AAAACdYAAAADAAAACWYDAAAB0wIAAJkCAAD/////BmcDAAAUQ3VzdFBhY2tpbmdTbGlwVHJhbnMGaAMAAB1DdXN0b21lciAtIFBhY2tpbmcgc2xpcCBsaW5lcwkpAAAACSkAAAAJKQAAAAGW/P//1/z//wAAAAAJawMAAAlsAwAAAZP8///U/P//yZs2aE97kU+Tn2QE/1dCkgkpAAAACSkAAAAJbwMAAAnWAgAACgoKCgoBAAAAAY/8///Q/P//AAAAAAGO/P//z/z//wAAAAAACXMDAAAB3AIAACUAAABsAAAACdsAAAADAAAACXUDAAAB6gIAACUAAACRAAAACdEAAAADAAAACXcDAAAB+AIAACUAAABsAAAACdsAAAADAAAACXkDAAAB/QIAAJkCAAD/////BnoDAAARSW52ZW50VGFibGVNb2R1bGUGewMAABtJbnZlbnRvcnkgbW9kdWxlIHBhcmFtZXRlcnMJKQAAAAkpAAAACSkAAAABg/z//9f8//8AAAAACX4DAAAJfwMAAAGA/P//1Pz//8vizqVuVH5LktyfmW/IUWsJKQAAAAkpAAAACYIDAAAJDAEAAAaEAwAAFEN1c3RQYWNraW5nU2xpcFRyYW5zBoUDAAAaVGFibGUuQ3VzdFBhY2tpbmdTbGlwVHJhbnMGhgMAACFUYWJsZS5DdXN0UGFja2luZ1NsaXBUcmFucy5JdGVtSWQGhwMAAAZJdGVtSWQGiAMAAAZJdGVtSWQBAAAAAXf8///Q/P//AAAAAAF2/P//z/z//wAAAAAACYsDAAABCAMAACUAAABUAAAACe8AAAADAAAACY0DAAABFgMAACUAAABaAAAACccAAAADAAAACY8DAAABGwMAAJkCAAD/////BpADAAAUQ3VzdFBhY2tpbmdTbGlwVHJhbnMGkQMAAB1DdXN0b21lciAtIFBhY2tpbmcgc2xpcCBsaW5lcwkpAAAACSkAAAAJKQAAAAFt/P//1/z//wAAAAAJlAMAAAmVAwAAAWr8///U/P//hp4RRRG07ECbNn4VXJbV9QkpAAAACSkAAAAJmAMAAAkeAwAACgoKCgoBAAAAAWb8///Q/P//AAAAAAFl/P//z/z//wAAAAAACZwDAAABJAMAACUAAAACAAAACQwAAAADAAAACZ4DAAAEKg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nwMAAAcAAAAJoAMAAAQr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EAAAACcwAAAAHAAAACaIDAAAELg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MAAAAJnwMAAAMAAAAJpAMAAAQy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lAwAAAAAAAAc0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8///h/v//BqcDAAAFTGFiZWwJmAIAAAFX/P//4f7//waqAwAABFR5cGUJlwIAAAE5AwAAKgMAAAUAAAAJrAMAAAcAAAAJrQMAAAE6AwAAKwMAAAQAAAAJ2wAAAAcAAAAJrwMAAAE9AwAALgMAAAMAAAAJrAMAAAMAAAAJsQMAAAFBAwAAMgMAAAAAAAAJsgMAAAAAAAAHQ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/P//4f7//wa0AwAABUxhYmVsCaYCAAABSvz//+H+//8GtwMAAARUeXBlCaUCAAABSAMAACoDAAAFAAAACbkDAAAHAAAACboDAAABSQMAACsDAAAGAAAACbkDAAAHAAAACbwDAAABTAMAAC4DAAABAAAACbkDAAADAAAACb4DAAABUAMAADIDAAAAAAAACb8DAAAAAAAAB1I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z//+H+//8GwQMAAAhIZWxwVGV4dAbCAwAADklkZW50aWZ5IGl0ZW0uAT38///h/v//BsQDAAAFTGFiZWwJtAIAAAE6/P//4f7//wbHAwAABFR5cGUJswIAAAFXAwAAKgMAAAEAAAAJ1gAAAAMAAAAJygMAAARY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wAAAAAAAAABFs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WAAAAAAAAAAFkAwAAMgMAAAAAAAAJzQMAAAAAAAAHZ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P//4f7//wbPAwAABUxhYmVsCcICAAABL/z//+H+//8G0gMAAARUeXBlCcECAAABawMAACoDAAAIAAAACdQDAAAHAAAACdUDAAABbAMAACsDAAAEAAAACdsAAAAHAAAACdcDAAABbwMAAC4DAAADAAAACdQDAAADAAAACdkDAAABcwMAADIDAAAAAAAACdoDAAAAAAAAB3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z//+H+//8G3AMAAAVMYWJlbAnSAgAAASL8///h/v//Bt8DAAAEVHlwZQnRAgAAB3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z//+H+//8JwQMAAAbjAwAAJFRvdGFsIHF1YW50aXR5IG9mIHRoaXMgaXRlbSByZWxlYXNlZAEc/P//4f7//wnEAwAACeACAAABGfz//+H+//8JxwMAAAnfAgAAB3k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z//+H+//8J3AMAAAnuAgAAARP8///h/v//Cd8DAAAJ7QIAAAF+AwAAKgMAAAEAAAAJ7wAAAAMAAAAJ8QMAAAF/AwAAKwMAAAEAAAAJDAAAAAMAAAAJ8wMAAASC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7wAAAAAAAAABiwMAADIDAAAAAAAACfUDAAAAAAAAB40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z//+H+//8G9wMAAAVMYWJlbAn8AgAAAQf8///h/v//BvoDAAAEVHlwZQn7AgAAB48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z//+H+//8JpwMAAAkMAwAAAQH8///h/v//CaoDAAAJCwMAAAGUAwAAKgMAAAgAAAAJAgQAABEAAAAJAwQAAAGVAwAAKwMAAAQAAAAJBAQAAAcAAAAJBQQAAAGYAwAALgMAAAMAAAAJAgQAAAMAAAAJBwQAAAGcAwAAMgMAAAAAAAAJCAQAAAAAAAAHn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+///4f7//wYKBAAABUxhYmVsCRoDAAAB9Pv//+H+//8GDQQAAARUeXBlCRkDAAABnwMAAAwAAAAHoAM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8fv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EAQAACJUYWJsZS5DdXN0UGFja2luZ1NsaXBUcmFucy5TYWxlc0lkCTQBAAAB7vv///H7//8GEwQAACFUYWJsZS5DdXN0UGFja2luZ1NsaXBUcmFucy5JdGVtSWQJWQEAAAHr+///8fv//wYWBAAAJ1RhYmxlLkN1c3RQYWNraW5nU2xpcFRyYW5zLkRlbGl2ZXJ5RGF0ZQmmAQAAAej7///x+///BhkEAAAeVGFibGUuQ3VzdFBhY2tpbmdTbGlwVHJhbnMuUXR5CcsBAAAB5fv///H7//8GHAQAACRUYWJsZS5DdXN0UGFja2luZ1NsaXBUcmFucy5TYWxlc1VuaXQJ8wEAAAHi+///8fv//wYfBAAAJVRhYmxlLkN1c3RQYWNraW5nU2xpcFRyYW5zLkRhdGFBcmVhSWQJDwEAAAHf+///8fv//wYiBAAAKFRhYmxlLkN1c3RQYWNraW5nU2xpcFRyYW5zLkludmVudFRyYW5zSWQJagIAAAeiAw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3Pv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YlBAAAIVRhYmxlLkN1c3RQYWNraW5nU2xpcFRyYW5zLkl0ZW1JZAkmBAAAAdn7///c+///BigEAAAnVGFibGUuQ3VzdFBhY2tpbmdTbGlwVHJhbnMuRGVsaXZlcnlEYXRlCSkEAAAB1vv//9z7//8GKwQAACdUYWJsZS5DdXN0UGFja2luZ1NsaXBUcmFucy5EaW1lbnNpb25bOF0JLAQAAAHT+///3Pv//wYuBAAAJ1RhYmxlLkN1c3RQYWNraW5nU2xpcFRyYW5zLkRpbWVuc2lvbls3XQkvBAAAB6QD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D7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QkBAAAJMgQAAAHN+///0Pv//wnGAgAACcMCAAAByvv//9D7//8GNwQAADpUYWJsZS5DdXN0UGFja2luZ1NsaXBUcmFucy5JbnZlbnRUcmFuc0lkflRhYmxlLkludmVudFRyYW5zCTgEAAAEpQ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awDAAAMAAAAB60D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f7///x+///BjoEAAAhVGFibGUuQ3VzdFBhY2tpbmdTbGlwVHJhbnMuSXRlbUlkCVkBAAABxPv///H7//8GPQQAACdUYWJsZS5DdXN0UGFja2luZ1NsaXBUcmFucy5EZWxpdmVyeURhdGUJpgEAAAHB+///8fv//wZABAAAHlRhYmxlLkN1c3RQYWNraW5nU2xpcFRyYW5zLlF0eQnLAQAAAb77///x+///BkMEAAAkVGFibGUuQ3VzdFBhY2tpbmdTbGlwVHJhbnMuU2FsZXNVbml0CfMBAAABu/v///H7//8GRgQAACJUYWJsZS5DdXN0UGFja2luZ1NsaXBUcmFucy5TYWxlc0lkCTQBAAAHrwM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bj7///c+///BkkEAAAhVGFibGUuQ3VzdFBhY2tpbmdTbGlwVHJhbnMuSXRlbUlkCSYEAAABtfv//9z7//8GTAQAACdUYWJsZS5DdXN0UGFja2luZ1NsaXBUcmFucy5EZWxpdmVyeURhdGUJKQQAAAGy+///3Pv//wZPBAAAJ1RhYmxlLkN1c3RQYWNraW5nU2xpcFRyYW5zLkRpbWVuc2lvbls4XQksBAAAAa/7///c+///BlIEAAAnVGFibGUuQ3VzdFBhY2tpbmdTbGlwVHJhbnMuRGltZW5zaW9uWzddCS8EAAAHsQM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rPv//9D7//8JCQEAAAkyBAAAAan7///Q+///CcYCAAAJwwIAAAGm+///0Pv//wk3BAAACTgEAAABsgMAAKUDAAABuQMAAAwAAAAHugM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o/v///H7//8GXgQAAChUYWJsZS5DdXN0UGFja2luZ1NsaXBUcmFucy5QYWNraW5nU2xpcElkCV8EAAABoPv///H7//8GYQQAACFUYWJsZS5DdXN0UGFja2luZ1NsaXBUcmFucy5JdGVtSWQJWQEAAAGd+///8fv//wZkBAAAHlRhYmxlLkN1c3RQYWNraW5nU2xpcFRyYW5zLlF0eQnLAQAAAZr7///x+///BmcEAAAiVGFibGUuQ3VzdFBhY2tpbmdTbGlwVHJhbnMuT3JkZXJlZAloBAAAAZf7///x+///BmoEAAAhVGFibGUuQ3VzdFBhY2tpbmdTbGlwVHJhbnMuUmVtYWluCWsEAAAHvAM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ZT7///c+///Bm0EAAAlVGFibGUuQ3VzdFBhY2tpbmdTbGlwVHJhbnMuRGF0YUFyZWFJZAluBAAAAZH7///c+///BnAEAAAhVGFibGUuQ3VzdFBhY2tpbmdTbGlwVHJhbnMuSXRlbUlkCXEEAAABjvv//9z7//8GcwQAAChUYWJsZS5DdXN0UGFja2luZ1NsaXBUcmFucy5QYWNraW5nU2xpcElkCXQEAAABi/v//9z7//8GdgQAACdUYWJsZS5DdXN0UGFja2luZ1NsaXBUcmFucy5EZWxpdmVyeURhdGUJdwQAAAGI+///3Pv//wZ5BAAAJ1RhYmxlLkN1c3RQYWNraW5nU2xpcFRyYW5zLkRpbWVuc2lvbls4XQl6BAAAAYX7///c+///BnwEAAAnVGFibGUuQ3VzdFBhY2tpbmdTbGlwVHJhbnMuRGltZW5zaW9uWzddCX0EAAAHvgM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gvv//9D7//8JCQEAAAkyBAAAAb8DAAClAwAAB8oD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/7///x+///BoIEAAA8VGFibGUuQ3VzdFBhY2tpbmdTbGlwVHJhbnMuSXRlbUlkflRhYmxlLkludmVudFRhYmxlLkl0ZW1OYW1lCYEBAAABzQMAAKUDAAAB1AMAAAwAAAAH1QM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Pv///H7//8GhQQAACFUYWJsZS5DdXN0UGFja2luZ1NsaXBUcmFucy5JdGVtSWQJWQEAAAF5+///8fv//waIBAAAHlRhYmxlLkN1c3RQYWNraW5nU2xpcFRyYW5zLlF0eQnLAQAAAXb7///x+///BosEAAAnVGFibGUuQ3VzdFBhY2tpbmdTbGlwVHJhbnMuRGVsaXZlcnlEYXRlCaYBAAABc/v///H7//8GjgQAACRUYWJsZS5DdXN0UGFja2luZ1NsaXBUcmFucy5TYWxlc1VuaXQJ8wEAAAfXAw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cPv//9z7//8GkQQAACFUYWJsZS5DdXN0UGFja2luZ1NsaXBUcmFucy5JdGVtSWQJJgQAAAFt+///3Pv//waUBAAAJ1RhYmxlLkN1c3RQYWNraW5nU2xpcFRyYW5zLkRlbGl2ZXJ5RGF0ZQkpBAAAAWr7///c+///BpcEAAAnVGFibGUuQ3VzdFBhY2tpbmdTbGlwVHJhbnMuRGltZW5zaW9uWzhdCSwEAAABZ/v//9z7//8GmgQAACdUYWJsZS5DdXN0UGFja2luZ1NsaXBUcmFucy5EaW1lbnNpb25bN10JLwQAAAfZAw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k+///0Pv//wkJAQAACTIEAAABYfv//9D7//8JxgIAAAnDAgAAAV77///Q+///CTcEAAAJOAQAAAHaAwAApQMAAAfxAw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b+///8fv//wamBAAAQFRhYmxlLkN1c3RQYWNraW5nU2xpcFRyYW5zLkl0ZW1JZH5UYWJsZS5JbnZlbnRUYWJsZU1vZHVsZS5Vbml0SWQJQgIAAAfz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Pv//9z7//8GqQQAAERUYWJsZS5DdXN0UGFja2luZ1NsaXBUcmFucy5JdGVtSWR+VGFibGUuSW52ZW50VGFibGVNb2R1bGUuTW9kdWxlVHlwZQmqBAAAAfUDAAClAwAAAQIEAAAMAAAABwME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X7///x+///BqwEAAAlVGFibGUuQ3VzdFBhY2tpbmdTbGlwVHJhbnMuRGF0YUFyZWFJZAkPAQAAAVL7///x+///Bq8EAAAiVGFibGUuQ3VzdFBhY2tpbmdTbGlwVHJhbnMuU2FsZXNJZAk0AQAAAU/7///x+///BrIEAAAhVGFibGUuQ3VzdFBhY2tpbmdTbGlwVHJhbnMuSXRlbUlkCVkBAAABTPv///H7//8GtQQAACdUYWJsZS5DdXN0UGFja2luZ1NsaXBUcmFucy5EZWxpdmVyeURhdGUJpgEAAAFJ+///8fv//wa4BAAAHlRhYmxlLkN1c3RQYWNraW5nU2xpcFRyYW5zLlF0eQnLAQAAAUb7///x+///BrsEAAAkVGFibGUuQ3VzdFBhY2tpbmdTbGlwVHJhbnMuU2FsZXNVbml0CfMBAAABQ/v///H7//8GvgQAAChUYWJsZS5DdXN0UGFja2luZ1NsaXBUcmFucy5JbnZlbnRUcmFuc0lkCWoCAAABQPv///H7//8GwQQAAChUYWJsZS5DdXN0UGFja2luZ1NsaXBUcmFucy5QYWNraW5nU2xpcElkCY8CAAABBAQAAAwAAAAHBQQ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37///c+///BsQEAAAhVGFibGUuQ3VzdFBhY2tpbmdTbGlwVHJhbnMuSXRlbUlkCcUEAAABOvv//9z7//8GxwQAACdUYWJsZS5DdXN0UGFja2luZ1NsaXBUcmFucy5EZWxpdmVyeURhdGUJyAQAAAE3+///3Pv//wbKBAAAJ1RhYmxlLkN1c3RQYWNraW5nU2xpcFRyYW5zLkRpbWVuc2lvbls4XQnLBAAAATT7///c+///Bs0EAAAnVGFibGUuQ3VzdFBhY2tpbmdTbGlwVHJhbnMuRGltZW5zaW9uWzddCc4EAAAHBwQ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Mfv//9D7//8JCQEAAAkyBAAAAS77///Q+///CcYCAAAJwwIAAAEr+///0Pv//wkMAQAACf0CAAABCAQAAKUDAAAFJgQ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BtgEAAAaVGFibGUuQ3VzdFBhY2tpbmdTbGlwVHJhbnMJ/gAAAAkpAAAABtsEAAABKv////8J2AQAAAoJ/gAAAAoKCgkpAAAACd8EAAAJKQAAAAEpBAAAJgQAAAnYBAAACQEBAAAJKQAAAAbkBAAAFTEuMS4yMDIxIC4uIDIuMjguMjAyMf////8J2AQAAAoJAQEAAAoKCgkpAAAACegEAAAJKQAAAAEsBAAAJgQAAAnYBAAACQQBAAAJKQAAAAbtBAAAASr/////CdgEAAAKCQQBAAAKCgoJKQAAAAnxBAAACSkAAAABLwQAACYEAAAJ2AQAAAkHAQAACSkAAAAG9gQAAAEq/////wnYBAAACgkHAQAACgoKCSkAAAAJ+gQAAAkpAAAAATIEAACZAgAA/////wb8BAAAClNhbGVzVGFibGUG/QQAAAxTYWxlcyBvcmRlcnMJKQAAAAkpAAAACSkAAAABAfv//9f8//8AAAAACQAFAAAJAQUAAAH++v//1Pz//z7Q2GxdJftBloNw0dZCYJ0JKQAAAAkpAAAACQQFAAAJCQEAAAYGBQAAFEN1c3RQYWNraW5nU2xpcFRyYW5zBgcFAAAaVGFibGUuQ3VzdFBhY2tpbmdTbGlwVHJhbnMGCAUAACJUYWJsZS5DdXN0UGFja2luZ1NsaXBUcmFucy5TYWxlc0lkBgkFAAAHU2FsZXNJZAYKBQAAB1NhbGVzSWQBAAAAAfX6///Q/P//AAAAAAH0+v//z/z//wAAAAAACQ0FAAABOAQAAJkCAAD/////Bg4FAAALSW52ZW50VHJhbnMGDwUAABZJbnZlbnRvcnkgdHJhbnNhY3Rpb25zCSkAAAAJKQAAAAkpAAAAAe/6///X/P//AAAAAAkSBQAACRMFAAAB7Pr//9T8//9XXxLfDxlcTZXm5oDNzSVjCSkAAAAJKQAAAAkWBQAACTcEAAAGGAUAABRDdXN0UGFja2luZ1NsaXBUcmFucwYZBQAAGlRhYmxlLkN1c3RQYWNraW5nU2xpcFRyYW5zBhoFAAAoVGFibGUuQ3VzdFBhY2tpbmdTbGlwVHJhbnMuSW52ZW50VHJhbnNJZAYbBQAADUludmVudFRyYW5zSWQGHAUAAA1JbnZlbnRUcmFuc0lkAQAAAAHj+v//0Pz//wEAAAAB4vr//8/8//8BAAAAAAkfBQAAAV8EAAAPAQAAAeD6///V/////////wAGIQUAAAZTdHJpbmcGIgUAAAxQYWNraW5nIHNsaXAJtQIAAAHc+v//0////wIAAAAB2/r//2X9//8BAAAAAAAJuAIAAAYnBQAADVBhY2tpbmdTbGlwSWQJKQAAAAr/////CbgCAAAKCScFAAAKCgoJKQAAAAksBQAACSkAAAABaAQAAA8BAAAB0vr//9X/////////AAYvBQAABFJlYWwGMAUAAAdPcmRlcmVkCbUCAAABzvr//9P///8CAAAAAc36//9l/f//AQAAAAAACbgCAAAGNQUAAAdPcmRlcmVkCSkAAAAK/////wm4AgAACgk1BQAACgoKCSkAAAAJOgUAAAkpAAAAAWsEAAAPAQAAAcT6///V/////////wAGPQUAAARSZWFsBj4FAAASUmVtYWluaW5nIHF1YW50aXR5CbUCAAABwPr//9P///8CAAAAAb/6//9l/f//AQAAAAAACbgCAAAGQwUAAAZSZW1haW4JKQAAAAr/////CbgCAAAKCUMFAAAKCgoJKQAAAAlIBQAACSkAAAABbgQAACYEAAAJuAIAAAZLBQAACkRhdGFBcmVhSWQJKQAAAAkpAAAA/////wm4AgAACglLBQAACgoKCSkAAAAJUAUAAAkpAAAAAXEEAAAmBAAACbgCAAAGUwUAAAZJdGVtSWQJKQAAAAkpAAAA/////wm4AgAACglTBQAACgoKCSkAAAAJWAUAAAkpAAAAAXQEAAAmBAAACbgCAAAGWwUAAA1QYWNraW5nU2xpcElkCSkAAAAJKQAAAP////8JuAIAAAoJWwUAAAoKCgkpAAAACWAFAAAJKQAAAAF3BAAAJgQAAAm4AgAACQEBAAAJKQAAAAkpAAAA/////wm4AgAACgkBAQAACgoKCSkAAAAJaAUAAAkpAAAAAXoEAAAmBAAACbgCAAAGawUAAAxEaW1lbnNpb25bOF0JKQAAAAkpAAAA/////wm4AgAACglrBQAACgoKCSkAAAAJcAUAAAkpAAAAAX0EAAAmBAAACbgCAAAGcwUAAAxEaW1lbnNpb25bN10JKQAAAAkpAAAA/////wm4AgAACglzBQAACgoKCSkAAAAJeAUAAAkpAAAAAaoEAAAmBAAACQwBAAAJDQEAAAkpAAAACQ4BAAD/////CQwBAAAGfwUAABFJbnZlbnRUYWJsZU1vZHVsZQkNAQAABoEFAAAGSXRlbUlkCgoJKQAAAAmDBQAACSkAAAABxQQAACYEAAAGhQUAABpUYWJsZS5DdXN0UGFja2luZ1NsaXBUcmFucwn+AAAACSkAAAAJ/wAAAP////8JhQUAAAoJ/gAAAAoKCgkpAAAACYwFAAAJKQAAAAHIBAAAJgQAAAmFBQAACQEBAAAJKQAAAAkCAQAA/////wmFBQAACgkBAQAACgoKCSkAAAAJlQUAAAkpAAAAAcsEAAAmBAAACYUFAAAJBAEAAAkpAAAACQUBAAD/////CYUFAAAKCQQBAAAKCgoJKQAAAAmeBQAACSkAAAABzgQAACYEAAAJhQUAAAkHAQAACSkAAAAJCAEAAP////8JhQUAAAoJBwEAAAoKCgkpAAAACacFAAAJKQAAAAHfBAAAJQAAAEsAAAAJ1gAAAAMAAAAJqgUAAAHoBAAAJQAAAEsAAAAJ1gAAAAMAAAAJrAUAAAHxBAAAJQAAAEsAAAAJ1gAAAAMAAAAJrgUAAAH6BAAAJQAAAEsAAAAJ1gAAAAMAAAAJsAUAAAQAB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0QAAAAAAAAABAQUAACsDAAABAAAACQwAAAADAAAACbMFAAAEBA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dEAAAAAAAAAAQ0FAAAyAwAAAAAAAAm1BQAAAAAAAAESBQAAKgMAAAQAAAAJ2wAAAAMAAAAJtwUAAAQT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QEAAAAAAAABBY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bAAAAAAAAAAEfBQAAMgMAAAAAAAAJugUAAAAAAAABLAUAACUAAAARAAAACdEAAAADAAAACbwFAAABOgUAACUAAAAlAAAACdEAAAADAAAACb4FAAABSAUAACUAAAAlAAAACdEAAAADAAAACcAFAAAEU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0QAAAAAAAAAEW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0QAAAAAAAAAEY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0QAAAAAAAAAEa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0QAAAAAAAAAEc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0QAAAAAAAAAEe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0QAAAAAAAAABgwUAACUAAABKAAAACe8AAAADAAAACcMFAAABjAUAACUAAABRAAAACe8AAAADAAAACcUFAAABlQUAACUAAABRAAAACe8AAAADAAAACccFAAABngUAACUAAABRAAAACe8AAAADAAAACckFAAABpwUAACUAAABRAAAACe8AAAADAAAACcsFAAAHq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0+v//4f7//wnSAwAABs4FAAAGU3RyaW5nATH6///h/v//Cc8DAAAG0QUAAARJdGVtAS76///h/v//BtMFAAAIUmVmZXJzVG8G1AUAAAs9SXRlbU51bWJlcges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6///h/v//CdIDAAAG1wUAAAREYXRlASj6///h/v//Cc8DAAAG2gUAAAlTaGlwIGRhdGUBJfr//+H+//8J0wUAAAbdBQAACz1EYXRlUGVyaW9kB64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r//+H+//8J0gMAAAbgBQAABlN0cmluZwEf+v//4f7//wnPAwAABuMFAAAWRGV0YWlsIE1hcmtldGluZyBHcm91cAEc+v//4f7//wnTBQAABuYFAAAEPURNRwe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6///h/v//CdIDAAAJ4AUAAAEW+v//4f7//wnPAwAABuwFAAAVTWFqb3IgTWFya2V0aW5nIEdyb3VwARP6///h/v//CdMFAAAG7wUAAAQ9TU1HB7M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Q+v//3Pv//wbxBQAAPVRhYmxlLkN1c3RQYWNraW5nU2xpcFRyYW5zLlNhbGVzSWR+VGFibGUuU2FsZXNUYWJsZS5DdXN0R3JvdXAJ8gUAAAG1BQAApQMAAAe3BQAAAAEAAAAA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6BQAApQMAAAe8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36///h/v//CcEDAAAG9QUAACNJZGVudGlmaWNhdGlvbiBvZiB0aGUgcGFja2luZyBzbGlwLgEK+v//4f7//wnEAwAACSIFAAABB/r//+H+//8JxwMAAAkhBQAAB74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r//+H+//8JwQMAAAb+BQAAEFF1YW50aXR5IG9yZGVyZWQBAfr//+H+//8JxAMAAAkwBQAAAf75///h/v//CccDAAAJLwUAAAfA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5///h/v//CcEDAAAGBwYAAElSZW1haW5pbmcgcXVhbnRpdHkgZm9yIHRoZSBzYWxlcyBvcmRlciBsaW5lIG5vdCB5ZXQgcGFja2luZyBzbGlwIHVwZGF0ZWQuAfj5///h/v//CcQDAAAJPgUAAAH1+f//4f7//wnHAwAACT0FAAAHw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+f//4f7//wn6AwAABhAGAAAERW51bQHv+f//4f7//wn3AwAABhMGAAALTW9kdWxlIHR5cGUHx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+f//4f7//wn6AwAACbMCAAAB6fn//+H+//8J9wMAAAm0AgAAAeb5///h/v//BhsGAAAIUmVmZXJzVG8J1AUAAAfH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5///h/v//CfoDAAAJ0QIAAAHg+f//4f7//wn3AwAACdICAAAB3fn//+H+//8JGwYAAAndBQAAB8k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n//+H+//8J+gMAAAYoBgAABlN0cmluZwHX+f//4f7//wn3AwAABisGAAAWRGV0YWlsIE1hcmtldGluZyBHcm91cAHU+f//4f7//wkbBgAACeYFAAAHy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+f//4f7//wn6AwAACSgGAAABzvn//+H+//8J9wMAAAY0BgAAFU1ham9yIE1hcmtldGluZyBHcm91cAHL+f//4f7//wkbBgAACe8FAAAB8gUAACYEAAAJCQEAAAkKAQAACSkAAAAJCwEAAP////8JCQEAAAoJCgEAAAY+BgAAB1NhbGVzSWQKCgkpAAAACUAGAAAJKQAAAAFABgAAJQAAAFEAAAAJ7wAAAAMAAAAJQwYAAAdD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z5///h/v//CfoDAAAGRgYAAAZTdHJpbmcBufn//+H+//8J9wMAAAZJBgAADkN1c3RvbWVyIGdyb3VwAbb5///h/v//CRsGAAAGTAYAAAo9Q3VzdEdyb3VwCw==</Report>
</Atlas>
</file>

<file path=customXml/item6.xml><?xml version="1.0" encoding="utf-8"?>
<Atlas>
  <Query type="ReportList" id="d3954928-8e8d-46f3-9287-9a62a62ef34c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HAAAAB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m8dltlQrFtBtB5v0VUZWz8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qVGFibGUuSW52ZW50VHJhbnMuSXRlbUlkflRhYmxlLkludmVudFRhYmxlCTEAAAABzv///9T///8GMwAAAC1UYWJsZS5JbnZlbnRUcmFucy5UcmFuc1JlZklkflRhYmxlLlNhbGVzVGFibGUJNAAAAAcUAAAAAAEAAAAIAAAABC1HbG9iZVNvZnR3YXJlLkF0bGFzNDAuQXRsYXNDb21tb24uVHlwZS5Db2x1bW4CAAAACTUAAAAJNgAAAAk3AAAACTgAAAAJOQAAAAk6AAAACTsAAAAKERUAAAAEAAAABjwAAAANQXRsYXNSZXBvcnRfNA0DBxcAAAAAAQAAAAM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f///8P///8GQAAAABFUYWJsZS5JbnZlbnRUYWJsZQkwAAAAAb7////D////BkMAAAAQVGFibGUuU2FsZXNUYWJ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7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r///8+R2xvYmVTb2Z0d2FyZS5BdGxhczQwLkF0bGFzQ29tbW9uLlR5cGUuQXRsYXNRdWVyeUF0dHJpYnV0ZU5hbWUBAAAAB3ZhbHVlX18ACAIAAAACAAAABkcAAAAkZDM5NTQ5MjgtOGU4ZC00NmYzLTkyODctOWE2MmE2MmVmMzRjAbj///+7////Abf///+6////AAAAAAZKAAAABHRydWUBtf///7v///8BtP///7r///8LAAAABk0AAAAWSW52ZW50b3J5IHRyYW5zYWN0aW9ucwGy////u////wGx////uv///xsAAAAGUAAAAARUcnVlAa////+7////Aa7///+6////BgAAAAZTAAAABUZhbHNlAaz///+7////Aav///+6////HAAAAAlQAAAAAan///+7////Aaj///+6////HQAAAAlTAAAAAab///+7////AaX///+6////KgAAAAlQAAAAAaP///+7////AaL///+6////AQAAAAZfAAAAAzM2OQGg////u////wGf////uv///ycAAAAGYgAAAAs9RGF0YUFyZWFJZAGd////u////wGc////uv///xkAAAAGZQAAAA9DZWxsc1ZlcnRpY2FsbHkBmv///7v///8Bmf///7r///8JAAAACgGY////u////wGX////uv///ygAAAAGagAAAAE3AZX///+7////AZT///+6////KwAAAAZt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S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8AAAALSW52ZW50VHJhbnMBAAAAAZD///+S////BnEAAAALSW52ZW50VGFibGUBAAAAAY7///+S////BnMAAAAKU2FsZXN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dAAAAAcAAAAJd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DAAAACRIAAAADAAAACXcAAAABJQAAAAQAAAACAAAACXQAAAADAAAACXk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gAAAAAAAAAHKgAAAAABAAAAAAAAAAQtR2xvYmVTb2Z0d2FyZS5BdGxhczQwLkF0bGFzQ29tbW9uLlR5cGUuQ29sdW1uAgAAAAExAAAADgAAAP////8GewAAAAtJbnZlbnRUYWJsZQZ8AAAABUl0ZW1zCQgAAAAJCAAAAAkIAAAAAYL////g////AAAAAAl/AAAACYAAAAABf////93////g5N7gViGWSLzH129nziZfCQgAAAAJCAAAAAmDAAAACTAAAAAGhQAAAAtJbnZlbnRUcmFucwaGAAAAEVRhYmxlLkludmVudFRyYW5zBocAAAAYVGFibGUuSW52ZW50VHJhbnMuSXRlbUlkBogAAAAGSXRlbUlkBokAAAAGSXRlbUlkAQAAAAF2////2f///wAAAAABdf///9j///8AAAAAAAmMAAAAATQAAAAOAAAA/////waNAAAAClNhbGVzVGFibGUGjgAAAAxTYWxlcyBvcmRlcnMJCAAAAAkIAAAACQgAAAABcP///+D///8AAAAACZEAAAAJkgAAAAFt////3f///xLNSxYL2aBNoyS5XIwdZaMJCAAAAAkIAAAACZUAAAAJMwAAAAaXAAAAC0ludmVudFRyYW5zBpgAAAARVGFibGUuSW52ZW50VHJhbnMGmQAAABxUYWJsZS5JbnZlbnRUcmFucy5UcmFuc1JlZklkBpoAAAAKVHJhbnNSZWZJZAabAAAAB1NhbGVzSWQBAAAAAWT////Z////AAAAAAFj////2P///wAAAAAACZ4AAAAFNQ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nwAAAAmgAAAACaEAAAAGogAAAAZJdGVtSWQGowAAAAtJdGVtIG51bWJlcgakAAAABlN0cmluZwkIAAAABqYAAAAkNTNmYjlkY2EtMDM5Ni00ZGU2LTkzN2QtNDk5M2RkODljY2U1BVn///8tR2xvYmVTb2Z0d2FyZS5BdGxhczQwLkF0bGFzQ29tbW9uLkFnZ3JlZ2F0aW9uAQAAAAd2YWx1ZV9fAAgCAAAA/////wAAAAAFWP///yxHbG9iZVNvZnR3YXJlLkF0bGFzNDAuQXRsYXNDb21tb24uQ29sdW1uVHlwZQEAAAAHdmFsdWVfXwAIAgAAAAAAAAAFV////ytHbG9iZVNvZnR3YXJlLkF0bGFzNDAuQXRsYXNDb21tb24uU29ydE9yZGVyAQAAAAd2YWx1ZV9fAAgCAAAAAgAAAAAAAAAABVb///9AR2xvYmVTb2Z0d2FyZS5BdGxhczQwLkF0bGFzQ29tbW9uLlR5cGUuQ29sdW1uK0Nyb3NzVGFiQ29sdW1uVHlwZQEAAAAHdmFsdWVfXwAIAgAAAAAAAAAKAQAAAAAAAAAAAAAAAAAGqwAAACQxYmIwMDU3YS1lOThmLTRlZDAtODE5Mi0zNTQwYzliMzQ5YzgGrAAAABhUYWJsZS5JbnZlbnRUcmFucy5JdGVtSWQKCgoKATYAAAA1AAAACa0AAAAJrgAAAAmvAAAABrAAAAANSW52ZW50VHJhbnNJZAaxAAAABkxvdCBJRAayAAAABlN0cmluZwkIAAAABrQAAAAkMmU5YTY5MjItYTJiMi00MGIzLTkxMDktZTQ0YmZmMTFhOWM3AUv///9Z/////////wEAAAABSv///1j///8AAAAAAUn///9X////AgAAAAAAAAAAAUj///9W////AAAAAAoBAAAAAAAAAAABAAAAAAa5AAAAJGQ5MmIwNzJkLTM3MTQtNDczMi1iY2MwLWY4YzllNDI2NDRjYwa6AAAAH1RhYmxlLkludmVudFRyYW5zLkludmVudFRyYW5zSWQKCgoKATcAAAA1AAAACbsAAAAJvAAAAAm9AAAABr4AAAANUGFja2luZ1NsaXBJZAa/AAAADFBhY2tpbmcgc2xpcAbAAAAABlN0cmluZwkIAAAABsIAAAAkZmM5Y2ZiM2UtZjhjMy00NmU0LWE0YWEtMTY2MTYxNjE2NjY3AT3///9Z/////////wIAAAABPP///1j///8AAAAAATv///9X////AgAAAAAAAAAAATr///9W////AAAAAAoBAAAAAAAAAAACAAAAAAbHAAAAJDA3YzI3MzYzLTY3ZGYtNDIyZi04ZGI1LWM4ZTdkYWI0M2U0YQbIAAAAH1RhYmxlLkludmVudFRyYW5zLlBhY2tpbmdTbGlwSWQKCgoKATgAAAA1AAAACckAAAAJygAAAAnLAAAABswAAAAMRGF0ZVBoeXNpY2FsBs0AAAANUGh5c2ljYWwgZGF0ZQbOAAAABERhdGUJCAAAAAbQAAAAJGI5OTc2NzdiLTZlNjYtNDY0NC1iNDQwLTIwMjBhNjEzOGY3YQEv////Wf////////8DAAAAAS7///9Y////AAAAAAEt////V////wIAAAAAAAAAAAEs////Vv///wAAAAAKAQAAAAAAAAAAAwAAAAAG1QAAACRmOWQxNjQyNC03ZGM5LTRkNDktYWU4OC0zN2Y4NTRmYWM2YjQG1gAAAB5UYWJsZS5JbnZlbnRUcmFucy5EYXRlUGh5c2ljYWwKCgoKATkAAAA1AAAACdcAAAAJ2AAAAAnZAAAABtoAAAAJVHJhbnNUeXBlBtsAAAAJUmVmZXJlbmNlBtwAAAAERW51bQkIAAAABt4AAAAkMTcwZmE5ZjgtYTM4Ni00N2ZjLWJkNWItNGQ5NjQwNzRmOTJmASH///9Z/////////wQAAAABIP///1j///8AAAAAAR////9X////AgAAAAAAAAAAAR7///9W////AAAAAAoBAAAAAAAAAAAEAAAAAAbjAAAAJDJmYzc0MDAwLTc5NDQtNGQwMy1iNWZkLTQ1OWIzMTY5ZjgxNAbkAAAAG1RhYmxlLkludmVudFRyYW5zLlRyYW5zVHlwZQoKCgoBOgAAADUAAAAJ5QAAAAnmAAAACecAAAAG6AAAAApUcmFuc1JlZklkBukAAAAGTnVtYmVyBuoAAAAGU3RyaW5nCQgAAAAG7AAAACQyOGU2Njg2MS1hNjdhLTQ4YjUtOGU4NC1jNzUwMzU5YjlkYjcBE////1n/////////BQAAAAES////WP///wAAAAABEf///1f///8CAAAAAAAAAAABEP///1b///8AAAAACgEAAAAAAAAAAAUAAAAABvEAAAAkMDMzOTAzZTAtMmM4MS00MzBkLTlmYWMtMGY3YjhhMTRjYzE5BvIAAAAcVGFibGUuSW52ZW50VHJhbnMuVHJhbnNSZWZJZAoKCgoBOwAAADUAAAAJ8wAAAAn0AAAACfUAAAAG9gAAAANRdHkG9wAAAAhRdWFudGl0eQb4AAAABFJlYWwJCAAAAAb6AAAAJDAyZGY0ODU3LTJiZTQtNGJkMC1hNjNjLTgwOTZhNzhkNTVmNgEF////Wf///wEAAAAGAAAAAQT///9Y////AAAAAAED////V////wIAAAAAAAAAAAEC////Vv///wAAAAAKAQAAAAAAAAAABgAAAAAG/wAAACQxOWFjYTgzMi1kMTJjLTQ5MDYtODQ4YS1lMDI4YjE0NzYxOGMGAAEAABVUYWJsZS5JbnZlbnRUcmFucy5RdHkKCgoKAXQAAAASAAAAB3U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gIBAAAYVGFibGUuSW52ZW50VHJhbnMuSXRlbUlkCQMBAAAB/P7////+//8GBQEAAB9UYWJsZS5JbnZlbnRUcmFucy5JbnZlbnRUcmFuc0lkCQYBAAAB+f7////+//8GCAEAAB9UYWJsZS5JbnZlbnRUcmFucy5QYWNraW5nU2xpcElkCQkBAAAB9v7////+//8GCwEAAB5UYWJsZS5JbnZlbnRUcmFucy5EYXRlUGh5c2ljYWwJDAEAAAHz/v////7//wYOAQAAG1RhYmxlLkludmVudFRyYW5zLlRyYW5zVHlwZQkPAQAAAfD+/////v//BhEBAAAcVGFibGUuSW52ZW50VHJhbnMuVHJhbnNSZWZJZAkSAQAAAe3+/////v//BhQBAAAVVGFibGUuSW52ZW50VHJhbnMuUXR5CRUBAAAHdwA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r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FwEAABhUYWJsZS5JbnZlbnRUcmFucy5JdGVtSWQJGAEAAAHn/v//6v7//wYaAQAAHlRhYmxlLkludmVudFRyYW5zLkRhdGVQaHlzaWNhbAkbAQAAAeT+///q/v//Bh0BAAAbVGFibGUuSW52ZW50VHJhbnMuVHJhbnNUeXBlCR4BAAAHeQ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4f7//9T///8JMAAAAAkxAAAAAd7+///U////CTMAAAAJNAAAAAR6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fw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SUBAAAAAAAAAYAAAAAiAAAAAgAAAAkSAAAAAwAAAAknAQAABIM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lAQAAAAAAAAGMAAAAKQAAAAAAAAAJKQEAAAAAAAAEk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SoBAAAAAAAAAZIAAAAiAAAAAQAAAAkSAAAAAwAAAAksAQAABJ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qAQAAAAAAAAGeAAAAKQAAAAAAAAAJLgEAAAAAAAAEn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LwEAAAEAAAABAAAABKA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pgAAAAkwAQAABwAAAAkxAQAABK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klAQAABwAAAAkzAQAAAa0AAACfAAAACTQBAAABAAAAAQAAAAGuAAAAoAAAAKUAAAAJMAEAAAcAAAAJNgEAAASv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JQEAAAcAAAAJOAEAAAG7AAAAnwAAAAk5AQAAAQAAAAEAAAABvAAAAKAAAAADAAAACToBAAADAAAACTsBAAABvQAAABAAAAAAAAAACRIAAAAAAAAAAckAAACfAAAACT0BAAABAAAAAQAAAAHKAAAAoAAAAJYAAAAJPgEAAAcAAAAJPwEAAATL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QAEAAAcAAAAJQQEAAAHXAAAAnwAAAAlCAQAAAQAAAAEAAAAB2AAAAKAAAAClAAAACTABAAAHAAAACUQBAAAE2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SUBAAAHAAAACUYBAAAB5QAAAJ8AAAAJRwEAAAEAAAABAAAAAeYAAACgAAAApQAAAAkwAQAABwAAAAlJAQAABO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klAQAABwAAAAlLAQAAAfMAAACfAAAACUwBAAABAAAAAQAAAAH0AAAAoAAAAKoAAAAJMAEAABEAAAAJTgEAAAT1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JQEAAAcAAAAJUAEAAAU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Gv/v//Wf////////8ABlIBAAAGU3RyaW5nBlMBAAALSXRlbSBudW1iZXIJVAEAAAGr/v//V////wIAAAAFqv7//zlHbG9iZVNvZnR3YXJlLkF0bGFzNDAuQXRsYXNDb21tb24uTnVtYmVyU2VxdWVuY2VDb25kaXRpb24BAAAAB3ZhbHVlX18ACAIAAAABAAAAAAAGVwEAABFUYWJsZS5JbnZlbnRUcmFucwmiAAAACQgAAAAK/////wlXAQAACgmiAAAACgoKCQgAAAAJXQEAAAkIAAAAAQYBAAADAQAAAaH+//9Z/////////wAGYAEAAAZTdHJpbmcGYQEAAAZMb3QgSUQJVAEAAAGd/v//V////wIAAAABnP7//6r+//8BAAAAAAAJVwEAAAmwAAAACQgAAAAK/////wlXAQAACgmwAAAACgoKCQgAAAAJawEAAAkIAAAAAQkBAAADAQAAAZP+//9Z/////////wAGbgEAAAZTdHJpbmcGbwEAAAxQYWNraW5nIHNsaXAJcAEAAAGP/v//V////wIAAAABjv7//6r+//8BAAAAAAAGcwEAABFUYWJsZS5JbnZlbnRUcmFucwm+AAAACQgAAAAK/////wlzAQAACgm+AAAACgoKCQgAAAAJeQEAAAkIAAAAAQwBAAADAQAAAYX+//9Z/////////wAGfAEAAAREYXRlBn0BAAANUGh5c2ljYWwgZGF0ZQl+AQAAAYH+//9X////AgAAAAGA/v//qv7//wEAAAAAAAaBAQAAEVRhYmxlLkludmVudFRyYW5zCcwAAAAJCAAAAAr/////CYEBAAAKCcwAAAAKCgoJCAAAAAmHAQAACQgAAAABDwEAAAMBAAABd/7//1n/////////AAaKAQAABEVudW0GiwEAAAlSZWZlcmVuY2UJVAEAAAFz/v//V////wIAAAABcv7//6r+//8BAAAAAAAJVwEAAAnaAAAACQgAAAAK/////wlXAQAACgnaAAAACgoKCQgAAAAJlQEAAAkIAAAAARIBAAADAQAAAWn+//9Z/////////wAGmAEAAAZTdHJpbmcGmQEAAAZOdW1iZXIJVAEAAAFl/v//V////wIAAAABZP7//6r+//8BAAAAAAAJVwEAAAnoAAAACQgAAAAK/////wlXAQAACgnoAAAACgoKCQgAAAAJowEAAAkIAAAAARUBAAADAQAAAVv+//9Z/////////wEGpgEAAARSZWFsBqcBAAAIUXVhbnRpdHkJVAEAAAFX/v//V////wIAAAABVv7//6r+//8BAAAAAAAJVwEAAAn2AAAACQgAAAAK/////wlXAQAACgn2AAAACgoKCQgAAAAJsQEAAAkIAAAABRg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zAQAAEVRhYmxlLkludmVudFRyYW5zBrQBAAAGSXRlbUlkCQgAAAAGtgEAAAEq/////wmzAQAACgm0AQAACgoKCQgAAAAJugEAAAkIAAAAARsBAAAYAQAACbMBAAAGvQEAAAxEYXRlUGh5c2ljYWwJCAAAAAa/AQAAFjEuMS4yMDIxIC4uIDEyLjMxLjIwMjH/////CbMBAAAKCb0BAAAKCgoJCAAAAAnDAQAACQgAAAABHgEAABgBAAAJswEAAAbGAQAACVRyYW5zVHlwZQkIAAAABsgBAAAFU2FsZXP/////CbMBAAAKCcYBAAAKCgoJCAAAAAnMAQAACQgAAAABJQEAABIAAAAHJwE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L+///q/v//Bs8BAAA3VGFibGUuSW52ZW50VHJhbnMuSXRlbUlkflRhYmxlLkludmVudFRhYmxlLkRpbWVuc2lvbls4XQnQAQAAAS/+///q/v//BtIBAAA3VGFibGUuSW52ZW50VHJhbnMuSXRlbUlkflRhYmxlLkludmVudFRhYmxlLkRpbWVuc2lvbls3XQnTAQAAASkBAAB6AAAAASoBAAASAAAAByw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s/v//6v7//wbVAQAAN1RhYmxlLkludmVudFRyYW5zLlRyYW5zUmVmSWR+VGFibGUuU2FsZXNUYWJsZS5DdXN0R3JvdXAJ1gEAAAEuAQAAegAAAAcvAQAAAAEAAAAEAAAABDdHbG9iZVNvZnR3YXJlLkF0bGFzNDAuQXRsYXNDb21tb24uVHlwZS5GaWVsZE91dHB1dEZpZWxkAgAAAAkDAQAADQMEMA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M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Cj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J/7//zJHbG9iZVNvZnR3YXJlLkF0bGFzNDAuQXRsYXNDb21tb24uQ29sdW1uQXR0cmlidXRlcwEAAAAHdmFsdWVfXwAIAgAAAAYAAAAG2gEAAAVUb3RhbAEl/v//KP7//wEk/v//J/7//xAAAAAG3QEAAAROb25lASL+//8o/v//ASH+//8n/v//CQAAAAkIAAAAAR/+//8o/v//AR7+//8n/v//CwAAAAbjAQAAATABHP7//yj+//8BG/7//yf+//8EAAAABuYBAAAHR2VuZXJhbAEZ/v//KP7//wEY/v//J/7//wIAAAAG6QEAAAExARb+//8o/v//ARX+//8n/v//AAAAAAbsAQAABTI2LjQzBz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E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uAQAACEZvbnRCb2xkBu8BAAAFRmFsc2UBEP7//xP+//8G8QEAAApGb250SXRhbGljCe8BAAABDf7//xP+//8G9AEAAA1Gb250VW5kZXJsaW5lBvUBAAAFLTQxNDIBCv7//xP+//8G9wEAAAhGb250TmFtZQb4AQAAB0NhbGlicmkBB/7//xP+//8G+gEAAAlGb250Q29sb3IG+wEAAAEwAQT+//8T/v//Bv0BAAAIRm9udFNpemUG/gEAAAIxMQEB/v//E/7//wYAAgAACUZvbnRTdHlsZQYBAgAAB1JlZ3VsYXIHNAEAAAABAAAABAAAAAQ3R2xvYmVTb2Z0d2FyZS5BdGxhczQwLkF0bGFzQ29tbW9uLlR5cGUuRmllbGRPdXRwdXRGaWVsZAIAAAAJBgEAAA0DBz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9/f//KP7//wH8/f//J/7//xAAAAAJ3QEAAAH6/f//KP7//wH5/f//J/7//wkAAAAJCAAAAAH3/f//KP7//wH2/f//J/7//wsAAAAGCwIAAAExAfT9//8o/v//AfP9//8n/v//BAAAAAYOAgAAB0dlbmVyYWwB8f3//yj+//8B8P3//yf+//8CAAAABhECAAABMQHu/f//KP7//wHt/f//J/7//wAAAAAGFAIAAAQ5LjQzBz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/3//xP+//8J7gEAAAnvAQAAAej9//8T/v//CfEBAAAJ7wEAAAHl/f//E/7//wn0AQAABh0CAAAFLTQxNDIB4v3//xP+//8J9wEAAAYgAgAAB0NhbGlicmkB3/3//xP+//8J+gEAAAYjAgAAATAB3P3//xP+//8J/QEAAAYmAgAAAjExAdn9//8T/v//CQACAAAGKQIAAAdSZWd1bGFyBzkBAAAAAQAAAAQAAAAEN0dsb2JlU29mdHdhcmUuQXRsYXM0MC5BdGxhc0NvbW1vbi5UeXBlLkZpZWxkT3V0cHV0RmllbGQCAAAACQkBAAANAwE6AQAAMAEAAAc7AQ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1f3//yj+//8B1P3//yf+//8JAAAACQgAAAAB0v3//yj+//8B0f3//yf+//8LAAAABjACAAABMgc9AQAAAAEAAAAEAAAABDdHbG9iZVNvZnR3YXJlLkF0bGFzNDAuQXRsYXNDb21tb24uVHlwZS5GaWVsZE91dHB1dEZpZWxkAgAAAAkMAQAADQMBPgEAADABAAAHP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79//8o/v//Ac39//8n/v//CQAAAAkIAAAAAcv9//8o/v//Acr9//8n/v//CwAAAAY3AgAAATMByP3//yj+//8Bx/3//yf+//8EAAAABjoCAAAIbS9kL3l5eXkBxf3//yj+//8BxP3//yf+//8CAAAABj0CAAABMQHC/f//KP7//wHB/f//J/7//wAAAAAGQAIAAAUxNC4xNAFAAQAAEgAAAAd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/9//8T/v//BkICAAAIRm9udEJvbGQJ7wEAAAG8/f//E/7//wZFAgAACkZvbnRJdGFsaWMJ7wEAAAG5/f//E/7//wZIAgAADUZvbnRVbmRlcmxpbmUGSQIAAAUtNDE0MgG2/f//E/7//wZLAgAACEZvbnROYW1lBkwCAAAHQ2FsaWJyaQGz/f//E/7//wZOAgAACUZvbnRDb2xvcgZPAgAAATABsP3//xP+//8GUQIAAAhGb250U2l6ZQZSAgAAAjExAa39//8T/v//BlQCAAAJRm9udFN0eWxlBlUCAAAHUmVndWxhcgdCAQAAAAEAAAAEAAAABDdHbG9iZVNvZnR3YXJlLkF0bGFzNDAuQXRsYXNDb21tb24uVHlwZS5GaWVsZE91dHB1dEZpZWxkAgAAAAkPAQAADQMHR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n9//8o/v//Aaj9//8n/v//EAAAAAndAQAAAab9//8o/v//AaX9//8n/v//CQAAAAkIAAAAAaP9//8o/v//AaL9//8n/v//CwAAAAZfAgAAATQBoP3//yj+//8Bn/3//yf+//8EAAAABmICAAAHR2VuZXJhbAGd/f//KP7//wGc/f//J/7//wIAAAAGZQIAAAExAZr9//8o/v//AZn9//8n/v//AAAAAAZoAgAABTExLjcxB0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3//xP+//8J7gEAAAnvAQAAAZT9//8T/v//CfEBAAAJ7wEAAAGR/f//E/7//wn0AQAABnECAAAFLTQxNDIBjv3//xP+//8J9wEAAAZ0AgAAB0NhbGlicmkBi/3//xP+//8J+gEAAAZ3AgAAATABiP3//xP+//8J/QEAAAZ6AgAAAjExAYX9//8T/v//CQACAAAGfQIAAAdSZWd1bGFyB0cBAAAAAQAAAAQAAAAEN0dsb2JlU29mdHdhcmUuQXRsYXM0MC5BdGxhc0NvbW1vbi5UeXBlLkZpZWxkT3V0cHV0RmllbGQCAAAACRIBAAANAwd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3//yj+//8BgP3//yf+//8QAAAACd0BAAABfv3//yj+//8Bff3//yf+//8JAAAACQgAAAABe/3//yj+//8Bev3//yf+//8LAAAABocCAAABNQF4/f//KP7//wF3/f//J/7//wQAAAAGigIAAAdHZW5lcmFsAXX9//8o/v//AXT9//8n/v//AgAAAAaNAgAAATEBcv3//yj+//8Bcf3//yf+//8AAAAABpACAAAFMTcuMTQHS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f//E/7//wnuAQAACe8BAAABbP3//xP+//8J8QEAAAnvAQAAAWn9//8T/v//CfQBAAAGmQIAAAUtNDE0MgFm/f//E/7//wn3AQAABpwCAAAHQ2FsaWJyaQFj/f//E/7//wn6AQAABp8CAAABMAFg/f//E/7//wn9AQAABqICAAACMTEBXf3//xP+//8JAAIAAAalAgAAB1JlZ3VsYXIHTAEAAAABAAAABAAAAAQ3R2xvYmVTb2Z0d2FyZS5BdGxhczQwLkF0bGFzQ29tbW9uLlR5cGUuRmllbGRPdXRwdXRGaWVsZAIAAAAJFQEAAA0DB04BAAAAAQAAAAk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Z/f//KP7//wFY/f//J/7//xAAAAAJ3QEAAAFW/f//KP7//wFV/f//J/7//wkAAAAJCAAAAAFT/f//KP7//wFS/f//J/7//wsAAAAGrwIAAAE2AVD9//8o/v//AU/9//8n/v//JAAAAAn3AAAAAU39//8o/v//AUz9//8n/v//DAAAAAa1AgAABFRydWUBSv3//yj+//8BSf3//yf+//8KAAAABrgCAAAFRmFsc2UBR/3//yj+//8BRv3//yf+//8EAAAABrsCAAAHR2VuZXJhbAFE/f//KP7//wFD/f//J/7//wIAAAAGvgIAAAExAUH9//8o/v//AUD9//8n/v//AAAAAAbBAgAABTEwLjI5B1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3//xP+//8J7gEAAAnvAQAAATv9//8T/v//CfEBAAAJ7wEAAAE4/f//E/7//wn0AQAABsoCAAAFLTQxNDIBNf3//xP+//8J9wEAAAbNAgAAB0NhbGlicmkBMv3//xP+//8J+gEAAAbQAgAAATABL/3//xP+//8J/QEAAAbTAgAAAjExASz9//8T/v//CQACAAAG1gIAAAdSZWd1bGFyAVQBAAAOAAAAsQAAAAbXAgAAC0ludmVudFRyYW5zBtgCAAAWSW52ZW50b3J5IHRyYW5zYWN0aW9ucwkIAAAACQgAAAAJCAAAAAEm/f//4P///wAAAAAJ2wIAAAncAgAAASP9///d////X0S0sd+5lky/esKy0VOJSgkIAAAACQgAAAAJ3wIAAAlXAQAACgoKCgoBAAAAAR/9///Z////AAAAAAEe/f//2P///wAAAAAACeMCAAAEX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DAAAACSUBAAADAAAACeUCAAAEa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DAAAACSUBAAADAAAACecCAAABcAEAAA4AAAD/////BugCAAALSW52ZW50VHJhbnMG6QIAABZJbnZlbnRvcnkgdHJhbnNhY3Rpb25zCQgAAAAJCAAAAAkIAAAAARX9///g////AAAAAAnsAgAACe0CAAABEv3//93///+yhiKI5zbzR46Z7vRuzy77CQgAAAAJCAAAAAnwAgAACXMBAAAKCgoKCgEAAAABDv3//9n///8AAAAAAQ39///Y////AAAAAAAJ9AIAAAR5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EgAAAAMAAAAJ9gIAAAF+AQAADgAAAP////8G9wIAAAtJbnZlbnRUcmFucwb4AgAAFkludmVudG9yeSB0cmFuc2FjdGlvbnMJCAAAAAkIAAAACQgAAAABBv3//+D///8AAAAACfsCAAAJ/AIAAAED/f//3f///1T1lNW9JUhMqErmVQM9GX0JCAAAAAkIAAAACf8CAAAJgQEAAAoKCgoKAQAAAAH//P//2f///wAAAAAB/vz//9j///8AAAAAAAkDAwAABI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AAAAAlAAQAAAwAAAAkFAwAABJ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lAQAAAwAAAAkHAwAABK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lAQAAAwAAAAkJAwAABL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lAQAAAwAAAAkLAwAABL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AAAAAkqAQAAAwAAAAkNAwAABM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AAAAAkqAQAAAwAAAAkPAwAABM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gAAAAkqAQAAAwAAAAkRAwAAAdABAAAYAQAACTAAAAAGEwMAAAxEaW1lbnNpb25bOF0JCAAAAAYVAwAAASr/////CTAAAAAKCRMDAAAGGAMAAAZJdGVtSWQKCgkIAAAACRoDAAAJCAAAAAHTAQAAGAEAAAkwAAAABh0DAAAMRGltZW5zaW9uWzddCQgAAAAGHwMAAAdBc3BoYWx0/////wkwAAAACgkdAwAABiIDAAAGSXRlbUlkCgoJCAAAAAkkAwAACQgAAAAB1gEAABgBAAAJMwAAAAYnAwAACUN1c3RHcm91cAkIAAAABikDAAAEIUlDKv////8JMwAAAAoJJwMAAAYsAwAAClRyYW5zUmVmSWQKCgkIAAAACS4DAAAJCAAAAAHbAgAAIQAAAA8AAAAJMAMAABEAAAAJMQMAAAHcAgAAIgAAAAgAAAAJJQEAABEAAAAJMwMAAAHfAgAABAAAAAEAAAAJMAMAAAMAAAAJNQMAAAHjAgAAKQAAAAAAAAAJNgMAAAAAAAAH5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P//E/7//wY4AwAACEhlbHBUZXh0BjkDAAAOSWRlbnRpZnkgaXRlbS4Bxvz//xP+//8GOwMAAAVMYWJlbAlTAQAAAcP8//8T/v//Bj4DAAAEVHlwZQlSAQAAB+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z//xP+//8JOAMAAAZCAwAAUlN1bW1hcnkgbnVtYmVyL0xvdCBJRCBmb3IgdHJhbnNhY3Rpb25zIGF0dGFjaGVkIHRvIHRoZSBzYW1lIGludmVudG9yeSB0cmFuc2FjdGlvbi4Bvfz//xP+//8JOwMAAAlhAQAAAbr8//8T/v//CT4DAAAJYAEAAAHsAgAAIQAAAAcAAAAJSQMAAAcAAAAJSgMAAAHtAgAAIgAAAAMAAAAJKgEAAAMAAAAJTAMAAAHwAgAABAAAAAIAAAAJSQMAAAMAAAAJTgMAAAH0AgAAKQAAAAAAAAAJTwMAAAAAAAAH9g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/P//E/7//wZRAwAABUxhYmVsCW8BAAABrfz//xP+//8GVAMAAARUeXBlCW4BAAAB+wIAACEAAAAGAAAACVYDAAAHAAAACVcDAAAB/AIAACIAAAADAAAACVgDAAADAAAACVkDAAAB/wIAAAQAAAABAAAACVYDAAADAAAACVsDAAABAwMAACkAAAAAAAAACVwDAAAAAAAABw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z//xP+//8GXgMAAAVMYWJlbAl9AQAAAaD8//8T/v//BmEDAAAEVHlwZQl8AQAABw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z//xP+//8JOAMAAAZlAwAAMlNwZWNpZnkgdGhlIG1vZHVsZSB0aGF0IGdlbmVyYXRlZCB0aGUgdHJhbnNhY3Rpb24uAZr8//8T/v//CTsDAAAJiwEAAAGX/P//E/7//wk+AwAACYoBAAAHC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P//E/7//wk4AwAABm4DAAA1T3JkZXIgbnVtYmVyLCBwcm9qZWN0IG51bWJlciwgcHJvZHVjdGlvbiBudW1iZXIsIGV0Yy4Bkfz//xP+//8JOwMAAAmZAQAAAY78//8T/v//CT4DAAAJmAEAAAcL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8//8T/v//CTgDAAAGdwMAACRRdWFudGl0eSBhdHRhY2hlZCB0byB0aGUgdHJhbnNhY3Rpb24BiPz//xP+//8JOwMAAAmnAQAAAYX8//8T/v//CT4DAAAJpgEAAAcN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8//8T/v//Bn8DAAAEVHlwZQlSAQAAAX/8//8T/v//BoIDAAAFTGFiZWwJUwEAAAF8/P//E/7//waFAwAACFJlZmVyc1RvBoYDAAALPUl0ZW1OdW1iZXIHD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P//E/7//wl/AwAACXwBAAABdvz//xP+//8JggMAAAl9AQAAAXP8//8T/v//CYUDAAAGjwMAAAs9RGF0ZVBlcmlvZAcR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D8//8T/v//CX8DAAAJigEAAAFt/P//E/7//wmCAwAACYsBAAAEG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SoBAAADAAAACZcDAAAEJA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SoBAAADAAAACZkDAAAEL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SoBAAADAAAACZsDAAABMAMAABIAAAAHMQM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ZPz////+//8GnQMAABhUYWJsZS5JbnZlbnRUcmFucy5JdGVtSWQJAwEAAAFh/P////7//wagAwAAH1RhYmxlLkludmVudFRyYW5zLkludmVudFRyYW5zSWQJBgEAAAFe/P////7//wajAwAAG1RhYmxlLkludmVudFRyYW5zLlRyYW5zVHlwZQkPAQAAAVv8/////v//BqYDAAAcVGFibGUuSW52ZW50VHJhbnMuVHJhbnNSZWZJZAkSAQAAAVj8/////v//BqkDAAAVVGFibGUuSW52ZW50VHJhbnMuUXR5CRUBAAAHMwMAAAABAAAAC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X8///q/v//BqwDAAAfVGFibGUuSW52ZW50VHJhbnMuRGF0ZUZpbmFuY2lhbAmtAwAAAVL8///q/v//Bq8DAAAdVGFibGUuSW52ZW50VHJhbnMuU3RhdHVzSXNzdWUJsAMAAAFP/P//6v7//wayAwAAGFRhYmxlLkludmVudFRyYW5zLkl0ZW1JZAmzAwAAAUz8///q/v//BrUDAAAfVGFibGUuSW52ZW50VHJhbnMuSW52ZW50VHJhbnNJZAm2AwAAAUn8///q/v//BrgDAAAcVGFibGUuSW52ZW50VHJhbnMuVHJhbnNSZWZJZAm5AwAAAUb8///q/v//BrsDAAAeVGFibGUuSW52ZW50VHJhbnMuRGF0ZVBoeXNpY2FsCbwDAAABQ/z//+r+//8GvgMAAB9UYWJsZS5JbnZlbnRUcmFucy5TdGF0dXNSZWNlaXB0Cb8DAAABQPz//+r+//8GwQMAABtUYWJsZS5JbnZlbnRUcmFucy5UcmFuc1R5cGUJwgMAAAc1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9/P//1P///wkwAAAACTEAAAABNgMAAHoAAAABSQMAABIAAAAHSgM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Ovz////+//8GxwMAABhUYWJsZS5JbnZlbnRUcmFucy5JdGVtSWQJAwEAAAE3/P////7//wbKAwAAH1RhYmxlLkludmVudFRyYW5zLkludmVudFRyYW5zSWQJBgEAAAE0/P////7//wbNAwAAHlRhYmxlLkludmVudFRyYW5zLkRhdGVQaHlzaWNhbAkMAQAAATH8/////v//BtADAAAbVGFibGUuSW52ZW50VHJhbnMuVHJhbnNUeXBlCQ8BAAABLvz////+//8G0wMAABxUYWJsZS5JbnZlbnRUcmFucy5UcmFuc1JlZklkCRIBAAABK/z////+//8G1gMAABVUYWJsZS5JbnZlbnRUcmFucy5RdHkJFQEAAAEo/P////7//wbZAwAAH1RhYmxlLkludmVudFRyYW5zLlBhY2tpbmdTbGlwSWQJCQEAAAdMAwAAAAEAAAAD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Jfz//+r+//8G3AMAABhUYWJsZS5JbnZlbnRUcmFucy5JdGVtSWQJGAEAAAEi/P//6v7//wbfAwAAHlRhYmxlLkludmVudFRyYW5zLkRhdGVQaHlzaWNhbAkbAQAAAR/8///q/v//BuIDAAAbVGFibGUuSW52ZW50VHJhbnMuVHJhbnNUeXBlCR4BAAAHTgM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HPz//9T///8JMAAAAAkxAAAAARn8///U////CTMAAAAJNAAAAAFPAwAAegAAAAFWAwAAEgAAAAdXAw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W/P////7//wbrAwAAGFRhYmxlLkludmVudFRyYW5zLkl0ZW1JZAkDAQAAARP8/////v//Bu4DAAAfVGFibGUuSW52ZW50VHJhbnMuSW52ZW50VHJhbnNJZAkGAQAAARD8/////v//BvEDAAAbVGFibGUuSW52ZW50VHJhbnMuVHJhbnNUeXBlCQ8BAAABDfz////+//8G9AMAABxUYWJsZS5JbnZlbnRUcmFucy5UcmFuc1JlZklkCRIBAAABCvz////+//8G9wMAABVUYWJsZS5JbnZlbnRUcmFucy5RdHkJFQEAAAEH/P////7//wb6AwAAHlRhYmxlLkludmVudFRyYW5zLkRhdGVQaHlzaWNhbAkMAQAAAVgDAAASAAAAB1kDAAAAAQAAAAM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E/P//6v7//wb9AwAAGFRhYmxlLkludmVudFRyYW5zLkl0ZW1JZAmzAwAAAQH8///q/v//BgAEAAAeVGFibGUuSW52ZW50VHJhbnMuRGF0ZVBoeXNpY2FsCbwDAAAB/vv//+r+//8GAwQAABtUYWJsZS5JbnZlbnRUcmFucy5UcmFuc1R5cGUJwgMAAAdb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7+///1P///wkwAAAACTEAAAABXAMAAHoAAAAHl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4+///E/7//wl/AwAABgoEAAAGU3RyaW5nAfX7//8T/v//CYIDAAAGDQQAABZEZXRhaWwgTWFya2V0aW5nIEdyb3VwAfL7//8T/v//CYUDAAAGEAQAAAQ9RE1HB5k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v//xP+//8JfwMAAAkKBAAAAez7//8T/v//CYIDAAAGFgQAABVNYWpvciBNYXJrZXRpbmcgR3JvdXAB6fv//xP+//8JhQMAAAYZBAAABD1NTUcHm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+///E/7//wl/AwAABhwEAAAGU3RyaW5nAeP7//8T/v//CYIDAAAGHwQAAA5DdXN0b21lciBncm91cAHg+///E/7//wmFAwAABiIEAAAKPUN1c3RHcm91cAGtAwAAGAEAAAlXAQAABiQEAAANRGF0ZUZpbmFuY2lhbAkIAAAACQgAAAD/////CVcBAAAKCSQEAAAKCgoJCAAAAAkpBAAACQgAAAABsAMAABgBAAAJVwEAAAYsBAAAC1N0YXR1c0lzc3VlCQgAAAAJCAAAAP////8JVwEAAAoJLAQAAAoKCgkIAAAACTEEAAAJCAAAAAGzAwAAGAEAAAlXAQAACbQBAAAJCAAAAAY2BAAAASr/////CVcBAAAKCbQBAAAKCgoJCAAAAAk6BAAACQgAAAABtgMAABgBAAAJVwEAAAY9BAAADUludmVudFRyYW5zSWQJCAAAAAkIAAAA/////wlXAQAACgk9BAAACgoKCQgAAAAJQgQAAAkIAAAAAbkDAAAYAQAACVcBAAAGRQQAAApUcmFuc1JlZklkCQgAAAAJCAAAAP////8JVwEAAAoJRQQAAAoKCgkIAAAACUoEAAAJCAAAAAG8AwAAGAEAAAlXAQAACb0BAAAJCAAAAAZPBAAAFTEuMS4yMDIxIC4uIDIuMjguMjAyMf////8JVwEAAAoJvQEAAAoKCgkIAAAACVMEAAAJCAAAAAG/AwAAGAEAAAlXAQAABlYEAAANU3RhdHVzUmVjZWlwdAkIAAAACQgAAAD/////CVcBAAAKCVYEAAAKCgoJCAAAAAlbBAAACQgAAAABwgMAABgBAAAJVwEAAAnGAQAACQgAAAAJyAEAAP////8JVwEAAAZiBAAAC0ludmVudFRyYW5zCcYBAAAKCgoJCAAAAAllBAAACQgAAAAEK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SUBAAADAAAACWgEAAAEM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SUBAAADAAAACWoEAAAEO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aAAAACSUBAAADAAAACWwEAAAEQ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SUBAAADAAAACW4EAAAES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SUBAAADAAAACXAEAAAEU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aAAAACSUBAAADAAAACXIEAAAEW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SUBAAADAAAACXQEAAAEZ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SUBAAADAAAACXYEAAAHa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+///E/7//wk+AwAABnkEAAAERGF0ZQGG+///E/7//wk7AwAABnwEAAAORmluYW5jaWFsIGRhdGUHa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///E/7//wk+AwAABn8EAAAERW51bQGA+///E/7//wk7AwAABoIEAAAMSXNzdWUgc3RhdHVzB2w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v//xP+//8JPgMAAAaFBAAABlN0cmluZwF6+///E/7//wk7AwAABogEAAALSXRlbSBudW1iZXIBd/v//xP+//8GigQAAAhSZWZlcnNUbwmGAwAAB24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Pv//xP+//8JPgMAAAaOBAAABlN0cmluZwFx+///E/7//wk7AwAABpEEAAAGTG90IElEB3A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v//xP+//8JPgMAAAaUBAAABlN0cmluZwFr+///E/7//wk7AwAABpcEAAAGTnVtYmVyB3I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Pv//xP+//8JPgMAAAaaBAAABERhdGUBZfv//xP+//8JOwMAAAadBAAADVBoeXNpY2FsIGRhdGUBYvv//xP+//8JigQAAAmPAwAAB3Q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v//xP+//8JPgMAAAajBAAABEVudW0BXPv//xP+//8JOwMAAAamBAAADlJlY2VpcHQgc3RhdHVzB3Y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v//xP+//8JPgMAAAapBAAABEVudW0BVvv//xP+//8JOwMAAAasBAAACVJlZmVyZW5jZQs=
    <Output>
      <OutputObject name="AtlasReport_4"/>
    </Output>
  </Query>
</Atlas>
</file>

<file path=customXml/item7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5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NF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BwAAAAc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DUzZmI5ZGNhLTAzOTYtNGRlNi05MzdkLTQ5OTNkZDg5Y2NlNQ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MWJiMDA1N2EtZTk4Zi00ZWQwLTgxOTItMzU0MGM5YjM0OWM4BiwAAAAYVGFibGUuSW52ZW50VHJhbnMuSXRlbUlkCgoKCgEVAAAAFAAAAAktAAAACS4AAAAJLwAAAAYwAAAADUludmVudFRyYW5zSWQGMQAAAAZMb3QgSUQGMgAAAAZTdHJpbmcJJQAAAAY0AAAAJDJlOWE2OTIyLWEyYjItNDBiMy05MTA5LWU0NGJmZjExYTljNwHL////2f////////8BAAAAAcr////Y////AAAAAAHJ////1////wIAAAAAAAAAAAHI////1v///wAAAAAKAQAAAAAAAAAAAQAAAAAGOQAAACRkOTJiMDcyZC0zNzE0LTQ3MzItYmNjMC1mOGM5ZTQyNjQ0Y2MGOgAAAB9UYWJsZS5JbnZlbnRUcmFucy5JbnZlbnRUcmFuc0lkCgoKCgEWAAAAFAAAAAk7AAAACTwAAAAJPQAAAAY+AAAADVBhY2tpbmdTbGlwSWQGPwAAAAxQYWNraW5nIHNsaXAGQAAAAAZTdHJpbmcJJQAAAAZCAAAAJGZjOWNmYjNlLWY4YzMtNDZlNC1hNGFhLTE2NjE2MTYxNjY2NwG9////2f////////8CAAAAAbz////Y////AAAAAAG7////1////wIAAAAAAAAAAAG6////1v///wAAAAAKAQAAAAAAAAAAAgAAAAAGRwAAACQwN2MyNzM2My02N2RmLTQyMmYtOGRiNS1jOGU3ZGFiNDNlNGEGSAAAAB9UYWJsZS5JbnZlbnRUcmFucy5QYWNraW5nU2xpcElkCgoKCgEXAAAAFAAAAAlJAAAACUoAAAAJSwAAAAZMAAAADERhdGVQaHlzaWNhbAZNAAAADVBoeXNpY2FsIGRhdGUGTgAAAAREYXRlCSUAAAAGUAAAACRiOTk3Njc3Yi02ZTY2LTQ2NDQtYjQ0MC0yMDIwYTYxMzhmN2EBr////9n/////////AwAAAAGu////2P///wAAAAABrf///9f///8CAAAAAAAAAAABrP///9b///8AAAAACgEAAAAAAAAAAAMAAAAABlUAAAAkZjlkMTY0MjQtN2RjOS00ZDQ5LWFlODgtMzdmODU0ZmFjNmI0BlYAAAAeVGFibGUuSW52ZW50VHJhbnMuRGF0ZVBoeXNpY2FsCgoKCgEYAAAAFAAAAAlXAAAACVgAAAAJWQAAAAZaAAAACVRyYW5zVHlwZQZbAAAACVJlZmVyZW5jZQZcAAAABEVudW0JJQAAAAZeAAAAJDE3MGZhOWY4LWEzODYtNDdmYy1iZDViLTRkOTY0MDc0ZjkyZgGh////2f////////8EAAAAAaD////Y////AAAAAAGf////1////wIAAAAAAAAAAAGe////1v///wAAAAAKAQAAAAAAAAAABAAAAAAGYwAAACQyZmM3NDAwMC03OTQ0LTRkMDMtYjVmZC00NTliMzE2OWY4MTQGZAAAABtUYWJsZS5JbnZlbnRUcmFucy5UcmFuc1R5cGUKCgoKARkAAAAUAAAACWUAAAAJZgAAAAlnAAAABmgAAAAKVHJhbnNSZWZJZAZpAAAABk51bWJlcgZqAAAABlN0cmluZwklAAAABmwAAAAkMjhlNjY4NjEtYTY3YS00OGI1LThlODQtYzc1MDM1OWI5ZGI3AZP////Z/////////wUAAAABkv///9j///8AAAAAAZH////X////AgAAAAAAAAAAAZD////W////AAAAAAoBAAAAAAAAAAAFAAAAAAZxAAAAJDAzMzkwM2UwLTJjODEtNDMwZC05ZmFjLTBmN2I4YTE0Y2MxOQZyAAAAHFRhYmxlLkludmVudFRyYW5zLlRyYW5zUmVmSWQKCgoKARoAAAAUAAAACXMAAAAJdAAAAAl1AAAABnYAAAADUXR5BncAAAAIUXVhbnRpdHkGeAAAAARSZWFsCSUAAAAGegAAACQwMmRmNDg1Ny0yYmU0LTRiZDAtYTYzYy04MDk2YTc4ZDU1ZjYBhf///9n///8BAAAABgAAAAGE////2P///wAAAAABg////9f///8CAAAAAAAAAAABgv///9b///8AAAAACgEAAAAAAAAAAAYAAAAABn8AAAAkMTlhY2E4MzItZDEyYy00OTA2LTg0OGEtZTAyOGIxNDc2MThjBoAAAAAVVGFibGUuSW52ZW50VHJhbnMuUXR5CgoKCgUdAAAAOEdsb2JlU29mdHdhcmUuQXRsYXM0MC5BdGxhc0NvbW1vbkNsaWVudC5SZXBvcnQuUmVmZXJlbmNlAQAAAApfcmVmZXJlbmNlBwgbAAAACYEAAAAHHgAAAAABAAAACAAAAAQ8R2xvYmVTb2Z0d2FyZS5BdGxhczQwLkF0bGFzQ29tbW9uQ2xpZW50LkRhdGFTb3VyY2VGaWVsZFZhbHVlGwAAAAmCAAAACYMAAAAJhAAAAAmFAAAACYYAAAAJhwAAAAmIAAAACg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J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mAAAACYoAAAAHAAAACYs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YwAAAAHAAAACY0AAAABLQAAAB8AAAAJjgAAAAEAAAABAAAAAS4AAAAgAAAApQAAAAmKAAAABwAAAAmQAAAAAS8AAAAhAAAAoQAAAAmMAAAABwAAAAmSAAAAATsAAAAfAAAACZMAAAABAAAAAQAAAAE8AAAAIAAAAAMAAAAJlAAAAAMAAAAJlQAAAAQ9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MAAAAAAAAAAFJAAAAHwAAAAmXAAAAAQAAAAEAAAABSgAAACAAAACWAAAACZgAAAAHAAAACZkAAAABSwAAACEAAACTAAAACZoAAAAHAAAACZsAAAABVwAAAB8AAAAJnAAAAAEAAAABAAAAAVgAAAAgAAAApQAAAAmKAAAABwAAAAmeAAAAAVkAAAAhAAAAoQAAAAmMAAAABwAAAAmgAAAAAWUAAAAfAAAACaEAAAABAAAAAQAAAAFmAAAAIAAAAKUAAAAJigAAAAcAAAAJowAAAAFnAAAAIQAAAKEAAAAJjAAAAAcAAAAJpQAAAAFzAAAAHwAAAAmmAAAAAQAAAAEAAAABdAAAACAAAACqAAAACYoAAAARAAAACagAAAABdQAAACEAAAChAAAACYwAAAAHAAAACaoAAAAPgQAAAAEAAAAIAQAAAAWCAAAAPEdsb2JlU29mdHdhcmUuQXRsYXM0MC5BdGxhc0NvbW1vbkNsaWVudC5EYXRhU291cmNlRmllbGRWYWx1ZQQAAAASX2lzRHJpbGxEb3duRmlsdGVyBl9kc0tleQpfZmllbGRuYW1lC19maWVsZFZhbHVlAAEBAQEbAAAAAAarAAAAEVRhYmxlLkludmVudFRyYW5zBqwAAAAKRGF0YUFyZWFJZAkGAAAAAYMAAACCAAAAAAmrAAAABq8AAAAGSXRlbUlkBrAAAAABKgGEAAAAggAAAAAJqwAAAAayAAAADERhdGVQaHlzaWNhbAazAAAAFjEuMS4yMDIxIC4uIDEyLjMxLjIwMjEBhQAAAIIAAAAACasAAAAGtQAAAAlUcmFuc1R5cGUGtgAAAAVTYWxlcwGGAAAAggAAAAAGtwAAACpUYWJsZS5JbnZlbnRUcmFucy5JdGVtSWR+VGFibGUuSW52ZW50VGFibGUGuAAAAAxEaW1lbnNpb25bOF0GuQAAAAEqAYcAAACCAAAAAAm3AAAABrsAAAAMRGltZW5zaW9uWzddBrwAAAAHQXNwaGFsdAGIAAAAggAAAAAGvQAAAC1UYWJsZS5JbnZlbnRUcmFucy5UcmFuc1JlZklkflRhYmxlLlNhbGVzVGFibGUGvgAAAAlDdXN0R3JvdXAGvwAAAAQhSUMqB4kAAAAAAQAAAAQAAAAEN0dsb2JlU29mdHdhcmUuQXRsYXM0MC5BdGxhc0NvbW1vbi5UeXBlLkZpZWxkT3V0cHV0RmllbGQOAAAACcAAAAANAwSK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L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P/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+////Mkdsb2JlU29mdHdhcmUuQXRsYXM0MC5BdGxhc0NvbW1vbi5Db2x1bW5BdHRyaWJ1dGVzAQAAAAd2YWx1ZV9fAAgOAAAABgAAAAbDAAAABVRvdGFsATz///8/////ATv///8+////EAAAAAbGAAAABE5vbmUBOf///z////8BOP///z7///8JAAAACSUAAAABNv///z////8BNf///z7///8LAAAABswAAAABMAEz////P////wEy////Pv///wQAAAAGzwAAAAdHZW5lcmFsATD///8/////AS////8+////AgAAAAbSAAAAATEBLf///z////8BLP///z7///8AAAAABtUAAAAFMjYuNDMBjAAAAAwAAAAHj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q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cAAAAIRm9udEJvbGQG2AAAAAVGYWxzZQEn////Kv///wbaAAAACkZvbnRJdGFsaWMJ2AAAAAEk////Kv///wbdAAAADUZvbnRVbmRlcmxpbmUG3gAAAAUtNDE0MgEh////Kv///wbgAAAACEZvbnROYW1lBuEAAAAHQ2FsaWJyaQEe////Kv///wbjAAAACUZvbnRDb2xvcgbkAAAAATABG////yr///8G5gAAAAhGb250U2l6ZQbnAAAAAjExARj///8q////BukAAAAJRm9udFN0eWxlBuoAAAAHUmVndWxhcgeOAAAAAAEAAAAEAAAABDdHbG9iZVNvZnR3YXJlLkF0bGFzNDAuQXRsYXNDb21tb24uVHlwZS5GaWVsZE91dHB1dEZpZWxkDgAAAAnrAAAADQMHk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T///8/////ARP///8+////EAAAAAnGAAAAARH///8/////ARD///8+////CQAAAAklAAAAAQ7///8/////AQ3///8+////CwAAAAb0AAAAATEBC////z////8BCv///z7///8EAAAABvcAAAAHR2VuZXJhbAEI////P////wEH////Pv///wIAAAAG+gAAAAExAQX///8/////AQT///8+////AAAAAAb9AAAABDkuNDMHk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///Kv///wnXAAAACdgAAAAB//7//yr///8J2gAAAAnYAAAAAfz+//8q////Cd0AAAAGBgEAAAUtNDE0MgH5/v//Kv///wngAAAABgkBAAAHQ2FsaWJyaQH2/v//Kv///wnjAAAABgwBAAABMAHz/v//Kv///wnmAAAABg8BAAACMTEB8P7//yr///8J6QAAAAYSAQAAB1JlZ3VsYXIHkwAAAAABAAAABAAAAAQ3R2xvYmVTb2Z0d2FyZS5BdGxhczQwLkF0bGFzQ29tbW9uLlR5cGUuRmllbGRPdXRwdXRGaWVsZA4AAAAJEwEAAA0DAZQAAACKAAAAB5U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s/v//P////wHr/v//Pv///wkAAAAJJQAAAAHp/v//P////wHo/v//Pv///wsAAAAGGQEAAAEyB5cAAAAAAQAAAAQAAAAEN0dsb2JlU29mdHdhcmUuQXRsYXM0MC5BdGxhc0NvbW1vbi5UeXBlLkZpZWxkT3V0cHV0RmllbGQOAAAACRoBAAANAwGYAAAAigAAAAeZ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f7//z////8B5P7//z7///8JAAAACSUAAAAB4v7//z////8B4f7//z7///8LAAAABiABAAABMwHf/v//P////wHe/v//Pv///wQAAAAGIwEAAAhtL2QveXl5eQHc/v//P////wHb/v//Pv///wIAAAAGJgEAAAExAdn+//8/////Adj+//8+////AAAAAAYpAQAABTE0LjE0AZoAAAAMAAAA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v7//yr///8GKwEAAAhGb250Qm9sZAnYAAAAAdP+//8q////Bi4BAAAKRm9udEl0YWxpYwnYAAAAAdD+//8q////BjEBAAANRm9udFVuZGVybGluZQYyAQAABS00MTQyAc3+//8q////BjQBAAAIRm9udE5hbWUGNQEAAAdDYWxpYnJpAcr+//8q////BjcBAAAJRm9udENvbG9yBjgBAAABMAHH/v//Kv///wY6AQAACEZvbnRTaXplBjsBAAACMTEBxP7//yr///8GPQEAAAlGb250U3R5bGUGPgEAAAdSZWd1bGFyB5wAAAAAAQAAAAQAAAAEN0dsb2JlU29mdHdhcmUuQXRsYXM0MC5BdGxhc0NvbW1vbi5UeXBlLkZpZWxkT3V0cHV0RmllbGQOAAAACT8BAAANAwe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P7//z////8Bv/7//z7///8QAAAACcYAAAABvf7//z////8BvP7//z7///8JAAAACSUAAAABuv7//z////8Buf7//z7///8LAAAABkgBAAABNAG3/v//P////wG2/v//Pv///wQAAAAGSwEAAAdHZW5lcmFsAbT+//8/////AbP+//8+////AgAAAAZOAQAAATEBsf7//z////8BsP7//z7///8AAAAABlEBAAAFMTEuNzE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v//Kv///wnXAAAACdgAAAABq/7//yr///8J2gAAAAnYAAAAAaj+//8q////Cd0AAAAGWgEAAAUtNDE0MgGl/v//Kv///wngAAAABl0BAAAHQ2FsaWJyaQGi/v//Kv///wnjAAAABmABAAABMAGf/v//Kv///wnmAAAABmMBAAACMTEBnP7//yr///8J6QAAAAZmAQAAB1JlZ3VsYXIHoQAAAAABAAAABAAAAAQ3R2xvYmVTb2Z0d2FyZS5BdGxhczQwLkF0bGFzQ29tbW9uLlR5cGUuRmllbGRPdXRwdXRGaWVsZA4AAAAJZwEAAA0D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/v//P////wGX/v//Pv///xAAAAAJxgAAAAGV/v//P////wGU/v//Pv///wkAAAAJJQAAAAGS/v//P////wGR/v//Pv///wsAAAAGcAEAAAE1AY/+//8/////AY7+//8+////BAAAAAZzAQAAB0dlbmVyYWwBjP7//z////8Bi/7//z7///8CAAAABnYBAAABMQGJ/v//P////wGI/v//Pv///wAAAAAGeQEAAAUxNy4xNA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b+//8q////CdcAAAAJ2AAAAAGD/v//Kv///wnaAAAACdgAAAABgP7//yr///8J3QAAAAaCAQAABS00MTQyAX3+//8q////CeAAAAAGhQEAAAdDYWxpYnJpAXr+//8q////CeMAAAAGiAEAAAEwAXf+//8q////CeYAAAAGiwEAAAIxMQF0/v//Kv///wnpAAAABo4BAAAHUmVndWxhcgemAAAAAAEAAAAEAAAABDdHbG9iZVNvZnR3YXJlLkF0bGFzNDAuQXRsYXNDb21tb24uVHlwZS5GaWVsZE91dHB1dEZpZWxkDgAAAAmPAQAADQMHqAAAAAABAAAAC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D+//8/////AW/+//8+////EAAAAAnGAAAAAW3+//8/////AWz+//8+////CQAAAAklAAAAAWr+//8/////AWn+//8+////CwAAAAaYAQAAATYBZ/7//z////8BZv7//z7///8kAAAACXcAAAABZP7//z////8BY/7//z7///8MAAAABp4BAAAEVHJ1ZQFh/v//P////wFg/v//Pv///woAAAAGoQEAAAVGYWxzZQFe/v//P////wFd/v//Pv///wQAAAAGpAEAAAdHZW5lcmFsAVv+//8/////AVr+//8+////AgAAAAanAQAAATEBWP7//z////8BV/7//z7///8AAAAABqoBAAAFMTAuMjkHq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v//Kv///wnXAAAACdgAAAABUv7//yr///8J2gAAAAnYAAAAAU/+//8q////Cd0AAAAGswEAAAUtNDE0MgFM/v//Kv///wngAAAABrYBAAAHQ2FsaWJyaQFJ/v//Kv///wnjAAAABrkBAAABMAFG/v//Kv///wnmAAAABrwBAAACMTEBQ/7//yr///8J6QAAAAa/AQAAB1JlZ3VsYXIFw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QP7//9n/////////AAbBAQAABlN0cmluZwbCAQAAC0l0ZW0gbnVtYmVyCcMBAAABPP7//9f///8CAAAABTv+//85R2xvYmVTb2Z0d2FyZS5BdGxhczQwLkF0bGFzQ29tbW9uLk51bWJlclNlcXVlbmNlQ29uZGl0aW9uAQAAAAd2YWx1ZV9fAAgOAAAAAQAAAAAABsYBAAARVGFibGUuSW52ZW50VHJhbnMJIgAAAAklAAAACv////8JxgEAAAoJIgAAAAoKCgklAAAACcwBAAAJJQAAAAHrAAAAwAAAAAEy/v//2f////////8ABs8BAAAGU3RyaW5nBtABAAAGTG90IElECcMBAAABLv7//9f///8CAAAAAS3+//87/v//AQAAAAAACcYBAAAJMAAAAAklAAAACv////8JxgEAAAoJMAAAAAoKCgklAAAACdoBAAAJJQAAAAETAQAAwAAAAAEk/v//2f////////8ABt0BAAAGU3RyaW5nBt4BAAAMUGFja2luZyBzbGlwCd8BAAABIP7//9f///8CAAAAAR/+//87/v//AQAAAAAABuIBAAARVGFibGUuSW52ZW50VHJhbnMJPgAAAAklAAAACv////8J4gEAAAoJPgAAAAoKCgklAAAACegBAAAJJQAAAAEaAQAAwAAAAAEW/v//2f////////8ABusBAAAERGF0ZQbsAQAADVBoeXNpY2FsIGRhdGUJ7QEAAAES/v//1////wIAAAABEf7//zv+//8BAAAAAAAG8AEAABFUYWJsZS5JbnZlbnRUcmFucwlMAAAACSUAAAAK/////wnwAQAACglMAAAACgoKCSUAAAAJ9gEAAAklAAAAAT8BAADAAAAAAQj+///Z/////////wAG+QEAAARFbnVtBvoBAAAJUmVmZXJlbmNlCcMBAAABBP7//9f///8CAAAAAQP+//87/v//AQAAAAAACcYBAAAJWgAAAAklAAAACv////8JxgEAAAoJWgAAAAoKCgklAAAACQQCAAAJJQAAAAFnAQAAwAAAAAH6/f//2f////////8ABgcCAAAGU3RyaW5nBggCAAAGTnVtYmVyCcMBAAAB9v3//9f///8CAAAAAfX9//87/v//AQAAAAAACcYBAAAJaAAAAAklAAAACv////8JxgEAAAoJaAAAAAoKCgklAAAACRICAAAJJQAAAAGPAQAAwAAAAAHs/f//2f////////8BBhUCAAAEUmVhbAYWAgAACFF1YW50aXR5CcMBAAAB6P3//9f///8CAAAAAef9//87/v//AQAAAAAACcYBAAAJdgAAAAklAAAACv////8JxgEAAAoJdgAAAAoKCgklAAAACSACAAAJJQAAAAXD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AAABiICAAALSW52ZW50VHJhbnMGIwIAABZJbnZlbnRvcnkgdHJhbnNhY3Rpb25zCSUAAAAJJQAAAAklAAAABdv9//8wR2xvYmVTb2Z0d2FyZS5BdGxhczQwLkF0bGFzQ29tbW9uLkRhdGFTb3VyY2VUeXBlAQAAAAd2YWx1ZV9fAAgOAAAAAAAAAAkmAgAACScCAAAE2P3//wtTeXN0ZW0uR3VpZAsAAAACX2ECX2ICX2MCX2QCX2UCX2YCX2cCX2gCX2kCX2oCX2sAAAAAAAAAAAAAAAgHBwICAgICAgICX0S0sd+5lky/esKy0VOJSgklAAAACSUAAAAJKgIAAAnGAQAACgoKCgoBAAAABdT9//80R2xvYmVTb2Z0d2FyZS5BdGxhczQwLkF0bGFzQ29tbW9uLkRhdGFTb3VyY2VKb2luTW9kZQEAAAAHdmFsdWVfXwAIDgAAAAAAAAAF0/3//zVHbG9iZVNvZnR3YXJlLkF0bGFzNDAuQXRsYXNDb21tb24uRGF0YVNvdXJjZUZldGNoTW9kZQEAAAAHdmFsdWVfXwAIDgAAAAAAAAAACS4CAAABzAEAACEAAABDAAAACYwAAAADAAAACTACAAAB2gEAACEAAABDAAAACYwAAAADAAAACTICAAAB3wEAAMMBAAD/////BjMCAAALSW52ZW50VHJhbnMGNAIAABZJbnZlbnRvcnkgdHJhbnNhY3Rpb25zCSUAAAAJJQAAAAklAAAAAcr9///b/f//AAAAAAk3AgAACTgCAAABx/3//9j9//+yhiKI5zbzR46Z7vRuzy77CSUAAAAJJQAAAAk7AgAACeIBAAAKCgoKCgEAAAABw/3//9T9//8AAAAAAcL9///T/f//AAAAAAAJPwIAAAHoAQAAIQAAAAIAAAAJDAAAAAMAAAAJQQIAAAHtAQAAwwEAAP////8GQgIAAAtJbnZlbnRUcmFucwZDAgAAFkludmVudG9yeSB0cmFuc2FjdGlvbnMJJQAAAAklAAAACSUAAAABu/3//9v9//8AAAAACUYCAAAJRwIAAAG4/f//2P3//1T1lNW9JUhMqErmVQM9GX0JJQAAAAklAAAACUoCAAAJ8AEAAAoKCgoKAQAAAAG0/f//1P3//wAAAAABs/3//9P9//8AAAAAAAlOAgAAAfYBAAAhAAAANAAAAAmaAAAAAwAAAAlQAgAAAQQCAAAhAAAAQwAAAAmMAAAAAwAAAAlSAgAAARICAAAhAAAAQwAAAAmMAAAAAwAAAAlUAgAAASACAAAhAAAAQwAAAAmMAAAAAwAAAAlWAgAABCY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PAAAACVcCAAARAAAACVgCAAAEJw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CAAAAAmMAAAAEQAAAAlaAgAABCo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VcCAAADAAAACVwCAAAELg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XQIAAAAAAAAHM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f//Kv///wZfAgAACEhlbHBUZXh0BmACAAAOSWRlbnRpZnkgaXRlbS4Bn/3//yr///8GYgIAAAVMYWJlbAnCAQAAAZz9//8q////BmUCAAAEVHlwZQnBAQAABzI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3//yr///8JXwIAAAZpAgAAUlN1bW1hcnkgbnVtYmVyL0xvdCBJRCBmb3IgdHJhbnNhY3Rpb25zIGF0dGFjaGVkIHRvIHRoZSBzYW1lIGludmVudG9yeSB0cmFuc2FjdGlvbi4Blv3//yr///8JYgIAAAnQAQAAAZP9//8q////CWUCAAAJzwEAAAE3AgAAJgIAAAcAAAAJcAIAAAcAAAAJcQIAAAE4AgAAJwIAAAMAAAAJcgIAAAMAAAAJcwIAAAE7AgAAKgIAAAIAAAAJcAIAAAMAAAAJdQIAAAE/AgAALgIAAAAAAAAJdgIAAAAAAAAHQ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/f//Kv///wZ4AgAABUxhYmVsCd4BAAABhv3//yr///8GewIAAARUeXBlCd0BAAABRgIAACYCAAAGAAAACX0CAAAHAAAACX4CAAABRwIAACcCAAADAAAACX8CAAADAAAACYACAAABSgIAACoCAAABAAAACX0CAAADAAAACYICAAABTgIAAC4CAAAAAAAACYMCAAAAAAAAB1A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P3//yr///8GhQIAAAVMYWJlbAnsAQAAAXn9//8q////BogCAAAEVHlwZQnrAQAAB1I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v3//yr///8JXwIAAAaMAgAAMlNwZWNpZnkgdGhlIG1vZHVsZSB0aGF0IGdlbmVyYXRlZCB0aGUgdHJhbnNhY3Rpb24uAXP9//8q////CWICAAAJ+gEAAAFw/f//Kv///wllAgAACfkBAAAHV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/f//Kv///wlfAgAABpUCAAA1T3JkZXIgbnVtYmVyLCBwcm9qZWN0IG51bWJlciwgcHJvZHVjdGlvbiBudW1iZXIsIGV0Yy4Bav3//yr///8JYgIAAAkIAgAAAWf9//8q////CWUCAAAJBwIAAAdW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T9//8q////CV8CAAAGngIAACRRdWFudGl0eSBhdHRhY2hlZCB0byB0aGUgdHJhbnNhY3Rpb24BYf3//yr///8JYgIAAAkWAgAAAV79//8q////CWUCAAAJFQIAAAFXAgAADAAAAAdYAg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b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mAgAAGFRhYmxlLkludmVudFRyYW5zLkl0ZW1JZAnAAAAAAVj9//9b/f//BqkCAAAfVGFibGUuSW52ZW50VHJhbnMuSW52ZW50VHJhbnNJZAnrAAAAAVX9//9b/f//BqwCAAAbVGFibGUuSW52ZW50VHJhbnMuVHJhbnNUeXBlCT8BAAABUv3//1v9//8GrwIAABxUYWJsZS5JbnZlbnRUcmFucy5UcmFuc1JlZklkCWcBAAABT/3//1v9//8GsgIAABVUYWJsZS5JbnZlbnRUcmFucy5RdHkJjwEAAAdaAgAAAAEAAAAI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TP3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a1AgAAH1RhYmxlLkludmVudFRyYW5zLkRhdGVGaW5hbmNpYWwJtgIAAAFJ/f//TP3//wa4AgAAHVRhYmxlLkludmVudFRyYW5zLlN0YXR1c0lzc3VlCbkCAAABRv3//0z9//8GuwIAABhUYWJsZS5JbnZlbnRUcmFucy5JdGVtSWQJvAIAAAFD/f//TP3//wa+AgAAH1RhYmxlLkludmVudFRyYW5zLkludmVudFRyYW5zSWQJvwIAAAFA/f//TP3//wbBAgAAHFRhYmxlLkludmVudFRyYW5zLlRyYW5zUmVmSWQJwgIAAAE9/f//TP3//wbEAgAAHlRhYmxlLkludmVudFRyYW5zLkRhdGVQaHlzaWNhbAnFAgAAATr9//9M/f//BscCAAAfVGFibGUuSW52ZW50VHJhbnMuU3RhdHVzUmVjZWlwdAnIAgAAATf9//9M/f//BsoCAAAbVGFibGUuSW52ZW50VHJhbnMuVHJhbnNUeXBlCcsCAAAHXAI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NP3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twAAAAnOAgAABF0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wAgAADAAAAAdxAg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x/f//W/3//wbQAgAAGFRhYmxlLkludmVudFRyYW5zLkl0ZW1JZAnAAAAAAS79//9b/f//BtMCAAAfVGFibGUuSW52ZW50VHJhbnMuSW52ZW50VHJhbnNJZAnrAAAAASv9//9b/f//BtYCAAAeVGFibGUuSW52ZW50VHJhbnMuRGF0ZVBoeXNpY2FsCRoBAAABKP3//1v9//8G2QIAABtUYWJsZS5JbnZlbnRUcmFucy5UcmFuc1R5cGUJPwEAAAEl/f//W/3//wbcAgAAHFRhYmxlLkludmVudFRyYW5zLlRyYW5zUmVmSWQJZwEAAAEi/f//W/3//wbfAgAAFVRhYmxlLkludmVudFRyYW5zLlF0eQmPAQAAAR/9//9b/f//BuICAAAfVGFibGUuSW52ZW50VHJhbnMuUGFja2luZ1NsaXBJZAkTAQAAAXICAAAMAAAAB3MCAAAAAQAAAAM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c/f//TP3//wblAgAAGFRhYmxlLkludmVudFRyYW5zLkl0ZW1JZAnmAgAAARn9//9M/f//BugCAAAeVGFibGUuSW52ZW50VHJhbnMuRGF0ZVBoeXNpY2FsCekCAAABFv3//0z9//8G6wIAABtUYWJsZS5JbnZlbnRUcmFucy5UcmFuc1R5cGUJ7AIAAAd1Ag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T/f//NP3//wm3AAAACc4CAAABEP3//zT9//8JvQAAAAnyAgAAAXYCAABdAgAAAX0CAAAMAAAAB34C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Q39//9b/f//BvQCAAAYVGFibGUuSW52ZW50VHJhbnMuSXRlbUlkCcAAAAABCv3//1v9//8G9wIAAB9UYWJsZS5JbnZlbnRUcmFucy5JbnZlbnRUcmFuc0lkCesAAAABB/3//1v9//8G+gIAABtUYWJsZS5JbnZlbnRUcmFucy5UcmFuc1R5cGUJPwEAAAEE/f//W/3//wb9AgAAHFRhYmxlLkludmVudFRyYW5zLlRyYW5zUmVmSWQJZwEAAAEB/f//W/3//wYAAwAAFVRhYmxlLkludmVudFRyYW5zLlF0eQmPAQAAAf78//9b/f//BgMDAAAeVGFibGUuSW52ZW50VHJhbnMuRGF0ZVBoeXNpY2FsCRoBAAABfwIAAAwAAAAHgAI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fv8//9M/f//BgYDAAAYVGFibGUuSW52ZW50VHJhbnMuSXRlbUlkCbwCAAAB+Pz//0z9//8GCQMAAB5UYWJsZS5JbnZlbnRUcmFucy5EYXRlUGh5c2ljYWwJxQIAAAH1/P//TP3//wYMAwAAG1RhYmxlLkludmVudFRyYW5zLlRyYW5zVHlwZQnLAgAAB4IC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fL8//80/f//CbcAAAAJzgIAAAGDAgAAXQIAAAW2A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xgEAAAYSAwAADURhdGVGaW5hbmNpYWwJJQAAAAklAAAA/////wnGAQAACgkSAwAACgoKCSUAAAAJFwMAAAklAAAAAbkCAAC2AgAACcYBAAAGGgMAAAtTdGF0dXNJc3N1ZQklAAAACSUAAAD/////CcYBAAAKCRoDAAAKCgoJJQAAAAkfAwAACSUAAAABvAIAALYCAAAJxgEAAAmvAAAACSUAAAAGJAMAAAEq/////wnGAQAACgmvAAAACgoKCSUAAAAJKAMAAAklAAAAAb8CAAC2AgAACcYBAAAGKwMAAA1JbnZlbnRUcmFuc0lkCSUAAAAJJQAAAP////8JxgEAAAoJKwMAAAoKCgklAAAACTADAAAJJQAAAAHCAgAAtgIAAAnGAQAABjMDAAAKVHJhbnNSZWZJZAklAAAACSUAAAD/////CcYBAAAKCTMDAAAKCgoJJQAAAAk4AwAACSUAAAABxQIAALYCAAAJxgEAAAmyAAAACSUAAAAGPQMAABUxLjEuMjAyMSAuLiAyLjI4LjIwMjH/////CcYBAAAKCbIAAAAKCgoJJQAAAAlBAwAACSUAAAAByAIAALYCAAAJxgEAAAZEAwAADVN0YXR1c1JlY2VpcHQJJQAAAAklAAAA/////wnGAQAACglEAwAACgoKCSUAAAAJSQMAAAklAAAAAcsCAAC2AgAACcYBAAAJtQAAAAklAAAACbYAAAD/////CcYBAAAGUAMAAAtJbnZlbnRUcmFucwm1AAAACgoKCSUAAAAJUwMAAAklAAAAAc4CAADDAQAA/////wZVAwAAC0ludmVudFRhYmxlBlYDAAAFSXRlbXMJJQAAAAklAAAACSUAAAABqPz//9v9//8AAAAACVkDAAAJWgMAAAGl/P//2P3//+Dk3uBWIZZIvMfXb2fOJl8JJQAAAAklAAAACV0DAAAJtwAAAAZfAwAAC0ludmVudFRyYW5zBmADAAARVGFibGUuSW52ZW50VHJhbnMGYQMAABhUYWJsZS5JbnZlbnRUcmFucy5JdGVtSWQGYgMAAAZJdGVtSWQGYwMAAAZJdGVtSWQBAAAAAZz8///U/f//AAAAAAGb/P//0/3//wAAAAAACWYDAAAB5gIAALYCAAAGZwMAABFUYWJsZS5JbnZlbnRUcmFucwmvAAAACSUAAAAJsAAAAP////8JZwMAAAoJrwAAAAoKCgklAAAACW4DAAAJJQAAAAHpAgAAtgIAAAlnAwAACbIAAAAJJQAAAAmzAAAA/////wlnAwAACgmyAAAACgoKCSUAAAAJdwMAAAklAAAAAewCAAC2AgAACWcDAAAJtQAAAAklAAAACbYAAAD/////CWcDAAAKCbUAAAAKCgoJJQAAAAmAAwAACSUAAAAB8gIAAMMBAAD/////BoIDAAAKU2FsZXNUYWJsZQaDAwAADFNhbGVzIG9yZGVycwklAAAACSUAAAAJJQAAAAF7/P//2/3//wAAAAAJhgMAAAmHAwAAAXj8///Y/f//Es1LFgvZoE2jJLlcjB1lowklAAAACSUAAAAJigMAAAm9AAAABowDAAALSW52ZW50VHJhbnMGjQMAABFUYWJsZS5JbnZlbnRUcmFucwaOAwAAHFRhYmxlLkludmVudFRyYW5zLlRyYW5zUmVmSWQGjwMAAApUcmFuc1JlZklkBpADAAAHU2FsZXNJZAEAAAABb/z//9T9//8AAAAAAW78///T/f//AAAAAAAJkwMAAAEXAwAAIQAAAAIAAAAJjAAAAAMAAAAJlQMAAAEfAwAAIQAAAAIAAAAJjAAAAAMAAAAJlwMAAAEoAwAAIQAAABoAAAAJjAAAAAMAAAAJmQMAAAEwAwAAIQAAAAIAAAAJjAAAAAMAAAAJmwMAAAE4AwAAIQAAAAIAAAAJjAAAAAMAAAAJnQMAAAFBAwAAIQAAABoAAAAJjAAAAAMAAAAJnwMAAAFJAwAAIQAAAAIAAAAJjAAAAAMAAAAJoQMAAAFTAwAAIQAAABYAAAAJjAAAAAMAAAAJowMAAARZ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AAAAAAAAAABWgMAACcCAAACAAAACQwAAAADAAAACaYDAAAEX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wAAAAAAAAAAWYDAAAuAgAAAAAAAAmoAwAAAAAAAAFuAwAAIQAAADAAAAAJcgIAAAMAAAAJqgMAAAF3AwAAIQAAADAAAAAJcgIAAAMAAAAJrAMAAAGAAwAAIQAAAC4AAAAJcgIAAAMAAAAJrgMAAASG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cgIAAAAAAAABhwMAACcCAAABAAAACQwAAAADAAAACbEDAAAEig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ICAAAAAAAAAZMDAAAuAgAAAAAAAAmzAwAAAAAAAAeV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z8//8q////CWUCAAAGtgMAAAREYXRlAUn8//8q////CWICAAAGuQMAAA5GaW5hbmNpYWwgZGF0ZQeX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b8//8q////CWUCAAAGvAMAAARFbnVtAUP8//8q////CWICAAAGvwMAAAxJc3N1ZSBzdGF0dXMHm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P//Kv///wllAgAABsIDAAAGU3RyaW5nAT38//8q////CWICAAAGxQMAAAtJdGVtIG51bWJlcgE6/P//Kv///wbHAwAACFJlZmVyc1RvBsgDAAALPUl0ZW1OdW1iZXIHm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3/P//Kv///wllAgAABssDAAAGU3RyaW5nATT8//8q////CWICAAAGzgMAAAZMb3QgSUQHn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P//Kv///wllAgAABtEDAAAGU3RyaW5nAS78//8q////CWICAAAG1AMAAAZOdW1iZXIHn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/P//Kv///wllAgAABtcDAAAERGF0ZQEo/P//Kv///wliAgAABtoDAAANUGh5c2ljYWwgZGF0ZQEl/P//Kv///wnHAwAABt0DAAALPURhdGVQZXJpb2QHo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P//Kv///wllAgAABuADAAAERW51bQEf/P//Kv///wliAgAABuMDAAAOUmVjZWlwdCBzdGF0dXMHo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P//Kv///wllAgAABuYDAAAERW51bQEZ/P//Kv///wliAgAABukDAAAJUmVmZXJlbmNlB6YD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W/P//TP3//wbrAwAAN1RhYmxlLkludmVudFRyYW5zLkl0ZW1JZH5UYWJsZS5JbnZlbnRUYWJsZS5EaW1lbnNpb25bOF0J7AMAAAET/P//TP3//wbuAwAAN1RhYmxlLkludmVudFRyYW5zLkl0ZW1JZH5UYWJsZS5JbnZlbnRUYWJsZS5EaW1lbnNpb25bN10J7wMAAAGoAwAAXQIAAAeq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D8//8q////BvEDAAAEVHlwZQnBAQAAAQ38//8q////BvQDAAAFTGFiZWwJwgEAAAEK/P//Kv///wb3AwAACFJlZmVyc1RvCcgDAAAHr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P//Kv///wnxAwAACesBAAABBPz//yr///8J9AMAAAnsAQAAAQH8//8q////CfcDAAAJ3QMAAAeu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77//8q////CfEDAAAJ+QEAAAH7+///Kv///wn0AwAACfoBAAAHsQ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fj7//9M/f//BgkEAAA3VGFibGUuSW52ZW50VHJhbnMuVHJhbnNSZWZJZH5UYWJsZS5TYWxlc1RhYmxlLkN1c3RHcm91cAkKBAAAAbMDAABdAgAAAewDAAC2AgAACbcAAAAJuAAAAAklAAAACbkAAAD/////CbcAAAAKCbgAAAAGEQQAAAZJdGVtSWQKCgklAAAACRMEAAAJJQAAAAHvAwAAtgIAAAm3AAAACbsAAAAJJQAAAAm8AAAA/////wm3AAAACgm7AAAABhsEAAAGSXRlbUlkCgoJJQAAAAkdBAAACSUAAAABCgQAALYCAAAJvQAAAAm+AAAACSUAAAAJvwAAAP////8JvQAAAAoJvgAAAAYlBAAAClRyYW5zUmVmSWQKCgklAAAACScEAAAJJQAAAAETBAAAIQAAADAAAAAJcgIAAAMAAAAJKgQAAAEdBAAAIQAAADAAAAAJcgIAAAMAAAAJLAQAAAEnBAAAIQAAADAAAAAJcgIAAAMAAAAJLgQAAAcq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H7//8q////CfEDAAAGMQQAAAZTdHJpbmcBzvv//yr///8J9AMAAAY0BAAAFkRldGFpbCBNYXJrZXRpbmcgR3JvdXABy/v//yr///8J9wMAAAY3BAAABD1ETUcHL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+///Kv///wnxAwAACTEEAAABxfv//yr///8J9AMAAAY9BAAAFU1ham9yIE1hcmtldGluZyBHcm91cAHC+///Kv///wn3AwAABkAEAAAEPU1NRwcu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/7//8q////CfEDAAAGQwQAAAZTdHJpbmcBvPv//yr///8J9AMAAAZGBAAADkN1c3RvbWVyIGdyb3VwAbn7//8q////CfcDAAAGSQQAAAo9Q3VzdEdyb3VwCw==</Report>
</Atlas>
</file>

<file path=customXml/itemProps1.xml><?xml version="1.0" encoding="utf-8"?>
<ds:datastoreItem xmlns:ds="http://schemas.openxmlformats.org/officeDocument/2006/customXml" ds:itemID="{AD4F44D1-E1C3-4BAF-8223-1EB6BEF41FF9}">
  <ds:schemaRefs/>
</ds:datastoreItem>
</file>

<file path=customXml/itemProps2.xml><?xml version="1.0" encoding="utf-8"?>
<ds:datastoreItem xmlns:ds="http://schemas.openxmlformats.org/officeDocument/2006/customXml" ds:itemID="{4F291720-D296-481B-ABD6-7766C6F2A57D}">
  <ds:schemaRefs/>
</ds:datastoreItem>
</file>

<file path=customXml/itemProps3.xml><?xml version="1.0" encoding="utf-8"?>
<ds:datastoreItem xmlns:ds="http://schemas.openxmlformats.org/officeDocument/2006/customXml" ds:itemID="{6A1EF892-8559-4FED-B656-33774BD02565}">
  <ds:schemaRefs/>
</ds:datastoreItem>
</file>

<file path=customXml/itemProps4.xml><?xml version="1.0" encoding="utf-8"?>
<ds:datastoreItem xmlns:ds="http://schemas.openxmlformats.org/officeDocument/2006/customXml" ds:itemID="{853A0DB2-A11B-442A-BD60-D800E2CFC5E7}">
  <ds:schemaRefs/>
</ds:datastoreItem>
</file>

<file path=customXml/itemProps5.xml><?xml version="1.0" encoding="utf-8"?>
<ds:datastoreItem xmlns:ds="http://schemas.openxmlformats.org/officeDocument/2006/customXml" ds:itemID="{FBB70175-28A9-4F88-A470-E1589E954823}">
  <ds:schemaRefs/>
</ds:datastoreItem>
</file>

<file path=customXml/itemProps6.xml><?xml version="1.0" encoding="utf-8"?>
<ds:datastoreItem xmlns:ds="http://schemas.openxmlformats.org/officeDocument/2006/customXml" ds:itemID="{6249B607-976D-4EF1-A85E-B3A8C49622D6}">
  <ds:schemaRefs/>
</ds:datastoreItem>
</file>

<file path=customXml/itemProps7.xml><?xml version="1.0" encoding="utf-8"?>
<ds:datastoreItem xmlns:ds="http://schemas.openxmlformats.org/officeDocument/2006/customXml" ds:itemID="{73444584-454F-42A8-9D07-2A186C107D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General</vt:lpstr>
      <vt:lpstr>Report_Detailed</vt:lpstr>
      <vt:lpstr>InventTrans</vt:lpstr>
      <vt:lpstr>Report_Summary</vt:lpstr>
      <vt:lpstr>Report_Detailed!AtlasReport_3</vt:lpstr>
      <vt:lpstr>InventTrans!AtlasReport_4</vt:lpstr>
      <vt:lpstr>CustGroup</vt:lpstr>
      <vt:lpstr>DataAreaId</vt:lpstr>
      <vt:lpstr>DatePeriod</vt:lpstr>
      <vt:lpstr>DMG</vt:lpstr>
      <vt:lpstr>ItemNumber</vt:lpstr>
      <vt:lpstr>MMG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2021-02-26T02:39:47Z</dcterms:created>
  <dcterms:modified xsi:type="dcterms:W3CDTF">2022-02-17T03:44:36Z</dcterms:modified>
</cp:coreProperties>
</file>