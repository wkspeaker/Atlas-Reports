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80" windowWidth="20730" windowHeight="9210"/>
  </bookViews>
  <sheets>
    <sheet name="General" sheetId="1" r:id="rId1"/>
    <sheet name="SalesDetails" sheetId="2" r:id="rId2"/>
    <sheet name="ByItem" sheetId="3" r:id="rId3"/>
    <sheet name="ByCustomer" sheetId="4" r:id="rId4"/>
    <sheet name="UnitConversion" sheetId="5" r:id="rId5"/>
    <sheet name="InventUnit" sheetId="6" r:id="rId6"/>
  </sheets>
  <functionGroups builtInGroupCount="17"/>
  <definedNames>
    <definedName name="AtlasReport_1" localSheetId="1">SalesDetails!$A$4:$L$472</definedName>
    <definedName name="AtlasReport_2" localSheetId="4">UnitConversion!#REF!</definedName>
    <definedName name="AtlasReport_3" localSheetId="5">InventUnit!$A$1:$B$238</definedName>
    <definedName name="AtlasReport_4" localSheetId="4">UnitConversion!$A$1:$F$5</definedName>
    <definedName name="CustGroup">General!$F$9</definedName>
    <definedName name="DataAreaId">General!$C$1</definedName>
    <definedName name="DateFormat">General!$I$1</definedName>
    <definedName name="DatePeriod">General!$K$2</definedName>
    <definedName name="DatePeriodA">General!$C$2</definedName>
    <definedName name="DatePeriodB">General!$C$5</definedName>
    <definedName name="FromDateA">General!$D$3</definedName>
    <definedName name="FromDateB">General!$D$6</definedName>
    <definedName name="ItemGroup">General!$C$10</definedName>
    <definedName name="ItemId">General!$C$9</definedName>
    <definedName name="MMG">General!$C$11</definedName>
    <definedName name="ToDateA">General!$G$3</definedName>
    <definedName name="ToDateB">General!$G$6</definedName>
  </definedNames>
  <calcPr calcId="145621"/>
</workbook>
</file>

<file path=xl/calcChain.xml><?xml version="1.0" encoding="utf-8"?>
<calcChain xmlns="http://schemas.openxmlformats.org/spreadsheetml/2006/main">
  <c r="L15" i="3" l="1"/>
  <c r="J15" i="3"/>
  <c r="M15" i="3"/>
  <c r="K15" i="3"/>
  <c r="I15" i="3"/>
  <c r="H15" i="3"/>
  <c r="G15" i="3"/>
  <c r="F15" i="3"/>
  <c r="E15" i="3"/>
  <c r="D15" i="3"/>
  <c r="C15" i="3"/>
  <c r="N128" i="4"/>
  <c r="L128" i="4"/>
  <c r="O128" i="4"/>
  <c r="M128" i="4"/>
  <c r="K128" i="4"/>
  <c r="J128" i="4"/>
  <c r="I128" i="4"/>
  <c r="H128" i="4"/>
  <c r="G128" i="4"/>
  <c r="F128" i="4"/>
  <c r="E128" i="4"/>
  <c r="D4" i="5"/>
  <c r="C4" i="5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J471" i="2"/>
  <c r="H471" i="2"/>
  <c r="G2" i="2" l="1"/>
  <c r="D2" i="2"/>
  <c r="G1" i="2"/>
  <c r="D1" i="2"/>
  <c r="C5" i="1"/>
  <c r="C2" i="1"/>
  <c r="K2" i="1" l="1"/>
</calcChain>
</file>

<file path=xl/sharedStrings.xml><?xml version="1.0" encoding="utf-8"?>
<sst xmlns="http://schemas.openxmlformats.org/spreadsheetml/2006/main" count="4361" uniqueCount="1070">
  <si>
    <t>Company:</t>
  </si>
  <si>
    <t>Date Format:</t>
  </si>
  <si>
    <t>Period A:</t>
  </si>
  <si>
    <t>From Date</t>
  </si>
  <si>
    <t>To Date</t>
  </si>
  <si>
    <t>Period B:</t>
  </si>
  <si>
    <t>From:</t>
  </si>
  <si>
    <t>To:</t>
  </si>
  <si>
    <t>Customer invoice lines</t>
  </si>
  <si>
    <t>Item</t>
  </si>
  <si>
    <t>GLG0195120</t>
  </si>
  <si>
    <t>GLG0097120</t>
  </si>
  <si>
    <t>Total</t>
  </si>
  <si>
    <t>Total Period:</t>
  </si>
  <si>
    <t>Customer account</t>
  </si>
  <si>
    <t>Customer name</t>
  </si>
  <si>
    <t>Item name</t>
  </si>
  <si>
    <t>S&amp;P Glasphalt G (120/120kN)</t>
  </si>
  <si>
    <t>Lot ID</t>
  </si>
  <si>
    <t>Amount in default currency</t>
  </si>
  <si>
    <t>Cost Amount</t>
  </si>
  <si>
    <t>Margin</t>
  </si>
  <si>
    <t>Sales order</t>
  </si>
  <si>
    <t>Date</t>
  </si>
  <si>
    <t>Quantity</t>
  </si>
  <si>
    <t>Unit</t>
  </si>
  <si>
    <t>PCS</t>
  </si>
  <si>
    <t>M²</t>
  </si>
  <si>
    <t>Item Number:</t>
  </si>
  <si>
    <t>*</t>
  </si>
  <si>
    <t>Item Group:</t>
  </si>
  <si>
    <t>Customer Group:</t>
  </si>
  <si>
    <t>Customer number</t>
  </si>
  <si>
    <t>Item number</t>
  </si>
  <si>
    <t>Sales Period A</t>
  </si>
  <si>
    <t>Sales Period B</t>
  </si>
  <si>
    <t>Variance %</t>
  </si>
  <si>
    <t>Margin Period A</t>
  </si>
  <si>
    <t>Margin Period B</t>
  </si>
  <si>
    <t>Variance %2</t>
  </si>
  <si>
    <t>Quantity Period A</t>
  </si>
  <si>
    <t>Quantity Period B</t>
  </si>
  <si>
    <t>Variance %3</t>
  </si>
  <si>
    <t>Steps:</t>
  </si>
  <si>
    <t>Select correct date format in cell I1</t>
  </si>
  <si>
    <t>Maintain company and report dates in column C1, D3, F3, D6 and G6 (marked in light blue)</t>
  </si>
  <si>
    <t>In Atlas tab page, click refresh to fetch sales details;</t>
  </si>
  <si>
    <t>click button "Generate Report" to generate the reports in sheets "ByItem" and "ByCustomer";</t>
  </si>
  <si>
    <t>Version:</t>
  </si>
  <si>
    <t>V1</t>
  </si>
  <si>
    <t>Initial version</t>
  </si>
  <si>
    <t>Major marketing group:</t>
  </si>
  <si>
    <t>Maintain criterions in C9, F9 , C10 and C11 (marked in green) to filter the sales records (such as !Services in C10 to exclude all service item sales or !IC* in F9 to exclude all intercompany sales, etc.)</t>
  </si>
  <si>
    <t>V2</t>
  </si>
  <si>
    <t>Add filter on major marketing group</t>
  </si>
  <si>
    <t>V3</t>
  </si>
  <si>
    <r>
      <t>·</t>
    </r>
    <r>
      <rPr>
        <sz val="7"/>
        <color theme="1"/>
        <rFont val="Times New Roman"/>
        <family val="1"/>
      </rPr>
      <t xml:space="preserve">         </t>
    </r>
    <r>
      <rPr>
        <sz val="11"/>
        <color theme="1"/>
        <rFont val="Calibri"/>
        <family val="2"/>
        <scheme val="minor"/>
      </rPr>
      <t>Variance % of Sales: If we have sales in Period B but not in A we should see 100% instead of 0%</t>
    </r>
  </si>
  <si>
    <r>
      <t>·</t>
    </r>
    <r>
      <rPr>
        <sz val="7"/>
        <color theme="1"/>
        <rFont val="Times New Roman"/>
        <family val="1"/>
      </rPr>
      <t xml:space="preserve">         </t>
    </r>
    <r>
      <rPr>
        <sz val="11"/>
        <color theme="1"/>
        <rFont val="Calibri"/>
        <family val="2"/>
        <scheme val="minor"/>
      </rPr>
      <t>Variance % of Margin: can we use the formula “((Sales B – Cost B)/Sales B) – (Sales A – Cost A)/Sales A))”?</t>
    </r>
  </si>
  <si>
    <t>V4</t>
  </si>
  <si>
    <t>If either Sales Period A or Sales Period B is zero, then the variance% of Margin should be zero;</t>
  </si>
  <si>
    <t>Margin A%</t>
  </si>
  <si>
    <t>Margin B%</t>
  </si>
  <si>
    <t>add two columns for sales margin Period A and sales margin Period B in percentage;</t>
  </si>
  <si>
    <t>V5</t>
  </si>
  <si>
    <t>Remove margin value columns</t>
  </si>
  <si>
    <t>Fix the calculation in ByItem</t>
  </si>
  <si>
    <t>V6</t>
    <phoneticPr fontId="7" type="noConversion"/>
  </si>
  <si>
    <t>Add quantities into report ByCustomer</t>
    <phoneticPr fontId="7" type="noConversion"/>
  </si>
  <si>
    <t>GLG0150120</t>
  </si>
  <si>
    <t>!IC-AX,!IC-BS</t>
  </si>
  <si>
    <t>ASPHALT</t>
  </si>
  <si>
    <t>369-000095</t>
  </si>
  <si>
    <t>Strong Solutions Sweden Entreprenad AB</t>
  </si>
  <si>
    <t>369-000081</t>
  </si>
  <si>
    <t>CJ Anlæg A/S</t>
  </si>
  <si>
    <t>369-000122</t>
  </si>
  <si>
    <t>Peab Asfalt A/S</t>
  </si>
  <si>
    <t>CAG0097200</t>
  </si>
  <si>
    <t>S&amp;P Carbophalt G (120/200kN)</t>
  </si>
  <si>
    <t>SO0001287</t>
  </si>
  <si>
    <t>Lot 017103</t>
  </si>
  <si>
    <t>Roll</t>
  </si>
  <si>
    <t>369-000078</t>
  </si>
  <si>
    <t>NCC Industry A/S</t>
  </si>
  <si>
    <t>SO0001288</t>
  </si>
  <si>
    <t>Lot 017105</t>
  </si>
  <si>
    <t>Lot 017106</t>
  </si>
  <si>
    <t>369-000113</t>
  </si>
  <si>
    <t>Infracare Sweden AB</t>
  </si>
  <si>
    <t>SO0001289</t>
  </si>
  <si>
    <t>Lot 017115</t>
  </si>
  <si>
    <t>Lot 017116</t>
  </si>
  <si>
    <t>CAG0097200200</t>
  </si>
  <si>
    <t>S&amp;P Carbophalt G (200/200kN)</t>
  </si>
  <si>
    <t>Lot 017117</t>
  </si>
  <si>
    <t>CAG195200200</t>
  </si>
  <si>
    <t>Lot 017118</t>
  </si>
  <si>
    <t>SO0001290</t>
  </si>
  <si>
    <t>Lot 017119</t>
  </si>
  <si>
    <t>SO0001294</t>
  </si>
  <si>
    <t>Lot 017135</t>
  </si>
  <si>
    <t>Lot 017136</t>
  </si>
  <si>
    <t>Lot 017149</t>
  </si>
  <si>
    <t>Lot 017213</t>
  </si>
  <si>
    <t>Lot 017214</t>
  </si>
  <si>
    <t>ASPDIEN002</t>
  </si>
  <si>
    <t>Asphalt application work</t>
  </si>
  <si>
    <t>Lot 017248</t>
  </si>
  <si>
    <t>369-000047</t>
  </si>
  <si>
    <t>Värnamo Kommun</t>
  </si>
  <si>
    <t>SO0001296</t>
  </si>
  <si>
    <t>Lot 017205</t>
  </si>
  <si>
    <t>SO0001300</t>
  </si>
  <si>
    <t>Lot 017227</t>
  </si>
  <si>
    <t>SO0001301</t>
  </si>
  <si>
    <t>Lot 017232</t>
  </si>
  <si>
    <t>CAG0150200</t>
  </si>
  <si>
    <t>SO0001303</t>
  </si>
  <si>
    <t>Lot 017237</t>
  </si>
  <si>
    <t>Lot 017238</t>
  </si>
  <si>
    <t>369-000157</t>
  </si>
  <si>
    <t>Jorton A/S</t>
  </si>
  <si>
    <t>SO0001305</t>
  </si>
  <si>
    <t>Lot 017244</t>
  </si>
  <si>
    <t>H</t>
  </si>
  <si>
    <t>Lot 017245</t>
  </si>
  <si>
    <t>Lot 017246</t>
  </si>
  <si>
    <t>Lot 017247</t>
  </si>
  <si>
    <t>SO0001313</t>
  </si>
  <si>
    <t>Lot 017262</t>
  </si>
  <si>
    <t>Lot 017263</t>
  </si>
  <si>
    <t>SO0001319</t>
  </si>
  <si>
    <t>Lot 017277</t>
  </si>
  <si>
    <t>ASPINST001</t>
  </si>
  <si>
    <t>Asphalt Verlegearbeit Installation</t>
  </si>
  <si>
    <t>Lot 017278</t>
  </si>
  <si>
    <t>369-000158</t>
  </si>
  <si>
    <t>M. J. Eriksson A/S</t>
  </si>
  <si>
    <t>SO0001320</t>
  </si>
  <si>
    <t>Lot 017329</t>
  </si>
  <si>
    <t>Lot 017330</t>
  </si>
  <si>
    <t>Lot 017331</t>
  </si>
  <si>
    <t>Lot 017385</t>
  </si>
  <si>
    <t>369-000096</t>
  </si>
  <si>
    <t>Colas Danmark A/S</t>
  </si>
  <si>
    <t>SO0001321</t>
  </si>
  <si>
    <t>Lot 017345</t>
  </si>
  <si>
    <t>SO0001323</t>
  </si>
  <si>
    <t>Lot 017354</t>
  </si>
  <si>
    <t>Lot 017355</t>
  </si>
  <si>
    <t>Lot 017356</t>
  </si>
  <si>
    <t>369-000146</t>
  </si>
  <si>
    <t>CG Jensen A/S</t>
  </si>
  <si>
    <t>SO0001325</t>
  </si>
  <si>
    <t>Lot 017370</t>
  </si>
  <si>
    <t>SO0001326</t>
  </si>
  <si>
    <t>Lot 017376</t>
  </si>
  <si>
    <t>369-000051</t>
  </si>
  <si>
    <t>NCC Industry AB</t>
  </si>
  <si>
    <t>SO0001329</t>
  </si>
  <si>
    <t>Lot 017382</t>
  </si>
  <si>
    <t>Lot 017383</t>
  </si>
  <si>
    <t>Lot 017384</t>
  </si>
  <si>
    <t>Lot 017516</t>
  </si>
  <si>
    <t>SO0001330</t>
  </si>
  <si>
    <t>Lot 017386</t>
  </si>
  <si>
    <t>SO0001332</t>
  </si>
  <si>
    <t>Lot 017393</t>
  </si>
  <si>
    <t>SO0001336</t>
  </si>
  <si>
    <t>Lot 017408</t>
  </si>
  <si>
    <t>Lot 017409</t>
  </si>
  <si>
    <t>Lot 017410</t>
  </si>
  <si>
    <t>SO0001340</t>
  </si>
  <si>
    <t>Lot 017427</t>
  </si>
  <si>
    <t>Lot 017428</t>
  </si>
  <si>
    <t>Lot 017429</t>
  </si>
  <si>
    <t>Lot 017430</t>
  </si>
  <si>
    <t>369-000159</t>
  </si>
  <si>
    <t>Condor Enterprise A/S</t>
  </si>
  <si>
    <t>SO0001342</t>
  </si>
  <si>
    <t>Lot 017438</t>
  </si>
  <si>
    <t>SO0001343</t>
  </si>
  <si>
    <t>Lot 017452</t>
  </si>
  <si>
    <t>SO0001345</t>
  </si>
  <si>
    <t>Lot 017508</t>
  </si>
  <si>
    <t>SO0001348</t>
  </si>
  <si>
    <t>Lot 017511</t>
  </si>
  <si>
    <t>SO0001349</t>
  </si>
  <si>
    <t>Lot 017517</t>
  </si>
  <si>
    <t>SO0001353</t>
  </si>
  <si>
    <t>Lot 019290</t>
  </si>
  <si>
    <t>Lot 019292</t>
  </si>
  <si>
    <t>SO0001355</t>
  </si>
  <si>
    <t>Lot 019300</t>
  </si>
  <si>
    <t>Lot 019301</t>
  </si>
  <si>
    <t>369-000160</t>
  </si>
  <si>
    <t>Horsens Kommune</t>
  </si>
  <si>
    <t>SO0001357</t>
  </si>
  <si>
    <t>Lot 019310</t>
  </si>
  <si>
    <t>CAG150200200</t>
  </si>
  <si>
    <t>Lot 019311</t>
  </si>
  <si>
    <t>Lot 019312</t>
  </si>
  <si>
    <t>Lot 019313</t>
  </si>
  <si>
    <t>SO0001364</t>
  </si>
  <si>
    <t>Lot 019335</t>
  </si>
  <si>
    <t>Lot 019336</t>
  </si>
  <si>
    <t>SO0001365</t>
  </si>
  <si>
    <t>Lot 019464</t>
  </si>
  <si>
    <t>Lot 019465</t>
  </si>
  <si>
    <t>Lot 019466</t>
  </si>
  <si>
    <t>369-000077</t>
  </si>
  <si>
    <t>Herning Kommune</t>
  </si>
  <si>
    <t>SO0001366</t>
  </si>
  <si>
    <t>Lot 019467</t>
  </si>
  <si>
    <t>369-000161</t>
  </si>
  <si>
    <t>Kalundborg Kommune</t>
  </si>
  <si>
    <t>SO0001367</t>
  </si>
  <si>
    <t>Lot 019469</t>
  </si>
  <si>
    <t>Lot 019470</t>
  </si>
  <si>
    <t>Lot 019471</t>
  </si>
  <si>
    <t>Lot 019472</t>
  </si>
  <si>
    <t>SO0001368</t>
  </si>
  <si>
    <t>Lot 019482</t>
  </si>
  <si>
    <t>SO0001369</t>
  </si>
  <si>
    <t>Lot 019486</t>
  </si>
  <si>
    <t>Lot 019487</t>
  </si>
  <si>
    <t>Lot 019488</t>
  </si>
  <si>
    <t>Lot 019489</t>
  </si>
  <si>
    <t>SO0001370</t>
  </si>
  <si>
    <t>Lot 019493</t>
  </si>
  <si>
    <t>369-000041</t>
  </si>
  <si>
    <t>Peab Anläggning AB</t>
  </si>
  <si>
    <t>SO0001372</t>
  </si>
  <si>
    <t>Lot 019500</t>
  </si>
  <si>
    <t>Lot 019501</t>
  </si>
  <si>
    <t>Lot 019615</t>
  </si>
  <si>
    <t>369-000162</t>
  </si>
  <si>
    <t>Gundsø Entreprenør Forretning A/S</t>
  </si>
  <si>
    <t>SO0001373</t>
  </si>
  <si>
    <t>Lot 019502</t>
  </si>
  <si>
    <t>Lot 019503</t>
  </si>
  <si>
    <t>SO0001378</t>
  </si>
  <si>
    <t>Lot 019517</t>
  </si>
  <si>
    <t>SO0001379</t>
  </si>
  <si>
    <t>Lot 019518</t>
  </si>
  <si>
    <t>369-000163</t>
  </si>
  <si>
    <t>SuperAsfalt A/S</t>
  </si>
  <si>
    <t>SO0001380</t>
  </si>
  <si>
    <t>Lot 019519</t>
  </si>
  <si>
    <t>Lot 019520</t>
  </si>
  <si>
    <t>SO0001381</t>
  </si>
  <si>
    <t>Lot 019567</t>
  </si>
  <si>
    <t>Lot 019568</t>
  </si>
  <si>
    <t>Lot 019569</t>
  </si>
  <si>
    <t>Lot 019570</t>
  </si>
  <si>
    <t>SO0001382</t>
  </si>
  <si>
    <t>Lot 019574</t>
  </si>
  <si>
    <t>Lot 019575</t>
  </si>
  <si>
    <t>Lot 019576</t>
  </si>
  <si>
    <t>SO0001383</t>
  </si>
  <si>
    <t>Lot 019582</t>
  </si>
  <si>
    <t>369-000139</t>
  </si>
  <si>
    <t>Fredericia Kommune</t>
  </si>
  <si>
    <t>SO0001384</t>
  </si>
  <si>
    <t>Lot 019585</t>
  </si>
  <si>
    <t>Lot 019586</t>
  </si>
  <si>
    <t>Lot 019587</t>
  </si>
  <si>
    <t>369-000079</t>
  </si>
  <si>
    <t>Munck Asfalt A/S</t>
  </si>
  <si>
    <t>SO0001385</t>
  </si>
  <si>
    <t>Lot 019589</t>
  </si>
  <si>
    <t>SO0001386</t>
  </si>
  <si>
    <t>Lot 019591</t>
  </si>
  <si>
    <t>Lot 019592</t>
  </si>
  <si>
    <t>Lot 019593</t>
  </si>
  <si>
    <t>SO0001389</t>
  </si>
  <si>
    <t>Lot 019605</t>
  </si>
  <si>
    <t>Lot 019606</t>
  </si>
  <si>
    <t>Lot 019607</t>
  </si>
  <si>
    <t>Lot 019609</t>
  </si>
  <si>
    <t>SO0001390</t>
  </si>
  <si>
    <t>Lot 019610</t>
  </si>
  <si>
    <t>Lot 019611</t>
  </si>
  <si>
    <t>Lot 019613</t>
  </si>
  <si>
    <t>Lot 019614</t>
  </si>
  <si>
    <t>SO0001392</t>
  </si>
  <si>
    <t>Lot 019622</t>
  </si>
  <si>
    <t>Lot 019623</t>
  </si>
  <si>
    <t>SO0001397</t>
  </si>
  <si>
    <t>Lot 019647</t>
  </si>
  <si>
    <t>Lot 019648</t>
  </si>
  <si>
    <t>Lot 019649</t>
  </si>
  <si>
    <t>SO0001398</t>
  </si>
  <si>
    <t>Lot 019650</t>
  </si>
  <si>
    <t>Lot 019651</t>
  </si>
  <si>
    <t>Lot 019652</t>
  </si>
  <si>
    <t>SO0001399</t>
  </si>
  <si>
    <t>Lot 019653</t>
  </si>
  <si>
    <t>Lot 019654</t>
  </si>
  <si>
    <t>Lot 019655</t>
  </si>
  <si>
    <t>SO0001400</t>
  </si>
  <si>
    <t>Lot 019657</t>
  </si>
  <si>
    <t>Lot 019658</t>
  </si>
  <si>
    <t>Lot 019659</t>
  </si>
  <si>
    <t>SO0001402</t>
  </si>
  <si>
    <t>Lot 019729</t>
  </si>
  <si>
    <t>SO0001403</t>
  </si>
  <si>
    <t>Lot 019731</t>
  </si>
  <si>
    <t>369-000164</t>
  </si>
  <si>
    <t>Entreprenørfirmaet Gustav H. Christensen, Herning A/S</t>
  </si>
  <si>
    <t>SO0001404</t>
  </si>
  <si>
    <t>Lot 019733</t>
  </si>
  <si>
    <t>SO0001408</t>
  </si>
  <si>
    <t>Lot 020574</t>
  </si>
  <si>
    <t>SO0001409</t>
  </si>
  <si>
    <t>Lot 020575</t>
  </si>
  <si>
    <t>Lot 020576</t>
  </si>
  <si>
    <t>Lot 020577</t>
  </si>
  <si>
    <t>369-000147</t>
  </si>
  <si>
    <t>JLB Mark &amp; Asfalt AB</t>
  </si>
  <si>
    <t>SO0001410</t>
  </si>
  <si>
    <t>Lot 020579</t>
  </si>
  <si>
    <t>SO0001411</t>
  </si>
  <si>
    <t>Lot 020580</t>
  </si>
  <si>
    <t>Lot 020581</t>
  </si>
  <si>
    <t>Lot 020582</t>
  </si>
  <si>
    <t>SO0001412</t>
  </si>
  <si>
    <t>Lot 020583</t>
  </si>
  <si>
    <t>369-000039</t>
  </si>
  <si>
    <t>Pankas A/S</t>
  </si>
  <si>
    <t>SO0001413</t>
  </si>
  <si>
    <t>Lot 020587</t>
  </si>
  <si>
    <t>Lot 020588</t>
  </si>
  <si>
    <t>Lot 020589</t>
  </si>
  <si>
    <t>Lot 020590</t>
  </si>
  <si>
    <t>SO0001414</t>
  </si>
  <si>
    <t>Lot 020708</t>
  </si>
  <si>
    <t>Lot 020709</t>
  </si>
  <si>
    <t>Lot 020710</t>
  </si>
  <si>
    <t>Lot 020711</t>
  </si>
  <si>
    <t>SO0001415</t>
  </si>
  <si>
    <t>Lot 020713</t>
  </si>
  <si>
    <t>Lot 020714</t>
  </si>
  <si>
    <t>SO0001416</t>
  </si>
  <si>
    <t>Lot 020716</t>
  </si>
  <si>
    <t>369-000165</t>
  </si>
  <si>
    <t>Københavns Kommune</t>
  </si>
  <si>
    <t>SO0001418</t>
  </si>
  <si>
    <t>Lot 020950</t>
  </si>
  <si>
    <t>SO0001420</t>
  </si>
  <si>
    <t>Lot 020954</t>
  </si>
  <si>
    <t>SO0001421</t>
  </si>
  <si>
    <t>Lot 020956</t>
  </si>
  <si>
    <t>SO0001424</t>
  </si>
  <si>
    <t>Lot 020965</t>
  </si>
  <si>
    <t>Lot 020968</t>
  </si>
  <si>
    <t>SO0001429</t>
  </si>
  <si>
    <t>Lot 021052</t>
  </si>
  <si>
    <t>Lot 021053</t>
  </si>
  <si>
    <t>Lot 021054</t>
  </si>
  <si>
    <t>Lot 021064</t>
  </si>
  <si>
    <t>369-000132</t>
  </si>
  <si>
    <t>Haderslev Kommune</t>
  </si>
  <si>
    <t>SO0001431</t>
  </si>
  <si>
    <t>Lot 021058</t>
  </si>
  <si>
    <t>Lot 021059</t>
  </si>
  <si>
    <t>Lot 021060</t>
  </si>
  <si>
    <t>369-000023</t>
  </si>
  <si>
    <t>Peab Asfalt AB</t>
  </si>
  <si>
    <t>SO0001432</t>
  </si>
  <si>
    <t>Lot 021065</t>
  </si>
  <si>
    <t>SO0001436</t>
  </si>
  <si>
    <t>Lot 021084</t>
  </si>
  <si>
    <t>Lot 021085</t>
  </si>
  <si>
    <t>Lot 021086</t>
  </si>
  <si>
    <t>Lot 021087</t>
  </si>
  <si>
    <t>369-000032</t>
  </si>
  <si>
    <t>Svevia AB</t>
  </si>
  <si>
    <t>SO0001437</t>
  </si>
  <si>
    <t>Lot 021089</t>
  </si>
  <si>
    <t>Lot 021090</t>
  </si>
  <si>
    <t>Lot 021091</t>
  </si>
  <si>
    <t>SO0001438</t>
  </si>
  <si>
    <t>Lot 021093</t>
  </si>
  <si>
    <t>SO0001439</t>
  </si>
  <si>
    <t>Lot 021094</t>
  </si>
  <si>
    <t>SO0001440</t>
  </si>
  <si>
    <t>Lot 021095</t>
  </si>
  <si>
    <t>SO0001441</t>
  </si>
  <si>
    <t>Lot 021099</t>
  </si>
  <si>
    <t>Lot 021100</t>
  </si>
  <si>
    <t>Lot 021101</t>
  </si>
  <si>
    <t>Lot 021102</t>
  </si>
  <si>
    <t>Lot 021103</t>
  </si>
  <si>
    <t>Lot 021104</t>
  </si>
  <si>
    <t>SO0001443</t>
  </si>
  <si>
    <t>Lot 021110</t>
  </si>
  <si>
    <t>Lot 021111</t>
  </si>
  <si>
    <t>SO0001444</t>
  </si>
  <si>
    <t>Lot 021112</t>
  </si>
  <si>
    <t>Lot 021113</t>
  </si>
  <si>
    <t>SO0001446</t>
  </si>
  <si>
    <t>Lot 021123</t>
  </si>
  <si>
    <t>SO0001450</t>
  </si>
  <si>
    <t>Lot 021197</t>
  </si>
  <si>
    <t>SO0001451</t>
  </si>
  <si>
    <t>Lot 021199</t>
  </si>
  <si>
    <t>Lot 021200</t>
  </si>
  <si>
    <t>GLG009765</t>
  </si>
  <si>
    <t>S&amp;P Glasphalt G 65</t>
  </si>
  <si>
    <t>SO0001452</t>
  </si>
  <si>
    <t>Lot 021203</t>
  </si>
  <si>
    <t>SO0001455</t>
  </si>
  <si>
    <t>Lot 021210</t>
  </si>
  <si>
    <t>Lot 021211</t>
  </si>
  <si>
    <t>Lot 021212</t>
  </si>
  <si>
    <t>Lot 021213</t>
  </si>
  <si>
    <t>SO0001456</t>
  </si>
  <si>
    <t>Lot 021214</t>
  </si>
  <si>
    <t>Lot 021215</t>
  </si>
  <si>
    <t>Lot 021216</t>
  </si>
  <si>
    <t>Lot 021217</t>
  </si>
  <si>
    <t>SO0001457</t>
  </si>
  <si>
    <t>Lot 021218</t>
  </si>
  <si>
    <t>SO0001458</t>
  </si>
  <si>
    <t>Lot 021220</t>
  </si>
  <si>
    <t>SO0001459</t>
  </si>
  <si>
    <t>Lot 021222</t>
  </si>
  <si>
    <t>SO0001460</t>
  </si>
  <si>
    <t>Lot 021224</t>
  </si>
  <si>
    <t>CAG0195200</t>
  </si>
  <si>
    <t>Lot 021225</t>
  </si>
  <si>
    <t>Lot 021230</t>
  </si>
  <si>
    <t>SO0001462</t>
  </si>
  <si>
    <t>Lot 021231</t>
  </si>
  <si>
    <t>SO0001464</t>
  </si>
  <si>
    <t>Lot 021236</t>
  </si>
  <si>
    <t>369-000145</t>
  </si>
  <si>
    <t>Gentofte Kommune</t>
  </si>
  <si>
    <t>SO0001468</t>
  </si>
  <si>
    <t>Lot 021246</t>
  </si>
  <si>
    <t>Lot 021247</t>
  </si>
  <si>
    <t>Lot 021248</t>
  </si>
  <si>
    <t>SO0001472</t>
  </si>
  <si>
    <t>Lot 022171</t>
  </si>
  <si>
    <t>Lot 022172</t>
  </si>
  <si>
    <t>SO0001473</t>
  </si>
  <si>
    <t>Lot 024053</t>
  </si>
  <si>
    <t>SO0001474</t>
  </si>
  <si>
    <t>Lot 024056</t>
  </si>
  <si>
    <t>Lot 024057</t>
  </si>
  <si>
    <t>SO0001475</t>
  </si>
  <si>
    <t>Lot 024058</t>
  </si>
  <si>
    <t>Lot 024059</t>
  </si>
  <si>
    <t>Lot 024060</t>
  </si>
  <si>
    <t>SO0001476</t>
  </si>
  <si>
    <t>Lot 024062</t>
  </si>
  <si>
    <t>Lot 024063</t>
  </si>
  <si>
    <t>Lot 024064</t>
  </si>
  <si>
    <t>Lot 024065</t>
  </si>
  <si>
    <t>SO0001486</t>
  </si>
  <si>
    <t>Lot 024273</t>
  </si>
  <si>
    <t>SO0001500</t>
  </si>
  <si>
    <t>Lot 024377</t>
  </si>
  <si>
    <t>Lot 024378</t>
  </si>
  <si>
    <t>SO0001508</t>
  </si>
  <si>
    <t>Lot 025466</t>
  </si>
  <si>
    <t>Lot 025467</t>
  </si>
  <si>
    <t>369-000170</t>
  </si>
  <si>
    <t>Skåneblästring AB</t>
  </si>
  <si>
    <t>SO0001511</t>
  </si>
  <si>
    <t>Lot 025560</t>
  </si>
  <si>
    <t>SO0001512</t>
  </si>
  <si>
    <t>Lot 025566</t>
  </si>
  <si>
    <t>Lot 025567</t>
  </si>
  <si>
    <t>Lot 025599</t>
  </si>
  <si>
    <t>SO0001513</t>
  </si>
  <si>
    <t>Lot 025568</t>
  </si>
  <si>
    <t>SO0001514</t>
  </si>
  <si>
    <t>Lot 025570</t>
  </si>
  <si>
    <t>369-000173</t>
  </si>
  <si>
    <t>Brødrene A &amp; O Johansen A/S</t>
  </si>
  <si>
    <t>SO0001516</t>
  </si>
  <si>
    <t>Lot 025583</t>
  </si>
  <si>
    <t>SO0001517</t>
  </si>
  <si>
    <t>Lot 025585</t>
  </si>
  <si>
    <t>Lot 025586</t>
  </si>
  <si>
    <t>Lot 025587</t>
  </si>
  <si>
    <t>Lot 025588</t>
  </si>
  <si>
    <t>SO0001518</t>
  </si>
  <si>
    <t>Lot 025589</t>
  </si>
  <si>
    <t>SO0001524</t>
  </si>
  <si>
    <t>Lot 025629</t>
  </si>
  <si>
    <t>Lot 025630</t>
  </si>
  <si>
    <t>SO0001526</t>
  </si>
  <si>
    <t>Lot 025725</t>
  </si>
  <si>
    <t>Lot 025726</t>
  </si>
  <si>
    <t>SO0001528</t>
  </si>
  <si>
    <t>Lot 025734</t>
  </si>
  <si>
    <t>SO0001529</t>
  </si>
  <si>
    <t>Lot 025731</t>
  </si>
  <si>
    <t>SO0001530</t>
  </si>
  <si>
    <t>Lot 025746</t>
  </si>
  <si>
    <t>SO0001531</t>
  </si>
  <si>
    <t>Lot 025748</t>
  </si>
  <si>
    <t>SO0001534</t>
  </si>
  <si>
    <t>Lot 025754</t>
  </si>
  <si>
    <t>SO0001535</t>
  </si>
  <si>
    <t>Lot 025756</t>
  </si>
  <si>
    <t>SO0001536</t>
  </si>
  <si>
    <t>Lot 025757</t>
  </si>
  <si>
    <t>SO0001537</t>
  </si>
  <si>
    <t>Lot 025758</t>
  </si>
  <si>
    <t>Lot 025759</t>
  </si>
  <si>
    <t>369-000150</t>
  </si>
  <si>
    <t>Vejle Kommune</t>
  </si>
  <si>
    <t>SO0001538</t>
  </si>
  <si>
    <t>Lot 025760</t>
  </si>
  <si>
    <t>Lot 025761</t>
  </si>
  <si>
    <t>Lot 025763</t>
  </si>
  <si>
    <t>SO0001540</t>
  </si>
  <si>
    <t>Lot 025767</t>
  </si>
  <si>
    <t>SO0001543</t>
  </si>
  <si>
    <t>Lot 025785</t>
  </si>
  <si>
    <t>SO0001544</t>
  </si>
  <si>
    <t>Lot 025787</t>
  </si>
  <si>
    <t>SO0001545</t>
  </si>
  <si>
    <t>Lot 025789</t>
  </si>
  <si>
    <t>Lot 025790</t>
  </si>
  <si>
    <t>Lot 025791</t>
  </si>
  <si>
    <t>Lot 025792</t>
  </si>
  <si>
    <t>SO0001546</t>
  </si>
  <si>
    <t>Lot 025806</t>
  </si>
  <si>
    <t>Lot 025807</t>
  </si>
  <si>
    <t>Lot 025808</t>
  </si>
  <si>
    <t>SO0001547</t>
  </si>
  <si>
    <t>Lot 025809</t>
  </si>
  <si>
    <t>Lot 025810</t>
  </si>
  <si>
    <t>Lot 025873</t>
  </si>
  <si>
    <t>SO0001549</t>
  </si>
  <si>
    <t>Lot 025875</t>
  </si>
  <si>
    <t>SO0001550</t>
  </si>
  <si>
    <t>Lot 025877</t>
  </si>
  <si>
    <t>SO0001552</t>
  </si>
  <si>
    <t>Lot 027653</t>
  </si>
  <si>
    <t>SO0001554</t>
  </si>
  <si>
    <t>Lot 027921</t>
  </si>
  <si>
    <t>Lot 027922</t>
  </si>
  <si>
    <t>SO0001555</t>
  </si>
  <si>
    <t>Lot 027923</t>
  </si>
  <si>
    <t>SO0001556</t>
  </si>
  <si>
    <t>Lot 027925</t>
  </si>
  <si>
    <t>Lot 027926</t>
  </si>
  <si>
    <t>Lot 027927</t>
  </si>
  <si>
    <t>Lot 027928</t>
  </si>
  <si>
    <t>Lot 027929</t>
  </si>
  <si>
    <t>SO0001557</t>
  </si>
  <si>
    <t>Lot 027931</t>
  </si>
  <si>
    <t>SO0001559</t>
  </si>
  <si>
    <t>Lot 028059</t>
  </si>
  <si>
    <t>Lot 028060</t>
  </si>
  <si>
    <t>SO0001560</t>
  </si>
  <si>
    <t>Lot 028062</t>
  </si>
  <si>
    <t>Lot 028063</t>
  </si>
  <si>
    <t>SO0001561</t>
  </si>
  <si>
    <t>Lot 028065</t>
  </si>
  <si>
    <t>Lot 028066</t>
  </si>
  <si>
    <t>SO0001564</t>
  </si>
  <si>
    <t>Lot 028080</t>
  </si>
  <si>
    <t>Lot 028120</t>
  </si>
  <si>
    <t>SO0001571</t>
  </si>
  <si>
    <t>Lot 028117</t>
  </si>
  <si>
    <t>SO0001572</t>
  </si>
  <si>
    <t>Lot 028121</t>
  </si>
  <si>
    <t>SO0001573</t>
  </si>
  <si>
    <t>Lot 028123</t>
  </si>
  <si>
    <t>SO0001574</t>
  </si>
  <si>
    <t>Lot 028125</t>
  </si>
  <si>
    <t>Lot 028126</t>
  </si>
  <si>
    <t>SO0001575</t>
  </si>
  <si>
    <t>Lot 028127</t>
  </si>
  <si>
    <t>Lot 028128</t>
  </si>
  <si>
    <t>Lot 028129</t>
  </si>
  <si>
    <t>SO0001576</t>
  </si>
  <si>
    <t>Lot 028130</t>
  </si>
  <si>
    <t>Lot 028131</t>
  </si>
  <si>
    <t>Lot 028134</t>
  </si>
  <si>
    <t>SO0001577</t>
  </si>
  <si>
    <t>Lot 028136</t>
  </si>
  <si>
    <t>SO0001579</t>
  </si>
  <si>
    <t>Lot 028192</t>
  </si>
  <si>
    <t>GLG0125120</t>
  </si>
  <si>
    <t>Lot 028287</t>
  </si>
  <si>
    <t>Lot 030522</t>
  </si>
  <si>
    <t>Lot 030523</t>
  </si>
  <si>
    <t>Lot 030545</t>
  </si>
  <si>
    <t>SO0001580</t>
  </si>
  <si>
    <t>Lot 028202</t>
  </si>
  <si>
    <t>Lot 028203</t>
  </si>
  <si>
    <t>Lot 028206</t>
  </si>
  <si>
    <t>Lot 028517</t>
  </si>
  <si>
    <t>SO0001581</t>
  </si>
  <si>
    <t>Lot 028211</t>
  </si>
  <si>
    <t>Lot 028212</t>
  </si>
  <si>
    <t>Lot 028213</t>
  </si>
  <si>
    <t>Lot 028215</t>
  </si>
  <si>
    <t>SO0001583</t>
  </si>
  <si>
    <t>Lot 028224</t>
  </si>
  <si>
    <t>SO0001584</t>
  </si>
  <si>
    <t>Lot 028232</t>
  </si>
  <si>
    <t>SO0001587</t>
  </si>
  <si>
    <t>Lot 028241</t>
  </si>
  <si>
    <t>Lot 028242</t>
  </si>
  <si>
    <t>Lot 028243</t>
  </si>
  <si>
    <t>Lot 028357</t>
  </si>
  <si>
    <t>SO0001588</t>
  </si>
  <si>
    <t>Lot 028264</t>
  </si>
  <si>
    <t>SO0001589</t>
  </si>
  <si>
    <t>Lot 028265</t>
  </si>
  <si>
    <t>Lot 028266</t>
  </si>
  <si>
    <t>Lot 028267</t>
  </si>
  <si>
    <t>Lot 028268</t>
  </si>
  <si>
    <t>SO0001590</t>
  </si>
  <si>
    <t>Lot 028279</t>
  </si>
  <si>
    <t>Lot 028284</t>
  </si>
  <si>
    <t>SO0001591</t>
  </si>
  <si>
    <t>Lot 028285</t>
  </si>
  <si>
    <t>SO0001596</t>
  </si>
  <si>
    <t>Lot 028363</t>
  </si>
  <si>
    <t>SO0001597</t>
  </si>
  <si>
    <t>Lot 028368</t>
  </si>
  <si>
    <t>Lot 028369</t>
  </si>
  <si>
    <t>SO0001598</t>
  </si>
  <si>
    <t>Lot 028370</t>
  </si>
  <si>
    <t>SO0001599</t>
  </si>
  <si>
    <t>Lot 028372</t>
  </si>
  <si>
    <t>SO0001600</t>
  </si>
  <si>
    <t>Lot 028376</t>
  </si>
  <si>
    <t>SO0001605</t>
  </si>
  <si>
    <t>Lot 028395</t>
  </si>
  <si>
    <t>Lot 028396</t>
  </si>
  <si>
    <t>Lot 028397</t>
  </si>
  <si>
    <t>SO0001612</t>
  </si>
  <si>
    <t>Lot 028416</t>
  </si>
  <si>
    <t>Lot 028417</t>
  </si>
  <si>
    <t>Lot 028418</t>
  </si>
  <si>
    <t>Lot 028419</t>
  </si>
  <si>
    <t>Lot 028420</t>
  </si>
  <si>
    <t>Lot 028421</t>
  </si>
  <si>
    <t>SO0001614</t>
  </si>
  <si>
    <t>Lot 028429</t>
  </si>
  <si>
    <t>Lot 028430</t>
  </si>
  <si>
    <t>Lot 028438</t>
  </si>
  <si>
    <t>Lot 028439</t>
  </si>
  <si>
    <t>Lot 028441</t>
  </si>
  <si>
    <t>SO0001615</t>
  </si>
  <si>
    <t>Lot 028442</t>
  </si>
  <si>
    <t>Lot 028443</t>
  </si>
  <si>
    <t>Lot 028445</t>
  </si>
  <si>
    <t>SO0001618</t>
  </si>
  <si>
    <t>Lot 028506</t>
  </si>
  <si>
    <t>Lot 028507</t>
  </si>
  <si>
    <t>Lot 028509</t>
  </si>
  <si>
    <t>SO0001619</t>
  </si>
  <si>
    <t>Lot 028513</t>
  </si>
  <si>
    <t>SO0001620</t>
  </si>
  <si>
    <t>Lot 028515</t>
  </si>
  <si>
    <t>369-000166</t>
  </si>
  <si>
    <t>Helsingør Kommune</t>
  </si>
  <si>
    <t>SO0001621</t>
  </si>
  <si>
    <t>Lot 028518</t>
  </si>
  <si>
    <t>Lot 028519</t>
  </si>
  <si>
    <t>Lot 028520</t>
  </si>
  <si>
    <t>Lot 028522</t>
  </si>
  <si>
    <t>SO0001623</t>
  </si>
  <si>
    <t>Lot 028532</t>
  </si>
  <si>
    <t>SO0001628</t>
  </si>
  <si>
    <t>Lot 030500</t>
  </si>
  <si>
    <t>SO0001629</t>
  </si>
  <si>
    <t>Lot 030505</t>
  </si>
  <si>
    <t>369-000183</t>
  </si>
  <si>
    <t>Huscompagniet</t>
  </si>
  <si>
    <t>SO0001630</t>
  </si>
  <si>
    <t>Lot 030506</t>
  </si>
  <si>
    <t>Lot 030507</t>
  </si>
  <si>
    <t>Lot 030508</t>
  </si>
  <si>
    <t>SO0001637</t>
  </si>
  <si>
    <t>Lot 030532</t>
  </si>
  <si>
    <t>Lot 030533</t>
  </si>
  <si>
    <t>SO0001638</t>
  </si>
  <si>
    <t>Lot 030534</t>
  </si>
  <si>
    <t>SO0001641</t>
  </si>
  <si>
    <t>Lot 030552</t>
  </si>
  <si>
    <t>Lot 030553</t>
  </si>
  <si>
    <t>SO0001642</t>
  </si>
  <si>
    <t>Lot 030555</t>
  </si>
  <si>
    <t>SO0001645</t>
  </si>
  <si>
    <t>Lot 030572</t>
  </si>
  <si>
    <t>SO0001648</t>
  </si>
  <si>
    <t>Lot 030582</t>
  </si>
  <si>
    <t>SO0001649</t>
  </si>
  <si>
    <t>Lot 030583</t>
  </si>
  <si>
    <t>SO0001651</t>
  </si>
  <si>
    <t>Lot 030664</t>
  </si>
  <si>
    <t>Lot 030665</t>
  </si>
  <si>
    <t>Lot 030666</t>
  </si>
  <si>
    <t>Lot 030668</t>
  </si>
  <si>
    <t>SO0001652</t>
  </si>
  <si>
    <t>Lot 030669</t>
  </si>
  <si>
    <t>Lot 030670</t>
  </si>
  <si>
    <t>Lot 030671</t>
  </si>
  <si>
    <t>Lot 030673</t>
  </si>
  <si>
    <t>SO0001653</t>
  </si>
  <si>
    <t>Lot 030674</t>
  </si>
  <si>
    <t>Lot 030675</t>
  </si>
  <si>
    <t>Lot 030677</t>
  </si>
  <si>
    <t>SO0001654</t>
  </si>
  <si>
    <t>Lot 030678</t>
  </si>
  <si>
    <t>Lot 030679</t>
  </si>
  <si>
    <t>Lot 030680</t>
  </si>
  <si>
    <t>SO0001655</t>
  </si>
  <si>
    <t>Lot 030682</t>
  </si>
  <si>
    <t>Lot 030683</t>
  </si>
  <si>
    <t>Lot 030684</t>
  </si>
  <si>
    <t>Lot 030685</t>
  </si>
  <si>
    <t>Lot 030686</t>
  </si>
  <si>
    <t>Lot 030687</t>
  </si>
  <si>
    <t>SO0001656</t>
  </si>
  <si>
    <t>Lot 030689</t>
  </si>
  <si>
    <t>Lot 030690</t>
  </si>
  <si>
    <t>Lot 030691</t>
  </si>
  <si>
    <t>Lot 030692</t>
  </si>
  <si>
    <t>Lot 030693</t>
  </si>
  <si>
    <t>Lot 030694</t>
  </si>
  <si>
    <t>SO0001660</t>
  </si>
  <si>
    <t>Lot 030705</t>
  </si>
  <si>
    <t>Lot 030706</t>
  </si>
  <si>
    <t>Lot 030707</t>
  </si>
  <si>
    <t>SO0001661</t>
  </si>
  <si>
    <t>Lot 030709</t>
  </si>
  <si>
    <t>Lot 030710</t>
  </si>
  <si>
    <t>Lot 030711</t>
  </si>
  <si>
    <t>Lot 030712</t>
  </si>
  <si>
    <t>SO0001663</t>
  </si>
  <si>
    <t>Lot 030724</t>
  </si>
  <si>
    <t>Lot 030725</t>
  </si>
  <si>
    <t>Lot 030726</t>
  </si>
  <si>
    <t>Lot 030728</t>
  </si>
  <si>
    <t>SO0001664</t>
  </si>
  <si>
    <t>Lot 030736</t>
  </si>
  <si>
    <t>Lot 030737</t>
  </si>
  <si>
    <t>SO0001668</t>
  </si>
  <si>
    <t>Lot 030742</t>
  </si>
  <si>
    <t>SO0001669</t>
  </si>
  <si>
    <t>Lot 030744</t>
  </si>
  <si>
    <t>Lot 030745</t>
  </si>
  <si>
    <t>Lot 030746</t>
  </si>
  <si>
    <t>Lot 030747</t>
  </si>
  <si>
    <t>369-000186</t>
  </si>
  <si>
    <t>Entreprenør Peter Mortensen ApS</t>
  </si>
  <si>
    <t>SO0001670</t>
  </si>
  <si>
    <t>Lot 030749</t>
  </si>
  <si>
    <t>Lot 030750</t>
  </si>
  <si>
    <t>Lot 030751</t>
  </si>
  <si>
    <t>369-000123</t>
  </si>
  <si>
    <t>Kolding Kommune</t>
  </si>
  <si>
    <t>SO0001674</t>
  </si>
  <si>
    <t>Lot 030757</t>
  </si>
  <si>
    <t>Lot 030758</t>
  </si>
  <si>
    <t>Lot 030759</t>
  </si>
  <si>
    <t>Lot 030761</t>
  </si>
  <si>
    <t>SO0001675</t>
  </si>
  <si>
    <t>Lot 030762</t>
  </si>
  <si>
    <t>Lot 030763</t>
  </si>
  <si>
    <t>Lot 030765</t>
  </si>
  <si>
    <t>Lot 030766</t>
  </si>
  <si>
    <t>Lot 030909</t>
  </si>
  <si>
    <t>SO0001678</t>
  </si>
  <si>
    <t>Lot 030835</t>
  </si>
  <si>
    <t>SO0001679</t>
  </si>
  <si>
    <t>Lot 030836</t>
  </si>
  <si>
    <t>Lot 030837</t>
  </si>
  <si>
    <t>SO0001682</t>
  </si>
  <si>
    <t>Lot 030854</t>
  </si>
  <si>
    <t>Lot 030855</t>
  </si>
  <si>
    <t>SO0001683</t>
  </si>
  <si>
    <t>Lot 030857</t>
  </si>
  <si>
    <t>Lot 030858</t>
  </si>
  <si>
    <t>Lot 030859</t>
  </si>
  <si>
    <t>Lot 030861</t>
  </si>
  <si>
    <t>SO0001684</t>
  </si>
  <si>
    <t>Lot 030862</t>
  </si>
  <si>
    <t>Lot 030863</t>
  </si>
  <si>
    <t>Lot 030864</t>
  </si>
  <si>
    <t>Lot 030866</t>
  </si>
  <si>
    <t>SO0001685</t>
  </si>
  <si>
    <t>Lot 030867</t>
  </si>
  <si>
    <t>Lot 030868</t>
  </si>
  <si>
    <t>SO0001689</t>
  </si>
  <si>
    <t>Lot 030878</t>
  </si>
  <si>
    <t>SO0001693</t>
  </si>
  <si>
    <t>Lot 030894</t>
  </si>
  <si>
    <t>Lot 030895</t>
  </si>
  <si>
    <t>Lot 030896</t>
  </si>
  <si>
    <t>SO0001694</t>
  </si>
  <si>
    <t>Lot 030898</t>
  </si>
  <si>
    <t>Lot 030899</t>
  </si>
  <si>
    <t>Lot 030900</t>
  </si>
  <si>
    <t>SO0001697</t>
  </si>
  <si>
    <t>Lot 030906</t>
  </si>
  <si>
    <t>SO0001700</t>
  </si>
  <si>
    <t>Lot 031897</t>
  </si>
  <si>
    <t>SO0001703</t>
  </si>
  <si>
    <t>Lot 031903</t>
  </si>
  <si>
    <t>SO0001707</t>
  </si>
  <si>
    <t>Lot 031913</t>
  </si>
  <si>
    <t>SO0001717</t>
  </si>
  <si>
    <t>Lot 032090</t>
  </si>
  <si>
    <t>Lot 032091</t>
  </si>
  <si>
    <t>Lot 032092</t>
  </si>
  <si>
    <t>SO0001718</t>
  </si>
  <si>
    <t>Lot 032093</t>
  </si>
  <si>
    <t>Lot 032094</t>
  </si>
  <si>
    <t>Lot 032095</t>
  </si>
  <si>
    <t>SO0001719</t>
  </si>
  <si>
    <t>Lot 032096</t>
  </si>
  <si>
    <t>Lot 032097</t>
  </si>
  <si>
    <t>Lot 032098</t>
  </si>
  <si>
    <t>Lot 032099</t>
  </si>
  <si>
    <t>SO0001720</t>
  </si>
  <si>
    <t>Lot 032101</t>
  </si>
  <si>
    <t>Lot 032102</t>
  </si>
  <si>
    <t>Lot 032103</t>
  </si>
  <si>
    <t>Lot 032104</t>
  </si>
  <si>
    <t>ACMOPPRC019</t>
  </si>
  <si>
    <t>AM20020019550</t>
  </si>
  <si>
    <t>AMANC600ALU</t>
  </si>
  <si>
    <t>AMC200097050</t>
  </si>
  <si>
    <t>AML200195050</t>
  </si>
  <si>
    <t>AML500195050</t>
  </si>
  <si>
    <t>AML600195050</t>
  </si>
  <si>
    <t>AMMIETG980</t>
  </si>
  <si>
    <t>ANGF150070AR</t>
  </si>
  <si>
    <t>ANGF220100AR</t>
  </si>
  <si>
    <t>ARAPTOOL001</t>
  </si>
  <si>
    <t>ARAPTOOL002</t>
  </si>
  <si>
    <t>ARMODRY030</t>
  </si>
  <si>
    <t>ARMOWET025</t>
  </si>
  <si>
    <t>ARMOWET025RB</t>
  </si>
  <si>
    <t>ARMOWET025RQ</t>
  </si>
  <si>
    <t>ARMOWET025RS</t>
  </si>
  <si>
    <t>ARMOWET025-SP</t>
  </si>
  <si>
    <t>AS120290300</t>
  </si>
  <si>
    <t>AS120420300</t>
  </si>
  <si>
    <t>AS120650300</t>
  </si>
  <si>
    <t>ASMIETG990</t>
  </si>
  <si>
    <t>BOAXII12070020A4</t>
  </si>
  <si>
    <t>BOAXII12070065</t>
  </si>
  <si>
    <t>BOAXII16085020A4</t>
  </si>
  <si>
    <t>C1RO 8A00 0001</t>
  </si>
  <si>
    <t>C1RO 8A00 CUST</t>
  </si>
  <si>
    <t>CDAS-CR8- CU</t>
  </si>
  <si>
    <t>CDAS-CR8- GP</t>
  </si>
  <si>
    <t>CDAS-CR8-ABSS</t>
  </si>
  <si>
    <t>CDAS-CR8-ABTS</t>
  </si>
  <si>
    <t>CDAS-CR8-BA</t>
  </si>
  <si>
    <t>CDAS-CR8-BNW16</t>
  </si>
  <si>
    <t>CDAS-CR8-DM</t>
  </si>
  <si>
    <t>CDAS-CR8-TT</t>
  </si>
  <si>
    <t>CDAS-CR8-WA</t>
  </si>
  <si>
    <t>CS240200300</t>
  </si>
  <si>
    <t>CS240200600</t>
  </si>
  <si>
    <t>CS240300200</t>
  </si>
  <si>
    <t>CS240300300</t>
  </si>
  <si>
    <t>CS240300600</t>
  </si>
  <si>
    <t>CS240350300</t>
  </si>
  <si>
    <t>CS240400200</t>
  </si>
  <si>
    <t>CS240400300</t>
  </si>
  <si>
    <t>CS240400600</t>
  </si>
  <si>
    <t>CS240600300</t>
  </si>
  <si>
    <t>CS640400300</t>
  </si>
  <si>
    <t>FACAPEX001</t>
  </si>
  <si>
    <t>FX225_rb</t>
  </si>
  <si>
    <t>FX225-SP</t>
  </si>
  <si>
    <t>FX706MPAB133</t>
  </si>
  <si>
    <t>FX706MPC25</t>
  </si>
  <si>
    <t>FX70-JKT-A3MM</t>
  </si>
  <si>
    <t>FX70-SUP</t>
  </si>
  <si>
    <t>FX76305EU</t>
  </si>
  <si>
    <t>FX763CTGEU</t>
  </si>
  <si>
    <t>FXBR20-LM</t>
  </si>
  <si>
    <t>FXSCREWS500</t>
  </si>
  <si>
    <t>FXSPACER15-50</t>
  </si>
  <si>
    <t>FXSPACERXX</t>
  </si>
  <si>
    <t>FXSPATPE</t>
  </si>
  <si>
    <t>GLG0050120</t>
  </si>
  <si>
    <t>GLG0065120</t>
  </si>
  <si>
    <t>GLG0075120</t>
  </si>
  <si>
    <t>GLG0087120</t>
  </si>
  <si>
    <t>GLG0100120</t>
  </si>
  <si>
    <t>GLG0100SBR_obs</t>
  </si>
  <si>
    <t>GLG0195120GV</t>
  </si>
  <si>
    <t>GLGBMTAPE1015</t>
  </si>
  <si>
    <t>GSAR0505067</t>
  </si>
  <si>
    <t>GSE0505067</t>
  </si>
  <si>
    <t>GSE09010A67</t>
  </si>
  <si>
    <t>GSE09010B67</t>
  </si>
  <si>
    <t>IM080F</t>
  </si>
  <si>
    <t>LA15001014</t>
  </si>
  <si>
    <t>LA15001028</t>
  </si>
  <si>
    <t>LA15001525</t>
  </si>
  <si>
    <t>LA15002014</t>
  </si>
  <si>
    <t>LA15002017</t>
  </si>
  <si>
    <t>LA15005012</t>
  </si>
  <si>
    <t>LA15005014</t>
  </si>
  <si>
    <t>LA15006014</t>
  </si>
  <si>
    <t>LA15008012</t>
  </si>
  <si>
    <t>LA15008014</t>
  </si>
  <si>
    <t>LA15009014</t>
  </si>
  <si>
    <t>LA15010012</t>
  </si>
  <si>
    <t>LA15010014</t>
  </si>
  <si>
    <t>LA15012012</t>
  </si>
  <si>
    <t>LA15012014</t>
  </si>
  <si>
    <t>LA15015012</t>
  </si>
  <si>
    <t>LA15015014</t>
  </si>
  <si>
    <t>LA20002014</t>
  </si>
  <si>
    <t>LA20005014</t>
  </si>
  <si>
    <t>LA20006014</t>
  </si>
  <si>
    <t>LA20008014</t>
  </si>
  <si>
    <t>LA20009014</t>
  </si>
  <si>
    <t>LA20010014</t>
  </si>
  <si>
    <t>LA20012014</t>
  </si>
  <si>
    <t>LACAFIBROD12-2M</t>
  </si>
  <si>
    <t>LACAFIBROD12-6M</t>
  </si>
  <si>
    <t>LACLEAN002</t>
  </si>
  <si>
    <t>LACLEAN010</t>
  </si>
  <si>
    <t>LACLEAN025</t>
  </si>
  <si>
    <t>LAENACS050</t>
  </si>
  <si>
    <t>LAENACS060</t>
  </si>
  <si>
    <t>LAENACS080</t>
  </si>
  <si>
    <t>LAENACS090</t>
  </si>
  <si>
    <t>LAENACS100</t>
  </si>
  <si>
    <t>LAENACS120</t>
  </si>
  <si>
    <t>LAENACS150</t>
  </si>
  <si>
    <t>LAFRPTO001</t>
  </si>
  <si>
    <t>LAFRPTO001F</t>
  </si>
  <si>
    <t>LAFRPTO001F1</t>
  </si>
  <si>
    <t>LAFRPTO002</t>
  </si>
  <si>
    <t>LAFRPTO002F1</t>
  </si>
  <si>
    <t>LAQUARZ015</t>
  </si>
  <si>
    <t>LARES23030</t>
  </si>
  <si>
    <t>LARES230HP30</t>
  </si>
  <si>
    <t>LARESI22005</t>
  </si>
  <si>
    <t>LARESI22015</t>
  </si>
  <si>
    <t>LARESI220HP05</t>
  </si>
  <si>
    <t>LARESI220HP15</t>
  </si>
  <si>
    <t>LARESI230AB</t>
  </si>
  <si>
    <t>LARESI230HPAB</t>
  </si>
  <si>
    <t>Legal - labor</t>
  </si>
  <si>
    <t>Legal - other</t>
  </si>
  <si>
    <t>Maint - equip</t>
  </si>
  <si>
    <t>Maint - facility</t>
  </si>
  <si>
    <t>Maint - office equip</t>
  </si>
  <si>
    <t>Maint - vehicles</t>
  </si>
  <si>
    <t>Materials - freight</t>
  </si>
  <si>
    <t>Meals &amp; entertainmen</t>
  </si>
  <si>
    <t>MO075F</t>
  </si>
  <si>
    <t>PERSPEZ985</t>
  </si>
  <si>
    <t>Phone - office</t>
  </si>
  <si>
    <t>Postage</t>
  </si>
  <si>
    <t>Prof svc - audit</t>
  </si>
  <si>
    <t>Prof svc - emp agent</t>
  </si>
  <si>
    <t>Prof svc - other</t>
  </si>
  <si>
    <t>Prof svc - prod test</t>
  </si>
  <si>
    <t>Prof svc - tax</t>
  </si>
  <si>
    <t>Relocation - emp</t>
  </si>
  <si>
    <t>Rent</t>
  </si>
  <si>
    <t>RONEPES500100_OLD</t>
  </si>
  <si>
    <t>Services - cleaning</t>
  </si>
  <si>
    <t>Services - janitoria</t>
  </si>
  <si>
    <t>Services - other</t>
  </si>
  <si>
    <t>Services - security</t>
  </si>
  <si>
    <t>SHRESEPO55</t>
  </si>
  <si>
    <t>SHRESEPO55HP</t>
  </si>
  <si>
    <t>SHRESEPO55HP6KG</t>
  </si>
  <si>
    <t>SHRESICEHP010</t>
  </si>
  <si>
    <t>SHRESICEMHPF</t>
  </si>
  <si>
    <t>SHRESICHPA042</t>
  </si>
  <si>
    <t>SHRESICHPB018</t>
  </si>
  <si>
    <t>SHTEFROL06030</t>
  </si>
  <si>
    <t>SHTEFROL07030</t>
  </si>
  <si>
    <t>SHTEFROL09030</t>
  </si>
  <si>
    <t>SHTEFROL12030</t>
  </si>
  <si>
    <t>SHTEFROL13030</t>
  </si>
  <si>
    <t>SHWETLAYMANUF1</t>
  </si>
  <si>
    <t>Stretch wrap</t>
  </si>
  <si>
    <t>Subscript - emp ads</t>
  </si>
  <si>
    <t>Supplies - clean</t>
  </si>
  <si>
    <t>Supplies - cons.</t>
  </si>
  <si>
    <t>Supplies - health</t>
  </si>
  <si>
    <t>Supplies - jigs/fix</t>
  </si>
  <si>
    <t>Supplies - lube</t>
  </si>
  <si>
    <t>Supplies - maint</t>
  </si>
  <si>
    <t>Supplies - office</t>
  </si>
  <si>
    <t>Supplies - other</t>
  </si>
  <si>
    <t>Supplies - tooling</t>
  </si>
  <si>
    <t>Taxes - property</t>
  </si>
  <si>
    <t>Tooling - maint</t>
  </si>
  <si>
    <t>Tooling - new</t>
  </si>
  <si>
    <t>TPP</t>
  </si>
  <si>
    <t>Trade - booth</t>
  </si>
  <si>
    <t>Trade - other</t>
  </si>
  <si>
    <t>Travel</t>
  </si>
  <si>
    <t>TRSPEDI001</t>
  </si>
  <si>
    <t>Utilities - electric</t>
  </si>
  <si>
    <t>Utilities - gas</t>
  </si>
  <si>
    <t>Utilitites - water</t>
  </si>
  <si>
    <t>VEDI670001</t>
  </si>
  <si>
    <t>VERDIE0621</t>
  </si>
  <si>
    <t>VERDIE0622</t>
  </si>
  <si>
    <t>VERDIE0623</t>
  </si>
  <si>
    <t>VERDIE0624</t>
  </si>
  <si>
    <t>VERDIE0625</t>
  </si>
  <si>
    <t>VERDIE0626</t>
  </si>
  <si>
    <t>VERDIE0627</t>
  </si>
  <si>
    <t>VERDIE0628</t>
  </si>
  <si>
    <t>VERDIE0629</t>
  </si>
  <si>
    <t>VERDIE0630</t>
  </si>
  <si>
    <t>VERDIE0631</t>
  </si>
  <si>
    <t>VERDIE0632</t>
  </si>
  <si>
    <t>VERDIE0633</t>
  </si>
  <si>
    <t>VERDIE0634</t>
  </si>
  <si>
    <t>VERDIE0635</t>
  </si>
  <si>
    <t>VERDIE0637</t>
  </si>
  <si>
    <t>VERDIE0638</t>
  </si>
  <si>
    <t>VERDIE0641</t>
  </si>
  <si>
    <t>VERDIE0642</t>
  </si>
  <si>
    <t>VERDIE0643</t>
  </si>
  <si>
    <t>VERDIE0645</t>
  </si>
  <si>
    <t>VERDIE0646</t>
  </si>
  <si>
    <t>VERDIE0647</t>
  </si>
  <si>
    <t>VERDIE0648</t>
  </si>
  <si>
    <t>VERDIE0649</t>
  </si>
  <si>
    <t>VERDIE0650</t>
  </si>
  <si>
    <t>VERDIE0651</t>
  </si>
  <si>
    <t>VERDIE0652</t>
  </si>
  <si>
    <t>VERDIE0653</t>
  </si>
  <si>
    <t>VERDIE0654</t>
  </si>
  <si>
    <t>VERDIE0656</t>
  </si>
  <si>
    <t>VERDIE0657</t>
  </si>
  <si>
    <t>VERDIE0659</t>
  </si>
  <si>
    <t>VERDIE0661</t>
  </si>
  <si>
    <t>VERDIE0662</t>
  </si>
  <si>
    <t>W/H transfer - frt</t>
  </si>
  <si>
    <t>Warehousing</t>
  </si>
  <si>
    <t>Waste Disposal</t>
  </si>
  <si>
    <t>ZINC STB</t>
  </si>
  <si>
    <t>Inventory module parameters</t>
  </si>
  <si>
    <t>M</t>
  </si>
  <si>
    <t>KG</t>
  </si>
  <si>
    <t>Unit conversion</t>
  </si>
  <si>
    <t>From unit</t>
  </si>
  <si>
    <t>Factor</t>
  </si>
  <si>
    <t>Additional quantity</t>
  </si>
  <si>
    <t>To unit</t>
  </si>
  <si>
    <t>Round-off</t>
  </si>
  <si>
    <t>V7</t>
  </si>
  <si>
    <t>Add quantity by inventory unit. Notice that this report only accept one company a time</t>
  </si>
  <si>
    <t>TT.MM.JJJJ</t>
  </si>
  <si>
    <t>no 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</si>
</sst>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 * #,##0.00_ ;_ * \-#,##0.00_ ;_ * &quot;-&quot;??_ ;_ @_ "/>
    <numFmt numFmtId="164" formatCode="_-* #,##0.00\ _€_-;\-* #,##0.00\ _€_-;_-* &quot;-&quot;??\ _€_-;_-@_-"/>
  </numFmts>
  <fonts count="8"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Symbol"/>
      <family val="1"/>
      <charset val="2"/>
    </font>
    <font>
      <sz val="7"/>
      <color theme="1"/>
      <name val="Times New Roman"/>
      <family val="1"/>
    </font>
    <font>
      <sz val="9"/>
      <name val="Calibri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</cellStyleXfs>
  <cellXfs count="17">
    <xf numFmtId="0" fontId="0" fillId="0" borderId="0" xfId="0"/>
    <xf numFmtId="0" fontId="1" fillId="0" borderId="0" xfId="1"/>
    <xf numFmtId="0" fontId="0" fillId="0" borderId="0" xfId="0" applyNumberFormat="1" applyAlignment="1"/>
    <xf numFmtId="0" fontId="0" fillId="0" borderId="0" xfId="0" quotePrefix="1" applyNumberFormat="1" applyAlignment="1"/>
    <xf numFmtId="0" fontId="2" fillId="0" borderId="0" xfId="0" quotePrefix="1" applyNumberFormat="1" applyFont="1" applyAlignment="1"/>
    <xf numFmtId="0" fontId="2" fillId="0" borderId="0" xfId="0" applyNumberFormat="1" applyFont="1" applyAlignment="1"/>
    <xf numFmtId="14" fontId="0" fillId="0" borderId="0" xfId="0" applyNumberFormat="1" applyAlignment="1"/>
    <xf numFmtId="14" fontId="2" fillId="0" borderId="0" xfId="0" applyNumberFormat="1" applyFont="1" applyAlignment="1"/>
    <xf numFmtId="43" fontId="0" fillId="0" borderId="0" xfId="2" applyFont="1"/>
    <xf numFmtId="9" fontId="0" fillId="0" borderId="0" xfId="3" applyFont="1"/>
    <xf numFmtId="0" fontId="0" fillId="2" borderId="0" xfId="0" applyFill="1"/>
    <xf numFmtId="14" fontId="0" fillId="2" borderId="0" xfId="0" applyNumberFormat="1" applyFill="1"/>
    <xf numFmtId="14" fontId="0" fillId="0" borderId="0" xfId="0" applyNumberFormat="1"/>
    <xf numFmtId="0" fontId="0" fillId="3" borderId="0" xfId="0" applyFill="1"/>
    <xf numFmtId="0" fontId="5" fillId="0" borderId="0" xfId="0" applyFont="1" applyAlignment="1">
      <alignment horizontal="left" vertical="center" indent="5"/>
    </xf>
    <xf numFmtId="164" fontId="0" fillId="0" borderId="0" xfId="0" applyNumberFormat="1" applyAlignment="1"/>
    <xf numFmtId="164" fontId="2" fillId="0" borderId="0" xfId="0" applyNumberFormat="1" applyFont="1" applyAlignment="1"/>
  </cellXfs>
  <cellStyles count="4">
    <cellStyle name="Comma" xfId="2" builtinId="3"/>
    <cellStyle name="Normal" xfId="0" builtinId="0"/>
    <cellStyle name="Percent" xfId="3" builtinId="5"/>
    <cellStyle name="Title" xfId="1" builtinId="15"/>
  </cellStyles>
  <dxfs count="4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_-* #,##0.00\ _€_-;\-* #,##0.00\ _€_-;_-* &quot;-&quot;??\ _€_-;_-@_-"/>
      <alignment horizontal="general" vertical="bottom" textRotation="0" wrapText="0" indent="0" justifyLastLine="0" shrinkToFit="0" readingOrder="0"/>
    </dxf>
    <dxf>
      <numFmt numFmtId="164" formatCode="_-* #,##0.00\ _€_-;\-* #,##0.00\ _€_-;_-* &quot;-&quot;??\ _€_-;_-@_-"/>
      <alignment horizontal="general" vertical="bottom" textRotation="0" wrapText="0" indent="0" justifyLastLine="0" shrinkToFit="0" readingOrder="0"/>
    </dxf>
    <dxf>
      <numFmt numFmtId="164" formatCode="_-* #,##0.00\ _€_-;\-* #,##0.00\ _€_-;_-* &quot;-&quot;??\ _€_-;_-@_-"/>
      <alignment horizontal="general" vertical="bottom" textRotation="0" wrapText="0" indent="0" justifyLastLine="0" shrinkToFit="0" readingOrder="0"/>
    </dxf>
    <dxf>
      <numFmt numFmtId="164" formatCode="_-* #,##0.00\ _€_-;\-* #,##0.00\ _€_-;_-* &quot;-&quot;??\ _€_-;_-@_-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19" formatCode="dd/mm/yyyy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_-* #,##0.00\ _€_-;\-* #,##0.00\ _€_-;_-* &quot;-&quot;??\ _€_-;_-@_-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_-* #,##0.00\ _€_-;\-* #,##0.00\ _€_-;_-* &quot;-&quot;??\ _€_-;_-@_-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dd/mm/yyyy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17" Type="http://schemas.openxmlformats.org/officeDocument/2006/relationships/customXml" Target="../customXml/item7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6</xdr:row>
          <xdr:rowOff>0</xdr:rowOff>
        </xdr:from>
        <xdr:to>
          <xdr:col>10</xdr:col>
          <xdr:colOff>600075</xdr:colOff>
          <xdr:row>10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Generate Report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AtlasReport_1_Table_1" displayName="AtlasReport_1_Table_1" ref="A5:L471" totalsRowCount="1">
  <autoFilter ref="A5:L470"/>
  <tableColumns count="12">
    <tableColumn id="1" name="Customer account" totalsRowLabel="Total" dataDxfId="43" totalsRowDxfId="32"/>
    <tableColumn id="2" name="Customer name" dataDxfId="42" totalsRowDxfId="31"/>
    <tableColumn id="3" name="Item" dataDxfId="41" totalsRowDxfId="30"/>
    <tableColumn id="4" name="Item name" dataDxfId="40" totalsRowDxfId="29"/>
    <tableColumn id="5" name="Sales order" dataDxfId="39" totalsRowDxfId="28"/>
    <tableColumn id="6" name="Lot ID" dataDxfId="38" totalsRowDxfId="27"/>
    <tableColumn id="7" name="Date" dataDxfId="37" totalsRowDxfId="26"/>
    <tableColumn id="8" name="Quantity" totalsRowFunction="sum" dataDxfId="36" totalsRowDxfId="25"/>
    <tableColumn id="9" name="Unit" dataDxfId="35" totalsRowDxfId="24"/>
    <tableColumn id="10" name="Amount in default currency" totalsRowFunction="sum" dataDxfId="34" totalsRowDxfId="23"/>
    <tableColumn id="11" name="Cost Amount" dataDxfId="33" totalsRowDxfId="22"/>
    <tableColumn id="12" name="Margin" dataDxfId="20" totalsRowDxfId="21">
      <calculatedColumnFormula>AtlasReport_1_Table_1[[#This Row],[Amount in default currency]]-AtlasReport_1_Table_1[[#This Row],[Cost Amount]]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ByItem" displayName="ByItem" ref="A1:M15" totalsRowCount="1">
  <autoFilter ref="A1:M14"/>
  <tableColumns count="13">
    <tableColumn id="1" name="Item number" totalsRowLabel="Total"/>
    <tableColumn id="2" name="Item name"/>
    <tableColumn id="3" name="Quantity Period A" totalsRowFunction="sum" dataCellStyle="Comma"/>
    <tableColumn id="4" name="Quantity Period B" totalsRowFunction="sum" dataCellStyle="Comma"/>
    <tableColumn id="5" name="Variance %" totalsRowFunction="custom" dataCellStyle="Percent">
      <totalsRowFormula>(ByItem[[#Totals],[Quantity Period B]]-ByItem[[#Totals],[Quantity Period A]])/ByItem[[#Totals],[Quantity Period A]]</totalsRowFormula>
    </tableColumn>
    <tableColumn id="6" name="Sales Period A" totalsRowFunction="sum" dataCellStyle="Comma"/>
    <tableColumn id="7" name="Sales Period B" totalsRowFunction="sum" dataCellStyle="Comma"/>
    <tableColumn id="8" name="Variance %2" totalsRowFunction="custom" dataCellStyle="Percent">
      <totalsRowFormula>(ByItem[[#Totals],[Sales Period B]]-ByItem[[#Totals],[Sales Period A]])/ByItem[[#Totals],[Sales Period A]]</totalsRowFormula>
    </tableColumn>
    <tableColumn id="9" name="Margin Period A" totalsRowFunction="sum" dataCellStyle="Comma"/>
    <tableColumn id="10" name="Margin A%" totalsRowFunction="custom" dataCellStyle="Percent">
      <totalsRowFormula>ByItem[[#Totals],[Margin Period A]]/ByItem[[#Totals],[Sales Period A]]</totalsRowFormula>
    </tableColumn>
    <tableColumn id="11" name="Margin Period B" totalsRowFunction="sum" dataCellStyle="Comma"/>
    <tableColumn id="12" name="Margin B%" totalsRowFunction="custom" dataCellStyle="Percent">
      <totalsRowFormula>ByItem[[#Totals],[Margin Period B]]/ByItem[[#Totals],[Sales Period B]]</totalsRowFormula>
    </tableColumn>
    <tableColumn id="13" name="Variance %3" totalsRowFunction="custom" dataCellStyle="Percent">
      <totalsRowFormula>(ByItem[[#Totals],[Margin Period B]]/ByItem[[#Totals],[Sales Period B]])-(ByItem[[#Totals],[Margin Period A]]/ByItem[[#Totals],[Sales Period A]])</totalsRow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ByCustomer" displayName="ByCustomer" ref="A1:O128" totalsRowCount="1">
  <autoFilter ref="A1:O127"/>
  <tableColumns count="15">
    <tableColumn id="1" name="Customer number" totalsRowLabel="Total"/>
    <tableColumn id="2" name="Customer name"/>
    <tableColumn id="3" name="Item number"/>
    <tableColumn id="4" name="Item name"/>
    <tableColumn id="5" name="Quantity Period A" totalsRowFunction="sum" totalsRowDxfId="5" dataCellStyle="Comma"/>
    <tableColumn id="6" name="Quantity Period B" totalsRowFunction="sum" totalsRowDxfId="4" dataCellStyle="Comma"/>
    <tableColumn id="7" name="Variance %" totalsRowFunction="custom" totalsRowDxfId="3" dataCellStyle="Percent">
      <totalsRowFormula>(ByCustomer[[#Totals],[Quantity Period B]]-ByCustomer[[#Totals],[Quantity Period A]])/ByCustomer[[#Totals],[Quantity Period A]]</totalsRowFormula>
    </tableColumn>
    <tableColumn id="8" name="Sales Period A" totalsRowFunction="sum" totalsRowDxfId="2" dataCellStyle="Comma"/>
    <tableColumn id="9" name="Sales Period B" totalsRowFunction="sum" totalsRowDxfId="1" dataCellStyle="Comma"/>
    <tableColumn id="10" name="Variance %2" totalsRowFunction="custom" totalsRowDxfId="0" dataCellStyle="Percent">
      <totalsRowFormula>(ByCustomer[[#Totals],[Sales Period B]]-ByCustomer[[#Totals],[Sales Period A]])/ByCustomer[[#Totals],[Sales Period A]]</totalsRowFormula>
    </tableColumn>
    <tableColumn id="11" name="Margin Period A" totalsRowFunction="sum" dataCellStyle="Comma"/>
    <tableColumn id="12" name="Margin A%" totalsRowFunction="custom" dataCellStyle="Percent">
      <totalsRowFormula>ByCustomer[[#Totals],[Margin Period A]]/ByCustomer[[#Totals],[Sales Period A]]</totalsRowFormula>
    </tableColumn>
    <tableColumn id="13" name="Margin Period B" totalsRowFunction="sum" dataCellStyle="Comma"/>
    <tableColumn id="14" name="Margin B%" totalsRowFunction="custom" dataCellStyle="Percent">
      <totalsRowFormula>ByCustomer[[#Totals],[Margin Period B]]/ByCustomer[[#Totals],[Sales Period B]]</totalsRowFormula>
    </tableColumn>
    <tableColumn id="15" name="Variance %3" totalsRowFunction="custom" dataCellStyle="Percent">
      <totalsRowFormula>(ByCustomer[[#Totals],[Margin Period B]]/ByCustomer[[#Totals],[Sales Period B]]) - (ByCustomer[[#Totals],[Margin Period A]]/ByCustomer[[#Totals],[Sales Period A]])</totalsRow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2" name="AtlasReport_4_Table_1" displayName="AtlasReport_4_Table_1" ref="A2:F4" totalsRowCount="1">
  <autoFilter ref="A2:F3"/>
  <tableColumns count="6">
    <tableColumn id="1" name="Item number" totalsRowLabel="Total" dataDxfId="17" totalsRowDxfId="19"/>
    <tableColumn id="2" name="From unit" dataDxfId="15" totalsRowDxfId="18"/>
    <tableColumn id="3" name="Factor" totalsRowFunction="sum" dataDxfId="13" totalsRowDxfId="16"/>
    <tableColumn id="4" name="Additional quantity" totalsRowFunction="sum" dataDxfId="11" totalsRowDxfId="14"/>
    <tableColumn id="5" name="To unit" dataDxfId="9" totalsRowDxfId="12"/>
    <tableColumn id="6" name="Round-off" dataDxfId="8" totalsRowDxfId="1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AtlasReport_3_Table_1" displayName="AtlasReport_3_Table_1" ref="A2:B238" totalsRowShown="0">
  <autoFilter ref="A2:B238"/>
  <tableColumns count="2">
    <tableColumn id="1" name="Item number" dataDxfId="7"/>
    <tableColumn id="2" name="Unit" dataDxfId="6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K31"/>
  <sheetViews>
    <sheetView tabSelected="1" workbookViewId="0">
      <selection activeCell="I1" sqref="I1"/>
    </sheetView>
  </sheetViews>
  <sheetFormatPr defaultRowHeight="15"/>
  <cols>
    <col min="2" max="2" width="13.42578125" customWidth="1"/>
    <col min="3" max="3" width="11" customWidth="1"/>
    <col min="4" max="4" width="10.85546875" customWidth="1"/>
    <col min="5" max="5" width="16.42578125" customWidth="1"/>
    <col min="7" max="7" width="13.140625" customWidth="1"/>
  </cols>
  <sheetData>
    <row r="1" spans="1:11">
      <c r="B1" t="s">
        <v>0</v>
      </c>
      <c r="C1" s="10">
        <v>369</v>
      </c>
      <c r="H1" t="s">
        <v>1</v>
      </c>
      <c r="I1" t="s">
        <v>1068</v>
      </c>
    </row>
    <row r="2" spans="1:11">
      <c r="B2" t="s">
        <v>2</v>
      </c>
      <c r="C2" t="str">
        <f>TEXT(FromDateA,DateFormat) &amp; " .. " &amp; TEXT(ToDateA,DateFormat)</f>
        <v>01.01.2020 .. 31.12.2020</v>
      </c>
      <c r="J2" t="s">
        <v>13</v>
      </c>
      <c r="K2" t="str">
        <f xml:space="preserve"> DatePeriodA &amp; ", " &amp; DatePeriodB</f>
        <v>01.01.2020 .. 31.12.2020, 01.01.2021 .. 31.12.2021</v>
      </c>
    </row>
    <row r="3" spans="1:11">
      <c r="C3" t="s">
        <v>3</v>
      </c>
      <c r="D3" s="11">
        <v>43831</v>
      </c>
      <c r="F3" t="s">
        <v>4</v>
      </c>
      <c r="G3" s="11">
        <v>44196</v>
      </c>
    </row>
    <row r="5" spans="1:11">
      <c r="B5" t="s">
        <v>5</v>
      </c>
      <c r="C5" t="str">
        <f>TEXT(FromDateB,DateFormat) &amp; " .. " &amp; TEXT(ToDateB,DateFormat)</f>
        <v>01.01.2021 .. 31.12.2021</v>
      </c>
    </row>
    <row r="6" spans="1:11">
      <c r="C6" t="s">
        <v>3</v>
      </c>
      <c r="D6" s="11">
        <v>44197</v>
      </c>
      <c r="F6" t="s">
        <v>4</v>
      </c>
      <c r="G6" s="11">
        <v>44561</v>
      </c>
    </row>
    <row r="9" spans="1:11">
      <c r="B9" t="s">
        <v>28</v>
      </c>
      <c r="C9" s="13" t="s">
        <v>29</v>
      </c>
      <c r="E9" t="s">
        <v>31</v>
      </c>
      <c r="F9" s="13" t="s">
        <v>69</v>
      </c>
    </row>
    <row r="10" spans="1:11">
      <c r="B10" t="s">
        <v>30</v>
      </c>
      <c r="C10" s="13" t="s">
        <v>29</v>
      </c>
    </row>
    <row r="11" spans="1:11">
      <c r="B11" t="s">
        <v>51</v>
      </c>
      <c r="C11" s="13" t="s">
        <v>70</v>
      </c>
    </row>
    <row r="13" spans="1:11">
      <c r="A13" t="s">
        <v>43</v>
      </c>
    </row>
    <row r="14" spans="1:11">
      <c r="A14">
        <v>1</v>
      </c>
      <c r="B14" t="s">
        <v>44</v>
      </c>
    </row>
    <row r="15" spans="1:11">
      <c r="A15">
        <v>2</v>
      </c>
      <c r="B15" t="s">
        <v>45</v>
      </c>
    </row>
    <row r="16" spans="1:11">
      <c r="A16">
        <v>3</v>
      </c>
      <c r="B16" t="s">
        <v>52</v>
      </c>
    </row>
    <row r="17" spans="1:3">
      <c r="A17">
        <v>4</v>
      </c>
      <c r="B17" t="s">
        <v>46</v>
      </c>
    </row>
    <row r="18" spans="1:3">
      <c r="A18">
        <v>5</v>
      </c>
      <c r="B18" t="s">
        <v>47</v>
      </c>
    </row>
    <row r="21" spans="1:3">
      <c r="A21" t="s">
        <v>48</v>
      </c>
    </row>
    <row r="22" spans="1:3">
      <c r="A22" t="s">
        <v>49</v>
      </c>
      <c r="B22" s="12">
        <v>42944</v>
      </c>
      <c r="C22" t="s">
        <v>50</v>
      </c>
    </row>
    <row r="23" spans="1:3">
      <c r="A23" t="s">
        <v>53</v>
      </c>
      <c r="B23" s="12">
        <v>42944</v>
      </c>
      <c r="C23" t="s">
        <v>54</v>
      </c>
    </row>
    <row r="24" spans="1:3">
      <c r="A24" t="s">
        <v>55</v>
      </c>
      <c r="B24" s="12">
        <v>42951</v>
      </c>
      <c r="C24" s="14" t="s">
        <v>57</v>
      </c>
    </row>
    <row r="25" spans="1:3">
      <c r="C25" s="14" t="s">
        <v>56</v>
      </c>
    </row>
    <row r="26" spans="1:3">
      <c r="A26" t="s">
        <v>58</v>
      </c>
      <c r="B26" s="12">
        <v>42954</v>
      </c>
      <c r="C26" t="s">
        <v>59</v>
      </c>
    </row>
    <row r="27" spans="1:3">
      <c r="C27" t="s">
        <v>62</v>
      </c>
    </row>
    <row r="28" spans="1:3">
      <c r="A28" t="s">
        <v>63</v>
      </c>
      <c r="B28" s="12">
        <v>42956</v>
      </c>
      <c r="C28" t="s">
        <v>64</v>
      </c>
    </row>
    <row r="29" spans="1:3">
      <c r="C29" t="s">
        <v>65</v>
      </c>
    </row>
    <row r="30" spans="1:3">
      <c r="A30" t="s">
        <v>66</v>
      </c>
      <c r="B30" s="12">
        <v>43087</v>
      </c>
      <c r="C30" t="s">
        <v>67</v>
      </c>
    </row>
    <row r="31" spans="1:3">
      <c r="A31" t="s">
        <v>1066</v>
      </c>
      <c r="B31" s="12">
        <v>44590</v>
      </c>
      <c r="C31" t="s">
        <v>1067</v>
      </c>
    </row>
  </sheetData>
  <phoneticPr fontId="7" type="noConversion"/>
  <dataValidations count="1">
    <dataValidation type="list" allowBlank="1" showInputMessage="1" showErrorMessage="1" sqref="I1">
      <formula1>"DD.MM.YYYY,MM.DD.YYYY,TT.MM.JJJJ"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ain">
                <anchor moveWithCells="1" sizeWithCells="1">
                  <from>
                    <xdr:col>8</xdr:col>
                    <xdr:colOff>9525</xdr:colOff>
                    <xdr:row>6</xdr:row>
                    <xdr:rowOff>0</xdr:rowOff>
                  </from>
                  <to>
                    <xdr:col>10</xdr:col>
                    <xdr:colOff>600075</xdr:colOff>
                    <xdr:row>10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473"/>
  <sheetViews>
    <sheetView topLeftCell="A272" workbookViewId="0">
      <selection activeCell="C11" sqref="C11"/>
    </sheetView>
  </sheetViews>
  <sheetFormatPr defaultRowHeight="15"/>
  <cols>
    <col min="1" max="1" width="15.28515625" customWidth="1"/>
    <col min="2" max="2" width="22.42578125" customWidth="1"/>
    <col min="3" max="3" width="17.28515625" customWidth="1"/>
    <col min="4" max="4" width="41.85546875" customWidth="1"/>
    <col min="5" max="5" width="13.140625" customWidth="1"/>
    <col min="6" max="7" width="10.140625" customWidth="1"/>
    <col min="8" max="8" width="11" customWidth="1"/>
    <col min="9" max="9" width="7.140625" customWidth="1"/>
    <col min="10" max="10" width="21.42578125" customWidth="1"/>
    <col min="11" max="11" width="14.7109375" customWidth="1"/>
    <col min="12" max="12" width="16.42578125" customWidth="1"/>
    <col min="13" max="13" width="14" customWidth="1"/>
  </cols>
  <sheetData>
    <row r="1" spans="1:13">
      <c r="B1" t="s">
        <v>2</v>
      </c>
      <c r="C1" t="s">
        <v>6</v>
      </c>
      <c r="D1" t="str">
        <f>TEXT(FromDateA,DateFormat)</f>
        <v>01.01.2020</v>
      </c>
      <c r="F1" t="s">
        <v>7</v>
      </c>
      <c r="G1" t="str">
        <f>TEXT(ToDateA,DateFormat)</f>
        <v>31.12.2020</v>
      </c>
    </row>
    <row r="2" spans="1:13">
      <c r="B2" t="s">
        <v>5</v>
      </c>
      <c r="C2" t="s">
        <v>6</v>
      </c>
      <c r="D2" t="str">
        <f>TEXT(FromDateB,DateFormat)</f>
        <v>01.01.2021</v>
      </c>
      <c r="F2" t="s">
        <v>7</v>
      </c>
      <c r="G2" t="str">
        <f>TEXT(ToDateB,DateFormat)</f>
        <v>31.12.2021</v>
      </c>
    </row>
    <row r="4" spans="1:13" ht="22.5">
      <c r="A4" s="1" t="s">
        <v>8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2"/>
    </row>
    <row r="5" spans="1:13">
      <c r="A5" s="2" t="s">
        <v>14</v>
      </c>
      <c r="B5" s="2" t="s">
        <v>15</v>
      </c>
      <c r="C5" s="2" t="s">
        <v>9</v>
      </c>
      <c r="D5" s="2" t="s">
        <v>16</v>
      </c>
      <c r="E5" s="2" t="s">
        <v>22</v>
      </c>
      <c r="F5" s="2" t="s">
        <v>18</v>
      </c>
      <c r="G5" s="6" t="s">
        <v>23</v>
      </c>
      <c r="H5" s="2" t="s">
        <v>24</v>
      </c>
      <c r="I5" s="2" t="s">
        <v>25</v>
      </c>
      <c r="J5" s="15" t="s">
        <v>19</v>
      </c>
      <c r="K5" s="15" t="s">
        <v>20</v>
      </c>
      <c r="L5" s="15" t="s">
        <v>21</v>
      </c>
    </row>
    <row r="6" spans="1:13">
      <c r="A6" s="4" t="s">
        <v>75</v>
      </c>
      <c r="B6" s="4" t="s">
        <v>76</v>
      </c>
      <c r="C6" s="4" t="s">
        <v>77</v>
      </c>
      <c r="D6" s="4" t="s">
        <v>78</v>
      </c>
      <c r="E6" s="4" t="s">
        <v>79</v>
      </c>
      <c r="F6" s="4" t="s">
        <v>80</v>
      </c>
      <c r="G6" s="7">
        <v>43920</v>
      </c>
      <c r="H6" s="5">
        <v>10</v>
      </c>
      <c r="I6" s="4" t="s">
        <v>81</v>
      </c>
      <c r="J6" s="16">
        <v>24250</v>
      </c>
      <c r="K6" s="16">
        <v>3273.43</v>
      </c>
      <c r="L6" s="16">
        <f>AtlasReport_1_Table_1[[#This Row],[Amount in default currency]]-AtlasReport_1_Table_1[[#This Row],[Cost Amount]]</f>
        <v>20976.57</v>
      </c>
    </row>
    <row r="7" spans="1:13">
      <c r="A7" s="4" t="s">
        <v>82</v>
      </c>
      <c r="B7" s="4" t="s">
        <v>83</v>
      </c>
      <c r="C7" s="4" t="s">
        <v>11</v>
      </c>
      <c r="D7" s="4" t="s">
        <v>17</v>
      </c>
      <c r="E7" s="4" t="s">
        <v>84</v>
      </c>
      <c r="F7" s="4" t="s">
        <v>85</v>
      </c>
      <c r="G7" s="7">
        <v>43923</v>
      </c>
      <c r="H7" s="5">
        <v>14</v>
      </c>
      <c r="I7" s="4" t="s">
        <v>81</v>
      </c>
      <c r="J7" s="16">
        <v>16975</v>
      </c>
      <c r="K7" s="16"/>
      <c r="L7" s="16">
        <f>AtlasReport_1_Table_1[[#This Row],[Amount in default currency]]-AtlasReport_1_Table_1[[#This Row],[Cost Amount]]</f>
        <v>16975</v>
      </c>
    </row>
    <row r="8" spans="1:13">
      <c r="A8" s="4" t="s">
        <v>82</v>
      </c>
      <c r="B8" s="4" t="s">
        <v>83</v>
      </c>
      <c r="C8" s="4" t="s">
        <v>10</v>
      </c>
      <c r="D8" s="4" t="s">
        <v>17</v>
      </c>
      <c r="E8" s="4" t="s">
        <v>84</v>
      </c>
      <c r="F8" s="4" t="s">
        <v>86</v>
      </c>
      <c r="G8" s="7">
        <v>43923</v>
      </c>
      <c r="H8" s="5">
        <v>3</v>
      </c>
      <c r="I8" s="4" t="s">
        <v>81</v>
      </c>
      <c r="J8" s="16">
        <v>7312.5</v>
      </c>
      <c r="K8" s="16"/>
      <c r="L8" s="16">
        <f>AtlasReport_1_Table_1[[#This Row],[Amount in default currency]]-AtlasReport_1_Table_1[[#This Row],[Cost Amount]]</f>
        <v>7312.5</v>
      </c>
    </row>
    <row r="9" spans="1:13">
      <c r="A9" s="4" t="s">
        <v>87</v>
      </c>
      <c r="B9" s="4" t="s">
        <v>88</v>
      </c>
      <c r="C9" s="4" t="s">
        <v>11</v>
      </c>
      <c r="D9" s="4" t="s">
        <v>17</v>
      </c>
      <c r="E9" s="4" t="s">
        <v>89</v>
      </c>
      <c r="F9" s="4" t="s">
        <v>90</v>
      </c>
      <c r="G9" s="7">
        <v>43927</v>
      </c>
      <c r="H9" s="5">
        <v>1940</v>
      </c>
      <c r="I9" s="4" t="s">
        <v>27</v>
      </c>
      <c r="J9" s="16">
        <v>55372.23</v>
      </c>
      <c r="K9" s="16"/>
      <c r="L9" s="16">
        <f>AtlasReport_1_Table_1[[#This Row],[Amount in default currency]]-AtlasReport_1_Table_1[[#This Row],[Cost Amount]]</f>
        <v>55372.23</v>
      </c>
    </row>
    <row r="10" spans="1:13">
      <c r="A10" s="4" t="s">
        <v>87</v>
      </c>
      <c r="B10" s="4" t="s">
        <v>88</v>
      </c>
      <c r="C10" s="4" t="s">
        <v>10</v>
      </c>
      <c r="D10" s="4" t="s">
        <v>17</v>
      </c>
      <c r="E10" s="4" t="s">
        <v>89</v>
      </c>
      <c r="F10" s="4" t="s">
        <v>91</v>
      </c>
      <c r="G10" s="7">
        <v>43927</v>
      </c>
      <c r="H10" s="5">
        <v>15600</v>
      </c>
      <c r="I10" s="4" t="s">
        <v>27</v>
      </c>
      <c r="J10" s="16">
        <v>445261.24</v>
      </c>
      <c r="K10" s="16"/>
      <c r="L10" s="16">
        <f>AtlasReport_1_Table_1[[#This Row],[Amount in default currency]]-AtlasReport_1_Table_1[[#This Row],[Cost Amount]]</f>
        <v>445261.24</v>
      </c>
    </row>
    <row r="11" spans="1:13">
      <c r="A11" s="4" t="s">
        <v>87</v>
      </c>
      <c r="B11" s="4" t="s">
        <v>88</v>
      </c>
      <c r="C11" s="4" t="s">
        <v>92</v>
      </c>
      <c r="D11" s="4" t="s">
        <v>93</v>
      </c>
      <c r="E11" s="4" t="s">
        <v>89</v>
      </c>
      <c r="F11" s="4" t="s">
        <v>94</v>
      </c>
      <c r="G11" s="7">
        <v>43927</v>
      </c>
      <c r="H11" s="5">
        <v>1940</v>
      </c>
      <c r="I11" s="4" t="s">
        <v>27</v>
      </c>
      <c r="J11" s="16">
        <v>108107.69</v>
      </c>
      <c r="K11" s="16"/>
      <c r="L11" s="16">
        <f>AtlasReport_1_Table_1[[#This Row],[Amount in default currency]]-AtlasReport_1_Table_1[[#This Row],[Cost Amount]]</f>
        <v>108107.69</v>
      </c>
    </row>
    <row r="12" spans="1:13">
      <c r="A12" s="4" t="s">
        <v>87</v>
      </c>
      <c r="B12" s="4" t="s">
        <v>88</v>
      </c>
      <c r="C12" s="4" t="s">
        <v>95</v>
      </c>
      <c r="D12" s="4" t="s">
        <v>93</v>
      </c>
      <c r="E12" s="4" t="s">
        <v>89</v>
      </c>
      <c r="F12" s="4" t="s">
        <v>96</v>
      </c>
      <c r="G12" s="7">
        <v>43927</v>
      </c>
      <c r="H12" s="5">
        <v>5850</v>
      </c>
      <c r="I12" s="4" t="s">
        <v>27</v>
      </c>
      <c r="J12" s="16">
        <v>325994.83</v>
      </c>
      <c r="K12" s="16"/>
      <c r="L12" s="16">
        <f>AtlasReport_1_Table_1[[#This Row],[Amount in default currency]]-AtlasReport_1_Table_1[[#This Row],[Cost Amount]]</f>
        <v>325994.83</v>
      </c>
    </row>
    <row r="13" spans="1:13">
      <c r="A13" s="4" t="s">
        <v>75</v>
      </c>
      <c r="B13" s="4" t="s">
        <v>76</v>
      </c>
      <c r="C13" s="4" t="s">
        <v>77</v>
      </c>
      <c r="D13" s="4" t="s">
        <v>78</v>
      </c>
      <c r="E13" s="4" t="s">
        <v>97</v>
      </c>
      <c r="F13" s="4" t="s">
        <v>98</v>
      </c>
      <c r="G13" s="7">
        <v>43922</v>
      </c>
      <c r="H13" s="5">
        <v>2</v>
      </c>
      <c r="I13" s="4" t="s">
        <v>81</v>
      </c>
      <c r="J13" s="16">
        <v>4850</v>
      </c>
      <c r="K13" s="16"/>
      <c r="L13" s="16">
        <f>AtlasReport_1_Table_1[[#This Row],[Amount in default currency]]-AtlasReport_1_Table_1[[#This Row],[Cost Amount]]</f>
        <v>4850</v>
      </c>
    </row>
    <row r="14" spans="1:13">
      <c r="A14" s="4" t="s">
        <v>75</v>
      </c>
      <c r="B14" s="4" t="s">
        <v>76</v>
      </c>
      <c r="C14" s="4" t="s">
        <v>95</v>
      </c>
      <c r="D14" s="4" t="s">
        <v>93</v>
      </c>
      <c r="E14" s="4" t="s">
        <v>99</v>
      </c>
      <c r="F14" s="4" t="s">
        <v>100</v>
      </c>
      <c r="G14" s="7">
        <v>43950</v>
      </c>
      <c r="H14" s="5">
        <v>9</v>
      </c>
      <c r="I14" s="4" t="s">
        <v>81</v>
      </c>
      <c r="J14" s="16">
        <v>57037.5</v>
      </c>
      <c r="K14" s="16"/>
      <c r="L14" s="16">
        <f>AtlasReport_1_Table_1[[#This Row],[Amount in default currency]]-AtlasReport_1_Table_1[[#This Row],[Cost Amount]]</f>
        <v>57037.5</v>
      </c>
    </row>
    <row r="15" spans="1:13">
      <c r="A15" s="4" t="s">
        <v>75</v>
      </c>
      <c r="B15" s="4" t="s">
        <v>76</v>
      </c>
      <c r="C15" s="4" t="s">
        <v>92</v>
      </c>
      <c r="D15" s="4" t="s">
        <v>93</v>
      </c>
      <c r="E15" s="4" t="s">
        <v>99</v>
      </c>
      <c r="F15" s="4" t="s">
        <v>101</v>
      </c>
      <c r="G15" s="7">
        <v>43950</v>
      </c>
      <c r="H15" s="5">
        <v>20</v>
      </c>
      <c r="I15" s="4" t="s">
        <v>81</v>
      </c>
      <c r="J15" s="16">
        <v>63050</v>
      </c>
      <c r="K15" s="16"/>
      <c r="L15" s="16">
        <f>AtlasReport_1_Table_1[[#This Row],[Amount in default currency]]-AtlasReport_1_Table_1[[#This Row],[Cost Amount]]</f>
        <v>63050</v>
      </c>
    </row>
    <row r="16" spans="1:13">
      <c r="A16" s="4" t="s">
        <v>75</v>
      </c>
      <c r="B16" s="4" t="s">
        <v>76</v>
      </c>
      <c r="C16" s="4" t="s">
        <v>77</v>
      </c>
      <c r="D16" s="4" t="s">
        <v>78</v>
      </c>
      <c r="E16" s="4" t="s">
        <v>99</v>
      </c>
      <c r="F16" s="4" t="s">
        <v>102</v>
      </c>
      <c r="G16" s="7">
        <v>43950</v>
      </c>
      <c r="H16" s="5">
        <v>5</v>
      </c>
      <c r="I16" s="4" t="s">
        <v>81</v>
      </c>
      <c r="J16" s="16">
        <v>12125</v>
      </c>
      <c r="K16" s="16"/>
      <c r="L16" s="16">
        <f>AtlasReport_1_Table_1[[#This Row],[Amount in default currency]]-AtlasReport_1_Table_1[[#This Row],[Cost Amount]]</f>
        <v>12125</v>
      </c>
    </row>
    <row r="17" spans="1:12">
      <c r="A17" s="4" t="s">
        <v>75</v>
      </c>
      <c r="B17" s="4" t="s">
        <v>76</v>
      </c>
      <c r="C17" s="4" t="s">
        <v>92</v>
      </c>
      <c r="D17" s="4" t="s">
        <v>93</v>
      </c>
      <c r="E17" s="4" t="s">
        <v>99</v>
      </c>
      <c r="F17" s="4" t="s">
        <v>103</v>
      </c>
      <c r="G17" s="7">
        <v>43950</v>
      </c>
      <c r="H17" s="5">
        <v>7</v>
      </c>
      <c r="I17" s="4" t="s">
        <v>81</v>
      </c>
      <c r="J17" s="16">
        <v>22067.5</v>
      </c>
      <c r="K17" s="16"/>
      <c r="L17" s="16">
        <f>AtlasReport_1_Table_1[[#This Row],[Amount in default currency]]-AtlasReport_1_Table_1[[#This Row],[Cost Amount]]</f>
        <v>22067.5</v>
      </c>
    </row>
    <row r="18" spans="1:12">
      <c r="A18" s="4" t="s">
        <v>75</v>
      </c>
      <c r="B18" s="4" t="s">
        <v>76</v>
      </c>
      <c r="C18" s="4" t="s">
        <v>77</v>
      </c>
      <c r="D18" s="4" t="s">
        <v>78</v>
      </c>
      <c r="E18" s="4" t="s">
        <v>99</v>
      </c>
      <c r="F18" s="4" t="s">
        <v>104</v>
      </c>
      <c r="G18" s="7">
        <v>43950</v>
      </c>
      <c r="H18" s="5">
        <v>1</v>
      </c>
      <c r="I18" s="4" t="s">
        <v>81</v>
      </c>
      <c r="J18" s="16">
        <v>2425</v>
      </c>
      <c r="K18" s="16"/>
      <c r="L18" s="16">
        <f>AtlasReport_1_Table_1[[#This Row],[Amount in default currency]]-AtlasReport_1_Table_1[[#This Row],[Cost Amount]]</f>
        <v>2425</v>
      </c>
    </row>
    <row r="19" spans="1:12">
      <c r="A19" s="4" t="s">
        <v>75</v>
      </c>
      <c r="B19" s="4" t="s">
        <v>76</v>
      </c>
      <c r="C19" s="4" t="s">
        <v>105</v>
      </c>
      <c r="D19" s="4" t="s">
        <v>106</v>
      </c>
      <c r="E19" s="4" t="s">
        <v>99</v>
      </c>
      <c r="F19" s="4" t="s">
        <v>107</v>
      </c>
      <c r="G19" s="7">
        <v>43950</v>
      </c>
      <c r="H19" s="5">
        <v>1</v>
      </c>
      <c r="I19" s="4" t="s">
        <v>26</v>
      </c>
      <c r="J19" s="16">
        <v>39950</v>
      </c>
      <c r="K19" s="16"/>
      <c r="L19" s="16">
        <f>AtlasReport_1_Table_1[[#This Row],[Amount in default currency]]-AtlasReport_1_Table_1[[#This Row],[Cost Amount]]</f>
        <v>39950</v>
      </c>
    </row>
    <row r="20" spans="1:12">
      <c r="A20" s="4" t="s">
        <v>108</v>
      </c>
      <c r="B20" s="4" t="s">
        <v>109</v>
      </c>
      <c r="C20" s="4" t="s">
        <v>11</v>
      </c>
      <c r="D20" s="4" t="s">
        <v>17</v>
      </c>
      <c r="E20" s="4" t="s">
        <v>110</v>
      </c>
      <c r="F20" s="4" t="s">
        <v>111</v>
      </c>
      <c r="G20" s="7">
        <v>43936</v>
      </c>
      <c r="H20" s="5">
        <v>10</v>
      </c>
      <c r="I20" s="4" t="s">
        <v>81</v>
      </c>
      <c r="J20" s="16">
        <v>20882.34</v>
      </c>
      <c r="K20" s="16"/>
      <c r="L20" s="16">
        <f>AtlasReport_1_Table_1[[#This Row],[Amount in default currency]]-AtlasReport_1_Table_1[[#This Row],[Cost Amount]]</f>
        <v>20882.34</v>
      </c>
    </row>
    <row r="21" spans="1:12">
      <c r="A21" s="4" t="s">
        <v>75</v>
      </c>
      <c r="B21" s="4" t="s">
        <v>76</v>
      </c>
      <c r="C21" s="4" t="s">
        <v>77</v>
      </c>
      <c r="D21" s="4" t="s">
        <v>78</v>
      </c>
      <c r="E21" s="4" t="s">
        <v>112</v>
      </c>
      <c r="F21" s="4" t="s">
        <v>113</v>
      </c>
      <c r="G21" s="7">
        <v>43943</v>
      </c>
      <c r="H21" s="5">
        <v>195</v>
      </c>
      <c r="I21" s="4" t="s">
        <v>27</v>
      </c>
      <c r="J21" s="16">
        <v>9750</v>
      </c>
      <c r="K21" s="16"/>
      <c r="L21" s="16">
        <f>AtlasReport_1_Table_1[[#This Row],[Amount in default currency]]-AtlasReport_1_Table_1[[#This Row],[Cost Amount]]</f>
        <v>9750</v>
      </c>
    </row>
    <row r="22" spans="1:12">
      <c r="A22" s="4" t="s">
        <v>82</v>
      </c>
      <c r="B22" s="4" t="s">
        <v>83</v>
      </c>
      <c r="C22" s="4" t="s">
        <v>11</v>
      </c>
      <c r="D22" s="4" t="s">
        <v>17</v>
      </c>
      <c r="E22" s="4" t="s">
        <v>114</v>
      </c>
      <c r="F22" s="4" t="s">
        <v>115</v>
      </c>
      <c r="G22" s="7">
        <v>43948</v>
      </c>
      <c r="H22" s="5">
        <v>4</v>
      </c>
      <c r="I22" s="4" t="s">
        <v>81</v>
      </c>
      <c r="J22" s="16">
        <v>4850</v>
      </c>
      <c r="K22" s="16"/>
      <c r="L22" s="16">
        <f>AtlasReport_1_Table_1[[#This Row],[Amount in default currency]]-AtlasReport_1_Table_1[[#This Row],[Cost Amount]]</f>
        <v>4850</v>
      </c>
    </row>
    <row r="23" spans="1:12">
      <c r="A23" s="4" t="s">
        <v>75</v>
      </c>
      <c r="B23" s="4" t="s">
        <v>76</v>
      </c>
      <c r="C23" s="4" t="s">
        <v>116</v>
      </c>
      <c r="D23" s="4" t="s">
        <v>78</v>
      </c>
      <c r="E23" s="4" t="s">
        <v>117</v>
      </c>
      <c r="F23" s="4" t="s">
        <v>118</v>
      </c>
      <c r="G23" s="7">
        <v>43950</v>
      </c>
      <c r="H23" s="5">
        <v>150</v>
      </c>
      <c r="I23" s="4" t="s">
        <v>27</v>
      </c>
      <c r="J23" s="16">
        <v>7500</v>
      </c>
      <c r="K23" s="16"/>
      <c r="L23" s="16">
        <f>AtlasReport_1_Table_1[[#This Row],[Amount in default currency]]-AtlasReport_1_Table_1[[#This Row],[Cost Amount]]</f>
        <v>7500</v>
      </c>
    </row>
    <row r="24" spans="1:12">
      <c r="A24" s="4" t="s">
        <v>75</v>
      </c>
      <c r="B24" s="4" t="s">
        <v>76</v>
      </c>
      <c r="C24" s="4" t="s">
        <v>77</v>
      </c>
      <c r="D24" s="4" t="s">
        <v>78</v>
      </c>
      <c r="E24" s="4" t="s">
        <v>117</v>
      </c>
      <c r="F24" s="4" t="s">
        <v>119</v>
      </c>
      <c r="G24" s="7">
        <v>43950</v>
      </c>
      <c r="H24" s="5">
        <v>436.5</v>
      </c>
      <c r="I24" s="4" t="s">
        <v>27</v>
      </c>
      <c r="J24" s="16">
        <v>21825</v>
      </c>
      <c r="K24" s="16"/>
      <c r="L24" s="16">
        <f>AtlasReport_1_Table_1[[#This Row],[Amount in default currency]]-AtlasReport_1_Table_1[[#This Row],[Cost Amount]]</f>
        <v>21825</v>
      </c>
    </row>
    <row r="25" spans="1:12">
      <c r="A25" s="4" t="s">
        <v>120</v>
      </c>
      <c r="B25" s="4" t="s">
        <v>121</v>
      </c>
      <c r="C25" s="4" t="s">
        <v>105</v>
      </c>
      <c r="D25" s="4" t="s">
        <v>106</v>
      </c>
      <c r="E25" s="4" t="s">
        <v>122</v>
      </c>
      <c r="F25" s="4" t="s">
        <v>123</v>
      </c>
      <c r="G25" s="7">
        <v>43948</v>
      </c>
      <c r="H25" s="5">
        <v>4</v>
      </c>
      <c r="I25" s="4" t="s">
        <v>124</v>
      </c>
      <c r="J25" s="16">
        <v>4000</v>
      </c>
      <c r="K25" s="16"/>
      <c r="L25" s="16">
        <f>AtlasReport_1_Table_1[[#This Row],[Amount in default currency]]-AtlasReport_1_Table_1[[#This Row],[Cost Amount]]</f>
        <v>4000</v>
      </c>
    </row>
    <row r="26" spans="1:12">
      <c r="A26" s="4" t="s">
        <v>120</v>
      </c>
      <c r="B26" s="4" t="s">
        <v>121</v>
      </c>
      <c r="C26" s="4" t="s">
        <v>105</v>
      </c>
      <c r="D26" s="4" t="s">
        <v>106</v>
      </c>
      <c r="E26" s="4" t="s">
        <v>122</v>
      </c>
      <c r="F26" s="4" t="s">
        <v>125</v>
      </c>
      <c r="G26" s="7">
        <v>43948</v>
      </c>
      <c r="H26" s="5">
        <v>2</v>
      </c>
      <c r="I26" s="4" t="s">
        <v>124</v>
      </c>
      <c r="J26" s="16">
        <v>2000</v>
      </c>
      <c r="K26" s="16"/>
      <c r="L26" s="16">
        <f>AtlasReport_1_Table_1[[#This Row],[Amount in default currency]]-AtlasReport_1_Table_1[[#This Row],[Cost Amount]]</f>
        <v>2000</v>
      </c>
    </row>
    <row r="27" spans="1:12">
      <c r="A27" s="4" t="s">
        <v>120</v>
      </c>
      <c r="B27" s="4" t="s">
        <v>121</v>
      </c>
      <c r="C27" s="4" t="s">
        <v>105</v>
      </c>
      <c r="D27" s="4" t="s">
        <v>106</v>
      </c>
      <c r="E27" s="4" t="s">
        <v>122</v>
      </c>
      <c r="F27" s="4" t="s">
        <v>126</v>
      </c>
      <c r="G27" s="7">
        <v>43948</v>
      </c>
      <c r="H27" s="5">
        <v>108</v>
      </c>
      <c r="I27" s="4" t="s">
        <v>26</v>
      </c>
      <c r="J27" s="16">
        <v>380.15999999999997</v>
      </c>
      <c r="K27" s="16"/>
      <c r="L27" s="16">
        <f>AtlasReport_1_Table_1[[#This Row],[Amount in default currency]]-AtlasReport_1_Table_1[[#This Row],[Cost Amount]]</f>
        <v>380.15999999999997</v>
      </c>
    </row>
    <row r="28" spans="1:12">
      <c r="A28" s="4" t="s">
        <v>120</v>
      </c>
      <c r="B28" s="4" t="s">
        <v>121</v>
      </c>
      <c r="C28" s="4" t="s">
        <v>105</v>
      </c>
      <c r="D28" s="4" t="s">
        <v>106</v>
      </c>
      <c r="E28" s="4" t="s">
        <v>122</v>
      </c>
      <c r="F28" s="4" t="s">
        <v>127</v>
      </c>
      <c r="G28" s="7">
        <v>43948</v>
      </c>
      <c r="H28" s="5">
        <v>3</v>
      </c>
      <c r="I28" s="4" t="s">
        <v>124</v>
      </c>
      <c r="J28" s="16">
        <v>3600</v>
      </c>
      <c r="K28" s="16"/>
      <c r="L28" s="16">
        <f>AtlasReport_1_Table_1[[#This Row],[Amount in default currency]]-AtlasReport_1_Table_1[[#This Row],[Cost Amount]]</f>
        <v>3600</v>
      </c>
    </row>
    <row r="29" spans="1:12">
      <c r="A29" s="4" t="s">
        <v>75</v>
      </c>
      <c r="B29" s="4" t="s">
        <v>76</v>
      </c>
      <c r="C29" s="4" t="s">
        <v>95</v>
      </c>
      <c r="D29" s="4" t="s">
        <v>93</v>
      </c>
      <c r="E29" s="4" t="s">
        <v>128</v>
      </c>
      <c r="F29" s="4" t="s">
        <v>129</v>
      </c>
      <c r="G29" s="7">
        <v>43956</v>
      </c>
      <c r="H29" s="5">
        <v>1</v>
      </c>
      <c r="I29" s="4" t="s">
        <v>81</v>
      </c>
      <c r="J29" s="16">
        <v>6337.5</v>
      </c>
      <c r="K29" s="16"/>
      <c r="L29" s="16">
        <f>AtlasReport_1_Table_1[[#This Row],[Amount in default currency]]-AtlasReport_1_Table_1[[#This Row],[Cost Amount]]</f>
        <v>6337.5</v>
      </c>
    </row>
    <row r="30" spans="1:12">
      <c r="A30" s="4" t="s">
        <v>75</v>
      </c>
      <c r="B30" s="4" t="s">
        <v>76</v>
      </c>
      <c r="C30" s="4" t="s">
        <v>92</v>
      </c>
      <c r="D30" s="4" t="s">
        <v>93</v>
      </c>
      <c r="E30" s="4" t="s">
        <v>128</v>
      </c>
      <c r="F30" s="4" t="s">
        <v>130</v>
      </c>
      <c r="G30" s="7">
        <v>43956</v>
      </c>
      <c r="H30" s="5">
        <v>3</v>
      </c>
      <c r="I30" s="4" t="s">
        <v>81</v>
      </c>
      <c r="J30" s="16">
        <v>9457.5</v>
      </c>
      <c r="K30" s="16"/>
      <c r="L30" s="16">
        <f>AtlasReport_1_Table_1[[#This Row],[Amount in default currency]]-AtlasReport_1_Table_1[[#This Row],[Cost Amount]]</f>
        <v>9457.5</v>
      </c>
    </row>
    <row r="31" spans="1:12">
      <c r="A31" s="4" t="s">
        <v>82</v>
      </c>
      <c r="B31" s="4" t="s">
        <v>83</v>
      </c>
      <c r="C31" s="4" t="s">
        <v>77</v>
      </c>
      <c r="D31" s="4" t="s">
        <v>78</v>
      </c>
      <c r="E31" s="4" t="s">
        <v>131</v>
      </c>
      <c r="F31" s="4" t="s">
        <v>132</v>
      </c>
      <c r="G31" s="7">
        <v>43962</v>
      </c>
      <c r="H31" s="5">
        <v>5044</v>
      </c>
      <c r="I31" s="4" t="s">
        <v>27</v>
      </c>
      <c r="J31" s="16">
        <v>201760</v>
      </c>
      <c r="K31" s="16"/>
      <c r="L31" s="16">
        <f>AtlasReport_1_Table_1[[#This Row],[Amount in default currency]]-AtlasReport_1_Table_1[[#This Row],[Cost Amount]]</f>
        <v>201760</v>
      </c>
    </row>
    <row r="32" spans="1:12">
      <c r="A32" s="4" t="s">
        <v>82</v>
      </c>
      <c r="B32" s="4" t="s">
        <v>83</v>
      </c>
      <c r="C32" s="4" t="s">
        <v>133</v>
      </c>
      <c r="D32" s="4" t="s">
        <v>134</v>
      </c>
      <c r="E32" s="4" t="s">
        <v>131</v>
      </c>
      <c r="F32" s="4" t="s">
        <v>135</v>
      </c>
      <c r="G32" s="7">
        <v>43962</v>
      </c>
      <c r="H32" s="5">
        <v>1</v>
      </c>
      <c r="I32" s="4" t="s">
        <v>26</v>
      </c>
      <c r="J32" s="16">
        <v>10525</v>
      </c>
      <c r="K32" s="16"/>
      <c r="L32" s="16">
        <f>AtlasReport_1_Table_1[[#This Row],[Amount in default currency]]-AtlasReport_1_Table_1[[#This Row],[Cost Amount]]</f>
        <v>10525</v>
      </c>
    </row>
    <row r="33" spans="1:12">
      <c r="A33" s="4" t="s">
        <v>136</v>
      </c>
      <c r="B33" s="4" t="s">
        <v>137</v>
      </c>
      <c r="C33" s="4" t="s">
        <v>68</v>
      </c>
      <c r="D33" s="4" t="s">
        <v>17</v>
      </c>
      <c r="E33" s="4" t="s">
        <v>138</v>
      </c>
      <c r="F33" s="4" t="s">
        <v>139</v>
      </c>
      <c r="G33" s="7">
        <v>43965</v>
      </c>
      <c r="H33" s="5">
        <v>7</v>
      </c>
      <c r="I33" s="4" t="s">
        <v>81</v>
      </c>
      <c r="J33" s="16">
        <v>26775</v>
      </c>
      <c r="K33" s="16"/>
      <c r="L33" s="16">
        <f>AtlasReport_1_Table_1[[#This Row],[Amount in default currency]]-AtlasReport_1_Table_1[[#This Row],[Cost Amount]]</f>
        <v>26775</v>
      </c>
    </row>
    <row r="34" spans="1:12">
      <c r="A34" s="4" t="s">
        <v>136</v>
      </c>
      <c r="B34" s="4" t="s">
        <v>137</v>
      </c>
      <c r="C34" s="4" t="s">
        <v>10</v>
      </c>
      <c r="D34" s="4" t="s">
        <v>17</v>
      </c>
      <c r="E34" s="4" t="s">
        <v>138</v>
      </c>
      <c r="F34" s="4" t="s">
        <v>140</v>
      </c>
      <c r="G34" s="7">
        <v>43965</v>
      </c>
      <c r="H34" s="5">
        <v>13</v>
      </c>
      <c r="I34" s="4" t="s">
        <v>81</v>
      </c>
      <c r="J34" s="16">
        <v>64642.5</v>
      </c>
      <c r="K34" s="16"/>
      <c r="L34" s="16">
        <f>AtlasReport_1_Table_1[[#This Row],[Amount in default currency]]-AtlasReport_1_Table_1[[#This Row],[Cost Amount]]</f>
        <v>64642.5</v>
      </c>
    </row>
    <row r="35" spans="1:12">
      <c r="A35" s="4" t="s">
        <v>136</v>
      </c>
      <c r="B35" s="4" t="s">
        <v>137</v>
      </c>
      <c r="C35" s="4" t="s">
        <v>105</v>
      </c>
      <c r="D35" s="4" t="s">
        <v>106</v>
      </c>
      <c r="E35" s="4" t="s">
        <v>138</v>
      </c>
      <c r="F35" s="4" t="s">
        <v>141</v>
      </c>
      <c r="G35" s="7">
        <v>43965</v>
      </c>
      <c r="H35" s="5">
        <v>1</v>
      </c>
      <c r="I35" s="4" t="s">
        <v>26</v>
      </c>
      <c r="J35" s="16">
        <v>16425</v>
      </c>
      <c r="K35" s="16"/>
      <c r="L35" s="16">
        <f>AtlasReport_1_Table_1[[#This Row],[Amount in default currency]]-AtlasReport_1_Table_1[[#This Row],[Cost Amount]]</f>
        <v>16425</v>
      </c>
    </row>
    <row r="36" spans="1:12">
      <c r="A36" s="4" t="s">
        <v>136</v>
      </c>
      <c r="B36" s="4" t="s">
        <v>137</v>
      </c>
      <c r="C36" s="4" t="s">
        <v>105</v>
      </c>
      <c r="D36" s="4" t="s">
        <v>106</v>
      </c>
      <c r="E36" s="4" t="s">
        <v>138</v>
      </c>
      <c r="F36" s="4" t="s">
        <v>142</v>
      </c>
      <c r="G36" s="7">
        <v>43965</v>
      </c>
      <c r="H36" s="5">
        <v>78</v>
      </c>
      <c r="I36" s="4" t="s">
        <v>27</v>
      </c>
      <c r="J36" s="16">
        <v>1794</v>
      </c>
      <c r="K36" s="16"/>
      <c r="L36" s="16">
        <f>AtlasReport_1_Table_1[[#This Row],[Amount in default currency]]-AtlasReport_1_Table_1[[#This Row],[Cost Amount]]</f>
        <v>1794</v>
      </c>
    </row>
    <row r="37" spans="1:12">
      <c r="A37" s="4" t="s">
        <v>143</v>
      </c>
      <c r="B37" s="4" t="s">
        <v>144</v>
      </c>
      <c r="C37" s="4" t="s">
        <v>77</v>
      </c>
      <c r="D37" s="4" t="s">
        <v>78</v>
      </c>
      <c r="E37" s="4" t="s">
        <v>145</v>
      </c>
      <c r="F37" s="4" t="s">
        <v>146</v>
      </c>
      <c r="G37" s="7">
        <v>43965</v>
      </c>
      <c r="H37" s="5">
        <v>5044</v>
      </c>
      <c r="I37" s="4" t="s">
        <v>27</v>
      </c>
      <c r="J37" s="16">
        <v>201760</v>
      </c>
      <c r="K37" s="16"/>
      <c r="L37" s="16">
        <f>AtlasReport_1_Table_1[[#This Row],[Amount in default currency]]-AtlasReport_1_Table_1[[#This Row],[Cost Amount]]</f>
        <v>201760</v>
      </c>
    </row>
    <row r="38" spans="1:12">
      <c r="A38" s="4" t="s">
        <v>87</v>
      </c>
      <c r="B38" s="4" t="s">
        <v>88</v>
      </c>
      <c r="C38" s="4" t="s">
        <v>10</v>
      </c>
      <c r="D38" s="4" t="s">
        <v>17</v>
      </c>
      <c r="E38" s="4" t="s">
        <v>147</v>
      </c>
      <c r="F38" s="4" t="s">
        <v>148</v>
      </c>
      <c r="G38" s="7">
        <v>43964</v>
      </c>
      <c r="H38" s="5">
        <v>5850</v>
      </c>
      <c r="I38" s="4" t="s">
        <v>27</v>
      </c>
      <c r="J38" s="16">
        <v>173036.41</v>
      </c>
      <c r="K38" s="16"/>
      <c r="L38" s="16">
        <f>AtlasReport_1_Table_1[[#This Row],[Amount in default currency]]-AtlasReport_1_Table_1[[#This Row],[Cost Amount]]</f>
        <v>173036.41</v>
      </c>
    </row>
    <row r="39" spans="1:12">
      <c r="A39" s="4" t="s">
        <v>87</v>
      </c>
      <c r="B39" s="4" t="s">
        <v>88</v>
      </c>
      <c r="C39" s="4" t="s">
        <v>95</v>
      </c>
      <c r="D39" s="4" t="s">
        <v>93</v>
      </c>
      <c r="E39" s="4" t="s">
        <v>147</v>
      </c>
      <c r="F39" s="4" t="s">
        <v>149</v>
      </c>
      <c r="G39" s="7">
        <v>43964</v>
      </c>
      <c r="H39" s="5">
        <v>17550</v>
      </c>
      <c r="I39" s="4" t="s">
        <v>27</v>
      </c>
      <c r="J39" s="16">
        <v>1013498.97</v>
      </c>
      <c r="K39" s="16"/>
      <c r="L39" s="16">
        <f>AtlasReport_1_Table_1[[#This Row],[Amount in default currency]]-AtlasReport_1_Table_1[[#This Row],[Cost Amount]]</f>
        <v>1013498.97</v>
      </c>
    </row>
    <row r="40" spans="1:12">
      <c r="A40" s="4" t="s">
        <v>87</v>
      </c>
      <c r="B40" s="4" t="s">
        <v>88</v>
      </c>
      <c r="C40" s="4" t="s">
        <v>92</v>
      </c>
      <c r="D40" s="4" t="s">
        <v>93</v>
      </c>
      <c r="E40" s="4" t="s">
        <v>147</v>
      </c>
      <c r="F40" s="4" t="s">
        <v>150</v>
      </c>
      <c r="G40" s="7">
        <v>43964</v>
      </c>
      <c r="H40" s="5">
        <v>1940</v>
      </c>
      <c r="I40" s="4" t="s">
        <v>27</v>
      </c>
      <c r="J40" s="16">
        <v>112033.5</v>
      </c>
      <c r="K40" s="16"/>
      <c r="L40" s="16">
        <f>AtlasReport_1_Table_1[[#This Row],[Amount in default currency]]-AtlasReport_1_Table_1[[#This Row],[Cost Amount]]</f>
        <v>112033.5</v>
      </c>
    </row>
    <row r="41" spans="1:12">
      <c r="A41" s="4" t="s">
        <v>151</v>
      </c>
      <c r="B41" s="4" t="s">
        <v>152</v>
      </c>
      <c r="C41" s="4" t="s">
        <v>105</v>
      </c>
      <c r="D41" s="4" t="s">
        <v>106</v>
      </c>
      <c r="E41" s="4" t="s">
        <v>153</v>
      </c>
      <c r="F41" s="4" t="s">
        <v>154</v>
      </c>
      <c r="G41" s="7">
        <v>43966</v>
      </c>
      <c r="H41" s="5">
        <v>1</v>
      </c>
      <c r="I41" s="4" t="s">
        <v>26</v>
      </c>
      <c r="J41" s="16">
        <v>8000</v>
      </c>
      <c r="K41" s="16"/>
      <c r="L41" s="16">
        <f>AtlasReport_1_Table_1[[#This Row],[Amount in default currency]]-AtlasReport_1_Table_1[[#This Row],[Cost Amount]]</f>
        <v>8000</v>
      </c>
    </row>
    <row r="42" spans="1:12">
      <c r="A42" s="4" t="s">
        <v>82</v>
      </c>
      <c r="B42" s="4" t="s">
        <v>83</v>
      </c>
      <c r="C42" s="4" t="s">
        <v>77</v>
      </c>
      <c r="D42" s="4" t="s">
        <v>78</v>
      </c>
      <c r="E42" s="4" t="s">
        <v>155</v>
      </c>
      <c r="F42" s="4" t="s">
        <v>156</v>
      </c>
      <c r="G42" s="7">
        <v>43966</v>
      </c>
      <c r="H42" s="5">
        <v>3</v>
      </c>
      <c r="I42" s="4" t="s">
        <v>81</v>
      </c>
      <c r="J42" s="16">
        <v>7275</v>
      </c>
      <c r="K42" s="16"/>
      <c r="L42" s="16">
        <f>AtlasReport_1_Table_1[[#This Row],[Amount in default currency]]-AtlasReport_1_Table_1[[#This Row],[Cost Amount]]</f>
        <v>7275</v>
      </c>
    </row>
    <row r="43" spans="1:12">
      <c r="A43" s="4" t="s">
        <v>157</v>
      </c>
      <c r="B43" s="4" t="s">
        <v>158</v>
      </c>
      <c r="C43" s="4" t="s">
        <v>10</v>
      </c>
      <c r="D43" s="4" t="s">
        <v>17</v>
      </c>
      <c r="E43" s="4" t="s">
        <v>159</v>
      </c>
      <c r="F43" s="4" t="s">
        <v>160</v>
      </c>
      <c r="G43" s="7">
        <v>43993</v>
      </c>
      <c r="H43" s="5">
        <v>2</v>
      </c>
      <c r="I43" s="4" t="s">
        <v>81</v>
      </c>
      <c r="J43" s="16">
        <v>8761.26</v>
      </c>
      <c r="K43" s="16"/>
      <c r="L43" s="16">
        <f>AtlasReport_1_Table_1[[#This Row],[Amount in default currency]]-AtlasReport_1_Table_1[[#This Row],[Cost Amount]]</f>
        <v>8761.26</v>
      </c>
    </row>
    <row r="44" spans="1:12">
      <c r="A44" s="4" t="s">
        <v>157</v>
      </c>
      <c r="B44" s="4" t="s">
        <v>158</v>
      </c>
      <c r="C44" s="4" t="s">
        <v>68</v>
      </c>
      <c r="D44" s="4" t="s">
        <v>17</v>
      </c>
      <c r="E44" s="4" t="s">
        <v>159</v>
      </c>
      <c r="F44" s="4" t="s">
        <v>161</v>
      </c>
      <c r="G44" s="7">
        <v>43993</v>
      </c>
      <c r="H44" s="5">
        <v>1</v>
      </c>
      <c r="I44" s="4" t="s">
        <v>81</v>
      </c>
      <c r="J44" s="16">
        <v>3369.99</v>
      </c>
      <c r="K44" s="16"/>
      <c r="L44" s="16">
        <f>AtlasReport_1_Table_1[[#This Row],[Amount in default currency]]-AtlasReport_1_Table_1[[#This Row],[Cost Amount]]</f>
        <v>3369.99</v>
      </c>
    </row>
    <row r="45" spans="1:12">
      <c r="A45" s="4" t="s">
        <v>157</v>
      </c>
      <c r="B45" s="4" t="s">
        <v>158</v>
      </c>
      <c r="C45" s="4" t="s">
        <v>11</v>
      </c>
      <c r="D45" s="4" t="s">
        <v>17</v>
      </c>
      <c r="E45" s="4" t="s">
        <v>159</v>
      </c>
      <c r="F45" s="4" t="s">
        <v>162</v>
      </c>
      <c r="G45" s="7">
        <v>43993</v>
      </c>
      <c r="H45" s="5">
        <v>1</v>
      </c>
      <c r="I45" s="4" t="s">
        <v>81</v>
      </c>
      <c r="J45" s="16">
        <v>1123.33</v>
      </c>
      <c r="K45" s="16"/>
      <c r="L45" s="16">
        <f>AtlasReport_1_Table_1[[#This Row],[Amount in default currency]]-AtlasReport_1_Table_1[[#This Row],[Cost Amount]]</f>
        <v>1123.33</v>
      </c>
    </row>
    <row r="46" spans="1:12">
      <c r="A46" s="4" t="s">
        <v>157</v>
      </c>
      <c r="B46" s="4" t="s">
        <v>158</v>
      </c>
      <c r="C46" s="4" t="s">
        <v>133</v>
      </c>
      <c r="D46" s="4" t="s">
        <v>134</v>
      </c>
      <c r="E46" s="4" t="s">
        <v>159</v>
      </c>
      <c r="F46" s="4" t="s">
        <v>163</v>
      </c>
      <c r="G46" s="7">
        <v>43993</v>
      </c>
      <c r="H46" s="5">
        <v>1</v>
      </c>
      <c r="I46" s="4" t="s">
        <v>26</v>
      </c>
      <c r="J46" s="16">
        <v>10127.799999999999</v>
      </c>
      <c r="K46" s="16"/>
      <c r="L46" s="16">
        <f>AtlasReport_1_Table_1[[#This Row],[Amount in default currency]]-AtlasReport_1_Table_1[[#This Row],[Cost Amount]]</f>
        <v>10127.799999999999</v>
      </c>
    </row>
    <row r="47" spans="1:12">
      <c r="A47" s="4" t="s">
        <v>143</v>
      </c>
      <c r="B47" s="4" t="s">
        <v>144</v>
      </c>
      <c r="C47" s="4" t="s">
        <v>77</v>
      </c>
      <c r="D47" s="4" t="s">
        <v>78</v>
      </c>
      <c r="E47" s="4" t="s">
        <v>164</v>
      </c>
      <c r="F47" s="4" t="s">
        <v>165</v>
      </c>
      <c r="G47" s="7">
        <v>43982</v>
      </c>
      <c r="H47" s="5">
        <v>3007</v>
      </c>
      <c r="I47" s="4" t="s">
        <v>27</v>
      </c>
      <c r="J47" s="16">
        <v>138322</v>
      </c>
      <c r="K47" s="16"/>
      <c r="L47" s="16">
        <f>AtlasReport_1_Table_1[[#This Row],[Amount in default currency]]-AtlasReport_1_Table_1[[#This Row],[Cost Amount]]</f>
        <v>138322</v>
      </c>
    </row>
    <row r="48" spans="1:12">
      <c r="A48" s="4" t="s">
        <v>75</v>
      </c>
      <c r="B48" s="4" t="s">
        <v>76</v>
      </c>
      <c r="C48" s="4" t="s">
        <v>77</v>
      </c>
      <c r="D48" s="4" t="s">
        <v>78</v>
      </c>
      <c r="E48" s="4" t="s">
        <v>166</v>
      </c>
      <c r="F48" s="4" t="s">
        <v>167</v>
      </c>
      <c r="G48" s="7">
        <v>43982</v>
      </c>
      <c r="H48" s="5">
        <v>97</v>
      </c>
      <c r="I48" s="4" t="s">
        <v>27</v>
      </c>
      <c r="J48" s="16">
        <v>4850</v>
      </c>
      <c r="K48" s="16"/>
      <c r="L48" s="16">
        <f>AtlasReport_1_Table_1[[#This Row],[Amount in default currency]]-AtlasReport_1_Table_1[[#This Row],[Cost Amount]]</f>
        <v>4850</v>
      </c>
    </row>
    <row r="49" spans="1:12">
      <c r="A49" s="4" t="s">
        <v>143</v>
      </c>
      <c r="B49" s="4" t="s">
        <v>144</v>
      </c>
      <c r="C49" s="4" t="s">
        <v>92</v>
      </c>
      <c r="D49" s="4" t="s">
        <v>93</v>
      </c>
      <c r="E49" s="4" t="s">
        <v>168</v>
      </c>
      <c r="F49" s="4" t="s">
        <v>169</v>
      </c>
      <c r="G49" s="7">
        <v>43991</v>
      </c>
      <c r="H49" s="5">
        <v>10</v>
      </c>
      <c r="I49" s="4" t="s">
        <v>81</v>
      </c>
      <c r="J49" s="16">
        <v>26675</v>
      </c>
      <c r="K49" s="16"/>
      <c r="L49" s="16">
        <f>AtlasReport_1_Table_1[[#This Row],[Amount in default currency]]-AtlasReport_1_Table_1[[#This Row],[Cost Amount]]</f>
        <v>26675</v>
      </c>
    </row>
    <row r="50" spans="1:12">
      <c r="A50" s="4" t="s">
        <v>143</v>
      </c>
      <c r="B50" s="4" t="s">
        <v>144</v>
      </c>
      <c r="C50" s="4" t="s">
        <v>95</v>
      </c>
      <c r="D50" s="4" t="s">
        <v>93</v>
      </c>
      <c r="E50" s="4" t="s">
        <v>168</v>
      </c>
      <c r="F50" s="4" t="s">
        <v>170</v>
      </c>
      <c r="G50" s="7">
        <v>43991</v>
      </c>
      <c r="H50" s="5">
        <v>40</v>
      </c>
      <c r="I50" s="4" t="s">
        <v>81</v>
      </c>
      <c r="J50" s="16">
        <v>214500</v>
      </c>
      <c r="K50" s="16"/>
      <c r="L50" s="16">
        <f>AtlasReport_1_Table_1[[#This Row],[Amount in default currency]]-AtlasReport_1_Table_1[[#This Row],[Cost Amount]]</f>
        <v>214500</v>
      </c>
    </row>
    <row r="51" spans="1:12">
      <c r="A51" s="4" t="s">
        <v>143</v>
      </c>
      <c r="B51" s="4" t="s">
        <v>144</v>
      </c>
      <c r="C51" s="4" t="s">
        <v>105</v>
      </c>
      <c r="D51" s="4" t="s">
        <v>106</v>
      </c>
      <c r="E51" s="4" t="s">
        <v>168</v>
      </c>
      <c r="F51" s="4" t="s">
        <v>171</v>
      </c>
      <c r="G51" s="7">
        <v>43991</v>
      </c>
      <c r="H51" s="5">
        <v>1</v>
      </c>
      <c r="I51" s="4" t="s">
        <v>26</v>
      </c>
      <c r="J51" s="16">
        <v>12925</v>
      </c>
      <c r="K51" s="16"/>
      <c r="L51" s="16">
        <f>AtlasReport_1_Table_1[[#This Row],[Amount in default currency]]-AtlasReport_1_Table_1[[#This Row],[Cost Amount]]</f>
        <v>12925</v>
      </c>
    </row>
    <row r="52" spans="1:12">
      <c r="A52" s="4" t="s">
        <v>87</v>
      </c>
      <c r="B52" s="4" t="s">
        <v>88</v>
      </c>
      <c r="C52" s="4" t="s">
        <v>11</v>
      </c>
      <c r="D52" s="4" t="s">
        <v>17</v>
      </c>
      <c r="E52" s="4" t="s">
        <v>172</v>
      </c>
      <c r="F52" s="4" t="s">
        <v>173</v>
      </c>
      <c r="G52" s="7">
        <v>43991</v>
      </c>
      <c r="H52" s="5">
        <v>1940</v>
      </c>
      <c r="I52" s="4" t="s">
        <v>27</v>
      </c>
      <c r="J52" s="16">
        <v>58416.73</v>
      </c>
      <c r="K52" s="16"/>
      <c r="L52" s="16">
        <f>AtlasReport_1_Table_1[[#This Row],[Amount in default currency]]-AtlasReport_1_Table_1[[#This Row],[Cost Amount]]</f>
        <v>58416.73</v>
      </c>
    </row>
    <row r="53" spans="1:12">
      <c r="A53" s="4" t="s">
        <v>87</v>
      </c>
      <c r="B53" s="4" t="s">
        <v>88</v>
      </c>
      <c r="C53" s="4" t="s">
        <v>10</v>
      </c>
      <c r="D53" s="4" t="s">
        <v>17</v>
      </c>
      <c r="E53" s="4" t="s">
        <v>172</v>
      </c>
      <c r="F53" s="4" t="s">
        <v>174</v>
      </c>
      <c r="G53" s="7">
        <v>43991</v>
      </c>
      <c r="H53" s="5">
        <v>9750</v>
      </c>
      <c r="I53" s="4" t="s">
        <v>27</v>
      </c>
      <c r="J53" s="16">
        <v>293589.26</v>
      </c>
      <c r="K53" s="16"/>
      <c r="L53" s="16">
        <f>AtlasReport_1_Table_1[[#This Row],[Amount in default currency]]-AtlasReport_1_Table_1[[#This Row],[Cost Amount]]</f>
        <v>293589.26</v>
      </c>
    </row>
    <row r="54" spans="1:12">
      <c r="A54" s="4" t="s">
        <v>87</v>
      </c>
      <c r="B54" s="4" t="s">
        <v>88</v>
      </c>
      <c r="C54" s="4" t="s">
        <v>92</v>
      </c>
      <c r="D54" s="4" t="s">
        <v>93</v>
      </c>
      <c r="E54" s="4" t="s">
        <v>172</v>
      </c>
      <c r="F54" s="4" t="s">
        <v>175</v>
      </c>
      <c r="G54" s="7">
        <v>43991</v>
      </c>
      <c r="H54" s="5">
        <v>1940</v>
      </c>
      <c r="I54" s="4" t="s">
        <v>27</v>
      </c>
      <c r="J54" s="16">
        <v>114051.72</v>
      </c>
      <c r="K54" s="16"/>
      <c r="L54" s="16">
        <f>AtlasReport_1_Table_1[[#This Row],[Amount in default currency]]-AtlasReport_1_Table_1[[#This Row],[Cost Amount]]</f>
        <v>114051.72</v>
      </c>
    </row>
    <row r="55" spans="1:12">
      <c r="A55" s="4" t="s">
        <v>87</v>
      </c>
      <c r="B55" s="4" t="s">
        <v>88</v>
      </c>
      <c r="C55" s="4" t="s">
        <v>95</v>
      </c>
      <c r="D55" s="4" t="s">
        <v>93</v>
      </c>
      <c r="E55" s="4" t="s">
        <v>172</v>
      </c>
      <c r="F55" s="4" t="s">
        <v>176</v>
      </c>
      <c r="G55" s="7">
        <v>43991</v>
      </c>
      <c r="H55" s="5">
        <v>15600</v>
      </c>
      <c r="I55" s="4" t="s">
        <v>27</v>
      </c>
      <c r="J55" s="16">
        <v>917116.92</v>
      </c>
      <c r="K55" s="16"/>
      <c r="L55" s="16">
        <f>AtlasReport_1_Table_1[[#This Row],[Amount in default currency]]-AtlasReport_1_Table_1[[#This Row],[Cost Amount]]</f>
        <v>917116.92</v>
      </c>
    </row>
    <row r="56" spans="1:12">
      <c r="A56" s="4" t="s">
        <v>177</v>
      </c>
      <c r="B56" s="4" t="s">
        <v>178</v>
      </c>
      <c r="C56" s="4" t="s">
        <v>105</v>
      </c>
      <c r="D56" s="4" t="s">
        <v>106</v>
      </c>
      <c r="E56" s="4" t="s">
        <v>179</v>
      </c>
      <c r="F56" s="4" t="s">
        <v>180</v>
      </c>
      <c r="G56" s="7">
        <v>44012</v>
      </c>
      <c r="H56" s="5">
        <v>1</v>
      </c>
      <c r="I56" s="4" t="s">
        <v>26</v>
      </c>
      <c r="J56" s="16">
        <v>6400</v>
      </c>
      <c r="K56" s="16"/>
      <c r="L56" s="16">
        <f>AtlasReport_1_Table_1[[#This Row],[Amount in default currency]]-AtlasReport_1_Table_1[[#This Row],[Cost Amount]]</f>
        <v>6400</v>
      </c>
    </row>
    <row r="57" spans="1:12">
      <c r="A57" s="4" t="s">
        <v>82</v>
      </c>
      <c r="B57" s="4" t="s">
        <v>83</v>
      </c>
      <c r="C57" s="4" t="s">
        <v>133</v>
      </c>
      <c r="D57" s="4" t="s">
        <v>134</v>
      </c>
      <c r="E57" s="4" t="s">
        <v>181</v>
      </c>
      <c r="F57" s="4" t="s">
        <v>182</v>
      </c>
      <c r="G57" s="7">
        <v>43982</v>
      </c>
      <c r="H57" s="5">
        <v>1</v>
      </c>
      <c r="I57" s="4" t="s">
        <v>26</v>
      </c>
      <c r="J57" s="16">
        <v>2950</v>
      </c>
      <c r="K57" s="16"/>
      <c r="L57" s="16">
        <f>AtlasReport_1_Table_1[[#This Row],[Amount in default currency]]-AtlasReport_1_Table_1[[#This Row],[Cost Amount]]</f>
        <v>2950</v>
      </c>
    </row>
    <row r="58" spans="1:12">
      <c r="A58" s="4" t="s">
        <v>75</v>
      </c>
      <c r="B58" s="4" t="s">
        <v>76</v>
      </c>
      <c r="C58" s="4" t="s">
        <v>92</v>
      </c>
      <c r="D58" s="4" t="s">
        <v>93</v>
      </c>
      <c r="E58" s="4" t="s">
        <v>183</v>
      </c>
      <c r="F58" s="4" t="s">
        <v>184</v>
      </c>
      <c r="G58" s="7">
        <v>43992</v>
      </c>
      <c r="H58" s="5">
        <v>6</v>
      </c>
      <c r="I58" s="4" t="s">
        <v>81</v>
      </c>
      <c r="J58" s="16">
        <v>18915</v>
      </c>
      <c r="K58" s="16"/>
      <c r="L58" s="16">
        <f>AtlasReport_1_Table_1[[#This Row],[Amount in default currency]]-AtlasReport_1_Table_1[[#This Row],[Cost Amount]]</f>
        <v>18915</v>
      </c>
    </row>
    <row r="59" spans="1:12">
      <c r="A59" s="4" t="s">
        <v>143</v>
      </c>
      <c r="B59" s="4" t="s">
        <v>144</v>
      </c>
      <c r="C59" s="4" t="s">
        <v>77</v>
      </c>
      <c r="D59" s="4" t="s">
        <v>78</v>
      </c>
      <c r="E59" s="4" t="s">
        <v>185</v>
      </c>
      <c r="F59" s="4" t="s">
        <v>186</v>
      </c>
      <c r="G59" s="7">
        <v>43992</v>
      </c>
      <c r="H59" s="5">
        <v>1503.5</v>
      </c>
      <c r="I59" s="4" t="s">
        <v>27</v>
      </c>
      <c r="J59" s="16">
        <v>60140</v>
      </c>
      <c r="K59" s="16"/>
      <c r="L59" s="16">
        <f>AtlasReport_1_Table_1[[#This Row],[Amount in default currency]]-AtlasReport_1_Table_1[[#This Row],[Cost Amount]]</f>
        <v>60140</v>
      </c>
    </row>
    <row r="60" spans="1:12">
      <c r="A60" s="4" t="s">
        <v>143</v>
      </c>
      <c r="B60" s="4" t="s">
        <v>144</v>
      </c>
      <c r="C60" s="4" t="s">
        <v>11</v>
      </c>
      <c r="D60" s="4" t="s">
        <v>17</v>
      </c>
      <c r="E60" s="4" t="s">
        <v>187</v>
      </c>
      <c r="F60" s="4" t="s">
        <v>188</v>
      </c>
      <c r="G60" s="7">
        <v>43998</v>
      </c>
      <c r="H60" s="5">
        <v>5044</v>
      </c>
      <c r="I60" s="4" t="s">
        <v>27</v>
      </c>
      <c r="J60" s="16">
        <v>100880</v>
      </c>
      <c r="K60" s="16"/>
      <c r="L60" s="16">
        <f>AtlasReport_1_Table_1[[#This Row],[Amount in default currency]]-AtlasReport_1_Table_1[[#This Row],[Cost Amount]]</f>
        <v>100880</v>
      </c>
    </row>
    <row r="61" spans="1:12">
      <c r="A61" s="4" t="s">
        <v>143</v>
      </c>
      <c r="B61" s="4" t="s">
        <v>144</v>
      </c>
      <c r="C61" s="4" t="s">
        <v>95</v>
      </c>
      <c r="D61" s="4" t="s">
        <v>93</v>
      </c>
      <c r="E61" s="4" t="s">
        <v>189</v>
      </c>
      <c r="F61" s="4" t="s">
        <v>190</v>
      </c>
      <c r="G61" s="7">
        <v>44006</v>
      </c>
      <c r="H61" s="5">
        <v>3</v>
      </c>
      <c r="I61" s="4" t="s">
        <v>81</v>
      </c>
      <c r="J61" s="16">
        <v>17550</v>
      </c>
      <c r="K61" s="16"/>
      <c r="L61" s="16">
        <f>AtlasReport_1_Table_1[[#This Row],[Amount in default currency]]-AtlasReport_1_Table_1[[#This Row],[Cost Amount]]</f>
        <v>17550</v>
      </c>
    </row>
    <row r="62" spans="1:12">
      <c r="A62" s="4" t="s">
        <v>143</v>
      </c>
      <c r="B62" s="4" t="s">
        <v>144</v>
      </c>
      <c r="C62" s="4" t="s">
        <v>105</v>
      </c>
      <c r="D62" s="4" t="s">
        <v>106</v>
      </c>
      <c r="E62" s="4" t="s">
        <v>189</v>
      </c>
      <c r="F62" s="4" t="s">
        <v>191</v>
      </c>
      <c r="G62" s="7">
        <v>44006</v>
      </c>
      <c r="H62" s="5">
        <v>1</v>
      </c>
      <c r="I62" s="4" t="s">
        <v>26</v>
      </c>
      <c r="J62" s="16">
        <v>18100</v>
      </c>
      <c r="K62" s="16"/>
      <c r="L62" s="16">
        <f>AtlasReport_1_Table_1[[#This Row],[Amount in default currency]]-AtlasReport_1_Table_1[[#This Row],[Cost Amount]]</f>
        <v>18100</v>
      </c>
    </row>
    <row r="63" spans="1:12">
      <c r="A63" s="4" t="s">
        <v>82</v>
      </c>
      <c r="B63" s="4" t="s">
        <v>83</v>
      </c>
      <c r="C63" s="4" t="s">
        <v>10</v>
      </c>
      <c r="D63" s="4" t="s">
        <v>17</v>
      </c>
      <c r="E63" s="4" t="s">
        <v>192</v>
      </c>
      <c r="F63" s="4" t="s">
        <v>193</v>
      </c>
      <c r="G63" s="7">
        <v>44007</v>
      </c>
      <c r="H63" s="5">
        <v>4</v>
      </c>
      <c r="I63" s="4" t="s">
        <v>81</v>
      </c>
      <c r="J63" s="16">
        <v>9750</v>
      </c>
      <c r="K63" s="16"/>
      <c r="L63" s="16">
        <f>AtlasReport_1_Table_1[[#This Row],[Amount in default currency]]-AtlasReport_1_Table_1[[#This Row],[Cost Amount]]</f>
        <v>9750</v>
      </c>
    </row>
    <row r="64" spans="1:12">
      <c r="A64" s="4" t="s">
        <v>82</v>
      </c>
      <c r="B64" s="4" t="s">
        <v>83</v>
      </c>
      <c r="C64" s="4" t="s">
        <v>105</v>
      </c>
      <c r="D64" s="4" t="s">
        <v>106</v>
      </c>
      <c r="E64" s="4" t="s">
        <v>192</v>
      </c>
      <c r="F64" s="4" t="s">
        <v>194</v>
      </c>
      <c r="G64" s="7">
        <v>44007</v>
      </c>
      <c r="H64" s="5">
        <v>1</v>
      </c>
      <c r="I64" s="4" t="s">
        <v>26</v>
      </c>
      <c r="J64" s="16">
        <v>13750</v>
      </c>
      <c r="K64" s="16"/>
      <c r="L64" s="16">
        <f>AtlasReport_1_Table_1[[#This Row],[Amount in default currency]]-AtlasReport_1_Table_1[[#This Row],[Cost Amount]]</f>
        <v>13750</v>
      </c>
    </row>
    <row r="65" spans="1:12">
      <c r="A65" s="4" t="s">
        <v>195</v>
      </c>
      <c r="B65" s="4" t="s">
        <v>196</v>
      </c>
      <c r="C65" s="4" t="s">
        <v>92</v>
      </c>
      <c r="D65" s="4" t="s">
        <v>93</v>
      </c>
      <c r="E65" s="4" t="s">
        <v>197</v>
      </c>
      <c r="F65" s="4" t="s">
        <v>198</v>
      </c>
      <c r="G65" s="7">
        <v>44012</v>
      </c>
      <c r="H65" s="5">
        <v>630.5</v>
      </c>
      <c r="I65" s="4" t="s">
        <v>27</v>
      </c>
      <c r="J65" s="16">
        <v>29633.5</v>
      </c>
      <c r="K65" s="16"/>
      <c r="L65" s="16">
        <f>AtlasReport_1_Table_1[[#This Row],[Amount in default currency]]-AtlasReport_1_Table_1[[#This Row],[Cost Amount]]</f>
        <v>29633.5</v>
      </c>
    </row>
    <row r="66" spans="1:12">
      <c r="A66" s="4" t="s">
        <v>195</v>
      </c>
      <c r="B66" s="4" t="s">
        <v>196</v>
      </c>
      <c r="C66" s="4" t="s">
        <v>199</v>
      </c>
      <c r="D66" s="4" t="s">
        <v>93</v>
      </c>
      <c r="E66" s="4" t="s">
        <v>197</v>
      </c>
      <c r="F66" s="4" t="s">
        <v>200</v>
      </c>
      <c r="G66" s="7">
        <v>44012</v>
      </c>
      <c r="H66" s="5">
        <v>150</v>
      </c>
      <c r="I66" s="4" t="s">
        <v>27</v>
      </c>
      <c r="J66" s="16">
        <v>7050</v>
      </c>
      <c r="K66" s="16"/>
      <c r="L66" s="16">
        <f>AtlasReport_1_Table_1[[#This Row],[Amount in default currency]]-AtlasReport_1_Table_1[[#This Row],[Cost Amount]]</f>
        <v>7050</v>
      </c>
    </row>
    <row r="67" spans="1:12">
      <c r="A67" s="4" t="s">
        <v>195</v>
      </c>
      <c r="B67" s="4" t="s">
        <v>196</v>
      </c>
      <c r="C67" s="4" t="s">
        <v>95</v>
      </c>
      <c r="D67" s="4" t="s">
        <v>93</v>
      </c>
      <c r="E67" s="4" t="s">
        <v>197</v>
      </c>
      <c r="F67" s="4" t="s">
        <v>201</v>
      </c>
      <c r="G67" s="7">
        <v>44012</v>
      </c>
      <c r="H67" s="5">
        <v>4192.5</v>
      </c>
      <c r="I67" s="4" t="s">
        <v>27</v>
      </c>
      <c r="J67" s="16">
        <v>197047.5</v>
      </c>
      <c r="K67" s="16"/>
      <c r="L67" s="16">
        <f>AtlasReport_1_Table_1[[#This Row],[Amount in default currency]]-AtlasReport_1_Table_1[[#This Row],[Cost Amount]]</f>
        <v>197047.5</v>
      </c>
    </row>
    <row r="68" spans="1:12">
      <c r="A68" s="4" t="s">
        <v>195</v>
      </c>
      <c r="B68" s="4" t="s">
        <v>196</v>
      </c>
      <c r="C68" s="4" t="s">
        <v>105</v>
      </c>
      <c r="D68" s="4" t="s">
        <v>106</v>
      </c>
      <c r="E68" s="4" t="s">
        <v>197</v>
      </c>
      <c r="F68" s="4" t="s">
        <v>202</v>
      </c>
      <c r="G68" s="7">
        <v>44012</v>
      </c>
      <c r="H68" s="5">
        <v>1</v>
      </c>
      <c r="I68" s="4" t="s">
        <v>26</v>
      </c>
      <c r="J68" s="16">
        <v>55525</v>
      </c>
      <c r="K68" s="16"/>
      <c r="L68" s="16">
        <f>AtlasReport_1_Table_1[[#This Row],[Amount in default currency]]-AtlasReport_1_Table_1[[#This Row],[Cost Amount]]</f>
        <v>55525</v>
      </c>
    </row>
    <row r="69" spans="1:12">
      <c r="A69" s="4" t="s">
        <v>195</v>
      </c>
      <c r="B69" s="4" t="s">
        <v>196</v>
      </c>
      <c r="C69" s="4" t="s">
        <v>95</v>
      </c>
      <c r="D69" s="4" t="s">
        <v>93</v>
      </c>
      <c r="E69" s="4" t="s">
        <v>203</v>
      </c>
      <c r="F69" s="4" t="s">
        <v>204</v>
      </c>
      <c r="G69" s="7">
        <v>44018</v>
      </c>
      <c r="H69" s="5">
        <v>780</v>
      </c>
      <c r="I69" s="4" t="s">
        <v>27</v>
      </c>
      <c r="J69" s="16">
        <v>36660</v>
      </c>
      <c r="K69" s="16"/>
      <c r="L69" s="16">
        <f>AtlasReport_1_Table_1[[#This Row],[Amount in default currency]]-AtlasReport_1_Table_1[[#This Row],[Cost Amount]]</f>
        <v>36660</v>
      </c>
    </row>
    <row r="70" spans="1:12">
      <c r="A70" s="4" t="s">
        <v>195</v>
      </c>
      <c r="B70" s="4" t="s">
        <v>196</v>
      </c>
      <c r="C70" s="4" t="s">
        <v>133</v>
      </c>
      <c r="D70" s="4" t="s">
        <v>134</v>
      </c>
      <c r="E70" s="4" t="s">
        <v>203</v>
      </c>
      <c r="F70" s="4" t="s">
        <v>205</v>
      </c>
      <c r="G70" s="7">
        <v>44018</v>
      </c>
      <c r="H70" s="5">
        <v>1</v>
      </c>
      <c r="I70" s="4" t="s">
        <v>26</v>
      </c>
      <c r="J70" s="16">
        <v>17925</v>
      </c>
      <c r="K70" s="16"/>
      <c r="L70" s="16">
        <f>AtlasReport_1_Table_1[[#This Row],[Amount in default currency]]-AtlasReport_1_Table_1[[#This Row],[Cost Amount]]</f>
        <v>17925</v>
      </c>
    </row>
    <row r="71" spans="1:12">
      <c r="A71" s="4" t="s">
        <v>143</v>
      </c>
      <c r="B71" s="4" t="s">
        <v>144</v>
      </c>
      <c r="C71" s="4" t="s">
        <v>199</v>
      </c>
      <c r="D71" s="4" t="s">
        <v>93</v>
      </c>
      <c r="E71" s="4" t="s">
        <v>206</v>
      </c>
      <c r="F71" s="4" t="s">
        <v>207</v>
      </c>
      <c r="G71" s="7">
        <v>44067</v>
      </c>
      <c r="H71" s="5">
        <v>90</v>
      </c>
      <c r="I71" s="4" t="s">
        <v>81</v>
      </c>
      <c r="J71" s="16">
        <v>317250</v>
      </c>
      <c r="K71" s="16"/>
      <c r="L71" s="16">
        <f>AtlasReport_1_Table_1[[#This Row],[Amount in default currency]]-AtlasReport_1_Table_1[[#This Row],[Cost Amount]]</f>
        <v>317250</v>
      </c>
    </row>
    <row r="72" spans="1:12">
      <c r="A72" s="4" t="s">
        <v>143</v>
      </c>
      <c r="B72" s="4" t="s">
        <v>144</v>
      </c>
      <c r="C72" s="4" t="s">
        <v>95</v>
      </c>
      <c r="D72" s="4" t="s">
        <v>93</v>
      </c>
      <c r="E72" s="4" t="s">
        <v>206</v>
      </c>
      <c r="F72" s="4" t="s">
        <v>208</v>
      </c>
      <c r="G72" s="7">
        <v>44067</v>
      </c>
      <c r="H72" s="5">
        <v>30</v>
      </c>
      <c r="I72" s="4" t="s">
        <v>81</v>
      </c>
      <c r="J72" s="16">
        <v>137475</v>
      </c>
      <c r="K72" s="16"/>
      <c r="L72" s="16">
        <f>AtlasReport_1_Table_1[[#This Row],[Amount in default currency]]-AtlasReport_1_Table_1[[#This Row],[Cost Amount]]</f>
        <v>137475</v>
      </c>
    </row>
    <row r="73" spans="1:12">
      <c r="A73" s="4" t="s">
        <v>143</v>
      </c>
      <c r="B73" s="4" t="s">
        <v>144</v>
      </c>
      <c r="C73" s="4" t="s">
        <v>105</v>
      </c>
      <c r="D73" s="4" t="s">
        <v>106</v>
      </c>
      <c r="E73" s="4" t="s">
        <v>206</v>
      </c>
      <c r="F73" s="4" t="s">
        <v>209</v>
      </c>
      <c r="G73" s="7">
        <v>44067</v>
      </c>
      <c r="H73" s="5">
        <v>1</v>
      </c>
      <c r="I73" s="4" t="s">
        <v>26</v>
      </c>
      <c r="J73" s="16">
        <v>37750</v>
      </c>
      <c r="K73" s="16"/>
      <c r="L73" s="16">
        <f>AtlasReport_1_Table_1[[#This Row],[Amount in default currency]]-AtlasReport_1_Table_1[[#This Row],[Cost Amount]]</f>
        <v>37750</v>
      </c>
    </row>
    <row r="74" spans="1:12">
      <c r="A74" s="4" t="s">
        <v>210</v>
      </c>
      <c r="B74" s="4" t="s">
        <v>211</v>
      </c>
      <c r="C74" s="4" t="s">
        <v>116</v>
      </c>
      <c r="D74" s="4" t="s">
        <v>78</v>
      </c>
      <c r="E74" s="4" t="s">
        <v>212</v>
      </c>
      <c r="F74" s="4" t="s">
        <v>213</v>
      </c>
      <c r="G74" s="7">
        <v>44048</v>
      </c>
      <c r="H74" s="5">
        <v>15</v>
      </c>
      <c r="I74" s="4" t="s">
        <v>81</v>
      </c>
      <c r="J74" s="16">
        <v>51750</v>
      </c>
      <c r="K74" s="16"/>
      <c r="L74" s="16">
        <f>AtlasReport_1_Table_1[[#This Row],[Amount in default currency]]-AtlasReport_1_Table_1[[#This Row],[Cost Amount]]</f>
        <v>51750</v>
      </c>
    </row>
    <row r="75" spans="1:12">
      <c r="A75" s="4" t="s">
        <v>214</v>
      </c>
      <c r="B75" s="4" t="s">
        <v>215</v>
      </c>
      <c r="C75" s="4" t="s">
        <v>92</v>
      </c>
      <c r="D75" s="4" t="s">
        <v>93</v>
      </c>
      <c r="E75" s="4" t="s">
        <v>216</v>
      </c>
      <c r="F75" s="4" t="s">
        <v>217</v>
      </c>
      <c r="G75" s="7">
        <v>44042</v>
      </c>
      <c r="H75" s="5">
        <v>5</v>
      </c>
      <c r="I75" s="4" t="s">
        <v>81</v>
      </c>
      <c r="J75" s="16">
        <v>11336.880000000001</v>
      </c>
      <c r="K75" s="16"/>
      <c r="L75" s="16">
        <f>AtlasReport_1_Table_1[[#This Row],[Amount in default currency]]-AtlasReport_1_Table_1[[#This Row],[Cost Amount]]</f>
        <v>11336.880000000001</v>
      </c>
    </row>
    <row r="76" spans="1:12">
      <c r="A76" s="4" t="s">
        <v>214</v>
      </c>
      <c r="B76" s="4" t="s">
        <v>215</v>
      </c>
      <c r="C76" s="4" t="s">
        <v>199</v>
      </c>
      <c r="D76" s="4" t="s">
        <v>93</v>
      </c>
      <c r="E76" s="4" t="s">
        <v>216</v>
      </c>
      <c r="F76" s="4" t="s">
        <v>218</v>
      </c>
      <c r="G76" s="7">
        <v>44042</v>
      </c>
      <c r="H76" s="5">
        <v>1</v>
      </c>
      <c r="I76" s="4" t="s">
        <v>81</v>
      </c>
      <c r="J76" s="16">
        <v>4125</v>
      </c>
      <c r="K76" s="16"/>
      <c r="L76" s="16">
        <f>AtlasReport_1_Table_1[[#This Row],[Amount in default currency]]-AtlasReport_1_Table_1[[#This Row],[Cost Amount]]</f>
        <v>4125</v>
      </c>
    </row>
    <row r="77" spans="1:12">
      <c r="A77" s="4" t="s">
        <v>214</v>
      </c>
      <c r="B77" s="4" t="s">
        <v>215</v>
      </c>
      <c r="C77" s="4" t="s">
        <v>95</v>
      </c>
      <c r="D77" s="4" t="s">
        <v>93</v>
      </c>
      <c r="E77" s="4" t="s">
        <v>216</v>
      </c>
      <c r="F77" s="4" t="s">
        <v>219</v>
      </c>
      <c r="G77" s="7">
        <v>44042</v>
      </c>
      <c r="H77" s="5">
        <v>39</v>
      </c>
      <c r="I77" s="4" t="s">
        <v>81</v>
      </c>
      <c r="J77" s="16">
        <v>209137.5</v>
      </c>
      <c r="K77" s="16"/>
      <c r="L77" s="16">
        <f>AtlasReport_1_Table_1[[#This Row],[Amount in default currency]]-AtlasReport_1_Table_1[[#This Row],[Cost Amount]]</f>
        <v>209137.5</v>
      </c>
    </row>
    <row r="78" spans="1:12">
      <c r="A78" s="4" t="s">
        <v>214</v>
      </c>
      <c r="B78" s="4" t="s">
        <v>215</v>
      </c>
      <c r="C78" s="4" t="s">
        <v>105</v>
      </c>
      <c r="D78" s="4" t="s">
        <v>106</v>
      </c>
      <c r="E78" s="4" t="s">
        <v>216</v>
      </c>
      <c r="F78" s="4" t="s">
        <v>220</v>
      </c>
      <c r="G78" s="7">
        <v>44042</v>
      </c>
      <c r="H78" s="5">
        <v>2</v>
      </c>
      <c r="I78" s="4" t="s">
        <v>26</v>
      </c>
      <c r="J78" s="16">
        <v>37450</v>
      </c>
      <c r="K78" s="16"/>
      <c r="L78" s="16">
        <f>AtlasReport_1_Table_1[[#This Row],[Amount in default currency]]-AtlasReport_1_Table_1[[#This Row],[Cost Amount]]</f>
        <v>37450</v>
      </c>
    </row>
    <row r="79" spans="1:12">
      <c r="A79" s="4" t="s">
        <v>87</v>
      </c>
      <c r="B79" s="4" t="s">
        <v>88</v>
      </c>
      <c r="C79" s="4" t="s">
        <v>95</v>
      </c>
      <c r="D79" s="4" t="s">
        <v>93</v>
      </c>
      <c r="E79" s="4" t="s">
        <v>221</v>
      </c>
      <c r="F79" s="4" t="s">
        <v>222</v>
      </c>
      <c r="G79" s="7">
        <v>44034</v>
      </c>
      <c r="H79" s="5">
        <v>3900</v>
      </c>
      <c r="I79" s="4" t="s">
        <v>27</v>
      </c>
      <c r="J79" s="16">
        <v>232486.15</v>
      </c>
      <c r="K79" s="16"/>
      <c r="L79" s="16">
        <f>AtlasReport_1_Table_1[[#This Row],[Amount in default currency]]-AtlasReport_1_Table_1[[#This Row],[Cost Amount]]</f>
        <v>232486.15</v>
      </c>
    </row>
    <row r="80" spans="1:12">
      <c r="A80" s="4" t="s">
        <v>87</v>
      </c>
      <c r="B80" s="4" t="s">
        <v>88</v>
      </c>
      <c r="C80" s="4" t="s">
        <v>95</v>
      </c>
      <c r="D80" s="4" t="s">
        <v>93</v>
      </c>
      <c r="E80" s="4" t="s">
        <v>223</v>
      </c>
      <c r="F80" s="4" t="s">
        <v>224</v>
      </c>
      <c r="G80" s="7">
        <v>44049</v>
      </c>
      <c r="H80" s="5">
        <v>25350</v>
      </c>
      <c r="I80" s="4" t="s">
        <v>27</v>
      </c>
      <c r="J80" s="16">
        <v>1505819.8</v>
      </c>
      <c r="K80" s="16"/>
      <c r="L80" s="16">
        <f>AtlasReport_1_Table_1[[#This Row],[Amount in default currency]]-AtlasReport_1_Table_1[[#This Row],[Cost Amount]]</f>
        <v>1505819.8</v>
      </c>
    </row>
    <row r="81" spans="1:12">
      <c r="A81" s="4" t="s">
        <v>87</v>
      </c>
      <c r="B81" s="4" t="s">
        <v>88</v>
      </c>
      <c r="C81" s="4" t="s">
        <v>92</v>
      </c>
      <c r="D81" s="4" t="s">
        <v>93</v>
      </c>
      <c r="E81" s="4" t="s">
        <v>223</v>
      </c>
      <c r="F81" s="4" t="s">
        <v>225</v>
      </c>
      <c r="G81" s="7">
        <v>44049</v>
      </c>
      <c r="H81" s="5">
        <v>5820</v>
      </c>
      <c r="I81" s="4" t="s">
        <v>27</v>
      </c>
      <c r="J81" s="16">
        <v>345714.84</v>
      </c>
      <c r="K81" s="16"/>
      <c r="L81" s="16">
        <f>AtlasReport_1_Table_1[[#This Row],[Amount in default currency]]-AtlasReport_1_Table_1[[#This Row],[Cost Amount]]</f>
        <v>345714.84</v>
      </c>
    </row>
    <row r="82" spans="1:12">
      <c r="A82" s="4" t="s">
        <v>87</v>
      </c>
      <c r="B82" s="4" t="s">
        <v>88</v>
      </c>
      <c r="C82" s="4" t="s">
        <v>10</v>
      </c>
      <c r="D82" s="4" t="s">
        <v>17</v>
      </c>
      <c r="E82" s="4" t="s">
        <v>223</v>
      </c>
      <c r="F82" s="4" t="s">
        <v>226</v>
      </c>
      <c r="G82" s="7">
        <v>44049</v>
      </c>
      <c r="H82" s="5">
        <v>3900</v>
      </c>
      <c r="I82" s="4" t="s">
        <v>27</v>
      </c>
      <c r="J82" s="16">
        <v>118657.47</v>
      </c>
      <c r="K82" s="16"/>
      <c r="L82" s="16">
        <f>AtlasReport_1_Table_1[[#This Row],[Amount in default currency]]-AtlasReport_1_Table_1[[#This Row],[Cost Amount]]</f>
        <v>118657.47</v>
      </c>
    </row>
    <row r="83" spans="1:12">
      <c r="A83" s="4" t="s">
        <v>87</v>
      </c>
      <c r="B83" s="4" t="s">
        <v>88</v>
      </c>
      <c r="C83" s="4" t="s">
        <v>11</v>
      </c>
      <c r="D83" s="4" t="s">
        <v>17</v>
      </c>
      <c r="E83" s="4" t="s">
        <v>223</v>
      </c>
      <c r="F83" s="4" t="s">
        <v>227</v>
      </c>
      <c r="G83" s="7">
        <v>44049</v>
      </c>
      <c r="H83" s="5">
        <v>1940</v>
      </c>
      <c r="I83" s="4" t="s">
        <v>27</v>
      </c>
      <c r="J83" s="16">
        <v>59024.490000000005</v>
      </c>
      <c r="K83" s="16"/>
      <c r="L83" s="16">
        <f>AtlasReport_1_Table_1[[#This Row],[Amount in default currency]]-AtlasReport_1_Table_1[[#This Row],[Cost Amount]]</f>
        <v>59024.490000000005</v>
      </c>
    </row>
    <row r="84" spans="1:12">
      <c r="A84" s="4" t="s">
        <v>87</v>
      </c>
      <c r="B84" s="4" t="s">
        <v>88</v>
      </c>
      <c r="C84" s="4" t="s">
        <v>95</v>
      </c>
      <c r="D84" s="4" t="s">
        <v>93</v>
      </c>
      <c r="E84" s="4" t="s">
        <v>228</v>
      </c>
      <c r="F84" s="4" t="s">
        <v>229</v>
      </c>
      <c r="G84" s="7">
        <v>44040</v>
      </c>
      <c r="H84" s="5">
        <v>3900</v>
      </c>
      <c r="I84" s="4" t="s">
        <v>27</v>
      </c>
      <c r="J84" s="16">
        <v>231839.91</v>
      </c>
      <c r="K84" s="16"/>
      <c r="L84" s="16">
        <f>AtlasReport_1_Table_1[[#This Row],[Amount in default currency]]-AtlasReport_1_Table_1[[#This Row],[Cost Amount]]</f>
        <v>231839.91</v>
      </c>
    </row>
    <row r="85" spans="1:12">
      <c r="A85" s="4" t="s">
        <v>230</v>
      </c>
      <c r="B85" s="4" t="s">
        <v>231</v>
      </c>
      <c r="C85" s="4" t="s">
        <v>199</v>
      </c>
      <c r="D85" s="4" t="s">
        <v>93</v>
      </c>
      <c r="E85" s="4" t="s">
        <v>232</v>
      </c>
      <c r="F85" s="4" t="s">
        <v>233</v>
      </c>
      <c r="G85" s="7">
        <v>44074</v>
      </c>
      <c r="H85" s="5">
        <v>5</v>
      </c>
      <c r="I85" s="4" t="s">
        <v>81</v>
      </c>
      <c r="J85" s="16">
        <v>31537.129999999997</v>
      </c>
      <c r="K85" s="16"/>
      <c r="L85" s="16">
        <f>AtlasReport_1_Table_1[[#This Row],[Amount in default currency]]-AtlasReport_1_Table_1[[#This Row],[Cost Amount]]</f>
        <v>31537.129999999997</v>
      </c>
    </row>
    <row r="86" spans="1:12">
      <c r="A86" s="4" t="s">
        <v>230</v>
      </c>
      <c r="B86" s="4" t="s">
        <v>231</v>
      </c>
      <c r="C86" s="4" t="s">
        <v>95</v>
      </c>
      <c r="D86" s="4" t="s">
        <v>93</v>
      </c>
      <c r="E86" s="4" t="s">
        <v>232</v>
      </c>
      <c r="F86" s="4" t="s">
        <v>234</v>
      </c>
      <c r="G86" s="7">
        <v>44074</v>
      </c>
      <c r="H86" s="5">
        <v>10</v>
      </c>
      <c r="I86" s="4" t="s">
        <v>81</v>
      </c>
      <c r="J86" s="16">
        <v>81996.53</v>
      </c>
      <c r="K86" s="16"/>
      <c r="L86" s="16">
        <f>AtlasReport_1_Table_1[[#This Row],[Amount in default currency]]-AtlasReport_1_Table_1[[#This Row],[Cost Amount]]</f>
        <v>81996.53</v>
      </c>
    </row>
    <row r="87" spans="1:12">
      <c r="A87" s="4" t="s">
        <v>230</v>
      </c>
      <c r="B87" s="4" t="s">
        <v>231</v>
      </c>
      <c r="C87" s="4" t="s">
        <v>105</v>
      </c>
      <c r="D87" s="4" t="s">
        <v>106</v>
      </c>
      <c r="E87" s="4" t="s">
        <v>232</v>
      </c>
      <c r="F87" s="4" t="s">
        <v>235</v>
      </c>
      <c r="G87" s="7">
        <v>44074</v>
      </c>
      <c r="H87" s="5">
        <v>2</v>
      </c>
      <c r="I87" s="4" t="s">
        <v>124</v>
      </c>
      <c r="J87" s="16">
        <v>3624.96</v>
      </c>
      <c r="K87" s="16"/>
      <c r="L87" s="16">
        <f>AtlasReport_1_Table_1[[#This Row],[Amount in default currency]]-AtlasReport_1_Table_1[[#This Row],[Cost Amount]]</f>
        <v>3624.96</v>
      </c>
    </row>
    <row r="88" spans="1:12">
      <c r="A88" s="4" t="s">
        <v>236</v>
      </c>
      <c r="B88" s="4" t="s">
        <v>237</v>
      </c>
      <c r="C88" s="4" t="s">
        <v>92</v>
      </c>
      <c r="D88" s="4" t="s">
        <v>93</v>
      </c>
      <c r="E88" s="4" t="s">
        <v>238</v>
      </c>
      <c r="F88" s="4" t="s">
        <v>239</v>
      </c>
      <c r="G88" s="7">
        <v>44043</v>
      </c>
      <c r="H88" s="5">
        <v>2</v>
      </c>
      <c r="I88" s="4" t="s">
        <v>81</v>
      </c>
      <c r="J88" s="16">
        <v>5335</v>
      </c>
      <c r="K88" s="16"/>
      <c r="L88" s="16">
        <f>AtlasReport_1_Table_1[[#This Row],[Amount in default currency]]-AtlasReport_1_Table_1[[#This Row],[Cost Amount]]</f>
        <v>5335</v>
      </c>
    </row>
    <row r="89" spans="1:12">
      <c r="A89" s="4" t="s">
        <v>236</v>
      </c>
      <c r="B89" s="4" t="s">
        <v>237</v>
      </c>
      <c r="C89" s="4" t="s">
        <v>95</v>
      </c>
      <c r="D89" s="4" t="s">
        <v>93</v>
      </c>
      <c r="E89" s="4" t="s">
        <v>238</v>
      </c>
      <c r="F89" s="4" t="s">
        <v>240</v>
      </c>
      <c r="G89" s="7">
        <v>44043</v>
      </c>
      <c r="H89" s="5">
        <v>3</v>
      </c>
      <c r="I89" s="4" t="s">
        <v>81</v>
      </c>
      <c r="J89" s="16">
        <v>12375</v>
      </c>
      <c r="K89" s="16"/>
      <c r="L89" s="16">
        <f>AtlasReport_1_Table_1[[#This Row],[Amount in default currency]]-AtlasReport_1_Table_1[[#This Row],[Cost Amount]]</f>
        <v>12375</v>
      </c>
    </row>
    <row r="90" spans="1:12">
      <c r="A90" s="4" t="s">
        <v>214</v>
      </c>
      <c r="B90" s="4" t="s">
        <v>215</v>
      </c>
      <c r="C90" s="4" t="s">
        <v>105</v>
      </c>
      <c r="D90" s="4" t="s">
        <v>106</v>
      </c>
      <c r="E90" s="4" t="s">
        <v>241</v>
      </c>
      <c r="F90" s="4" t="s">
        <v>242</v>
      </c>
      <c r="G90" s="7">
        <v>44043</v>
      </c>
      <c r="H90" s="5">
        <v>-1</v>
      </c>
      <c r="I90" s="4" t="s">
        <v>26</v>
      </c>
      <c r="J90" s="16">
        <v>-2500</v>
      </c>
      <c r="K90" s="16"/>
      <c r="L90" s="16">
        <f>AtlasReport_1_Table_1[[#This Row],[Amount in default currency]]-AtlasReport_1_Table_1[[#This Row],[Cost Amount]]</f>
        <v>-2500</v>
      </c>
    </row>
    <row r="91" spans="1:12">
      <c r="A91" s="4" t="s">
        <v>143</v>
      </c>
      <c r="B91" s="4" t="s">
        <v>144</v>
      </c>
      <c r="C91" s="4" t="s">
        <v>105</v>
      </c>
      <c r="D91" s="4" t="s">
        <v>106</v>
      </c>
      <c r="E91" s="4" t="s">
        <v>243</v>
      </c>
      <c r="F91" s="4" t="s">
        <v>244</v>
      </c>
      <c r="G91" s="7">
        <v>44047</v>
      </c>
      <c r="H91" s="5">
        <v>1</v>
      </c>
      <c r="I91" s="4" t="s">
        <v>26</v>
      </c>
      <c r="J91" s="16">
        <v>17925</v>
      </c>
      <c r="K91" s="16"/>
      <c r="L91" s="16">
        <f>AtlasReport_1_Table_1[[#This Row],[Amount in default currency]]-AtlasReport_1_Table_1[[#This Row],[Cost Amount]]</f>
        <v>17925</v>
      </c>
    </row>
    <row r="92" spans="1:12">
      <c r="A92" s="4" t="s">
        <v>245</v>
      </c>
      <c r="B92" s="4" t="s">
        <v>246</v>
      </c>
      <c r="C92" s="4" t="s">
        <v>95</v>
      </c>
      <c r="D92" s="4" t="s">
        <v>93</v>
      </c>
      <c r="E92" s="4" t="s">
        <v>247</v>
      </c>
      <c r="F92" s="4" t="s">
        <v>248</v>
      </c>
      <c r="G92" s="7">
        <v>44047</v>
      </c>
      <c r="H92" s="5">
        <v>6</v>
      </c>
      <c r="I92" s="4" t="s">
        <v>81</v>
      </c>
      <c r="J92" s="16">
        <v>32175</v>
      </c>
      <c r="K92" s="16"/>
      <c r="L92" s="16">
        <f>AtlasReport_1_Table_1[[#This Row],[Amount in default currency]]-AtlasReport_1_Table_1[[#This Row],[Cost Amount]]</f>
        <v>32175</v>
      </c>
    </row>
    <row r="93" spans="1:12">
      <c r="A93" s="4" t="s">
        <v>245</v>
      </c>
      <c r="B93" s="4" t="s">
        <v>246</v>
      </c>
      <c r="C93" s="4" t="s">
        <v>105</v>
      </c>
      <c r="D93" s="4" t="s">
        <v>106</v>
      </c>
      <c r="E93" s="4" t="s">
        <v>247</v>
      </c>
      <c r="F93" s="4" t="s">
        <v>249</v>
      </c>
      <c r="G93" s="7">
        <v>44047</v>
      </c>
      <c r="H93" s="5">
        <v>1</v>
      </c>
      <c r="I93" s="4" t="s">
        <v>26</v>
      </c>
      <c r="J93" s="16">
        <v>18725</v>
      </c>
      <c r="K93" s="16"/>
      <c r="L93" s="16">
        <f>AtlasReport_1_Table_1[[#This Row],[Amount in default currency]]-AtlasReport_1_Table_1[[#This Row],[Cost Amount]]</f>
        <v>18725</v>
      </c>
    </row>
    <row r="94" spans="1:12">
      <c r="A94" s="4" t="s">
        <v>195</v>
      </c>
      <c r="B94" s="4" t="s">
        <v>196</v>
      </c>
      <c r="C94" s="4" t="s">
        <v>11</v>
      </c>
      <c r="D94" s="4" t="s">
        <v>17</v>
      </c>
      <c r="E94" s="4" t="s">
        <v>250</v>
      </c>
      <c r="F94" s="4" t="s">
        <v>251</v>
      </c>
      <c r="G94" s="7">
        <v>44067</v>
      </c>
      <c r="H94" s="5">
        <v>48.5</v>
      </c>
      <c r="I94" s="4" t="s">
        <v>27</v>
      </c>
      <c r="J94" s="16">
        <v>970</v>
      </c>
      <c r="K94" s="16"/>
      <c r="L94" s="16">
        <f>AtlasReport_1_Table_1[[#This Row],[Amount in default currency]]-AtlasReport_1_Table_1[[#This Row],[Cost Amount]]</f>
        <v>970</v>
      </c>
    </row>
    <row r="95" spans="1:12">
      <c r="A95" s="4" t="s">
        <v>195</v>
      </c>
      <c r="B95" s="4" t="s">
        <v>196</v>
      </c>
      <c r="C95" s="4" t="s">
        <v>68</v>
      </c>
      <c r="D95" s="4" t="s">
        <v>17</v>
      </c>
      <c r="E95" s="4" t="s">
        <v>250</v>
      </c>
      <c r="F95" s="4" t="s">
        <v>252</v>
      </c>
      <c r="G95" s="7">
        <v>44067</v>
      </c>
      <c r="H95" s="5">
        <v>825</v>
      </c>
      <c r="I95" s="4" t="s">
        <v>27</v>
      </c>
      <c r="J95" s="16">
        <v>42075</v>
      </c>
      <c r="K95" s="16"/>
      <c r="L95" s="16">
        <f>AtlasReport_1_Table_1[[#This Row],[Amount in default currency]]-AtlasReport_1_Table_1[[#This Row],[Cost Amount]]</f>
        <v>42075</v>
      </c>
    </row>
    <row r="96" spans="1:12">
      <c r="A96" s="4" t="s">
        <v>195</v>
      </c>
      <c r="B96" s="4" t="s">
        <v>196</v>
      </c>
      <c r="C96" s="4" t="s">
        <v>10</v>
      </c>
      <c r="D96" s="4" t="s">
        <v>17</v>
      </c>
      <c r="E96" s="4" t="s">
        <v>250</v>
      </c>
      <c r="F96" s="4" t="s">
        <v>253</v>
      </c>
      <c r="G96" s="7">
        <v>44067</v>
      </c>
      <c r="H96" s="5">
        <v>3510</v>
      </c>
      <c r="I96" s="4" t="s">
        <v>27</v>
      </c>
      <c r="J96" s="16">
        <v>179010</v>
      </c>
      <c r="K96" s="16"/>
      <c r="L96" s="16">
        <f>AtlasReport_1_Table_1[[#This Row],[Amount in default currency]]-AtlasReport_1_Table_1[[#This Row],[Cost Amount]]</f>
        <v>179010</v>
      </c>
    </row>
    <row r="97" spans="1:12">
      <c r="A97" s="4" t="s">
        <v>195</v>
      </c>
      <c r="B97" s="4" t="s">
        <v>196</v>
      </c>
      <c r="C97" s="4" t="s">
        <v>105</v>
      </c>
      <c r="D97" s="4" t="s">
        <v>106</v>
      </c>
      <c r="E97" s="4" t="s">
        <v>250</v>
      </c>
      <c r="F97" s="4" t="s">
        <v>254</v>
      </c>
      <c r="G97" s="7">
        <v>44067</v>
      </c>
      <c r="H97" s="5">
        <v>1</v>
      </c>
      <c r="I97" s="4" t="s">
        <v>26</v>
      </c>
      <c r="J97" s="16">
        <v>31450</v>
      </c>
      <c r="K97" s="16"/>
      <c r="L97" s="16">
        <f>AtlasReport_1_Table_1[[#This Row],[Amount in default currency]]-AtlasReport_1_Table_1[[#This Row],[Cost Amount]]</f>
        <v>31450</v>
      </c>
    </row>
    <row r="98" spans="1:12">
      <c r="A98" s="4" t="s">
        <v>82</v>
      </c>
      <c r="B98" s="4" t="s">
        <v>83</v>
      </c>
      <c r="C98" s="4" t="s">
        <v>199</v>
      </c>
      <c r="D98" s="4" t="s">
        <v>93</v>
      </c>
      <c r="E98" s="4" t="s">
        <v>255</v>
      </c>
      <c r="F98" s="4" t="s">
        <v>256</v>
      </c>
      <c r="G98" s="7">
        <v>44062</v>
      </c>
      <c r="H98" s="5">
        <v>150</v>
      </c>
      <c r="I98" s="4" t="s">
        <v>27</v>
      </c>
      <c r="J98" s="16">
        <v>8250</v>
      </c>
      <c r="K98" s="16"/>
      <c r="L98" s="16">
        <f>AtlasReport_1_Table_1[[#This Row],[Amount in default currency]]-AtlasReport_1_Table_1[[#This Row],[Cost Amount]]</f>
        <v>8250</v>
      </c>
    </row>
    <row r="99" spans="1:12">
      <c r="A99" s="4" t="s">
        <v>82</v>
      </c>
      <c r="B99" s="4" t="s">
        <v>83</v>
      </c>
      <c r="C99" s="4" t="s">
        <v>95</v>
      </c>
      <c r="D99" s="4" t="s">
        <v>93</v>
      </c>
      <c r="E99" s="4" t="s">
        <v>255</v>
      </c>
      <c r="F99" s="4" t="s">
        <v>257</v>
      </c>
      <c r="G99" s="7">
        <v>44062</v>
      </c>
      <c r="H99" s="5">
        <v>1755</v>
      </c>
      <c r="I99" s="4" t="s">
        <v>27</v>
      </c>
      <c r="J99" s="16">
        <v>96525</v>
      </c>
      <c r="K99" s="16"/>
      <c r="L99" s="16">
        <f>AtlasReport_1_Table_1[[#This Row],[Amount in default currency]]-AtlasReport_1_Table_1[[#This Row],[Cost Amount]]</f>
        <v>96525</v>
      </c>
    </row>
    <row r="100" spans="1:12">
      <c r="A100" s="4" t="s">
        <v>82</v>
      </c>
      <c r="B100" s="4" t="s">
        <v>83</v>
      </c>
      <c r="C100" s="4" t="s">
        <v>105</v>
      </c>
      <c r="D100" s="4" t="s">
        <v>106</v>
      </c>
      <c r="E100" s="4" t="s">
        <v>255</v>
      </c>
      <c r="F100" s="4" t="s">
        <v>258</v>
      </c>
      <c r="G100" s="7">
        <v>44062</v>
      </c>
      <c r="H100" s="5">
        <v>1</v>
      </c>
      <c r="I100" s="4" t="s">
        <v>26</v>
      </c>
      <c r="J100" s="16">
        <v>19850</v>
      </c>
      <c r="K100" s="16"/>
      <c r="L100" s="16">
        <f>AtlasReport_1_Table_1[[#This Row],[Amount in default currency]]-AtlasReport_1_Table_1[[#This Row],[Cost Amount]]</f>
        <v>19850</v>
      </c>
    </row>
    <row r="101" spans="1:12">
      <c r="A101" s="4" t="s">
        <v>157</v>
      </c>
      <c r="B101" s="4" t="s">
        <v>158</v>
      </c>
      <c r="C101" s="4" t="s">
        <v>10</v>
      </c>
      <c r="D101" s="4" t="s">
        <v>17</v>
      </c>
      <c r="E101" s="4" t="s">
        <v>259</v>
      </c>
      <c r="F101" s="4" t="s">
        <v>260</v>
      </c>
      <c r="G101" s="7">
        <v>44062</v>
      </c>
      <c r="H101" s="5">
        <v>2</v>
      </c>
      <c r="I101" s="4" t="s">
        <v>81</v>
      </c>
      <c r="J101" s="16">
        <v>8856.8700000000008</v>
      </c>
      <c r="K101" s="16"/>
      <c r="L101" s="16">
        <f>AtlasReport_1_Table_1[[#This Row],[Amount in default currency]]-AtlasReport_1_Table_1[[#This Row],[Cost Amount]]</f>
        <v>8856.8700000000008</v>
      </c>
    </row>
    <row r="102" spans="1:12">
      <c r="A102" s="4" t="s">
        <v>261</v>
      </c>
      <c r="B102" s="4" t="s">
        <v>262</v>
      </c>
      <c r="C102" s="4" t="s">
        <v>11</v>
      </c>
      <c r="D102" s="4" t="s">
        <v>17</v>
      </c>
      <c r="E102" s="4" t="s">
        <v>263</v>
      </c>
      <c r="F102" s="4" t="s">
        <v>264</v>
      </c>
      <c r="G102" s="7">
        <v>44067</v>
      </c>
      <c r="H102" s="5">
        <v>1</v>
      </c>
      <c r="I102" s="4" t="s">
        <v>81</v>
      </c>
      <c r="J102" s="16">
        <v>1212.5</v>
      </c>
      <c r="K102" s="16"/>
      <c r="L102" s="16">
        <f>AtlasReport_1_Table_1[[#This Row],[Amount in default currency]]-AtlasReport_1_Table_1[[#This Row],[Cost Amount]]</f>
        <v>1212.5</v>
      </c>
    </row>
    <row r="103" spans="1:12">
      <c r="A103" s="4" t="s">
        <v>261</v>
      </c>
      <c r="B103" s="4" t="s">
        <v>262</v>
      </c>
      <c r="C103" s="4" t="s">
        <v>10</v>
      </c>
      <c r="D103" s="4" t="s">
        <v>17</v>
      </c>
      <c r="E103" s="4" t="s">
        <v>263</v>
      </c>
      <c r="F103" s="4" t="s">
        <v>265</v>
      </c>
      <c r="G103" s="7">
        <v>44067</v>
      </c>
      <c r="H103" s="5">
        <v>6</v>
      </c>
      <c r="I103" s="4" t="s">
        <v>81</v>
      </c>
      <c r="J103" s="16">
        <v>14625</v>
      </c>
      <c r="K103" s="16"/>
      <c r="L103" s="16">
        <f>AtlasReport_1_Table_1[[#This Row],[Amount in default currency]]-AtlasReport_1_Table_1[[#This Row],[Cost Amount]]</f>
        <v>14625</v>
      </c>
    </row>
    <row r="104" spans="1:12">
      <c r="A104" s="4" t="s">
        <v>261</v>
      </c>
      <c r="B104" s="4" t="s">
        <v>262</v>
      </c>
      <c r="C104" s="4" t="s">
        <v>105</v>
      </c>
      <c r="D104" s="4" t="s">
        <v>106</v>
      </c>
      <c r="E104" s="4" t="s">
        <v>263</v>
      </c>
      <c r="F104" s="4" t="s">
        <v>266</v>
      </c>
      <c r="G104" s="7">
        <v>44067</v>
      </c>
      <c r="H104" s="5">
        <v>1</v>
      </c>
      <c r="I104" s="4" t="s">
        <v>26</v>
      </c>
      <c r="J104" s="16">
        <v>8300</v>
      </c>
      <c r="K104" s="16"/>
      <c r="L104" s="16">
        <f>AtlasReport_1_Table_1[[#This Row],[Amount in default currency]]-AtlasReport_1_Table_1[[#This Row],[Cost Amount]]</f>
        <v>8300</v>
      </c>
    </row>
    <row r="105" spans="1:12">
      <c r="A105" s="4" t="s">
        <v>267</v>
      </c>
      <c r="B105" s="4" t="s">
        <v>268</v>
      </c>
      <c r="C105" s="4" t="s">
        <v>77</v>
      </c>
      <c r="D105" s="4" t="s">
        <v>78</v>
      </c>
      <c r="E105" s="4" t="s">
        <v>269</v>
      </c>
      <c r="F105" s="4" t="s">
        <v>270</v>
      </c>
      <c r="G105" s="7">
        <v>44064</v>
      </c>
      <c r="H105" s="5">
        <v>4</v>
      </c>
      <c r="I105" s="4" t="s">
        <v>81</v>
      </c>
      <c r="J105" s="16">
        <v>9700</v>
      </c>
      <c r="K105" s="16"/>
      <c r="L105" s="16">
        <f>AtlasReport_1_Table_1[[#This Row],[Amount in default currency]]-AtlasReport_1_Table_1[[#This Row],[Cost Amount]]</f>
        <v>9700</v>
      </c>
    </row>
    <row r="106" spans="1:12">
      <c r="A106" s="4" t="s">
        <v>87</v>
      </c>
      <c r="B106" s="4" t="s">
        <v>88</v>
      </c>
      <c r="C106" s="4" t="s">
        <v>92</v>
      </c>
      <c r="D106" s="4" t="s">
        <v>93</v>
      </c>
      <c r="E106" s="4" t="s">
        <v>271</v>
      </c>
      <c r="F106" s="4" t="s">
        <v>272</v>
      </c>
      <c r="G106" s="7">
        <v>44063</v>
      </c>
      <c r="H106" s="5">
        <v>5820</v>
      </c>
      <c r="I106" s="4" t="s">
        <v>27</v>
      </c>
      <c r="J106" s="16">
        <v>344627.19</v>
      </c>
      <c r="K106" s="16"/>
      <c r="L106" s="16">
        <f>AtlasReport_1_Table_1[[#This Row],[Amount in default currency]]-AtlasReport_1_Table_1[[#This Row],[Cost Amount]]</f>
        <v>344627.19</v>
      </c>
    </row>
    <row r="107" spans="1:12">
      <c r="A107" s="4" t="s">
        <v>87</v>
      </c>
      <c r="B107" s="4" t="s">
        <v>88</v>
      </c>
      <c r="C107" s="4" t="s">
        <v>95</v>
      </c>
      <c r="D107" s="4" t="s">
        <v>93</v>
      </c>
      <c r="E107" s="4" t="s">
        <v>271</v>
      </c>
      <c r="F107" s="4" t="s">
        <v>273</v>
      </c>
      <c r="G107" s="7">
        <v>44063</v>
      </c>
      <c r="H107" s="5">
        <v>7800</v>
      </c>
      <c r="I107" s="4" t="s">
        <v>27</v>
      </c>
      <c r="J107" s="16">
        <v>461871.49</v>
      </c>
      <c r="K107" s="16"/>
      <c r="L107" s="16">
        <f>AtlasReport_1_Table_1[[#This Row],[Amount in default currency]]-AtlasReport_1_Table_1[[#This Row],[Cost Amount]]</f>
        <v>461871.49</v>
      </c>
    </row>
    <row r="108" spans="1:12">
      <c r="A108" s="4" t="s">
        <v>87</v>
      </c>
      <c r="B108" s="4" t="s">
        <v>88</v>
      </c>
      <c r="C108" s="4" t="s">
        <v>10</v>
      </c>
      <c r="D108" s="4" t="s">
        <v>17</v>
      </c>
      <c r="E108" s="4" t="s">
        <v>271</v>
      </c>
      <c r="F108" s="4" t="s">
        <v>274</v>
      </c>
      <c r="G108" s="7">
        <v>44063</v>
      </c>
      <c r="H108" s="5">
        <v>5850</v>
      </c>
      <c r="I108" s="4" t="s">
        <v>27</v>
      </c>
      <c r="J108" s="16">
        <v>177426.24</v>
      </c>
      <c r="K108" s="16"/>
      <c r="L108" s="16">
        <f>AtlasReport_1_Table_1[[#This Row],[Amount in default currency]]-AtlasReport_1_Table_1[[#This Row],[Cost Amount]]</f>
        <v>177426.24</v>
      </c>
    </row>
    <row r="109" spans="1:12">
      <c r="A109" s="4" t="s">
        <v>136</v>
      </c>
      <c r="B109" s="4" t="s">
        <v>137</v>
      </c>
      <c r="C109" s="4" t="s">
        <v>68</v>
      </c>
      <c r="D109" s="4" t="s">
        <v>17</v>
      </c>
      <c r="E109" s="4" t="s">
        <v>275</v>
      </c>
      <c r="F109" s="4" t="s">
        <v>276</v>
      </c>
      <c r="G109" s="7">
        <v>44071</v>
      </c>
      <c r="H109" s="5">
        <v>-7</v>
      </c>
      <c r="I109" s="4" t="s">
        <v>81</v>
      </c>
      <c r="J109" s="16">
        <v>-26775</v>
      </c>
      <c r="K109" s="16"/>
      <c r="L109" s="16">
        <f>AtlasReport_1_Table_1[[#This Row],[Amount in default currency]]-AtlasReport_1_Table_1[[#This Row],[Cost Amount]]</f>
        <v>-26775</v>
      </c>
    </row>
    <row r="110" spans="1:12">
      <c r="A110" s="4" t="s">
        <v>136</v>
      </c>
      <c r="B110" s="4" t="s">
        <v>137</v>
      </c>
      <c r="C110" s="4" t="s">
        <v>10</v>
      </c>
      <c r="D110" s="4" t="s">
        <v>17</v>
      </c>
      <c r="E110" s="4" t="s">
        <v>275</v>
      </c>
      <c r="F110" s="4" t="s">
        <v>277</v>
      </c>
      <c r="G110" s="7">
        <v>44071</v>
      </c>
      <c r="H110" s="5">
        <v>-13</v>
      </c>
      <c r="I110" s="4" t="s">
        <v>81</v>
      </c>
      <c r="J110" s="16">
        <v>-64642.5</v>
      </c>
      <c r="K110" s="16"/>
      <c r="L110" s="16">
        <f>AtlasReport_1_Table_1[[#This Row],[Amount in default currency]]-AtlasReport_1_Table_1[[#This Row],[Cost Amount]]</f>
        <v>-64642.5</v>
      </c>
    </row>
    <row r="111" spans="1:12">
      <c r="A111" s="4" t="s">
        <v>136</v>
      </c>
      <c r="B111" s="4" t="s">
        <v>137</v>
      </c>
      <c r="C111" s="4" t="s">
        <v>105</v>
      </c>
      <c r="D111" s="4" t="s">
        <v>106</v>
      </c>
      <c r="E111" s="4" t="s">
        <v>275</v>
      </c>
      <c r="F111" s="4" t="s">
        <v>278</v>
      </c>
      <c r="G111" s="7">
        <v>44071</v>
      </c>
      <c r="H111" s="5">
        <v>-1</v>
      </c>
      <c r="I111" s="4" t="s">
        <v>26</v>
      </c>
      <c r="J111" s="16">
        <v>-16425</v>
      </c>
      <c r="K111" s="16"/>
      <c r="L111" s="16">
        <f>AtlasReport_1_Table_1[[#This Row],[Amount in default currency]]-AtlasReport_1_Table_1[[#This Row],[Cost Amount]]</f>
        <v>-16425</v>
      </c>
    </row>
    <row r="112" spans="1:12">
      <c r="A112" s="4" t="s">
        <v>136</v>
      </c>
      <c r="B112" s="4" t="s">
        <v>137</v>
      </c>
      <c r="C112" s="4" t="s">
        <v>105</v>
      </c>
      <c r="D112" s="4" t="s">
        <v>106</v>
      </c>
      <c r="E112" s="4" t="s">
        <v>275</v>
      </c>
      <c r="F112" s="4" t="s">
        <v>279</v>
      </c>
      <c r="G112" s="7">
        <v>44071</v>
      </c>
      <c r="H112" s="5">
        <v>-78</v>
      </c>
      <c r="I112" s="4" t="s">
        <v>27</v>
      </c>
      <c r="J112" s="16">
        <v>-1794</v>
      </c>
      <c r="K112" s="16"/>
      <c r="L112" s="16">
        <f>AtlasReport_1_Table_1[[#This Row],[Amount in default currency]]-AtlasReport_1_Table_1[[#This Row],[Cost Amount]]</f>
        <v>-1794</v>
      </c>
    </row>
    <row r="113" spans="1:12">
      <c r="A113" s="4" t="s">
        <v>136</v>
      </c>
      <c r="B113" s="4" t="s">
        <v>137</v>
      </c>
      <c r="C113" s="4" t="s">
        <v>68</v>
      </c>
      <c r="D113" s="4" t="s">
        <v>17</v>
      </c>
      <c r="E113" s="4" t="s">
        <v>280</v>
      </c>
      <c r="F113" s="4" t="s">
        <v>281</v>
      </c>
      <c r="G113" s="7">
        <v>44071</v>
      </c>
      <c r="H113" s="5">
        <v>7</v>
      </c>
      <c r="I113" s="4" t="s">
        <v>81</v>
      </c>
      <c r="J113" s="16">
        <v>12075</v>
      </c>
      <c r="K113" s="16"/>
      <c r="L113" s="16">
        <f>AtlasReport_1_Table_1[[#This Row],[Amount in default currency]]-AtlasReport_1_Table_1[[#This Row],[Cost Amount]]</f>
        <v>12075</v>
      </c>
    </row>
    <row r="114" spans="1:12">
      <c r="A114" s="4" t="s">
        <v>136</v>
      </c>
      <c r="B114" s="4" t="s">
        <v>137</v>
      </c>
      <c r="C114" s="4" t="s">
        <v>10</v>
      </c>
      <c r="D114" s="4" t="s">
        <v>17</v>
      </c>
      <c r="E114" s="4" t="s">
        <v>280</v>
      </c>
      <c r="F114" s="4" t="s">
        <v>282</v>
      </c>
      <c r="G114" s="7">
        <v>44071</v>
      </c>
      <c r="H114" s="5">
        <v>13</v>
      </c>
      <c r="I114" s="4" t="s">
        <v>81</v>
      </c>
      <c r="J114" s="16">
        <v>29152.5</v>
      </c>
      <c r="K114" s="16"/>
      <c r="L114" s="16">
        <f>AtlasReport_1_Table_1[[#This Row],[Amount in default currency]]-AtlasReport_1_Table_1[[#This Row],[Cost Amount]]</f>
        <v>29152.5</v>
      </c>
    </row>
    <row r="115" spans="1:12">
      <c r="A115" s="4" t="s">
        <v>136</v>
      </c>
      <c r="B115" s="4" t="s">
        <v>137</v>
      </c>
      <c r="C115" s="4" t="s">
        <v>105</v>
      </c>
      <c r="D115" s="4" t="s">
        <v>106</v>
      </c>
      <c r="E115" s="4" t="s">
        <v>280</v>
      </c>
      <c r="F115" s="4" t="s">
        <v>283</v>
      </c>
      <c r="G115" s="7">
        <v>44071</v>
      </c>
      <c r="H115" s="5">
        <v>1</v>
      </c>
      <c r="I115" s="4" t="s">
        <v>26</v>
      </c>
      <c r="J115" s="16">
        <v>16425</v>
      </c>
      <c r="K115" s="16"/>
      <c r="L115" s="16">
        <f>AtlasReport_1_Table_1[[#This Row],[Amount in default currency]]-AtlasReport_1_Table_1[[#This Row],[Cost Amount]]</f>
        <v>16425</v>
      </c>
    </row>
    <row r="116" spans="1:12">
      <c r="A116" s="4" t="s">
        <v>136</v>
      </c>
      <c r="B116" s="4" t="s">
        <v>137</v>
      </c>
      <c r="C116" s="4" t="s">
        <v>105</v>
      </c>
      <c r="D116" s="4" t="s">
        <v>106</v>
      </c>
      <c r="E116" s="4" t="s">
        <v>280</v>
      </c>
      <c r="F116" s="4" t="s">
        <v>284</v>
      </c>
      <c r="G116" s="7">
        <v>44071</v>
      </c>
      <c r="H116" s="5">
        <v>78</v>
      </c>
      <c r="I116" s="4" t="s">
        <v>27</v>
      </c>
      <c r="J116" s="16">
        <v>1794</v>
      </c>
      <c r="K116" s="16"/>
      <c r="L116" s="16">
        <f>AtlasReport_1_Table_1[[#This Row],[Amount in default currency]]-AtlasReport_1_Table_1[[#This Row],[Cost Amount]]</f>
        <v>1794</v>
      </c>
    </row>
    <row r="117" spans="1:12">
      <c r="A117" s="4" t="s">
        <v>151</v>
      </c>
      <c r="B117" s="4" t="s">
        <v>152</v>
      </c>
      <c r="C117" s="4" t="s">
        <v>105</v>
      </c>
      <c r="D117" s="4" t="s">
        <v>106</v>
      </c>
      <c r="E117" s="4" t="s">
        <v>285</v>
      </c>
      <c r="F117" s="4" t="s">
        <v>286</v>
      </c>
      <c r="G117" s="7">
        <v>44074</v>
      </c>
      <c r="H117" s="5">
        <v>1</v>
      </c>
      <c r="I117" s="4" t="s">
        <v>26</v>
      </c>
      <c r="J117" s="16">
        <v>1718</v>
      </c>
      <c r="K117" s="16"/>
      <c r="L117" s="16">
        <f>AtlasReport_1_Table_1[[#This Row],[Amount in default currency]]-AtlasReport_1_Table_1[[#This Row],[Cost Amount]]</f>
        <v>1718</v>
      </c>
    </row>
    <row r="118" spans="1:12">
      <c r="A118" s="4" t="s">
        <v>151</v>
      </c>
      <c r="B118" s="4" t="s">
        <v>152</v>
      </c>
      <c r="C118" s="4" t="s">
        <v>105</v>
      </c>
      <c r="D118" s="4" t="s">
        <v>106</v>
      </c>
      <c r="E118" s="4" t="s">
        <v>285</v>
      </c>
      <c r="F118" s="4" t="s">
        <v>287</v>
      </c>
      <c r="G118" s="7">
        <v>44074</v>
      </c>
      <c r="H118" s="5">
        <v>1</v>
      </c>
      <c r="I118" s="4" t="s">
        <v>26</v>
      </c>
      <c r="J118" s="16">
        <v>2500</v>
      </c>
      <c r="K118" s="16"/>
      <c r="L118" s="16">
        <f>AtlasReport_1_Table_1[[#This Row],[Amount in default currency]]-AtlasReport_1_Table_1[[#This Row],[Cost Amount]]</f>
        <v>2500</v>
      </c>
    </row>
    <row r="119" spans="1:12">
      <c r="A119" s="4" t="s">
        <v>143</v>
      </c>
      <c r="B119" s="4" t="s">
        <v>144</v>
      </c>
      <c r="C119" s="4" t="s">
        <v>199</v>
      </c>
      <c r="D119" s="4" t="s">
        <v>93</v>
      </c>
      <c r="E119" s="4" t="s">
        <v>288</v>
      </c>
      <c r="F119" s="4" t="s">
        <v>289</v>
      </c>
      <c r="G119" s="7">
        <v>44074</v>
      </c>
      <c r="H119" s="5">
        <v>-90</v>
      </c>
      <c r="I119" s="4" t="s">
        <v>81</v>
      </c>
      <c r="J119" s="16">
        <v>-317250</v>
      </c>
      <c r="K119" s="16"/>
      <c r="L119" s="16">
        <f>AtlasReport_1_Table_1[[#This Row],[Amount in default currency]]-AtlasReport_1_Table_1[[#This Row],[Cost Amount]]</f>
        <v>-317250</v>
      </c>
    </row>
    <row r="120" spans="1:12">
      <c r="A120" s="4" t="s">
        <v>143</v>
      </c>
      <c r="B120" s="4" t="s">
        <v>144</v>
      </c>
      <c r="C120" s="4" t="s">
        <v>95</v>
      </c>
      <c r="D120" s="4" t="s">
        <v>93</v>
      </c>
      <c r="E120" s="4" t="s">
        <v>288</v>
      </c>
      <c r="F120" s="4" t="s">
        <v>290</v>
      </c>
      <c r="G120" s="7">
        <v>44074</v>
      </c>
      <c r="H120" s="5">
        <v>-30</v>
      </c>
      <c r="I120" s="4" t="s">
        <v>81</v>
      </c>
      <c r="J120" s="16">
        <v>-137475</v>
      </c>
      <c r="K120" s="16"/>
      <c r="L120" s="16">
        <f>AtlasReport_1_Table_1[[#This Row],[Amount in default currency]]-AtlasReport_1_Table_1[[#This Row],[Cost Amount]]</f>
        <v>-137475</v>
      </c>
    </row>
    <row r="121" spans="1:12">
      <c r="A121" s="4" t="s">
        <v>143</v>
      </c>
      <c r="B121" s="4" t="s">
        <v>144</v>
      </c>
      <c r="C121" s="4" t="s">
        <v>105</v>
      </c>
      <c r="D121" s="4" t="s">
        <v>106</v>
      </c>
      <c r="E121" s="4" t="s">
        <v>288</v>
      </c>
      <c r="F121" s="4" t="s">
        <v>291</v>
      </c>
      <c r="G121" s="7">
        <v>44074</v>
      </c>
      <c r="H121" s="5">
        <v>-1</v>
      </c>
      <c r="I121" s="4" t="s">
        <v>26</v>
      </c>
      <c r="J121" s="16">
        <v>-37750</v>
      </c>
      <c r="K121" s="16"/>
      <c r="L121" s="16">
        <f>AtlasReport_1_Table_1[[#This Row],[Amount in default currency]]-AtlasReport_1_Table_1[[#This Row],[Cost Amount]]</f>
        <v>-37750</v>
      </c>
    </row>
    <row r="122" spans="1:12">
      <c r="A122" s="4" t="s">
        <v>143</v>
      </c>
      <c r="B122" s="4" t="s">
        <v>144</v>
      </c>
      <c r="C122" s="4" t="s">
        <v>199</v>
      </c>
      <c r="D122" s="4" t="s">
        <v>93</v>
      </c>
      <c r="E122" s="4" t="s">
        <v>292</v>
      </c>
      <c r="F122" s="4" t="s">
        <v>293</v>
      </c>
      <c r="G122" s="7">
        <v>44074</v>
      </c>
      <c r="H122" s="5">
        <v>84</v>
      </c>
      <c r="I122" s="4" t="s">
        <v>81</v>
      </c>
      <c r="J122" s="16">
        <v>294925</v>
      </c>
      <c r="K122" s="16"/>
      <c r="L122" s="16">
        <f>AtlasReport_1_Table_1[[#This Row],[Amount in default currency]]-AtlasReport_1_Table_1[[#This Row],[Cost Amount]]</f>
        <v>294925</v>
      </c>
    </row>
    <row r="123" spans="1:12">
      <c r="A123" s="4" t="s">
        <v>143</v>
      </c>
      <c r="B123" s="4" t="s">
        <v>144</v>
      </c>
      <c r="C123" s="4" t="s">
        <v>95</v>
      </c>
      <c r="D123" s="4" t="s">
        <v>93</v>
      </c>
      <c r="E123" s="4" t="s">
        <v>292</v>
      </c>
      <c r="F123" s="4" t="s">
        <v>294</v>
      </c>
      <c r="G123" s="7">
        <v>44074</v>
      </c>
      <c r="H123" s="5">
        <v>30</v>
      </c>
      <c r="I123" s="4" t="s">
        <v>81</v>
      </c>
      <c r="J123" s="16">
        <v>137475</v>
      </c>
      <c r="K123" s="16"/>
      <c r="L123" s="16">
        <f>AtlasReport_1_Table_1[[#This Row],[Amount in default currency]]-AtlasReport_1_Table_1[[#This Row],[Cost Amount]]</f>
        <v>137475</v>
      </c>
    </row>
    <row r="124" spans="1:12">
      <c r="A124" s="4" t="s">
        <v>143</v>
      </c>
      <c r="B124" s="4" t="s">
        <v>144</v>
      </c>
      <c r="C124" s="4" t="s">
        <v>105</v>
      </c>
      <c r="D124" s="4" t="s">
        <v>106</v>
      </c>
      <c r="E124" s="4" t="s">
        <v>292</v>
      </c>
      <c r="F124" s="4" t="s">
        <v>295</v>
      </c>
      <c r="G124" s="7">
        <v>44074</v>
      </c>
      <c r="H124" s="5">
        <v>1</v>
      </c>
      <c r="I124" s="4" t="s">
        <v>26</v>
      </c>
      <c r="J124" s="16">
        <v>37750</v>
      </c>
      <c r="K124" s="16"/>
      <c r="L124" s="16">
        <f>AtlasReport_1_Table_1[[#This Row],[Amount in default currency]]-AtlasReport_1_Table_1[[#This Row],[Cost Amount]]</f>
        <v>37750</v>
      </c>
    </row>
    <row r="125" spans="1:12">
      <c r="A125" s="4" t="s">
        <v>82</v>
      </c>
      <c r="B125" s="4" t="s">
        <v>83</v>
      </c>
      <c r="C125" s="4" t="s">
        <v>199</v>
      </c>
      <c r="D125" s="4" t="s">
        <v>93</v>
      </c>
      <c r="E125" s="4" t="s">
        <v>296</v>
      </c>
      <c r="F125" s="4" t="s">
        <v>297</v>
      </c>
      <c r="G125" s="7">
        <v>44076</v>
      </c>
      <c r="H125" s="5">
        <v>-150</v>
      </c>
      <c r="I125" s="4" t="s">
        <v>27</v>
      </c>
      <c r="J125" s="16">
        <v>-8250</v>
      </c>
      <c r="K125" s="16"/>
      <c r="L125" s="16">
        <f>AtlasReport_1_Table_1[[#This Row],[Amount in default currency]]-AtlasReport_1_Table_1[[#This Row],[Cost Amount]]</f>
        <v>-8250</v>
      </c>
    </row>
    <row r="126" spans="1:12">
      <c r="A126" s="4" t="s">
        <v>82</v>
      </c>
      <c r="B126" s="4" t="s">
        <v>83</v>
      </c>
      <c r="C126" s="4" t="s">
        <v>95</v>
      </c>
      <c r="D126" s="4" t="s">
        <v>93</v>
      </c>
      <c r="E126" s="4" t="s">
        <v>296</v>
      </c>
      <c r="F126" s="4" t="s">
        <v>298</v>
      </c>
      <c r="G126" s="7">
        <v>44076</v>
      </c>
      <c r="H126" s="5">
        <v>-1755</v>
      </c>
      <c r="I126" s="4" t="s">
        <v>27</v>
      </c>
      <c r="J126" s="16">
        <v>-96525</v>
      </c>
      <c r="K126" s="16"/>
      <c r="L126" s="16">
        <f>AtlasReport_1_Table_1[[#This Row],[Amount in default currency]]-AtlasReport_1_Table_1[[#This Row],[Cost Amount]]</f>
        <v>-96525</v>
      </c>
    </row>
    <row r="127" spans="1:12">
      <c r="A127" s="4" t="s">
        <v>82</v>
      </c>
      <c r="B127" s="4" t="s">
        <v>83</v>
      </c>
      <c r="C127" s="4" t="s">
        <v>105</v>
      </c>
      <c r="D127" s="4" t="s">
        <v>106</v>
      </c>
      <c r="E127" s="4" t="s">
        <v>296</v>
      </c>
      <c r="F127" s="4" t="s">
        <v>299</v>
      </c>
      <c r="G127" s="7">
        <v>44076</v>
      </c>
      <c r="H127" s="5">
        <v>-1</v>
      </c>
      <c r="I127" s="4" t="s">
        <v>26</v>
      </c>
      <c r="J127" s="16">
        <v>-19850</v>
      </c>
      <c r="K127" s="16"/>
      <c r="L127" s="16">
        <f>AtlasReport_1_Table_1[[#This Row],[Amount in default currency]]-AtlasReport_1_Table_1[[#This Row],[Cost Amount]]</f>
        <v>-19850</v>
      </c>
    </row>
    <row r="128" spans="1:12">
      <c r="A128" s="4" t="s">
        <v>82</v>
      </c>
      <c r="B128" s="4" t="s">
        <v>83</v>
      </c>
      <c r="C128" s="4" t="s">
        <v>199</v>
      </c>
      <c r="D128" s="4" t="s">
        <v>93</v>
      </c>
      <c r="E128" s="4" t="s">
        <v>300</v>
      </c>
      <c r="F128" s="4" t="s">
        <v>301</v>
      </c>
      <c r="G128" s="7">
        <v>44074</v>
      </c>
      <c r="H128" s="5">
        <v>150</v>
      </c>
      <c r="I128" s="4" t="s">
        <v>27</v>
      </c>
      <c r="J128" s="16">
        <v>8250</v>
      </c>
      <c r="K128" s="16"/>
      <c r="L128" s="16">
        <f>AtlasReport_1_Table_1[[#This Row],[Amount in default currency]]-AtlasReport_1_Table_1[[#This Row],[Cost Amount]]</f>
        <v>8250</v>
      </c>
    </row>
    <row r="129" spans="1:12">
      <c r="A129" s="4" t="s">
        <v>82</v>
      </c>
      <c r="B129" s="4" t="s">
        <v>83</v>
      </c>
      <c r="C129" s="4" t="s">
        <v>95</v>
      </c>
      <c r="D129" s="4" t="s">
        <v>93</v>
      </c>
      <c r="E129" s="4" t="s">
        <v>300</v>
      </c>
      <c r="F129" s="4" t="s">
        <v>302</v>
      </c>
      <c r="G129" s="7">
        <v>44074</v>
      </c>
      <c r="H129" s="5">
        <v>1755</v>
      </c>
      <c r="I129" s="4" t="s">
        <v>27</v>
      </c>
      <c r="J129" s="16">
        <v>96525</v>
      </c>
      <c r="K129" s="16"/>
      <c r="L129" s="16">
        <f>AtlasReport_1_Table_1[[#This Row],[Amount in default currency]]-AtlasReport_1_Table_1[[#This Row],[Cost Amount]]</f>
        <v>96525</v>
      </c>
    </row>
    <row r="130" spans="1:12">
      <c r="A130" s="4" t="s">
        <v>82</v>
      </c>
      <c r="B130" s="4" t="s">
        <v>83</v>
      </c>
      <c r="C130" s="4" t="s">
        <v>105</v>
      </c>
      <c r="D130" s="4" t="s">
        <v>106</v>
      </c>
      <c r="E130" s="4" t="s">
        <v>300</v>
      </c>
      <c r="F130" s="4" t="s">
        <v>303</v>
      </c>
      <c r="G130" s="7">
        <v>44074</v>
      </c>
      <c r="H130" s="5">
        <v>1</v>
      </c>
      <c r="I130" s="4" t="s">
        <v>26</v>
      </c>
      <c r="J130" s="16">
        <v>19850</v>
      </c>
      <c r="K130" s="16"/>
      <c r="L130" s="16">
        <f>AtlasReport_1_Table_1[[#This Row],[Amount in default currency]]-AtlasReport_1_Table_1[[#This Row],[Cost Amount]]</f>
        <v>19850</v>
      </c>
    </row>
    <row r="131" spans="1:12">
      <c r="A131" s="4" t="s">
        <v>82</v>
      </c>
      <c r="B131" s="4" t="s">
        <v>83</v>
      </c>
      <c r="C131" s="4" t="s">
        <v>77</v>
      </c>
      <c r="D131" s="4" t="s">
        <v>78</v>
      </c>
      <c r="E131" s="4" t="s">
        <v>304</v>
      </c>
      <c r="F131" s="4" t="s">
        <v>305</v>
      </c>
      <c r="G131" s="7">
        <v>44081</v>
      </c>
      <c r="H131" s="5">
        <v>5</v>
      </c>
      <c r="I131" s="4" t="s">
        <v>81</v>
      </c>
      <c r="J131" s="16">
        <v>12125</v>
      </c>
      <c r="K131" s="16"/>
      <c r="L131" s="16">
        <f>AtlasReport_1_Table_1[[#This Row],[Amount in default currency]]-AtlasReport_1_Table_1[[#This Row],[Cost Amount]]</f>
        <v>12125</v>
      </c>
    </row>
    <row r="132" spans="1:12">
      <c r="A132" s="4" t="s">
        <v>236</v>
      </c>
      <c r="B132" s="4" t="s">
        <v>237</v>
      </c>
      <c r="C132" s="4" t="s">
        <v>95</v>
      </c>
      <c r="D132" s="4" t="s">
        <v>93</v>
      </c>
      <c r="E132" s="4" t="s">
        <v>306</v>
      </c>
      <c r="F132" s="4" t="s">
        <v>307</v>
      </c>
      <c r="G132" s="7">
        <v>44082</v>
      </c>
      <c r="H132" s="5">
        <v>3</v>
      </c>
      <c r="I132" s="4" t="s">
        <v>81</v>
      </c>
      <c r="J132" s="16">
        <v>17550</v>
      </c>
      <c r="K132" s="16"/>
      <c r="L132" s="16">
        <f>AtlasReport_1_Table_1[[#This Row],[Amount in default currency]]-AtlasReport_1_Table_1[[#This Row],[Cost Amount]]</f>
        <v>17550</v>
      </c>
    </row>
    <row r="133" spans="1:12">
      <c r="A133" s="4" t="s">
        <v>308</v>
      </c>
      <c r="B133" s="4" t="s">
        <v>309</v>
      </c>
      <c r="C133" s="4" t="s">
        <v>11</v>
      </c>
      <c r="D133" s="4" t="s">
        <v>17</v>
      </c>
      <c r="E133" s="4" t="s">
        <v>310</v>
      </c>
      <c r="F133" s="4" t="s">
        <v>311</v>
      </c>
      <c r="G133" s="7">
        <v>44076</v>
      </c>
      <c r="H133" s="5">
        <v>1018.5</v>
      </c>
      <c r="I133" s="4" t="s">
        <v>27</v>
      </c>
      <c r="J133" s="16">
        <v>23425.5</v>
      </c>
      <c r="K133" s="16"/>
      <c r="L133" s="16">
        <f>AtlasReport_1_Table_1[[#This Row],[Amount in default currency]]-AtlasReport_1_Table_1[[#This Row],[Cost Amount]]</f>
        <v>23425.5</v>
      </c>
    </row>
    <row r="134" spans="1:12">
      <c r="A134" s="4" t="s">
        <v>143</v>
      </c>
      <c r="B134" s="4" t="s">
        <v>144</v>
      </c>
      <c r="C134" s="4" t="s">
        <v>105</v>
      </c>
      <c r="D134" s="4" t="s">
        <v>106</v>
      </c>
      <c r="E134" s="4" t="s">
        <v>312</v>
      </c>
      <c r="F134" s="4" t="s">
        <v>313</v>
      </c>
      <c r="G134" s="7">
        <v>44076</v>
      </c>
      <c r="H134" s="5">
        <v>1</v>
      </c>
      <c r="I134" s="4" t="s">
        <v>26</v>
      </c>
      <c r="J134" s="16">
        <v>6825</v>
      </c>
      <c r="K134" s="16"/>
      <c r="L134" s="16">
        <f>AtlasReport_1_Table_1[[#This Row],[Amount in default currency]]-AtlasReport_1_Table_1[[#This Row],[Cost Amount]]</f>
        <v>6825</v>
      </c>
    </row>
    <row r="135" spans="1:12">
      <c r="A135" s="4" t="s">
        <v>75</v>
      </c>
      <c r="B135" s="4" t="s">
        <v>76</v>
      </c>
      <c r="C135" s="4" t="s">
        <v>199</v>
      </c>
      <c r="D135" s="4" t="s">
        <v>93</v>
      </c>
      <c r="E135" s="4" t="s">
        <v>314</v>
      </c>
      <c r="F135" s="4" t="s">
        <v>315</v>
      </c>
      <c r="G135" s="7">
        <v>44089</v>
      </c>
      <c r="H135" s="5">
        <v>150</v>
      </c>
      <c r="I135" s="4" t="s">
        <v>27</v>
      </c>
      <c r="J135" s="16">
        <v>9000</v>
      </c>
      <c r="K135" s="16"/>
      <c r="L135" s="16">
        <f>AtlasReport_1_Table_1[[#This Row],[Amount in default currency]]-AtlasReport_1_Table_1[[#This Row],[Cost Amount]]</f>
        <v>9000</v>
      </c>
    </row>
    <row r="136" spans="1:12">
      <c r="A136" s="4" t="s">
        <v>75</v>
      </c>
      <c r="B136" s="4" t="s">
        <v>76</v>
      </c>
      <c r="C136" s="4" t="s">
        <v>95</v>
      </c>
      <c r="D136" s="4" t="s">
        <v>93</v>
      </c>
      <c r="E136" s="4" t="s">
        <v>314</v>
      </c>
      <c r="F136" s="4" t="s">
        <v>316</v>
      </c>
      <c r="G136" s="7">
        <v>44089</v>
      </c>
      <c r="H136" s="5">
        <v>487.5</v>
      </c>
      <c r="I136" s="4" t="s">
        <v>27</v>
      </c>
      <c r="J136" s="16">
        <v>29250</v>
      </c>
      <c r="K136" s="16"/>
      <c r="L136" s="16">
        <f>AtlasReport_1_Table_1[[#This Row],[Amount in default currency]]-AtlasReport_1_Table_1[[#This Row],[Cost Amount]]</f>
        <v>29250</v>
      </c>
    </row>
    <row r="137" spans="1:12">
      <c r="A137" s="4" t="s">
        <v>75</v>
      </c>
      <c r="B137" s="4" t="s">
        <v>76</v>
      </c>
      <c r="C137" s="4" t="s">
        <v>105</v>
      </c>
      <c r="D137" s="4" t="s">
        <v>106</v>
      </c>
      <c r="E137" s="4" t="s">
        <v>314</v>
      </c>
      <c r="F137" s="4" t="s">
        <v>317</v>
      </c>
      <c r="G137" s="7">
        <v>44089</v>
      </c>
      <c r="H137" s="5">
        <v>1</v>
      </c>
      <c r="I137" s="4" t="s">
        <v>26</v>
      </c>
      <c r="J137" s="16">
        <v>12500</v>
      </c>
      <c r="K137" s="16"/>
      <c r="L137" s="16">
        <f>AtlasReport_1_Table_1[[#This Row],[Amount in default currency]]-AtlasReport_1_Table_1[[#This Row],[Cost Amount]]</f>
        <v>12500</v>
      </c>
    </row>
    <row r="138" spans="1:12">
      <c r="A138" s="4" t="s">
        <v>318</v>
      </c>
      <c r="B138" s="4" t="s">
        <v>319</v>
      </c>
      <c r="C138" s="4" t="s">
        <v>95</v>
      </c>
      <c r="D138" s="4" t="s">
        <v>93</v>
      </c>
      <c r="E138" s="4" t="s">
        <v>320</v>
      </c>
      <c r="F138" s="4" t="s">
        <v>321</v>
      </c>
      <c r="G138" s="7">
        <v>44095</v>
      </c>
      <c r="H138" s="5">
        <v>2</v>
      </c>
      <c r="I138" s="4" t="s">
        <v>81</v>
      </c>
      <c r="J138" s="16">
        <v>14672.63</v>
      </c>
      <c r="K138" s="16"/>
      <c r="L138" s="16">
        <f>AtlasReport_1_Table_1[[#This Row],[Amount in default currency]]-AtlasReport_1_Table_1[[#This Row],[Cost Amount]]</f>
        <v>14672.63</v>
      </c>
    </row>
    <row r="139" spans="1:12">
      <c r="A139" s="4" t="s">
        <v>195</v>
      </c>
      <c r="B139" s="4" t="s">
        <v>196</v>
      </c>
      <c r="C139" s="4" t="s">
        <v>92</v>
      </c>
      <c r="D139" s="4" t="s">
        <v>93</v>
      </c>
      <c r="E139" s="4" t="s">
        <v>322</v>
      </c>
      <c r="F139" s="4" t="s">
        <v>323</v>
      </c>
      <c r="G139" s="7">
        <v>44097</v>
      </c>
      <c r="H139" s="5">
        <v>-242.5</v>
      </c>
      <c r="I139" s="4" t="s">
        <v>27</v>
      </c>
      <c r="J139" s="16">
        <v>-11397.5</v>
      </c>
      <c r="K139" s="16"/>
      <c r="L139" s="16">
        <f>AtlasReport_1_Table_1[[#This Row],[Amount in default currency]]-AtlasReport_1_Table_1[[#This Row],[Cost Amount]]</f>
        <v>-11397.5</v>
      </c>
    </row>
    <row r="140" spans="1:12">
      <c r="A140" s="4" t="s">
        <v>195</v>
      </c>
      <c r="B140" s="4" t="s">
        <v>196</v>
      </c>
      <c r="C140" s="4" t="s">
        <v>199</v>
      </c>
      <c r="D140" s="4" t="s">
        <v>93</v>
      </c>
      <c r="E140" s="4" t="s">
        <v>322</v>
      </c>
      <c r="F140" s="4" t="s">
        <v>324</v>
      </c>
      <c r="G140" s="7">
        <v>44097</v>
      </c>
      <c r="H140" s="5">
        <v>-150</v>
      </c>
      <c r="I140" s="4" t="s">
        <v>27</v>
      </c>
      <c r="J140" s="16">
        <v>-7050</v>
      </c>
      <c r="K140" s="16"/>
      <c r="L140" s="16">
        <f>AtlasReport_1_Table_1[[#This Row],[Amount in default currency]]-AtlasReport_1_Table_1[[#This Row],[Cost Amount]]</f>
        <v>-7050</v>
      </c>
    </row>
    <row r="141" spans="1:12">
      <c r="A141" s="4" t="s">
        <v>195</v>
      </c>
      <c r="B141" s="4" t="s">
        <v>196</v>
      </c>
      <c r="C141" s="4" t="s">
        <v>95</v>
      </c>
      <c r="D141" s="4" t="s">
        <v>93</v>
      </c>
      <c r="E141" s="4" t="s">
        <v>322</v>
      </c>
      <c r="F141" s="4" t="s">
        <v>325</v>
      </c>
      <c r="G141" s="7">
        <v>44097</v>
      </c>
      <c r="H141" s="5">
        <v>-292.5</v>
      </c>
      <c r="I141" s="4" t="s">
        <v>27</v>
      </c>
      <c r="J141" s="16">
        <v>-13747.5</v>
      </c>
      <c r="K141" s="16"/>
      <c r="L141" s="16">
        <f>AtlasReport_1_Table_1[[#This Row],[Amount in default currency]]-AtlasReport_1_Table_1[[#This Row],[Cost Amount]]</f>
        <v>-13747.5</v>
      </c>
    </row>
    <row r="142" spans="1:12">
      <c r="A142" s="4" t="s">
        <v>108</v>
      </c>
      <c r="B142" s="4" t="s">
        <v>109</v>
      </c>
      <c r="C142" s="4" t="s">
        <v>11</v>
      </c>
      <c r="D142" s="4" t="s">
        <v>17</v>
      </c>
      <c r="E142" s="4" t="s">
        <v>326</v>
      </c>
      <c r="F142" s="4" t="s">
        <v>327</v>
      </c>
      <c r="G142" s="7">
        <v>44095</v>
      </c>
      <c r="H142" s="5">
        <v>12</v>
      </c>
      <c r="I142" s="4" t="s">
        <v>81</v>
      </c>
      <c r="J142" s="16">
        <v>26272.27</v>
      </c>
      <c r="K142" s="16"/>
      <c r="L142" s="16">
        <f>AtlasReport_1_Table_1[[#This Row],[Amount in default currency]]-AtlasReport_1_Table_1[[#This Row],[Cost Amount]]</f>
        <v>26272.27</v>
      </c>
    </row>
    <row r="143" spans="1:12">
      <c r="A143" s="4" t="s">
        <v>328</v>
      </c>
      <c r="B143" s="4" t="s">
        <v>329</v>
      </c>
      <c r="C143" s="4" t="s">
        <v>95</v>
      </c>
      <c r="D143" s="4" t="s">
        <v>93</v>
      </c>
      <c r="E143" s="4" t="s">
        <v>330</v>
      </c>
      <c r="F143" s="4" t="s">
        <v>331</v>
      </c>
      <c r="G143" s="7">
        <v>44104</v>
      </c>
      <c r="H143" s="5">
        <v>87</v>
      </c>
      <c r="I143" s="4" t="s">
        <v>81</v>
      </c>
      <c r="J143" s="16">
        <v>353263.5</v>
      </c>
      <c r="K143" s="16"/>
      <c r="L143" s="16">
        <f>AtlasReport_1_Table_1[[#This Row],[Amount in default currency]]-AtlasReport_1_Table_1[[#This Row],[Cost Amount]]</f>
        <v>353263.5</v>
      </c>
    </row>
    <row r="144" spans="1:12">
      <c r="A144" s="4" t="s">
        <v>328</v>
      </c>
      <c r="B144" s="4" t="s">
        <v>329</v>
      </c>
      <c r="C144" s="4" t="s">
        <v>92</v>
      </c>
      <c r="D144" s="4" t="s">
        <v>93</v>
      </c>
      <c r="E144" s="4" t="s">
        <v>330</v>
      </c>
      <c r="F144" s="4" t="s">
        <v>332</v>
      </c>
      <c r="G144" s="7">
        <v>44104</v>
      </c>
      <c r="H144" s="5">
        <v>22</v>
      </c>
      <c r="I144" s="4" t="s">
        <v>81</v>
      </c>
      <c r="J144" s="16">
        <v>44436.479999999996</v>
      </c>
      <c r="K144" s="16"/>
      <c r="L144" s="16">
        <f>AtlasReport_1_Table_1[[#This Row],[Amount in default currency]]-AtlasReport_1_Table_1[[#This Row],[Cost Amount]]</f>
        <v>44436.479999999996</v>
      </c>
    </row>
    <row r="145" spans="1:12">
      <c r="A145" s="4" t="s">
        <v>328</v>
      </c>
      <c r="B145" s="4" t="s">
        <v>329</v>
      </c>
      <c r="C145" s="4" t="s">
        <v>10</v>
      </c>
      <c r="D145" s="4" t="s">
        <v>17</v>
      </c>
      <c r="E145" s="4" t="s">
        <v>330</v>
      </c>
      <c r="F145" s="4" t="s">
        <v>333</v>
      </c>
      <c r="G145" s="7">
        <v>44104</v>
      </c>
      <c r="H145" s="5">
        <v>4</v>
      </c>
      <c r="I145" s="4" t="s">
        <v>81</v>
      </c>
      <c r="J145" s="16">
        <v>37194.520000000004</v>
      </c>
      <c r="K145" s="16"/>
      <c r="L145" s="16">
        <f>AtlasReport_1_Table_1[[#This Row],[Amount in default currency]]-AtlasReport_1_Table_1[[#This Row],[Cost Amount]]</f>
        <v>37194.520000000004</v>
      </c>
    </row>
    <row r="146" spans="1:12">
      <c r="A146" s="4" t="s">
        <v>328</v>
      </c>
      <c r="B146" s="4" t="s">
        <v>329</v>
      </c>
      <c r="C146" s="4" t="s">
        <v>11</v>
      </c>
      <c r="D146" s="4" t="s">
        <v>17</v>
      </c>
      <c r="E146" s="4" t="s">
        <v>330</v>
      </c>
      <c r="F146" s="4" t="s">
        <v>334</v>
      </c>
      <c r="G146" s="7">
        <v>44104</v>
      </c>
      <c r="H146" s="5">
        <v>1</v>
      </c>
      <c r="I146" s="4" t="s">
        <v>81</v>
      </c>
      <c r="J146" s="16">
        <v>4625.4799999999996</v>
      </c>
      <c r="K146" s="16"/>
      <c r="L146" s="16">
        <f>AtlasReport_1_Table_1[[#This Row],[Amount in default currency]]-AtlasReport_1_Table_1[[#This Row],[Cost Amount]]</f>
        <v>4625.4799999999996</v>
      </c>
    </row>
    <row r="147" spans="1:12">
      <c r="A147" s="4" t="s">
        <v>87</v>
      </c>
      <c r="B147" s="4" t="s">
        <v>88</v>
      </c>
      <c r="C147" s="4" t="s">
        <v>11</v>
      </c>
      <c r="D147" s="4" t="s">
        <v>17</v>
      </c>
      <c r="E147" s="4" t="s">
        <v>335</v>
      </c>
      <c r="F147" s="4" t="s">
        <v>336</v>
      </c>
      <c r="G147" s="7">
        <v>44098</v>
      </c>
      <c r="H147" s="5">
        <v>1940</v>
      </c>
      <c r="I147" s="4" t="s">
        <v>27</v>
      </c>
      <c r="J147" s="16">
        <v>48412.46</v>
      </c>
      <c r="K147" s="16"/>
      <c r="L147" s="16">
        <f>AtlasReport_1_Table_1[[#This Row],[Amount in default currency]]-AtlasReport_1_Table_1[[#This Row],[Cost Amount]]</f>
        <v>48412.46</v>
      </c>
    </row>
    <row r="148" spans="1:12">
      <c r="A148" s="4" t="s">
        <v>87</v>
      </c>
      <c r="B148" s="4" t="s">
        <v>88</v>
      </c>
      <c r="C148" s="4" t="s">
        <v>10</v>
      </c>
      <c r="D148" s="4" t="s">
        <v>17</v>
      </c>
      <c r="E148" s="4" t="s">
        <v>335</v>
      </c>
      <c r="F148" s="4" t="s">
        <v>337</v>
      </c>
      <c r="G148" s="7">
        <v>44098</v>
      </c>
      <c r="H148" s="5">
        <v>1950</v>
      </c>
      <c r="I148" s="4" t="s">
        <v>27</v>
      </c>
      <c r="J148" s="16">
        <v>48662.009999999995</v>
      </c>
      <c r="K148" s="16"/>
      <c r="L148" s="16">
        <f>AtlasReport_1_Table_1[[#This Row],[Amount in default currency]]-AtlasReport_1_Table_1[[#This Row],[Cost Amount]]</f>
        <v>48662.009999999995</v>
      </c>
    </row>
    <row r="149" spans="1:12">
      <c r="A149" s="4" t="s">
        <v>87</v>
      </c>
      <c r="B149" s="4" t="s">
        <v>88</v>
      </c>
      <c r="C149" s="4" t="s">
        <v>92</v>
      </c>
      <c r="D149" s="4" t="s">
        <v>93</v>
      </c>
      <c r="E149" s="4" t="s">
        <v>335</v>
      </c>
      <c r="F149" s="4" t="s">
        <v>338</v>
      </c>
      <c r="G149" s="7">
        <v>44098</v>
      </c>
      <c r="H149" s="5">
        <v>7808.5</v>
      </c>
      <c r="I149" s="4" t="s">
        <v>27</v>
      </c>
      <c r="J149" s="16">
        <v>417557.47</v>
      </c>
      <c r="K149" s="16"/>
      <c r="L149" s="16">
        <f>AtlasReport_1_Table_1[[#This Row],[Amount in default currency]]-AtlasReport_1_Table_1[[#This Row],[Cost Amount]]</f>
        <v>417557.47</v>
      </c>
    </row>
    <row r="150" spans="1:12">
      <c r="A150" s="4" t="s">
        <v>87</v>
      </c>
      <c r="B150" s="4" t="s">
        <v>88</v>
      </c>
      <c r="C150" s="4" t="s">
        <v>95</v>
      </c>
      <c r="D150" s="4" t="s">
        <v>93</v>
      </c>
      <c r="E150" s="4" t="s">
        <v>335</v>
      </c>
      <c r="F150" s="4" t="s">
        <v>339</v>
      </c>
      <c r="G150" s="7">
        <v>44098</v>
      </c>
      <c r="H150" s="5">
        <v>1950</v>
      </c>
      <c r="I150" s="4" t="s">
        <v>27</v>
      </c>
      <c r="J150" s="16">
        <v>104275.73</v>
      </c>
      <c r="K150" s="16"/>
      <c r="L150" s="16">
        <f>AtlasReport_1_Table_1[[#This Row],[Amount in default currency]]-AtlasReport_1_Table_1[[#This Row],[Cost Amount]]</f>
        <v>104275.73</v>
      </c>
    </row>
    <row r="151" spans="1:12">
      <c r="A151" s="4" t="s">
        <v>87</v>
      </c>
      <c r="B151" s="4" t="s">
        <v>88</v>
      </c>
      <c r="C151" s="4" t="s">
        <v>11</v>
      </c>
      <c r="D151" s="4" t="s">
        <v>17</v>
      </c>
      <c r="E151" s="4" t="s">
        <v>340</v>
      </c>
      <c r="F151" s="4" t="s">
        <v>341</v>
      </c>
      <c r="G151" s="7">
        <v>44098</v>
      </c>
      <c r="H151" s="5">
        <v>388</v>
      </c>
      <c r="I151" s="4" t="s">
        <v>27</v>
      </c>
      <c r="J151" s="16">
        <v>9682.49</v>
      </c>
      <c r="K151" s="16"/>
      <c r="L151" s="16">
        <f>AtlasReport_1_Table_1[[#This Row],[Amount in default currency]]-AtlasReport_1_Table_1[[#This Row],[Cost Amount]]</f>
        <v>9682.49</v>
      </c>
    </row>
    <row r="152" spans="1:12">
      <c r="A152" s="4" t="s">
        <v>87</v>
      </c>
      <c r="B152" s="4" t="s">
        <v>88</v>
      </c>
      <c r="C152" s="4" t="s">
        <v>10</v>
      </c>
      <c r="D152" s="4" t="s">
        <v>17</v>
      </c>
      <c r="E152" s="4" t="s">
        <v>340</v>
      </c>
      <c r="F152" s="4" t="s">
        <v>342</v>
      </c>
      <c r="G152" s="7">
        <v>44098</v>
      </c>
      <c r="H152" s="5">
        <v>3900</v>
      </c>
      <c r="I152" s="4" t="s">
        <v>27</v>
      </c>
      <c r="J152" s="16">
        <v>97324.01999999999</v>
      </c>
      <c r="K152" s="16"/>
      <c r="L152" s="16">
        <f>AtlasReport_1_Table_1[[#This Row],[Amount in default currency]]-AtlasReport_1_Table_1[[#This Row],[Cost Amount]]</f>
        <v>97324.01999999999</v>
      </c>
    </row>
    <row r="153" spans="1:12">
      <c r="A153" s="4" t="s">
        <v>75</v>
      </c>
      <c r="B153" s="4" t="s">
        <v>76</v>
      </c>
      <c r="C153" s="4" t="s">
        <v>199</v>
      </c>
      <c r="D153" s="4" t="s">
        <v>93</v>
      </c>
      <c r="E153" s="4" t="s">
        <v>343</v>
      </c>
      <c r="F153" s="4" t="s">
        <v>344</v>
      </c>
      <c r="G153" s="7">
        <v>44097</v>
      </c>
      <c r="H153" s="5">
        <v>-75</v>
      </c>
      <c r="I153" s="4" t="s">
        <v>27</v>
      </c>
      <c r="J153" s="16">
        <v>-4500</v>
      </c>
      <c r="K153" s="16"/>
      <c r="L153" s="16">
        <f>AtlasReport_1_Table_1[[#This Row],[Amount in default currency]]-AtlasReport_1_Table_1[[#This Row],[Cost Amount]]</f>
        <v>-4500</v>
      </c>
    </row>
    <row r="154" spans="1:12">
      <c r="A154" s="4" t="s">
        <v>345</v>
      </c>
      <c r="B154" s="4" t="s">
        <v>346</v>
      </c>
      <c r="C154" s="4" t="s">
        <v>95</v>
      </c>
      <c r="D154" s="4" t="s">
        <v>93</v>
      </c>
      <c r="E154" s="4" t="s">
        <v>347</v>
      </c>
      <c r="F154" s="4" t="s">
        <v>348</v>
      </c>
      <c r="G154" s="7">
        <v>44103</v>
      </c>
      <c r="H154" s="5">
        <v>2</v>
      </c>
      <c r="I154" s="4" t="s">
        <v>81</v>
      </c>
      <c r="J154" s="16">
        <v>11700</v>
      </c>
      <c r="K154" s="16"/>
      <c r="L154" s="16">
        <f>AtlasReport_1_Table_1[[#This Row],[Amount in default currency]]-AtlasReport_1_Table_1[[#This Row],[Cost Amount]]</f>
        <v>11700</v>
      </c>
    </row>
    <row r="155" spans="1:12">
      <c r="A155" s="4" t="s">
        <v>82</v>
      </c>
      <c r="B155" s="4" t="s">
        <v>83</v>
      </c>
      <c r="C155" s="4" t="s">
        <v>77</v>
      </c>
      <c r="D155" s="4" t="s">
        <v>78</v>
      </c>
      <c r="E155" s="4" t="s">
        <v>349</v>
      </c>
      <c r="F155" s="4" t="s">
        <v>350</v>
      </c>
      <c r="G155" s="7">
        <v>44099</v>
      </c>
      <c r="H155" s="5">
        <v>-5</v>
      </c>
      <c r="I155" s="4" t="s">
        <v>81</v>
      </c>
      <c r="J155" s="16">
        <v>-12125</v>
      </c>
      <c r="K155" s="16"/>
      <c r="L155" s="16">
        <f>AtlasReport_1_Table_1[[#This Row],[Amount in default currency]]-AtlasReport_1_Table_1[[#This Row],[Cost Amount]]</f>
        <v>-12125</v>
      </c>
    </row>
    <row r="156" spans="1:12">
      <c r="A156" s="4" t="s">
        <v>82</v>
      </c>
      <c r="B156" s="4" t="s">
        <v>83</v>
      </c>
      <c r="C156" s="4" t="s">
        <v>77</v>
      </c>
      <c r="D156" s="4" t="s">
        <v>78</v>
      </c>
      <c r="E156" s="4" t="s">
        <v>351</v>
      </c>
      <c r="F156" s="4" t="s">
        <v>352</v>
      </c>
      <c r="G156" s="7">
        <v>44099</v>
      </c>
      <c r="H156" s="5">
        <v>5</v>
      </c>
      <c r="I156" s="4" t="s">
        <v>81</v>
      </c>
      <c r="J156" s="16">
        <v>12125</v>
      </c>
      <c r="K156" s="16"/>
      <c r="L156" s="16">
        <f>AtlasReport_1_Table_1[[#This Row],[Amount in default currency]]-AtlasReport_1_Table_1[[#This Row],[Cost Amount]]</f>
        <v>12125</v>
      </c>
    </row>
    <row r="157" spans="1:12">
      <c r="A157" s="4" t="s">
        <v>151</v>
      </c>
      <c r="B157" s="4" t="s">
        <v>152</v>
      </c>
      <c r="C157" s="4" t="s">
        <v>105</v>
      </c>
      <c r="D157" s="4" t="s">
        <v>106</v>
      </c>
      <c r="E157" s="4" t="s">
        <v>353</v>
      </c>
      <c r="F157" s="4" t="s">
        <v>354</v>
      </c>
      <c r="G157" s="7">
        <v>44130</v>
      </c>
      <c r="H157" s="5">
        <v>1</v>
      </c>
      <c r="I157" s="4" t="s">
        <v>26</v>
      </c>
      <c r="J157" s="16">
        <v>14200</v>
      </c>
      <c r="K157" s="16"/>
      <c r="L157" s="16">
        <f>AtlasReport_1_Table_1[[#This Row],[Amount in default currency]]-AtlasReport_1_Table_1[[#This Row],[Cost Amount]]</f>
        <v>14200</v>
      </c>
    </row>
    <row r="158" spans="1:12">
      <c r="A158" s="4" t="s">
        <v>151</v>
      </c>
      <c r="B158" s="4" t="s">
        <v>152</v>
      </c>
      <c r="C158" s="4" t="s">
        <v>105</v>
      </c>
      <c r="D158" s="4" t="s">
        <v>106</v>
      </c>
      <c r="E158" s="4" t="s">
        <v>353</v>
      </c>
      <c r="F158" s="4" t="s">
        <v>355</v>
      </c>
      <c r="G158" s="7">
        <v>44130</v>
      </c>
      <c r="H158" s="5">
        <v>1</v>
      </c>
      <c r="I158" s="4" t="s">
        <v>26</v>
      </c>
      <c r="J158" s="16">
        <v>32390</v>
      </c>
      <c r="K158" s="16"/>
      <c r="L158" s="16">
        <f>AtlasReport_1_Table_1[[#This Row],[Amount in default currency]]-AtlasReport_1_Table_1[[#This Row],[Cost Amount]]</f>
        <v>32390</v>
      </c>
    </row>
    <row r="159" spans="1:12">
      <c r="A159" s="4" t="s">
        <v>245</v>
      </c>
      <c r="B159" s="4" t="s">
        <v>246</v>
      </c>
      <c r="C159" s="4" t="s">
        <v>95</v>
      </c>
      <c r="D159" s="4" t="s">
        <v>93</v>
      </c>
      <c r="E159" s="4" t="s">
        <v>356</v>
      </c>
      <c r="F159" s="4" t="s">
        <v>357</v>
      </c>
      <c r="G159" s="7">
        <v>44119</v>
      </c>
      <c r="H159" s="5">
        <v>23</v>
      </c>
      <c r="I159" s="4" t="s">
        <v>81</v>
      </c>
      <c r="J159" s="16">
        <v>123337.5</v>
      </c>
      <c r="K159" s="16"/>
      <c r="L159" s="16">
        <f>AtlasReport_1_Table_1[[#This Row],[Amount in default currency]]-AtlasReport_1_Table_1[[#This Row],[Cost Amount]]</f>
        <v>123337.5</v>
      </c>
    </row>
    <row r="160" spans="1:12">
      <c r="A160" s="4" t="s">
        <v>245</v>
      </c>
      <c r="B160" s="4" t="s">
        <v>246</v>
      </c>
      <c r="C160" s="4" t="s">
        <v>199</v>
      </c>
      <c r="D160" s="4" t="s">
        <v>93</v>
      </c>
      <c r="E160" s="4" t="s">
        <v>356</v>
      </c>
      <c r="F160" s="4" t="s">
        <v>358</v>
      </c>
      <c r="G160" s="7">
        <v>44119</v>
      </c>
      <c r="H160" s="5">
        <v>11</v>
      </c>
      <c r="I160" s="4" t="s">
        <v>81</v>
      </c>
      <c r="J160" s="16">
        <v>45375</v>
      </c>
      <c r="K160" s="16"/>
      <c r="L160" s="16">
        <f>AtlasReport_1_Table_1[[#This Row],[Amount in default currency]]-AtlasReport_1_Table_1[[#This Row],[Cost Amount]]</f>
        <v>45375</v>
      </c>
    </row>
    <row r="161" spans="1:12">
      <c r="A161" s="4" t="s">
        <v>245</v>
      </c>
      <c r="B161" s="4" t="s">
        <v>246</v>
      </c>
      <c r="C161" s="4" t="s">
        <v>105</v>
      </c>
      <c r="D161" s="4" t="s">
        <v>106</v>
      </c>
      <c r="E161" s="4" t="s">
        <v>356</v>
      </c>
      <c r="F161" s="4" t="s">
        <v>359</v>
      </c>
      <c r="G161" s="7">
        <v>44119</v>
      </c>
      <c r="H161" s="5">
        <v>1</v>
      </c>
      <c r="I161" s="4" t="s">
        <v>26</v>
      </c>
      <c r="J161" s="16">
        <v>19925</v>
      </c>
      <c r="K161" s="16"/>
      <c r="L161" s="16">
        <f>AtlasReport_1_Table_1[[#This Row],[Amount in default currency]]-AtlasReport_1_Table_1[[#This Row],[Cost Amount]]</f>
        <v>19925</v>
      </c>
    </row>
    <row r="162" spans="1:12">
      <c r="A162" s="4" t="s">
        <v>245</v>
      </c>
      <c r="B162" s="4" t="s">
        <v>246</v>
      </c>
      <c r="C162" s="4" t="s">
        <v>105</v>
      </c>
      <c r="D162" s="4" t="s">
        <v>106</v>
      </c>
      <c r="E162" s="4" t="s">
        <v>356</v>
      </c>
      <c r="F162" s="4" t="s">
        <v>360</v>
      </c>
      <c r="G162" s="7">
        <v>44119</v>
      </c>
      <c r="H162" s="5">
        <v>3</v>
      </c>
      <c r="I162" s="4" t="s">
        <v>124</v>
      </c>
      <c r="J162" s="16">
        <v>5700</v>
      </c>
      <c r="K162" s="16"/>
      <c r="L162" s="16">
        <f>AtlasReport_1_Table_1[[#This Row],[Amount in default currency]]-AtlasReport_1_Table_1[[#This Row],[Cost Amount]]</f>
        <v>5700</v>
      </c>
    </row>
    <row r="163" spans="1:12">
      <c r="A163" s="4" t="s">
        <v>361</v>
      </c>
      <c r="B163" s="4" t="s">
        <v>362</v>
      </c>
      <c r="C163" s="4" t="s">
        <v>95</v>
      </c>
      <c r="D163" s="4" t="s">
        <v>93</v>
      </c>
      <c r="E163" s="4" t="s">
        <v>363</v>
      </c>
      <c r="F163" s="4" t="s">
        <v>364</v>
      </c>
      <c r="G163" s="7">
        <v>44125</v>
      </c>
      <c r="H163" s="5">
        <v>10</v>
      </c>
      <c r="I163" s="4" t="s">
        <v>81</v>
      </c>
      <c r="J163" s="16">
        <v>53625</v>
      </c>
      <c r="K163" s="16"/>
      <c r="L163" s="16">
        <f>AtlasReport_1_Table_1[[#This Row],[Amount in default currency]]-AtlasReport_1_Table_1[[#This Row],[Cost Amount]]</f>
        <v>53625</v>
      </c>
    </row>
    <row r="164" spans="1:12">
      <c r="A164" s="4" t="s">
        <v>361</v>
      </c>
      <c r="B164" s="4" t="s">
        <v>362</v>
      </c>
      <c r="C164" s="4" t="s">
        <v>199</v>
      </c>
      <c r="D164" s="4" t="s">
        <v>93</v>
      </c>
      <c r="E164" s="4" t="s">
        <v>363</v>
      </c>
      <c r="F164" s="4" t="s">
        <v>365</v>
      </c>
      <c r="G164" s="7">
        <v>44125</v>
      </c>
      <c r="H164" s="5">
        <v>6</v>
      </c>
      <c r="I164" s="4" t="s">
        <v>81</v>
      </c>
      <c r="J164" s="16">
        <v>24750</v>
      </c>
      <c r="K164" s="16"/>
      <c r="L164" s="16">
        <f>AtlasReport_1_Table_1[[#This Row],[Amount in default currency]]-AtlasReport_1_Table_1[[#This Row],[Cost Amount]]</f>
        <v>24750</v>
      </c>
    </row>
    <row r="165" spans="1:12">
      <c r="A165" s="4" t="s">
        <v>361</v>
      </c>
      <c r="B165" s="4" t="s">
        <v>362</v>
      </c>
      <c r="C165" s="4" t="s">
        <v>105</v>
      </c>
      <c r="D165" s="4" t="s">
        <v>106</v>
      </c>
      <c r="E165" s="4" t="s">
        <v>363</v>
      </c>
      <c r="F165" s="4" t="s">
        <v>366</v>
      </c>
      <c r="G165" s="7">
        <v>44125</v>
      </c>
      <c r="H165" s="5">
        <v>1</v>
      </c>
      <c r="I165" s="4" t="s">
        <v>26</v>
      </c>
      <c r="J165" s="16">
        <v>14950</v>
      </c>
      <c r="K165" s="16"/>
      <c r="L165" s="16">
        <f>AtlasReport_1_Table_1[[#This Row],[Amount in default currency]]-AtlasReport_1_Table_1[[#This Row],[Cost Amount]]</f>
        <v>14950</v>
      </c>
    </row>
    <row r="166" spans="1:12">
      <c r="A166" s="4" t="s">
        <v>367</v>
      </c>
      <c r="B166" s="4" t="s">
        <v>368</v>
      </c>
      <c r="C166" s="4" t="s">
        <v>10</v>
      </c>
      <c r="D166" s="4" t="s">
        <v>17</v>
      </c>
      <c r="E166" s="4" t="s">
        <v>369</v>
      </c>
      <c r="F166" s="4" t="s">
        <v>370</v>
      </c>
      <c r="G166" s="7">
        <v>44123</v>
      </c>
      <c r="H166" s="5">
        <v>97.5</v>
      </c>
      <c r="I166" s="4" t="s">
        <v>27</v>
      </c>
      <c r="J166" s="16">
        <v>4403.95</v>
      </c>
      <c r="K166" s="16"/>
      <c r="L166" s="16">
        <f>AtlasReport_1_Table_1[[#This Row],[Amount in default currency]]-AtlasReport_1_Table_1[[#This Row],[Cost Amount]]</f>
        <v>4403.95</v>
      </c>
    </row>
    <row r="167" spans="1:12">
      <c r="A167" s="4" t="s">
        <v>82</v>
      </c>
      <c r="B167" s="4" t="s">
        <v>83</v>
      </c>
      <c r="C167" s="4" t="s">
        <v>68</v>
      </c>
      <c r="D167" s="4" t="s">
        <v>17</v>
      </c>
      <c r="E167" s="4" t="s">
        <v>371</v>
      </c>
      <c r="F167" s="4" t="s">
        <v>372</v>
      </c>
      <c r="G167" s="7">
        <v>44130</v>
      </c>
      <c r="H167" s="5">
        <v>5475</v>
      </c>
      <c r="I167" s="4" t="s">
        <v>27</v>
      </c>
      <c r="J167" s="16">
        <v>94452.51</v>
      </c>
      <c r="K167" s="16"/>
      <c r="L167" s="16">
        <f>AtlasReport_1_Table_1[[#This Row],[Amount in default currency]]-AtlasReport_1_Table_1[[#This Row],[Cost Amount]]</f>
        <v>94452.51</v>
      </c>
    </row>
    <row r="168" spans="1:12">
      <c r="A168" s="4" t="s">
        <v>82</v>
      </c>
      <c r="B168" s="4" t="s">
        <v>83</v>
      </c>
      <c r="C168" s="4" t="s">
        <v>10</v>
      </c>
      <c r="D168" s="4" t="s">
        <v>17</v>
      </c>
      <c r="E168" s="4" t="s">
        <v>371</v>
      </c>
      <c r="F168" s="4" t="s">
        <v>373</v>
      </c>
      <c r="G168" s="7">
        <v>44130</v>
      </c>
      <c r="H168" s="5">
        <v>65520</v>
      </c>
      <c r="I168" s="4" t="s">
        <v>27</v>
      </c>
      <c r="J168" s="16">
        <v>1130324.83</v>
      </c>
      <c r="K168" s="16"/>
      <c r="L168" s="16">
        <f>AtlasReport_1_Table_1[[#This Row],[Amount in default currency]]-AtlasReport_1_Table_1[[#This Row],[Cost Amount]]</f>
        <v>1130324.83</v>
      </c>
    </row>
    <row r="169" spans="1:12">
      <c r="A169" s="4" t="s">
        <v>82</v>
      </c>
      <c r="B169" s="4" t="s">
        <v>83</v>
      </c>
      <c r="C169" s="4" t="s">
        <v>11</v>
      </c>
      <c r="D169" s="4" t="s">
        <v>17</v>
      </c>
      <c r="E169" s="4" t="s">
        <v>371</v>
      </c>
      <c r="F169" s="4" t="s">
        <v>374</v>
      </c>
      <c r="G169" s="7">
        <v>44130</v>
      </c>
      <c r="H169" s="5">
        <v>8536</v>
      </c>
      <c r="I169" s="4" t="s">
        <v>27</v>
      </c>
      <c r="J169" s="16">
        <v>147259.66</v>
      </c>
      <c r="K169" s="16"/>
      <c r="L169" s="16">
        <f>AtlasReport_1_Table_1[[#This Row],[Amount in default currency]]-AtlasReport_1_Table_1[[#This Row],[Cost Amount]]</f>
        <v>147259.66</v>
      </c>
    </row>
    <row r="170" spans="1:12">
      <c r="A170" s="4" t="s">
        <v>82</v>
      </c>
      <c r="B170" s="4" t="s">
        <v>83</v>
      </c>
      <c r="C170" s="4" t="s">
        <v>105</v>
      </c>
      <c r="D170" s="4" t="s">
        <v>106</v>
      </c>
      <c r="E170" s="4" t="s">
        <v>371</v>
      </c>
      <c r="F170" s="4" t="s">
        <v>375</v>
      </c>
      <c r="G170" s="7">
        <v>44130</v>
      </c>
      <c r="H170" s="5">
        <v>1</v>
      </c>
      <c r="I170" s="4" t="s">
        <v>27</v>
      </c>
      <c r="J170" s="16">
        <v>610000</v>
      </c>
      <c r="K170" s="16"/>
      <c r="L170" s="16">
        <f>AtlasReport_1_Table_1[[#This Row],[Amount in default currency]]-AtlasReport_1_Table_1[[#This Row],[Cost Amount]]</f>
        <v>610000</v>
      </c>
    </row>
    <row r="171" spans="1:12">
      <c r="A171" s="4" t="s">
        <v>376</v>
      </c>
      <c r="B171" s="4" t="s">
        <v>377</v>
      </c>
      <c r="C171" s="4" t="s">
        <v>10</v>
      </c>
      <c r="D171" s="4" t="s">
        <v>17</v>
      </c>
      <c r="E171" s="4" t="s">
        <v>378</v>
      </c>
      <c r="F171" s="4" t="s">
        <v>379</v>
      </c>
      <c r="G171" s="7">
        <v>44126</v>
      </c>
      <c r="H171" s="5">
        <v>780</v>
      </c>
      <c r="I171" s="4" t="s">
        <v>27</v>
      </c>
      <c r="J171" s="16">
        <v>45951.44</v>
      </c>
      <c r="K171" s="16"/>
      <c r="L171" s="16">
        <f>AtlasReport_1_Table_1[[#This Row],[Amount in default currency]]-AtlasReport_1_Table_1[[#This Row],[Cost Amount]]</f>
        <v>45951.44</v>
      </c>
    </row>
    <row r="172" spans="1:12">
      <c r="A172" s="4" t="s">
        <v>376</v>
      </c>
      <c r="B172" s="4" t="s">
        <v>377</v>
      </c>
      <c r="C172" s="4" t="s">
        <v>68</v>
      </c>
      <c r="D172" s="4" t="s">
        <v>17</v>
      </c>
      <c r="E172" s="4" t="s">
        <v>378</v>
      </c>
      <c r="F172" s="4" t="s">
        <v>380</v>
      </c>
      <c r="G172" s="7">
        <v>44126</v>
      </c>
      <c r="H172" s="5">
        <v>170</v>
      </c>
      <c r="I172" s="4" t="s">
        <v>27</v>
      </c>
      <c r="J172" s="16">
        <v>10015.060000000001</v>
      </c>
      <c r="K172" s="16"/>
      <c r="L172" s="16">
        <f>AtlasReport_1_Table_1[[#This Row],[Amount in default currency]]-AtlasReport_1_Table_1[[#This Row],[Cost Amount]]</f>
        <v>10015.060000000001</v>
      </c>
    </row>
    <row r="173" spans="1:12">
      <c r="A173" s="4" t="s">
        <v>376</v>
      </c>
      <c r="B173" s="4" t="s">
        <v>377</v>
      </c>
      <c r="C173" s="4" t="s">
        <v>133</v>
      </c>
      <c r="D173" s="4" t="s">
        <v>134</v>
      </c>
      <c r="E173" s="4" t="s">
        <v>378</v>
      </c>
      <c r="F173" s="4" t="s">
        <v>381</v>
      </c>
      <c r="G173" s="7">
        <v>44126</v>
      </c>
      <c r="H173" s="5">
        <v>1</v>
      </c>
      <c r="I173" s="4" t="s">
        <v>26</v>
      </c>
      <c r="J173" s="16">
        <v>5488.88</v>
      </c>
      <c r="K173" s="16"/>
      <c r="L173" s="16">
        <f>AtlasReport_1_Table_1[[#This Row],[Amount in default currency]]-AtlasReport_1_Table_1[[#This Row],[Cost Amount]]</f>
        <v>5488.88</v>
      </c>
    </row>
    <row r="174" spans="1:12">
      <c r="A174" s="4" t="s">
        <v>318</v>
      </c>
      <c r="B174" s="4" t="s">
        <v>319</v>
      </c>
      <c r="C174" s="4" t="s">
        <v>11</v>
      </c>
      <c r="D174" s="4" t="s">
        <v>17</v>
      </c>
      <c r="E174" s="4" t="s">
        <v>382</v>
      </c>
      <c r="F174" s="4" t="s">
        <v>383</v>
      </c>
      <c r="G174" s="7">
        <v>44127</v>
      </c>
      <c r="H174" s="5">
        <v>2</v>
      </c>
      <c r="I174" s="4" t="s">
        <v>81</v>
      </c>
      <c r="J174" s="16">
        <v>4522.59</v>
      </c>
      <c r="K174" s="16"/>
      <c r="L174" s="16">
        <f>AtlasReport_1_Table_1[[#This Row],[Amount in default currency]]-AtlasReport_1_Table_1[[#This Row],[Cost Amount]]</f>
        <v>4522.59</v>
      </c>
    </row>
    <row r="175" spans="1:12">
      <c r="A175" s="4" t="s">
        <v>376</v>
      </c>
      <c r="B175" s="4" t="s">
        <v>377</v>
      </c>
      <c r="C175" s="4" t="s">
        <v>10</v>
      </c>
      <c r="D175" s="4" t="s">
        <v>17</v>
      </c>
      <c r="E175" s="4" t="s">
        <v>384</v>
      </c>
      <c r="F175" s="4" t="s">
        <v>385</v>
      </c>
      <c r="G175" s="7">
        <v>44127</v>
      </c>
      <c r="H175" s="5">
        <v>585</v>
      </c>
      <c r="I175" s="4" t="s">
        <v>27</v>
      </c>
      <c r="J175" s="16">
        <v>25197.31</v>
      </c>
      <c r="K175" s="16"/>
      <c r="L175" s="16">
        <f>AtlasReport_1_Table_1[[#This Row],[Amount in default currency]]-AtlasReport_1_Table_1[[#This Row],[Cost Amount]]</f>
        <v>25197.31</v>
      </c>
    </row>
    <row r="176" spans="1:12">
      <c r="A176" s="4" t="s">
        <v>345</v>
      </c>
      <c r="B176" s="4" t="s">
        <v>346</v>
      </c>
      <c r="C176" s="4" t="s">
        <v>95</v>
      </c>
      <c r="D176" s="4" t="s">
        <v>93</v>
      </c>
      <c r="E176" s="4" t="s">
        <v>386</v>
      </c>
      <c r="F176" s="4" t="s">
        <v>387</v>
      </c>
      <c r="G176" s="7">
        <v>44133</v>
      </c>
      <c r="H176" s="5">
        <v>2</v>
      </c>
      <c r="I176" s="4" t="s">
        <v>81</v>
      </c>
      <c r="J176" s="16">
        <v>11700</v>
      </c>
      <c r="K176" s="16"/>
      <c r="L176" s="16">
        <f>AtlasReport_1_Table_1[[#This Row],[Amount in default currency]]-AtlasReport_1_Table_1[[#This Row],[Cost Amount]]</f>
        <v>11700</v>
      </c>
    </row>
    <row r="177" spans="1:12">
      <c r="A177" s="4" t="s">
        <v>82</v>
      </c>
      <c r="B177" s="4" t="s">
        <v>83</v>
      </c>
      <c r="C177" s="4" t="s">
        <v>105</v>
      </c>
      <c r="D177" s="4" t="s">
        <v>106</v>
      </c>
      <c r="E177" s="4" t="s">
        <v>388</v>
      </c>
      <c r="F177" s="4" t="s">
        <v>389</v>
      </c>
      <c r="G177" s="7">
        <v>44130</v>
      </c>
      <c r="H177" s="5">
        <v>3</v>
      </c>
      <c r="I177" s="4" t="s">
        <v>124</v>
      </c>
      <c r="J177" s="16">
        <v>2550</v>
      </c>
      <c r="K177" s="16"/>
      <c r="L177" s="16">
        <f>AtlasReport_1_Table_1[[#This Row],[Amount in default currency]]-AtlasReport_1_Table_1[[#This Row],[Cost Amount]]</f>
        <v>2550</v>
      </c>
    </row>
    <row r="178" spans="1:12">
      <c r="A178" s="4" t="s">
        <v>82</v>
      </c>
      <c r="B178" s="4" t="s">
        <v>83</v>
      </c>
      <c r="C178" s="4" t="s">
        <v>105</v>
      </c>
      <c r="D178" s="4" t="s">
        <v>106</v>
      </c>
      <c r="E178" s="4" t="s">
        <v>388</v>
      </c>
      <c r="F178" s="4" t="s">
        <v>390</v>
      </c>
      <c r="G178" s="7">
        <v>44130</v>
      </c>
      <c r="H178" s="5">
        <v>170</v>
      </c>
      <c r="I178" s="4" t="s">
        <v>26</v>
      </c>
      <c r="J178" s="16">
        <v>598.4</v>
      </c>
      <c r="K178" s="16"/>
      <c r="L178" s="16">
        <f>AtlasReport_1_Table_1[[#This Row],[Amount in default currency]]-AtlasReport_1_Table_1[[#This Row],[Cost Amount]]</f>
        <v>598.4</v>
      </c>
    </row>
    <row r="179" spans="1:12">
      <c r="A179" s="4" t="s">
        <v>82</v>
      </c>
      <c r="B179" s="4" t="s">
        <v>83</v>
      </c>
      <c r="C179" s="4" t="s">
        <v>105</v>
      </c>
      <c r="D179" s="4" t="s">
        <v>106</v>
      </c>
      <c r="E179" s="4" t="s">
        <v>388</v>
      </c>
      <c r="F179" s="4" t="s">
        <v>391</v>
      </c>
      <c r="G179" s="7">
        <v>44130</v>
      </c>
      <c r="H179" s="5">
        <v>2</v>
      </c>
      <c r="I179" s="4" t="s">
        <v>124</v>
      </c>
      <c r="J179" s="16">
        <v>1700</v>
      </c>
      <c r="K179" s="16"/>
      <c r="L179" s="16">
        <f>AtlasReport_1_Table_1[[#This Row],[Amount in default currency]]-AtlasReport_1_Table_1[[#This Row],[Cost Amount]]</f>
        <v>1700</v>
      </c>
    </row>
    <row r="180" spans="1:12">
      <c r="A180" s="4" t="s">
        <v>82</v>
      </c>
      <c r="B180" s="4" t="s">
        <v>83</v>
      </c>
      <c r="C180" s="4" t="s">
        <v>105</v>
      </c>
      <c r="D180" s="4" t="s">
        <v>106</v>
      </c>
      <c r="E180" s="4" t="s">
        <v>388</v>
      </c>
      <c r="F180" s="4" t="s">
        <v>392</v>
      </c>
      <c r="G180" s="7">
        <v>44130</v>
      </c>
      <c r="H180" s="5">
        <v>7</v>
      </c>
      <c r="I180" s="4" t="s">
        <v>124</v>
      </c>
      <c r="J180" s="16">
        <v>3500</v>
      </c>
      <c r="K180" s="16"/>
      <c r="L180" s="16">
        <f>AtlasReport_1_Table_1[[#This Row],[Amount in default currency]]-AtlasReport_1_Table_1[[#This Row],[Cost Amount]]</f>
        <v>3500</v>
      </c>
    </row>
    <row r="181" spans="1:12">
      <c r="A181" s="4" t="s">
        <v>82</v>
      </c>
      <c r="B181" s="4" t="s">
        <v>83</v>
      </c>
      <c r="C181" s="4" t="s">
        <v>105</v>
      </c>
      <c r="D181" s="4" t="s">
        <v>106</v>
      </c>
      <c r="E181" s="4" t="s">
        <v>388</v>
      </c>
      <c r="F181" s="4" t="s">
        <v>393</v>
      </c>
      <c r="G181" s="7">
        <v>44130</v>
      </c>
      <c r="H181" s="5">
        <v>610</v>
      </c>
      <c r="I181" s="4" t="s">
        <v>26</v>
      </c>
      <c r="J181" s="16">
        <v>2147.1999999999998</v>
      </c>
      <c r="K181" s="16"/>
      <c r="L181" s="16">
        <f>AtlasReport_1_Table_1[[#This Row],[Amount in default currency]]-AtlasReport_1_Table_1[[#This Row],[Cost Amount]]</f>
        <v>2147.1999999999998</v>
      </c>
    </row>
    <row r="182" spans="1:12">
      <c r="A182" s="4" t="s">
        <v>82</v>
      </c>
      <c r="B182" s="4" t="s">
        <v>83</v>
      </c>
      <c r="C182" s="4" t="s">
        <v>105</v>
      </c>
      <c r="D182" s="4" t="s">
        <v>106</v>
      </c>
      <c r="E182" s="4" t="s">
        <v>388</v>
      </c>
      <c r="F182" s="4" t="s">
        <v>394</v>
      </c>
      <c r="G182" s="7">
        <v>44130</v>
      </c>
      <c r="H182" s="5">
        <v>2</v>
      </c>
      <c r="I182" s="4" t="s">
        <v>26</v>
      </c>
      <c r="J182" s="16">
        <v>490</v>
      </c>
      <c r="K182" s="16"/>
      <c r="L182" s="16">
        <f>AtlasReport_1_Table_1[[#This Row],[Amount in default currency]]-AtlasReport_1_Table_1[[#This Row],[Cost Amount]]</f>
        <v>490</v>
      </c>
    </row>
    <row r="183" spans="1:12">
      <c r="A183" s="4" t="s">
        <v>87</v>
      </c>
      <c r="B183" s="4" t="s">
        <v>88</v>
      </c>
      <c r="C183" s="4" t="s">
        <v>11</v>
      </c>
      <c r="D183" s="4" t="s">
        <v>17</v>
      </c>
      <c r="E183" s="4" t="s">
        <v>395</v>
      </c>
      <c r="F183" s="4" t="s">
        <v>396</v>
      </c>
      <c r="G183" s="7">
        <v>44139</v>
      </c>
      <c r="H183" s="5">
        <v>533.5</v>
      </c>
      <c r="I183" s="4" t="s">
        <v>27</v>
      </c>
      <c r="J183" s="16">
        <v>13391.88</v>
      </c>
      <c r="K183" s="16"/>
      <c r="L183" s="16">
        <f>AtlasReport_1_Table_1[[#This Row],[Amount in default currency]]-AtlasReport_1_Table_1[[#This Row],[Cost Amount]]</f>
        <v>13391.88</v>
      </c>
    </row>
    <row r="184" spans="1:12">
      <c r="A184" s="4" t="s">
        <v>87</v>
      </c>
      <c r="B184" s="4" t="s">
        <v>88</v>
      </c>
      <c r="C184" s="4" t="s">
        <v>10</v>
      </c>
      <c r="D184" s="4" t="s">
        <v>17</v>
      </c>
      <c r="E184" s="4" t="s">
        <v>395</v>
      </c>
      <c r="F184" s="4" t="s">
        <v>397</v>
      </c>
      <c r="G184" s="7">
        <v>44139</v>
      </c>
      <c r="H184" s="5">
        <v>1462.5</v>
      </c>
      <c r="I184" s="4" t="s">
        <v>27</v>
      </c>
      <c r="J184" s="16">
        <v>36711.57</v>
      </c>
      <c r="K184" s="16"/>
      <c r="L184" s="16">
        <f>AtlasReport_1_Table_1[[#This Row],[Amount in default currency]]-AtlasReport_1_Table_1[[#This Row],[Cost Amount]]</f>
        <v>36711.57</v>
      </c>
    </row>
    <row r="185" spans="1:12">
      <c r="A185" s="4" t="s">
        <v>87</v>
      </c>
      <c r="B185" s="4" t="s">
        <v>88</v>
      </c>
      <c r="C185" s="4" t="s">
        <v>11</v>
      </c>
      <c r="D185" s="4" t="s">
        <v>17</v>
      </c>
      <c r="E185" s="4" t="s">
        <v>398</v>
      </c>
      <c r="F185" s="4" t="s">
        <v>399</v>
      </c>
      <c r="G185" s="7">
        <v>44139</v>
      </c>
      <c r="H185" s="5">
        <v>1940</v>
      </c>
      <c r="I185" s="4" t="s">
        <v>27</v>
      </c>
      <c r="J185" s="16">
        <v>48697.75</v>
      </c>
      <c r="K185" s="16"/>
      <c r="L185" s="16">
        <f>AtlasReport_1_Table_1[[#This Row],[Amount in default currency]]-AtlasReport_1_Table_1[[#This Row],[Cost Amount]]</f>
        <v>48697.75</v>
      </c>
    </row>
    <row r="186" spans="1:12">
      <c r="A186" s="4" t="s">
        <v>87</v>
      </c>
      <c r="B186" s="4" t="s">
        <v>88</v>
      </c>
      <c r="C186" s="4" t="s">
        <v>10</v>
      </c>
      <c r="D186" s="4" t="s">
        <v>17</v>
      </c>
      <c r="E186" s="4" t="s">
        <v>398</v>
      </c>
      <c r="F186" s="4" t="s">
        <v>400</v>
      </c>
      <c r="G186" s="7">
        <v>44139</v>
      </c>
      <c r="H186" s="5">
        <v>3900</v>
      </c>
      <c r="I186" s="4" t="s">
        <v>27</v>
      </c>
      <c r="J186" s="16">
        <v>97897.53</v>
      </c>
      <c r="K186" s="16"/>
      <c r="L186" s="16">
        <f>AtlasReport_1_Table_1[[#This Row],[Amount in default currency]]-AtlasReport_1_Table_1[[#This Row],[Cost Amount]]</f>
        <v>97897.53</v>
      </c>
    </row>
    <row r="187" spans="1:12">
      <c r="A187" s="4" t="s">
        <v>82</v>
      </c>
      <c r="B187" s="4" t="s">
        <v>83</v>
      </c>
      <c r="C187" s="4" t="s">
        <v>77</v>
      </c>
      <c r="D187" s="4" t="s">
        <v>78</v>
      </c>
      <c r="E187" s="4" t="s">
        <v>401</v>
      </c>
      <c r="F187" s="4" t="s">
        <v>402</v>
      </c>
      <c r="G187" s="7">
        <v>44145</v>
      </c>
      <c r="H187" s="5">
        <v>3</v>
      </c>
      <c r="I187" s="4" t="s">
        <v>81</v>
      </c>
      <c r="J187" s="16">
        <v>7275</v>
      </c>
      <c r="K187" s="16"/>
      <c r="L187" s="16">
        <f>AtlasReport_1_Table_1[[#This Row],[Amount in default currency]]-AtlasReport_1_Table_1[[#This Row],[Cost Amount]]</f>
        <v>7275</v>
      </c>
    </row>
    <row r="188" spans="1:12">
      <c r="A188" s="4" t="s">
        <v>71</v>
      </c>
      <c r="B188" s="4" t="s">
        <v>72</v>
      </c>
      <c r="C188" s="4" t="s">
        <v>10</v>
      </c>
      <c r="D188" s="4" t="s">
        <v>17</v>
      </c>
      <c r="E188" s="4" t="s">
        <v>403</v>
      </c>
      <c r="F188" s="4" t="s">
        <v>404</v>
      </c>
      <c r="G188" s="7">
        <v>44145</v>
      </c>
      <c r="H188" s="5">
        <v>1</v>
      </c>
      <c r="I188" s="4" t="s">
        <v>81</v>
      </c>
      <c r="J188" s="16">
        <v>4476.9799999999996</v>
      </c>
      <c r="K188" s="16"/>
      <c r="L188" s="16">
        <f>AtlasReport_1_Table_1[[#This Row],[Amount in default currency]]-AtlasReport_1_Table_1[[#This Row],[Cost Amount]]</f>
        <v>4476.9799999999996</v>
      </c>
    </row>
    <row r="189" spans="1:12">
      <c r="A189" s="4" t="s">
        <v>87</v>
      </c>
      <c r="B189" s="4" t="s">
        <v>88</v>
      </c>
      <c r="C189" s="4" t="s">
        <v>10</v>
      </c>
      <c r="D189" s="4" t="s">
        <v>17</v>
      </c>
      <c r="E189" s="4" t="s">
        <v>405</v>
      </c>
      <c r="F189" s="4" t="s">
        <v>406</v>
      </c>
      <c r="G189" s="7">
        <v>44146</v>
      </c>
      <c r="H189" s="5">
        <v>1</v>
      </c>
      <c r="I189" s="4" t="s">
        <v>81</v>
      </c>
      <c r="J189" s="16">
        <v>2494.89</v>
      </c>
      <c r="K189" s="16"/>
      <c r="L189" s="16">
        <f>AtlasReport_1_Table_1[[#This Row],[Amount in default currency]]-AtlasReport_1_Table_1[[#This Row],[Cost Amount]]</f>
        <v>2494.89</v>
      </c>
    </row>
    <row r="190" spans="1:12">
      <c r="A190" s="4" t="s">
        <v>87</v>
      </c>
      <c r="B190" s="4" t="s">
        <v>88</v>
      </c>
      <c r="C190" s="4" t="s">
        <v>11</v>
      </c>
      <c r="D190" s="4" t="s">
        <v>17</v>
      </c>
      <c r="E190" s="4" t="s">
        <v>405</v>
      </c>
      <c r="F190" s="4" t="s">
        <v>407</v>
      </c>
      <c r="G190" s="7">
        <v>44146</v>
      </c>
      <c r="H190" s="5">
        <v>2</v>
      </c>
      <c r="I190" s="4" t="s">
        <v>81</v>
      </c>
      <c r="J190" s="16">
        <v>2559.2399999999998</v>
      </c>
      <c r="K190" s="16"/>
      <c r="L190" s="16">
        <f>AtlasReport_1_Table_1[[#This Row],[Amount in default currency]]-AtlasReport_1_Table_1[[#This Row],[Cost Amount]]</f>
        <v>2559.2399999999998</v>
      </c>
    </row>
    <row r="191" spans="1:12">
      <c r="A191" s="4" t="s">
        <v>87</v>
      </c>
      <c r="B191" s="4" t="s">
        <v>88</v>
      </c>
      <c r="C191" s="4" t="s">
        <v>408</v>
      </c>
      <c r="D191" s="4" t="s">
        <v>409</v>
      </c>
      <c r="E191" s="4" t="s">
        <v>410</v>
      </c>
      <c r="F191" s="4" t="s">
        <v>411</v>
      </c>
      <c r="G191" s="7">
        <v>44165</v>
      </c>
      <c r="H191" s="5">
        <v>48.5</v>
      </c>
      <c r="I191" s="4" t="s">
        <v>27</v>
      </c>
      <c r="J191" s="16">
        <v>0</v>
      </c>
      <c r="K191" s="16"/>
      <c r="L191" s="16">
        <f>AtlasReport_1_Table_1[[#This Row],[Amount in default currency]]-AtlasReport_1_Table_1[[#This Row],[Cost Amount]]</f>
        <v>0</v>
      </c>
    </row>
    <row r="192" spans="1:12">
      <c r="A192" s="4" t="s">
        <v>82</v>
      </c>
      <c r="B192" s="4" t="s">
        <v>83</v>
      </c>
      <c r="C192" s="4" t="s">
        <v>68</v>
      </c>
      <c r="D192" s="4" t="s">
        <v>17</v>
      </c>
      <c r="E192" s="4" t="s">
        <v>412</v>
      </c>
      <c r="F192" s="4" t="s">
        <v>413</v>
      </c>
      <c r="G192" s="7">
        <v>44148</v>
      </c>
      <c r="H192" s="5">
        <v>-5475</v>
      </c>
      <c r="I192" s="4" t="s">
        <v>27</v>
      </c>
      <c r="J192" s="16">
        <v>-94452.51</v>
      </c>
      <c r="K192" s="16"/>
      <c r="L192" s="16">
        <f>AtlasReport_1_Table_1[[#This Row],[Amount in default currency]]-AtlasReport_1_Table_1[[#This Row],[Cost Amount]]</f>
        <v>-94452.51</v>
      </c>
    </row>
    <row r="193" spans="1:12">
      <c r="A193" s="4" t="s">
        <v>82</v>
      </c>
      <c r="B193" s="4" t="s">
        <v>83</v>
      </c>
      <c r="C193" s="4" t="s">
        <v>10</v>
      </c>
      <c r="D193" s="4" t="s">
        <v>17</v>
      </c>
      <c r="E193" s="4" t="s">
        <v>412</v>
      </c>
      <c r="F193" s="4" t="s">
        <v>414</v>
      </c>
      <c r="G193" s="7">
        <v>44148</v>
      </c>
      <c r="H193" s="5">
        <v>-65520</v>
      </c>
      <c r="I193" s="4" t="s">
        <v>27</v>
      </c>
      <c r="J193" s="16">
        <v>-1130324.83</v>
      </c>
      <c r="K193" s="16"/>
      <c r="L193" s="16">
        <f>AtlasReport_1_Table_1[[#This Row],[Amount in default currency]]-AtlasReport_1_Table_1[[#This Row],[Cost Amount]]</f>
        <v>-1130324.83</v>
      </c>
    </row>
    <row r="194" spans="1:12">
      <c r="A194" s="4" t="s">
        <v>82</v>
      </c>
      <c r="B194" s="4" t="s">
        <v>83</v>
      </c>
      <c r="C194" s="4" t="s">
        <v>11</v>
      </c>
      <c r="D194" s="4" t="s">
        <v>17</v>
      </c>
      <c r="E194" s="4" t="s">
        <v>412</v>
      </c>
      <c r="F194" s="4" t="s">
        <v>415</v>
      </c>
      <c r="G194" s="7">
        <v>44148</v>
      </c>
      <c r="H194" s="5">
        <v>-8536</v>
      </c>
      <c r="I194" s="4" t="s">
        <v>27</v>
      </c>
      <c r="J194" s="16">
        <v>-147259.66</v>
      </c>
      <c r="K194" s="16"/>
      <c r="L194" s="16">
        <f>AtlasReport_1_Table_1[[#This Row],[Amount in default currency]]-AtlasReport_1_Table_1[[#This Row],[Cost Amount]]</f>
        <v>-147259.66</v>
      </c>
    </row>
    <row r="195" spans="1:12">
      <c r="A195" s="4" t="s">
        <v>82</v>
      </c>
      <c r="B195" s="4" t="s">
        <v>83</v>
      </c>
      <c r="C195" s="4" t="s">
        <v>105</v>
      </c>
      <c r="D195" s="4" t="s">
        <v>106</v>
      </c>
      <c r="E195" s="4" t="s">
        <v>412</v>
      </c>
      <c r="F195" s="4" t="s">
        <v>416</v>
      </c>
      <c r="G195" s="7">
        <v>44148</v>
      </c>
      <c r="H195" s="5">
        <v>-1</v>
      </c>
      <c r="I195" s="4" t="s">
        <v>27</v>
      </c>
      <c r="J195" s="16">
        <v>-610000</v>
      </c>
      <c r="K195" s="16"/>
      <c r="L195" s="16">
        <f>AtlasReport_1_Table_1[[#This Row],[Amount in default currency]]-AtlasReport_1_Table_1[[#This Row],[Cost Amount]]</f>
        <v>-610000</v>
      </c>
    </row>
    <row r="196" spans="1:12">
      <c r="A196" s="4" t="s">
        <v>82</v>
      </c>
      <c r="B196" s="4" t="s">
        <v>83</v>
      </c>
      <c r="C196" s="4" t="s">
        <v>68</v>
      </c>
      <c r="D196" s="4" t="s">
        <v>17</v>
      </c>
      <c r="E196" s="4" t="s">
        <v>417</v>
      </c>
      <c r="F196" s="4" t="s">
        <v>418</v>
      </c>
      <c r="G196" s="7">
        <v>44148</v>
      </c>
      <c r="H196" s="5">
        <v>5475</v>
      </c>
      <c r="I196" s="4" t="s">
        <v>27</v>
      </c>
      <c r="J196" s="16">
        <v>93425.24</v>
      </c>
      <c r="K196" s="16"/>
      <c r="L196" s="16">
        <f>AtlasReport_1_Table_1[[#This Row],[Amount in default currency]]-AtlasReport_1_Table_1[[#This Row],[Cost Amount]]</f>
        <v>93425.24</v>
      </c>
    </row>
    <row r="197" spans="1:12">
      <c r="A197" s="4" t="s">
        <v>82</v>
      </c>
      <c r="B197" s="4" t="s">
        <v>83</v>
      </c>
      <c r="C197" s="4" t="s">
        <v>10</v>
      </c>
      <c r="D197" s="4" t="s">
        <v>17</v>
      </c>
      <c r="E197" s="4" t="s">
        <v>417</v>
      </c>
      <c r="F197" s="4" t="s">
        <v>419</v>
      </c>
      <c r="G197" s="7">
        <v>44148</v>
      </c>
      <c r="H197" s="5">
        <v>65812.5</v>
      </c>
      <c r="I197" s="4" t="s">
        <v>27</v>
      </c>
      <c r="J197" s="16">
        <v>1123022.53</v>
      </c>
      <c r="K197" s="16"/>
      <c r="L197" s="16">
        <f>AtlasReport_1_Table_1[[#This Row],[Amount in default currency]]-AtlasReport_1_Table_1[[#This Row],[Cost Amount]]</f>
        <v>1123022.53</v>
      </c>
    </row>
    <row r="198" spans="1:12">
      <c r="A198" s="4" t="s">
        <v>82</v>
      </c>
      <c r="B198" s="4" t="s">
        <v>83</v>
      </c>
      <c r="C198" s="4" t="s">
        <v>11</v>
      </c>
      <c r="D198" s="4" t="s">
        <v>17</v>
      </c>
      <c r="E198" s="4" t="s">
        <v>417</v>
      </c>
      <c r="F198" s="4" t="s">
        <v>420</v>
      </c>
      <c r="G198" s="7">
        <v>44148</v>
      </c>
      <c r="H198" s="5">
        <v>9118</v>
      </c>
      <c r="I198" s="4" t="s">
        <v>27</v>
      </c>
      <c r="J198" s="16">
        <v>155589.28</v>
      </c>
      <c r="K198" s="16"/>
      <c r="L198" s="16">
        <f>AtlasReport_1_Table_1[[#This Row],[Amount in default currency]]-AtlasReport_1_Table_1[[#This Row],[Cost Amount]]</f>
        <v>155589.28</v>
      </c>
    </row>
    <row r="199" spans="1:12">
      <c r="A199" s="4" t="s">
        <v>82</v>
      </c>
      <c r="B199" s="4" t="s">
        <v>83</v>
      </c>
      <c r="C199" s="4" t="s">
        <v>105</v>
      </c>
      <c r="D199" s="4" t="s">
        <v>106</v>
      </c>
      <c r="E199" s="4" t="s">
        <v>417</v>
      </c>
      <c r="F199" s="4" t="s">
        <v>421</v>
      </c>
      <c r="G199" s="7">
        <v>44148</v>
      </c>
      <c r="H199" s="5">
        <v>1</v>
      </c>
      <c r="I199" s="4" t="s">
        <v>26</v>
      </c>
      <c r="J199" s="16">
        <v>609999.94999999995</v>
      </c>
      <c r="K199" s="16"/>
      <c r="L199" s="16">
        <f>AtlasReport_1_Table_1[[#This Row],[Amount in default currency]]-AtlasReport_1_Table_1[[#This Row],[Cost Amount]]</f>
        <v>609999.94999999995</v>
      </c>
    </row>
    <row r="200" spans="1:12">
      <c r="A200" s="4" t="s">
        <v>75</v>
      </c>
      <c r="B200" s="4" t="s">
        <v>76</v>
      </c>
      <c r="C200" s="4" t="s">
        <v>92</v>
      </c>
      <c r="D200" s="4" t="s">
        <v>93</v>
      </c>
      <c r="E200" s="4" t="s">
        <v>422</v>
      </c>
      <c r="F200" s="4" t="s">
        <v>423</v>
      </c>
      <c r="G200" s="7">
        <v>44153</v>
      </c>
      <c r="H200" s="5">
        <v>6</v>
      </c>
      <c r="I200" s="4" t="s">
        <v>81</v>
      </c>
      <c r="J200" s="16">
        <v>17460</v>
      </c>
      <c r="K200" s="16"/>
      <c r="L200" s="16">
        <f>AtlasReport_1_Table_1[[#This Row],[Amount in default currency]]-AtlasReport_1_Table_1[[#This Row],[Cost Amount]]</f>
        <v>17460</v>
      </c>
    </row>
    <row r="201" spans="1:12">
      <c r="A201" s="4" t="s">
        <v>73</v>
      </c>
      <c r="B201" s="4" t="s">
        <v>74</v>
      </c>
      <c r="C201" s="4" t="s">
        <v>95</v>
      </c>
      <c r="D201" s="4" t="s">
        <v>93</v>
      </c>
      <c r="E201" s="4" t="s">
        <v>424</v>
      </c>
      <c r="F201" s="4" t="s">
        <v>425</v>
      </c>
      <c r="G201" s="7">
        <v>44154</v>
      </c>
      <c r="H201" s="5">
        <v>292.5</v>
      </c>
      <c r="I201" s="4" t="s">
        <v>27</v>
      </c>
      <c r="J201" s="16">
        <v>16087.5</v>
      </c>
      <c r="K201" s="16"/>
      <c r="L201" s="16">
        <f>AtlasReport_1_Table_1[[#This Row],[Amount in default currency]]-AtlasReport_1_Table_1[[#This Row],[Cost Amount]]</f>
        <v>16087.5</v>
      </c>
    </row>
    <row r="202" spans="1:12">
      <c r="A202" s="4" t="s">
        <v>75</v>
      </c>
      <c r="B202" s="4" t="s">
        <v>76</v>
      </c>
      <c r="C202" s="4" t="s">
        <v>77</v>
      </c>
      <c r="D202" s="4" t="s">
        <v>78</v>
      </c>
      <c r="E202" s="4" t="s">
        <v>426</v>
      </c>
      <c r="F202" s="4" t="s">
        <v>427</v>
      </c>
      <c r="G202" s="7">
        <v>44166</v>
      </c>
      <c r="H202" s="5">
        <v>4</v>
      </c>
      <c r="I202" s="4" t="s">
        <v>81</v>
      </c>
      <c r="J202" s="16">
        <v>9700</v>
      </c>
      <c r="K202" s="16"/>
      <c r="L202" s="16">
        <f>AtlasReport_1_Table_1[[#This Row],[Amount in default currency]]-AtlasReport_1_Table_1[[#This Row],[Cost Amount]]</f>
        <v>9700</v>
      </c>
    </row>
    <row r="203" spans="1:12">
      <c r="A203" s="4" t="s">
        <v>267</v>
      </c>
      <c r="B203" s="4" t="s">
        <v>268</v>
      </c>
      <c r="C203" s="4" t="s">
        <v>116</v>
      </c>
      <c r="D203" s="4" t="s">
        <v>78</v>
      </c>
      <c r="E203" s="4" t="s">
        <v>428</v>
      </c>
      <c r="F203" s="4" t="s">
        <v>429</v>
      </c>
      <c r="G203" s="7">
        <v>44176</v>
      </c>
      <c r="H203" s="5">
        <v>30</v>
      </c>
      <c r="I203" s="4" t="s">
        <v>81</v>
      </c>
      <c r="J203" s="16">
        <v>101250</v>
      </c>
      <c r="K203" s="16"/>
      <c r="L203" s="16">
        <f>AtlasReport_1_Table_1[[#This Row],[Amount in default currency]]-AtlasReport_1_Table_1[[#This Row],[Cost Amount]]</f>
        <v>101250</v>
      </c>
    </row>
    <row r="204" spans="1:12">
      <c r="A204" s="4" t="s">
        <v>267</v>
      </c>
      <c r="B204" s="4" t="s">
        <v>268</v>
      </c>
      <c r="C204" s="4" t="s">
        <v>430</v>
      </c>
      <c r="D204" s="4" t="s">
        <v>78</v>
      </c>
      <c r="E204" s="4" t="s">
        <v>428</v>
      </c>
      <c r="F204" s="4" t="s">
        <v>431</v>
      </c>
      <c r="G204" s="7">
        <v>44176</v>
      </c>
      <c r="H204" s="5">
        <v>31</v>
      </c>
      <c r="I204" s="4" t="s">
        <v>81</v>
      </c>
      <c r="J204" s="16">
        <v>136012.5</v>
      </c>
      <c r="K204" s="16"/>
      <c r="L204" s="16">
        <f>AtlasReport_1_Table_1[[#This Row],[Amount in default currency]]-AtlasReport_1_Table_1[[#This Row],[Cost Amount]]</f>
        <v>136012.5</v>
      </c>
    </row>
    <row r="205" spans="1:12">
      <c r="A205" s="4" t="s">
        <v>267</v>
      </c>
      <c r="B205" s="4" t="s">
        <v>268</v>
      </c>
      <c r="C205" s="4" t="s">
        <v>430</v>
      </c>
      <c r="D205" s="4" t="s">
        <v>78</v>
      </c>
      <c r="E205" s="4" t="s">
        <v>428</v>
      </c>
      <c r="F205" s="4" t="s">
        <v>432</v>
      </c>
      <c r="G205" s="7">
        <v>44176</v>
      </c>
      <c r="H205" s="5">
        <v>1</v>
      </c>
      <c r="I205" s="4" t="s">
        <v>81</v>
      </c>
      <c r="J205" s="16">
        <v>3375</v>
      </c>
      <c r="K205" s="16"/>
      <c r="L205" s="16">
        <f>AtlasReport_1_Table_1[[#This Row],[Amount in default currency]]-AtlasReport_1_Table_1[[#This Row],[Cost Amount]]</f>
        <v>3375</v>
      </c>
    </row>
    <row r="206" spans="1:12">
      <c r="A206" s="4" t="s">
        <v>87</v>
      </c>
      <c r="B206" s="4" t="s">
        <v>88</v>
      </c>
      <c r="C206" s="4" t="s">
        <v>10</v>
      </c>
      <c r="D206" s="4" t="s">
        <v>17</v>
      </c>
      <c r="E206" s="4" t="s">
        <v>433</v>
      </c>
      <c r="F206" s="4" t="s">
        <v>434</v>
      </c>
      <c r="G206" s="7">
        <v>44162</v>
      </c>
      <c r="H206" s="5">
        <v>40</v>
      </c>
      <c r="I206" s="4" t="s">
        <v>81</v>
      </c>
      <c r="J206" s="16">
        <v>99997.440000000002</v>
      </c>
      <c r="K206" s="16"/>
      <c r="L206" s="16">
        <f>AtlasReport_1_Table_1[[#This Row],[Amount in default currency]]-AtlasReport_1_Table_1[[#This Row],[Cost Amount]]</f>
        <v>99997.440000000002</v>
      </c>
    </row>
    <row r="207" spans="1:12">
      <c r="A207" s="4" t="s">
        <v>87</v>
      </c>
      <c r="B207" s="4" t="s">
        <v>88</v>
      </c>
      <c r="C207" s="4" t="s">
        <v>10</v>
      </c>
      <c r="D207" s="4" t="s">
        <v>17</v>
      </c>
      <c r="E207" s="4" t="s">
        <v>435</v>
      </c>
      <c r="F207" s="4" t="s">
        <v>436</v>
      </c>
      <c r="G207" s="7">
        <v>44168</v>
      </c>
      <c r="H207" s="5">
        <v>4</v>
      </c>
      <c r="I207" s="4" t="s">
        <v>81</v>
      </c>
      <c r="J207" s="16">
        <v>9893.18</v>
      </c>
      <c r="K207" s="16"/>
      <c r="L207" s="16">
        <f>AtlasReport_1_Table_1[[#This Row],[Amount in default currency]]-AtlasReport_1_Table_1[[#This Row],[Cost Amount]]</f>
        <v>9893.18</v>
      </c>
    </row>
    <row r="208" spans="1:12">
      <c r="A208" s="4" t="s">
        <v>437</v>
      </c>
      <c r="B208" s="4" t="s">
        <v>438</v>
      </c>
      <c r="C208" s="4" t="s">
        <v>92</v>
      </c>
      <c r="D208" s="4" t="s">
        <v>93</v>
      </c>
      <c r="E208" s="4" t="s">
        <v>439</v>
      </c>
      <c r="F208" s="4" t="s">
        <v>440</v>
      </c>
      <c r="G208" s="7">
        <v>44165</v>
      </c>
      <c r="H208" s="5">
        <v>194</v>
      </c>
      <c r="I208" s="4" t="s">
        <v>27</v>
      </c>
      <c r="J208" s="16">
        <v>8993.86</v>
      </c>
      <c r="K208" s="16"/>
      <c r="L208" s="16">
        <f>AtlasReport_1_Table_1[[#This Row],[Amount in default currency]]-AtlasReport_1_Table_1[[#This Row],[Cost Amount]]</f>
        <v>8993.86</v>
      </c>
    </row>
    <row r="209" spans="1:12">
      <c r="A209" s="4" t="s">
        <v>437</v>
      </c>
      <c r="B209" s="4" t="s">
        <v>438</v>
      </c>
      <c r="C209" s="4" t="s">
        <v>95</v>
      </c>
      <c r="D209" s="4" t="s">
        <v>93</v>
      </c>
      <c r="E209" s="4" t="s">
        <v>439</v>
      </c>
      <c r="F209" s="4" t="s">
        <v>441</v>
      </c>
      <c r="G209" s="7">
        <v>44165</v>
      </c>
      <c r="H209" s="5">
        <v>23595</v>
      </c>
      <c r="I209" s="4" t="s">
        <v>27</v>
      </c>
      <c r="J209" s="16">
        <v>1093866.0900000001</v>
      </c>
      <c r="K209" s="16"/>
      <c r="L209" s="16">
        <f>AtlasReport_1_Table_1[[#This Row],[Amount in default currency]]-AtlasReport_1_Table_1[[#This Row],[Cost Amount]]</f>
        <v>1093866.0900000001</v>
      </c>
    </row>
    <row r="210" spans="1:12">
      <c r="A210" s="4" t="s">
        <v>437</v>
      </c>
      <c r="B210" s="4" t="s">
        <v>438</v>
      </c>
      <c r="C210" s="4" t="s">
        <v>105</v>
      </c>
      <c r="D210" s="4" t="s">
        <v>106</v>
      </c>
      <c r="E210" s="4" t="s">
        <v>439</v>
      </c>
      <c r="F210" s="4" t="s">
        <v>442</v>
      </c>
      <c r="G210" s="7">
        <v>44165</v>
      </c>
      <c r="H210" s="5">
        <v>2</v>
      </c>
      <c r="I210" s="4" t="s">
        <v>26</v>
      </c>
      <c r="J210" s="16">
        <v>77886</v>
      </c>
      <c r="K210" s="16"/>
      <c r="L210" s="16">
        <f>AtlasReport_1_Table_1[[#This Row],[Amount in default currency]]-AtlasReport_1_Table_1[[#This Row],[Cost Amount]]</f>
        <v>77886</v>
      </c>
    </row>
    <row r="211" spans="1:12">
      <c r="A211" s="4" t="s">
        <v>143</v>
      </c>
      <c r="B211" s="4" t="s">
        <v>144</v>
      </c>
      <c r="C211" s="4" t="s">
        <v>199</v>
      </c>
      <c r="D211" s="4" t="s">
        <v>93</v>
      </c>
      <c r="E211" s="4" t="s">
        <v>443</v>
      </c>
      <c r="F211" s="4" t="s">
        <v>444</v>
      </c>
      <c r="G211" s="7">
        <v>44176</v>
      </c>
      <c r="H211" s="5">
        <v>5</v>
      </c>
      <c r="I211" s="4" t="s">
        <v>81</v>
      </c>
      <c r="J211" s="16">
        <v>22500</v>
      </c>
      <c r="K211" s="16"/>
      <c r="L211" s="16">
        <f>AtlasReport_1_Table_1[[#This Row],[Amount in default currency]]-AtlasReport_1_Table_1[[#This Row],[Cost Amount]]</f>
        <v>22500</v>
      </c>
    </row>
    <row r="212" spans="1:12">
      <c r="A212" s="4" t="s">
        <v>143</v>
      </c>
      <c r="B212" s="4" t="s">
        <v>144</v>
      </c>
      <c r="C212" s="4" t="s">
        <v>105</v>
      </c>
      <c r="D212" s="4" t="s">
        <v>106</v>
      </c>
      <c r="E212" s="4" t="s">
        <v>443</v>
      </c>
      <c r="F212" s="4" t="s">
        <v>445</v>
      </c>
      <c r="G212" s="7">
        <v>44176</v>
      </c>
      <c r="H212" s="5">
        <v>1</v>
      </c>
      <c r="I212" s="4" t="s">
        <v>26</v>
      </c>
      <c r="J212" s="16">
        <v>18725</v>
      </c>
      <c r="K212" s="16"/>
      <c r="L212" s="16">
        <f>AtlasReport_1_Table_1[[#This Row],[Amount in default currency]]-AtlasReport_1_Table_1[[#This Row],[Cost Amount]]</f>
        <v>18725</v>
      </c>
    </row>
    <row r="213" spans="1:12">
      <c r="A213" s="4" t="s">
        <v>75</v>
      </c>
      <c r="B213" s="4" t="s">
        <v>76</v>
      </c>
      <c r="C213" s="4" t="s">
        <v>92</v>
      </c>
      <c r="D213" s="4" t="s">
        <v>93</v>
      </c>
      <c r="E213" s="4" t="s">
        <v>446</v>
      </c>
      <c r="F213" s="4" t="s">
        <v>447</v>
      </c>
      <c r="G213" s="7">
        <v>44183</v>
      </c>
      <c r="H213" s="5">
        <v>2</v>
      </c>
      <c r="I213" s="4" t="s">
        <v>81</v>
      </c>
      <c r="J213" s="16">
        <v>5820</v>
      </c>
      <c r="K213" s="16"/>
      <c r="L213" s="16">
        <f>AtlasReport_1_Table_1[[#This Row],[Amount in default currency]]-AtlasReport_1_Table_1[[#This Row],[Cost Amount]]</f>
        <v>5820</v>
      </c>
    </row>
    <row r="214" spans="1:12">
      <c r="A214" s="4" t="s">
        <v>143</v>
      </c>
      <c r="B214" s="4" t="s">
        <v>144</v>
      </c>
      <c r="C214" s="4" t="s">
        <v>10</v>
      </c>
      <c r="D214" s="4" t="s">
        <v>17</v>
      </c>
      <c r="E214" s="4" t="s">
        <v>448</v>
      </c>
      <c r="F214" s="4" t="s">
        <v>449</v>
      </c>
      <c r="G214" s="7">
        <v>44186</v>
      </c>
      <c r="H214" s="5">
        <v>390</v>
      </c>
      <c r="I214" s="4" t="s">
        <v>27</v>
      </c>
      <c r="J214" s="16">
        <v>9750</v>
      </c>
      <c r="K214" s="16"/>
      <c r="L214" s="16">
        <f>AtlasReport_1_Table_1[[#This Row],[Amount in default currency]]-AtlasReport_1_Table_1[[#This Row],[Cost Amount]]</f>
        <v>9750</v>
      </c>
    </row>
    <row r="215" spans="1:12">
      <c r="A215" s="4" t="s">
        <v>143</v>
      </c>
      <c r="B215" s="4" t="s">
        <v>144</v>
      </c>
      <c r="C215" s="4" t="s">
        <v>105</v>
      </c>
      <c r="D215" s="4" t="s">
        <v>106</v>
      </c>
      <c r="E215" s="4" t="s">
        <v>448</v>
      </c>
      <c r="F215" s="4" t="s">
        <v>450</v>
      </c>
      <c r="G215" s="7">
        <v>44186</v>
      </c>
      <c r="H215" s="5">
        <v>1</v>
      </c>
      <c r="I215" s="4" t="s">
        <v>26</v>
      </c>
      <c r="J215" s="16">
        <v>13525</v>
      </c>
      <c r="K215" s="16"/>
      <c r="L215" s="16">
        <f>AtlasReport_1_Table_1[[#This Row],[Amount in default currency]]-AtlasReport_1_Table_1[[#This Row],[Cost Amount]]</f>
        <v>13525</v>
      </c>
    </row>
    <row r="216" spans="1:12">
      <c r="A216" s="4" t="s">
        <v>437</v>
      </c>
      <c r="B216" s="4" t="s">
        <v>438</v>
      </c>
      <c r="C216" s="4" t="s">
        <v>92</v>
      </c>
      <c r="D216" s="4" t="s">
        <v>93</v>
      </c>
      <c r="E216" s="4" t="s">
        <v>451</v>
      </c>
      <c r="F216" s="4" t="s">
        <v>452</v>
      </c>
      <c r="G216" s="7">
        <v>44180</v>
      </c>
      <c r="H216" s="5">
        <v>-194</v>
      </c>
      <c r="I216" s="4" t="s">
        <v>27</v>
      </c>
      <c r="J216" s="16">
        <v>-8993.86</v>
      </c>
      <c r="K216" s="16"/>
      <c r="L216" s="16">
        <f>AtlasReport_1_Table_1[[#This Row],[Amount in default currency]]-AtlasReport_1_Table_1[[#This Row],[Cost Amount]]</f>
        <v>-8993.86</v>
      </c>
    </row>
    <row r="217" spans="1:12">
      <c r="A217" s="4" t="s">
        <v>437</v>
      </c>
      <c r="B217" s="4" t="s">
        <v>438</v>
      </c>
      <c r="C217" s="4" t="s">
        <v>95</v>
      </c>
      <c r="D217" s="4" t="s">
        <v>93</v>
      </c>
      <c r="E217" s="4" t="s">
        <v>451</v>
      </c>
      <c r="F217" s="4" t="s">
        <v>453</v>
      </c>
      <c r="G217" s="7">
        <v>44180</v>
      </c>
      <c r="H217" s="5">
        <v>-23595</v>
      </c>
      <c r="I217" s="4" t="s">
        <v>27</v>
      </c>
      <c r="J217" s="16">
        <v>-1093866.0900000001</v>
      </c>
      <c r="K217" s="16"/>
      <c r="L217" s="16">
        <f>AtlasReport_1_Table_1[[#This Row],[Amount in default currency]]-AtlasReport_1_Table_1[[#This Row],[Cost Amount]]</f>
        <v>-1093866.0900000001</v>
      </c>
    </row>
    <row r="218" spans="1:12">
      <c r="A218" s="4" t="s">
        <v>437</v>
      </c>
      <c r="B218" s="4" t="s">
        <v>438</v>
      </c>
      <c r="C218" s="4" t="s">
        <v>105</v>
      </c>
      <c r="D218" s="4" t="s">
        <v>106</v>
      </c>
      <c r="E218" s="4" t="s">
        <v>451</v>
      </c>
      <c r="F218" s="4" t="s">
        <v>454</v>
      </c>
      <c r="G218" s="7">
        <v>44180</v>
      </c>
      <c r="H218" s="5">
        <v>-2</v>
      </c>
      <c r="I218" s="4" t="s">
        <v>26</v>
      </c>
      <c r="J218" s="16">
        <v>-77886</v>
      </c>
      <c r="K218" s="16"/>
      <c r="L218" s="16">
        <f>AtlasReport_1_Table_1[[#This Row],[Amount in default currency]]-AtlasReport_1_Table_1[[#This Row],[Cost Amount]]</f>
        <v>-77886</v>
      </c>
    </row>
    <row r="219" spans="1:12">
      <c r="A219" s="4" t="s">
        <v>437</v>
      </c>
      <c r="B219" s="4" t="s">
        <v>438</v>
      </c>
      <c r="C219" s="4" t="s">
        <v>92</v>
      </c>
      <c r="D219" s="4" t="s">
        <v>93</v>
      </c>
      <c r="E219" s="4" t="s">
        <v>455</v>
      </c>
      <c r="F219" s="4" t="s">
        <v>456</v>
      </c>
      <c r="G219" s="7">
        <v>44180</v>
      </c>
      <c r="H219" s="5">
        <v>194</v>
      </c>
      <c r="I219" s="4" t="s">
        <v>27</v>
      </c>
      <c r="J219" s="16">
        <v>8772.6</v>
      </c>
      <c r="K219" s="16"/>
      <c r="L219" s="16">
        <f>AtlasReport_1_Table_1[[#This Row],[Amount in default currency]]-AtlasReport_1_Table_1[[#This Row],[Cost Amount]]</f>
        <v>8772.6</v>
      </c>
    </row>
    <row r="220" spans="1:12">
      <c r="A220" s="4" t="s">
        <v>437</v>
      </c>
      <c r="B220" s="4" t="s">
        <v>438</v>
      </c>
      <c r="C220" s="4" t="s">
        <v>199</v>
      </c>
      <c r="D220" s="4" t="s">
        <v>93</v>
      </c>
      <c r="E220" s="4" t="s">
        <v>455</v>
      </c>
      <c r="F220" s="4" t="s">
        <v>457</v>
      </c>
      <c r="G220" s="7">
        <v>44180</v>
      </c>
      <c r="H220" s="5">
        <v>600</v>
      </c>
      <c r="I220" s="4" t="s">
        <v>27</v>
      </c>
      <c r="J220" s="16">
        <v>27131.74</v>
      </c>
      <c r="K220" s="16"/>
      <c r="L220" s="16">
        <f>AtlasReport_1_Table_1[[#This Row],[Amount in default currency]]-AtlasReport_1_Table_1[[#This Row],[Cost Amount]]</f>
        <v>27131.74</v>
      </c>
    </row>
    <row r="221" spans="1:12">
      <c r="A221" s="4" t="s">
        <v>437</v>
      </c>
      <c r="B221" s="4" t="s">
        <v>438</v>
      </c>
      <c r="C221" s="4" t="s">
        <v>95</v>
      </c>
      <c r="D221" s="4" t="s">
        <v>93</v>
      </c>
      <c r="E221" s="4" t="s">
        <v>455</v>
      </c>
      <c r="F221" s="4" t="s">
        <v>458</v>
      </c>
      <c r="G221" s="7">
        <v>44180</v>
      </c>
      <c r="H221" s="5">
        <v>23595</v>
      </c>
      <c r="I221" s="4" t="s">
        <v>27</v>
      </c>
      <c r="J221" s="16">
        <v>1066955.75</v>
      </c>
      <c r="K221" s="16"/>
      <c r="L221" s="16">
        <f>AtlasReport_1_Table_1[[#This Row],[Amount in default currency]]-AtlasReport_1_Table_1[[#This Row],[Cost Amount]]</f>
        <v>1066955.75</v>
      </c>
    </row>
    <row r="222" spans="1:12">
      <c r="A222" s="4" t="s">
        <v>437</v>
      </c>
      <c r="B222" s="4" t="s">
        <v>438</v>
      </c>
      <c r="C222" s="4" t="s">
        <v>105</v>
      </c>
      <c r="D222" s="4" t="s">
        <v>106</v>
      </c>
      <c r="E222" s="4" t="s">
        <v>455</v>
      </c>
      <c r="F222" s="4" t="s">
        <v>459</v>
      </c>
      <c r="G222" s="7">
        <v>44180</v>
      </c>
      <c r="H222" s="5">
        <v>2</v>
      </c>
      <c r="I222" s="4" t="s">
        <v>26</v>
      </c>
      <c r="J222" s="16">
        <v>77886</v>
      </c>
      <c r="K222" s="16"/>
      <c r="L222" s="16">
        <f>AtlasReport_1_Table_1[[#This Row],[Amount in default currency]]-AtlasReport_1_Table_1[[#This Row],[Cost Amount]]</f>
        <v>77886</v>
      </c>
    </row>
    <row r="223" spans="1:12">
      <c r="A223" s="4" t="s">
        <v>267</v>
      </c>
      <c r="B223" s="4" t="s">
        <v>268</v>
      </c>
      <c r="C223" s="4" t="s">
        <v>77</v>
      </c>
      <c r="D223" s="4" t="s">
        <v>78</v>
      </c>
      <c r="E223" s="4" t="s">
        <v>460</v>
      </c>
      <c r="F223" s="4" t="s">
        <v>461</v>
      </c>
      <c r="G223" s="7">
        <v>44222</v>
      </c>
      <c r="H223" s="5">
        <v>5</v>
      </c>
      <c r="I223" s="4" t="s">
        <v>81</v>
      </c>
      <c r="J223" s="16">
        <v>12125</v>
      </c>
      <c r="K223" s="16"/>
      <c r="L223" s="16">
        <f>AtlasReport_1_Table_1[[#This Row],[Amount in default currency]]-AtlasReport_1_Table_1[[#This Row],[Cost Amount]]</f>
        <v>12125</v>
      </c>
    </row>
    <row r="224" spans="1:12">
      <c r="A224" s="4" t="s">
        <v>143</v>
      </c>
      <c r="B224" s="4" t="s">
        <v>144</v>
      </c>
      <c r="C224" s="4" t="s">
        <v>11</v>
      </c>
      <c r="D224" s="4" t="s">
        <v>17</v>
      </c>
      <c r="E224" s="4" t="s">
        <v>462</v>
      </c>
      <c r="F224" s="4" t="s">
        <v>463</v>
      </c>
      <c r="G224" s="7">
        <v>44277</v>
      </c>
      <c r="H224" s="5">
        <v>145.5</v>
      </c>
      <c r="I224" s="4" t="s">
        <v>27</v>
      </c>
      <c r="J224" s="16">
        <v>2910</v>
      </c>
      <c r="K224" s="16"/>
      <c r="L224" s="16">
        <f>AtlasReport_1_Table_1[[#This Row],[Amount in default currency]]-AtlasReport_1_Table_1[[#This Row],[Cost Amount]]</f>
        <v>2910</v>
      </c>
    </row>
    <row r="225" spans="1:12">
      <c r="A225" s="4" t="s">
        <v>143</v>
      </c>
      <c r="B225" s="4" t="s">
        <v>144</v>
      </c>
      <c r="C225" s="4" t="s">
        <v>10</v>
      </c>
      <c r="D225" s="4" t="s">
        <v>17</v>
      </c>
      <c r="E225" s="4" t="s">
        <v>462</v>
      </c>
      <c r="F225" s="4" t="s">
        <v>464</v>
      </c>
      <c r="G225" s="7">
        <v>44277</v>
      </c>
      <c r="H225" s="5">
        <v>780.5</v>
      </c>
      <c r="I225" s="4" t="s">
        <v>27</v>
      </c>
      <c r="J225" s="16">
        <v>15610</v>
      </c>
      <c r="K225" s="16"/>
      <c r="L225" s="16">
        <f>AtlasReport_1_Table_1[[#This Row],[Amount in default currency]]-AtlasReport_1_Table_1[[#This Row],[Cost Amount]]</f>
        <v>15610</v>
      </c>
    </row>
    <row r="226" spans="1:12">
      <c r="A226" s="4" t="s">
        <v>87</v>
      </c>
      <c r="B226" s="4" t="s">
        <v>88</v>
      </c>
      <c r="C226" s="4" t="s">
        <v>10</v>
      </c>
      <c r="D226" s="4" t="s">
        <v>17</v>
      </c>
      <c r="E226" s="4" t="s">
        <v>465</v>
      </c>
      <c r="F226" s="4" t="s">
        <v>466</v>
      </c>
      <c r="G226" s="7">
        <v>44285</v>
      </c>
      <c r="H226" s="5">
        <v>240</v>
      </c>
      <c r="I226" s="4" t="s">
        <v>81</v>
      </c>
      <c r="J226" s="16">
        <v>548312.39</v>
      </c>
      <c r="K226" s="16"/>
      <c r="L226" s="16">
        <f>AtlasReport_1_Table_1[[#This Row],[Amount in default currency]]-AtlasReport_1_Table_1[[#This Row],[Cost Amount]]</f>
        <v>548312.39</v>
      </c>
    </row>
    <row r="227" spans="1:12">
      <c r="A227" s="4" t="s">
        <v>87</v>
      </c>
      <c r="B227" s="4" t="s">
        <v>88</v>
      </c>
      <c r="C227" s="4" t="s">
        <v>11</v>
      </c>
      <c r="D227" s="4" t="s">
        <v>17</v>
      </c>
      <c r="E227" s="4" t="s">
        <v>465</v>
      </c>
      <c r="F227" s="4" t="s">
        <v>467</v>
      </c>
      <c r="G227" s="7">
        <v>44285</v>
      </c>
      <c r="H227" s="5">
        <v>40</v>
      </c>
      <c r="I227" s="4" t="s">
        <v>81</v>
      </c>
      <c r="J227" s="16">
        <v>46565.81</v>
      </c>
      <c r="K227" s="16"/>
      <c r="L227" s="16">
        <f>AtlasReport_1_Table_1[[#This Row],[Amount in default currency]]-AtlasReport_1_Table_1[[#This Row],[Cost Amount]]</f>
        <v>46565.81</v>
      </c>
    </row>
    <row r="228" spans="1:12">
      <c r="A228" s="4" t="s">
        <v>468</v>
      </c>
      <c r="B228" s="4" t="s">
        <v>469</v>
      </c>
      <c r="C228" s="4" t="s">
        <v>10</v>
      </c>
      <c r="D228" s="4" t="s">
        <v>17</v>
      </c>
      <c r="E228" s="4" t="s">
        <v>470</v>
      </c>
      <c r="F228" s="4" t="s">
        <v>471</v>
      </c>
      <c r="G228" s="7">
        <v>44298</v>
      </c>
      <c r="H228" s="5">
        <v>17</v>
      </c>
      <c r="I228" s="4" t="s">
        <v>81</v>
      </c>
      <c r="J228" s="16">
        <v>80060.05</v>
      </c>
      <c r="K228" s="16"/>
      <c r="L228" s="16">
        <f>AtlasReport_1_Table_1[[#This Row],[Amount in default currency]]-AtlasReport_1_Table_1[[#This Row],[Cost Amount]]</f>
        <v>80060.05</v>
      </c>
    </row>
    <row r="229" spans="1:12">
      <c r="A229" s="4" t="s">
        <v>143</v>
      </c>
      <c r="B229" s="4" t="s">
        <v>144</v>
      </c>
      <c r="C229" s="4" t="s">
        <v>11</v>
      </c>
      <c r="D229" s="4" t="s">
        <v>17</v>
      </c>
      <c r="E229" s="4" t="s">
        <v>472</v>
      </c>
      <c r="F229" s="4" t="s">
        <v>473</v>
      </c>
      <c r="G229" s="7">
        <v>44322</v>
      </c>
      <c r="H229" s="5">
        <v>145.5</v>
      </c>
      <c r="I229" s="4" t="s">
        <v>27</v>
      </c>
      <c r="J229" s="16">
        <v>2910</v>
      </c>
      <c r="K229" s="16"/>
      <c r="L229" s="16">
        <f>AtlasReport_1_Table_1[[#This Row],[Amount in default currency]]-AtlasReport_1_Table_1[[#This Row],[Cost Amount]]</f>
        <v>2910</v>
      </c>
    </row>
    <row r="230" spans="1:12">
      <c r="A230" s="4" t="s">
        <v>143</v>
      </c>
      <c r="B230" s="4" t="s">
        <v>144</v>
      </c>
      <c r="C230" s="4" t="s">
        <v>10</v>
      </c>
      <c r="D230" s="4" t="s">
        <v>17</v>
      </c>
      <c r="E230" s="4" t="s">
        <v>472</v>
      </c>
      <c r="F230" s="4" t="s">
        <v>474</v>
      </c>
      <c r="G230" s="7">
        <v>44322</v>
      </c>
      <c r="H230" s="5">
        <v>780</v>
      </c>
      <c r="I230" s="4" t="s">
        <v>27</v>
      </c>
      <c r="J230" s="16">
        <v>15600</v>
      </c>
      <c r="K230" s="16"/>
      <c r="L230" s="16">
        <f>AtlasReport_1_Table_1[[#This Row],[Amount in default currency]]-AtlasReport_1_Table_1[[#This Row],[Cost Amount]]</f>
        <v>15600</v>
      </c>
    </row>
    <row r="231" spans="1:12">
      <c r="A231" s="4" t="s">
        <v>143</v>
      </c>
      <c r="B231" s="4" t="s">
        <v>144</v>
      </c>
      <c r="C231" s="4" t="s">
        <v>10</v>
      </c>
      <c r="D231" s="4" t="s">
        <v>17</v>
      </c>
      <c r="E231" s="4" t="s">
        <v>472</v>
      </c>
      <c r="F231" s="4" t="s">
        <v>475</v>
      </c>
      <c r="G231" s="7">
        <v>44322</v>
      </c>
      <c r="H231" s="5">
        <v>97.5</v>
      </c>
      <c r="I231" s="4" t="s">
        <v>27</v>
      </c>
      <c r="J231" s="16">
        <v>1950</v>
      </c>
      <c r="K231" s="16"/>
      <c r="L231" s="16">
        <f>AtlasReport_1_Table_1[[#This Row],[Amount in default currency]]-AtlasReport_1_Table_1[[#This Row],[Cost Amount]]</f>
        <v>1950</v>
      </c>
    </row>
    <row r="232" spans="1:12">
      <c r="A232" s="4" t="s">
        <v>75</v>
      </c>
      <c r="B232" s="4" t="s">
        <v>76</v>
      </c>
      <c r="C232" s="4" t="s">
        <v>77</v>
      </c>
      <c r="D232" s="4" t="s">
        <v>78</v>
      </c>
      <c r="E232" s="4" t="s">
        <v>476</v>
      </c>
      <c r="F232" s="4" t="s">
        <v>477</v>
      </c>
      <c r="G232" s="7">
        <v>44302</v>
      </c>
      <c r="H232" s="5">
        <v>4</v>
      </c>
      <c r="I232" s="4" t="s">
        <v>81</v>
      </c>
      <c r="J232" s="16">
        <v>9700</v>
      </c>
      <c r="K232" s="16"/>
      <c r="L232" s="16">
        <f>AtlasReport_1_Table_1[[#This Row],[Amount in default currency]]-AtlasReport_1_Table_1[[#This Row],[Cost Amount]]</f>
        <v>9700</v>
      </c>
    </row>
    <row r="233" spans="1:12">
      <c r="A233" s="4" t="s">
        <v>87</v>
      </c>
      <c r="B233" s="4" t="s">
        <v>88</v>
      </c>
      <c r="C233" s="4" t="s">
        <v>11</v>
      </c>
      <c r="D233" s="4" t="s">
        <v>17</v>
      </c>
      <c r="E233" s="4" t="s">
        <v>478</v>
      </c>
      <c r="F233" s="4" t="s">
        <v>479</v>
      </c>
      <c r="G233" s="7">
        <v>44302</v>
      </c>
      <c r="H233" s="5">
        <v>64</v>
      </c>
      <c r="I233" s="4" t="s">
        <v>81</v>
      </c>
      <c r="J233" s="16">
        <v>82245.899999999994</v>
      </c>
      <c r="K233" s="16"/>
      <c r="L233" s="16">
        <f>AtlasReport_1_Table_1[[#This Row],[Amount in default currency]]-AtlasReport_1_Table_1[[#This Row],[Cost Amount]]</f>
        <v>82245.899999999994</v>
      </c>
    </row>
    <row r="234" spans="1:12">
      <c r="A234" s="4" t="s">
        <v>480</v>
      </c>
      <c r="B234" s="4" t="s">
        <v>481</v>
      </c>
      <c r="C234" s="4" t="s">
        <v>11</v>
      </c>
      <c r="D234" s="4" t="s">
        <v>17</v>
      </c>
      <c r="E234" s="4" t="s">
        <v>482</v>
      </c>
      <c r="F234" s="4" t="s">
        <v>483</v>
      </c>
      <c r="G234" s="7">
        <v>44312</v>
      </c>
      <c r="H234" s="5">
        <v>11</v>
      </c>
      <c r="I234" s="4" t="s">
        <v>81</v>
      </c>
      <c r="J234" s="16">
        <v>13337.5</v>
      </c>
      <c r="K234" s="16"/>
      <c r="L234" s="16">
        <f>AtlasReport_1_Table_1[[#This Row],[Amount in default currency]]-AtlasReport_1_Table_1[[#This Row],[Cost Amount]]</f>
        <v>13337.5</v>
      </c>
    </row>
    <row r="235" spans="1:12">
      <c r="A235" s="4" t="s">
        <v>87</v>
      </c>
      <c r="B235" s="4" t="s">
        <v>88</v>
      </c>
      <c r="C235" s="4" t="s">
        <v>92</v>
      </c>
      <c r="D235" s="4" t="s">
        <v>93</v>
      </c>
      <c r="E235" s="4" t="s">
        <v>484</v>
      </c>
      <c r="F235" s="4" t="s">
        <v>485</v>
      </c>
      <c r="G235" s="7">
        <v>44316</v>
      </c>
      <c r="H235" s="5">
        <v>40</v>
      </c>
      <c r="I235" s="4" t="s">
        <v>81</v>
      </c>
      <c r="J235" s="16">
        <v>102682.52</v>
      </c>
      <c r="K235" s="16"/>
      <c r="L235" s="16">
        <f>AtlasReport_1_Table_1[[#This Row],[Amount in default currency]]-AtlasReport_1_Table_1[[#This Row],[Cost Amount]]</f>
        <v>102682.52</v>
      </c>
    </row>
    <row r="236" spans="1:12">
      <c r="A236" s="4" t="s">
        <v>87</v>
      </c>
      <c r="B236" s="4" t="s">
        <v>88</v>
      </c>
      <c r="C236" s="4" t="s">
        <v>95</v>
      </c>
      <c r="D236" s="4" t="s">
        <v>93</v>
      </c>
      <c r="E236" s="4" t="s">
        <v>484</v>
      </c>
      <c r="F236" s="4" t="s">
        <v>486</v>
      </c>
      <c r="G236" s="7">
        <v>44316</v>
      </c>
      <c r="H236" s="5">
        <v>60</v>
      </c>
      <c r="I236" s="4" t="s">
        <v>81</v>
      </c>
      <c r="J236" s="16">
        <v>308047.57</v>
      </c>
      <c r="K236" s="16"/>
      <c r="L236" s="16">
        <f>AtlasReport_1_Table_1[[#This Row],[Amount in default currency]]-AtlasReport_1_Table_1[[#This Row],[Cost Amount]]</f>
        <v>308047.57</v>
      </c>
    </row>
    <row r="237" spans="1:12">
      <c r="A237" s="4" t="s">
        <v>87</v>
      </c>
      <c r="B237" s="4" t="s">
        <v>88</v>
      </c>
      <c r="C237" s="4" t="s">
        <v>11</v>
      </c>
      <c r="D237" s="4" t="s">
        <v>17</v>
      </c>
      <c r="E237" s="4" t="s">
        <v>484</v>
      </c>
      <c r="F237" s="4" t="s">
        <v>487</v>
      </c>
      <c r="G237" s="7">
        <v>44316</v>
      </c>
      <c r="H237" s="5">
        <v>40</v>
      </c>
      <c r="I237" s="4" t="s">
        <v>81</v>
      </c>
      <c r="J237" s="16">
        <v>34783.340000000004</v>
      </c>
      <c r="K237" s="16"/>
      <c r="L237" s="16">
        <f>AtlasReport_1_Table_1[[#This Row],[Amount in default currency]]-AtlasReport_1_Table_1[[#This Row],[Cost Amount]]</f>
        <v>34783.340000000004</v>
      </c>
    </row>
    <row r="238" spans="1:12">
      <c r="A238" s="4" t="s">
        <v>87</v>
      </c>
      <c r="B238" s="4" t="s">
        <v>88</v>
      </c>
      <c r="C238" s="4" t="s">
        <v>10</v>
      </c>
      <c r="D238" s="4" t="s">
        <v>17</v>
      </c>
      <c r="E238" s="4" t="s">
        <v>484</v>
      </c>
      <c r="F238" s="4" t="s">
        <v>488</v>
      </c>
      <c r="G238" s="7">
        <v>44316</v>
      </c>
      <c r="H238" s="5">
        <v>160</v>
      </c>
      <c r="I238" s="4" t="s">
        <v>81</v>
      </c>
      <c r="J238" s="16">
        <v>365093.42</v>
      </c>
      <c r="K238" s="16"/>
      <c r="L238" s="16">
        <f>AtlasReport_1_Table_1[[#This Row],[Amount in default currency]]-AtlasReport_1_Table_1[[#This Row],[Cost Amount]]</f>
        <v>365093.42</v>
      </c>
    </row>
    <row r="239" spans="1:12">
      <c r="A239" s="4" t="s">
        <v>468</v>
      </c>
      <c r="B239" s="4" t="s">
        <v>469</v>
      </c>
      <c r="C239" s="4" t="s">
        <v>95</v>
      </c>
      <c r="D239" s="4" t="s">
        <v>93</v>
      </c>
      <c r="E239" s="4" t="s">
        <v>489</v>
      </c>
      <c r="F239" s="4" t="s">
        <v>490</v>
      </c>
      <c r="G239" s="7">
        <v>44313</v>
      </c>
      <c r="H239" s="5">
        <v>3</v>
      </c>
      <c r="I239" s="4" t="s">
        <v>81</v>
      </c>
      <c r="J239" s="16">
        <v>24701.95</v>
      </c>
      <c r="K239" s="16"/>
      <c r="L239" s="16">
        <f>AtlasReport_1_Table_1[[#This Row],[Amount in default currency]]-AtlasReport_1_Table_1[[#This Row],[Cost Amount]]</f>
        <v>24701.95</v>
      </c>
    </row>
    <row r="240" spans="1:12">
      <c r="A240" s="4" t="s">
        <v>87</v>
      </c>
      <c r="B240" s="4" t="s">
        <v>88</v>
      </c>
      <c r="C240" s="4" t="s">
        <v>68</v>
      </c>
      <c r="D240" s="4" t="s">
        <v>17</v>
      </c>
      <c r="E240" s="4" t="s">
        <v>491</v>
      </c>
      <c r="F240" s="4" t="s">
        <v>492</v>
      </c>
      <c r="G240" s="7">
        <v>44322</v>
      </c>
      <c r="H240" s="5">
        <v>46</v>
      </c>
      <c r="I240" s="4" t="s">
        <v>81</v>
      </c>
      <c r="J240" s="16">
        <v>80504.63</v>
      </c>
      <c r="K240" s="16"/>
      <c r="L240" s="16">
        <f>AtlasReport_1_Table_1[[#This Row],[Amount in default currency]]-AtlasReport_1_Table_1[[#This Row],[Cost Amount]]</f>
        <v>80504.63</v>
      </c>
    </row>
    <row r="241" spans="1:12">
      <c r="A241" s="4" t="s">
        <v>87</v>
      </c>
      <c r="B241" s="4" t="s">
        <v>88</v>
      </c>
      <c r="C241" s="4" t="s">
        <v>95</v>
      </c>
      <c r="D241" s="4" t="s">
        <v>93</v>
      </c>
      <c r="E241" s="4" t="s">
        <v>491</v>
      </c>
      <c r="F241" s="4" t="s">
        <v>493</v>
      </c>
      <c r="G241" s="7">
        <v>44322</v>
      </c>
      <c r="H241" s="5">
        <v>220</v>
      </c>
      <c r="I241" s="4" t="s">
        <v>81</v>
      </c>
      <c r="J241" s="16">
        <v>1126189.79</v>
      </c>
      <c r="K241" s="16"/>
      <c r="L241" s="16">
        <f>AtlasReport_1_Table_1[[#This Row],[Amount in default currency]]-AtlasReport_1_Table_1[[#This Row],[Cost Amount]]</f>
        <v>1126189.79</v>
      </c>
    </row>
    <row r="242" spans="1:12">
      <c r="A242" s="4" t="s">
        <v>87</v>
      </c>
      <c r="B242" s="4" t="s">
        <v>88</v>
      </c>
      <c r="C242" s="4" t="s">
        <v>10</v>
      </c>
      <c r="D242" s="4" t="s">
        <v>17</v>
      </c>
      <c r="E242" s="4" t="s">
        <v>494</v>
      </c>
      <c r="F242" s="4" t="s">
        <v>495</v>
      </c>
      <c r="G242" s="7">
        <v>44336</v>
      </c>
      <c r="H242" s="5">
        <v>160</v>
      </c>
      <c r="I242" s="4" t="s">
        <v>81</v>
      </c>
      <c r="J242" s="16">
        <v>365276.76</v>
      </c>
      <c r="K242" s="16"/>
      <c r="L242" s="16">
        <f>AtlasReport_1_Table_1[[#This Row],[Amount in default currency]]-AtlasReport_1_Table_1[[#This Row],[Cost Amount]]</f>
        <v>365276.76</v>
      </c>
    </row>
    <row r="243" spans="1:12">
      <c r="A243" s="4" t="s">
        <v>87</v>
      </c>
      <c r="B243" s="4" t="s">
        <v>88</v>
      </c>
      <c r="C243" s="4" t="s">
        <v>95</v>
      </c>
      <c r="D243" s="4" t="s">
        <v>93</v>
      </c>
      <c r="E243" s="4" t="s">
        <v>494</v>
      </c>
      <c r="F243" s="4" t="s">
        <v>496</v>
      </c>
      <c r="G243" s="7">
        <v>44336</v>
      </c>
      <c r="H243" s="5">
        <v>100</v>
      </c>
      <c r="I243" s="4" t="s">
        <v>81</v>
      </c>
      <c r="J243" s="16">
        <v>513670.45</v>
      </c>
      <c r="K243" s="16"/>
      <c r="L243" s="16">
        <f>AtlasReport_1_Table_1[[#This Row],[Amount in default currency]]-AtlasReport_1_Table_1[[#This Row],[Cost Amount]]</f>
        <v>513670.45</v>
      </c>
    </row>
    <row r="244" spans="1:12">
      <c r="A244" s="4" t="s">
        <v>75</v>
      </c>
      <c r="B244" s="4" t="s">
        <v>76</v>
      </c>
      <c r="C244" s="4" t="s">
        <v>11</v>
      </c>
      <c r="D244" s="4" t="s">
        <v>17</v>
      </c>
      <c r="E244" s="4" t="s">
        <v>497</v>
      </c>
      <c r="F244" s="4" t="s">
        <v>498</v>
      </c>
      <c r="G244" s="7">
        <v>44333</v>
      </c>
      <c r="H244" s="5">
        <v>40</v>
      </c>
      <c r="I244" s="4" t="s">
        <v>81</v>
      </c>
      <c r="J244" s="16">
        <v>38800</v>
      </c>
      <c r="K244" s="16"/>
      <c r="L244" s="16">
        <f>AtlasReport_1_Table_1[[#This Row],[Amount in default currency]]-AtlasReport_1_Table_1[[#This Row],[Cost Amount]]</f>
        <v>38800</v>
      </c>
    </row>
    <row r="245" spans="1:12">
      <c r="A245" s="4" t="s">
        <v>143</v>
      </c>
      <c r="B245" s="4" t="s">
        <v>144</v>
      </c>
      <c r="C245" s="4" t="s">
        <v>77</v>
      </c>
      <c r="D245" s="4" t="s">
        <v>78</v>
      </c>
      <c r="E245" s="4" t="s">
        <v>499</v>
      </c>
      <c r="F245" s="4" t="s">
        <v>500</v>
      </c>
      <c r="G245" s="7">
        <v>44333</v>
      </c>
      <c r="H245" s="5">
        <v>1</v>
      </c>
      <c r="I245" s="4" t="s">
        <v>81</v>
      </c>
      <c r="J245" s="16">
        <v>2425</v>
      </c>
      <c r="K245" s="16"/>
      <c r="L245" s="16">
        <f>AtlasReport_1_Table_1[[#This Row],[Amount in default currency]]-AtlasReport_1_Table_1[[#This Row],[Cost Amount]]</f>
        <v>2425</v>
      </c>
    </row>
    <row r="246" spans="1:12">
      <c r="A246" s="4" t="s">
        <v>75</v>
      </c>
      <c r="B246" s="4" t="s">
        <v>76</v>
      </c>
      <c r="C246" s="4" t="s">
        <v>92</v>
      </c>
      <c r="D246" s="4" t="s">
        <v>93</v>
      </c>
      <c r="E246" s="4" t="s">
        <v>501</v>
      </c>
      <c r="F246" s="4" t="s">
        <v>502</v>
      </c>
      <c r="G246" s="7">
        <v>44342</v>
      </c>
      <c r="H246" s="5">
        <v>4</v>
      </c>
      <c r="I246" s="4" t="s">
        <v>81</v>
      </c>
      <c r="J246" s="16">
        <v>10670</v>
      </c>
      <c r="K246" s="16"/>
      <c r="L246" s="16">
        <f>AtlasReport_1_Table_1[[#This Row],[Amount in default currency]]-AtlasReport_1_Table_1[[#This Row],[Cost Amount]]</f>
        <v>10670</v>
      </c>
    </row>
    <row r="247" spans="1:12">
      <c r="A247" s="4" t="s">
        <v>214</v>
      </c>
      <c r="B247" s="4" t="s">
        <v>215</v>
      </c>
      <c r="C247" s="4" t="s">
        <v>199</v>
      </c>
      <c r="D247" s="4" t="s">
        <v>93</v>
      </c>
      <c r="E247" s="4" t="s">
        <v>503</v>
      </c>
      <c r="F247" s="4" t="s">
        <v>504</v>
      </c>
      <c r="G247" s="7">
        <v>44342</v>
      </c>
      <c r="H247" s="5">
        <v>7</v>
      </c>
      <c r="I247" s="4" t="s">
        <v>81</v>
      </c>
      <c r="J247" s="16">
        <v>26250</v>
      </c>
      <c r="K247" s="16"/>
      <c r="L247" s="16">
        <f>AtlasReport_1_Table_1[[#This Row],[Amount in default currency]]-AtlasReport_1_Table_1[[#This Row],[Cost Amount]]</f>
        <v>26250</v>
      </c>
    </row>
    <row r="248" spans="1:12">
      <c r="A248" s="4" t="s">
        <v>468</v>
      </c>
      <c r="B248" s="4" t="s">
        <v>469</v>
      </c>
      <c r="C248" s="4" t="s">
        <v>95</v>
      </c>
      <c r="D248" s="4" t="s">
        <v>93</v>
      </c>
      <c r="E248" s="4" t="s">
        <v>505</v>
      </c>
      <c r="F248" s="4" t="s">
        <v>506</v>
      </c>
      <c r="G248" s="7">
        <v>44341</v>
      </c>
      <c r="H248" s="5">
        <v>2</v>
      </c>
      <c r="I248" s="4" t="s">
        <v>81</v>
      </c>
      <c r="J248" s="16">
        <v>16437.43</v>
      </c>
      <c r="K248" s="16"/>
      <c r="L248" s="16">
        <f>AtlasReport_1_Table_1[[#This Row],[Amount in default currency]]-AtlasReport_1_Table_1[[#This Row],[Cost Amount]]</f>
        <v>16437.43</v>
      </c>
    </row>
    <row r="249" spans="1:12">
      <c r="A249" s="4" t="s">
        <v>73</v>
      </c>
      <c r="B249" s="4" t="s">
        <v>74</v>
      </c>
      <c r="C249" s="4" t="s">
        <v>95</v>
      </c>
      <c r="D249" s="4" t="s">
        <v>93</v>
      </c>
      <c r="E249" s="4" t="s">
        <v>507</v>
      </c>
      <c r="F249" s="4" t="s">
        <v>508</v>
      </c>
      <c r="G249" s="7">
        <v>44341</v>
      </c>
      <c r="H249" s="5">
        <v>18</v>
      </c>
      <c r="I249" s="4" t="s">
        <v>81</v>
      </c>
      <c r="J249" s="16">
        <v>93015</v>
      </c>
      <c r="K249" s="16"/>
      <c r="L249" s="16">
        <f>AtlasReport_1_Table_1[[#This Row],[Amount in default currency]]-AtlasReport_1_Table_1[[#This Row],[Cost Amount]]</f>
        <v>93015</v>
      </c>
    </row>
    <row r="250" spans="1:12">
      <c r="A250" s="4" t="s">
        <v>143</v>
      </c>
      <c r="B250" s="4" t="s">
        <v>144</v>
      </c>
      <c r="C250" s="4" t="s">
        <v>11</v>
      </c>
      <c r="D250" s="4" t="s">
        <v>17</v>
      </c>
      <c r="E250" s="4" t="s">
        <v>509</v>
      </c>
      <c r="F250" s="4" t="s">
        <v>510</v>
      </c>
      <c r="G250" s="7">
        <v>44343</v>
      </c>
      <c r="H250" s="5">
        <v>824.5</v>
      </c>
      <c r="I250" s="4" t="s">
        <v>27</v>
      </c>
      <c r="J250" s="16">
        <v>16490</v>
      </c>
      <c r="K250" s="16"/>
      <c r="L250" s="16">
        <f>AtlasReport_1_Table_1[[#This Row],[Amount in default currency]]-AtlasReport_1_Table_1[[#This Row],[Cost Amount]]</f>
        <v>16490</v>
      </c>
    </row>
    <row r="251" spans="1:12">
      <c r="A251" s="4" t="s">
        <v>75</v>
      </c>
      <c r="B251" s="4" t="s">
        <v>76</v>
      </c>
      <c r="C251" s="4" t="s">
        <v>92</v>
      </c>
      <c r="D251" s="4" t="s">
        <v>93</v>
      </c>
      <c r="E251" s="4" t="s">
        <v>511</v>
      </c>
      <c r="F251" s="4" t="s">
        <v>512</v>
      </c>
      <c r="G251" s="7">
        <v>44342</v>
      </c>
      <c r="H251" s="5">
        <v>6</v>
      </c>
      <c r="I251" s="4" t="s">
        <v>81</v>
      </c>
      <c r="J251" s="16">
        <v>16005</v>
      </c>
      <c r="K251" s="16"/>
      <c r="L251" s="16">
        <f>AtlasReport_1_Table_1[[#This Row],[Amount in default currency]]-AtlasReport_1_Table_1[[#This Row],[Cost Amount]]</f>
        <v>16005</v>
      </c>
    </row>
    <row r="252" spans="1:12">
      <c r="A252" s="4" t="s">
        <v>75</v>
      </c>
      <c r="B252" s="4" t="s">
        <v>76</v>
      </c>
      <c r="C252" s="4" t="s">
        <v>11</v>
      </c>
      <c r="D252" s="4" t="s">
        <v>17</v>
      </c>
      <c r="E252" s="4" t="s">
        <v>511</v>
      </c>
      <c r="F252" s="4" t="s">
        <v>513</v>
      </c>
      <c r="G252" s="7">
        <v>44342</v>
      </c>
      <c r="H252" s="5">
        <v>8</v>
      </c>
      <c r="I252" s="4" t="s">
        <v>81</v>
      </c>
      <c r="J252" s="16">
        <v>7760</v>
      </c>
      <c r="K252" s="16"/>
      <c r="L252" s="16">
        <f>AtlasReport_1_Table_1[[#This Row],[Amount in default currency]]-AtlasReport_1_Table_1[[#This Row],[Cost Amount]]</f>
        <v>7760</v>
      </c>
    </row>
    <row r="253" spans="1:12">
      <c r="A253" s="4" t="s">
        <v>514</v>
      </c>
      <c r="B253" s="4" t="s">
        <v>515</v>
      </c>
      <c r="C253" s="4" t="s">
        <v>95</v>
      </c>
      <c r="D253" s="4" t="s">
        <v>93</v>
      </c>
      <c r="E253" s="4" t="s">
        <v>516</v>
      </c>
      <c r="F253" s="4" t="s">
        <v>517</v>
      </c>
      <c r="G253" s="7">
        <v>44362</v>
      </c>
      <c r="H253" s="5">
        <v>17</v>
      </c>
      <c r="I253" s="4" t="s">
        <v>81</v>
      </c>
      <c r="J253" s="16">
        <v>91162.5</v>
      </c>
      <c r="K253" s="16"/>
      <c r="L253" s="16">
        <f>AtlasReport_1_Table_1[[#This Row],[Amount in default currency]]-AtlasReport_1_Table_1[[#This Row],[Cost Amount]]</f>
        <v>91162.5</v>
      </c>
    </row>
    <row r="254" spans="1:12">
      <c r="A254" s="4" t="s">
        <v>514</v>
      </c>
      <c r="B254" s="4" t="s">
        <v>515</v>
      </c>
      <c r="C254" s="4" t="s">
        <v>77</v>
      </c>
      <c r="D254" s="4" t="s">
        <v>78</v>
      </c>
      <c r="E254" s="4" t="s">
        <v>516</v>
      </c>
      <c r="F254" s="4" t="s">
        <v>518</v>
      </c>
      <c r="G254" s="7">
        <v>44362</v>
      </c>
      <c r="H254" s="5">
        <v>1</v>
      </c>
      <c r="I254" s="4" t="s">
        <v>81</v>
      </c>
      <c r="J254" s="16">
        <v>2425</v>
      </c>
      <c r="K254" s="16"/>
      <c r="L254" s="16">
        <f>AtlasReport_1_Table_1[[#This Row],[Amount in default currency]]-AtlasReport_1_Table_1[[#This Row],[Cost Amount]]</f>
        <v>2425</v>
      </c>
    </row>
    <row r="255" spans="1:12">
      <c r="A255" s="4" t="s">
        <v>514</v>
      </c>
      <c r="B255" s="4" t="s">
        <v>515</v>
      </c>
      <c r="C255" s="4" t="s">
        <v>105</v>
      </c>
      <c r="D255" s="4" t="s">
        <v>106</v>
      </c>
      <c r="E255" s="4" t="s">
        <v>516</v>
      </c>
      <c r="F255" s="4" t="s">
        <v>519</v>
      </c>
      <c r="G255" s="7">
        <v>44362</v>
      </c>
      <c r="H255" s="5">
        <v>1</v>
      </c>
      <c r="I255" s="4" t="s">
        <v>26</v>
      </c>
      <c r="J255" s="16">
        <v>17300</v>
      </c>
      <c r="K255" s="16"/>
      <c r="L255" s="16">
        <f>AtlasReport_1_Table_1[[#This Row],[Amount in default currency]]-AtlasReport_1_Table_1[[#This Row],[Cost Amount]]</f>
        <v>17300</v>
      </c>
    </row>
    <row r="256" spans="1:12">
      <c r="A256" s="4" t="s">
        <v>75</v>
      </c>
      <c r="B256" s="4" t="s">
        <v>76</v>
      </c>
      <c r="C256" s="4" t="s">
        <v>92</v>
      </c>
      <c r="D256" s="4" t="s">
        <v>93</v>
      </c>
      <c r="E256" s="4" t="s">
        <v>520</v>
      </c>
      <c r="F256" s="4" t="s">
        <v>521</v>
      </c>
      <c r="G256" s="7">
        <v>44347</v>
      </c>
      <c r="H256" s="5">
        <v>10</v>
      </c>
      <c r="I256" s="4" t="s">
        <v>81</v>
      </c>
      <c r="J256" s="16">
        <v>26675</v>
      </c>
      <c r="K256" s="16"/>
      <c r="L256" s="16">
        <f>AtlasReport_1_Table_1[[#This Row],[Amount in default currency]]-AtlasReport_1_Table_1[[#This Row],[Cost Amount]]</f>
        <v>26675</v>
      </c>
    </row>
    <row r="257" spans="1:12">
      <c r="A257" s="4" t="s">
        <v>267</v>
      </c>
      <c r="B257" s="4" t="s">
        <v>268</v>
      </c>
      <c r="C257" s="4" t="s">
        <v>77</v>
      </c>
      <c r="D257" s="4" t="s">
        <v>78</v>
      </c>
      <c r="E257" s="4" t="s">
        <v>522</v>
      </c>
      <c r="F257" s="4" t="s">
        <v>523</v>
      </c>
      <c r="G257" s="7">
        <v>44347</v>
      </c>
      <c r="H257" s="5">
        <v>1</v>
      </c>
      <c r="I257" s="4" t="s">
        <v>81</v>
      </c>
      <c r="J257" s="16">
        <v>2425</v>
      </c>
      <c r="K257" s="16"/>
      <c r="L257" s="16">
        <f>AtlasReport_1_Table_1[[#This Row],[Amount in default currency]]-AtlasReport_1_Table_1[[#This Row],[Cost Amount]]</f>
        <v>2425</v>
      </c>
    </row>
    <row r="258" spans="1:12">
      <c r="A258" s="4" t="s">
        <v>143</v>
      </c>
      <c r="B258" s="4" t="s">
        <v>144</v>
      </c>
      <c r="C258" s="4" t="s">
        <v>77</v>
      </c>
      <c r="D258" s="4" t="s">
        <v>78</v>
      </c>
      <c r="E258" s="4" t="s">
        <v>524</v>
      </c>
      <c r="F258" s="4" t="s">
        <v>525</v>
      </c>
      <c r="G258" s="7">
        <v>44349</v>
      </c>
      <c r="H258" s="5">
        <v>66</v>
      </c>
      <c r="I258" s="4" t="s">
        <v>81</v>
      </c>
      <c r="J258" s="16">
        <v>117612</v>
      </c>
      <c r="K258" s="16"/>
      <c r="L258" s="16">
        <f>AtlasReport_1_Table_1[[#This Row],[Amount in default currency]]-AtlasReport_1_Table_1[[#This Row],[Cost Amount]]</f>
        <v>117612</v>
      </c>
    </row>
    <row r="259" spans="1:12">
      <c r="A259" s="4" t="s">
        <v>214</v>
      </c>
      <c r="B259" s="4" t="s">
        <v>215</v>
      </c>
      <c r="C259" s="4" t="s">
        <v>92</v>
      </c>
      <c r="D259" s="4" t="s">
        <v>93</v>
      </c>
      <c r="E259" s="4" t="s">
        <v>526</v>
      </c>
      <c r="F259" s="4" t="s">
        <v>527</v>
      </c>
      <c r="G259" s="7">
        <v>44355</v>
      </c>
      <c r="H259" s="5">
        <v>14</v>
      </c>
      <c r="I259" s="4" t="s">
        <v>81</v>
      </c>
      <c r="J259" s="16">
        <v>33271</v>
      </c>
      <c r="K259" s="16"/>
      <c r="L259" s="16">
        <f>AtlasReport_1_Table_1[[#This Row],[Amount in default currency]]-AtlasReport_1_Table_1[[#This Row],[Cost Amount]]</f>
        <v>33271</v>
      </c>
    </row>
    <row r="260" spans="1:12">
      <c r="A260" s="4" t="s">
        <v>214</v>
      </c>
      <c r="B260" s="4" t="s">
        <v>215</v>
      </c>
      <c r="C260" s="4" t="s">
        <v>199</v>
      </c>
      <c r="D260" s="4" t="s">
        <v>93</v>
      </c>
      <c r="E260" s="4" t="s">
        <v>526</v>
      </c>
      <c r="F260" s="4" t="s">
        <v>528</v>
      </c>
      <c r="G260" s="7">
        <v>44355</v>
      </c>
      <c r="H260" s="5">
        <v>10</v>
      </c>
      <c r="I260" s="4" t="s">
        <v>81</v>
      </c>
      <c r="J260" s="16">
        <v>36750</v>
      </c>
      <c r="K260" s="16"/>
      <c r="L260" s="16">
        <f>AtlasReport_1_Table_1[[#This Row],[Amount in default currency]]-AtlasReport_1_Table_1[[#This Row],[Cost Amount]]</f>
        <v>36750</v>
      </c>
    </row>
    <row r="261" spans="1:12">
      <c r="A261" s="4" t="s">
        <v>214</v>
      </c>
      <c r="B261" s="4" t="s">
        <v>215</v>
      </c>
      <c r="C261" s="4" t="s">
        <v>95</v>
      </c>
      <c r="D261" s="4" t="s">
        <v>93</v>
      </c>
      <c r="E261" s="4" t="s">
        <v>526</v>
      </c>
      <c r="F261" s="4" t="s">
        <v>529</v>
      </c>
      <c r="G261" s="7">
        <v>44355</v>
      </c>
      <c r="H261" s="5">
        <v>53</v>
      </c>
      <c r="I261" s="4" t="s">
        <v>81</v>
      </c>
      <c r="J261" s="16">
        <v>253207.5</v>
      </c>
      <c r="K261" s="16"/>
      <c r="L261" s="16">
        <f>AtlasReport_1_Table_1[[#This Row],[Amount in default currency]]-AtlasReport_1_Table_1[[#This Row],[Cost Amount]]</f>
        <v>253207.5</v>
      </c>
    </row>
    <row r="262" spans="1:12">
      <c r="A262" s="4" t="s">
        <v>214</v>
      </c>
      <c r="B262" s="4" t="s">
        <v>215</v>
      </c>
      <c r="C262" s="4" t="s">
        <v>105</v>
      </c>
      <c r="D262" s="4" t="s">
        <v>106</v>
      </c>
      <c r="E262" s="4" t="s">
        <v>526</v>
      </c>
      <c r="F262" s="4" t="s">
        <v>530</v>
      </c>
      <c r="G262" s="7">
        <v>44468</v>
      </c>
      <c r="H262" s="5">
        <v>1</v>
      </c>
      <c r="I262" s="4" t="s">
        <v>26</v>
      </c>
      <c r="J262" s="16">
        <v>26825</v>
      </c>
      <c r="K262" s="16"/>
      <c r="L262" s="16">
        <f>AtlasReport_1_Table_1[[#This Row],[Amount in default currency]]-AtlasReport_1_Table_1[[#This Row],[Cost Amount]]</f>
        <v>26825</v>
      </c>
    </row>
    <row r="263" spans="1:12">
      <c r="A263" s="4" t="s">
        <v>87</v>
      </c>
      <c r="B263" s="4" t="s">
        <v>88</v>
      </c>
      <c r="C263" s="4" t="s">
        <v>95</v>
      </c>
      <c r="D263" s="4" t="s">
        <v>93</v>
      </c>
      <c r="E263" s="4" t="s">
        <v>531</v>
      </c>
      <c r="F263" s="4" t="s">
        <v>532</v>
      </c>
      <c r="G263" s="7">
        <v>44354</v>
      </c>
      <c r="H263" s="5">
        <v>153</v>
      </c>
      <c r="I263" s="4" t="s">
        <v>81</v>
      </c>
      <c r="J263" s="16">
        <v>793742.94</v>
      </c>
      <c r="K263" s="16"/>
      <c r="L263" s="16">
        <f>AtlasReport_1_Table_1[[#This Row],[Amount in default currency]]-AtlasReport_1_Table_1[[#This Row],[Cost Amount]]</f>
        <v>793742.94</v>
      </c>
    </row>
    <row r="264" spans="1:12">
      <c r="A264" s="4" t="s">
        <v>87</v>
      </c>
      <c r="B264" s="4" t="s">
        <v>88</v>
      </c>
      <c r="C264" s="4" t="s">
        <v>92</v>
      </c>
      <c r="D264" s="4" t="s">
        <v>93</v>
      </c>
      <c r="E264" s="4" t="s">
        <v>531</v>
      </c>
      <c r="F264" s="4" t="s">
        <v>533</v>
      </c>
      <c r="G264" s="7">
        <v>44354</v>
      </c>
      <c r="H264" s="5">
        <v>80</v>
      </c>
      <c r="I264" s="4" t="s">
        <v>81</v>
      </c>
      <c r="J264" s="16">
        <v>206450.32</v>
      </c>
      <c r="K264" s="16"/>
      <c r="L264" s="16">
        <f>AtlasReport_1_Table_1[[#This Row],[Amount in default currency]]-AtlasReport_1_Table_1[[#This Row],[Cost Amount]]</f>
        <v>206450.32</v>
      </c>
    </row>
    <row r="265" spans="1:12">
      <c r="A265" s="4" t="s">
        <v>87</v>
      </c>
      <c r="B265" s="4" t="s">
        <v>88</v>
      </c>
      <c r="C265" s="4" t="s">
        <v>10</v>
      </c>
      <c r="D265" s="4" t="s">
        <v>17</v>
      </c>
      <c r="E265" s="4" t="s">
        <v>531</v>
      </c>
      <c r="F265" s="4" t="s">
        <v>534</v>
      </c>
      <c r="G265" s="7">
        <v>44354</v>
      </c>
      <c r="H265" s="5">
        <v>60</v>
      </c>
      <c r="I265" s="4" t="s">
        <v>81</v>
      </c>
      <c r="J265" s="16">
        <v>138343</v>
      </c>
      <c r="K265" s="16"/>
      <c r="L265" s="16">
        <f>AtlasReport_1_Table_1[[#This Row],[Amount in default currency]]-AtlasReport_1_Table_1[[#This Row],[Cost Amount]]</f>
        <v>138343</v>
      </c>
    </row>
    <row r="266" spans="1:12">
      <c r="A266" s="4" t="s">
        <v>143</v>
      </c>
      <c r="B266" s="4" t="s">
        <v>144</v>
      </c>
      <c r="C266" s="4" t="s">
        <v>430</v>
      </c>
      <c r="D266" s="4" t="s">
        <v>78</v>
      </c>
      <c r="E266" s="4" t="s">
        <v>535</v>
      </c>
      <c r="F266" s="4" t="s">
        <v>536</v>
      </c>
      <c r="G266" s="7">
        <v>44375</v>
      </c>
      <c r="H266" s="5">
        <v>114</v>
      </c>
      <c r="I266" s="4" t="s">
        <v>81</v>
      </c>
      <c r="J266" s="16">
        <v>391471.44</v>
      </c>
      <c r="K266" s="16"/>
      <c r="L266" s="16">
        <f>AtlasReport_1_Table_1[[#This Row],[Amount in default currency]]-AtlasReport_1_Table_1[[#This Row],[Cost Amount]]</f>
        <v>391471.44</v>
      </c>
    </row>
    <row r="267" spans="1:12">
      <c r="A267" s="4" t="s">
        <v>143</v>
      </c>
      <c r="B267" s="4" t="s">
        <v>144</v>
      </c>
      <c r="C267" s="4" t="s">
        <v>77</v>
      </c>
      <c r="D267" s="4" t="s">
        <v>78</v>
      </c>
      <c r="E267" s="4" t="s">
        <v>535</v>
      </c>
      <c r="F267" s="4" t="s">
        <v>537</v>
      </c>
      <c r="G267" s="7">
        <v>44375</v>
      </c>
      <c r="H267" s="5">
        <v>29</v>
      </c>
      <c r="I267" s="4" t="s">
        <v>81</v>
      </c>
      <c r="J267" s="16">
        <v>49528.81</v>
      </c>
      <c r="K267" s="16"/>
      <c r="L267" s="16">
        <f>AtlasReport_1_Table_1[[#This Row],[Amount in default currency]]-AtlasReport_1_Table_1[[#This Row],[Cost Amount]]</f>
        <v>49528.81</v>
      </c>
    </row>
    <row r="268" spans="1:12">
      <c r="A268" s="4" t="s">
        <v>143</v>
      </c>
      <c r="B268" s="4" t="s">
        <v>144</v>
      </c>
      <c r="C268" s="4" t="s">
        <v>105</v>
      </c>
      <c r="D268" s="4" t="s">
        <v>106</v>
      </c>
      <c r="E268" s="4" t="s">
        <v>535</v>
      </c>
      <c r="F268" s="4" t="s">
        <v>538</v>
      </c>
      <c r="G268" s="7">
        <v>44375</v>
      </c>
      <c r="H268" s="5">
        <v>1</v>
      </c>
      <c r="I268" s="4" t="s">
        <v>26</v>
      </c>
      <c r="J268" s="16">
        <v>86350</v>
      </c>
      <c r="K268" s="16"/>
      <c r="L268" s="16">
        <f>AtlasReport_1_Table_1[[#This Row],[Amount in default currency]]-AtlasReport_1_Table_1[[#This Row],[Cost Amount]]</f>
        <v>86350</v>
      </c>
    </row>
    <row r="269" spans="1:12">
      <c r="A269" s="4" t="s">
        <v>75</v>
      </c>
      <c r="B269" s="4" t="s">
        <v>76</v>
      </c>
      <c r="C269" s="4" t="s">
        <v>11</v>
      </c>
      <c r="D269" s="4" t="s">
        <v>17</v>
      </c>
      <c r="E269" s="4" t="s">
        <v>539</v>
      </c>
      <c r="F269" s="4" t="s">
        <v>540</v>
      </c>
      <c r="G269" s="7">
        <v>44362</v>
      </c>
      <c r="H269" s="5">
        <v>20</v>
      </c>
      <c r="I269" s="4" t="s">
        <v>81</v>
      </c>
      <c r="J269" s="16">
        <v>19400</v>
      </c>
      <c r="K269" s="16"/>
      <c r="L269" s="16">
        <f>AtlasReport_1_Table_1[[#This Row],[Amount in default currency]]-AtlasReport_1_Table_1[[#This Row],[Cost Amount]]</f>
        <v>19400</v>
      </c>
    </row>
    <row r="270" spans="1:12">
      <c r="A270" s="4" t="s">
        <v>75</v>
      </c>
      <c r="B270" s="4" t="s">
        <v>76</v>
      </c>
      <c r="C270" s="4" t="s">
        <v>11</v>
      </c>
      <c r="D270" s="4" t="s">
        <v>17</v>
      </c>
      <c r="E270" s="4" t="s">
        <v>541</v>
      </c>
      <c r="F270" s="4" t="s">
        <v>542</v>
      </c>
      <c r="G270" s="7">
        <v>44362</v>
      </c>
      <c r="H270" s="5">
        <v>20</v>
      </c>
      <c r="I270" s="4" t="s">
        <v>81</v>
      </c>
      <c r="J270" s="16">
        <v>19400</v>
      </c>
      <c r="K270" s="16"/>
      <c r="L270" s="16">
        <f>AtlasReport_1_Table_1[[#This Row],[Amount in default currency]]-AtlasReport_1_Table_1[[#This Row],[Cost Amount]]</f>
        <v>19400</v>
      </c>
    </row>
    <row r="271" spans="1:12">
      <c r="A271" s="4" t="s">
        <v>468</v>
      </c>
      <c r="B271" s="4" t="s">
        <v>469</v>
      </c>
      <c r="C271" s="4" t="s">
        <v>10</v>
      </c>
      <c r="D271" s="4" t="s">
        <v>17</v>
      </c>
      <c r="E271" s="4" t="s">
        <v>543</v>
      </c>
      <c r="F271" s="4" t="s">
        <v>544</v>
      </c>
      <c r="G271" s="7">
        <v>44363</v>
      </c>
      <c r="H271" s="5">
        <v>2</v>
      </c>
      <c r="I271" s="4" t="s">
        <v>81</v>
      </c>
      <c r="J271" s="16">
        <v>9779.33</v>
      </c>
      <c r="K271" s="16"/>
      <c r="L271" s="16">
        <f>AtlasReport_1_Table_1[[#This Row],[Amount in default currency]]-AtlasReport_1_Table_1[[#This Row],[Cost Amount]]</f>
        <v>9779.33</v>
      </c>
    </row>
    <row r="272" spans="1:12">
      <c r="A272" s="4" t="s">
        <v>87</v>
      </c>
      <c r="B272" s="4" t="s">
        <v>88</v>
      </c>
      <c r="C272" s="4" t="s">
        <v>10</v>
      </c>
      <c r="D272" s="4" t="s">
        <v>17</v>
      </c>
      <c r="E272" s="4" t="s">
        <v>545</v>
      </c>
      <c r="F272" s="4" t="s">
        <v>546</v>
      </c>
      <c r="G272" s="7">
        <v>44368</v>
      </c>
      <c r="H272" s="5">
        <v>220</v>
      </c>
      <c r="I272" s="4" t="s">
        <v>81</v>
      </c>
      <c r="J272" s="16">
        <v>499743.1</v>
      </c>
      <c r="K272" s="16"/>
      <c r="L272" s="16">
        <f>AtlasReport_1_Table_1[[#This Row],[Amount in default currency]]-AtlasReport_1_Table_1[[#This Row],[Cost Amount]]</f>
        <v>499743.1</v>
      </c>
    </row>
    <row r="273" spans="1:12">
      <c r="A273" s="4" t="s">
        <v>87</v>
      </c>
      <c r="B273" s="4" t="s">
        <v>88</v>
      </c>
      <c r="C273" s="4" t="s">
        <v>11</v>
      </c>
      <c r="D273" s="4" t="s">
        <v>17</v>
      </c>
      <c r="E273" s="4" t="s">
        <v>545</v>
      </c>
      <c r="F273" s="4" t="s">
        <v>547</v>
      </c>
      <c r="G273" s="7">
        <v>44368</v>
      </c>
      <c r="H273" s="5">
        <v>80</v>
      </c>
      <c r="I273" s="4" t="s">
        <v>81</v>
      </c>
      <c r="J273" s="16">
        <v>90862.38</v>
      </c>
      <c r="K273" s="16"/>
      <c r="L273" s="16">
        <f>AtlasReport_1_Table_1[[#This Row],[Amount in default currency]]-AtlasReport_1_Table_1[[#This Row],[Cost Amount]]</f>
        <v>90862.38</v>
      </c>
    </row>
    <row r="274" spans="1:12">
      <c r="A274" s="4" t="s">
        <v>468</v>
      </c>
      <c r="B274" s="4" t="s">
        <v>469</v>
      </c>
      <c r="C274" s="4" t="s">
        <v>199</v>
      </c>
      <c r="D274" s="4" t="s">
        <v>93</v>
      </c>
      <c r="E274" s="4" t="s">
        <v>548</v>
      </c>
      <c r="F274" s="4" t="s">
        <v>549</v>
      </c>
      <c r="G274" s="7">
        <v>44368</v>
      </c>
      <c r="H274" s="5">
        <v>4</v>
      </c>
      <c r="I274" s="4" t="s">
        <v>81</v>
      </c>
      <c r="J274" s="16">
        <v>25118.21</v>
      </c>
      <c r="K274" s="16"/>
      <c r="L274" s="16">
        <f>AtlasReport_1_Table_1[[#This Row],[Amount in default currency]]-AtlasReport_1_Table_1[[#This Row],[Cost Amount]]</f>
        <v>25118.21</v>
      </c>
    </row>
    <row r="275" spans="1:12">
      <c r="A275" s="4" t="s">
        <v>143</v>
      </c>
      <c r="B275" s="4" t="s">
        <v>144</v>
      </c>
      <c r="C275" s="4" t="s">
        <v>11</v>
      </c>
      <c r="D275" s="4" t="s">
        <v>17</v>
      </c>
      <c r="E275" s="4" t="s">
        <v>550</v>
      </c>
      <c r="F275" s="4" t="s">
        <v>551</v>
      </c>
      <c r="G275" s="7">
        <v>44397</v>
      </c>
      <c r="H275" s="5">
        <v>17</v>
      </c>
      <c r="I275" s="4" t="s">
        <v>81</v>
      </c>
      <c r="J275" s="16">
        <v>17314.5</v>
      </c>
      <c r="K275" s="16"/>
      <c r="L275" s="16">
        <f>AtlasReport_1_Table_1[[#This Row],[Amount in default currency]]-AtlasReport_1_Table_1[[#This Row],[Cost Amount]]</f>
        <v>17314.5</v>
      </c>
    </row>
    <row r="276" spans="1:12">
      <c r="A276" s="4" t="s">
        <v>143</v>
      </c>
      <c r="B276" s="4" t="s">
        <v>144</v>
      </c>
      <c r="C276" s="4" t="s">
        <v>77</v>
      </c>
      <c r="D276" s="4" t="s">
        <v>78</v>
      </c>
      <c r="E276" s="4" t="s">
        <v>550</v>
      </c>
      <c r="F276" s="4" t="s">
        <v>552</v>
      </c>
      <c r="G276" s="7">
        <v>44397</v>
      </c>
      <c r="H276" s="5">
        <v>48</v>
      </c>
      <c r="I276" s="4" t="s">
        <v>81</v>
      </c>
      <c r="J276" s="16">
        <v>102432</v>
      </c>
      <c r="K276" s="16"/>
      <c r="L276" s="16">
        <f>AtlasReport_1_Table_1[[#This Row],[Amount in default currency]]-AtlasReport_1_Table_1[[#This Row],[Cost Amount]]</f>
        <v>102432</v>
      </c>
    </row>
    <row r="277" spans="1:12">
      <c r="A277" s="4" t="s">
        <v>143</v>
      </c>
      <c r="B277" s="4" t="s">
        <v>144</v>
      </c>
      <c r="C277" s="4" t="s">
        <v>116</v>
      </c>
      <c r="D277" s="4" t="s">
        <v>78</v>
      </c>
      <c r="E277" s="4" t="s">
        <v>550</v>
      </c>
      <c r="F277" s="4" t="s">
        <v>553</v>
      </c>
      <c r="G277" s="7">
        <v>44397</v>
      </c>
      <c r="H277" s="5">
        <v>2</v>
      </c>
      <c r="I277" s="4" t="s">
        <v>81</v>
      </c>
      <c r="J277" s="16">
        <v>6600</v>
      </c>
      <c r="K277" s="16"/>
      <c r="L277" s="16">
        <f>AtlasReport_1_Table_1[[#This Row],[Amount in default currency]]-AtlasReport_1_Table_1[[#This Row],[Cost Amount]]</f>
        <v>6600</v>
      </c>
    </row>
    <row r="278" spans="1:12">
      <c r="A278" s="4" t="s">
        <v>143</v>
      </c>
      <c r="B278" s="4" t="s">
        <v>144</v>
      </c>
      <c r="C278" s="4" t="s">
        <v>430</v>
      </c>
      <c r="D278" s="4" t="s">
        <v>78</v>
      </c>
      <c r="E278" s="4" t="s">
        <v>550</v>
      </c>
      <c r="F278" s="4" t="s">
        <v>554</v>
      </c>
      <c r="G278" s="7">
        <v>44397</v>
      </c>
      <c r="H278" s="5">
        <v>2</v>
      </c>
      <c r="I278" s="4" t="s">
        <v>81</v>
      </c>
      <c r="J278" s="16">
        <v>8580</v>
      </c>
      <c r="K278" s="16"/>
      <c r="L278" s="16">
        <f>AtlasReport_1_Table_1[[#This Row],[Amount in default currency]]-AtlasReport_1_Table_1[[#This Row],[Cost Amount]]</f>
        <v>8580</v>
      </c>
    </row>
    <row r="279" spans="1:12">
      <c r="A279" s="4" t="s">
        <v>143</v>
      </c>
      <c r="B279" s="4" t="s">
        <v>144</v>
      </c>
      <c r="C279" s="4" t="s">
        <v>105</v>
      </c>
      <c r="D279" s="4" t="s">
        <v>106</v>
      </c>
      <c r="E279" s="4" t="s">
        <v>550</v>
      </c>
      <c r="F279" s="4" t="s">
        <v>555</v>
      </c>
      <c r="G279" s="7">
        <v>44397</v>
      </c>
      <c r="H279" s="5">
        <v>4</v>
      </c>
      <c r="I279" s="4" t="s">
        <v>26</v>
      </c>
      <c r="J279" s="16">
        <v>30400</v>
      </c>
      <c r="K279" s="16"/>
      <c r="L279" s="16">
        <f>AtlasReport_1_Table_1[[#This Row],[Amount in default currency]]-AtlasReport_1_Table_1[[#This Row],[Cost Amount]]</f>
        <v>30400</v>
      </c>
    </row>
    <row r="280" spans="1:12">
      <c r="A280" s="4" t="s">
        <v>345</v>
      </c>
      <c r="B280" s="4" t="s">
        <v>346</v>
      </c>
      <c r="C280" s="4" t="s">
        <v>95</v>
      </c>
      <c r="D280" s="4" t="s">
        <v>93</v>
      </c>
      <c r="E280" s="4" t="s">
        <v>556</v>
      </c>
      <c r="F280" s="4" t="s">
        <v>557</v>
      </c>
      <c r="G280" s="7">
        <v>44371</v>
      </c>
      <c r="H280" s="5">
        <v>2</v>
      </c>
      <c r="I280" s="4" t="s">
        <v>81</v>
      </c>
      <c r="J280" s="16">
        <v>11700</v>
      </c>
      <c r="K280" s="16"/>
      <c r="L280" s="16">
        <f>AtlasReport_1_Table_1[[#This Row],[Amount in default currency]]-AtlasReport_1_Table_1[[#This Row],[Cost Amount]]</f>
        <v>11700</v>
      </c>
    </row>
    <row r="281" spans="1:12">
      <c r="A281" s="4" t="s">
        <v>75</v>
      </c>
      <c r="B281" s="4" t="s">
        <v>76</v>
      </c>
      <c r="C281" s="4" t="s">
        <v>10</v>
      </c>
      <c r="D281" s="4" t="s">
        <v>17</v>
      </c>
      <c r="E281" s="4" t="s">
        <v>558</v>
      </c>
      <c r="F281" s="4" t="s">
        <v>559</v>
      </c>
      <c r="G281" s="7">
        <v>44376</v>
      </c>
      <c r="H281" s="5">
        <v>16</v>
      </c>
      <c r="I281" s="4" t="s">
        <v>81</v>
      </c>
      <c r="J281" s="16">
        <v>35880</v>
      </c>
      <c r="K281" s="16"/>
      <c r="L281" s="16">
        <f>AtlasReport_1_Table_1[[#This Row],[Amount in default currency]]-AtlasReport_1_Table_1[[#This Row],[Cost Amount]]</f>
        <v>35880</v>
      </c>
    </row>
    <row r="282" spans="1:12">
      <c r="A282" s="4" t="s">
        <v>75</v>
      </c>
      <c r="B282" s="4" t="s">
        <v>76</v>
      </c>
      <c r="C282" s="4" t="s">
        <v>11</v>
      </c>
      <c r="D282" s="4" t="s">
        <v>17</v>
      </c>
      <c r="E282" s="4" t="s">
        <v>558</v>
      </c>
      <c r="F282" s="4" t="s">
        <v>560</v>
      </c>
      <c r="G282" s="7">
        <v>44376</v>
      </c>
      <c r="H282" s="5">
        <v>2</v>
      </c>
      <c r="I282" s="4" t="s">
        <v>81</v>
      </c>
      <c r="J282" s="16">
        <v>3450</v>
      </c>
      <c r="K282" s="16"/>
      <c r="L282" s="16">
        <f>AtlasReport_1_Table_1[[#This Row],[Amount in default currency]]-AtlasReport_1_Table_1[[#This Row],[Cost Amount]]</f>
        <v>3450</v>
      </c>
    </row>
    <row r="283" spans="1:12">
      <c r="A283" s="4" t="s">
        <v>143</v>
      </c>
      <c r="B283" s="4" t="s">
        <v>144</v>
      </c>
      <c r="C283" s="4" t="s">
        <v>11</v>
      </c>
      <c r="D283" s="4" t="s">
        <v>17</v>
      </c>
      <c r="E283" s="4" t="s">
        <v>561</v>
      </c>
      <c r="F283" s="4" t="s">
        <v>562</v>
      </c>
      <c r="G283" s="7">
        <v>44384</v>
      </c>
      <c r="H283" s="5">
        <v>60</v>
      </c>
      <c r="I283" s="4" t="s">
        <v>81</v>
      </c>
      <c r="J283" s="16">
        <v>61110</v>
      </c>
      <c r="K283" s="16"/>
      <c r="L283" s="16">
        <f>AtlasReport_1_Table_1[[#This Row],[Amount in default currency]]-AtlasReport_1_Table_1[[#This Row],[Cost Amount]]</f>
        <v>61110</v>
      </c>
    </row>
    <row r="284" spans="1:12">
      <c r="A284" s="4" t="s">
        <v>143</v>
      </c>
      <c r="B284" s="4" t="s">
        <v>144</v>
      </c>
      <c r="C284" s="4" t="s">
        <v>10</v>
      </c>
      <c r="D284" s="4" t="s">
        <v>17</v>
      </c>
      <c r="E284" s="4" t="s">
        <v>561</v>
      </c>
      <c r="F284" s="4" t="s">
        <v>563</v>
      </c>
      <c r="G284" s="7">
        <v>44384</v>
      </c>
      <c r="H284" s="5">
        <v>4</v>
      </c>
      <c r="I284" s="4" t="s">
        <v>81</v>
      </c>
      <c r="J284" s="16">
        <v>8190</v>
      </c>
      <c r="K284" s="16"/>
      <c r="L284" s="16">
        <f>AtlasReport_1_Table_1[[#This Row],[Amount in default currency]]-AtlasReport_1_Table_1[[#This Row],[Cost Amount]]</f>
        <v>8190</v>
      </c>
    </row>
    <row r="285" spans="1:12">
      <c r="A285" s="4" t="s">
        <v>143</v>
      </c>
      <c r="B285" s="4" t="s">
        <v>144</v>
      </c>
      <c r="C285" s="4" t="s">
        <v>11</v>
      </c>
      <c r="D285" s="4" t="s">
        <v>17</v>
      </c>
      <c r="E285" s="4" t="s">
        <v>564</v>
      </c>
      <c r="F285" s="4" t="s">
        <v>565</v>
      </c>
      <c r="G285" s="7">
        <v>44376</v>
      </c>
      <c r="H285" s="5">
        <v>727.5</v>
      </c>
      <c r="I285" s="4" t="s">
        <v>27</v>
      </c>
      <c r="J285" s="16">
        <v>14550</v>
      </c>
      <c r="K285" s="16"/>
      <c r="L285" s="16">
        <f>AtlasReport_1_Table_1[[#This Row],[Amount in default currency]]-AtlasReport_1_Table_1[[#This Row],[Cost Amount]]</f>
        <v>14550</v>
      </c>
    </row>
    <row r="286" spans="1:12">
      <c r="A286" s="4" t="s">
        <v>143</v>
      </c>
      <c r="B286" s="4" t="s">
        <v>144</v>
      </c>
      <c r="C286" s="4" t="s">
        <v>10</v>
      </c>
      <c r="D286" s="4" t="s">
        <v>17</v>
      </c>
      <c r="E286" s="4" t="s">
        <v>564</v>
      </c>
      <c r="F286" s="4" t="s">
        <v>566</v>
      </c>
      <c r="G286" s="7">
        <v>44376</v>
      </c>
      <c r="H286" s="5">
        <v>4387.5</v>
      </c>
      <c r="I286" s="4" t="s">
        <v>27</v>
      </c>
      <c r="J286" s="16">
        <v>87750</v>
      </c>
      <c r="K286" s="16"/>
      <c r="L286" s="16">
        <f>AtlasReport_1_Table_1[[#This Row],[Amount in default currency]]-AtlasReport_1_Table_1[[#This Row],[Cost Amount]]</f>
        <v>87750</v>
      </c>
    </row>
    <row r="287" spans="1:12">
      <c r="A287" s="4" t="s">
        <v>75</v>
      </c>
      <c r="B287" s="4" t="s">
        <v>76</v>
      </c>
      <c r="C287" s="4" t="s">
        <v>68</v>
      </c>
      <c r="D287" s="4" t="s">
        <v>17</v>
      </c>
      <c r="E287" s="4" t="s">
        <v>567</v>
      </c>
      <c r="F287" s="4" t="s">
        <v>568</v>
      </c>
      <c r="G287" s="7">
        <v>44382</v>
      </c>
      <c r="H287" s="5">
        <v>2</v>
      </c>
      <c r="I287" s="4" t="s">
        <v>81</v>
      </c>
      <c r="J287" s="16">
        <v>3450</v>
      </c>
      <c r="K287" s="16"/>
      <c r="L287" s="16">
        <f>AtlasReport_1_Table_1[[#This Row],[Amount in default currency]]-AtlasReport_1_Table_1[[#This Row],[Cost Amount]]</f>
        <v>3450</v>
      </c>
    </row>
    <row r="288" spans="1:12">
      <c r="A288" s="4" t="s">
        <v>75</v>
      </c>
      <c r="B288" s="4" t="s">
        <v>76</v>
      </c>
      <c r="C288" s="4" t="s">
        <v>105</v>
      </c>
      <c r="D288" s="4" t="s">
        <v>106</v>
      </c>
      <c r="E288" s="4" t="s">
        <v>567</v>
      </c>
      <c r="F288" s="4" t="s">
        <v>569</v>
      </c>
      <c r="G288" s="7">
        <v>44382</v>
      </c>
      <c r="H288" s="5">
        <v>1</v>
      </c>
      <c r="I288" s="4" t="s">
        <v>26</v>
      </c>
      <c r="J288" s="16">
        <v>13725</v>
      </c>
      <c r="K288" s="16"/>
      <c r="L288" s="16">
        <f>AtlasReport_1_Table_1[[#This Row],[Amount in default currency]]-AtlasReport_1_Table_1[[#This Row],[Cost Amount]]</f>
        <v>13725</v>
      </c>
    </row>
    <row r="289" spans="1:12">
      <c r="A289" s="4" t="s">
        <v>345</v>
      </c>
      <c r="B289" s="4" t="s">
        <v>346</v>
      </c>
      <c r="C289" s="4" t="s">
        <v>95</v>
      </c>
      <c r="D289" s="4" t="s">
        <v>93</v>
      </c>
      <c r="E289" s="4" t="s">
        <v>570</v>
      </c>
      <c r="F289" s="4" t="s">
        <v>571</v>
      </c>
      <c r="G289" s="7">
        <v>44382</v>
      </c>
      <c r="H289" s="5">
        <v>4</v>
      </c>
      <c r="I289" s="4" t="s">
        <v>81</v>
      </c>
      <c r="J289" s="16">
        <v>23400</v>
      </c>
      <c r="K289" s="16"/>
      <c r="L289" s="16">
        <f>AtlasReport_1_Table_1[[#This Row],[Amount in default currency]]-AtlasReport_1_Table_1[[#This Row],[Cost Amount]]</f>
        <v>23400</v>
      </c>
    </row>
    <row r="290" spans="1:12">
      <c r="A290" s="4" t="s">
        <v>345</v>
      </c>
      <c r="B290" s="4" t="s">
        <v>346</v>
      </c>
      <c r="C290" s="4" t="s">
        <v>95</v>
      </c>
      <c r="D290" s="4" t="s">
        <v>93</v>
      </c>
      <c r="E290" s="4" t="s">
        <v>572</v>
      </c>
      <c r="F290" s="4" t="s">
        <v>573</v>
      </c>
      <c r="G290" s="7">
        <v>44382</v>
      </c>
      <c r="H290" s="5">
        <v>-4</v>
      </c>
      <c r="I290" s="4" t="s">
        <v>81</v>
      </c>
      <c r="J290" s="16">
        <v>-23400</v>
      </c>
      <c r="K290" s="16"/>
      <c r="L290" s="16">
        <f>AtlasReport_1_Table_1[[#This Row],[Amount in default currency]]-AtlasReport_1_Table_1[[#This Row],[Cost Amount]]</f>
        <v>-23400</v>
      </c>
    </row>
    <row r="291" spans="1:12">
      <c r="A291" s="4" t="s">
        <v>345</v>
      </c>
      <c r="B291" s="4" t="s">
        <v>346</v>
      </c>
      <c r="C291" s="4" t="s">
        <v>95</v>
      </c>
      <c r="D291" s="4" t="s">
        <v>93</v>
      </c>
      <c r="E291" s="4" t="s">
        <v>574</v>
      </c>
      <c r="F291" s="4" t="s">
        <v>575</v>
      </c>
      <c r="G291" s="7">
        <v>44396</v>
      </c>
      <c r="H291" s="5">
        <v>4</v>
      </c>
      <c r="I291" s="4" t="s">
        <v>81</v>
      </c>
      <c r="J291" s="16">
        <v>23400</v>
      </c>
      <c r="K291" s="16"/>
      <c r="L291" s="16">
        <f>AtlasReport_1_Table_1[[#This Row],[Amount in default currency]]-AtlasReport_1_Table_1[[#This Row],[Cost Amount]]</f>
        <v>23400</v>
      </c>
    </row>
    <row r="292" spans="1:12">
      <c r="A292" s="4" t="s">
        <v>345</v>
      </c>
      <c r="B292" s="4" t="s">
        <v>346</v>
      </c>
      <c r="C292" s="4" t="s">
        <v>95</v>
      </c>
      <c r="D292" s="4" t="s">
        <v>93</v>
      </c>
      <c r="E292" s="4" t="s">
        <v>576</v>
      </c>
      <c r="F292" s="4" t="s">
        <v>577</v>
      </c>
      <c r="G292" s="7">
        <v>44396</v>
      </c>
      <c r="H292" s="5">
        <v>2</v>
      </c>
      <c r="I292" s="4" t="s">
        <v>81</v>
      </c>
      <c r="J292" s="16">
        <v>9750</v>
      </c>
      <c r="K292" s="16"/>
      <c r="L292" s="16">
        <f>AtlasReport_1_Table_1[[#This Row],[Amount in default currency]]-AtlasReport_1_Table_1[[#This Row],[Cost Amount]]</f>
        <v>9750</v>
      </c>
    </row>
    <row r="293" spans="1:12">
      <c r="A293" s="4" t="s">
        <v>345</v>
      </c>
      <c r="B293" s="4" t="s">
        <v>346</v>
      </c>
      <c r="C293" s="4" t="s">
        <v>105</v>
      </c>
      <c r="D293" s="4" t="s">
        <v>106</v>
      </c>
      <c r="E293" s="4" t="s">
        <v>576</v>
      </c>
      <c r="F293" s="4" t="s">
        <v>578</v>
      </c>
      <c r="G293" s="7">
        <v>44396</v>
      </c>
      <c r="H293" s="5">
        <v>1</v>
      </c>
      <c r="I293" s="4" t="s">
        <v>26</v>
      </c>
      <c r="J293" s="16">
        <v>12625</v>
      </c>
      <c r="K293" s="16"/>
      <c r="L293" s="16">
        <f>AtlasReport_1_Table_1[[#This Row],[Amount in default currency]]-AtlasReport_1_Table_1[[#This Row],[Cost Amount]]</f>
        <v>12625</v>
      </c>
    </row>
    <row r="294" spans="1:12">
      <c r="A294" s="4" t="s">
        <v>143</v>
      </c>
      <c r="B294" s="4" t="s">
        <v>144</v>
      </c>
      <c r="C294" s="4" t="s">
        <v>430</v>
      </c>
      <c r="D294" s="4" t="s">
        <v>78</v>
      </c>
      <c r="E294" s="4" t="s">
        <v>579</v>
      </c>
      <c r="F294" s="4" t="s">
        <v>580</v>
      </c>
      <c r="G294" s="7">
        <v>44382</v>
      </c>
      <c r="H294" s="5">
        <v>-114</v>
      </c>
      <c r="I294" s="4" t="s">
        <v>81</v>
      </c>
      <c r="J294" s="16">
        <v>-391471.44</v>
      </c>
      <c r="K294" s="16"/>
      <c r="L294" s="16">
        <f>AtlasReport_1_Table_1[[#This Row],[Amount in default currency]]-AtlasReport_1_Table_1[[#This Row],[Cost Amount]]</f>
        <v>-391471.44</v>
      </c>
    </row>
    <row r="295" spans="1:12">
      <c r="A295" s="4" t="s">
        <v>143</v>
      </c>
      <c r="B295" s="4" t="s">
        <v>144</v>
      </c>
      <c r="C295" s="4" t="s">
        <v>77</v>
      </c>
      <c r="D295" s="4" t="s">
        <v>78</v>
      </c>
      <c r="E295" s="4" t="s">
        <v>579</v>
      </c>
      <c r="F295" s="4" t="s">
        <v>581</v>
      </c>
      <c r="G295" s="7">
        <v>44382</v>
      </c>
      <c r="H295" s="5">
        <v>-29</v>
      </c>
      <c r="I295" s="4" t="s">
        <v>81</v>
      </c>
      <c r="J295" s="16">
        <v>-49528.81</v>
      </c>
      <c r="K295" s="16"/>
      <c r="L295" s="16">
        <f>AtlasReport_1_Table_1[[#This Row],[Amount in default currency]]-AtlasReport_1_Table_1[[#This Row],[Cost Amount]]</f>
        <v>-49528.81</v>
      </c>
    </row>
    <row r="296" spans="1:12">
      <c r="A296" s="4" t="s">
        <v>143</v>
      </c>
      <c r="B296" s="4" t="s">
        <v>144</v>
      </c>
      <c r="C296" s="4" t="s">
        <v>105</v>
      </c>
      <c r="D296" s="4" t="s">
        <v>106</v>
      </c>
      <c r="E296" s="4" t="s">
        <v>579</v>
      </c>
      <c r="F296" s="4" t="s">
        <v>582</v>
      </c>
      <c r="G296" s="7">
        <v>44382</v>
      </c>
      <c r="H296" s="5">
        <v>-1</v>
      </c>
      <c r="I296" s="4" t="s">
        <v>26</v>
      </c>
      <c r="J296" s="16">
        <v>-86350</v>
      </c>
      <c r="K296" s="16"/>
      <c r="L296" s="16">
        <f>AtlasReport_1_Table_1[[#This Row],[Amount in default currency]]-AtlasReport_1_Table_1[[#This Row],[Cost Amount]]</f>
        <v>-86350</v>
      </c>
    </row>
    <row r="297" spans="1:12">
      <c r="A297" s="4" t="s">
        <v>143</v>
      </c>
      <c r="B297" s="4" t="s">
        <v>144</v>
      </c>
      <c r="C297" s="4" t="s">
        <v>430</v>
      </c>
      <c r="D297" s="4" t="s">
        <v>78</v>
      </c>
      <c r="E297" s="4" t="s">
        <v>583</v>
      </c>
      <c r="F297" s="4" t="s">
        <v>584</v>
      </c>
      <c r="G297" s="7">
        <v>44384</v>
      </c>
      <c r="H297" s="5">
        <v>104</v>
      </c>
      <c r="I297" s="4" t="s">
        <v>81</v>
      </c>
      <c r="J297" s="16">
        <v>362960</v>
      </c>
      <c r="K297" s="16"/>
      <c r="L297" s="16">
        <f>AtlasReport_1_Table_1[[#This Row],[Amount in default currency]]-AtlasReport_1_Table_1[[#This Row],[Cost Amount]]</f>
        <v>362960</v>
      </c>
    </row>
    <row r="298" spans="1:12">
      <c r="A298" s="4" t="s">
        <v>143</v>
      </c>
      <c r="B298" s="4" t="s">
        <v>144</v>
      </c>
      <c r="C298" s="4" t="s">
        <v>77</v>
      </c>
      <c r="D298" s="4" t="s">
        <v>78</v>
      </c>
      <c r="E298" s="4" t="s">
        <v>583</v>
      </c>
      <c r="F298" s="4" t="s">
        <v>585</v>
      </c>
      <c r="G298" s="7">
        <v>44384</v>
      </c>
      <c r="H298" s="5">
        <v>30</v>
      </c>
      <c r="I298" s="4" t="s">
        <v>81</v>
      </c>
      <c r="J298" s="16">
        <v>52314.9</v>
      </c>
      <c r="K298" s="16"/>
      <c r="L298" s="16">
        <f>AtlasReport_1_Table_1[[#This Row],[Amount in default currency]]-AtlasReport_1_Table_1[[#This Row],[Cost Amount]]</f>
        <v>52314.9</v>
      </c>
    </row>
    <row r="299" spans="1:12">
      <c r="A299" s="4" t="s">
        <v>143</v>
      </c>
      <c r="B299" s="4" t="s">
        <v>144</v>
      </c>
      <c r="C299" s="4" t="s">
        <v>105</v>
      </c>
      <c r="D299" s="4" t="s">
        <v>106</v>
      </c>
      <c r="E299" s="4" t="s">
        <v>583</v>
      </c>
      <c r="F299" s="4" t="s">
        <v>586</v>
      </c>
      <c r="G299" s="7">
        <v>44384</v>
      </c>
      <c r="H299" s="5">
        <v>1</v>
      </c>
      <c r="I299" s="4" t="s">
        <v>26</v>
      </c>
      <c r="J299" s="16">
        <v>86350</v>
      </c>
      <c r="K299" s="16"/>
      <c r="L299" s="16">
        <f>AtlasReport_1_Table_1[[#This Row],[Amount in default currency]]-AtlasReport_1_Table_1[[#This Row],[Cost Amount]]</f>
        <v>86350</v>
      </c>
    </row>
    <row r="300" spans="1:12">
      <c r="A300" s="4" t="s">
        <v>143</v>
      </c>
      <c r="B300" s="4" t="s">
        <v>144</v>
      </c>
      <c r="C300" s="4" t="s">
        <v>77</v>
      </c>
      <c r="D300" s="4" t="s">
        <v>78</v>
      </c>
      <c r="E300" s="4" t="s">
        <v>587</v>
      </c>
      <c r="F300" s="4" t="s">
        <v>588</v>
      </c>
      <c r="G300" s="7">
        <v>44399</v>
      </c>
      <c r="H300" s="5">
        <v>1</v>
      </c>
      <c r="I300" s="4" t="s">
        <v>81</v>
      </c>
      <c r="J300" s="16">
        <v>1782.38</v>
      </c>
      <c r="K300" s="16"/>
      <c r="L300" s="16">
        <f>AtlasReport_1_Table_1[[#This Row],[Amount in default currency]]-AtlasReport_1_Table_1[[#This Row],[Cost Amount]]</f>
        <v>1782.38</v>
      </c>
    </row>
    <row r="301" spans="1:12">
      <c r="A301" s="4" t="s">
        <v>143</v>
      </c>
      <c r="B301" s="4" t="s">
        <v>144</v>
      </c>
      <c r="C301" s="4" t="s">
        <v>11</v>
      </c>
      <c r="D301" s="4" t="s">
        <v>17</v>
      </c>
      <c r="E301" s="4" t="s">
        <v>589</v>
      </c>
      <c r="F301" s="4" t="s">
        <v>590</v>
      </c>
      <c r="G301" s="7">
        <v>44469</v>
      </c>
      <c r="H301" s="5">
        <v>44</v>
      </c>
      <c r="I301" s="4" t="s">
        <v>81</v>
      </c>
      <c r="J301" s="16">
        <v>34144</v>
      </c>
      <c r="K301" s="16"/>
      <c r="L301" s="16">
        <f>AtlasReport_1_Table_1[[#This Row],[Amount in default currency]]-AtlasReport_1_Table_1[[#This Row],[Cost Amount]]</f>
        <v>34144</v>
      </c>
    </row>
    <row r="302" spans="1:12">
      <c r="A302" s="4" t="s">
        <v>143</v>
      </c>
      <c r="B302" s="4" t="s">
        <v>144</v>
      </c>
      <c r="C302" s="4" t="s">
        <v>591</v>
      </c>
      <c r="D302" s="4" t="s">
        <v>17</v>
      </c>
      <c r="E302" s="4" t="s">
        <v>589</v>
      </c>
      <c r="F302" s="4" t="s">
        <v>592</v>
      </c>
      <c r="G302" s="7">
        <v>44469</v>
      </c>
      <c r="H302" s="5">
        <v>31</v>
      </c>
      <c r="I302" s="4" t="s">
        <v>81</v>
      </c>
      <c r="J302" s="16">
        <v>31000</v>
      </c>
      <c r="K302" s="16"/>
      <c r="L302" s="16">
        <f>AtlasReport_1_Table_1[[#This Row],[Amount in default currency]]-AtlasReport_1_Table_1[[#This Row],[Cost Amount]]</f>
        <v>31000</v>
      </c>
    </row>
    <row r="303" spans="1:12">
      <c r="A303" s="4" t="s">
        <v>143</v>
      </c>
      <c r="B303" s="4" t="s">
        <v>144</v>
      </c>
      <c r="C303" s="4" t="s">
        <v>11</v>
      </c>
      <c r="D303" s="4" t="s">
        <v>17</v>
      </c>
      <c r="E303" s="4" t="s">
        <v>589</v>
      </c>
      <c r="F303" s="4" t="s">
        <v>593</v>
      </c>
      <c r="G303" s="7">
        <v>44469</v>
      </c>
      <c r="H303" s="5">
        <v>43</v>
      </c>
      <c r="I303" s="4" t="s">
        <v>81</v>
      </c>
      <c r="J303" s="16">
        <v>33368</v>
      </c>
      <c r="K303" s="16"/>
      <c r="L303" s="16">
        <f>AtlasReport_1_Table_1[[#This Row],[Amount in default currency]]-AtlasReport_1_Table_1[[#This Row],[Cost Amount]]</f>
        <v>33368</v>
      </c>
    </row>
    <row r="304" spans="1:12">
      <c r="A304" s="4" t="s">
        <v>143</v>
      </c>
      <c r="B304" s="4" t="s">
        <v>144</v>
      </c>
      <c r="C304" s="4" t="s">
        <v>591</v>
      </c>
      <c r="D304" s="4" t="s">
        <v>17</v>
      </c>
      <c r="E304" s="4" t="s">
        <v>589</v>
      </c>
      <c r="F304" s="4" t="s">
        <v>594</v>
      </c>
      <c r="G304" s="7">
        <v>44469</v>
      </c>
      <c r="H304" s="5">
        <v>73</v>
      </c>
      <c r="I304" s="4" t="s">
        <v>81</v>
      </c>
      <c r="J304" s="16">
        <v>73000</v>
      </c>
      <c r="K304" s="16"/>
      <c r="L304" s="16">
        <f>AtlasReport_1_Table_1[[#This Row],[Amount in default currency]]-AtlasReport_1_Table_1[[#This Row],[Cost Amount]]</f>
        <v>73000</v>
      </c>
    </row>
    <row r="305" spans="1:12">
      <c r="A305" s="4" t="s">
        <v>143</v>
      </c>
      <c r="B305" s="4" t="s">
        <v>144</v>
      </c>
      <c r="C305" s="4" t="s">
        <v>105</v>
      </c>
      <c r="D305" s="4" t="s">
        <v>106</v>
      </c>
      <c r="E305" s="4" t="s">
        <v>589</v>
      </c>
      <c r="F305" s="4" t="s">
        <v>595</v>
      </c>
      <c r="G305" s="7">
        <v>44469</v>
      </c>
      <c r="H305" s="5">
        <v>1</v>
      </c>
      <c r="I305" s="4" t="s">
        <v>26</v>
      </c>
      <c r="J305" s="16">
        <v>136574.25</v>
      </c>
      <c r="K305" s="16"/>
      <c r="L305" s="16">
        <f>AtlasReport_1_Table_1[[#This Row],[Amount in default currency]]-AtlasReport_1_Table_1[[#This Row],[Cost Amount]]</f>
        <v>136574.25</v>
      </c>
    </row>
    <row r="306" spans="1:12">
      <c r="A306" s="4" t="s">
        <v>75</v>
      </c>
      <c r="B306" s="4" t="s">
        <v>76</v>
      </c>
      <c r="C306" s="4" t="s">
        <v>92</v>
      </c>
      <c r="D306" s="4" t="s">
        <v>93</v>
      </c>
      <c r="E306" s="4" t="s">
        <v>596</v>
      </c>
      <c r="F306" s="4" t="s">
        <v>597</v>
      </c>
      <c r="G306" s="7">
        <v>44468</v>
      </c>
      <c r="H306" s="5">
        <v>3</v>
      </c>
      <c r="I306" s="4" t="s">
        <v>81</v>
      </c>
      <c r="J306" s="16">
        <v>6111</v>
      </c>
      <c r="K306" s="16"/>
      <c r="L306" s="16">
        <f>AtlasReport_1_Table_1[[#This Row],[Amount in default currency]]-AtlasReport_1_Table_1[[#This Row],[Cost Amount]]</f>
        <v>6111</v>
      </c>
    </row>
    <row r="307" spans="1:12">
      <c r="A307" s="4" t="s">
        <v>75</v>
      </c>
      <c r="B307" s="4" t="s">
        <v>76</v>
      </c>
      <c r="C307" s="4" t="s">
        <v>95</v>
      </c>
      <c r="D307" s="4" t="s">
        <v>93</v>
      </c>
      <c r="E307" s="4" t="s">
        <v>596</v>
      </c>
      <c r="F307" s="4" t="s">
        <v>598</v>
      </c>
      <c r="G307" s="7">
        <v>44468</v>
      </c>
      <c r="H307" s="5">
        <v>17</v>
      </c>
      <c r="I307" s="4" t="s">
        <v>81</v>
      </c>
      <c r="J307" s="16">
        <v>69615</v>
      </c>
      <c r="K307" s="16"/>
      <c r="L307" s="16">
        <f>AtlasReport_1_Table_1[[#This Row],[Amount in default currency]]-AtlasReport_1_Table_1[[#This Row],[Cost Amount]]</f>
        <v>69615</v>
      </c>
    </row>
    <row r="308" spans="1:12">
      <c r="A308" s="4" t="s">
        <v>75</v>
      </c>
      <c r="B308" s="4" t="s">
        <v>76</v>
      </c>
      <c r="C308" s="4" t="s">
        <v>105</v>
      </c>
      <c r="D308" s="4" t="s">
        <v>106</v>
      </c>
      <c r="E308" s="4" t="s">
        <v>596</v>
      </c>
      <c r="F308" s="4" t="s">
        <v>599</v>
      </c>
      <c r="G308" s="7">
        <v>44468</v>
      </c>
      <c r="H308" s="5">
        <v>1</v>
      </c>
      <c r="I308" s="4" t="s">
        <v>26</v>
      </c>
      <c r="J308" s="16">
        <v>77330</v>
      </c>
      <c r="K308" s="16"/>
      <c r="L308" s="16">
        <f>AtlasReport_1_Table_1[[#This Row],[Amount in default currency]]-AtlasReport_1_Table_1[[#This Row],[Cost Amount]]</f>
        <v>77330</v>
      </c>
    </row>
    <row r="309" spans="1:12">
      <c r="A309" s="4" t="s">
        <v>75</v>
      </c>
      <c r="B309" s="4" t="s">
        <v>76</v>
      </c>
      <c r="C309" s="4" t="s">
        <v>95</v>
      </c>
      <c r="D309" s="4" t="s">
        <v>93</v>
      </c>
      <c r="E309" s="4" t="s">
        <v>596</v>
      </c>
      <c r="F309" s="4" t="s">
        <v>600</v>
      </c>
      <c r="G309" s="7">
        <v>44468</v>
      </c>
      <c r="H309" s="5">
        <v>15</v>
      </c>
      <c r="I309" s="4" t="s">
        <v>81</v>
      </c>
      <c r="J309" s="16">
        <v>61425</v>
      </c>
      <c r="K309" s="16"/>
      <c r="L309" s="16">
        <f>AtlasReport_1_Table_1[[#This Row],[Amount in default currency]]-AtlasReport_1_Table_1[[#This Row],[Cost Amount]]</f>
        <v>61425</v>
      </c>
    </row>
    <row r="310" spans="1:12">
      <c r="A310" s="4" t="s">
        <v>82</v>
      </c>
      <c r="B310" s="4" t="s">
        <v>83</v>
      </c>
      <c r="C310" s="4" t="s">
        <v>92</v>
      </c>
      <c r="D310" s="4" t="s">
        <v>93</v>
      </c>
      <c r="E310" s="4" t="s">
        <v>601</v>
      </c>
      <c r="F310" s="4" t="s">
        <v>602</v>
      </c>
      <c r="G310" s="7">
        <v>44446</v>
      </c>
      <c r="H310" s="5">
        <v>80</v>
      </c>
      <c r="I310" s="4" t="s">
        <v>81</v>
      </c>
      <c r="J310" s="16">
        <v>174600</v>
      </c>
      <c r="K310" s="16"/>
      <c r="L310" s="16">
        <f>AtlasReport_1_Table_1[[#This Row],[Amount in default currency]]-AtlasReport_1_Table_1[[#This Row],[Cost Amount]]</f>
        <v>174600</v>
      </c>
    </row>
    <row r="311" spans="1:12">
      <c r="A311" s="4" t="s">
        <v>82</v>
      </c>
      <c r="B311" s="4" t="s">
        <v>83</v>
      </c>
      <c r="C311" s="4" t="s">
        <v>95</v>
      </c>
      <c r="D311" s="4" t="s">
        <v>93</v>
      </c>
      <c r="E311" s="4" t="s">
        <v>601</v>
      </c>
      <c r="F311" s="4" t="s">
        <v>603</v>
      </c>
      <c r="G311" s="7">
        <v>44446</v>
      </c>
      <c r="H311" s="5">
        <v>322</v>
      </c>
      <c r="I311" s="4" t="s">
        <v>81</v>
      </c>
      <c r="J311" s="16">
        <v>1412775</v>
      </c>
      <c r="K311" s="16"/>
      <c r="L311" s="16">
        <f>AtlasReport_1_Table_1[[#This Row],[Amount in default currency]]-AtlasReport_1_Table_1[[#This Row],[Cost Amount]]</f>
        <v>1412775</v>
      </c>
    </row>
    <row r="312" spans="1:12">
      <c r="A312" s="4" t="s">
        <v>82</v>
      </c>
      <c r="B312" s="4" t="s">
        <v>83</v>
      </c>
      <c r="C312" s="4" t="s">
        <v>199</v>
      </c>
      <c r="D312" s="4" t="s">
        <v>93</v>
      </c>
      <c r="E312" s="4" t="s">
        <v>601</v>
      </c>
      <c r="F312" s="4" t="s">
        <v>604</v>
      </c>
      <c r="G312" s="7">
        <v>44446</v>
      </c>
      <c r="H312" s="5">
        <v>3</v>
      </c>
      <c r="I312" s="4" t="s">
        <v>81</v>
      </c>
      <c r="J312" s="16">
        <v>10125</v>
      </c>
      <c r="K312" s="16"/>
      <c r="L312" s="16">
        <f>AtlasReport_1_Table_1[[#This Row],[Amount in default currency]]-AtlasReport_1_Table_1[[#This Row],[Cost Amount]]</f>
        <v>10125</v>
      </c>
    </row>
    <row r="313" spans="1:12">
      <c r="A313" s="4" t="s">
        <v>82</v>
      </c>
      <c r="B313" s="4" t="s">
        <v>83</v>
      </c>
      <c r="C313" s="4" t="s">
        <v>105</v>
      </c>
      <c r="D313" s="4" t="s">
        <v>106</v>
      </c>
      <c r="E313" s="4" t="s">
        <v>601</v>
      </c>
      <c r="F313" s="4" t="s">
        <v>605</v>
      </c>
      <c r="G313" s="7">
        <v>44446</v>
      </c>
      <c r="H313" s="5">
        <v>2</v>
      </c>
      <c r="I313" s="4" t="s">
        <v>26</v>
      </c>
      <c r="J313" s="16">
        <v>114550</v>
      </c>
      <c r="K313" s="16"/>
      <c r="L313" s="16">
        <f>AtlasReport_1_Table_1[[#This Row],[Amount in default currency]]-AtlasReport_1_Table_1[[#This Row],[Cost Amount]]</f>
        <v>114550</v>
      </c>
    </row>
    <row r="314" spans="1:12">
      <c r="A314" s="4" t="s">
        <v>87</v>
      </c>
      <c r="B314" s="4" t="s">
        <v>88</v>
      </c>
      <c r="C314" s="4" t="s">
        <v>199</v>
      </c>
      <c r="D314" s="4" t="s">
        <v>93</v>
      </c>
      <c r="E314" s="4" t="s">
        <v>606</v>
      </c>
      <c r="F314" s="4" t="s">
        <v>607</v>
      </c>
      <c r="G314" s="7">
        <v>44393</v>
      </c>
      <c r="H314" s="5">
        <v>78</v>
      </c>
      <c r="I314" s="4" t="s">
        <v>81</v>
      </c>
      <c r="J314" s="16">
        <v>306269.90000000002</v>
      </c>
      <c r="K314" s="16"/>
      <c r="L314" s="16">
        <f>AtlasReport_1_Table_1[[#This Row],[Amount in default currency]]-AtlasReport_1_Table_1[[#This Row],[Cost Amount]]</f>
        <v>306269.90000000002</v>
      </c>
    </row>
    <row r="315" spans="1:12">
      <c r="A315" s="4" t="s">
        <v>267</v>
      </c>
      <c r="B315" s="4" t="s">
        <v>268</v>
      </c>
      <c r="C315" s="4" t="s">
        <v>95</v>
      </c>
      <c r="D315" s="4" t="s">
        <v>93</v>
      </c>
      <c r="E315" s="4" t="s">
        <v>608</v>
      </c>
      <c r="F315" s="4" t="s">
        <v>609</v>
      </c>
      <c r="G315" s="7">
        <v>44400</v>
      </c>
      <c r="H315" s="5">
        <v>3</v>
      </c>
      <c r="I315" s="4" t="s">
        <v>81</v>
      </c>
      <c r="J315" s="16">
        <v>16800</v>
      </c>
      <c r="K315" s="16"/>
      <c r="L315" s="16">
        <f>AtlasReport_1_Table_1[[#This Row],[Amount in default currency]]-AtlasReport_1_Table_1[[#This Row],[Cost Amount]]</f>
        <v>16800</v>
      </c>
    </row>
    <row r="316" spans="1:12">
      <c r="A316" s="4" t="s">
        <v>82</v>
      </c>
      <c r="B316" s="4" t="s">
        <v>83</v>
      </c>
      <c r="C316" s="4" t="s">
        <v>77</v>
      </c>
      <c r="D316" s="4" t="s">
        <v>78</v>
      </c>
      <c r="E316" s="4" t="s">
        <v>610</v>
      </c>
      <c r="F316" s="4" t="s">
        <v>611</v>
      </c>
      <c r="G316" s="7">
        <v>44446</v>
      </c>
      <c r="H316" s="5">
        <v>20</v>
      </c>
      <c r="I316" s="4" t="s">
        <v>81</v>
      </c>
      <c r="J316" s="16">
        <v>38800</v>
      </c>
      <c r="K316" s="16"/>
      <c r="L316" s="16">
        <f>AtlasReport_1_Table_1[[#This Row],[Amount in default currency]]-AtlasReport_1_Table_1[[#This Row],[Cost Amount]]</f>
        <v>38800</v>
      </c>
    </row>
    <row r="317" spans="1:12">
      <c r="A317" s="4" t="s">
        <v>82</v>
      </c>
      <c r="B317" s="4" t="s">
        <v>83</v>
      </c>
      <c r="C317" s="4" t="s">
        <v>430</v>
      </c>
      <c r="D317" s="4" t="s">
        <v>78</v>
      </c>
      <c r="E317" s="4" t="s">
        <v>610</v>
      </c>
      <c r="F317" s="4" t="s">
        <v>612</v>
      </c>
      <c r="G317" s="7">
        <v>44446</v>
      </c>
      <c r="H317" s="5">
        <v>68</v>
      </c>
      <c r="I317" s="4" t="s">
        <v>81</v>
      </c>
      <c r="J317" s="16">
        <v>265200</v>
      </c>
      <c r="K317" s="16"/>
      <c r="L317" s="16">
        <f>AtlasReport_1_Table_1[[#This Row],[Amount in default currency]]-AtlasReport_1_Table_1[[#This Row],[Cost Amount]]</f>
        <v>265200</v>
      </c>
    </row>
    <row r="318" spans="1:12">
      <c r="A318" s="4" t="s">
        <v>82</v>
      </c>
      <c r="B318" s="4" t="s">
        <v>83</v>
      </c>
      <c r="C318" s="4" t="s">
        <v>105</v>
      </c>
      <c r="D318" s="4" t="s">
        <v>106</v>
      </c>
      <c r="E318" s="4" t="s">
        <v>610</v>
      </c>
      <c r="F318" s="4" t="s">
        <v>613</v>
      </c>
      <c r="G318" s="7">
        <v>44446</v>
      </c>
      <c r="H318" s="5">
        <v>2</v>
      </c>
      <c r="I318" s="4" t="s">
        <v>26</v>
      </c>
      <c r="J318" s="16">
        <v>41650</v>
      </c>
      <c r="K318" s="16"/>
      <c r="L318" s="16">
        <f>AtlasReport_1_Table_1[[#This Row],[Amount in default currency]]-AtlasReport_1_Table_1[[#This Row],[Cost Amount]]</f>
        <v>41650</v>
      </c>
    </row>
    <row r="319" spans="1:12">
      <c r="A319" s="4" t="s">
        <v>82</v>
      </c>
      <c r="B319" s="4" t="s">
        <v>83</v>
      </c>
      <c r="C319" s="4" t="s">
        <v>116</v>
      </c>
      <c r="D319" s="4" t="s">
        <v>78</v>
      </c>
      <c r="E319" s="4" t="s">
        <v>610</v>
      </c>
      <c r="F319" s="4" t="s">
        <v>614</v>
      </c>
      <c r="G319" s="7">
        <v>44446</v>
      </c>
      <c r="H319" s="5">
        <v>14</v>
      </c>
      <c r="I319" s="4" t="s">
        <v>81</v>
      </c>
      <c r="J319" s="16">
        <v>42000</v>
      </c>
      <c r="K319" s="16"/>
      <c r="L319" s="16">
        <f>AtlasReport_1_Table_1[[#This Row],[Amount in default currency]]-AtlasReport_1_Table_1[[#This Row],[Cost Amount]]</f>
        <v>42000</v>
      </c>
    </row>
    <row r="320" spans="1:12">
      <c r="A320" s="4" t="s">
        <v>87</v>
      </c>
      <c r="B320" s="4" t="s">
        <v>88</v>
      </c>
      <c r="C320" s="4" t="s">
        <v>430</v>
      </c>
      <c r="D320" s="4" t="s">
        <v>78</v>
      </c>
      <c r="E320" s="4" t="s">
        <v>615</v>
      </c>
      <c r="F320" s="4" t="s">
        <v>616</v>
      </c>
      <c r="G320" s="7">
        <v>44425</v>
      </c>
      <c r="H320" s="5">
        <v>158</v>
      </c>
      <c r="I320" s="4" t="s">
        <v>81</v>
      </c>
      <c r="J320" s="16">
        <v>696550.76</v>
      </c>
      <c r="K320" s="16"/>
      <c r="L320" s="16">
        <f>AtlasReport_1_Table_1[[#This Row],[Amount in default currency]]-AtlasReport_1_Table_1[[#This Row],[Cost Amount]]</f>
        <v>696550.76</v>
      </c>
    </row>
    <row r="321" spans="1:12">
      <c r="A321" s="4" t="s">
        <v>87</v>
      </c>
      <c r="B321" s="4" t="s">
        <v>88</v>
      </c>
      <c r="C321" s="4" t="s">
        <v>430</v>
      </c>
      <c r="D321" s="4" t="s">
        <v>78</v>
      </c>
      <c r="E321" s="4" t="s">
        <v>617</v>
      </c>
      <c r="F321" s="4" t="s">
        <v>618</v>
      </c>
      <c r="G321" s="7">
        <v>44425</v>
      </c>
      <c r="H321" s="5">
        <v>80</v>
      </c>
      <c r="I321" s="4" t="s">
        <v>81</v>
      </c>
      <c r="J321" s="16">
        <v>352683.93</v>
      </c>
      <c r="K321" s="16"/>
      <c r="L321" s="16">
        <f>AtlasReport_1_Table_1[[#This Row],[Amount in default currency]]-AtlasReport_1_Table_1[[#This Row],[Cost Amount]]</f>
        <v>352683.93</v>
      </c>
    </row>
    <row r="322" spans="1:12">
      <c r="A322" s="4" t="s">
        <v>87</v>
      </c>
      <c r="B322" s="4" t="s">
        <v>88</v>
      </c>
      <c r="C322" s="4" t="s">
        <v>77</v>
      </c>
      <c r="D322" s="4" t="s">
        <v>78</v>
      </c>
      <c r="E322" s="4" t="s">
        <v>617</v>
      </c>
      <c r="F322" s="4" t="s">
        <v>619</v>
      </c>
      <c r="G322" s="7">
        <v>44425</v>
      </c>
      <c r="H322" s="5">
        <v>80</v>
      </c>
      <c r="I322" s="4" t="s">
        <v>81</v>
      </c>
      <c r="J322" s="16">
        <v>175437.65</v>
      </c>
      <c r="K322" s="16"/>
      <c r="L322" s="16">
        <f>AtlasReport_1_Table_1[[#This Row],[Amount in default currency]]-AtlasReport_1_Table_1[[#This Row],[Cost Amount]]</f>
        <v>175437.65</v>
      </c>
    </row>
    <row r="323" spans="1:12">
      <c r="A323" s="4" t="s">
        <v>87</v>
      </c>
      <c r="B323" s="4" t="s">
        <v>88</v>
      </c>
      <c r="C323" s="4" t="s">
        <v>10</v>
      </c>
      <c r="D323" s="4" t="s">
        <v>17</v>
      </c>
      <c r="E323" s="4" t="s">
        <v>617</v>
      </c>
      <c r="F323" s="4" t="s">
        <v>620</v>
      </c>
      <c r="G323" s="7">
        <v>44425</v>
      </c>
      <c r="H323" s="5">
        <v>120</v>
      </c>
      <c r="I323" s="4" t="s">
        <v>81</v>
      </c>
      <c r="J323" s="16">
        <v>273045.62</v>
      </c>
      <c r="K323" s="16"/>
      <c r="L323" s="16">
        <f>AtlasReport_1_Table_1[[#This Row],[Amount in default currency]]-AtlasReport_1_Table_1[[#This Row],[Cost Amount]]</f>
        <v>273045.62</v>
      </c>
    </row>
    <row r="324" spans="1:12">
      <c r="A324" s="4" t="s">
        <v>87</v>
      </c>
      <c r="B324" s="4" t="s">
        <v>88</v>
      </c>
      <c r="C324" s="4" t="s">
        <v>11</v>
      </c>
      <c r="D324" s="4" t="s">
        <v>17</v>
      </c>
      <c r="E324" s="4" t="s">
        <v>617</v>
      </c>
      <c r="F324" s="4" t="s">
        <v>621</v>
      </c>
      <c r="G324" s="7">
        <v>44425</v>
      </c>
      <c r="H324" s="5">
        <v>40</v>
      </c>
      <c r="I324" s="4" t="s">
        <v>81</v>
      </c>
      <c r="J324" s="16">
        <v>45274.229999999996</v>
      </c>
      <c r="K324" s="16"/>
      <c r="L324" s="16">
        <f>AtlasReport_1_Table_1[[#This Row],[Amount in default currency]]-AtlasReport_1_Table_1[[#This Row],[Cost Amount]]</f>
        <v>45274.229999999996</v>
      </c>
    </row>
    <row r="325" spans="1:12">
      <c r="A325" s="4" t="s">
        <v>143</v>
      </c>
      <c r="B325" s="4" t="s">
        <v>144</v>
      </c>
      <c r="C325" s="4" t="s">
        <v>105</v>
      </c>
      <c r="D325" s="4" t="s">
        <v>106</v>
      </c>
      <c r="E325" s="4" t="s">
        <v>622</v>
      </c>
      <c r="F325" s="4" t="s">
        <v>623</v>
      </c>
      <c r="G325" s="7">
        <v>44427</v>
      </c>
      <c r="H325" s="5">
        <v>1</v>
      </c>
      <c r="I325" s="4" t="s">
        <v>26</v>
      </c>
      <c r="J325" s="16">
        <v>13725</v>
      </c>
      <c r="K325" s="16"/>
      <c r="L325" s="16">
        <f>AtlasReport_1_Table_1[[#This Row],[Amount in default currency]]-AtlasReport_1_Table_1[[#This Row],[Cost Amount]]</f>
        <v>13725</v>
      </c>
    </row>
    <row r="326" spans="1:12">
      <c r="A326" s="4" t="s">
        <v>143</v>
      </c>
      <c r="B326" s="4" t="s">
        <v>144</v>
      </c>
      <c r="C326" s="4" t="s">
        <v>10</v>
      </c>
      <c r="D326" s="4" t="s">
        <v>17</v>
      </c>
      <c r="E326" s="4" t="s">
        <v>622</v>
      </c>
      <c r="F326" s="4" t="s">
        <v>624</v>
      </c>
      <c r="G326" s="7">
        <v>44427</v>
      </c>
      <c r="H326" s="5">
        <v>20</v>
      </c>
      <c r="I326" s="4" t="s">
        <v>81</v>
      </c>
      <c r="J326" s="16">
        <v>44850</v>
      </c>
      <c r="K326" s="16"/>
      <c r="L326" s="16">
        <f>AtlasReport_1_Table_1[[#This Row],[Amount in default currency]]-AtlasReport_1_Table_1[[#This Row],[Cost Amount]]</f>
        <v>44850</v>
      </c>
    </row>
    <row r="327" spans="1:12">
      <c r="A327" s="4" t="s">
        <v>143</v>
      </c>
      <c r="B327" s="4" t="s">
        <v>144</v>
      </c>
      <c r="C327" s="4" t="s">
        <v>11</v>
      </c>
      <c r="D327" s="4" t="s">
        <v>17</v>
      </c>
      <c r="E327" s="4" t="s">
        <v>625</v>
      </c>
      <c r="F327" s="4" t="s">
        <v>626</v>
      </c>
      <c r="G327" s="7">
        <v>44399</v>
      </c>
      <c r="H327" s="5">
        <v>-35</v>
      </c>
      <c r="I327" s="4" t="s">
        <v>81</v>
      </c>
      <c r="J327" s="16">
        <v>-35647.5</v>
      </c>
      <c r="K327" s="16"/>
      <c r="L327" s="16">
        <f>AtlasReport_1_Table_1[[#This Row],[Amount in default currency]]-AtlasReport_1_Table_1[[#This Row],[Cost Amount]]</f>
        <v>-35647.5</v>
      </c>
    </row>
    <row r="328" spans="1:12">
      <c r="A328" s="4" t="s">
        <v>82</v>
      </c>
      <c r="B328" s="4" t="s">
        <v>83</v>
      </c>
      <c r="C328" s="4" t="s">
        <v>11</v>
      </c>
      <c r="D328" s="4" t="s">
        <v>17</v>
      </c>
      <c r="E328" s="4" t="s">
        <v>627</v>
      </c>
      <c r="F328" s="4" t="s">
        <v>628</v>
      </c>
      <c r="G328" s="7">
        <v>44435</v>
      </c>
      <c r="H328" s="5">
        <v>37</v>
      </c>
      <c r="I328" s="4" t="s">
        <v>81</v>
      </c>
      <c r="J328" s="16">
        <v>37000</v>
      </c>
      <c r="K328" s="16"/>
      <c r="L328" s="16">
        <f>AtlasReport_1_Table_1[[#This Row],[Amount in default currency]]-AtlasReport_1_Table_1[[#This Row],[Cost Amount]]</f>
        <v>37000</v>
      </c>
    </row>
    <row r="329" spans="1:12">
      <c r="A329" s="4" t="s">
        <v>87</v>
      </c>
      <c r="B329" s="4" t="s">
        <v>88</v>
      </c>
      <c r="C329" s="4" t="s">
        <v>77</v>
      </c>
      <c r="D329" s="4" t="s">
        <v>78</v>
      </c>
      <c r="E329" s="4" t="s">
        <v>629</v>
      </c>
      <c r="F329" s="4" t="s">
        <v>630</v>
      </c>
      <c r="G329" s="7">
        <v>44445</v>
      </c>
      <c r="H329" s="5">
        <v>80</v>
      </c>
      <c r="I329" s="4" t="s">
        <v>81</v>
      </c>
      <c r="J329" s="16">
        <v>176232.85</v>
      </c>
      <c r="K329" s="16"/>
      <c r="L329" s="16">
        <f>AtlasReport_1_Table_1[[#This Row],[Amount in default currency]]-AtlasReport_1_Table_1[[#This Row],[Cost Amount]]</f>
        <v>176232.85</v>
      </c>
    </row>
    <row r="330" spans="1:12">
      <c r="A330" s="4" t="s">
        <v>87</v>
      </c>
      <c r="B330" s="4" t="s">
        <v>88</v>
      </c>
      <c r="C330" s="4" t="s">
        <v>430</v>
      </c>
      <c r="D330" s="4" t="s">
        <v>78</v>
      </c>
      <c r="E330" s="4" t="s">
        <v>629</v>
      </c>
      <c r="F330" s="4" t="s">
        <v>631</v>
      </c>
      <c r="G330" s="7">
        <v>44445</v>
      </c>
      <c r="H330" s="5">
        <v>220</v>
      </c>
      <c r="I330" s="4" t="s">
        <v>81</v>
      </c>
      <c r="J330" s="16">
        <v>974276.94</v>
      </c>
      <c r="K330" s="16"/>
      <c r="L330" s="16">
        <f>AtlasReport_1_Table_1[[#This Row],[Amount in default currency]]-AtlasReport_1_Table_1[[#This Row],[Cost Amount]]</f>
        <v>974276.94</v>
      </c>
    </row>
    <row r="331" spans="1:12">
      <c r="A331" s="4" t="s">
        <v>267</v>
      </c>
      <c r="B331" s="4" t="s">
        <v>268</v>
      </c>
      <c r="C331" s="4" t="s">
        <v>77</v>
      </c>
      <c r="D331" s="4" t="s">
        <v>78</v>
      </c>
      <c r="E331" s="4" t="s">
        <v>632</v>
      </c>
      <c r="F331" s="4" t="s">
        <v>633</v>
      </c>
      <c r="G331" s="7">
        <v>44433</v>
      </c>
      <c r="H331" s="5">
        <v>1</v>
      </c>
      <c r="I331" s="4" t="s">
        <v>81</v>
      </c>
      <c r="J331" s="16">
        <v>2425</v>
      </c>
      <c r="K331" s="16"/>
      <c r="L331" s="16">
        <f>AtlasReport_1_Table_1[[#This Row],[Amount in default currency]]-AtlasReport_1_Table_1[[#This Row],[Cost Amount]]</f>
        <v>2425</v>
      </c>
    </row>
    <row r="332" spans="1:12">
      <c r="A332" s="4" t="s">
        <v>82</v>
      </c>
      <c r="B332" s="4" t="s">
        <v>83</v>
      </c>
      <c r="C332" s="4" t="s">
        <v>11</v>
      </c>
      <c r="D332" s="4" t="s">
        <v>17</v>
      </c>
      <c r="E332" s="4" t="s">
        <v>634</v>
      </c>
      <c r="F332" s="4" t="s">
        <v>635</v>
      </c>
      <c r="G332" s="7">
        <v>44439</v>
      </c>
      <c r="H332" s="5">
        <v>40</v>
      </c>
      <c r="I332" s="4" t="s">
        <v>81</v>
      </c>
      <c r="J332" s="16">
        <v>40000</v>
      </c>
      <c r="K332" s="16"/>
      <c r="L332" s="16">
        <f>AtlasReport_1_Table_1[[#This Row],[Amount in default currency]]-AtlasReport_1_Table_1[[#This Row],[Cost Amount]]</f>
        <v>40000</v>
      </c>
    </row>
    <row r="333" spans="1:12">
      <c r="A333" s="4" t="s">
        <v>87</v>
      </c>
      <c r="B333" s="4" t="s">
        <v>88</v>
      </c>
      <c r="C333" s="4" t="s">
        <v>430</v>
      </c>
      <c r="D333" s="4" t="s">
        <v>78</v>
      </c>
      <c r="E333" s="4" t="s">
        <v>636</v>
      </c>
      <c r="F333" s="4" t="s">
        <v>637</v>
      </c>
      <c r="G333" s="7">
        <v>44434</v>
      </c>
      <c r="H333" s="5">
        <v>13</v>
      </c>
      <c r="I333" s="4" t="s">
        <v>81</v>
      </c>
      <c r="J333" s="16">
        <v>57168.08</v>
      </c>
      <c r="K333" s="16"/>
      <c r="L333" s="16">
        <f>AtlasReport_1_Table_1[[#This Row],[Amount in default currency]]-AtlasReport_1_Table_1[[#This Row],[Cost Amount]]</f>
        <v>57168.08</v>
      </c>
    </row>
    <row r="334" spans="1:12">
      <c r="A334" s="4" t="s">
        <v>82</v>
      </c>
      <c r="B334" s="4" t="s">
        <v>83</v>
      </c>
      <c r="C334" s="4" t="s">
        <v>92</v>
      </c>
      <c r="D334" s="4" t="s">
        <v>93</v>
      </c>
      <c r="E334" s="4" t="s">
        <v>638</v>
      </c>
      <c r="F334" s="4" t="s">
        <v>639</v>
      </c>
      <c r="G334" s="7">
        <v>44469</v>
      </c>
      <c r="H334" s="5">
        <v>11</v>
      </c>
      <c r="I334" s="4" t="s">
        <v>81</v>
      </c>
      <c r="J334" s="16">
        <v>26675</v>
      </c>
      <c r="K334" s="16"/>
      <c r="L334" s="16">
        <f>AtlasReport_1_Table_1[[#This Row],[Amount in default currency]]-AtlasReport_1_Table_1[[#This Row],[Cost Amount]]</f>
        <v>26675</v>
      </c>
    </row>
    <row r="335" spans="1:12">
      <c r="A335" s="4" t="s">
        <v>82</v>
      </c>
      <c r="B335" s="4" t="s">
        <v>83</v>
      </c>
      <c r="C335" s="4" t="s">
        <v>95</v>
      </c>
      <c r="D335" s="4" t="s">
        <v>93</v>
      </c>
      <c r="E335" s="4" t="s">
        <v>638</v>
      </c>
      <c r="F335" s="4" t="s">
        <v>640</v>
      </c>
      <c r="G335" s="7">
        <v>44469</v>
      </c>
      <c r="H335" s="5">
        <v>60</v>
      </c>
      <c r="I335" s="4" t="s">
        <v>81</v>
      </c>
      <c r="J335" s="16">
        <v>292500</v>
      </c>
      <c r="K335" s="16"/>
      <c r="L335" s="16">
        <f>AtlasReport_1_Table_1[[#This Row],[Amount in default currency]]-AtlasReport_1_Table_1[[#This Row],[Cost Amount]]</f>
        <v>292500</v>
      </c>
    </row>
    <row r="336" spans="1:12">
      <c r="A336" s="4" t="s">
        <v>82</v>
      </c>
      <c r="B336" s="4" t="s">
        <v>83</v>
      </c>
      <c r="C336" s="4" t="s">
        <v>105</v>
      </c>
      <c r="D336" s="4" t="s">
        <v>106</v>
      </c>
      <c r="E336" s="4" t="s">
        <v>638</v>
      </c>
      <c r="F336" s="4" t="s">
        <v>641</v>
      </c>
      <c r="G336" s="7">
        <v>44469</v>
      </c>
      <c r="H336" s="5">
        <v>2</v>
      </c>
      <c r="I336" s="4" t="s">
        <v>26</v>
      </c>
      <c r="J336" s="16">
        <v>51175</v>
      </c>
      <c r="K336" s="16"/>
      <c r="L336" s="16">
        <f>AtlasReport_1_Table_1[[#This Row],[Amount in default currency]]-AtlasReport_1_Table_1[[#This Row],[Cost Amount]]</f>
        <v>51175</v>
      </c>
    </row>
    <row r="337" spans="1:12">
      <c r="A337" s="4" t="s">
        <v>82</v>
      </c>
      <c r="B337" s="4" t="s">
        <v>83</v>
      </c>
      <c r="C337" s="4" t="s">
        <v>11</v>
      </c>
      <c r="D337" s="4" t="s">
        <v>17</v>
      </c>
      <c r="E337" s="4" t="s">
        <v>642</v>
      </c>
      <c r="F337" s="4" t="s">
        <v>643</v>
      </c>
      <c r="G337" s="7">
        <v>44468</v>
      </c>
      <c r="H337" s="5">
        <v>40</v>
      </c>
      <c r="I337" s="4" t="s">
        <v>81</v>
      </c>
      <c r="J337" s="16">
        <v>34920</v>
      </c>
      <c r="K337" s="16"/>
      <c r="L337" s="16">
        <f>AtlasReport_1_Table_1[[#This Row],[Amount in default currency]]-AtlasReport_1_Table_1[[#This Row],[Cost Amount]]</f>
        <v>34920</v>
      </c>
    </row>
    <row r="338" spans="1:12">
      <c r="A338" s="4" t="s">
        <v>82</v>
      </c>
      <c r="B338" s="4" t="s">
        <v>83</v>
      </c>
      <c r="C338" s="4" t="s">
        <v>68</v>
      </c>
      <c r="D338" s="4" t="s">
        <v>17</v>
      </c>
      <c r="E338" s="4" t="s">
        <v>642</v>
      </c>
      <c r="F338" s="4" t="s">
        <v>644</v>
      </c>
      <c r="G338" s="7">
        <v>44468</v>
      </c>
      <c r="H338" s="5">
        <v>80</v>
      </c>
      <c r="I338" s="4" t="s">
        <v>81</v>
      </c>
      <c r="J338" s="16">
        <v>108000</v>
      </c>
      <c r="K338" s="16"/>
      <c r="L338" s="16">
        <f>AtlasReport_1_Table_1[[#This Row],[Amount in default currency]]-AtlasReport_1_Table_1[[#This Row],[Cost Amount]]</f>
        <v>108000</v>
      </c>
    </row>
    <row r="339" spans="1:12">
      <c r="A339" s="4" t="s">
        <v>82</v>
      </c>
      <c r="B339" s="4" t="s">
        <v>83</v>
      </c>
      <c r="C339" s="4" t="s">
        <v>10</v>
      </c>
      <c r="D339" s="4" t="s">
        <v>17</v>
      </c>
      <c r="E339" s="4" t="s">
        <v>642</v>
      </c>
      <c r="F339" s="4" t="s">
        <v>645</v>
      </c>
      <c r="G339" s="7">
        <v>44468</v>
      </c>
      <c r="H339" s="5">
        <v>105</v>
      </c>
      <c r="I339" s="4" t="s">
        <v>81</v>
      </c>
      <c r="J339" s="16">
        <v>184275</v>
      </c>
      <c r="K339" s="16"/>
      <c r="L339" s="16">
        <f>AtlasReport_1_Table_1[[#This Row],[Amount in default currency]]-AtlasReport_1_Table_1[[#This Row],[Cost Amount]]</f>
        <v>184275</v>
      </c>
    </row>
    <row r="340" spans="1:12">
      <c r="A340" s="4" t="s">
        <v>82</v>
      </c>
      <c r="B340" s="4" t="s">
        <v>83</v>
      </c>
      <c r="C340" s="4" t="s">
        <v>92</v>
      </c>
      <c r="D340" s="4" t="s">
        <v>93</v>
      </c>
      <c r="E340" s="4" t="s">
        <v>642</v>
      </c>
      <c r="F340" s="4" t="s">
        <v>646</v>
      </c>
      <c r="G340" s="7">
        <v>44468</v>
      </c>
      <c r="H340" s="5">
        <v>27</v>
      </c>
      <c r="I340" s="4" t="s">
        <v>81</v>
      </c>
      <c r="J340" s="16">
        <v>62856</v>
      </c>
      <c r="K340" s="16"/>
      <c r="L340" s="16">
        <f>AtlasReport_1_Table_1[[#This Row],[Amount in default currency]]-AtlasReport_1_Table_1[[#This Row],[Cost Amount]]</f>
        <v>62856</v>
      </c>
    </row>
    <row r="341" spans="1:12">
      <c r="A341" s="4" t="s">
        <v>82</v>
      </c>
      <c r="B341" s="4" t="s">
        <v>83</v>
      </c>
      <c r="C341" s="4" t="s">
        <v>95</v>
      </c>
      <c r="D341" s="4" t="s">
        <v>93</v>
      </c>
      <c r="E341" s="4" t="s">
        <v>642</v>
      </c>
      <c r="F341" s="4" t="s">
        <v>647</v>
      </c>
      <c r="G341" s="7">
        <v>44468</v>
      </c>
      <c r="H341" s="5">
        <v>54</v>
      </c>
      <c r="I341" s="4" t="s">
        <v>81</v>
      </c>
      <c r="J341" s="16">
        <v>252720</v>
      </c>
      <c r="K341" s="16"/>
      <c r="L341" s="16">
        <f>AtlasReport_1_Table_1[[#This Row],[Amount in default currency]]-AtlasReport_1_Table_1[[#This Row],[Cost Amount]]</f>
        <v>252720</v>
      </c>
    </row>
    <row r="342" spans="1:12">
      <c r="A342" s="4" t="s">
        <v>82</v>
      </c>
      <c r="B342" s="4" t="s">
        <v>83</v>
      </c>
      <c r="C342" s="4" t="s">
        <v>105</v>
      </c>
      <c r="D342" s="4" t="s">
        <v>106</v>
      </c>
      <c r="E342" s="4" t="s">
        <v>642</v>
      </c>
      <c r="F342" s="4" t="s">
        <v>648</v>
      </c>
      <c r="G342" s="7">
        <v>44468</v>
      </c>
      <c r="H342" s="5">
        <v>2</v>
      </c>
      <c r="I342" s="4" t="s">
        <v>26</v>
      </c>
      <c r="J342" s="16">
        <v>110152</v>
      </c>
      <c r="K342" s="16"/>
      <c r="L342" s="16">
        <f>AtlasReport_1_Table_1[[#This Row],[Amount in default currency]]-AtlasReport_1_Table_1[[#This Row],[Cost Amount]]</f>
        <v>110152</v>
      </c>
    </row>
    <row r="343" spans="1:12">
      <c r="A343" s="4" t="s">
        <v>82</v>
      </c>
      <c r="B343" s="4" t="s">
        <v>83</v>
      </c>
      <c r="C343" s="4" t="s">
        <v>92</v>
      </c>
      <c r="D343" s="4" t="s">
        <v>93</v>
      </c>
      <c r="E343" s="4" t="s">
        <v>649</v>
      </c>
      <c r="F343" s="4" t="s">
        <v>650</v>
      </c>
      <c r="G343" s="7">
        <v>44481</v>
      </c>
      <c r="H343" s="5">
        <v>1</v>
      </c>
      <c r="I343" s="4" t="s">
        <v>81</v>
      </c>
      <c r="J343" s="16">
        <v>2104</v>
      </c>
      <c r="K343" s="16"/>
      <c r="L343" s="16">
        <f>AtlasReport_1_Table_1[[#This Row],[Amount in default currency]]-AtlasReport_1_Table_1[[#This Row],[Cost Amount]]</f>
        <v>2104</v>
      </c>
    </row>
    <row r="344" spans="1:12">
      <c r="A344" s="4" t="s">
        <v>82</v>
      </c>
      <c r="B344" s="4" t="s">
        <v>83</v>
      </c>
      <c r="C344" s="4" t="s">
        <v>95</v>
      </c>
      <c r="D344" s="4" t="s">
        <v>93</v>
      </c>
      <c r="E344" s="4" t="s">
        <v>649</v>
      </c>
      <c r="F344" s="4" t="s">
        <v>651</v>
      </c>
      <c r="G344" s="7">
        <v>44481</v>
      </c>
      <c r="H344" s="5">
        <v>3</v>
      </c>
      <c r="I344" s="4" t="s">
        <v>81</v>
      </c>
      <c r="J344" s="16">
        <v>14397</v>
      </c>
      <c r="K344" s="16"/>
      <c r="L344" s="16">
        <f>AtlasReport_1_Table_1[[#This Row],[Amount in default currency]]-AtlasReport_1_Table_1[[#This Row],[Cost Amount]]</f>
        <v>14397</v>
      </c>
    </row>
    <row r="345" spans="1:12">
      <c r="A345" s="4" t="s">
        <v>82</v>
      </c>
      <c r="B345" s="4" t="s">
        <v>83</v>
      </c>
      <c r="C345" s="4" t="s">
        <v>116</v>
      </c>
      <c r="D345" s="4" t="s">
        <v>78</v>
      </c>
      <c r="E345" s="4" t="s">
        <v>649</v>
      </c>
      <c r="F345" s="4" t="s">
        <v>652</v>
      </c>
      <c r="G345" s="7">
        <v>44481</v>
      </c>
      <c r="H345" s="5">
        <v>4</v>
      </c>
      <c r="I345" s="4" t="s">
        <v>81</v>
      </c>
      <c r="J345" s="16">
        <v>13296</v>
      </c>
      <c r="K345" s="16"/>
      <c r="L345" s="16">
        <f>AtlasReport_1_Table_1[[#This Row],[Amount in default currency]]-AtlasReport_1_Table_1[[#This Row],[Cost Amount]]</f>
        <v>13296</v>
      </c>
    </row>
    <row r="346" spans="1:12">
      <c r="A346" s="4" t="s">
        <v>82</v>
      </c>
      <c r="B346" s="4" t="s">
        <v>83</v>
      </c>
      <c r="C346" s="4" t="s">
        <v>430</v>
      </c>
      <c r="D346" s="4" t="s">
        <v>78</v>
      </c>
      <c r="E346" s="4" t="s">
        <v>649</v>
      </c>
      <c r="F346" s="4" t="s">
        <v>653</v>
      </c>
      <c r="G346" s="7">
        <v>44481</v>
      </c>
      <c r="H346" s="5">
        <v>17</v>
      </c>
      <c r="I346" s="4" t="s">
        <v>81</v>
      </c>
      <c r="J346" s="16">
        <v>74103</v>
      </c>
      <c r="K346" s="16"/>
      <c r="L346" s="16">
        <f>AtlasReport_1_Table_1[[#This Row],[Amount in default currency]]-AtlasReport_1_Table_1[[#This Row],[Cost Amount]]</f>
        <v>74103</v>
      </c>
    </row>
    <row r="347" spans="1:12">
      <c r="A347" s="4" t="s">
        <v>82</v>
      </c>
      <c r="B347" s="4" t="s">
        <v>83</v>
      </c>
      <c r="C347" s="4" t="s">
        <v>105</v>
      </c>
      <c r="D347" s="4" t="s">
        <v>106</v>
      </c>
      <c r="E347" s="4" t="s">
        <v>649</v>
      </c>
      <c r="F347" s="4" t="s">
        <v>654</v>
      </c>
      <c r="G347" s="7">
        <v>44481</v>
      </c>
      <c r="H347" s="5">
        <v>1</v>
      </c>
      <c r="I347" s="4" t="s">
        <v>26</v>
      </c>
      <c r="J347" s="16">
        <v>11125</v>
      </c>
      <c r="K347" s="16"/>
      <c r="L347" s="16">
        <f>AtlasReport_1_Table_1[[#This Row],[Amount in default currency]]-AtlasReport_1_Table_1[[#This Row],[Cost Amount]]</f>
        <v>11125</v>
      </c>
    </row>
    <row r="348" spans="1:12">
      <c r="A348" s="4" t="s">
        <v>143</v>
      </c>
      <c r="B348" s="4" t="s">
        <v>144</v>
      </c>
      <c r="C348" s="4" t="s">
        <v>430</v>
      </c>
      <c r="D348" s="4" t="s">
        <v>78</v>
      </c>
      <c r="E348" s="4" t="s">
        <v>655</v>
      </c>
      <c r="F348" s="4" t="s">
        <v>656</v>
      </c>
      <c r="G348" s="7">
        <v>44468</v>
      </c>
      <c r="H348" s="5">
        <v>25</v>
      </c>
      <c r="I348" s="4" t="s">
        <v>81</v>
      </c>
      <c r="J348" s="16">
        <v>112125</v>
      </c>
      <c r="K348" s="16"/>
      <c r="L348" s="16">
        <f>AtlasReport_1_Table_1[[#This Row],[Amount in default currency]]-AtlasReport_1_Table_1[[#This Row],[Cost Amount]]</f>
        <v>112125</v>
      </c>
    </row>
    <row r="349" spans="1:12">
      <c r="A349" s="4" t="s">
        <v>143</v>
      </c>
      <c r="B349" s="4" t="s">
        <v>144</v>
      </c>
      <c r="C349" s="4" t="s">
        <v>77</v>
      </c>
      <c r="D349" s="4" t="s">
        <v>78</v>
      </c>
      <c r="E349" s="4" t="s">
        <v>655</v>
      </c>
      <c r="F349" s="4" t="s">
        <v>657</v>
      </c>
      <c r="G349" s="7">
        <v>44468</v>
      </c>
      <c r="H349" s="5">
        <v>8</v>
      </c>
      <c r="I349" s="4" t="s">
        <v>81</v>
      </c>
      <c r="J349" s="16">
        <v>17848</v>
      </c>
      <c r="K349" s="16"/>
      <c r="L349" s="16">
        <f>AtlasReport_1_Table_1[[#This Row],[Amount in default currency]]-AtlasReport_1_Table_1[[#This Row],[Cost Amount]]</f>
        <v>17848</v>
      </c>
    </row>
    <row r="350" spans="1:12">
      <c r="A350" s="4" t="s">
        <v>143</v>
      </c>
      <c r="B350" s="4" t="s">
        <v>144</v>
      </c>
      <c r="C350" s="4" t="s">
        <v>105</v>
      </c>
      <c r="D350" s="4" t="s">
        <v>106</v>
      </c>
      <c r="E350" s="4" t="s">
        <v>655</v>
      </c>
      <c r="F350" s="4" t="s">
        <v>658</v>
      </c>
      <c r="G350" s="7">
        <v>44468</v>
      </c>
      <c r="H350" s="5">
        <v>1</v>
      </c>
      <c r="I350" s="4" t="s">
        <v>26</v>
      </c>
      <c r="J350" s="16">
        <v>22425</v>
      </c>
      <c r="K350" s="16"/>
      <c r="L350" s="16">
        <f>AtlasReport_1_Table_1[[#This Row],[Amount in default currency]]-AtlasReport_1_Table_1[[#This Row],[Cost Amount]]</f>
        <v>22425</v>
      </c>
    </row>
    <row r="351" spans="1:12">
      <c r="A351" s="4" t="s">
        <v>214</v>
      </c>
      <c r="B351" s="4" t="s">
        <v>215</v>
      </c>
      <c r="C351" s="4" t="s">
        <v>199</v>
      </c>
      <c r="D351" s="4" t="s">
        <v>93</v>
      </c>
      <c r="E351" s="4" t="s">
        <v>659</v>
      </c>
      <c r="F351" s="4" t="s">
        <v>660</v>
      </c>
      <c r="G351" s="7">
        <v>44484</v>
      </c>
      <c r="H351" s="5">
        <v>5</v>
      </c>
      <c r="I351" s="4" t="s">
        <v>81</v>
      </c>
      <c r="J351" s="16">
        <v>18750</v>
      </c>
      <c r="K351" s="16"/>
      <c r="L351" s="16">
        <f>AtlasReport_1_Table_1[[#This Row],[Amount in default currency]]-AtlasReport_1_Table_1[[#This Row],[Cost Amount]]</f>
        <v>18750</v>
      </c>
    </row>
    <row r="352" spans="1:12">
      <c r="A352" s="4" t="s">
        <v>214</v>
      </c>
      <c r="B352" s="4" t="s">
        <v>215</v>
      </c>
      <c r="C352" s="4" t="s">
        <v>95</v>
      </c>
      <c r="D352" s="4" t="s">
        <v>93</v>
      </c>
      <c r="E352" s="4" t="s">
        <v>659</v>
      </c>
      <c r="F352" s="4" t="s">
        <v>661</v>
      </c>
      <c r="G352" s="7">
        <v>44484</v>
      </c>
      <c r="H352" s="5">
        <v>24</v>
      </c>
      <c r="I352" s="4" t="s">
        <v>81</v>
      </c>
      <c r="J352" s="16">
        <v>117000</v>
      </c>
      <c r="K352" s="16"/>
      <c r="L352" s="16">
        <f>AtlasReport_1_Table_1[[#This Row],[Amount in default currency]]-AtlasReport_1_Table_1[[#This Row],[Cost Amount]]</f>
        <v>117000</v>
      </c>
    </row>
    <row r="353" spans="1:12">
      <c r="A353" s="4" t="s">
        <v>214</v>
      </c>
      <c r="B353" s="4" t="s">
        <v>215</v>
      </c>
      <c r="C353" s="4" t="s">
        <v>105</v>
      </c>
      <c r="D353" s="4" t="s">
        <v>106</v>
      </c>
      <c r="E353" s="4" t="s">
        <v>659</v>
      </c>
      <c r="F353" s="4" t="s">
        <v>662</v>
      </c>
      <c r="G353" s="7">
        <v>44484</v>
      </c>
      <c r="H353" s="5">
        <v>1</v>
      </c>
      <c r="I353" s="4" t="s">
        <v>26</v>
      </c>
      <c r="J353" s="16">
        <v>20725</v>
      </c>
      <c r="K353" s="16"/>
      <c r="L353" s="16">
        <f>AtlasReport_1_Table_1[[#This Row],[Amount in default currency]]-AtlasReport_1_Table_1[[#This Row],[Cost Amount]]</f>
        <v>20725</v>
      </c>
    </row>
    <row r="354" spans="1:12">
      <c r="A354" s="4" t="s">
        <v>87</v>
      </c>
      <c r="B354" s="4" t="s">
        <v>88</v>
      </c>
      <c r="C354" s="4" t="s">
        <v>11</v>
      </c>
      <c r="D354" s="4" t="s">
        <v>17</v>
      </c>
      <c r="E354" s="4" t="s">
        <v>663</v>
      </c>
      <c r="F354" s="4" t="s">
        <v>664</v>
      </c>
      <c r="G354" s="7">
        <v>44448</v>
      </c>
      <c r="H354" s="5">
        <v>90</v>
      </c>
      <c r="I354" s="4" t="s">
        <v>81</v>
      </c>
      <c r="J354" s="16">
        <v>102099.8</v>
      </c>
      <c r="K354" s="16"/>
      <c r="L354" s="16">
        <f>AtlasReport_1_Table_1[[#This Row],[Amount in default currency]]-AtlasReport_1_Table_1[[#This Row],[Cost Amount]]</f>
        <v>102099.8</v>
      </c>
    </row>
    <row r="355" spans="1:12">
      <c r="A355" s="4" t="s">
        <v>87</v>
      </c>
      <c r="B355" s="4" t="s">
        <v>88</v>
      </c>
      <c r="C355" s="4" t="s">
        <v>11</v>
      </c>
      <c r="D355" s="4" t="s">
        <v>17</v>
      </c>
      <c r="E355" s="4" t="s">
        <v>665</v>
      </c>
      <c r="F355" s="4" t="s">
        <v>666</v>
      </c>
      <c r="G355" s="7">
        <v>44448</v>
      </c>
      <c r="H355" s="5">
        <v>30</v>
      </c>
      <c r="I355" s="4" t="s">
        <v>81</v>
      </c>
      <c r="J355" s="16">
        <v>34033.270000000004</v>
      </c>
      <c r="K355" s="16"/>
      <c r="L355" s="16">
        <f>AtlasReport_1_Table_1[[#This Row],[Amount in default currency]]-AtlasReport_1_Table_1[[#This Row],[Cost Amount]]</f>
        <v>34033.270000000004</v>
      </c>
    </row>
    <row r="356" spans="1:12">
      <c r="A356" s="4" t="s">
        <v>667</v>
      </c>
      <c r="B356" s="4" t="s">
        <v>668</v>
      </c>
      <c r="C356" s="4" t="s">
        <v>92</v>
      </c>
      <c r="D356" s="4" t="s">
        <v>93</v>
      </c>
      <c r="E356" s="4" t="s">
        <v>669</v>
      </c>
      <c r="F356" s="4" t="s">
        <v>670</v>
      </c>
      <c r="G356" s="7">
        <v>44468</v>
      </c>
      <c r="H356" s="5">
        <v>13</v>
      </c>
      <c r="I356" s="4" t="s">
        <v>81</v>
      </c>
      <c r="J356" s="16">
        <v>34671</v>
      </c>
      <c r="K356" s="16"/>
      <c r="L356" s="16">
        <f>AtlasReport_1_Table_1[[#This Row],[Amount in default currency]]-AtlasReport_1_Table_1[[#This Row],[Cost Amount]]</f>
        <v>34671</v>
      </c>
    </row>
    <row r="357" spans="1:12">
      <c r="A357" s="4" t="s">
        <v>667</v>
      </c>
      <c r="B357" s="4" t="s">
        <v>668</v>
      </c>
      <c r="C357" s="4" t="s">
        <v>199</v>
      </c>
      <c r="D357" s="4" t="s">
        <v>93</v>
      </c>
      <c r="E357" s="4" t="s">
        <v>669</v>
      </c>
      <c r="F357" s="4" t="s">
        <v>671</v>
      </c>
      <c r="G357" s="7">
        <v>44468</v>
      </c>
      <c r="H357" s="5">
        <v>13</v>
      </c>
      <c r="I357" s="4" t="s">
        <v>81</v>
      </c>
      <c r="J357" s="16">
        <v>53625</v>
      </c>
      <c r="K357" s="16"/>
      <c r="L357" s="16">
        <f>AtlasReport_1_Table_1[[#This Row],[Amount in default currency]]-AtlasReport_1_Table_1[[#This Row],[Cost Amount]]</f>
        <v>53625</v>
      </c>
    </row>
    <row r="358" spans="1:12">
      <c r="A358" s="4" t="s">
        <v>667</v>
      </c>
      <c r="B358" s="4" t="s">
        <v>668</v>
      </c>
      <c r="C358" s="4" t="s">
        <v>95</v>
      </c>
      <c r="D358" s="4" t="s">
        <v>93</v>
      </c>
      <c r="E358" s="4" t="s">
        <v>669</v>
      </c>
      <c r="F358" s="4" t="s">
        <v>672</v>
      </c>
      <c r="G358" s="7">
        <v>44468</v>
      </c>
      <c r="H358" s="5">
        <v>25</v>
      </c>
      <c r="I358" s="4" t="s">
        <v>81</v>
      </c>
      <c r="J358" s="16">
        <v>134050</v>
      </c>
      <c r="K358" s="16"/>
      <c r="L358" s="16">
        <f>AtlasReport_1_Table_1[[#This Row],[Amount in default currency]]-AtlasReport_1_Table_1[[#This Row],[Cost Amount]]</f>
        <v>134050</v>
      </c>
    </row>
    <row r="359" spans="1:12">
      <c r="A359" s="4" t="s">
        <v>667</v>
      </c>
      <c r="B359" s="4" t="s">
        <v>668</v>
      </c>
      <c r="C359" s="4" t="s">
        <v>105</v>
      </c>
      <c r="D359" s="4" t="s">
        <v>106</v>
      </c>
      <c r="E359" s="4" t="s">
        <v>669</v>
      </c>
      <c r="F359" s="4" t="s">
        <v>673</v>
      </c>
      <c r="G359" s="7">
        <v>44468</v>
      </c>
      <c r="H359" s="5">
        <v>1</v>
      </c>
      <c r="I359" s="4" t="s">
        <v>26</v>
      </c>
      <c r="J359" s="16">
        <v>33555</v>
      </c>
      <c r="K359" s="16"/>
      <c r="L359" s="16">
        <f>AtlasReport_1_Table_1[[#This Row],[Amount in default currency]]-AtlasReport_1_Table_1[[#This Row],[Cost Amount]]</f>
        <v>33555</v>
      </c>
    </row>
    <row r="360" spans="1:12">
      <c r="A360" s="4" t="s">
        <v>143</v>
      </c>
      <c r="B360" s="4" t="s">
        <v>144</v>
      </c>
      <c r="C360" s="4" t="s">
        <v>68</v>
      </c>
      <c r="D360" s="4" t="s">
        <v>17</v>
      </c>
      <c r="E360" s="4" t="s">
        <v>674</v>
      </c>
      <c r="F360" s="4" t="s">
        <v>675</v>
      </c>
      <c r="G360" s="7">
        <v>44468</v>
      </c>
      <c r="H360" s="5">
        <v>1500</v>
      </c>
      <c r="I360" s="4" t="s">
        <v>27</v>
      </c>
      <c r="J360" s="16">
        <v>30000</v>
      </c>
      <c r="K360" s="16"/>
      <c r="L360" s="16">
        <f>AtlasReport_1_Table_1[[#This Row],[Amount in default currency]]-AtlasReport_1_Table_1[[#This Row],[Cost Amount]]</f>
        <v>30000</v>
      </c>
    </row>
    <row r="361" spans="1:12">
      <c r="A361" s="4" t="s">
        <v>345</v>
      </c>
      <c r="B361" s="4" t="s">
        <v>346</v>
      </c>
      <c r="C361" s="4" t="s">
        <v>95</v>
      </c>
      <c r="D361" s="4" t="s">
        <v>93</v>
      </c>
      <c r="E361" s="4" t="s">
        <v>676</v>
      </c>
      <c r="F361" s="4" t="s">
        <v>677</v>
      </c>
      <c r="G361" s="7">
        <v>44467</v>
      </c>
      <c r="H361" s="5">
        <v>2</v>
      </c>
      <c r="I361" s="4" t="s">
        <v>81</v>
      </c>
      <c r="J361" s="16">
        <v>9750</v>
      </c>
      <c r="K361" s="16"/>
      <c r="L361" s="16">
        <f>AtlasReport_1_Table_1[[#This Row],[Amount in default currency]]-AtlasReport_1_Table_1[[#This Row],[Cost Amount]]</f>
        <v>9750</v>
      </c>
    </row>
    <row r="362" spans="1:12">
      <c r="A362" s="4" t="s">
        <v>143</v>
      </c>
      <c r="B362" s="4" t="s">
        <v>144</v>
      </c>
      <c r="C362" s="4" t="s">
        <v>105</v>
      </c>
      <c r="D362" s="4" t="s">
        <v>106</v>
      </c>
      <c r="E362" s="4" t="s">
        <v>678</v>
      </c>
      <c r="F362" s="4" t="s">
        <v>679</v>
      </c>
      <c r="G362" s="7">
        <v>44467</v>
      </c>
      <c r="H362" s="5">
        <v>1</v>
      </c>
      <c r="I362" s="4" t="s">
        <v>26</v>
      </c>
      <c r="J362" s="16">
        <v>675</v>
      </c>
      <c r="K362" s="16"/>
      <c r="L362" s="16">
        <f>AtlasReport_1_Table_1[[#This Row],[Amount in default currency]]-AtlasReport_1_Table_1[[#This Row],[Cost Amount]]</f>
        <v>675</v>
      </c>
    </row>
    <row r="363" spans="1:12">
      <c r="A363" s="4" t="s">
        <v>680</v>
      </c>
      <c r="B363" s="4" t="s">
        <v>681</v>
      </c>
      <c r="C363" s="4" t="s">
        <v>10</v>
      </c>
      <c r="D363" s="4" t="s">
        <v>17</v>
      </c>
      <c r="E363" s="4" t="s">
        <v>682</v>
      </c>
      <c r="F363" s="4" t="s">
        <v>683</v>
      </c>
      <c r="G363" s="7">
        <v>44469</v>
      </c>
      <c r="H363" s="5">
        <v>8</v>
      </c>
      <c r="I363" s="4" t="s">
        <v>81</v>
      </c>
      <c r="J363" s="16">
        <v>19500</v>
      </c>
      <c r="K363" s="16"/>
      <c r="L363" s="16">
        <f>AtlasReport_1_Table_1[[#This Row],[Amount in default currency]]-AtlasReport_1_Table_1[[#This Row],[Cost Amount]]</f>
        <v>19500</v>
      </c>
    </row>
    <row r="364" spans="1:12">
      <c r="A364" s="4" t="s">
        <v>680</v>
      </c>
      <c r="B364" s="4" t="s">
        <v>681</v>
      </c>
      <c r="C364" s="4" t="s">
        <v>68</v>
      </c>
      <c r="D364" s="4" t="s">
        <v>17</v>
      </c>
      <c r="E364" s="4" t="s">
        <v>682</v>
      </c>
      <c r="F364" s="4" t="s">
        <v>684</v>
      </c>
      <c r="G364" s="7">
        <v>44469</v>
      </c>
      <c r="H364" s="5">
        <v>23</v>
      </c>
      <c r="I364" s="4" t="s">
        <v>81</v>
      </c>
      <c r="J364" s="16">
        <v>43125</v>
      </c>
      <c r="K364" s="16"/>
      <c r="L364" s="16">
        <f>AtlasReport_1_Table_1[[#This Row],[Amount in default currency]]-AtlasReport_1_Table_1[[#This Row],[Cost Amount]]</f>
        <v>43125</v>
      </c>
    </row>
    <row r="365" spans="1:12">
      <c r="A365" s="4" t="s">
        <v>680</v>
      </c>
      <c r="B365" s="4" t="s">
        <v>681</v>
      </c>
      <c r="C365" s="4" t="s">
        <v>11</v>
      </c>
      <c r="D365" s="4" t="s">
        <v>17</v>
      </c>
      <c r="E365" s="4" t="s">
        <v>682</v>
      </c>
      <c r="F365" s="4" t="s">
        <v>685</v>
      </c>
      <c r="G365" s="7">
        <v>44469</v>
      </c>
      <c r="H365" s="5">
        <v>36</v>
      </c>
      <c r="I365" s="4" t="s">
        <v>81</v>
      </c>
      <c r="J365" s="16">
        <v>43650</v>
      </c>
      <c r="K365" s="16"/>
      <c r="L365" s="16">
        <f>AtlasReport_1_Table_1[[#This Row],[Amount in default currency]]-AtlasReport_1_Table_1[[#This Row],[Cost Amount]]</f>
        <v>43650</v>
      </c>
    </row>
    <row r="366" spans="1:12">
      <c r="A366" s="4" t="s">
        <v>143</v>
      </c>
      <c r="B366" s="4" t="s">
        <v>144</v>
      </c>
      <c r="C366" s="4" t="s">
        <v>11</v>
      </c>
      <c r="D366" s="4" t="s">
        <v>17</v>
      </c>
      <c r="E366" s="4" t="s">
        <v>686</v>
      </c>
      <c r="F366" s="4" t="s">
        <v>687</v>
      </c>
      <c r="G366" s="7">
        <v>44469</v>
      </c>
      <c r="H366" s="5">
        <v>-727.5</v>
      </c>
      <c r="I366" s="4" t="s">
        <v>27</v>
      </c>
      <c r="J366" s="16">
        <v>-14550</v>
      </c>
      <c r="K366" s="16"/>
      <c r="L366" s="16">
        <f>AtlasReport_1_Table_1[[#This Row],[Amount in default currency]]-AtlasReport_1_Table_1[[#This Row],[Cost Amount]]</f>
        <v>-14550</v>
      </c>
    </row>
    <row r="367" spans="1:12">
      <c r="A367" s="4" t="s">
        <v>143</v>
      </c>
      <c r="B367" s="4" t="s">
        <v>144</v>
      </c>
      <c r="C367" s="4" t="s">
        <v>10</v>
      </c>
      <c r="D367" s="4" t="s">
        <v>17</v>
      </c>
      <c r="E367" s="4" t="s">
        <v>686</v>
      </c>
      <c r="F367" s="4" t="s">
        <v>688</v>
      </c>
      <c r="G367" s="7">
        <v>44469</v>
      </c>
      <c r="H367" s="5">
        <v>-4387.5</v>
      </c>
      <c r="I367" s="4" t="s">
        <v>27</v>
      </c>
      <c r="J367" s="16">
        <v>-87750</v>
      </c>
      <c r="K367" s="16"/>
      <c r="L367" s="16">
        <f>AtlasReport_1_Table_1[[#This Row],[Amount in default currency]]-AtlasReport_1_Table_1[[#This Row],[Cost Amount]]</f>
        <v>-87750</v>
      </c>
    </row>
    <row r="368" spans="1:12">
      <c r="A368" s="4" t="s">
        <v>75</v>
      </c>
      <c r="B368" s="4" t="s">
        <v>76</v>
      </c>
      <c r="C368" s="4" t="s">
        <v>95</v>
      </c>
      <c r="D368" s="4" t="s">
        <v>93</v>
      </c>
      <c r="E368" s="4" t="s">
        <v>689</v>
      </c>
      <c r="F368" s="4" t="s">
        <v>690</v>
      </c>
      <c r="G368" s="7">
        <v>44469</v>
      </c>
      <c r="H368" s="5">
        <v>-15</v>
      </c>
      <c r="I368" s="4" t="s">
        <v>81</v>
      </c>
      <c r="J368" s="16">
        <v>-61425</v>
      </c>
      <c r="K368" s="16"/>
      <c r="L368" s="16">
        <f>AtlasReport_1_Table_1[[#This Row],[Amount in default currency]]-AtlasReport_1_Table_1[[#This Row],[Cost Amount]]</f>
        <v>-61425</v>
      </c>
    </row>
    <row r="369" spans="1:12">
      <c r="A369" s="4" t="s">
        <v>87</v>
      </c>
      <c r="B369" s="4" t="s">
        <v>88</v>
      </c>
      <c r="C369" s="4" t="s">
        <v>11</v>
      </c>
      <c r="D369" s="4" t="s">
        <v>17</v>
      </c>
      <c r="E369" s="4" t="s">
        <v>691</v>
      </c>
      <c r="F369" s="4" t="s">
        <v>692</v>
      </c>
      <c r="G369" s="7">
        <v>44473</v>
      </c>
      <c r="H369" s="5">
        <v>80</v>
      </c>
      <c r="I369" s="4" t="s">
        <v>81</v>
      </c>
      <c r="J369" s="16">
        <v>90905.01</v>
      </c>
      <c r="K369" s="16"/>
      <c r="L369" s="16">
        <f>AtlasReport_1_Table_1[[#This Row],[Amount in default currency]]-AtlasReport_1_Table_1[[#This Row],[Cost Amount]]</f>
        <v>90905.01</v>
      </c>
    </row>
    <row r="370" spans="1:12">
      <c r="A370" s="4" t="s">
        <v>87</v>
      </c>
      <c r="B370" s="4" t="s">
        <v>88</v>
      </c>
      <c r="C370" s="4" t="s">
        <v>10</v>
      </c>
      <c r="D370" s="4" t="s">
        <v>17</v>
      </c>
      <c r="E370" s="4" t="s">
        <v>691</v>
      </c>
      <c r="F370" s="4" t="s">
        <v>693</v>
      </c>
      <c r="G370" s="7">
        <v>44473</v>
      </c>
      <c r="H370" s="5">
        <v>100</v>
      </c>
      <c r="I370" s="4" t="s">
        <v>81</v>
      </c>
      <c r="J370" s="16">
        <v>228433.97</v>
      </c>
      <c r="K370" s="16"/>
      <c r="L370" s="16">
        <f>AtlasReport_1_Table_1[[#This Row],[Amount in default currency]]-AtlasReport_1_Table_1[[#This Row],[Cost Amount]]</f>
        <v>228433.97</v>
      </c>
    </row>
    <row r="371" spans="1:12">
      <c r="A371" s="4" t="s">
        <v>87</v>
      </c>
      <c r="B371" s="4" t="s">
        <v>88</v>
      </c>
      <c r="C371" s="4" t="s">
        <v>10</v>
      </c>
      <c r="D371" s="4" t="s">
        <v>17</v>
      </c>
      <c r="E371" s="4" t="s">
        <v>694</v>
      </c>
      <c r="F371" s="4" t="s">
        <v>695</v>
      </c>
      <c r="G371" s="7">
        <v>44473</v>
      </c>
      <c r="H371" s="5">
        <v>120</v>
      </c>
      <c r="I371" s="4" t="s">
        <v>81</v>
      </c>
      <c r="J371" s="16">
        <v>274120.77</v>
      </c>
      <c r="K371" s="16"/>
      <c r="L371" s="16">
        <f>AtlasReport_1_Table_1[[#This Row],[Amount in default currency]]-AtlasReport_1_Table_1[[#This Row],[Cost Amount]]</f>
        <v>274120.77</v>
      </c>
    </row>
    <row r="372" spans="1:12">
      <c r="A372" s="4" t="s">
        <v>468</v>
      </c>
      <c r="B372" s="4" t="s">
        <v>469</v>
      </c>
      <c r="C372" s="4" t="s">
        <v>10</v>
      </c>
      <c r="D372" s="4" t="s">
        <v>17</v>
      </c>
      <c r="E372" s="4" t="s">
        <v>696</v>
      </c>
      <c r="F372" s="4" t="s">
        <v>697</v>
      </c>
      <c r="G372" s="7">
        <v>44480</v>
      </c>
      <c r="H372" s="5">
        <v>18</v>
      </c>
      <c r="I372" s="4" t="s">
        <v>81</v>
      </c>
      <c r="J372" s="16">
        <v>83774.16</v>
      </c>
      <c r="K372" s="16"/>
      <c r="L372" s="16">
        <f>AtlasReport_1_Table_1[[#This Row],[Amount in default currency]]-AtlasReport_1_Table_1[[#This Row],[Cost Amount]]</f>
        <v>83774.16</v>
      </c>
    </row>
    <row r="373" spans="1:12">
      <c r="A373" s="4" t="s">
        <v>143</v>
      </c>
      <c r="B373" s="4" t="s">
        <v>144</v>
      </c>
      <c r="C373" s="4" t="s">
        <v>105</v>
      </c>
      <c r="D373" s="4" t="s">
        <v>106</v>
      </c>
      <c r="E373" s="4" t="s">
        <v>698</v>
      </c>
      <c r="F373" s="4" t="s">
        <v>699</v>
      </c>
      <c r="G373" s="7">
        <v>44475</v>
      </c>
      <c r="H373" s="5">
        <v>-1</v>
      </c>
      <c r="I373" s="4" t="s">
        <v>26</v>
      </c>
      <c r="J373" s="16">
        <v>-22425</v>
      </c>
      <c r="K373" s="16"/>
      <c r="L373" s="16">
        <f>AtlasReport_1_Table_1[[#This Row],[Amount in default currency]]-AtlasReport_1_Table_1[[#This Row],[Cost Amount]]</f>
        <v>-22425</v>
      </c>
    </row>
    <row r="374" spans="1:12">
      <c r="A374" s="4" t="s">
        <v>143</v>
      </c>
      <c r="B374" s="4" t="s">
        <v>144</v>
      </c>
      <c r="C374" s="4" t="s">
        <v>105</v>
      </c>
      <c r="D374" s="4" t="s">
        <v>106</v>
      </c>
      <c r="E374" s="4" t="s">
        <v>700</v>
      </c>
      <c r="F374" s="4" t="s">
        <v>701</v>
      </c>
      <c r="G374" s="7">
        <v>44475</v>
      </c>
      <c r="H374" s="5">
        <v>1</v>
      </c>
      <c r="I374" s="4" t="s">
        <v>27</v>
      </c>
      <c r="J374" s="16">
        <v>17725</v>
      </c>
      <c r="K374" s="16"/>
      <c r="L374" s="16">
        <f>AtlasReport_1_Table_1[[#This Row],[Amount in default currency]]-AtlasReport_1_Table_1[[#This Row],[Cost Amount]]</f>
        <v>17725</v>
      </c>
    </row>
    <row r="375" spans="1:12">
      <c r="A375" s="4" t="s">
        <v>667</v>
      </c>
      <c r="B375" s="4" t="s">
        <v>668</v>
      </c>
      <c r="C375" s="4" t="s">
        <v>92</v>
      </c>
      <c r="D375" s="4" t="s">
        <v>93</v>
      </c>
      <c r="E375" s="4" t="s">
        <v>702</v>
      </c>
      <c r="F375" s="4" t="s">
        <v>703</v>
      </c>
      <c r="G375" s="7">
        <v>44480</v>
      </c>
      <c r="H375" s="5">
        <v>-13</v>
      </c>
      <c r="I375" s="4" t="s">
        <v>81</v>
      </c>
      <c r="J375" s="16">
        <v>-34671</v>
      </c>
      <c r="K375" s="16"/>
      <c r="L375" s="16">
        <f>AtlasReport_1_Table_1[[#This Row],[Amount in default currency]]-AtlasReport_1_Table_1[[#This Row],[Cost Amount]]</f>
        <v>-34671</v>
      </c>
    </row>
    <row r="376" spans="1:12">
      <c r="A376" s="4" t="s">
        <v>667</v>
      </c>
      <c r="B376" s="4" t="s">
        <v>668</v>
      </c>
      <c r="C376" s="4" t="s">
        <v>199</v>
      </c>
      <c r="D376" s="4" t="s">
        <v>93</v>
      </c>
      <c r="E376" s="4" t="s">
        <v>702</v>
      </c>
      <c r="F376" s="4" t="s">
        <v>704</v>
      </c>
      <c r="G376" s="7">
        <v>44480</v>
      </c>
      <c r="H376" s="5">
        <v>-13</v>
      </c>
      <c r="I376" s="4" t="s">
        <v>81</v>
      </c>
      <c r="J376" s="16">
        <v>-53625</v>
      </c>
      <c r="K376" s="16"/>
      <c r="L376" s="16">
        <f>AtlasReport_1_Table_1[[#This Row],[Amount in default currency]]-AtlasReport_1_Table_1[[#This Row],[Cost Amount]]</f>
        <v>-53625</v>
      </c>
    </row>
    <row r="377" spans="1:12">
      <c r="A377" s="4" t="s">
        <v>667</v>
      </c>
      <c r="B377" s="4" t="s">
        <v>668</v>
      </c>
      <c r="C377" s="4" t="s">
        <v>95</v>
      </c>
      <c r="D377" s="4" t="s">
        <v>93</v>
      </c>
      <c r="E377" s="4" t="s">
        <v>702</v>
      </c>
      <c r="F377" s="4" t="s">
        <v>705</v>
      </c>
      <c r="G377" s="7">
        <v>44480</v>
      </c>
      <c r="H377" s="5">
        <v>-25</v>
      </c>
      <c r="I377" s="4" t="s">
        <v>81</v>
      </c>
      <c r="J377" s="16">
        <v>-134050</v>
      </c>
      <c r="K377" s="16"/>
      <c r="L377" s="16">
        <f>AtlasReport_1_Table_1[[#This Row],[Amount in default currency]]-AtlasReport_1_Table_1[[#This Row],[Cost Amount]]</f>
        <v>-134050</v>
      </c>
    </row>
    <row r="378" spans="1:12">
      <c r="A378" s="4" t="s">
        <v>667</v>
      </c>
      <c r="B378" s="4" t="s">
        <v>668</v>
      </c>
      <c r="C378" s="4" t="s">
        <v>105</v>
      </c>
      <c r="D378" s="4" t="s">
        <v>106</v>
      </c>
      <c r="E378" s="4" t="s">
        <v>702</v>
      </c>
      <c r="F378" s="4" t="s">
        <v>706</v>
      </c>
      <c r="G378" s="7">
        <v>44480</v>
      </c>
      <c r="H378" s="5">
        <v>-1</v>
      </c>
      <c r="I378" s="4" t="s">
        <v>26</v>
      </c>
      <c r="J378" s="16">
        <v>-33555</v>
      </c>
      <c r="K378" s="16"/>
      <c r="L378" s="16">
        <f>AtlasReport_1_Table_1[[#This Row],[Amount in default currency]]-AtlasReport_1_Table_1[[#This Row],[Cost Amount]]</f>
        <v>-33555</v>
      </c>
    </row>
    <row r="379" spans="1:12">
      <c r="A379" s="4" t="s">
        <v>667</v>
      </c>
      <c r="B379" s="4" t="s">
        <v>668</v>
      </c>
      <c r="C379" s="4" t="s">
        <v>92</v>
      </c>
      <c r="D379" s="4" t="s">
        <v>93</v>
      </c>
      <c r="E379" s="4" t="s">
        <v>707</v>
      </c>
      <c r="F379" s="4" t="s">
        <v>708</v>
      </c>
      <c r="G379" s="7">
        <v>44480</v>
      </c>
      <c r="H379" s="5">
        <v>13</v>
      </c>
      <c r="I379" s="4" t="s">
        <v>81</v>
      </c>
      <c r="J379" s="16">
        <v>29633.5</v>
      </c>
      <c r="K379" s="16"/>
      <c r="L379" s="16">
        <f>AtlasReport_1_Table_1[[#This Row],[Amount in default currency]]-AtlasReport_1_Table_1[[#This Row],[Cost Amount]]</f>
        <v>29633.5</v>
      </c>
    </row>
    <row r="380" spans="1:12">
      <c r="A380" s="4" t="s">
        <v>667</v>
      </c>
      <c r="B380" s="4" t="s">
        <v>668</v>
      </c>
      <c r="C380" s="4" t="s">
        <v>199</v>
      </c>
      <c r="D380" s="4" t="s">
        <v>93</v>
      </c>
      <c r="E380" s="4" t="s">
        <v>707</v>
      </c>
      <c r="F380" s="4" t="s">
        <v>709</v>
      </c>
      <c r="G380" s="7">
        <v>44480</v>
      </c>
      <c r="H380" s="5">
        <v>13</v>
      </c>
      <c r="I380" s="4" t="s">
        <v>81</v>
      </c>
      <c r="J380" s="16">
        <v>45825</v>
      </c>
      <c r="K380" s="16"/>
      <c r="L380" s="16">
        <f>AtlasReport_1_Table_1[[#This Row],[Amount in default currency]]-AtlasReport_1_Table_1[[#This Row],[Cost Amount]]</f>
        <v>45825</v>
      </c>
    </row>
    <row r="381" spans="1:12">
      <c r="A381" s="4" t="s">
        <v>667</v>
      </c>
      <c r="B381" s="4" t="s">
        <v>668</v>
      </c>
      <c r="C381" s="4" t="s">
        <v>95</v>
      </c>
      <c r="D381" s="4" t="s">
        <v>93</v>
      </c>
      <c r="E381" s="4" t="s">
        <v>707</v>
      </c>
      <c r="F381" s="4" t="s">
        <v>710</v>
      </c>
      <c r="G381" s="7">
        <v>44480</v>
      </c>
      <c r="H381" s="5">
        <v>25</v>
      </c>
      <c r="I381" s="4" t="s">
        <v>81</v>
      </c>
      <c r="J381" s="16">
        <v>114562.5</v>
      </c>
      <c r="K381" s="16"/>
      <c r="L381" s="16">
        <f>AtlasReport_1_Table_1[[#This Row],[Amount in default currency]]-AtlasReport_1_Table_1[[#This Row],[Cost Amount]]</f>
        <v>114562.5</v>
      </c>
    </row>
    <row r="382" spans="1:12">
      <c r="A382" s="4" t="s">
        <v>667</v>
      </c>
      <c r="B382" s="4" t="s">
        <v>668</v>
      </c>
      <c r="C382" s="4" t="s">
        <v>105</v>
      </c>
      <c r="D382" s="4" t="s">
        <v>106</v>
      </c>
      <c r="E382" s="4" t="s">
        <v>707</v>
      </c>
      <c r="F382" s="4" t="s">
        <v>711</v>
      </c>
      <c r="G382" s="7">
        <v>44480</v>
      </c>
      <c r="H382" s="5">
        <v>2</v>
      </c>
      <c r="I382" s="4" t="s">
        <v>26</v>
      </c>
      <c r="J382" s="16">
        <v>33533</v>
      </c>
      <c r="K382" s="16"/>
      <c r="L382" s="16">
        <f>AtlasReport_1_Table_1[[#This Row],[Amount in default currency]]-AtlasReport_1_Table_1[[#This Row],[Cost Amount]]</f>
        <v>33533</v>
      </c>
    </row>
    <row r="383" spans="1:12">
      <c r="A383" s="4" t="s">
        <v>143</v>
      </c>
      <c r="B383" s="4" t="s">
        <v>144</v>
      </c>
      <c r="C383" s="4" t="s">
        <v>92</v>
      </c>
      <c r="D383" s="4" t="s">
        <v>93</v>
      </c>
      <c r="E383" s="4" t="s">
        <v>712</v>
      </c>
      <c r="F383" s="4" t="s">
        <v>713</v>
      </c>
      <c r="G383" s="7">
        <v>44518</v>
      </c>
      <c r="H383" s="5">
        <v>2</v>
      </c>
      <c r="I383" s="4" t="s">
        <v>81</v>
      </c>
      <c r="J383" s="16">
        <v>5820</v>
      </c>
      <c r="K383" s="16"/>
      <c r="L383" s="16">
        <f>AtlasReport_1_Table_1[[#This Row],[Amount in default currency]]-AtlasReport_1_Table_1[[#This Row],[Cost Amount]]</f>
        <v>5820</v>
      </c>
    </row>
    <row r="384" spans="1:12">
      <c r="A384" s="4" t="s">
        <v>143</v>
      </c>
      <c r="B384" s="4" t="s">
        <v>144</v>
      </c>
      <c r="C384" s="4" t="s">
        <v>199</v>
      </c>
      <c r="D384" s="4" t="s">
        <v>93</v>
      </c>
      <c r="E384" s="4" t="s">
        <v>712</v>
      </c>
      <c r="F384" s="4" t="s">
        <v>714</v>
      </c>
      <c r="G384" s="7">
        <v>44518</v>
      </c>
      <c r="H384" s="5">
        <v>8</v>
      </c>
      <c r="I384" s="4" t="s">
        <v>81</v>
      </c>
      <c r="J384" s="16">
        <v>36000</v>
      </c>
      <c r="K384" s="16"/>
      <c r="L384" s="16">
        <f>AtlasReport_1_Table_1[[#This Row],[Amount in default currency]]-AtlasReport_1_Table_1[[#This Row],[Cost Amount]]</f>
        <v>36000</v>
      </c>
    </row>
    <row r="385" spans="1:12">
      <c r="A385" s="4" t="s">
        <v>143</v>
      </c>
      <c r="B385" s="4" t="s">
        <v>144</v>
      </c>
      <c r="C385" s="4" t="s">
        <v>105</v>
      </c>
      <c r="D385" s="4" t="s">
        <v>106</v>
      </c>
      <c r="E385" s="4" t="s">
        <v>712</v>
      </c>
      <c r="F385" s="4" t="s">
        <v>715</v>
      </c>
      <c r="G385" s="7">
        <v>44518</v>
      </c>
      <c r="H385" s="5">
        <v>1</v>
      </c>
      <c r="I385" s="4" t="s">
        <v>26</v>
      </c>
      <c r="J385" s="16">
        <v>9625</v>
      </c>
      <c r="K385" s="16"/>
      <c r="L385" s="16">
        <f>AtlasReport_1_Table_1[[#This Row],[Amount in default currency]]-AtlasReport_1_Table_1[[#This Row],[Cost Amount]]</f>
        <v>9625</v>
      </c>
    </row>
    <row r="386" spans="1:12">
      <c r="A386" s="4" t="s">
        <v>143</v>
      </c>
      <c r="B386" s="4" t="s">
        <v>144</v>
      </c>
      <c r="C386" s="4" t="s">
        <v>199</v>
      </c>
      <c r="D386" s="4" t="s">
        <v>93</v>
      </c>
      <c r="E386" s="4" t="s">
        <v>716</v>
      </c>
      <c r="F386" s="4" t="s">
        <v>717</v>
      </c>
      <c r="G386" s="7">
        <v>44518</v>
      </c>
      <c r="H386" s="5">
        <v>6</v>
      </c>
      <c r="I386" s="4" t="s">
        <v>81</v>
      </c>
      <c r="J386" s="16">
        <v>26550</v>
      </c>
      <c r="K386" s="16"/>
      <c r="L386" s="16">
        <f>AtlasReport_1_Table_1[[#This Row],[Amount in default currency]]-AtlasReport_1_Table_1[[#This Row],[Cost Amount]]</f>
        <v>26550</v>
      </c>
    </row>
    <row r="387" spans="1:12">
      <c r="A387" s="4" t="s">
        <v>143</v>
      </c>
      <c r="B387" s="4" t="s">
        <v>144</v>
      </c>
      <c r="C387" s="4" t="s">
        <v>95</v>
      </c>
      <c r="D387" s="4" t="s">
        <v>93</v>
      </c>
      <c r="E387" s="4" t="s">
        <v>716</v>
      </c>
      <c r="F387" s="4" t="s">
        <v>718</v>
      </c>
      <c r="G387" s="7">
        <v>44518</v>
      </c>
      <c r="H387" s="5">
        <v>8</v>
      </c>
      <c r="I387" s="4" t="s">
        <v>81</v>
      </c>
      <c r="J387" s="16">
        <v>46020</v>
      </c>
      <c r="K387" s="16"/>
      <c r="L387" s="16">
        <f>AtlasReport_1_Table_1[[#This Row],[Amount in default currency]]-AtlasReport_1_Table_1[[#This Row],[Cost Amount]]</f>
        <v>46020</v>
      </c>
    </row>
    <row r="388" spans="1:12">
      <c r="A388" s="4" t="s">
        <v>143</v>
      </c>
      <c r="B388" s="4" t="s">
        <v>144</v>
      </c>
      <c r="C388" s="4" t="s">
        <v>105</v>
      </c>
      <c r="D388" s="4" t="s">
        <v>106</v>
      </c>
      <c r="E388" s="4" t="s">
        <v>716</v>
      </c>
      <c r="F388" s="4" t="s">
        <v>719</v>
      </c>
      <c r="G388" s="7">
        <v>44518</v>
      </c>
      <c r="H388" s="5">
        <v>1</v>
      </c>
      <c r="I388" s="4" t="s">
        <v>26</v>
      </c>
      <c r="J388" s="16">
        <v>18725</v>
      </c>
      <c r="K388" s="16"/>
      <c r="L388" s="16">
        <f>AtlasReport_1_Table_1[[#This Row],[Amount in default currency]]-AtlasReport_1_Table_1[[#This Row],[Cost Amount]]</f>
        <v>18725</v>
      </c>
    </row>
    <row r="389" spans="1:12">
      <c r="A389" s="4" t="s">
        <v>82</v>
      </c>
      <c r="B389" s="4" t="s">
        <v>83</v>
      </c>
      <c r="C389" s="4" t="s">
        <v>11</v>
      </c>
      <c r="D389" s="4" t="s">
        <v>17</v>
      </c>
      <c r="E389" s="4" t="s">
        <v>720</v>
      </c>
      <c r="F389" s="4" t="s">
        <v>721</v>
      </c>
      <c r="G389" s="7">
        <v>44482</v>
      </c>
      <c r="H389" s="5">
        <v>-40</v>
      </c>
      <c r="I389" s="4" t="s">
        <v>81</v>
      </c>
      <c r="J389" s="16">
        <v>-34920</v>
      </c>
      <c r="K389" s="16"/>
      <c r="L389" s="16">
        <f>AtlasReport_1_Table_1[[#This Row],[Amount in default currency]]-AtlasReport_1_Table_1[[#This Row],[Cost Amount]]</f>
        <v>-34920</v>
      </c>
    </row>
    <row r="390" spans="1:12">
      <c r="A390" s="4" t="s">
        <v>82</v>
      </c>
      <c r="B390" s="4" t="s">
        <v>83</v>
      </c>
      <c r="C390" s="4" t="s">
        <v>68</v>
      </c>
      <c r="D390" s="4" t="s">
        <v>17</v>
      </c>
      <c r="E390" s="4" t="s">
        <v>720</v>
      </c>
      <c r="F390" s="4" t="s">
        <v>722</v>
      </c>
      <c r="G390" s="7">
        <v>44482</v>
      </c>
      <c r="H390" s="5">
        <v>-80</v>
      </c>
      <c r="I390" s="4" t="s">
        <v>81</v>
      </c>
      <c r="J390" s="16">
        <v>-108000</v>
      </c>
      <c r="K390" s="16"/>
      <c r="L390" s="16">
        <f>AtlasReport_1_Table_1[[#This Row],[Amount in default currency]]-AtlasReport_1_Table_1[[#This Row],[Cost Amount]]</f>
        <v>-108000</v>
      </c>
    </row>
    <row r="391" spans="1:12">
      <c r="A391" s="4" t="s">
        <v>82</v>
      </c>
      <c r="B391" s="4" t="s">
        <v>83</v>
      </c>
      <c r="C391" s="4" t="s">
        <v>10</v>
      </c>
      <c r="D391" s="4" t="s">
        <v>17</v>
      </c>
      <c r="E391" s="4" t="s">
        <v>720</v>
      </c>
      <c r="F391" s="4" t="s">
        <v>723</v>
      </c>
      <c r="G391" s="7">
        <v>44482</v>
      </c>
      <c r="H391" s="5">
        <v>-105</v>
      </c>
      <c r="I391" s="4" t="s">
        <v>81</v>
      </c>
      <c r="J391" s="16">
        <v>-184275</v>
      </c>
      <c r="K391" s="16"/>
      <c r="L391" s="16">
        <f>AtlasReport_1_Table_1[[#This Row],[Amount in default currency]]-AtlasReport_1_Table_1[[#This Row],[Cost Amount]]</f>
        <v>-184275</v>
      </c>
    </row>
    <row r="392" spans="1:12">
      <c r="A392" s="4" t="s">
        <v>82</v>
      </c>
      <c r="B392" s="4" t="s">
        <v>83</v>
      </c>
      <c r="C392" s="4" t="s">
        <v>92</v>
      </c>
      <c r="D392" s="4" t="s">
        <v>93</v>
      </c>
      <c r="E392" s="4" t="s">
        <v>720</v>
      </c>
      <c r="F392" s="4" t="s">
        <v>724</v>
      </c>
      <c r="G392" s="7">
        <v>44482</v>
      </c>
      <c r="H392" s="5">
        <v>-27</v>
      </c>
      <c r="I392" s="4" t="s">
        <v>81</v>
      </c>
      <c r="J392" s="16">
        <v>-62856</v>
      </c>
      <c r="K392" s="16"/>
      <c r="L392" s="16">
        <f>AtlasReport_1_Table_1[[#This Row],[Amount in default currency]]-AtlasReport_1_Table_1[[#This Row],[Cost Amount]]</f>
        <v>-62856</v>
      </c>
    </row>
    <row r="393" spans="1:12">
      <c r="A393" s="4" t="s">
        <v>82</v>
      </c>
      <c r="B393" s="4" t="s">
        <v>83</v>
      </c>
      <c r="C393" s="4" t="s">
        <v>95</v>
      </c>
      <c r="D393" s="4" t="s">
        <v>93</v>
      </c>
      <c r="E393" s="4" t="s">
        <v>720</v>
      </c>
      <c r="F393" s="4" t="s">
        <v>725</v>
      </c>
      <c r="G393" s="7">
        <v>44482</v>
      </c>
      <c r="H393" s="5">
        <v>-54</v>
      </c>
      <c r="I393" s="4" t="s">
        <v>81</v>
      </c>
      <c r="J393" s="16">
        <v>-252720</v>
      </c>
      <c r="K393" s="16"/>
      <c r="L393" s="16">
        <f>AtlasReport_1_Table_1[[#This Row],[Amount in default currency]]-AtlasReport_1_Table_1[[#This Row],[Cost Amount]]</f>
        <v>-252720</v>
      </c>
    </row>
    <row r="394" spans="1:12">
      <c r="A394" s="4" t="s">
        <v>82</v>
      </c>
      <c r="B394" s="4" t="s">
        <v>83</v>
      </c>
      <c r="C394" s="4" t="s">
        <v>105</v>
      </c>
      <c r="D394" s="4" t="s">
        <v>106</v>
      </c>
      <c r="E394" s="4" t="s">
        <v>720</v>
      </c>
      <c r="F394" s="4" t="s">
        <v>726</v>
      </c>
      <c r="G394" s="7">
        <v>44482</v>
      </c>
      <c r="H394" s="5">
        <v>-2</v>
      </c>
      <c r="I394" s="4" t="s">
        <v>26</v>
      </c>
      <c r="J394" s="16">
        <v>-110152</v>
      </c>
      <c r="K394" s="16"/>
      <c r="L394" s="16">
        <f>AtlasReport_1_Table_1[[#This Row],[Amount in default currency]]-AtlasReport_1_Table_1[[#This Row],[Cost Amount]]</f>
        <v>-110152</v>
      </c>
    </row>
    <row r="395" spans="1:12">
      <c r="A395" s="4" t="s">
        <v>82</v>
      </c>
      <c r="B395" s="4" t="s">
        <v>83</v>
      </c>
      <c r="C395" s="4" t="s">
        <v>11</v>
      </c>
      <c r="D395" s="4" t="s">
        <v>17</v>
      </c>
      <c r="E395" s="4" t="s">
        <v>727</v>
      </c>
      <c r="F395" s="4" t="s">
        <v>728</v>
      </c>
      <c r="G395" s="7">
        <v>44482</v>
      </c>
      <c r="H395" s="5">
        <v>40</v>
      </c>
      <c r="I395" s="4" t="s">
        <v>81</v>
      </c>
      <c r="J395" s="16">
        <v>31696.799999999999</v>
      </c>
      <c r="K395" s="16"/>
      <c r="L395" s="16">
        <f>AtlasReport_1_Table_1[[#This Row],[Amount in default currency]]-AtlasReport_1_Table_1[[#This Row],[Cost Amount]]</f>
        <v>31696.799999999999</v>
      </c>
    </row>
    <row r="396" spans="1:12">
      <c r="A396" s="4" t="s">
        <v>82</v>
      </c>
      <c r="B396" s="4" t="s">
        <v>83</v>
      </c>
      <c r="C396" s="4" t="s">
        <v>68</v>
      </c>
      <c r="D396" s="4" t="s">
        <v>17</v>
      </c>
      <c r="E396" s="4" t="s">
        <v>727</v>
      </c>
      <c r="F396" s="4" t="s">
        <v>729</v>
      </c>
      <c r="G396" s="7">
        <v>44482</v>
      </c>
      <c r="H396" s="5">
        <v>80</v>
      </c>
      <c r="I396" s="4" t="s">
        <v>81</v>
      </c>
      <c r="J396" s="16">
        <v>98033.600000000006</v>
      </c>
      <c r="K396" s="16"/>
      <c r="L396" s="16">
        <f>AtlasReport_1_Table_1[[#This Row],[Amount in default currency]]-AtlasReport_1_Table_1[[#This Row],[Cost Amount]]</f>
        <v>98033.600000000006</v>
      </c>
    </row>
    <row r="397" spans="1:12">
      <c r="A397" s="4" t="s">
        <v>82</v>
      </c>
      <c r="B397" s="4" t="s">
        <v>83</v>
      </c>
      <c r="C397" s="4" t="s">
        <v>10</v>
      </c>
      <c r="D397" s="4" t="s">
        <v>17</v>
      </c>
      <c r="E397" s="4" t="s">
        <v>727</v>
      </c>
      <c r="F397" s="4" t="s">
        <v>730</v>
      </c>
      <c r="G397" s="7">
        <v>44482</v>
      </c>
      <c r="H397" s="5">
        <v>105</v>
      </c>
      <c r="I397" s="4" t="s">
        <v>81</v>
      </c>
      <c r="J397" s="16">
        <v>167269.20000000001</v>
      </c>
      <c r="K397" s="16"/>
      <c r="L397" s="16">
        <f>AtlasReport_1_Table_1[[#This Row],[Amount in default currency]]-AtlasReport_1_Table_1[[#This Row],[Cost Amount]]</f>
        <v>167269.20000000001</v>
      </c>
    </row>
    <row r="398" spans="1:12">
      <c r="A398" s="4" t="s">
        <v>82</v>
      </c>
      <c r="B398" s="4" t="s">
        <v>83</v>
      </c>
      <c r="C398" s="4" t="s">
        <v>92</v>
      </c>
      <c r="D398" s="4" t="s">
        <v>93</v>
      </c>
      <c r="E398" s="4" t="s">
        <v>727</v>
      </c>
      <c r="F398" s="4" t="s">
        <v>731</v>
      </c>
      <c r="G398" s="7">
        <v>44482</v>
      </c>
      <c r="H398" s="5">
        <v>27</v>
      </c>
      <c r="I398" s="4" t="s">
        <v>81</v>
      </c>
      <c r="J398" s="16">
        <v>57363.39</v>
      </c>
      <c r="K398" s="16"/>
      <c r="L398" s="16">
        <f>AtlasReport_1_Table_1[[#This Row],[Amount in default currency]]-AtlasReport_1_Table_1[[#This Row],[Cost Amount]]</f>
        <v>57363.39</v>
      </c>
    </row>
    <row r="399" spans="1:12">
      <c r="A399" s="4" t="s">
        <v>82</v>
      </c>
      <c r="B399" s="4" t="s">
        <v>83</v>
      </c>
      <c r="C399" s="4" t="s">
        <v>95</v>
      </c>
      <c r="D399" s="4" t="s">
        <v>93</v>
      </c>
      <c r="E399" s="4" t="s">
        <v>727</v>
      </c>
      <c r="F399" s="4" t="s">
        <v>732</v>
      </c>
      <c r="G399" s="7">
        <v>44482</v>
      </c>
      <c r="H399" s="5">
        <v>54</v>
      </c>
      <c r="I399" s="4" t="s">
        <v>81</v>
      </c>
      <c r="J399" s="16">
        <v>230636.7</v>
      </c>
      <c r="K399" s="16"/>
      <c r="L399" s="16">
        <f>AtlasReport_1_Table_1[[#This Row],[Amount in default currency]]-AtlasReport_1_Table_1[[#This Row],[Cost Amount]]</f>
        <v>230636.7</v>
      </c>
    </row>
    <row r="400" spans="1:12">
      <c r="A400" s="4" t="s">
        <v>82</v>
      </c>
      <c r="B400" s="4" t="s">
        <v>83</v>
      </c>
      <c r="C400" s="4" t="s">
        <v>105</v>
      </c>
      <c r="D400" s="4" t="s">
        <v>106</v>
      </c>
      <c r="E400" s="4" t="s">
        <v>727</v>
      </c>
      <c r="F400" s="4" t="s">
        <v>733</v>
      </c>
      <c r="G400" s="7">
        <v>44482</v>
      </c>
      <c r="H400" s="5">
        <v>2</v>
      </c>
      <c r="I400" s="4" t="s">
        <v>26</v>
      </c>
      <c r="J400" s="16">
        <v>109300</v>
      </c>
      <c r="K400" s="16"/>
      <c r="L400" s="16">
        <f>AtlasReport_1_Table_1[[#This Row],[Amount in default currency]]-AtlasReport_1_Table_1[[#This Row],[Cost Amount]]</f>
        <v>109300</v>
      </c>
    </row>
    <row r="401" spans="1:12">
      <c r="A401" s="4" t="s">
        <v>680</v>
      </c>
      <c r="B401" s="4" t="s">
        <v>681</v>
      </c>
      <c r="C401" s="4" t="s">
        <v>10</v>
      </c>
      <c r="D401" s="4" t="s">
        <v>17</v>
      </c>
      <c r="E401" s="4" t="s">
        <v>734</v>
      </c>
      <c r="F401" s="4" t="s">
        <v>735</v>
      </c>
      <c r="G401" s="7">
        <v>44482</v>
      </c>
      <c r="H401" s="5">
        <v>-8</v>
      </c>
      <c r="I401" s="4" t="s">
        <v>81</v>
      </c>
      <c r="J401" s="16">
        <v>-19500</v>
      </c>
      <c r="K401" s="16"/>
      <c r="L401" s="16">
        <f>AtlasReport_1_Table_1[[#This Row],[Amount in default currency]]-AtlasReport_1_Table_1[[#This Row],[Cost Amount]]</f>
        <v>-19500</v>
      </c>
    </row>
    <row r="402" spans="1:12">
      <c r="A402" s="4" t="s">
        <v>680</v>
      </c>
      <c r="B402" s="4" t="s">
        <v>681</v>
      </c>
      <c r="C402" s="4" t="s">
        <v>68</v>
      </c>
      <c r="D402" s="4" t="s">
        <v>17</v>
      </c>
      <c r="E402" s="4" t="s">
        <v>734</v>
      </c>
      <c r="F402" s="4" t="s">
        <v>736</v>
      </c>
      <c r="G402" s="7">
        <v>44482</v>
      </c>
      <c r="H402" s="5">
        <v>-23</v>
      </c>
      <c r="I402" s="4" t="s">
        <v>81</v>
      </c>
      <c r="J402" s="16">
        <v>-43125</v>
      </c>
      <c r="K402" s="16"/>
      <c r="L402" s="16">
        <f>AtlasReport_1_Table_1[[#This Row],[Amount in default currency]]-AtlasReport_1_Table_1[[#This Row],[Cost Amount]]</f>
        <v>-43125</v>
      </c>
    </row>
    <row r="403" spans="1:12">
      <c r="A403" s="4" t="s">
        <v>680</v>
      </c>
      <c r="B403" s="4" t="s">
        <v>681</v>
      </c>
      <c r="C403" s="4" t="s">
        <v>11</v>
      </c>
      <c r="D403" s="4" t="s">
        <v>17</v>
      </c>
      <c r="E403" s="4" t="s">
        <v>734</v>
      </c>
      <c r="F403" s="4" t="s">
        <v>737</v>
      </c>
      <c r="G403" s="7">
        <v>44482</v>
      </c>
      <c r="H403" s="5">
        <v>-36</v>
      </c>
      <c r="I403" s="4" t="s">
        <v>81</v>
      </c>
      <c r="J403" s="16">
        <v>-43650</v>
      </c>
      <c r="K403" s="16"/>
      <c r="L403" s="16">
        <f>AtlasReport_1_Table_1[[#This Row],[Amount in default currency]]-AtlasReport_1_Table_1[[#This Row],[Cost Amount]]</f>
        <v>-43650</v>
      </c>
    </row>
    <row r="404" spans="1:12">
      <c r="A404" s="4" t="s">
        <v>680</v>
      </c>
      <c r="B404" s="4" t="s">
        <v>681</v>
      </c>
      <c r="C404" s="4" t="s">
        <v>10</v>
      </c>
      <c r="D404" s="4" t="s">
        <v>17</v>
      </c>
      <c r="E404" s="4" t="s">
        <v>738</v>
      </c>
      <c r="F404" s="4" t="s">
        <v>739</v>
      </c>
      <c r="G404" s="7">
        <v>44482</v>
      </c>
      <c r="H404" s="5">
        <v>8</v>
      </c>
      <c r="I404" s="4" t="s">
        <v>81</v>
      </c>
      <c r="J404" s="16">
        <v>19500</v>
      </c>
      <c r="K404" s="16"/>
      <c r="L404" s="16">
        <f>AtlasReport_1_Table_1[[#This Row],[Amount in default currency]]-AtlasReport_1_Table_1[[#This Row],[Cost Amount]]</f>
        <v>19500</v>
      </c>
    </row>
    <row r="405" spans="1:12">
      <c r="A405" s="4" t="s">
        <v>680</v>
      </c>
      <c r="B405" s="4" t="s">
        <v>681</v>
      </c>
      <c r="C405" s="4" t="s">
        <v>68</v>
      </c>
      <c r="D405" s="4" t="s">
        <v>17</v>
      </c>
      <c r="E405" s="4" t="s">
        <v>738</v>
      </c>
      <c r="F405" s="4" t="s">
        <v>740</v>
      </c>
      <c r="G405" s="7">
        <v>44482</v>
      </c>
      <c r="H405" s="5">
        <v>24</v>
      </c>
      <c r="I405" s="4" t="s">
        <v>81</v>
      </c>
      <c r="J405" s="16">
        <v>45000</v>
      </c>
      <c r="K405" s="16"/>
      <c r="L405" s="16">
        <f>AtlasReport_1_Table_1[[#This Row],[Amount in default currency]]-AtlasReport_1_Table_1[[#This Row],[Cost Amount]]</f>
        <v>45000</v>
      </c>
    </row>
    <row r="406" spans="1:12">
      <c r="A406" s="4" t="s">
        <v>680</v>
      </c>
      <c r="B406" s="4" t="s">
        <v>681</v>
      </c>
      <c r="C406" s="4" t="s">
        <v>11</v>
      </c>
      <c r="D406" s="4" t="s">
        <v>17</v>
      </c>
      <c r="E406" s="4" t="s">
        <v>738</v>
      </c>
      <c r="F406" s="4" t="s">
        <v>741</v>
      </c>
      <c r="G406" s="7">
        <v>44482</v>
      </c>
      <c r="H406" s="5">
        <v>32</v>
      </c>
      <c r="I406" s="4" t="s">
        <v>81</v>
      </c>
      <c r="J406" s="16">
        <v>38800</v>
      </c>
      <c r="K406" s="16"/>
      <c r="L406" s="16">
        <f>AtlasReport_1_Table_1[[#This Row],[Amount in default currency]]-AtlasReport_1_Table_1[[#This Row],[Cost Amount]]</f>
        <v>38800</v>
      </c>
    </row>
    <row r="407" spans="1:12">
      <c r="A407" s="4" t="s">
        <v>680</v>
      </c>
      <c r="B407" s="4" t="s">
        <v>681</v>
      </c>
      <c r="C407" s="4" t="s">
        <v>105</v>
      </c>
      <c r="D407" s="4" t="s">
        <v>106</v>
      </c>
      <c r="E407" s="4" t="s">
        <v>738</v>
      </c>
      <c r="F407" s="4" t="s">
        <v>742</v>
      </c>
      <c r="G407" s="7">
        <v>44482</v>
      </c>
      <c r="H407" s="5">
        <v>2</v>
      </c>
      <c r="I407" s="4" t="s">
        <v>26</v>
      </c>
      <c r="J407" s="16">
        <v>35650</v>
      </c>
      <c r="K407" s="16"/>
      <c r="L407" s="16">
        <f>AtlasReport_1_Table_1[[#This Row],[Amount in default currency]]-AtlasReport_1_Table_1[[#This Row],[Cost Amount]]</f>
        <v>35650</v>
      </c>
    </row>
    <row r="408" spans="1:12">
      <c r="A408" s="4" t="s">
        <v>667</v>
      </c>
      <c r="B408" s="4" t="s">
        <v>668</v>
      </c>
      <c r="C408" s="4" t="s">
        <v>92</v>
      </c>
      <c r="D408" s="4" t="s">
        <v>93</v>
      </c>
      <c r="E408" s="4" t="s">
        <v>743</v>
      </c>
      <c r="F408" s="4" t="s">
        <v>744</v>
      </c>
      <c r="G408" s="7">
        <v>44519</v>
      </c>
      <c r="H408" s="5">
        <v>9</v>
      </c>
      <c r="I408" s="4" t="s">
        <v>81</v>
      </c>
      <c r="J408" s="16">
        <v>19227.150000000001</v>
      </c>
      <c r="K408" s="16"/>
      <c r="L408" s="16">
        <f>AtlasReport_1_Table_1[[#This Row],[Amount in default currency]]-AtlasReport_1_Table_1[[#This Row],[Cost Amount]]</f>
        <v>19227.150000000001</v>
      </c>
    </row>
    <row r="409" spans="1:12">
      <c r="A409" s="4" t="s">
        <v>667</v>
      </c>
      <c r="B409" s="4" t="s">
        <v>668</v>
      </c>
      <c r="C409" s="4" t="s">
        <v>199</v>
      </c>
      <c r="D409" s="4" t="s">
        <v>93</v>
      </c>
      <c r="E409" s="4" t="s">
        <v>743</v>
      </c>
      <c r="F409" s="4" t="s">
        <v>745</v>
      </c>
      <c r="G409" s="7">
        <v>44519</v>
      </c>
      <c r="H409" s="5">
        <v>9</v>
      </c>
      <c r="I409" s="4" t="s">
        <v>81</v>
      </c>
      <c r="J409" s="16">
        <v>29732.670000000002</v>
      </c>
      <c r="K409" s="16"/>
      <c r="L409" s="16">
        <f>AtlasReport_1_Table_1[[#This Row],[Amount in default currency]]-AtlasReport_1_Table_1[[#This Row],[Cost Amount]]</f>
        <v>29732.670000000002</v>
      </c>
    </row>
    <row r="410" spans="1:12">
      <c r="A410" s="4" t="s">
        <v>667</v>
      </c>
      <c r="B410" s="4" t="s">
        <v>668</v>
      </c>
      <c r="C410" s="4" t="s">
        <v>95</v>
      </c>
      <c r="D410" s="4" t="s">
        <v>93</v>
      </c>
      <c r="E410" s="4" t="s">
        <v>743</v>
      </c>
      <c r="F410" s="4" t="s">
        <v>746</v>
      </c>
      <c r="G410" s="7">
        <v>44519</v>
      </c>
      <c r="H410" s="5">
        <v>144</v>
      </c>
      <c r="I410" s="4" t="s">
        <v>81</v>
      </c>
      <c r="J410" s="16">
        <v>618439.68000000005</v>
      </c>
      <c r="K410" s="16"/>
      <c r="L410" s="16">
        <f>AtlasReport_1_Table_1[[#This Row],[Amount in default currency]]-AtlasReport_1_Table_1[[#This Row],[Cost Amount]]</f>
        <v>618439.68000000005</v>
      </c>
    </row>
    <row r="411" spans="1:12">
      <c r="A411" s="4" t="s">
        <v>667</v>
      </c>
      <c r="B411" s="4" t="s">
        <v>668</v>
      </c>
      <c r="C411" s="4" t="s">
        <v>105</v>
      </c>
      <c r="D411" s="4" t="s">
        <v>106</v>
      </c>
      <c r="E411" s="4" t="s">
        <v>743</v>
      </c>
      <c r="F411" s="4" t="s">
        <v>747</v>
      </c>
      <c r="G411" s="7">
        <v>44519</v>
      </c>
      <c r="H411" s="5">
        <v>1</v>
      </c>
      <c r="I411" s="4" t="s">
        <v>26</v>
      </c>
      <c r="J411" s="16">
        <v>66325</v>
      </c>
      <c r="K411" s="16"/>
      <c r="L411" s="16">
        <f>AtlasReport_1_Table_1[[#This Row],[Amount in default currency]]-AtlasReport_1_Table_1[[#This Row],[Cost Amount]]</f>
        <v>66325</v>
      </c>
    </row>
    <row r="412" spans="1:12">
      <c r="A412" s="4" t="s">
        <v>75</v>
      </c>
      <c r="B412" s="4" t="s">
        <v>76</v>
      </c>
      <c r="C412" s="4" t="s">
        <v>77</v>
      </c>
      <c r="D412" s="4" t="s">
        <v>78</v>
      </c>
      <c r="E412" s="4" t="s">
        <v>748</v>
      </c>
      <c r="F412" s="4" t="s">
        <v>749</v>
      </c>
      <c r="G412" s="7">
        <v>44518</v>
      </c>
      <c r="H412" s="5">
        <v>65</v>
      </c>
      <c r="I412" s="4" t="s">
        <v>81</v>
      </c>
      <c r="J412" s="16">
        <v>133250</v>
      </c>
      <c r="K412" s="16"/>
      <c r="L412" s="16">
        <f>AtlasReport_1_Table_1[[#This Row],[Amount in default currency]]-AtlasReport_1_Table_1[[#This Row],[Cost Amount]]</f>
        <v>133250</v>
      </c>
    </row>
    <row r="413" spans="1:12">
      <c r="A413" s="4" t="s">
        <v>75</v>
      </c>
      <c r="B413" s="4" t="s">
        <v>76</v>
      </c>
      <c r="C413" s="4" t="s">
        <v>105</v>
      </c>
      <c r="D413" s="4" t="s">
        <v>106</v>
      </c>
      <c r="E413" s="4" t="s">
        <v>748</v>
      </c>
      <c r="F413" s="4" t="s">
        <v>750</v>
      </c>
      <c r="G413" s="7">
        <v>44518</v>
      </c>
      <c r="H413" s="5">
        <v>2</v>
      </c>
      <c r="I413" s="4" t="s">
        <v>26</v>
      </c>
      <c r="J413" s="16">
        <v>27450</v>
      </c>
      <c r="K413" s="16"/>
      <c r="L413" s="16">
        <f>AtlasReport_1_Table_1[[#This Row],[Amount in default currency]]-AtlasReport_1_Table_1[[#This Row],[Cost Amount]]</f>
        <v>27450</v>
      </c>
    </row>
    <row r="414" spans="1:12">
      <c r="A414" s="4" t="s">
        <v>143</v>
      </c>
      <c r="B414" s="4" t="s">
        <v>144</v>
      </c>
      <c r="C414" s="4" t="s">
        <v>92</v>
      </c>
      <c r="D414" s="4" t="s">
        <v>93</v>
      </c>
      <c r="E414" s="4" t="s">
        <v>751</v>
      </c>
      <c r="F414" s="4" t="s">
        <v>752</v>
      </c>
      <c r="G414" s="7">
        <v>44498</v>
      </c>
      <c r="H414" s="5">
        <v>20</v>
      </c>
      <c r="I414" s="4" t="s">
        <v>81</v>
      </c>
      <c r="J414" s="16">
        <v>58200</v>
      </c>
      <c r="K414" s="16"/>
      <c r="L414" s="16">
        <f>AtlasReport_1_Table_1[[#This Row],[Amount in default currency]]-AtlasReport_1_Table_1[[#This Row],[Cost Amount]]</f>
        <v>58200</v>
      </c>
    </row>
    <row r="415" spans="1:12">
      <c r="A415" s="4" t="s">
        <v>328</v>
      </c>
      <c r="B415" s="4" t="s">
        <v>329</v>
      </c>
      <c r="C415" s="4" t="s">
        <v>95</v>
      </c>
      <c r="D415" s="4" t="s">
        <v>93</v>
      </c>
      <c r="E415" s="4" t="s">
        <v>753</v>
      </c>
      <c r="F415" s="4" t="s">
        <v>754</v>
      </c>
      <c r="G415" s="7">
        <v>44519</v>
      </c>
      <c r="H415" s="5">
        <v>4</v>
      </c>
      <c r="I415" s="4" t="s">
        <v>81</v>
      </c>
      <c r="J415" s="16">
        <v>18953.84</v>
      </c>
      <c r="K415" s="16"/>
      <c r="L415" s="16">
        <f>AtlasReport_1_Table_1[[#This Row],[Amount in default currency]]-AtlasReport_1_Table_1[[#This Row],[Cost Amount]]</f>
        <v>18953.84</v>
      </c>
    </row>
    <row r="416" spans="1:12">
      <c r="A416" s="4" t="s">
        <v>328</v>
      </c>
      <c r="B416" s="4" t="s">
        <v>329</v>
      </c>
      <c r="C416" s="4" t="s">
        <v>199</v>
      </c>
      <c r="D416" s="4" t="s">
        <v>93</v>
      </c>
      <c r="E416" s="4" t="s">
        <v>753</v>
      </c>
      <c r="F416" s="4" t="s">
        <v>755</v>
      </c>
      <c r="G416" s="7">
        <v>44519</v>
      </c>
      <c r="H416" s="5">
        <v>3</v>
      </c>
      <c r="I416" s="4" t="s">
        <v>81</v>
      </c>
      <c r="J416" s="16">
        <v>10934.91</v>
      </c>
      <c r="K416" s="16"/>
      <c r="L416" s="16">
        <f>AtlasReport_1_Table_1[[#This Row],[Amount in default currency]]-AtlasReport_1_Table_1[[#This Row],[Cost Amount]]</f>
        <v>10934.91</v>
      </c>
    </row>
    <row r="417" spans="1:12">
      <c r="A417" s="4" t="s">
        <v>328</v>
      </c>
      <c r="B417" s="4" t="s">
        <v>329</v>
      </c>
      <c r="C417" s="4" t="s">
        <v>92</v>
      </c>
      <c r="D417" s="4" t="s">
        <v>93</v>
      </c>
      <c r="E417" s="4" t="s">
        <v>753</v>
      </c>
      <c r="F417" s="4" t="s">
        <v>756</v>
      </c>
      <c r="G417" s="7">
        <v>44519</v>
      </c>
      <c r="H417" s="5">
        <v>3</v>
      </c>
      <c r="I417" s="4" t="s">
        <v>81</v>
      </c>
      <c r="J417" s="16">
        <v>7071.24</v>
      </c>
      <c r="K417" s="16"/>
      <c r="L417" s="16">
        <f>AtlasReport_1_Table_1[[#This Row],[Amount in default currency]]-AtlasReport_1_Table_1[[#This Row],[Cost Amount]]</f>
        <v>7071.24</v>
      </c>
    </row>
    <row r="418" spans="1:12">
      <c r="A418" s="4" t="s">
        <v>328</v>
      </c>
      <c r="B418" s="4" t="s">
        <v>329</v>
      </c>
      <c r="C418" s="4" t="s">
        <v>105</v>
      </c>
      <c r="D418" s="4" t="s">
        <v>106</v>
      </c>
      <c r="E418" s="4" t="s">
        <v>753</v>
      </c>
      <c r="F418" s="4" t="s">
        <v>757</v>
      </c>
      <c r="G418" s="7">
        <v>44519</v>
      </c>
      <c r="H418" s="5">
        <v>1</v>
      </c>
      <c r="I418" s="4" t="s">
        <v>26</v>
      </c>
      <c r="J418" s="16">
        <v>10625</v>
      </c>
      <c r="K418" s="16"/>
      <c r="L418" s="16">
        <f>AtlasReport_1_Table_1[[#This Row],[Amount in default currency]]-AtlasReport_1_Table_1[[#This Row],[Cost Amount]]</f>
        <v>10625</v>
      </c>
    </row>
    <row r="419" spans="1:12">
      <c r="A419" s="4" t="s">
        <v>758</v>
      </c>
      <c r="B419" s="4" t="s">
        <v>759</v>
      </c>
      <c r="C419" s="4" t="s">
        <v>68</v>
      </c>
      <c r="D419" s="4" t="s">
        <v>17</v>
      </c>
      <c r="E419" s="4" t="s">
        <v>760</v>
      </c>
      <c r="F419" s="4" t="s">
        <v>761</v>
      </c>
      <c r="G419" s="7">
        <v>44519</v>
      </c>
      <c r="H419" s="5">
        <v>2</v>
      </c>
      <c r="I419" s="4" t="s">
        <v>81</v>
      </c>
      <c r="J419" s="16">
        <v>3750</v>
      </c>
      <c r="K419" s="16"/>
      <c r="L419" s="16">
        <f>AtlasReport_1_Table_1[[#This Row],[Amount in default currency]]-AtlasReport_1_Table_1[[#This Row],[Cost Amount]]</f>
        <v>3750</v>
      </c>
    </row>
    <row r="420" spans="1:12">
      <c r="A420" s="4" t="s">
        <v>758</v>
      </c>
      <c r="B420" s="4" t="s">
        <v>759</v>
      </c>
      <c r="C420" s="4" t="s">
        <v>11</v>
      </c>
      <c r="D420" s="4" t="s">
        <v>17</v>
      </c>
      <c r="E420" s="4" t="s">
        <v>760</v>
      </c>
      <c r="F420" s="4" t="s">
        <v>762</v>
      </c>
      <c r="G420" s="7">
        <v>44519</v>
      </c>
      <c r="H420" s="5">
        <v>15</v>
      </c>
      <c r="I420" s="4" t="s">
        <v>81</v>
      </c>
      <c r="J420" s="16">
        <v>18187.5</v>
      </c>
      <c r="K420" s="16"/>
      <c r="L420" s="16">
        <f>AtlasReport_1_Table_1[[#This Row],[Amount in default currency]]-AtlasReport_1_Table_1[[#This Row],[Cost Amount]]</f>
        <v>18187.5</v>
      </c>
    </row>
    <row r="421" spans="1:12">
      <c r="A421" s="4" t="s">
        <v>758</v>
      </c>
      <c r="B421" s="4" t="s">
        <v>759</v>
      </c>
      <c r="C421" s="4" t="s">
        <v>105</v>
      </c>
      <c r="D421" s="4" t="s">
        <v>106</v>
      </c>
      <c r="E421" s="4" t="s">
        <v>760</v>
      </c>
      <c r="F421" s="4" t="s">
        <v>763</v>
      </c>
      <c r="G421" s="7">
        <v>44519</v>
      </c>
      <c r="H421" s="5">
        <v>1</v>
      </c>
      <c r="I421" s="4" t="s">
        <v>26</v>
      </c>
      <c r="J421" s="16">
        <v>13725</v>
      </c>
      <c r="K421" s="16"/>
      <c r="L421" s="16">
        <f>AtlasReport_1_Table_1[[#This Row],[Amount in default currency]]-AtlasReport_1_Table_1[[#This Row],[Cost Amount]]</f>
        <v>13725</v>
      </c>
    </row>
    <row r="422" spans="1:12">
      <c r="A422" s="4" t="s">
        <v>764</v>
      </c>
      <c r="B422" s="4" t="s">
        <v>765</v>
      </c>
      <c r="C422" s="4" t="s">
        <v>77</v>
      </c>
      <c r="D422" s="4" t="s">
        <v>78</v>
      </c>
      <c r="E422" s="4" t="s">
        <v>766</v>
      </c>
      <c r="F422" s="4" t="s">
        <v>767</v>
      </c>
      <c r="G422" s="7">
        <v>44519</v>
      </c>
      <c r="H422" s="5">
        <v>10</v>
      </c>
      <c r="I422" s="4" t="s">
        <v>81</v>
      </c>
      <c r="J422" s="16">
        <v>13737</v>
      </c>
      <c r="K422" s="16"/>
      <c r="L422" s="16">
        <f>AtlasReport_1_Table_1[[#This Row],[Amount in default currency]]-AtlasReport_1_Table_1[[#This Row],[Cost Amount]]</f>
        <v>13737</v>
      </c>
    </row>
    <row r="423" spans="1:12">
      <c r="A423" s="4" t="s">
        <v>764</v>
      </c>
      <c r="B423" s="4" t="s">
        <v>765</v>
      </c>
      <c r="C423" s="4" t="s">
        <v>116</v>
      </c>
      <c r="D423" s="4" t="s">
        <v>78</v>
      </c>
      <c r="E423" s="4" t="s">
        <v>766</v>
      </c>
      <c r="F423" s="4" t="s">
        <v>768</v>
      </c>
      <c r="G423" s="7">
        <v>44519</v>
      </c>
      <c r="H423" s="5">
        <v>2</v>
      </c>
      <c r="I423" s="4" t="s">
        <v>81</v>
      </c>
      <c r="J423" s="16">
        <v>4248.54</v>
      </c>
      <c r="K423" s="16"/>
      <c r="L423" s="16">
        <f>AtlasReport_1_Table_1[[#This Row],[Amount in default currency]]-AtlasReport_1_Table_1[[#This Row],[Cost Amount]]</f>
        <v>4248.54</v>
      </c>
    </row>
    <row r="424" spans="1:12">
      <c r="A424" s="4" t="s">
        <v>764</v>
      </c>
      <c r="B424" s="4" t="s">
        <v>765</v>
      </c>
      <c r="C424" s="4" t="s">
        <v>430</v>
      </c>
      <c r="D424" s="4" t="s">
        <v>78</v>
      </c>
      <c r="E424" s="4" t="s">
        <v>766</v>
      </c>
      <c r="F424" s="4" t="s">
        <v>769</v>
      </c>
      <c r="G424" s="7">
        <v>44519</v>
      </c>
      <c r="H424" s="5">
        <v>19</v>
      </c>
      <c r="I424" s="4" t="s">
        <v>81</v>
      </c>
      <c r="J424" s="16">
        <v>52469.45</v>
      </c>
      <c r="K424" s="16"/>
      <c r="L424" s="16">
        <f>AtlasReport_1_Table_1[[#This Row],[Amount in default currency]]-AtlasReport_1_Table_1[[#This Row],[Cost Amount]]</f>
        <v>52469.45</v>
      </c>
    </row>
    <row r="425" spans="1:12">
      <c r="A425" s="4" t="s">
        <v>764</v>
      </c>
      <c r="B425" s="4" t="s">
        <v>765</v>
      </c>
      <c r="C425" s="4" t="s">
        <v>105</v>
      </c>
      <c r="D425" s="4" t="s">
        <v>106</v>
      </c>
      <c r="E425" s="4" t="s">
        <v>766</v>
      </c>
      <c r="F425" s="4" t="s">
        <v>770</v>
      </c>
      <c r="G425" s="7">
        <v>44519</v>
      </c>
      <c r="H425" s="5">
        <v>2</v>
      </c>
      <c r="I425" s="4" t="s">
        <v>26</v>
      </c>
      <c r="J425" s="16">
        <v>27450</v>
      </c>
      <c r="K425" s="16"/>
      <c r="L425" s="16">
        <f>AtlasReport_1_Table_1[[#This Row],[Amount in default currency]]-AtlasReport_1_Table_1[[#This Row],[Cost Amount]]</f>
        <v>27450</v>
      </c>
    </row>
    <row r="426" spans="1:12">
      <c r="A426" s="4" t="s">
        <v>82</v>
      </c>
      <c r="B426" s="4" t="s">
        <v>83</v>
      </c>
      <c r="C426" s="4" t="s">
        <v>92</v>
      </c>
      <c r="D426" s="4" t="s">
        <v>93</v>
      </c>
      <c r="E426" s="4" t="s">
        <v>771</v>
      </c>
      <c r="F426" s="4" t="s">
        <v>772</v>
      </c>
      <c r="G426" s="7">
        <v>44532</v>
      </c>
      <c r="H426" s="5">
        <v>4</v>
      </c>
      <c r="I426" s="4" t="s">
        <v>81</v>
      </c>
      <c r="J426" s="16">
        <v>9204</v>
      </c>
      <c r="K426" s="16"/>
      <c r="L426" s="16">
        <f>AtlasReport_1_Table_1[[#This Row],[Amount in default currency]]-AtlasReport_1_Table_1[[#This Row],[Cost Amount]]</f>
        <v>9204</v>
      </c>
    </row>
    <row r="427" spans="1:12">
      <c r="A427" s="4" t="s">
        <v>82</v>
      </c>
      <c r="B427" s="4" t="s">
        <v>83</v>
      </c>
      <c r="C427" s="4" t="s">
        <v>95</v>
      </c>
      <c r="D427" s="4" t="s">
        <v>93</v>
      </c>
      <c r="E427" s="4" t="s">
        <v>771</v>
      </c>
      <c r="F427" s="4" t="s">
        <v>773</v>
      </c>
      <c r="G427" s="7">
        <v>44532</v>
      </c>
      <c r="H427" s="5">
        <v>140</v>
      </c>
      <c r="I427" s="4" t="s">
        <v>81</v>
      </c>
      <c r="J427" s="16">
        <v>647600.80000000005</v>
      </c>
      <c r="K427" s="16"/>
      <c r="L427" s="16">
        <f>AtlasReport_1_Table_1[[#This Row],[Amount in default currency]]-AtlasReport_1_Table_1[[#This Row],[Cost Amount]]</f>
        <v>647600.80000000005</v>
      </c>
    </row>
    <row r="428" spans="1:12">
      <c r="A428" s="4" t="s">
        <v>82</v>
      </c>
      <c r="B428" s="4" t="s">
        <v>83</v>
      </c>
      <c r="C428" s="4" t="s">
        <v>105</v>
      </c>
      <c r="D428" s="4" t="s">
        <v>106</v>
      </c>
      <c r="E428" s="4" t="s">
        <v>771</v>
      </c>
      <c r="F428" s="4" t="s">
        <v>774</v>
      </c>
      <c r="G428" s="7">
        <v>44532</v>
      </c>
      <c r="H428" s="5">
        <v>1</v>
      </c>
      <c r="I428" s="4" t="s">
        <v>26</v>
      </c>
      <c r="J428" s="16">
        <v>45400</v>
      </c>
      <c r="K428" s="16"/>
      <c r="L428" s="16">
        <f>AtlasReport_1_Table_1[[#This Row],[Amount in default currency]]-AtlasReport_1_Table_1[[#This Row],[Cost Amount]]</f>
        <v>45400</v>
      </c>
    </row>
    <row r="429" spans="1:12">
      <c r="A429" s="4" t="s">
        <v>82</v>
      </c>
      <c r="B429" s="4" t="s">
        <v>83</v>
      </c>
      <c r="C429" s="4" t="s">
        <v>105</v>
      </c>
      <c r="D429" s="4" t="s">
        <v>106</v>
      </c>
      <c r="E429" s="4" t="s">
        <v>771</v>
      </c>
      <c r="F429" s="4" t="s">
        <v>775</v>
      </c>
      <c r="G429" s="7">
        <v>44532</v>
      </c>
      <c r="H429" s="5">
        <v>1</v>
      </c>
      <c r="I429" s="4" t="s">
        <v>26</v>
      </c>
      <c r="J429" s="16">
        <v>23825</v>
      </c>
      <c r="K429" s="16"/>
      <c r="L429" s="16">
        <f>AtlasReport_1_Table_1[[#This Row],[Amount in default currency]]-AtlasReport_1_Table_1[[#This Row],[Cost Amount]]</f>
        <v>23825</v>
      </c>
    </row>
    <row r="430" spans="1:12">
      <c r="A430" s="4" t="s">
        <v>82</v>
      </c>
      <c r="B430" s="4" t="s">
        <v>83</v>
      </c>
      <c r="C430" s="4" t="s">
        <v>105</v>
      </c>
      <c r="D430" s="4" t="s">
        <v>106</v>
      </c>
      <c r="E430" s="4" t="s">
        <v>771</v>
      </c>
      <c r="F430" s="4" t="s">
        <v>776</v>
      </c>
      <c r="G430" s="7">
        <v>44532</v>
      </c>
      <c r="H430" s="5">
        <v>1</v>
      </c>
      <c r="I430" s="4" t="s">
        <v>26</v>
      </c>
      <c r="J430" s="16">
        <v>5100</v>
      </c>
      <c r="K430" s="16"/>
      <c r="L430" s="16">
        <f>AtlasReport_1_Table_1[[#This Row],[Amount in default currency]]-AtlasReport_1_Table_1[[#This Row],[Cost Amount]]</f>
        <v>5100</v>
      </c>
    </row>
    <row r="431" spans="1:12">
      <c r="A431" s="4" t="s">
        <v>680</v>
      </c>
      <c r="B431" s="4" t="s">
        <v>681</v>
      </c>
      <c r="C431" s="4" t="s">
        <v>105</v>
      </c>
      <c r="D431" s="4" t="s">
        <v>106</v>
      </c>
      <c r="E431" s="4" t="s">
        <v>777</v>
      </c>
      <c r="F431" s="4" t="s">
        <v>778</v>
      </c>
      <c r="G431" s="7">
        <v>44508</v>
      </c>
      <c r="H431" s="5">
        <v>-2</v>
      </c>
      <c r="I431" s="4" t="s">
        <v>26</v>
      </c>
      <c r="J431" s="16">
        <v>-35650</v>
      </c>
      <c r="K431" s="16"/>
      <c r="L431" s="16">
        <f>AtlasReport_1_Table_1[[#This Row],[Amount in default currency]]-AtlasReport_1_Table_1[[#This Row],[Cost Amount]]</f>
        <v>-35650</v>
      </c>
    </row>
    <row r="432" spans="1:12">
      <c r="A432" s="4" t="s">
        <v>680</v>
      </c>
      <c r="B432" s="4" t="s">
        <v>681</v>
      </c>
      <c r="C432" s="4" t="s">
        <v>105</v>
      </c>
      <c r="D432" s="4" t="s">
        <v>106</v>
      </c>
      <c r="E432" s="4" t="s">
        <v>779</v>
      </c>
      <c r="F432" s="4" t="s">
        <v>780</v>
      </c>
      <c r="G432" s="7">
        <v>44508</v>
      </c>
      <c r="H432" s="5">
        <v>1</v>
      </c>
      <c r="I432" s="4" t="s">
        <v>26</v>
      </c>
      <c r="J432" s="16">
        <v>17825</v>
      </c>
      <c r="K432" s="16"/>
      <c r="L432" s="16">
        <f>AtlasReport_1_Table_1[[#This Row],[Amount in default currency]]-AtlasReport_1_Table_1[[#This Row],[Cost Amount]]</f>
        <v>17825</v>
      </c>
    </row>
    <row r="433" spans="1:12">
      <c r="A433" s="4" t="s">
        <v>680</v>
      </c>
      <c r="B433" s="4" t="s">
        <v>681</v>
      </c>
      <c r="C433" s="4" t="s">
        <v>105</v>
      </c>
      <c r="D433" s="4" t="s">
        <v>106</v>
      </c>
      <c r="E433" s="4" t="s">
        <v>779</v>
      </c>
      <c r="F433" s="4" t="s">
        <v>781</v>
      </c>
      <c r="G433" s="7">
        <v>44508</v>
      </c>
      <c r="H433" s="5">
        <v>1</v>
      </c>
      <c r="I433" s="4" t="s">
        <v>26</v>
      </c>
      <c r="J433" s="16">
        <v>12825</v>
      </c>
      <c r="K433" s="16"/>
      <c r="L433" s="16">
        <f>AtlasReport_1_Table_1[[#This Row],[Amount in default currency]]-AtlasReport_1_Table_1[[#This Row],[Cost Amount]]</f>
        <v>12825</v>
      </c>
    </row>
    <row r="434" spans="1:12">
      <c r="A434" s="4" t="s">
        <v>75</v>
      </c>
      <c r="B434" s="4" t="s">
        <v>76</v>
      </c>
      <c r="C434" s="4" t="s">
        <v>77</v>
      </c>
      <c r="D434" s="4" t="s">
        <v>78</v>
      </c>
      <c r="E434" s="4" t="s">
        <v>782</v>
      </c>
      <c r="F434" s="4" t="s">
        <v>783</v>
      </c>
      <c r="G434" s="7">
        <v>44512</v>
      </c>
      <c r="H434" s="5">
        <v>9</v>
      </c>
      <c r="I434" s="4" t="s">
        <v>81</v>
      </c>
      <c r="J434" s="16">
        <v>21825</v>
      </c>
      <c r="K434" s="16"/>
      <c r="L434" s="16">
        <f>AtlasReport_1_Table_1[[#This Row],[Amount in default currency]]-AtlasReport_1_Table_1[[#This Row],[Cost Amount]]</f>
        <v>21825</v>
      </c>
    </row>
    <row r="435" spans="1:12">
      <c r="A435" s="4" t="s">
        <v>75</v>
      </c>
      <c r="B435" s="4" t="s">
        <v>76</v>
      </c>
      <c r="C435" s="4" t="s">
        <v>430</v>
      </c>
      <c r="D435" s="4" t="s">
        <v>78</v>
      </c>
      <c r="E435" s="4" t="s">
        <v>782</v>
      </c>
      <c r="F435" s="4" t="s">
        <v>784</v>
      </c>
      <c r="G435" s="7">
        <v>44512</v>
      </c>
      <c r="H435" s="5">
        <v>1</v>
      </c>
      <c r="I435" s="4" t="s">
        <v>81</v>
      </c>
      <c r="J435" s="16">
        <v>4850</v>
      </c>
      <c r="K435" s="16"/>
      <c r="L435" s="16">
        <f>AtlasReport_1_Table_1[[#This Row],[Amount in default currency]]-AtlasReport_1_Table_1[[#This Row],[Cost Amount]]</f>
        <v>4850</v>
      </c>
    </row>
    <row r="436" spans="1:12">
      <c r="A436" s="4" t="s">
        <v>82</v>
      </c>
      <c r="B436" s="4" t="s">
        <v>83</v>
      </c>
      <c r="C436" s="4" t="s">
        <v>92</v>
      </c>
      <c r="D436" s="4" t="s">
        <v>93</v>
      </c>
      <c r="E436" s="4" t="s">
        <v>785</v>
      </c>
      <c r="F436" s="4" t="s">
        <v>786</v>
      </c>
      <c r="G436" s="7">
        <v>44510</v>
      </c>
      <c r="H436" s="5">
        <v>-80</v>
      </c>
      <c r="I436" s="4" t="s">
        <v>81</v>
      </c>
      <c r="J436" s="16">
        <v>-174600</v>
      </c>
      <c r="K436" s="16"/>
      <c r="L436" s="16">
        <f>AtlasReport_1_Table_1[[#This Row],[Amount in default currency]]-AtlasReport_1_Table_1[[#This Row],[Cost Amount]]</f>
        <v>-174600</v>
      </c>
    </row>
    <row r="437" spans="1:12">
      <c r="A437" s="4" t="s">
        <v>82</v>
      </c>
      <c r="B437" s="4" t="s">
        <v>83</v>
      </c>
      <c r="C437" s="4" t="s">
        <v>95</v>
      </c>
      <c r="D437" s="4" t="s">
        <v>93</v>
      </c>
      <c r="E437" s="4" t="s">
        <v>785</v>
      </c>
      <c r="F437" s="4" t="s">
        <v>787</v>
      </c>
      <c r="G437" s="7">
        <v>44510</v>
      </c>
      <c r="H437" s="5">
        <v>-322</v>
      </c>
      <c r="I437" s="4" t="s">
        <v>81</v>
      </c>
      <c r="J437" s="16">
        <v>-1412775</v>
      </c>
      <c r="K437" s="16"/>
      <c r="L437" s="16">
        <f>AtlasReport_1_Table_1[[#This Row],[Amount in default currency]]-AtlasReport_1_Table_1[[#This Row],[Cost Amount]]</f>
        <v>-1412775</v>
      </c>
    </row>
    <row r="438" spans="1:12">
      <c r="A438" s="4" t="s">
        <v>82</v>
      </c>
      <c r="B438" s="4" t="s">
        <v>83</v>
      </c>
      <c r="C438" s="4" t="s">
        <v>199</v>
      </c>
      <c r="D438" s="4" t="s">
        <v>93</v>
      </c>
      <c r="E438" s="4" t="s">
        <v>785</v>
      </c>
      <c r="F438" s="4" t="s">
        <v>788</v>
      </c>
      <c r="G438" s="7">
        <v>44510</v>
      </c>
      <c r="H438" s="5">
        <v>-3</v>
      </c>
      <c r="I438" s="4" t="s">
        <v>81</v>
      </c>
      <c r="J438" s="16">
        <v>-10125</v>
      </c>
      <c r="K438" s="16"/>
      <c r="L438" s="16">
        <f>AtlasReport_1_Table_1[[#This Row],[Amount in default currency]]-AtlasReport_1_Table_1[[#This Row],[Cost Amount]]</f>
        <v>-10125</v>
      </c>
    </row>
    <row r="439" spans="1:12">
      <c r="A439" s="4" t="s">
        <v>82</v>
      </c>
      <c r="B439" s="4" t="s">
        <v>83</v>
      </c>
      <c r="C439" s="4" t="s">
        <v>105</v>
      </c>
      <c r="D439" s="4" t="s">
        <v>106</v>
      </c>
      <c r="E439" s="4" t="s">
        <v>785</v>
      </c>
      <c r="F439" s="4" t="s">
        <v>789</v>
      </c>
      <c r="G439" s="7">
        <v>44510</v>
      </c>
      <c r="H439" s="5">
        <v>-2</v>
      </c>
      <c r="I439" s="4" t="s">
        <v>26</v>
      </c>
      <c r="J439" s="16">
        <v>-114550</v>
      </c>
      <c r="K439" s="16"/>
      <c r="L439" s="16">
        <f>AtlasReport_1_Table_1[[#This Row],[Amount in default currency]]-AtlasReport_1_Table_1[[#This Row],[Cost Amount]]</f>
        <v>-114550</v>
      </c>
    </row>
    <row r="440" spans="1:12">
      <c r="A440" s="4" t="s">
        <v>82</v>
      </c>
      <c r="B440" s="4" t="s">
        <v>83</v>
      </c>
      <c r="C440" s="4" t="s">
        <v>92</v>
      </c>
      <c r="D440" s="4" t="s">
        <v>93</v>
      </c>
      <c r="E440" s="4" t="s">
        <v>790</v>
      </c>
      <c r="F440" s="4" t="s">
        <v>791</v>
      </c>
      <c r="G440" s="7">
        <v>44511</v>
      </c>
      <c r="H440" s="5">
        <v>69</v>
      </c>
      <c r="I440" s="4" t="s">
        <v>81</v>
      </c>
      <c r="J440" s="16">
        <v>137608.07999999999</v>
      </c>
      <c r="K440" s="16"/>
      <c r="L440" s="16">
        <f>AtlasReport_1_Table_1[[#This Row],[Amount in default currency]]-AtlasReport_1_Table_1[[#This Row],[Cost Amount]]</f>
        <v>137608.07999999999</v>
      </c>
    </row>
    <row r="441" spans="1:12">
      <c r="A441" s="4" t="s">
        <v>82</v>
      </c>
      <c r="B441" s="4" t="s">
        <v>83</v>
      </c>
      <c r="C441" s="4" t="s">
        <v>95</v>
      </c>
      <c r="D441" s="4" t="s">
        <v>93</v>
      </c>
      <c r="E441" s="4" t="s">
        <v>790</v>
      </c>
      <c r="F441" s="4" t="s">
        <v>792</v>
      </c>
      <c r="G441" s="7">
        <v>44511</v>
      </c>
      <c r="H441" s="5">
        <v>298</v>
      </c>
      <c r="I441" s="4" t="s">
        <v>81</v>
      </c>
      <c r="J441" s="16">
        <v>1194738.6199999999</v>
      </c>
      <c r="K441" s="16"/>
      <c r="L441" s="16">
        <f>AtlasReport_1_Table_1[[#This Row],[Amount in default currency]]-AtlasReport_1_Table_1[[#This Row],[Cost Amount]]</f>
        <v>1194738.6199999999</v>
      </c>
    </row>
    <row r="442" spans="1:12">
      <c r="A442" s="4" t="s">
        <v>82</v>
      </c>
      <c r="B442" s="4" t="s">
        <v>83</v>
      </c>
      <c r="C442" s="4" t="s">
        <v>199</v>
      </c>
      <c r="D442" s="4" t="s">
        <v>93</v>
      </c>
      <c r="E442" s="4" t="s">
        <v>790</v>
      </c>
      <c r="F442" s="4" t="s">
        <v>793</v>
      </c>
      <c r="G442" s="7">
        <v>44511</v>
      </c>
      <c r="H442" s="5">
        <v>3</v>
      </c>
      <c r="I442" s="4" t="s">
        <v>81</v>
      </c>
      <c r="J442" s="16">
        <v>9252</v>
      </c>
      <c r="K442" s="16"/>
      <c r="L442" s="16">
        <f>AtlasReport_1_Table_1[[#This Row],[Amount in default currency]]-AtlasReport_1_Table_1[[#This Row],[Cost Amount]]</f>
        <v>9252</v>
      </c>
    </row>
    <row r="443" spans="1:12">
      <c r="A443" s="4" t="s">
        <v>82</v>
      </c>
      <c r="B443" s="4" t="s">
        <v>83</v>
      </c>
      <c r="C443" s="4" t="s">
        <v>105</v>
      </c>
      <c r="D443" s="4" t="s">
        <v>106</v>
      </c>
      <c r="E443" s="4" t="s">
        <v>790</v>
      </c>
      <c r="F443" s="4" t="s">
        <v>794</v>
      </c>
      <c r="G443" s="7">
        <v>44511</v>
      </c>
      <c r="H443" s="5">
        <v>2</v>
      </c>
      <c r="I443" s="4" t="s">
        <v>26</v>
      </c>
      <c r="J443" s="16">
        <v>114550</v>
      </c>
      <c r="K443" s="16"/>
      <c r="L443" s="16">
        <f>AtlasReport_1_Table_1[[#This Row],[Amount in default currency]]-AtlasReport_1_Table_1[[#This Row],[Cost Amount]]</f>
        <v>114550</v>
      </c>
    </row>
    <row r="444" spans="1:12">
      <c r="A444" s="4" t="s">
        <v>82</v>
      </c>
      <c r="B444" s="4" t="s">
        <v>83</v>
      </c>
      <c r="C444" s="4" t="s">
        <v>92</v>
      </c>
      <c r="D444" s="4" t="s">
        <v>93</v>
      </c>
      <c r="E444" s="4" t="s">
        <v>795</v>
      </c>
      <c r="F444" s="4" t="s">
        <v>796</v>
      </c>
      <c r="G444" s="7">
        <v>44511</v>
      </c>
      <c r="H444" s="5">
        <v>11</v>
      </c>
      <c r="I444" s="4" t="s">
        <v>81</v>
      </c>
      <c r="J444" s="16">
        <v>24007.5</v>
      </c>
      <c r="K444" s="16"/>
      <c r="L444" s="16">
        <f>AtlasReport_1_Table_1[[#This Row],[Amount in default currency]]-AtlasReport_1_Table_1[[#This Row],[Cost Amount]]</f>
        <v>24007.5</v>
      </c>
    </row>
    <row r="445" spans="1:12">
      <c r="A445" s="4" t="s">
        <v>82</v>
      </c>
      <c r="B445" s="4" t="s">
        <v>83</v>
      </c>
      <c r="C445" s="4" t="s">
        <v>95</v>
      </c>
      <c r="D445" s="4" t="s">
        <v>93</v>
      </c>
      <c r="E445" s="4" t="s">
        <v>795</v>
      </c>
      <c r="F445" s="4" t="s">
        <v>797</v>
      </c>
      <c r="G445" s="7">
        <v>44511</v>
      </c>
      <c r="H445" s="5">
        <v>24</v>
      </c>
      <c r="I445" s="4" t="s">
        <v>81</v>
      </c>
      <c r="J445" s="16">
        <v>105300</v>
      </c>
      <c r="K445" s="16"/>
      <c r="L445" s="16">
        <f>AtlasReport_1_Table_1[[#This Row],[Amount in default currency]]-AtlasReport_1_Table_1[[#This Row],[Cost Amount]]</f>
        <v>105300</v>
      </c>
    </row>
    <row r="446" spans="1:12">
      <c r="A446" s="4" t="s">
        <v>87</v>
      </c>
      <c r="B446" s="4" t="s">
        <v>88</v>
      </c>
      <c r="C446" s="4" t="s">
        <v>95</v>
      </c>
      <c r="D446" s="4" t="s">
        <v>93</v>
      </c>
      <c r="E446" s="4" t="s">
        <v>798</v>
      </c>
      <c r="F446" s="4" t="s">
        <v>799</v>
      </c>
      <c r="G446" s="7">
        <v>44519</v>
      </c>
      <c r="H446" s="5">
        <v>60</v>
      </c>
      <c r="I446" s="4" t="s">
        <v>81</v>
      </c>
      <c r="J446" s="16">
        <v>311721.09000000003</v>
      </c>
      <c r="K446" s="16"/>
      <c r="L446" s="16">
        <f>AtlasReport_1_Table_1[[#This Row],[Amount in default currency]]-AtlasReport_1_Table_1[[#This Row],[Cost Amount]]</f>
        <v>311721.09000000003</v>
      </c>
    </row>
    <row r="447" spans="1:12">
      <c r="A447" s="4" t="s">
        <v>143</v>
      </c>
      <c r="B447" s="4" t="s">
        <v>144</v>
      </c>
      <c r="C447" s="4" t="s">
        <v>199</v>
      </c>
      <c r="D447" s="4" t="s">
        <v>93</v>
      </c>
      <c r="E447" s="4" t="s">
        <v>800</v>
      </c>
      <c r="F447" s="4" t="s">
        <v>801</v>
      </c>
      <c r="G447" s="7">
        <v>44529</v>
      </c>
      <c r="H447" s="5">
        <v>-6</v>
      </c>
      <c r="I447" s="4" t="s">
        <v>81</v>
      </c>
      <c r="J447" s="16">
        <v>-26550</v>
      </c>
      <c r="K447" s="16"/>
      <c r="L447" s="16">
        <f>AtlasReport_1_Table_1[[#This Row],[Amount in default currency]]-AtlasReport_1_Table_1[[#This Row],[Cost Amount]]</f>
        <v>-26550</v>
      </c>
    </row>
    <row r="448" spans="1:12">
      <c r="A448" s="4" t="s">
        <v>143</v>
      </c>
      <c r="B448" s="4" t="s">
        <v>144</v>
      </c>
      <c r="C448" s="4" t="s">
        <v>95</v>
      </c>
      <c r="D448" s="4" t="s">
        <v>93</v>
      </c>
      <c r="E448" s="4" t="s">
        <v>800</v>
      </c>
      <c r="F448" s="4" t="s">
        <v>802</v>
      </c>
      <c r="G448" s="7">
        <v>44529</v>
      </c>
      <c r="H448" s="5">
        <v>-8</v>
      </c>
      <c r="I448" s="4" t="s">
        <v>81</v>
      </c>
      <c r="J448" s="16">
        <v>-46020</v>
      </c>
      <c r="K448" s="16"/>
      <c r="L448" s="16">
        <f>AtlasReport_1_Table_1[[#This Row],[Amount in default currency]]-AtlasReport_1_Table_1[[#This Row],[Cost Amount]]</f>
        <v>-46020</v>
      </c>
    </row>
    <row r="449" spans="1:12">
      <c r="A449" s="4" t="s">
        <v>143</v>
      </c>
      <c r="B449" s="4" t="s">
        <v>144</v>
      </c>
      <c r="C449" s="4" t="s">
        <v>105</v>
      </c>
      <c r="D449" s="4" t="s">
        <v>106</v>
      </c>
      <c r="E449" s="4" t="s">
        <v>800</v>
      </c>
      <c r="F449" s="4" t="s">
        <v>803</v>
      </c>
      <c r="G449" s="7">
        <v>44529</v>
      </c>
      <c r="H449" s="5">
        <v>-1</v>
      </c>
      <c r="I449" s="4" t="s">
        <v>26</v>
      </c>
      <c r="J449" s="16">
        <v>-18725</v>
      </c>
      <c r="K449" s="16"/>
      <c r="L449" s="16">
        <f>AtlasReport_1_Table_1[[#This Row],[Amount in default currency]]-AtlasReport_1_Table_1[[#This Row],[Cost Amount]]</f>
        <v>-18725</v>
      </c>
    </row>
    <row r="450" spans="1:12">
      <c r="A450" s="4" t="s">
        <v>143</v>
      </c>
      <c r="B450" s="4" t="s">
        <v>144</v>
      </c>
      <c r="C450" s="4" t="s">
        <v>199</v>
      </c>
      <c r="D450" s="4" t="s">
        <v>93</v>
      </c>
      <c r="E450" s="4" t="s">
        <v>804</v>
      </c>
      <c r="F450" s="4" t="s">
        <v>805</v>
      </c>
      <c r="G450" s="7">
        <v>44529</v>
      </c>
      <c r="H450" s="5">
        <v>6</v>
      </c>
      <c r="I450" s="4" t="s">
        <v>81</v>
      </c>
      <c r="J450" s="16">
        <v>23247.420000000002</v>
      </c>
      <c r="K450" s="16"/>
      <c r="L450" s="16">
        <f>AtlasReport_1_Table_1[[#This Row],[Amount in default currency]]-AtlasReport_1_Table_1[[#This Row],[Cost Amount]]</f>
        <v>23247.420000000002</v>
      </c>
    </row>
    <row r="451" spans="1:12">
      <c r="A451" s="4" t="s">
        <v>143</v>
      </c>
      <c r="B451" s="4" t="s">
        <v>144</v>
      </c>
      <c r="C451" s="4" t="s">
        <v>95</v>
      </c>
      <c r="D451" s="4" t="s">
        <v>93</v>
      </c>
      <c r="E451" s="4" t="s">
        <v>804</v>
      </c>
      <c r="F451" s="4" t="s">
        <v>806</v>
      </c>
      <c r="G451" s="7">
        <v>44529</v>
      </c>
      <c r="H451" s="5">
        <v>8</v>
      </c>
      <c r="I451" s="4" t="s">
        <v>81</v>
      </c>
      <c r="J451" s="16">
        <v>40295.599999999999</v>
      </c>
      <c r="K451" s="16"/>
      <c r="L451" s="16">
        <f>AtlasReport_1_Table_1[[#This Row],[Amount in default currency]]-AtlasReport_1_Table_1[[#This Row],[Cost Amount]]</f>
        <v>40295.599999999999</v>
      </c>
    </row>
    <row r="452" spans="1:12">
      <c r="A452" s="4" t="s">
        <v>143</v>
      </c>
      <c r="B452" s="4" t="s">
        <v>144</v>
      </c>
      <c r="C452" s="4" t="s">
        <v>105</v>
      </c>
      <c r="D452" s="4" t="s">
        <v>106</v>
      </c>
      <c r="E452" s="4" t="s">
        <v>804</v>
      </c>
      <c r="F452" s="4" t="s">
        <v>807</v>
      </c>
      <c r="G452" s="7">
        <v>44529</v>
      </c>
      <c r="H452" s="5">
        <v>1</v>
      </c>
      <c r="I452" s="4" t="s">
        <v>26</v>
      </c>
      <c r="J452" s="16">
        <v>18725</v>
      </c>
      <c r="K452" s="16"/>
      <c r="L452" s="16">
        <f>AtlasReport_1_Table_1[[#This Row],[Amount in default currency]]-AtlasReport_1_Table_1[[#This Row],[Cost Amount]]</f>
        <v>18725</v>
      </c>
    </row>
    <row r="453" spans="1:12">
      <c r="A453" s="4" t="s">
        <v>143</v>
      </c>
      <c r="B453" s="4" t="s">
        <v>144</v>
      </c>
      <c r="C453" s="4" t="s">
        <v>10</v>
      </c>
      <c r="D453" s="4" t="s">
        <v>17</v>
      </c>
      <c r="E453" s="4" t="s">
        <v>808</v>
      </c>
      <c r="F453" s="4" t="s">
        <v>809</v>
      </c>
      <c r="G453" s="7">
        <v>44543</v>
      </c>
      <c r="H453" s="5">
        <v>975</v>
      </c>
      <c r="I453" s="4" t="s">
        <v>27</v>
      </c>
      <c r="J453" s="16">
        <v>19500</v>
      </c>
      <c r="K453" s="16"/>
      <c r="L453" s="16">
        <f>AtlasReport_1_Table_1[[#This Row],[Amount in default currency]]-AtlasReport_1_Table_1[[#This Row],[Cost Amount]]</f>
        <v>19500</v>
      </c>
    </row>
    <row r="454" spans="1:12">
      <c r="A454" s="4" t="s">
        <v>87</v>
      </c>
      <c r="B454" s="4" t="s">
        <v>88</v>
      </c>
      <c r="C454" s="4" t="s">
        <v>10</v>
      </c>
      <c r="D454" s="4" t="s">
        <v>17</v>
      </c>
      <c r="E454" s="4" t="s">
        <v>810</v>
      </c>
      <c r="F454" s="4" t="s">
        <v>811</v>
      </c>
      <c r="G454" s="7">
        <v>44546</v>
      </c>
      <c r="H454" s="5">
        <v>22</v>
      </c>
      <c r="I454" s="4" t="s">
        <v>81</v>
      </c>
      <c r="J454" s="16">
        <v>49622.05</v>
      </c>
      <c r="K454" s="16"/>
      <c r="L454" s="16">
        <f>AtlasReport_1_Table_1[[#This Row],[Amount in default currency]]-AtlasReport_1_Table_1[[#This Row],[Cost Amount]]</f>
        <v>49622.05</v>
      </c>
    </row>
    <row r="455" spans="1:12">
      <c r="A455" s="4" t="s">
        <v>87</v>
      </c>
      <c r="B455" s="4" t="s">
        <v>88</v>
      </c>
      <c r="C455" s="4" t="s">
        <v>10</v>
      </c>
      <c r="D455" s="4" t="s">
        <v>17</v>
      </c>
      <c r="E455" s="4" t="s">
        <v>812</v>
      </c>
      <c r="F455" s="4" t="s">
        <v>813</v>
      </c>
      <c r="G455" s="7">
        <v>44539</v>
      </c>
      <c r="H455" s="5">
        <v>10</v>
      </c>
      <c r="I455" s="4" t="s">
        <v>81</v>
      </c>
      <c r="J455" s="16">
        <v>22627.78</v>
      </c>
      <c r="K455" s="16"/>
      <c r="L455" s="16">
        <f>AtlasReport_1_Table_1[[#This Row],[Amount in default currency]]-AtlasReport_1_Table_1[[#This Row],[Cost Amount]]</f>
        <v>22627.78</v>
      </c>
    </row>
    <row r="456" spans="1:12">
      <c r="A456" s="4" t="s">
        <v>87</v>
      </c>
      <c r="B456" s="4" t="s">
        <v>88</v>
      </c>
      <c r="C456" s="4" t="s">
        <v>10</v>
      </c>
      <c r="D456" s="4" t="s">
        <v>17</v>
      </c>
      <c r="E456" s="4" t="s">
        <v>814</v>
      </c>
      <c r="F456" s="4" t="s">
        <v>815</v>
      </c>
      <c r="G456" s="7">
        <v>44546</v>
      </c>
      <c r="H456" s="5">
        <v>40</v>
      </c>
      <c r="I456" s="4" t="s">
        <v>81</v>
      </c>
      <c r="J456" s="16">
        <v>98680.22</v>
      </c>
      <c r="K456" s="16"/>
      <c r="L456" s="16">
        <f>AtlasReport_1_Table_1[[#This Row],[Amount in default currency]]-AtlasReport_1_Table_1[[#This Row],[Cost Amount]]</f>
        <v>98680.22</v>
      </c>
    </row>
    <row r="457" spans="1:12">
      <c r="A457" s="4" t="s">
        <v>143</v>
      </c>
      <c r="B457" s="4" t="s">
        <v>144</v>
      </c>
      <c r="C457" s="4" t="s">
        <v>11</v>
      </c>
      <c r="D457" s="4" t="s">
        <v>17</v>
      </c>
      <c r="E457" s="4" t="s">
        <v>816</v>
      </c>
      <c r="F457" s="4" t="s">
        <v>817</v>
      </c>
      <c r="G457" s="7">
        <v>44547</v>
      </c>
      <c r="H457" s="5">
        <v>15</v>
      </c>
      <c r="I457" s="4" t="s">
        <v>81</v>
      </c>
      <c r="J457" s="16">
        <v>11640</v>
      </c>
      <c r="K457" s="16"/>
      <c r="L457" s="16">
        <f>AtlasReport_1_Table_1[[#This Row],[Amount in default currency]]-AtlasReport_1_Table_1[[#This Row],[Cost Amount]]</f>
        <v>11640</v>
      </c>
    </row>
    <row r="458" spans="1:12">
      <c r="A458" s="4" t="s">
        <v>143</v>
      </c>
      <c r="B458" s="4" t="s">
        <v>144</v>
      </c>
      <c r="C458" s="4" t="s">
        <v>591</v>
      </c>
      <c r="D458" s="4" t="s">
        <v>17</v>
      </c>
      <c r="E458" s="4" t="s">
        <v>816</v>
      </c>
      <c r="F458" s="4" t="s">
        <v>818</v>
      </c>
      <c r="G458" s="7">
        <v>44547</v>
      </c>
      <c r="H458" s="5">
        <v>97</v>
      </c>
      <c r="I458" s="4" t="s">
        <v>81</v>
      </c>
      <c r="J458" s="16">
        <v>97000</v>
      </c>
      <c r="K458" s="16"/>
      <c r="L458" s="16">
        <f>AtlasReport_1_Table_1[[#This Row],[Amount in default currency]]-AtlasReport_1_Table_1[[#This Row],[Cost Amount]]</f>
        <v>97000</v>
      </c>
    </row>
    <row r="459" spans="1:12">
      <c r="A459" s="4" t="s">
        <v>143</v>
      </c>
      <c r="B459" s="4" t="s">
        <v>144</v>
      </c>
      <c r="C459" s="4" t="s">
        <v>105</v>
      </c>
      <c r="D459" s="4" t="s">
        <v>106</v>
      </c>
      <c r="E459" s="4" t="s">
        <v>816</v>
      </c>
      <c r="F459" s="4" t="s">
        <v>819</v>
      </c>
      <c r="G459" s="7">
        <v>44547</v>
      </c>
      <c r="H459" s="5">
        <v>1</v>
      </c>
      <c r="I459" s="4" t="s">
        <v>26</v>
      </c>
      <c r="J459" s="16">
        <v>68736</v>
      </c>
      <c r="K459" s="16"/>
      <c r="L459" s="16">
        <f>AtlasReport_1_Table_1[[#This Row],[Amount in default currency]]-AtlasReport_1_Table_1[[#This Row],[Cost Amount]]</f>
        <v>68736</v>
      </c>
    </row>
    <row r="460" spans="1:12">
      <c r="A460" s="4" t="s">
        <v>143</v>
      </c>
      <c r="B460" s="4" t="s">
        <v>144</v>
      </c>
      <c r="C460" s="4" t="s">
        <v>11</v>
      </c>
      <c r="D460" s="4" t="s">
        <v>17</v>
      </c>
      <c r="E460" s="4" t="s">
        <v>820</v>
      </c>
      <c r="F460" s="4" t="s">
        <v>821</v>
      </c>
      <c r="G460" s="7">
        <v>44547</v>
      </c>
      <c r="H460" s="5">
        <v>78</v>
      </c>
      <c r="I460" s="4" t="s">
        <v>81</v>
      </c>
      <c r="J460" s="16">
        <v>60528</v>
      </c>
      <c r="K460" s="16"/>
      <c r="L460" s="16">
        <f>AtlasReport_1_Table_1[[#This Row],[Amount in default currency]]-AtlasReport_1_Table_1[[#This Row],[Cost Amount]]</f>
        <v>60528</v>
      </c>
    </row>
    <row r="461" spans="1:12">
      <c r="A461" s="4" t="s">
        <v>143</v>
      </c>
      <c r="B461" s="4" t="s">
        <v>144</v>
      </c>
      <c r="C461" s="4" t="s">
        <v>591</v>
      </c>
      <c r="D461" s="4" t="s">
        <v>17</v>
      </c>
      <c r="E461" s="4" t="s">
        <v>820</v>
      </c>
      <c r="F461" s="4" t="s">
        <v>822</v>
      </c>
      <c r="G461" s="7">
        <v>44547</v>
      </c>
      <c r="H461" s="5">
        <v>68</v>
      </c>
      <c r="I461" s="4" t="s">
        <v>81</v>
      </c>
      <c r="J461" s="16">
        <v>68000</v>
      </c>
      <c r="K461" s="16"/>
      <c r="L461" s="16">
        <f>AtlasReport_1_Table_1[[#This Row],[Amount in default currency]]-AtlasReport_1_Table_1[[#This Row],[Cost Amount]]</f>
        <v>68000</v>
      </c>
    </row>
    <row r="462" spans="1:12">
      <c r="A462" s="4" t="s">
        <v>143</v>
      </c>
      <c r="B462" s="4" t="s">
        <v>144</v>
      </c>
      <c r="C462" s="4" t="s">
        <v>105</v>
      </c>
      <c r="D462" s="4" t="s">
        <v>106</v>
      </c>
      <c r="E462" s="4" t="s">
        <v>820</v>
      </c>
      <c r="F462" s="4" t="s">
        <v>823</v>
      </c>
      <c r="G462" s="7">
        <v>44547</v>
      </c>
      <c r="H462" s="5">
        <v>1</v>
      </c>
      <c r="I462" s="4" t="s">
        <v>26</v>
      </c>
      <c r="J462" s="16">
        <v>68910.5</v>
      </c>
      <c r="K462" s="16"/>
      <c r="L462" s="16">
        <f>AtlasReport_1_Table_1[[#This Row],[Amount in default currency]]-AtlasReport_1_Table_1[[#This Row],[Cost Amount]]</f>
        <v>68910.5</v>
      </c>
    </row>
    <row r="463" spans="1:12">
      <c r="A463" s="4" t="s">
        <v>82</v>
      </c>
      <c r="B463" s="4" t="s">
        <v>83</v>
      </c>
      <c r="C463" s="4" t="s">
        <v>77</v>
      </c>
      <c r="D463" s="4" t="s">
        <v>78</v>
      </c>
      <c r="E463" s="4" t="s">
        <v>824</v>
      </c>
      <c r="F463" s="4" t="s">
        <v>825</v>
      </c>
      <c r="G463" s="7">
        <v>44550</v>
      </c>
      <c r="H463" s="5">
        <v>-20</v>
      </c>
      <c r="I463" s="4" t="s">
        <v>81</v>
      </c>
      <c r="J463" s="16">
        <v>-38800</v>
      </c>
      <c r="K463" s="16"/>
      <c r="L463" s="16">
        <f>AtlasReport_1_Table_1[[#This Row],[Amount in default currency]]-AtlasReport_1_Table_1[[#This Row],[Cost Amount]]</f>
        <v>-38800</v>
      </c>
    </row>
    <row r="464" spans="1:12">
      <c r="A464" s="4" t="s">
        <v>82</v>
      </c>
      <c r="B464" s="4" t="s">
        <v>83</v>
      </c>
      <c r="C464" s="4" t="s">
        <v>430</v>
      </c>
      <c r="D464" s="4" t="s">
        <v>78</v>
      </c>
      <c r="E464" s="4" t="s">
        <v>824</v>
      </c>
      <c r="F464" s="4" t="s">
        <v>826</v>
      </c>
      <c r="G464" s="7">
        <v>44550</v>
      </c>
      <c r="H464" s="5">
        <v>-68</v>
      </c>
      <c r="I464" s="4" t="s">
        <v>81</v>
      </c>
      <c r="J464" s="16">
        <v>-265200</v>
      </c>
      <c r="K464" s="16"/>
      <c r="L464" s="16">
        <f>AtlasReport_1_Table_1[[#This Row],[Amount in default currency]]-AtlasReport_1_Table_1[[#This Row],[Cost Amount]]</f>
        <v>-265200</v>
      </c>
    </row>
    <row r="465" spans="1:12">
      <c r="A465" s="4" t="s">
        <v>82</v>
      </c>
      <c r="B465" s="4" t="s">
        <v>83</v>
      </c>
      <c r="C465" s="4" t="s">
        <v>105</v>
      </c>
      <c r="D465" s="4" t="s">
        <v>106</v>
      </c>
      <c r="E465" s="4" t="s">
        <v>824</v>
      </c>
      <c r="F465" s="4" t="s">
        <v>827</v>
      </c>
      <c r="G465" s="7">
        <v>44550</v>
      </c>
      <c r="H465" s="5">
        <v>-2</v>
      </c>
      <c r="I465" s="4" t="s">
        <v>26</v>
      </c>
      <c r="J465" s="16">
        <v>-41650</v>
      </c>
      <c r="K465" s="16"/>
      <c r="L465" s="16">
        <f>AtlasReport_1_Table_1[[#This Row],[Amount in default currency]]-AtlasReport_1_Table_1[[#This Row],[Cost Amount]]</f>
        <v>-41650</v>
      </c>
    </row>
    <row r="466" spans="1:12">
      <c r="A466" s="4" t="s">
        <v>82</v>
      </c>
      <c r="B466" s="4" t="s">
        <v>83</v>
      </c>
      <c r="C466" s="4" t="s">
        <v>116</v>
      </c>
      <c r="D466" s="4" t="s">
        <v>78</v>
      </c>
      <c r="E466" s="4" t="s">
        <v>824</v>
      </c>
      <c r="F466" s="4" t="s">
        <v>828</v>
      </c>
      <c r="G466" s="7">
        <v>44550</v>
      </c>
      <c r="H466" s="5">
        <v>-14</v>
      </c>
      <c r="I466" s="4" t="s">
        <v>81</v>
      </c>
      <c r="J466" s="16">
        <v>-42000</v>
      </c>
      <c r="K466" s="16"/>
      <c r="L466" s="16">
        <f>AtlasReport_1_Table_1[[#This Row],[Amount in default currency]]-AtlasReport_1_Table_1[[#This Row],[Cost Amount]]</f>
        <v>-42000</v>
      </c>
    </row>
    <row r="467" spans="1:12">
      <c r="A467" s="4" t="s">
        <v>82</v>
      </c>
      <c r="B467" s="4" t="s">
        <v>83</v>
      </c>
      <c r="C467" s="4" t="s">
        <v>77</v>
      </c>
      <c r="D467" s="4" t="s">
        <v>78</v>
      </c>
      <c r="E467" s="4" t="s">
        <v>829</v>
      </c>
      <c r="F467" s="4" t="s">
        <v>830</v>
      </c>
      <c r="G467" s="7">
        <v>44550</v>
      </c>
      <c r="H467" s="5">
        <v>20</v>
      </c>
      <c r="I467" s="4" t="s">
        <v>81</v>
      </c>
      <c r="J467" s="16">
        <v>38800</v>
      </c>
      <c r="K467" s="16"/>
      <c r="L467" s="16">
        <f>AtlasReport_1_Table_1[[#This Row],[Amount in default currency]]-AtlasReport_1_Table_1[[#This Row],[Cost Amount]]</f>
        <v>38800</v>
      </c>
    </row>
    <row r="468" spans="1:12">
      <c r="A468" s="4" t="s">
        <v>82</v>
      </c>
      <c r="B468" s="4" t="s">
        <v>83</v>
      </c>
      <c r="C468" s="4" t="s">
        <v>430</v>
      </c>
      <c r="D468" s="4" t="s">
        <v>78</v>
      </c>
      <c r="E468" s="4" t="s">
        <v>829</v>
      </c>
      <c r="F468" s="4" t="s">
        <v>831</v>
      </c>
      <c r="G468" s="7">
        <v>44550</v>
      </c>
      <c r="H468" s="5">
        <v>68</v>
      </c>
      <c r="I468" s="4" t="s">
        <v>81</v>
      </c>
      <c r="J468" s="16">
        <v>265200</v>
      </c>
      <c r="K468" s="16"/>
      <c r="L468" s="16">
        <f>AtlasReport_1_Table_1[[#This Row],[Amount in default currency]]-AtlasReport_1_Table_1[[#This Row],[Cost Amount]]</f>
        <v>265200</v>
      </c>
    </row>
    <row r="469" spans="1:12">
      <c r="A469" s="4" t="s">
        <v>82</v>
      </c>
      <c r="B469" s="4" t="s">
        <v>83</v>
      </c>
      <c r="C469" s="4" t="s">
        <v>105</v>
      </c>
      <c r="D469" s="4" t="s">
        <v>106</v>
      </c>
      <c r="E469" s="4" t="s">
        <v>829</v>
      </c>
      <c r="F469" s="4" t="s">
        <v>832</v>
      </c>
      <c r="G469" s="7">
        <v>44550</v>
      </c>
      <c r="H469" s="5">
        <v>2</v>
      </c>
      <c r="I469" s="4" t="s">
        <v>26</v>
      </c>
      <c r="J469" s="16">
        <v>41650</v>
      </c>
      <c r="K469" s="16"/>
      <c r="L469" s="16">
        <f>AtlasReport_1_Table_1[[#This Row],[Amount in default currency]]-AtlasReport_1_Table_1[[#This Row],[Cost Amount]]</f>
        <v>41650</v>
      </c>
    </row>
    <row r="470" spans="1:12">
      <c r="A470" s="4" t="s">
        <v>82</v>
      </c>
      <c r="B470" s="4" t="s">
        <v>83</v>
      </c>
      <c r="C470" s="4" t="s">
        <v>116</v>
      </c>
      <c r="D470" s="4" t="s">
        <v>78</v>
      </c>
      <c r="E470" s="4" t="s">
        <v>829</v>
      </c>
      <c r="F470" s="4" t="s">
        <v>833</v>
      </c>
      <c r="G470" s="7">
        <v>44550</v>
      </c>
      <c r="H470" s="5">
        <v>14</v>
      </c>
      <c r="I470" s="4" t="s">
        <v>81</v>
      </c>
      <c r="J470" s="16">
        <v>42000</v>
      </c>
      <c r="K470" s="16"/>
      <c r="L470" s="16">
        <f>AtlasReport_1_Table_1[[#This Row],[Amount in default currency]]-AtlasReport_1_Table_1[[#This Row],[Cost Amount]]</f>
        <v>42000</v>
      </c>
    </row>
    <row r="471" spans="1:12">
      <c r="A471" s="2" t="s">
        <v>12</v>
      </c>
      <c r="B471" s="3"/>
      <c r="C471" s="3"/>
      <c r="D471" s="3"/>
      <c r="E471" s="3"/>
      <c r="F471" s="3"/>
      <c r="G471" s="6"/>
      <c r="H471" s="2">
        <f>SUBTOTAL(109,AtlasReport_1_Table_1[Quantity])</f>
        <v>323548.5</v>
      </c>
      <c r="I471" s="3"/>
      <c r="J471" s="15">
        <f>SUBTOTAL(109,AtlasReport_1_Table_1[Amount in default currency])</f>
        <v>34381795.359999999</v>
      </c>
      <c r="K471" s="15"/>
      <c r="L471" s="15"/>
    </row>
    <row r="472" spans="1:12">
      <c r="A472" s="2"/>
      <c r="B472" s="2"/>
      <c r="C472" s="2"/>
      <c r="D472" s="2"/>
      <c r="E472" s="2"/>
      <c r="F472" s="2"/>
      <c r="G472" s="6"/>
      <c r="H472" s="2"/>
      <c r="I472" s="2"/>
      <c r="J472" s="15"/>
      <c r="K472" s="15"/>
      <c r="L472" s="15"/>
    </row>
    <row r="473" spans="1:12">
      <c r="A473" s="2"/>
      <c r="B473" s="2"/>
      <c r="C473" s="2"/>
      <c r="D473" s="2"/>
      <c r="E473" s="2"/>
      <c r="F473" s="2"/>
      <c r="G473" s="6"/>
      <c r="H473" s="2"/>
      <c r="I473" s="2"/>
      <c r="J473" s="15"/>
      <c r="K473" s="15"/>
      <c r="L473" s="15"/>
    </row>
  </sheetData>
  <phoneticPr fontId="7" type="noConversion"/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15"/>
  <sheetViews>
    <sheetView workbookViewId="0">
      <selection activeCell="C20" sqref="C20"/>
    </sheetView>
  </sheetViews>
  <sheetFormatPr defaultRowHeight="15"/>
  <cols>
    <col min="1" max="1" width="14.85546875" bestFit="1" customWidth="1"/>
    <col min="2" max="2" width="31.5703125" bestFit="1" customWidth="1"/>
    <col min="3" max="3" width="20.140625" bestFit="1" customWidth="1"/>
    <col min="4" max="4" width="20" bestFit="1" customWidth="1"/>
    <col min="5" max="5" width="13" bestFit="1" customWidth="1"/>
    <col min="6" max="6" width="16.85546875" bestFit="1" customWidth="1"/>
    <col min="7" max="7" width="16.7109375" bestFit="1" customWidth="1"/>
    <col min="8" max="8" width="14" bestFit="1" customWidth="1"/>
    <col min="9" max="9" width="18.5703125" bestFit="1" customWidth="1"/>
    <col min="10" max="10" width="12.85546875" bestFit="1" customWidth="1"/>
    <col min="11" max="11" width="18.42578125" bestFit="1" customWidth="1"/>
    <col min="12" max="12" width="12.7109375" bestFit="1" customWidth="1"/>
    <col min="13" max="13" width="14" bestFit="1" customWidth="1"/>
  </cols>
  <sheetData>
    <row r="1" spans="1:13">
      <c r="A1" t="s">
        <v>33</v>
      </c>
      <c r="B1" t="s">
        <v>16</v>
      </c>
      <c r="C1" s="8" t="s">
        <v>40</v>
      </c>
      <c r="D1" s="8" t="s">
        <v>41</v>
      </c>
      <c r="E1" s="9" t="s">
        <v>36</v>
      </c>
      <c r="F1" s="8" t="s">
        <v>34</v>
      </c>
      <c r="G1" s="8" t="s">
        <v>35</v>
      </c>
      <c r="H1" s="9" t="s">
        <v>39</v>
      </c>
      <c r="I1" s="8" t="s">
        <v>37</v>
      </c>
      <c r="J1" s="9" t="s">
        <v>60</v>
      </c>
      <c r="K1" s="8" t="s">
        <v>38</v>
      </c>
      <c r="L1" s="9" t="s">
        <v>61</v>
      </c>
      <c r="M1" s="9" t="s">
        <v>42</v>
      </c>
    </row>
    <row r="2" spans="1:13">
      <c r="A2" t="s">
        <v>77</v>
      </c>
      <c r="B2" t="s">
        <v>78</v>
      </c>
      <c r="C2" s="8">
        <v>15327</v>
      </c>
      <c r="D2" s="8">
        <v>0</v>
      </c>
      <c r="E2" s="9">
        <v>-1</v>
      </c>
      <c r="F2" s="8">
        <v>728132</v>
      </c>
      <c r="G2" s="8">
        <v>882796.78</v>
      </c>
      <c r="H2" s="9">
        <v>0.21241310641477099</v>
      </c>
      <c r="I2" s="8">
        <v>724858.57000000007</v>
      </c>
      <c r="J2" s="9">
        <v>0.99550434536595023</v>
      </c>
      <c r="K2" s="8">
        <v>882796.78</v>
      </c>
      <c r="L2" s="9">
        <v>1</v>
      </c>
      <c r="M2" s="9">
        <v>4.4956546340497727E-3</v>
      </c>
    </row>
    <row r="3" spans="1:13">
      <c r="A3" t="s">
        <v>11</v>
      </c>
      <c r="B3" t="s">
        <v>17</v>
      </c>
      <c r="C3" s="8">
        <v>25850.5</v>
      </c>
      <c r="D3" s="8">
        <v>1115.5</v>
      </c>
      <c r="E3" s="9">
        <v>-0.95684803001876173</v>
      </c>
      <c r="F3" s="8">
        <v>656885.55999999994</v>
      </c>
      <c r="G3" s="8">
        <v>999368.54</v>
      </c>
      <c r="H3" s="9">
        <v>0.52137389045361282</v>
      </c>
      <c r="I3" s="8">
        <v>656885.55999999994</v>
      </c>
      <c r="J3" s="9">
        <v>1</v>
      </c>
      <c r="K3" s="8">
        <v>999368.54</v>
      </c>
      <c r="L3" s="9">
        <v>1</v>
      </c>
      <c r="M3" s="9">
        <v>0</v>
      </c>
    </row>
    <row r="4" spans="1:13">
      <c r="A4" t="s">
        <v>10</v>
      </c>
      <c r="B4" t="s">
        <v>17</v>
      </c>
      <c r="C4" s="8">
        <v>123337.5</v>
      </c>
      <c r="D4" s="8">
        <v>2633</v>
      </c>
      <c r="E4" s="9">
        <v>-0.97865207256511599</v>
      </c>
      <c r="F4" s="8">
        <v>3108416.12</v>
      </c>
      <c r="G4" s="8">
        <v>3365261.8200000008</v>
      </c>
      <c r="H4" s="9">
        <v>8.2629123670868318E-2</v>
      </c>
      <c r="I4" s="8">
        <v>3108416.12</v>
      </c>
      <c r="J4" s="9">
        <v>1</v>
      </c>
      <c r="K4" s="8">
        <v>3365261.8200000008</v>
      </c>
      <c r="L4" s="9">
        <v>1</v>
      </c>
      <c r="M4" s="9">
        <v>0</v>
      </c>
    </row>
    <row r="5" spans="1:13">
      <c r="A5" t="s">
        <v>92</v>
      </c>
      <c r="B5" t="s">
        <v>93</v>
      </c>
      <c r="C5" s="8">
        <v>25850.5</v>
      </c>
      <c r="D5" s="8">
        <v>0</v>
      </c>
      <c r="E5" s="9">
        <v>-1</v>
      </c>
      <c r="F5" s="8">
        <v>1693654.37</v>
      </c>
      <c r="G5" s="8">
        <v>778778.70000000007</v>
      </c>
      <c r="H5" s="9">
        <v>-0.54017849580490263</v>
      </c>
      <c r="I5" s="8">
        <v>1693654.37</v>
      </c>
      <c r="J5" s="9">
        <v>1</v>
      </c>
      <c r="K5" s="8">
        <v>778778.70000000007</v>
      </c>
      <c r="L5" s="9">
        <v>1</v>
      </c>
      <c r="M5" s="9">
        <v>0</v>
      </c>
    </row>
    <row r="6" spans="1:13">
      <c r="A6" t="s">
        <v>95</v>
      </c>
      <c r="B6" t="s">
        <v>93</v>
      </c>
      <c r="C6" s="8">
        <v>112710</v>
      </c>
      <c r="D6" s="8">
        <v>0</v>
      </c>
      <c r="E6" s="9">
        <v>-1</v>
      </c>
      <c r="F6" s="8">
        <v>7576114.7100000009</v>
      </c>
      <c r="G6" s="8">
        <v>7067335.959999999</v>
      </c>
      <c r="H6" s="9">
        <v>-6.7155629168133571E-2</v>
      </c>
      <c r="I6" s="8">
        <v>7576114.7100000009</v>
      </c>
      <c r="J6" s="9">
        <v>1</v>
      </c>
      <c r="K6" s="8">
        <v>7067335.959999999</v>
      </c>
      <c r="L6" s="9">
        <v>1</v>
      </c>
      <c r="M6" s="9">
        <v>0</v>
      </c>
    </row>
    <row r="7" spans="1:13">
      <c r="A7" t="s">
        <v>105</v>
      </c>
      <c r="B7" t="s">
        <v>106</v>
      </c>
      <c r="C7" s="8">
        <v>78</v>
      </c>
      <c r="D7" s="8">
        <v>1</v>
      </c>
      <c r="E7" s="9">
        <v>-0.98717948717948723</v>
      </c>
      <c r="F7" s="8">
        <v>1197253.67</v>
      </c>
      <c r="G7" s="8">
        <v>1231858.75</v>
      </c>
      <c r="H7" s="9">
        <v>2.8903715951858453E-2</v>
      </c>
      <c r="I7" s="8">
        <v>1197253.67</v>
      </c>
      <c r="J7" s="9">
        <v>1</v>
      </c>
      <c r="K7" s="8">
        <v>1231858.75</v>
      </c>
      <c r="L7" s="9">
        <v>1</v>
      </c>
      <c r="M7" s="9">
        <v>0</v>
      </c>
    </row>
    <row r="8" spans="1:13">
      <c r="A8" t="s">
        <v>116</v>
      </c>
      <c r="B8" t="s">
        <v>78</v>
      </c>
      <c r="C8" s="8">
        <v>150</v>
      </c>
      <c r="D8" s="8">
        <v>0</v>
      </c>
      <c r="E8" s="9">
        <v>-1</v>
      </c>
      <c r="F8" s="8">
        <v>160500</v>
      </c>
      <c r="G8" s="8">
        <v>66144.539999999994</v>
      </c>
      <c r="H8" s="9">
        <v>-0.58788448598130849</v>
      </c>
      <c r="I8" s="8">
        <v>160500</v>
      </c>
      <c r="J8" s="9">
        <v>1</v>
      </c>
      <c r="K8" s="8">
        <v>66144.539999999994</v>
      </c>
      <c r="L8" s="9">
        <v>1</v>
      </c>
      <c r="M8" s="9">
        <v>0</v>
      </c>
    </row>
    <row r="9" spans="1:13">
      <c r="A9" t="s">
        <v>133</v>
      </c>
      <c r="B9" t="s">
        <v>134</v>
      </c>
      <c r="C9" s="8">
        <v>0</v>
      </c>
      <c r="D9" s="8">
        <v>0</v>
      </c>
      <c r="E9" s="9">
        <v>0</v>
      </c>
      <c r="F9" s="8">
        <v>47016.68</v>
      </c>
      <c r="G9" s="8">
        <v>0</v>
      </c>
      <c r="H9" s="9">
        <v>-1</v>
      </c>
      <c r="I9" s="8">
        <v>47016.68</v>
      </c>
      <c r="J9" s="9">
        <v>1</v>
      </c>
      <c r="K9" s="8">
        <v>0</v>
      </c>
      <c r="L9" s="9">
        <v>0</v>
      </c>
      <c r="M9" s="9">
        <v>0</v>
      </c>
    </row>
    <row r="10" spans="1:13">
      <c r="A10" t="s">
        <v>68</v>
      </c>
      <c r="B10" t="s">
        <v>17</v>
      </c>
      <c r="C10" s="8">
        <v>6470</v>
      </c>
      <c r="D10" s="8">
        <v>1500</v>
      </c>
      <c r="E10" s="9">
        <v>-0.768160741885626</v>
      </c>
      <c r="F10" s="8">
        <v>160960.29</v>
      </c>
      <c r="G10" s="8">
        <v>260738.23</v>
      </c>
      <c r="H10" s="9">
        <v>0.61989165153715864</v>
      </c>
      <c r="I10" s="8">
        <v>160960.29</v>
      </c>
      <c r="J10" s="9">
        <v>1</v>
      </c>
      <c r="K10" s="8">
        <v>260738.23</v>
      </c>
      <c r="L10" s="9">
        <v>1</v>
      </c>
      <c r="M10" s="9">
        <v>0</v>
      </c>
    </row>
    <row r="11" spans="1:13">
      <c r="A11" t="s">
        <v>199</v>
      </c>
      <c r="B11" t="s">
        <v>93</v>
      </c>
      <c r="C11" s="8">
        <v>825</v>
      </c>
      <c r="D11" s="8">
        <v>0</v>
      </c>
      <c r="E11" s="9">
        <v>-1</v>
      </c>
      <c r="F11" s="8">
        <v>463093.87</v>
      </c>
      <c r="G11" s="8">
        <v>568130.1100000001</v>
      </c>
      <c r="H11" s="9">
        <v>0.22681414461392052</v>
      </c>
      <c r="I11" s="8">
        <v>463093.87</v>
      </c>
      <c r="J11" s="9">
        <v>1</v>
      </c>
      <c r="K11" s="8">
        <v>568130.1100000001</v>
      </c>
      <c r="L11" s="9">
        <v>1</v>
      </c>
      <c r="M11" s="9">
        <v>0</v>
      </c>
    </row>
    <row r="12" spans="1:13">
      <c r="A12" t="s">
        <v>408</v>
      </c>
      <c r="B12" t="s">
        <v>409</v>
      </c>
      <c r="C12" s="8">
        <v>48.5</v>
      </c>
      <c r="D12" s="8">
        <v>0</v>
      </c>
      <c r="E12" s="9">
        <v>-1</v>
      </c>
      <c r="F12" s="8">
        <v>0</v>
      </c>
      <c r="G12" s="8">
        <v>0</v>
      </c>
      <c r="H12" s="9">
        <v>0</v>
      </c>
      <c r="I12" s="8">
        <v>0</v>
      </c>
      <c r="J12" s="9">
        <v>0</v>
      </c>
      <c r="K12" s="8">
        <v>0</v>
      </c>
      <c r="L12" s="9">
        <v>0</v>
      </c>
      <c r="M12" s="9">
        <v>0</v>
      </c>
    </row>
    <row r="13" spans="1:13">
      <c r="A13" t="s">
        <v>430</v>
      </c>
      <c r="B13" t="s">
        <v>78</v>
      </c>
      <c r="C13" s="8">
        <v>0</v>
      </c>
      <c r="D13" s="8">
        <v>0</v>
      </c>
      <c r="E13" s="9">
        <v>0</v>
      </c>
      <c r="F13" s="8">
        <v>139387.5</v>
      </c>
      <c r="G13" s="8">
        <v>2960967.16</v>
      </c>
      <c r="H13" s="9">
        <v>20.242702250919201</v>
      </c>
      <c r="I13" s="8">
        <v>139387.5</v>
      </c>
      <c r="J13" s="9">
        <v>1</v>
      </c>
      <c r="K13" s="8">
        <v>2960967.16</v>
      </c>
      <c r="L13" s="9">
        <v>1</v>
      </c>
      <c r="M13" s="9">
        <v>0</v>
      </c>
    </row>
    <row r="14" spans="1:13">
      <c r="A14" t="s">
        <v>591</v>
      </c>
      <c r="B14" t="s">
        <v>17</v>
      </c>
      <c r="C14" s="8">
        <v>0</v>
      </c>
      <c r="D14" s="8">
        <v>0</v>
      </c>
      <c r="E14" s="9">
        <v>0</v>
      </c>
      <c r="F14" s="8">
        <v>0</v>
      </c>
      <c r="G14" s="8">
        <v>269000</v>
      </c>
      <c r="H14" s="9">
        <v>1</v>
      </c>
      <c r="I14" s="8">
        <v>0</v>
      </c>
      <c r="J14" s="9">
        <v>0</v>
      </c>
      <c r="K14" s="8">
        <v>269000</v>
      </c>
      <c r="L14" s="9">
        <v>1</v>
      </c>
      <c r="M14" s="9">
        <v>0</v>
      </c>
    </row>
    <row r="15" spans="1:13">
      <c r="A15" t="s">
        <v>12</v>
      </c>
      <c r="C15" s="8">
        <f>SUBTOTAL(109,ByItem[Quantity Period A])</f>
        <v>310647</v>
      </c>
      <c r="D15" s="8">
        <f>SUBTOTAL(109,ByItem[Quantity Period B])</f>
        <v>5249.5</v>
      </c>
      <c r="E15" s="9">
        <f>(ByItem[[#Totals],[Quantity Period B]]-ByItem[[#Totals],[Quantity Period A]])/ByItem[[#Totals],[Quantity Period A]]</f>
        <v>-0.98310139804987651</v>
      </c>
      <c r="F15" s="8">
        <f>SUBTOTAL(109,ByItem[Sales Period A])</f>
        <v>15931414.77</v>
      </c>
      <c r="G15" s="8">
        <f>SUBTOTAL(109,ByItem[Sales Period B])</f>
        <v>18450380.59</v>
      </c>
      <c r="H15" s="9">
        <f>(ByItem[[#Totals],[Sales Period B]]-ByItem[[#Totals],[Sales Period A]])/ByItem[[#Totals],[Sales Period A]]</f>
        <v>0.1581131278273788</v>
      </c>
      <c r="I15" s="8">
        <f>SUBTOTAL(109,ByItem[Margin Period A])</f>
        <v>15928141.34</v>
      </c>
      <c r="J15" s="9">
        <f>ByItem[[#Totals],[Margin Period A]]/ByItem[[#Totals],[Sales Period A]]</f>
        <v>0.99979452986145567</v>
      </c>
      <c r="K15" s="8">
        <f>SUBTOTAL(109,ByItem[Margin Period B])</f>
        <v>18450380.59</v>
      </c>
      <c r="L15" s="9">
        <f>ByItem[[#Totals],[Margin Period B]]/ByItem[[#Totals],[Sales Period B]]</f>
        <v>1</v>
      </c>
      <c r="M15" s="9">
        <f>(ByItem[[#Totals],[Margin Period B]]/ByItem[[#Totals],[Sales Period B]])-(ByItem[[#Totals],[Margin Period A]]/ByItem[[#Totals],[Sales Period A]])</f>
        <v>2.0547013854432805E-4</v>
      </c>
    </row>
  </sheetData>
  <phoneticPr fontId="7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128"/>
  <sheetViews>
    <sheetView workbookViewId="0">
      <pane xSplit="1" ySplit="1" topLeftCell="D20" activePane="bottomRight" state="frozen"/>
      <selection pane="topRight" activeCell="B1" sqref="B1"/>
      <selection pane="bottomLeft" activeCell="A2" sqref="A2"/>
      <selection pane="bottomRight" activeCell="I6" sqref="I6"/>
    </sheetView>
  </sheetViews>
  <sheetFormatPr defaultRowHeight="15"/>
  <cols>
    <col min="1" max="1" width="19.140625" customWidth="1"/>
    <col min="2" max="2" width="31.7109375" customWidth="1"/>
    <col min="3" max="3" width="17.28515625" bestFit="1" customWidth="1"/>
    <col min="4" max="4" width="29" customWidth="1"/>
    <col min="5" max="5" width="18.85546875" customWidth="1"/>
    <col min="6" max="6" width="18.7109375" customWidth="1"/>
    <col min="7" max="7" width="13" bestFit="1" customWidth="1"/>
    <col min="8" max="8" width="17.7109375" customWidth="1"/>
    <col min="9" max="9" width="19" customWidth="1"/>
    <col min="10" max="10" width="17.28515625" customWidth="1"/>
    <col min="11" max="11" width="18.85546875" hidden="1" customWidth="1"/>
    <col min="12" max="12" width="13.85546875" customWidth="1"/>
    <col min="13" max="13" width="17.28515625" hidden="1" customWidth="1"/>
    <col min="14" max="14" width="12.5703125" customWidth="1"/>
    <col min="15" max="15" width="13.85546875" customWidth="1"/>
  </cols>
  <sheetData>
    <row r="1" spans="1:15">
      <c r="A1" t="s">
        <v>32</v>
      </c>
      <c r="B1" t="s">
        <v>15</v>
      </c>
      <c r="C1" t="s">
        <v>33</v>
      </c>
      <c r="D1" t="s">
        <v>16</v>
      </c>
      <c r="E1" s="8" t="s">
        <v>40</v>
      </c>
      <c r="F1" s="8" t="s">
        <v>41</v>
      </c>
      <c r="G1" s="9" t="s">
        <v>36</v>
      </c>
      <c r="H1" s="8" t="s">
        <v>34</v>
      </c>
      <c r="I1" s="8" t="s">
        <v>35</v>
      </c>
      <c r="J1" s="9" t="s">
        <v>39</v>
      </c>
      <c r="K1" s="8" t="s">
        <v>37</v>
      </c>
      <c r="L1" s="9" t="s">
        <v>60</v>
      </c>
      <c r="M1" s="8" t="s">
        <v>38</v>
      </c>
      <c r="N1" s="9" t="s">
        <v>61</v>
      </c>
      <c r="O1" s="9" t="s">
        <v>42</v>
      </c>
    </row>
    <row r="2" spans="1:15">
      <c r="A2" t="s">
        <v>75</v>
      </c>
      <c r="B2" t="s">
        <v>76</v>
      </c>
      <c r="C2" t="s">
        <v>77</v>
      </c>
      <c r="D2" t="s">
        <v>78</v>
      </c>
      <c r="E2" s="8">
        <v>728.5</v>
      </c>
      <c r="F2" s="8">
        <v>0</v>
      </c>
      <c r="G2" s="9">
        <v>-1</v>
      </c>
      <c r="H2" s="8">
        <v>89775</v>
      </c>
      <c r="I2" s="8">
        <v>164775</v>
      </c>
      <c r="J2" s="9">
        <v>0.83542188805346695</v>
      </c>
      <c r="K2" s="8">
        <v>86501.57</v>
      </c>
      <c r="L2" s="9">
        <v>0.96353739905318858</v>
      </c>
      <c r="M2" s="8">
        <v>164775</v>
      </c>
      <c r="N2" s="9">
        <v>1</v>
      </c>
      <c r="O2" s="9">
        <v>3.6462600946811419E-2</v>
      </c>
    </row>
    <row r="3" spans="1:15">
      <c r="A3" t="s">
        <v>82</v>
      </c>
      <c r="B3" t="s">
        <v>83</v>
      </c>
      <c r="C3" t="s">
        <v>11</v>
      </c>
      <c r="D3" t="s">
        <v>17</v>
      </c>
      <c r="E3" s="8">
        <v>9118</v>
      </c>
      <c r="F3" s="8">
        <v>0</v>
      </c>
      <c r="G3" s="9">
        <v>-1</v>
      </c>
      <c r="H3" s="8">
        <v>177414.28</v>
      </c>
      <c r="I3" s="8">
        <v>108696.8</v>
      </c>
      <c r="J3" s="9">
        <v>-0.38732778443764504</v>
      </c>
      <c r="K3" s="8">
        <v>177414.28</v>
      </c>
      <c r="L3" s="9">
        <v>1</v>
      </c>
      <c r="M3" s="8">
        <v>108696.8</v>
      </c>
      <c r="N3" s="9">
        <v>1</v>
      </c>
      <c r="O3" s="9">
        <v>0</v>
      </c>
    </row>
    <row r="4" spans="1:15">
      <c r="A4" t="s">
        <v>82</v>
      </c>
      <c r="B4" t="s">
        <v>83</v>
      </c>
      <c r="C4" t="s">
        <v>10</v>
      </c>
      <c r="D4" t="s">
        <v>17</v>
      </c>
      <c r="E4" s="8">
        <v>65812.5</v>
      </c>
      <c r="F4" s="8">
        <v>0</v>
      </c>
      <c r="G4" s="9">
        <v>-1</v>
      </c>
      <c r="H4" s="8">
        <v>1140085.03</v>
      </c>
      <c r="I4" s="8">
        <v>167269.20000000001</v>
      </c>
      <c r="J4" s="9">
        <v>-0.85328357482248496</v>
      </c>
      <c r="K4" s="8">
        <v>1140085.03</v>
      </c>
      <c r="L4" s="9">
        <v>1</v>
      </c>
      <c r="M4" s="8">
        <v>167269.20000000001</v>
      </c>
      <c r="N4" s="9">
        <v>1</v>
      </c>
      <c r="O4" s="9">
        <v>0</v>
      </c>
    </row>
    <row r="5" spans="1:15">
      <c r="A5" t="s">
        <v>87</v>
      </c>
      <c r="B5" t="s">
        <v>88</v>
      </c>
      <c r="C5" t="s">
        <v>11</v>
      </c>
      <c r="D5" t="s">
        <v>17</v>
      </c>
      <c r="E5" s="8">
        <v>10621.5</v>
      </c>
      <c r="F5" s="8">
        <v>0</v>
      </c>
      <c r="G5" s="9">
        <v>-1</v>
      </c>
      <c r="H5" s="8">
        <v>295557.27</v>
      </c>
      <c r="I5" s="8">
        <v>526769.74</v>
      </c>
      <c r="J5" s="9">
        <v>0.78229329293777805</v>
      </c>
      <c r="K5" s="8">
        <v>295557.27</v>
      </c>
      <c r="L5" s="9">
        <v>1</v>
      </c>
      <c r="M5" s="8">
        <v>526769.74</v>
      </c>
      <c r="N5" s="9">
        <v>1</v>
      </c>
      <c r="O5" s="9">
        <v>0</v>
      </c>
    </row>
    <row r="6" spans="1:15">
      <c r="A6" t="s">
        <v>87</v>
      </c>
      <c r="B6" t="s">
        <v>88</v>
      </c>
      <c r="C6" t="s">
        <v>10</v>
      </c>
      <c r="D6" t="s">
        <v>17</v>
      </c>
      <c r="E6" s="8">
        <v>52162.5</v>
      </c>
      <c r="F6" s="8">
        <v>0</v>
      </c>
      <c r="G6" s="9">
        <v>-1</v>
      </c>
      <c r="H6" s="8">
        <v>1600951.26</v>
      </c>
      <c r="I6" s="8">
        <v>2863299.08</v>
      </c>
      <c r="J6" s="9">
        <v>0.78849859551626833</v>
      </c>
      <c r="K6" s="8">
        <v>1600951.26</v>
      </c>
      <c r="L6" s="9">
        <v>1</v>
      </c>
      <c r="M6" s="8">
        <v>2863299.08</v>
      </c>
      <c r="N6" s="9">
        <v>1</v>
      </c>
      <c r="O6" s="9">
        <v>0</v>
      </c>
    </row>
    <row r="7" spans="1:15">
      <c r="A7" t="s">
        <v>87</v>
      </c>
      <c r="B7" t="s">
        <v>88</v>
      </c>
      <c r="C7" t="s">
        <v>92</v>
      </c>
      <c r="D7" t="s">
        <v>93</v>
      </c>
      <c r="E7" s="8">
        <v>25268.5</v>
      </c>
      <c r="F7" s="8">
        <v>0</v>
      </c>
      <c r="G7" s="9">
        <v>-1</v>
      </c>
      <c r="H7" s="8">
        <v>1442092.41</v>
      </c>
      <c r="I7" s="8">
        <v>309132.84000000003</v>
      </c>
      <c r="J7" s="9">
        <v>-0.78563590110012427</v>
      </c>
      <c r="K7" s="8">
        <v>1442092.41</v>
      </c>
      <c r="L7" s="9">
        <v>1</v>
      </c>
      <c r="M7" s="8">
        <v>309132.84000000003</v>
      </c>
      <c r="N7" s="9">
        <v>1</v>
      </c>
      <c r="O7" s="9">
        <v>0</v>
      </c>
    </row>
    <row r="8" spans="1:15">
      <c r="A8" t="s">
        <v>87</v>
      </c>
      <c r="B8" t="s">
        <v>88</v>
      </c>
      <c r="C8" t="s">
        <v>95</v>
      </c>
      <c r="D8" t="s">
        <v>93</v>
      </c>
      <c r="E8" s="8">
        <v>81900</v>
      </c>
      <c r="F8" s="8">
        <v>0</v>
      </c>
      <c r="G8" s="9">
        <v>-1</v>
      </c>
      <c r="H8" s="8">
        <v>4792903.8000000007</v>
      </c>
      <c r="I8" s="8">
        <v>3053371.84</v>
      </c>
      <c r="J8" s="9">
        <v>-0.36293905168720486</v>
      </c>
      <c r="K8" s="8">
        <v>4792903.8000000007</v>
      </c>
      <c r="L8" s="9">
        <v>1</v>
      </c>
      <c r="M8" s="8">
        <v>3053371.84</v>
      </c>
      <c r="N8" s="9">
        <v>1</v>
      </c>
      <c r="O8" s="9">
        <v>0</v>
      </c>
    </row>
    <row r="9" spans="1:15">
      <c r="A9" t="s">
        <v>75</v>
      </c>
      <c r="B9" t="s">
        <v>76</v>
      </c>
      <c r="C9" t="s">
        <v>95</v>
      </c>
      <c r="D9" t="s">
        <v>93</v>
      </c>
      <c r="E9" s="8">
        <v>487.5</v>
      </c>
      <c r="F9" s="8">
        <v>0</v>
      </c>
      <c r="G9" s="9">
        <v>-1</v>
      </c>
      <c r="H9" s="8">
        <v>92625</v>
      </c>
      <c r="I9" s="8">
        <v>69615</v>
      </c>
      <c r="J9" s="9">
        <v>-0.24842105263157896</v>
      </c>
      <c r="K9" s="8">
        <v>92625</v>
      </c>
      <c r="L9" s="9">
        <v>1</v>
      </c>
      <c r="M9" s="8">
        <v>69615</v>
      </c>
      <c r="N9" s="9">
        <v>1</v>
      </c>
      <c r="O9" s="9">
        <v>0</v>
      </c>
    </row>
    <row r="10" spans="1:15">
      <c r="A10" t="s">
        <v>75</v>
      </c>
      <c r="B10" t="s">
        <v>76</v>
      </c>
      <c r="C10" t="s">
        <v>92</v>
      </c>
      <c r="D10" t="s">
        <v>93</v>
      </c>
      <c r="E10" s="8">
        <v>0</v>
      </c>
      <c r="F10" s="8">
        <v>0</v>
      </c>
      <c r="G10" s="9">
        <v>0</v>
      </c>
      <c r="H10" s="8">
        <v>136770</v>
      </c>
      <c r="I10" s="8">
        <v>59461</v>
      </c>
      <c r="J10" s="9">
        <v>-0.56524822695035459</v>
      </c>
      <c r="K10" s="8">
        <v>136770</v>
      </c>
      <c r="L10" s="9">
        <v>1</v>
      </c>
      <c r="M10" s="8">
        <v>59461</v>
      </c>
      <c r="N10" s="9">
        <v>1</v>
      </c>
      <c r="O10" s="9">
        <v>0</v>
      </c>
    </row>
    <row r="11" spans="1:15">
      <c r="A11" t="s">
        <v>75</v>
      </c>
      <c r="B11" t="s">
        <v>76</v>
      </c>
      <c r="C11" t="s">
        <v>105</v>
      </c>
      <c r="D11" t="s">
        <v>106</v>
      </c>
      <c r="E11" s="8">
        <v>0</v>
      </c>
      <c r="F11" s="8">
        <v>0</v>
      </c>
      <c r="G11" s="9">
        <v>0</v>
      </c>
      <c r="H11" s="8">
        <v>52450</v>
      </c>
      <c r="I11" s="8">
        <v>118505</v>
      </c>
      <c r="J11" s="9">
        <v>1.259389895138227</v>
      </c>
      <c r="K11" s="8">
        <v>52450</v>
      </c>
      <c r="L11" s="9">
        <v>1</v>
      </c>
      <c r="M11" s="8">
        <v>118505</v>
      </c>
      <c r="N11" s="9">
        <v>1</v>
      </c>
      <c r="O11" s="9">
        <v>0</v>
      </c>
    </row>
    <row r="12" spans="1:15">
      <c r="A12" t="s">
        <v>108</v>
      </c>
      <c r="B12" t="s">
        <v>109</v>
      </c>
      <c r="C12" t="s">
        <v>11</v>
      </c>
      <c r="D12" t="s">
        <v>17</v>
      </c>
      <c r="E12" s="8">
        <v>0</v>
      </c>
      <c r="F12" s="8">
        <v>0</v>
      </c>
      <c r="G12" s="9">
        <v>0</v>
      </c>
      <c r="H12" s="8">
        <v>47154.61</v>
      </c>
      <c r="I12" s="8">
        <v>0</v>
      </c>
      <c r="J12" s="9">
        <v>-1</v>
      </c>
      <c r="K12" s="8">
        <v>47154.61</v>
      </c>
      <c r="L12" s="9">
        <v>1</v>
      </c>
      <c r="M12" s="8">
        <v>0</v>
      </c>
      <c r="N12" s="9">
        <v>0</v>
      </c>
      <c r="O12" s="9">
        <v>0</v>
      </c>
    </row>
    <row r="13" spans="1:15">
      <c r="A13" t="s">
        <v>75</v>
      </c>
      <c r="B13" t="s">
        <v>76</v>
      </c>
      <c r="C13" t="s">
        <v>116</v>
      </c>
      <c r="D13" t="s">
        <v>78</v>
      </c>
      <c r="E13" s="8">
        <v>150</v>
      </c>
      <c r="F13" s="8">
        <v>0</v>
      </c>
      <c r="G13" s="9">
        <v>-1</v>
      </c>
      <c r="H13" s="8">
        <v>7500</v>
      </c>
      <c r="I13" s="8">
        <v>0</v>
      </c>
      <c r="J13" s="9">
        <v>-1</v>
      </c>
      <c r="K13" s="8">
        <v>7500</v>
      </c>
      <c r="L13" s="9">
        <v>1</v>
      </c>
      <c r="M13" s="8">
        <v>0</v>
      </c>
      <c r="N13" s="9">
        <v>0</v>
      </c>
      <c r="O13" s="9">
        <v>0</v>
      </c>
    </row>
    <row r="14" spans="1:15">
      <c r="A14" t="s">
        <v>120</v>
      </c>
      <c r="B14" t="s">
        <v>121</v>
      </c>
      <c r="C14" t="s">
        <v>105</v>
      </c>
      <c r="D14" t="s">
        <v>106</v>
      </c>
      <c r="E14" s="8">
        <v>0</v>
      </c>
      <c r="F14" s="8">
        <v>0</v>
      </c>
      <c r="G14" s="9">
        <v>0</v>
      </c>
      <c r="H14" s="8">
        <v>9980.16</v>
      </c>
      <c r="I14" s="8">
        <v>0</v>
      </c>
      <c r="J14" s="9">
        <v>-1</v>
      </c>
      <c r="K14" s="8">
        <v>9980.16</v>
      </c>
      <c r="L14" s="9">
        <v>1</v>
      </c>
      <c r="M14" s="8">
        <v>0</v>
      </c>
      <c r="N14" s="9">
        <v>0</v>
      </c>
      <c r="O14" s="9">
        <v>0</v>
      </c>
    </row>
    <row r="15" spans="1:15">
      <c r="A15" t="s">
        <v>82</v>
      </c>
      <c r="B15" t="s">
        <v>83</v>
      </c>
      <c r="C15" t="s">
        <v>77</v>
      </c>
      <c r="D15" t="s">
        <v>78</v>
      </c>
      <c r="E15" s="8">
        <v>5044</v>
      </c>
      <c r="F15" s="8">
        <v>0</v>
      </c>
      <c r="G15" s="9">
        <v>-1</v>
      </c>
      <c r="H15" s="8">
        <v>228435</v>
      </c>
      <c r="I15" s="8">
        <v>38800</v>
      </c>
      <c r="J15" s="9">
        <v>-0.83014861995753719</v>
      </c>
      <c r="K15" s="8">
        <v>228435</v>
      </c>
      <c r="L15" s="9">
        <v>1</v>
      </c>
      <c r="M15" s="8">
        <v>38800</v>
      </c>
      <c r="N15" s="9">
        <v>1</v>
      </c>
      <c r="O15" s="9">
        <v>0</v>
      </c>
    </row>
    <row r="16" spans="1:15">
      <c r="A16" t="s">
        <v>82</v>
      </c>
      <c r="B16" t="s">
        <v>83</v>
      </c>
      <c r="C16" t="s">
        <v>133</v>
      </c>
      <c r="D16" t="s">
        <v>134</v>
      </c>
      <c r="E16" s="8">
        <v>0</v>
      </c>
      <c r="F16" s="8">
        <v>0</v>
      </c>
      <c r="G16" s="9">
        <v>0</v>
      </c>
      <c r="H16" s="8">
        <v>13475</v>
      </c>
      <c r="I16" s="8">
        <v>0</v>
      </c>
      <c r="J16" s="9">
        <v>-1</v>
      </c>
      <c r="K16" s="8">
        <v>13475</v>
      </c>
      <c r="L16" s="9">
        <v>1</v>
      </c>
      <c r="M16" s="8">
        <v>0</v>
      </c>
      <c r="N16" s="9">
        <v>0</v>
      </c>
      <c r="O16" s="9">
        <v>0</v>
      </c>
    </row>
    <row r="17" spans="1:15">
      <c r="A17" t="s">
        <v>136</v>
      </c>
      <c r="B17" t="s">
        <v>137</v>
      </c>
      <c r="C17" t="s">
        <v>68</v>
      </c>
      <c r="D17" t="s">
        <v>17</v>
      </c>
      <c r="E17" s="8">
        <v>0</v>
      </c>
      <c r="F17" s="8">
        <v>0</v>
      </c>
      <c r="G17" s="9">
        <v>0</v>
      </c>
      <c r="H17" s="8">
        <v>12075</v>
      </c>
      <c r="I17" s="8">
        <v>0</v>
      </c>
      <c r="J17" s="9">
        <v>-1</v>
      </c>
      <c r="K17" s="8">
        <v>12075</v>
      </c>
      <c r="L17" s="9">
        <v>1</v>
      </c>
      <c r="M17" s="8">
        <v>0</v>
      </c>
      <c r="N17" s="9">
        <v>0</v>
      </c>
      <c r="O17" s="9">
        <v>0</v>
      </c>
    </row>
    <row r="18" spans="1:15">
      <c r="A18" t="s">
        <v>136</v>
      </c>
      <c r="B18" t="s">
        <v>137</v>
      </c>
      <c r="C18" t="s">
        <v>10</v>
      </c>
      <c r="D18" t="s">
        <v>17</v>
      </c>
      <c r="E18" s="8">
        <v>0</v>
      </c>
      <c r="F18" s="8">
        <v>0</v>
      </c>
      <c r="G18" s="9">
        <v>0</v>
      </c>
      <c r="H18" s="8">
        <v>29152.5</v>
      </c>
      <c r="I18" s="8">
        <v>0</v>
      </c>
      <c r="J18" s="9">
        <v>-1</v>
      </c>
      <c r="K18" s="8">
        <v>29152.5</v>
      </c>
      <c r="L18" s="9">
        <v>1</v>
      </c>
      <c r="M18" s="8">
        <v>0</v>
      </c>
      <c r="N18" s="9">
        <v>0</v>
      </c>
      <c r="O18" s="9">
        <v>0</v>
      </c>
    </row>
    <row r="19" spans="1:15">
      <c r="A19" t="s">
        <v>136</v>
      </c>
      <c r="B19" t="s">
        <v>137</v>
      </c>
      <c r="C19" t="s">
        <v>105</v>
      </c>
      <c r="D19" t="s">
        <v>106</v>
      </c>
      <c r="E19" s="8">
        <v>78</v>
      </c>
      <c r="F19" s="8">
        <v>0</v>
      </c>
      <c r="G19" s="9">
        <v>-1</v>
      </c>
      <c r="H19" s="8">
        <v>18219</v>
      </c>
      <c r="I19" s="8">
        <v>0</v>
      </c>
      <c r="J19" s="9">
        <v>-1</v>
      </c>
      <c r="K19" s="8">
        <v>18219</v>
      </c>
      <c r="L19" s="9">
        <v>1</v>
      </c>
      <c r="M19" s="8">
        <v>0</v>
      </c>
      <c r="N19" s="9">
        <v>0</v>
      </c>
      <c r="O19" s="9">
        <v>0</v>
      </c>
    </row>
    <row r="20" spans="1:15">
      <c r="A20" t="s">
        <v>143</v>
      </c>
      <c r="B20" t="s">
        <v>144</v>
      </c>
      <c r="C20" t="s">
        <v>77</v>
      </c>
      <c r="D20" t="s">
        <v>78</v>
      </c>
      <c r="E20" s="8">
        <v>9554.5</v>
      </c>
      <c r="F20" s="8">
        <v>0</v>
      </c>
      <c r="G20" s="9">
        <v>-1</v>
      </c>
      <c r="H20" s="8">
        <v>400222</v>
      </c>
      <c r="I20" s="8">
        <v>294414.28000000003</v>
      </c>
      <c r="J20" s="9">
        <v>-0.26437257322186181</v>
      </c>
      <c r="K20" s="8">
        <v>400222</v>
      </c>
      <c r="L20" s="9">
        <v>1</v>
      </c>
      <c r="M20" s="8">
        <v>294414.28000000003</v>
      </c>
      <c r="N20" s="9">
        <v>1</v>
      </c>
      <c r="O20" s="9">
        <v>0</v>
      </c>
    </row>
    <row r="21" spans="1:15">
      <c r="A21" t="s">
        <v>151</v>
      </c>
      <c r="B21" t="s">
        <v>152</v>
      </c>
      <c r="C21" t="s">
        <v>105</v>
      </c>
      <c r="D21" t="s">
        <v>106</v>
      </c>
      <c r="E21" s="8">
        <v>0</v>
      </c>
      <c r="F21" s="8">
        <v>0</v>
      </c>
      <c r="G21" s="9">
        <v>0</v>
      </c>
      <c r="H21" s="8">
        <v>58808</v>
      </c>
      <c r="I21" s="8">
        <v>0</v>
      </c>
      <c r="J21" s="9">
        <v>-1</v>
      </c>
      <c r="K21" s="8">
        <v>58808</v>
      </c>
      <c r="L21" s="9">
        <v>1</v>
      </c>
      <c r="M21" s="8">
        <v>0</v>
      </c>
      <c r="N21" s="9">
        <v>0</v>
      </c>
      <c r="O21" s="9">
        <v>0</v>
      </c>
    </row>
    <row r="22" spans="1:15">
      <c r="A22" t="s">
        <v>157</v>
      </c>
      <c r="B22" t="s">
        <v>158</v>
      </c>
      <c r="C22" t="s">
        <v>10</v>
      </c>
      <c r="D22" t="s">
        <v>17</v>
      </c>
      <c r="E22" s="8">
        <v>0</v>
      </c>
      <c r="F22" s="8">
        <v>0</v>
      </c>
      <c r="G22" s="9">
        <v>0</v>
      </c>
      <c r="H22" s="8">
        <v>17618.13</v>
      </c>
      <c r="I22" s="8">
        <v>0</v>
      </c>
      <c r="J22" s="9">
        <v>-1</v>
      </c>
      <c r="K22" s="8">
        <v>17618.13</v>
      </c>
      <c r="L22" s="9">
        <v>1</v>
      </c>
      <c r="M22" s="8">
        <v>0</v>
      </c>
      <c r="N22" s="9">
        <v>0</v>
      </c>
      <c r="O22" s="9">
        <v>0</v>
      </c>
    </row>
    <row r="23" spans="1:15">
      <c r="A23" t="s">
        <v>157</v>
      </c>
      <c r="B23" t="s">
        <v>158</v>
      </c>
      <c r="C23" t="s">
        <v>68</v>
      </c>
      <c r="D23" t="s">
        <v>17</v>
      </c>
      <c r="E23" s="8">
        <v>0</v>
      </c>
      <c r="F23" s="8">
        <v>0</v>
      </c>
      <c r="G23" s="9">
        <v>0</v>
      </c>
      <c r="H23" s="8">
        <v>3369.99</v>
      </c>
      <c r="I23" s="8">
        <v>0</v>
      </c>
      <c r="J23" s="9">
        <v>-1</v>
      </c>
      <c r="K23" s="8">
        <v>3369.99</v>
      </c>
      <c r="L23" s="9">
        <v>1</v>
      </c>
      <c r="M23" s="8">
        <v>0</v>
      </c>
      <c r="N23" s="9">
        <v>0</v>
      </c>
      <c r="O23" s="9">
        <v>0</v>
      </c>
    </row>
    <row r="24" spans="1:15">
      <c r="A24" t="s">
        <v>157</v>
      </c>
      <c r="B24" t="s">
        <v>158</v>
      </c>
      <c r="C24" t="s">
        <v>11</v>
      </c>
      <c r="D24" t="s">
        <v>17</v>
      </c>
      <c r="E24" s="8">
        <v>0</v>
      </c>
      <c r="F24" s="8">
        <v>0</v>
      </c>
      <c r="G24" s="9">
        <v>0</v>
      </c>
      <c r="H24" s="8">
        <v>1123.33</v>
      </c>
      <c r="I24" s="8">
        <v>0</v>
      </c>
      <c r="J24" s="9">
        <v>-1</v>
      </c>
      <c r="K24" s="8">
        <v>1123.33</v>
      </c>
      <c r="L24" s="9">
        <v>1</v>
      </c>
      <c r="M24" s="8">
        <v>0</v>
      </c>
      <c r="N24" s="9">
        <v>0</v>
      </c>
      <c r="O24" s="9">
        <v>0</v>
      </c>
    </row>
    <row r="25" spans="1:15">
      <c r="A25" t="s">
        <v>157</v>
      </c>
      <c r="B25" t="s">
        <v>158</v>
      </c>
      <c r="C25" t="s">
        <v>133</v>
      </c>
      <c r="D25" t="s">
        <v>134</v>
      </c>
      <c r="E25" s="8">
        <v>0</v>
      </c>
      <c r="F25" s="8">
        <v>0</v>
      </c>
      <c r="G25" s="9">
        <v>0</v>
      </c>
      <c r="H25" s="8">
        <v>10127.799999999999</v>
      </c>
      <c r="I25" s="8">
        <v>0</v>
      </c>
      <c r="J25" s="9">
        <v>-1</v>
      </c>
      <c r="K25" s="8">
        <v>10127.799999999999</v>
      </c>
      <c r="L25" s="9">
        <v>1</v>
      </c>
      <c r="M25" s="8">
        <v>0</v>
      </c>
      <c r="N25" s="9">
        <v>0</v>
      </c>
      <c r="O25" s="9">
        <v>0</v>
      </c>
    </row>
    <row r="26" spans="1:15">
      <c r="A26" t="s">
        <v>143</v>
      </c>
      <c r="B26" t="s">
        <v>144</v>
      </c>
      <c r="C26" t="s">
        <v>92</v>
      </c>
      <c r="D26" t="s">
        <v>93</v>
      </c>
      <c r="E26" s="8">
        <v>0</v>
      </c>
      <c r="F26" s="8">
        <v>0</v>
      </c>
      <c r="G26" s="9">
        <v>0</v>
      </c>
      <c r="H26" s="8">
        <v>26675</v>
      </c>
      <c r="I26" s="8">
        <v>64020</v>
      </c>
      <c r="J26" s="9">
        <v>1.4</v>
      </c>
      <c r="K26" s="8">
        <v>26675</v>
      </c>
      <c r="L26" s="9">
        <v>1</v>
      </c>
      <c r="M26" s="8">
        <v>64020</v>
      </c>
      <c r="N26" s="9">
        <v>1</v>
      </c>
      <c r="O26" s="9">
        <v>0</v>
      </c>
    </row>
    <row r="27" spans="1:15">
      <c r="A27" t="s">
        <v>143</v>
      </c>
      <c r="B27" t="s">
        <v>144</v>
      </c>
      <c r="C27" t="s">
        <v>95</v>
      </c>
      <c r="D27" t="s">
        <v>93</v>
      </c>
      <c r="E27" s="8">
        <v>0</v>
      </c>
      <c r="F27" s="8">
        <v>0</v>
      </c>
      <c r="G27" s="9">
        <v>0</v>
      </c>
      <c r="H27" s="8">
        <v>369525</v>
      </c>
      <c r="I27" s="8">
        <v>40295.599999999999</v>
      </c>
      <c r="J27" s="9">
        <v>-0.89095298017725466</v>
      </c>
      <c r="K27" s="8">
        <v>369525</v>
      </c>
      <c r="L27" s="9">
        <v>1</v>
      </c>
      <c r="M27" s="8">
        <v>40295.599999999999</v>
      </c>
      <c r="N27" s="9">
        <v>1</v>
      </c>
      <c r="O27" s="9">
        <v>0</v>
      </c>
    </row>
    <row r="28" spans="1:15">
      <c r="A28" t="s">
        <v>143</v>
      </c>
      <c r="B28" t="s">
        <v>144</v>
      </c>
      <c r="C28" t="s">
        <v>105</v>
      </c>
      <c r="D28" t="s">
        <v>106</v>
      </c>
      <c r="E28" s="8">
        <v>0</v>
      </c>
      <c r="F28" s="8">
        <v>1</v>
      </c>
      <c r="G28" s="9">
        <v>0</v>
      </c>
      <c r="H28" s="8">
        <v>125775</v>
      </c>
      <c r="I28" s="8">
        <v>451445.75</v>
      </c>
      <c r="J28" s="9">
        <v>2.5893122639634267</v>
      </c>
      <c r="K28" s="8">
        <v>125775</v>
      </c>
      <c r="L28" s="9">
        <v>1</v>
      </c>
      <c r="M28" s="8">
        <v>451445.75</v>
      </c>
      <c r="N28" s="9">
        <v>1</v>
      </c>
      <c r="O28" s="9">
        <v>0</v>
      </c>
    </row>
    <row r="29" spans="1:15">
      <c r="A29" t="s">
        <v>177</v>
      </c>
      <c r="B29" t="s">
        <v>178</v>
      </c>
      <c r="C29" t="s">
        <v>105</v>
      </c>
      <c r="D29" t="s">
        <v>106</v>
      </c>
      <c r="E29" s="8">
        <v>0</v>
      </c>
      <c r="F29" s="8">
        <v>0</v>
      </c>
      <c r="G29" s="9">
        <v>0</v>
      </c>
      <c r="H29" s="8">
        <v>6400</v>
      </c>
      <c r="I29" s="8">
        <v>0</v>
      </c>
      <c r="J29" s="9">
        <v>-1</v>
      </c>
      <c r="K29" s="8">
        <v>6400</v>
      </c>
      <c r="L29" s="9">
        <v>1</v>
      </c>
      <c r="M29" s="8">
        <v>0</v>
      </c>
      <c r="N29" s="9">
        <v>0</v>
      </c>
      <c r="O29" s="9">
        <v>0</v>
      </c>
    </row>
    <row r="30" spans="1:15">
      <c r="A30" t="s">
        <v>143</v>
      </c>
      <c r="B30" t="s">
        <v>144</v>
      </c>
      <c r="C30" t="s">
        <v>11</v>
      </c>
      <c r="D30" t="s">
        <v>17</v>
      </c>
      <c r="E30" s="8">
        <v>5044</v>
      </c>
      <c r="F30" s="8">
        <v>1115.5</v>
      </c>
      <c r="G30" s="9">
        <v>-0.77884615384615385</v>
      </c>
      <c r="H30" s="8">
        <v>100880</v>
      </c>
      <c r="I30" s="8">
        <v>204767</v>
      </c>
      <c r="J30" s="9">
        <v>1.0298076923076922</v>
      </c>
      <c r="K30" s="8">
        <v>100880</v>
      </c>
      <c r="L30" s="9">
        <v>1</v>
      </c>
      <c r="M30" s="8">
        <v>204767</v>
      </c>
      <c r="N30" s="9">
        <v>1</v>
      </c>
      <c r="O30" s="9">
        <v>0</v>
      </c>
    </row>
    <row r="31" spans="1:15">
      <c r="A31" t="s">
        <v>82</v>
      </c>
      <c r="B31" t="s">
        <v>83</v>
      </c>
      <c r="C31" t="s">
        <v>105</v>
      </c>
      <c r="D31" t="s">
        <v>106</v>
      </c>
      <c r="E31" s="8">
        <v>0</v>
      </c>
      <c r="F31" s="8">
        <v>0</v>
      </c>
      <c r="G31" s="9">
        <v>0</v>
      </c>
      <c r="H31" s="8">
        <v>654585.54999999993</v>
      </c>
      <c r="I31" s="8">
        <v>402125</v>
      </c>
      <c r="J31" s="9">
        <v>-0.38567999247768298</v>
      </c>
      <c r="K31" s="8">
        <v>654585.54999999993</v>
      </c>
      <c r="L31" s="9">
        <v>1</v>
      </c>
      <c r="M31" s="8">
        <v>402125</v>
      </c>
      <c r="N31" s="9">
        <v>1</v>
      </c>
      <c r="O31" s="9">
        <v>0</v>
      </c>
    </row>
    <row r="32" spans="1:15">
      <c r="A32" t="s">
        <v>195</v>
      </c>
      <c r="B32" t="s">
        <v>196</v>
      </c>
      <c r="C32" t="s">
        <v>92</v>
      </c>
      <c r="D32" t="s">
        <v>93</v>
      </c>
      <c r="E32" s="8">
        <v>388</v>
      </c>
      <c r="F32" s="8">
        <v>0</v>
      </c>
      <c r="G32" s="9">
        <v>-1</v>
      </c>
      <c r="H32" s="8">
        <v>18236</v>
      </c>
      <c r="I32" s="8">
        <v>0</v>
      </c>
      <c r="J32" s="9">
        <v>-1</v>
      </c>
      <c r="K32" s="8">
        <v>18236</v>
      </c>
      <c r="L32" s="9">
        <v>1</v>
      </c>
      <c r="M32" s="8">
        <v>0</v>
      </c>
      <c r="N32" s="9">
        <v>0</v>
      </c>
      <c r="O32" s="9">
        <v>0</v>
      </c>
    </row>
    <row r="33" spans="1:15">
      <c r="A33" t="s">
        <v>195</v>
      </c>
      <c r="B33" t="s">
        <v>196</v>
      </c>
      <c r="C33" t="s">
        <v>199</v>
      </c>
      <c r="D33" t="s">
        <v>93</v>
      </c>
      <c r="E33" s="8">
        <v>0</v>
      </c>
      <c r="F33" s="8">
        <v>0</v>
      </c>
      <c r="G33" s="9">
        <v>0</v>
      </c>
      <c r="H33" s="8">
        <v>0</v>
      </c>
      <c r="I33" s="8">
        <v>0</v>
      </c>
      <c r="J33" s="9">
        <v>0</v>
      </c>
      <c r="K33" s="8">
        <v>0</v>
      </c>
      <c r="L33" s="9">
        <v>0</v>
      </c>
      <c r="M33" s="8">
        <v>0</v>
      </c>
      <c r="N33" s="9">
        <v>0</v>
      </c>
      <c r="O33" s="9">
        <v>0</v>
      </c>
    </row>
    <row r="34" spans="1:15">
      <c r="A34" t="s">
        <v>195</v>
      </c>
      <c r="B34" t="s">
        <v>196</v>
      </c>
      <c r="C34" t="s">
        <v>95</v>
      </c>
      <c r="D34" t="s">
        <v>93</v>
      </c>
      <c r="E34" s="8">
        <v>4680</v>
      </c>
      <c r="F34" s="8">
        <v>0</v>
      </c>
      <c r="G34" s="9">
        <v>-1</v>
      </c>
      <c r="H34" s="8">
        <v>219960</v>
      </c>
      <c r="I34" s="8">
        <v>0</v>
      </c>
      <c r="J34" s="9">
        <v>-1</v>
      </c>
      <c r="K34" s="8">
        <v>219960</v>
      </c>
      <c r="L34" s="9">
        <v>1</v>
      </c>
      <c r="M34" s="8">
        <v>0</v>
      </c>
      <c r="N34" s="9">
        <v>0</v>
      </c>
      <c r="O34" s="9">
        <v>0</v>
      </c>
    </row>
    <row r="35" spans="1:15">
      <c r="A35" t="s">
        <v>195</v>
      </c>
      <c r="B35" t="s">
        <v>196</v>
      </c>
      <c r="C35" t="s">
        <v>105</v>
      </c>
      <c r="D35" t="s">
        <v>106</v>
      </c>
      <c r="E35" s="8">
        <v>0</v>
      </c>
      <c r="F35" s="8">
        <v>0</v>
      </c>
      <c r="G35" s="9">
        <v>0</v>
      </c>
      <c r="H35" s="8">
        <v>86975</v>
      </c>
      <c r="I35" s="8">
        <v>0</v>
      </c>
      <c r="J35" s="9">
        <v>-1</v>
      </c>
      <c r="K35" s="8">
        <v>86975</v>
      </c>
      <c r="L35" s="9">
        <v>1</v>
      </c>
      <c r="M35" s="8">
        <v>0</v>
      </c>
      <c r="N35" s="9">
        <v>0</v>
      </c>
      <c r="O35" s="9">
        <v>0</v>
      </c>
    </row>
    <row r="36" spans="1:15">
      <c r="A36" t="s">
        <v>195</v>
      </c>
      <c r="B36" t="s">
        <v>196</v>
      </c>
      <c r="C36" t="s">
        <v>133</v>
      </c>
      <c r="D36" t="s">
        <v>134</v>
      </c>
      <c r="E36" s="8">
        <v>0</v>
      </c>
      <c r="F36" s="8">
        <v>0</v>
      </c>
      <c r="G36" s="9">
        <v>0</v>
      </c>
      <c r="H36" s="8">
        <v>17925</v>
      </c>
      <c r="I36" s="8">
        <v>0</v>
      </c>
      <c r="J36" s="9">
        <v>-1</v>
      </c>
      <c r="K36" s="8">
        <v>17925</v>
      </c>
      <c r="L36" s="9">
        <v>1</v>
      </c>
      <c r="M36" s="8">
        <v>0</v>
      </c>
      <c r="N36" s="9">
        <v>0</v>
      </c>
      <c r="O36" s="9">
        <v>0</v>
      </c>
    </row>
    <row r="37" spans="1:15">
      <c r="A37" t="s">
        <v>143</v>
      </c>
      <c r="B37" t="s">
        <v>144</v>
      </c>
      <c r="C37" t="s">
        <v>199</v>
      </c>
      <c r="D37" t="s">
        <v>93</v>
      </c>
      <c r="E37" s="8">
        <v>0</v>
      </c>
      <c r="F37" s="8">
        <v>0</v>
      </c>
      <c r="G37" s="9">
        <v>0</v>
      </c>
      <c r="H37" s="8">
        <v>317425</v>
      </c>
      <c r="I37" s="8">
        <v>59247.42</v>
      </c>
      <c r="J37" s="9">
        <v>-0.81334986217216676</v>
      </c>
      <c r="K37" s="8">
        <v>317425</v>
      </c>
      <c r="L37" s="9">
        <v>1</v>
      </c>
      <c r="M37" s="8">
        <v>59247.42</v>
      </c>
      <c r="N37" s="9">
        <v>1</v>
      </c>
      <c r="O37" s="9">
        <v>0</v>
      </c>
    </row>
    <row r="38" spans="1:15">
      <c r="A38" t="s">
        <v>210</v>
      </c>
      <c r="B38" t="s">
        <v>211</v>
      </c>
      <c r="C38" t="s">
        <v>116</v>
      </c>
      <c r="D38" t="s">
        <v>78</v>
      </c>
      <c r="E38" s="8">
        <v>0</v>
      </c>
      <c r="F38" s="8">
        <v>0</v>
      </c>
      <c r="G38" s="9">
        <v>0</v>
      </c>
      <c r="H38" s="8">
        <v>51750</v>
      </c>
      <c r="I38" s="8">
        <v>0</v>
      </c>
      <c r="J38" s="9">
        <v>-1</v>
      </c>
      <c r="K38" s="8">
        <v>51750</v>
      </c>
      <c r="L38" s="9">
        <v>1</v>
      </c>
      <c r="M38" s="8">
        <v>0</v>
      </c>
      <c r="N38" s="9">
        <v>0</v>
      </c>
      <c r="O38" s="9">
        <v>0</v>
      </c>
    </row>
    <row r="39" spans="1:15">
      <c r="A39" t="s">
        <v>214</v>
      </c>
      <c r="B39" t="s">
        <v>215</v>
      </c>
      <c r="C39" t="s">
        <v>92</v>
      </c>
      <c r="D39" t="s">
        <v>93</v>
      </c>
      <c r="E39" s="8">
        <v>0</v>
      </c>
      <c r="F39" s="8">
        <v>0</v>
      </c>
      <c r="G39" s="9">
        <v>0</v>
      </c>
      <c r="H39" s="8">
        <v>11336.880000000001</v>
      </c>
      <c r="I39" s="8">
        <v>33271</v>
      </c>
      <c r="J39" s="9">
        <v>1.934758063947047</v>
      </c>
      <c r="K39" s="8">
        <v>11336.880000000001</v>
      </c>
      <c r="L39" s="9">
        <v>1</v>
      </c>
      <c r="M39" s="8">
        <v>33271</v>
      </c>
      <c r="N39" s="9">
        <v>1</v>
      </c>
      <c r="O39" s="9">
        <v>0</v>
      </c>
    </row>
    <row r="40" spans="1:15">
      <c r="A40" t="s">
        <v>214</v>
      </c>
      <c r="B40" t="s">
        <v>215</v>
      </c>
      <c r="C40" t="s">
        <v>199</v>
      </c>
      <c r="D40" t="s">
        <v>93</v>
      </c>
      <c r="E40" s="8">
        <v>0</v>
      </c>
      <c r="F40" s="8">
        <v>0</v>
      </c>
      <c r="G40" s="9">
        <v>0</v>
      </c>
      <c r="H40" s="8">
        <v>4125</v>
      </c>
      <c r="I40" s="8">
        <v>81750</v>
      </c>
      <c r="J40" s="9">
        <v>18.818181818181817</v>
      </c>
      <c r="K40" s="8">
        <v>4125</v>
      </c>
      <c r="L40" s="9">
        <v>1</v>
      </c>
      <c r="M40" s="8">
        <v>81750</v>
      </c>
      <c r="N40" s="9">
        <v>1</v>
      </c>
      <c r="O40" s="9">
        <v>0</v>
      </c>
    </row>
    <row r="41" spans="1:15">
      <c r="A41" t="s">
        <v>214</v>
      </c>
      <c r="B41" t="s">
        <v>215</v>
      </c>
      <c r="C41" t="s">
        <v>95</v>
      </c>
      <c r="D41" t="s">
        <v>93</v>
      </c>
      <c r="E41" s="8">
        <v>0</v>
      </c>
      <c r="F41" s="8">
        <v>0</v>
      </c>
      <c r="G41" s="9">
        <v>0</v>
      </c>
      <c r="H41" s="8">
        <v>209137.5</v>
      </c>
      <c r="I41" s="8">
        <v>370207.5</v>
      </c>
      <c r="J41" s="9">
        <v>0.77016317016317015</v>
      </c>
      <c r="K41" s="8">
        <v>209137.5</v>
      </c>
      <c r="L41" s="9">
        <v>1</v>
      </c>
      <c r="M41" s="8">
        <v>370207.5</v>
      </c>
      <c r="N41" s="9">
        <v>1</v>
      </c>
      <c r="O41" s="9">
        <v>0</v>
      </c>
    </row>
    <row r="42" spans="1:15">
      <c r="A42" t="s">
        <v>214</v>
      </c>
      <c r="B42" t="s">
        <v>215</v>
      </c>
      <c r="C42" t="s">
        <v>105</v>
      </c>
      <c r="D42" t="s">
        <v>106</v>
      </c>
      <c r="E42" s="8">
        <v>0</v>
      </c>
      <c r="F42" s="8">
        <v>0</v>
      </c>
      <c r="G42" s="9">
        <v>0</v>
      </c>
      <c r="H42" s="8">
        <v>34950</v>
      </c>
      <c r="I42" s="8">
        <v>47550</v>
      </c>
      <c r="J42" s="9">
        <v>0.36051502145922748</v>
      </c>
      <c r="K42" s="8">
        <v>34950</v>
      </c>
      <c r="L42" s="9">
        <v>1</v>
      </c>
      <c r="M42" s="8">
        <v>47550</v>
      </c>
      <c r="N42" s="9">
        <v>1</v>
      </c>
      <c r="O42" s="9">
        <v>0</v>
      </c>
    </row>
    <row r="43" spans="1:15">
      <c r="A43" t="s">
        <v>230</v>
      </c>
      <c r="B43" t="s">
        <v>231</v>
      </c>
      <c r="C43" t="s">
        <v>199</v>
      </c>
      <c r="D43" t="s">
        <v>93</v>
      </c>
      <c r="E43" s="8">
        <v>0</v>
      </c>
      <c r="F43" s="8">
        <v>0</v>
      </c>
      <c r="G43" s="9">
        <v>0</v>
      </c>
      <c r="H43" s="8">
        <v>31537.129999999997</v>
      </c>
      <c r="I43" s="8">
        <v>0</v>
      </c>
      <c r="J43" s="9">
        <v>-1</v>
      </c>
      <c r="K43" s="8">
        <v>31537.129999999997</v>
      </c>
      <c r="L43" s="9">
        <v>1</v>
      </c>
      <c r="M43" s="8">
        <v>0</v>
      </c>
      <c r="N43" s="9">
        <v>0</v>
      </c>
      <c r="O43" s="9">
        <v>0</v>
      </c>
    </row>
    <row r="44" spans="1:15">
      <c r="A44" t="s">
        <v>230</v>
      </c>
      <c r="B44" t="s">
        <v>231</v>
      </c>
      <c r="C44" t="s">
        <v>95</v>
      </c>
      <c r="D44" t="s">
        <v>93</v>
      </c>
      <c r="E44" s="8">
        <v>0</v>
      </c>
      <c r="F44" s="8">
        <v>0</v>
      </c>
      <c r="G44" s="9">
        <v>0</v>
      </c>
      <c r="H44" s="8">
        <v>81996.53</v>
      </c>
      <c r="I44" s="8">
        <v>0</v>
      </c>
      <c r="J44" s="9">
        <v>-1</v>
      </c>
      <c r="K44" s="8">
        <v>81996.53</v>
      </c>
      <c r="L44" s="9">
        <v>1</v>
      </c>
      <c r="M44" s="8">
        <v>0</v>
      </c>
      <c r="N44" s="9">
        <v>0</v>
      </c>
      <c r="O44" s="9">
        <v>0</v>
      </c>
    </row>
    <row r="45" spans="1:15">
      <c r="A45" t="s">
        <v>230</v>
      </c>
      <c r="B45" t="s">
        <v>231</v>
      </c>
      <c r="C45" t="s">
        <v>105</v>
      </c>
      <c r="D45" t="s">
        <v>106</v>
      </c>
      <c r="E45" s="8">
        <v>0</v>
      </c>
      <c r="F45" s="8">
        <v>0</v>
      </c>
      <c r="G45" s="9">
        <v>0</v>
      </c>
      <c r="H45" s="8">
        <v>3624.96</v>
      </c>
      <c r="I45" s="8">
        <v>0</v>
      </c>
      <c r="J45" s="9">
        <v>-1</v>
      </c>
      <c r="K45" s="8">
        <v>3624.96</v>
      </c>
      <c r="L45" s="9">
        <v>1</v>
      </c>
      <c r="M45" s="8">
        <v>0</v>
      </c>
      <c r="N45" s="9">
        <v>0</v>
      </c>
      <c r="O45" s="9">
        <v>0</v>
      </c>
    </row>
    <row r="46" spans="1:15">
      <c r="A46" t="s">
        <v>236</v>
      </c>
      <c r="B46" t="s">
        <v>237</v>
      </c>
      <c r="C46" t="s">
        <v>92</v>
      </c>
      <c r="D46" t="s">
        <v>93</v>
      </c>
      <c r="E46" s="8">
        <v>0</v>
      </c>
      <c r="F46" s="8">
        <v>0</v>
      </c>
      <c r="G46" s="9">
        <v>0</v>
      </c>
      <c r="H46" s="8">
        <v>5335</v>
      </c>
      <c r="I46" s="8">
        <v>0</v>
      </c>
      <c r="J46" s="9">
        <v>-1</v>
      </c>
      <c r="K46" s="8">
        <v>5335</v>
      </c>
      <c r="L46" s="9">
        <v>1</v>
      </c>
      <c r="M46" s="8">
        <v>0</v>
      </c>
      <c r="N46" s="9">
        <v>0</v>
      </c>
      <c r="O46" s="9">
        <v>0</v>
      </c>
    </row>
    <row r="47" spans="1:15">
      <c r="A47" t="s">
        <v>236</v>
      </c>
      <c r="B47" t="s">
        <v>237</v>
      </c>
      <c r="C47" t="s">
        <v>95</v>
      </c>
      <c r="D47" t="s">
        <v>93</v>
      </c>
      <c r="E47" s="8">
        <v>0</v>
      </c>
      <c r="F47" s="8">
        <v>0</v>
      </c>
      <c r="G47" s="9">
        <v>0</v>
      </c>
      <c r="H47" s="8">
        <v>29925</v>
      </c>
      <c r="I47" s="8">
        <v>0</v>
      </c>
      <c r="J47" s="9">
        <v>-1</v>
      </c>
      <c r="K47" s="8">
        <v>29925</v>
      </c>
      <c r="L47" s="9">
        <v>1</v>
      </c>
      <c r="M47" s="8">
        <v>0</v>
      </c>
      <c r="N47" s="9">
        <v>0</v>
      </c>
      <c r="O47" s="9">
        <v>0</v>
      </c>
    </row>
    <row r="48" spans="1:15">
      <c r="A48" t="s">
        <v>245</v>
      </c>
      <c r="B48" t="s">
        <v>246</v>
      </c>
      <c r="C48" t="s">
        <v>95</v>
      </c>
      <c r="D48" t="s">
        <v>93</v>
      </c>
      <c r="E48" s="8">
        <v>0</v>
      </c>
      <c r="F48" s="8">
        <v>0</v>
      </c>
      <c r="G48" s="9">
        <v>0</v>
      </c>
      <c r="H48" s="8">
        <v>155512.5</v>
      </c>
      <c r="I48" s="8">
        <v>0</v>
      </c>
      <c r="J48" s="9">
        <v>-1</v>
      </c>
      <c r="K48" s="8">
        <v>155512.5</v>
      </c>
      <c r="L48" s="9">
        <v>1</v>
      </c>
      <c r="M48" s="8">
        <v>0</v>
      </c>
      <c r="N48" s="9">
        <v>0</v>
      </c>
      <c r="O48" s="9">
        <v>0</v>
      </c>
    </row>
    <row r="49" spans="1:15">
      <c r="A49" t="s">
        <v>245</v>
      </c>
      <c r="B49" t="s">
        <v>246</v>
      </c>
      <c r="C49" t="s">
        <v>105</v>
      </c>
      <c r="D49" t="s">
        <v>106</v>
      </c>
      <c r="E49" s="8">
        <v>0</v>
      </c>
      <c r="F49" s="8">
        <v>0</v>
      </c>
      <c r="G49" s="9">
        <v>0</v>
      </c>
      <c r="H49" s="8">
        <v>44350</v>
      </c>
      <c r="I49" s="8">
        <v>0</v>
      </c>
      <c r="J49" s="9">
        <v>-1</v>
      </c>
      <c r="K49" s="8">
        <v>44350</v>
      </c>
      <c r="L49" s="9">
        <v>1</v>
      </c>
      <c r="M49" s="8">
        <v>0</v>
      </c>
      <c r="N49" s="9">
        <v>0</v>
      </c>
      <c r="O49" s="9">
        <v>0</v>
      </c>
    </row>
    <row r="50" spans="1:15">
      <c r="A50" t="s">
        <v>195</v>
      </c>
      <c r="B50" t="s">
        <v>196</v>
      </c>
      <c r="C50" t="s">
        <v>11</v>
      </c>
      <c r="D50" t="s">
        <v>17</v>
      </c>
      <c r="E50" s="8">
        <v>48.5</v>
      </c>
      <c r="F50" s="8">
        <v>0</v>
      </c>
      <c r="G50" s="9">
        <v>-1</v>
      </c>
      <c r="H50" s="8">
        <v>970</v>
      </c>
      <c r="I50" s="8">
        <v>0</v>
      </c>
      <c r="J50" s="9">
        <v>-1</v>
      </c>
      <c r="K50" s="8">
        <v>970</v>
      </c>
      <c r="L50" s="9">
        <v>1</v>
      </c>
      <c r="M50" s="8">
        <v>0</v>
      </c>
      <c r="N50" s="9">
        <v>0</v>
      </c>
      <c r="O50" s="9">
        <v>0</v>
      </c>
    </row>
    <row r="51" spans="1:15">
      <c r="A51" t="s">
        <v>195</v>
      </c>
      <c r="B51" t="s">
        <v>196</v>
      </c>
      <c r="C51" t="s">
        <v>68</v>
      </c>
      <c r="D51" t="s">
        <v>17</v>
      </c>
      <c r="E51" s="8">
        <v>825</v>
      </c>
      <c r="F51" s="8">
        <v>0</v>
      </c>
      <c r="G51" s="9">
        <v>-1</v>
      </c>
      <c r="H51" s="8">
        <v>42075</v>
      </c>
      <c r="I51" s="8">
        <v>0</v>
      </c>
      <c r="J51" s="9">
        <v>-1</v>
      </c>
      <c r="K51" s="8">
        <v>42075</v>
      </c>
      <c r="L51" s="9">
        <v>1</v>
      </c>
      <c r="M51" s="8">
        <v>0</v>
      </c>
      <c r="N51" s="9">
        <v>0</v>
      </c>
      <c r="O51" s="9">
        <v>0</v>
      </c>
    </row>
    <row r="52" spans="1:15">
      <c r="A52" t="s">
        <v>195</v>
      </c>
      <c r="B52" t="s">
        <v>196</v>
      </c>
      <c r="C52" t="s">
        <v>10</v>
      </c>
      <c r="D52" t="s">
        <v>17</v>
      </c>
      <c r="E52" s="8">
        <v>3510</v>
      </c>
      <c r="F52" s="8">
        <v>0</v>
      </c>
      <c r="G52" s="9">
        <v>-1</v>
      </c>
      <c r="H52" s="8">
        <v>179010</v>
      </c>
      <c r="I52" s="8">
        <v>0</v>
      </c>
      <c r="J52" s="9">
        <v>-1</v>
      </c>
      <c r="K52" s="8">
        <v>179010</v>
      </c>
      <c r="L52" s="9">
        <v>1</v>
      </c>
      <c r="M52" s="8">
        <v>0</v>
      </c>
      <c r="N52" s="9">
        <v>0</v>
      </c>
      <c r="O52" s="9">
        <v>0</v>
      </c>
    </row>
    <row r="53" spans="1:15">
      <c r="A53" t="s">
        <v>82</v>
      </c>
      <c r="B53" t="s">
        <v>83</v>
      </c>
      <c r="C53" t="s">
        <v>199</v>
      </c>
      <c r="D53" t="s">
        <v>93</v>
      </c>
      <c r="E53" s="8">
        <v>150</v>
      </c>
      <c r="F53" s="8">
        <v>0</v>
      </c>
      <c r="G53" s="9">
        <v>-1</v>
      </c>
      <c r="H53" s="8">
        <v>8250</v>
      </c>
      <c r="I53" s="8">
        <v>9252</v>
      </c>
      <c r="J53" s="9">
        <v>0.12145454545454545</v>
      </c>
      <c r="K53" s="8">
        <v>8250</v>
      </c>
      <c r="L53" s="9">
        <v>1</v>
      </c>
      <c r="M53" s="8">
        <v>9252</v>
      </c>
      <c r="N53" s="9">
        <v>1</v>
      </c>
      <c r="O53" s="9">
        <v>0</v>
      </c>
    </row>
    <row r="54" spans="1:15">
      <c r="A54" t="s">
        <v>82</v>
      </c>
      <c r="B54" t="s">
        <v>83</v>
      </c>
      <c r="C54" t="s">
        <v>95</v>
      </c>
      <c r="D54" t="s">
        <v>93</v>
      </c>
      <c r="E54" s="8">
        <v>1755</v>
      </c>
      <c r="F54" s="8">
        <v>0</v>
      </c>
      <c r="G54" s="9">
        <v>-1</v>
      </c>
      <c r="H54" s="8">
        <v>96525</v>
      </c>
      <c r="I54" s="8">
        <v>2485173.12</v>
      </c>
      <c r="J54" s="9">
        <v>24.74641926961927</v>
      </c>
      <c r="K54" s="8">
        <v>96525</v>
      </c>
      <c r="L54" s="9">
        <v>1</v>
      </c>
      <c r="M54" s="8">
        <v>2485173.12</v>
      </c>
      <c r="N54" s="9">
        <v>1</v>
      </c>
      <c r="O54" s="9">
        <v>0</v>
      </c>
    </row>
    <row r="55" spans="1:15">
      <c r="A55" t="s">
        <v>261</v>
      </c>
      <c r="B55" t="s">
        <v>262</v>
      </c>
      <c r="C55" t="s">
        <v>11</v>
      </c>
      <c r="D55" t="s">
        <v>17</v>
      </c>
      <c r="E55" s="8">
        <v>0</v>
      </c>
      <c r="F55" s="8">
        <v>0</v>
      </c>
      <c r="G55" s="9">
        <v>0</v>
      </c>
      <c r="H55" s="8">
        <v>1212.5</v>
      </c>
      <c r="I55" s="8">
        <v>0</v>
      </c>
      <c r="J55" s="9">
        <v>-1</v>
      </c>
      <c r="K55" s="8">
        <v>1212.5</v>
      </c>
      <c r="L55" s="9">
        <v>1</v>
      </c>
      <c r="M55" s="8">
        <v>0</v>
      </c>
      <c r="N55" s="9">
        <v>0</v>
      </c>
      <c r="O55" s="9">
        <v>0</v>
      </c>
    </row>
    <row r="56" spans="1:15">
      <c r="A56" t="s">
        <v>261</v>
      </c>
      <c r="B56" t="s">
        <v>262</v>
      </c>
      <c r="C56" t="s">
        <v>10</v>
      </c>
      <c r="D56" t="s">
        <v>17</v>
      </c>
      <c r="E56" s="8">
        <v>0</v>
      </c>
      <c r="F56" s="8">
        <v>0</v>
      </c>
      <c r="G56" s="9">
        <v>0</v>
      </c>
      <c r="H56" s="8">
        <v>14625</v>
      </c>
      <c r="I56" s="8">
        <v>0</v>
      </c>
      <c r="J56" s="9">
        <v>-1</v>
      </c>
      <c r="K56" s="8">
        <v>14625</v>
      </c>
      <c r="L56" s="9">
        <v>1</v>
      </c>
      <c r="M56" s="8">
        <v>0</v>
      </c>
      <c r="N56" s="9">
        <v>0</v>
      </c>
      <c r="O56" s="9">
        <v>0</v>
      </c>
    </row>
    <row r="57" spans="1:15">
      <c r="A57" t="s">
        <v>261</v>
      </c>
      <c r="B57" t="s">
        <v>262</v>
      </c>
      <c r="C57" t="s">
        <v>105</v>
      </c>
      <c r="D57" t="s">
        <v>106</v>
      </c>
      <c r="E57" s="8">
        <v>0</v>
      </c>
      <c r="F57" s="8">
        <v>0</v>
      </c>
      <c r="G57" s="9">
        <v>0</v>
      </c>
      <c r="H57" s="8">
        <v>8300</v>
      </c>
      <c r="I57" s="8">
        <v>0</v>
      </c>
      <c r="J57" s="9">
        <v>-1</v>
      </c>
      <c r="K57" s="8">
        <v>8300</v>
      </c>
      <c r="L57" s="9">
        <v>1</v>
      </c>
      <c r="M57" s="8">
        <v>0</v>
      </c>
      <c r="N57" s="9">
        <v>0</v>
      </c>
      <c r="O57" s="9">
        <v>0</v>
      </c>
    </row>
    <row r="58" spans="1:15">
      <c r="A58" t="s">
        <v>267</v>
      </c>
      <c r="B58" t="s">
        <v>268</v>
      </c>
      <c r="C58" t="s">
        <v>77</v>
      </c>
      <c r="D58" t="s">
        <v>78</v>
      </c>
      <c r="E58" s="8">
        <v>0</v>
      </c>
      <c r="F58" s="8">
        <v>0</v>
      </c>
      <c r="G58" s="9">
        <v>0</v>
      </c>
      <c r="H58" s="8">
        <v>9700</v>
      </c>
      <c r="I58" s="8">
        <v>16975</v>
      </c>
      <c r="J58" s="9">
        <v>0.75</v>
      </c>
      <c r="K58" s="8">
        <v>9700</v>
      </c>
      <c r="L58" s="9">
        <v>1</v>
      </c>
      <c r="M58" s="8">
        <v>16975</v>
      </c>
      <c r="N58" s="9">
        <v>1</v>
      </c>
      <c r="O58" s="9">
        <v>0</v>
      </c>
    </row>
    <row r="59" spans="1:15">
      <c r="A59" t="s">
        <v>308</v>
      </c>
      <c r="B59" t="s">
        <v>309</v>
      </c>
      <c r="C59" t="s">
        <v>11</v>
      </c>
      <c r="D59" t="s">
        <v>17</v>
      </c>
      <c r="E59" s="8">
        <v>1018.5</v>
      </c>
      <c r="F59" s="8">
        <v>0</v>
      </c>
      <c r="G59" s="9">
        <v>-1</v>
      </c>
      <c r="H59" s="8">
        <v>23425.5</v>
      </c>
      <c r="I59" s="8">
        <v>0</v>
      </c>
      <c r="J59" s="9">
        <v>-1</v>
      </c>
      <c r="K59" s="8">
        <v>23425.5</v>
      </c>
      <c r="L59" s="9">
        <v>1</v>
      </c>
      <c r="M59" s="8">
        <v>0</v>
      </c>
      <c r="N59" s="9">
        <v>0</v>
      </c>
      <c r="O59" s="9">
        <v>0</v>
      </c>
    </row>
    <row r="60" spans="1:15">
      <c r="A60" t="s">
        <v>75</v>
      </c>
      <c r="B60" t="s">
        <v>76</v>
      </c>
      <c r="C60" t="s">
        <v>199</v>
      </c>
      <c r="D60" t="s">
        <v>93</v>
      </c>
      <c r="E60" s="8">
        <v>75</v>
      </c>
      <c r="F60" s="8">
        <v>0</v>
      </c>
      <c r="G60" s="9">
        <v>-1</v>
      </c>
      <c r="H60" s="8">
        <v>4500</v>
      </c>
      <c r="I60" s="8">
        <v>0</v>
      </c>
      <c r="J60" s="9">
        <v>-1</v>
      </c>
      <c r="K60" s="8">
        <v>4500</v>
      </c>
      <c r="L60" s="9">
        <v>1</v>
      </c>
      <c r="M60" s="8">
        <v>0</v>
      </c>
      <c r="N60" s="9">
        <v>0</v>
      </c>
      <c r="O60" s="9">
        <v>0</v>
      </c>
    </row>
    <row r="61" spans="1:15">
      <c r="A61" t="s">
        <v>318</v>
      </c>
      <c r="B61" t="s">
        <v>319</v>
      </c>
      <c r="C61" t="s">
        <v>95</v>
      </c>
      <c r="D61" t="s">
        <v>93</v>
      </c>
      <c r="E61" s="8">
        <v>0</v>
      </c>
      <c r="F61" s="8">
        <v>0</v>
      </c>
      <c r="G61" s="9">
        <v>0</v>
      </c>
      <c r="H61" s="8">
        <v>14672.63</v>
      </c>
      <c r="I61" s="8">
        <v>0</v>
      </c>
      <c r="J61" s="9">
        <v>-1</v>
      </c>
      <c r="K61" s="8">
        <v>14672.63</v>
      </c>
      <c r="L61" s="9">
        <v>1</v>
      </c>
      <c r="M61" s="8">
        <v>0</v>
      </c>
      <c r="N61" s="9">
        <v>0</v>
      </c>
      <c r="O61" s="9">
        <v>0</v>
      </c>
    </row>
    <row r="62" spans="1:15">
      <c r="A62" t="s">
        <v>328</v>
      </c>
      <c r="B62" t="s">
        <v>329</v>
      </c>
      <c r="C62" t="s">
        <v>95</v>
      </c>
      <c r="D62" t="s">
        <v>93</v>
      </c>
      <c r="E62" s="8">
        <v>0</v>
      </c>
      <c r="F62" s="8">
        <v>0</v>
      </c>
      <c r="G62" s="9">
        <v>0</v>
      </c>
      <c r="H62" s="8">
        <v>353263.5</v>
      </c>
      <c r="I62" s="8">
        <v>18953.84</v>
      </c>
      <c r="J62" s="9">
        <v>-0.94634645243564641</v>
      </c>
      <c r="K62" s="8">
        <v>353263.5</v>
      </c>
      <c r="L62" s="9">
        <v>1</v>
      </c>
      <c r="M62" s="8">
        <v>18953.84</v>
      </c>
      <c r="N62" s="9">
        <v>1</v>
      </c>
      <c r="O62" s="9">
        <v>0</v>
      </c>
    </row>
    <row r="63" spans="1:15">
      <c r="A63" t="s">
        <v>328</v>
      </c>
      <c r="B63" t="s">
        <v>329</v>
      </c>
      <c r="C63" t="s">
        <v>92</v>
      </c>
      <c r="D63" t="s">
        <v>93</v>
      </c>
      <c r="E63" s="8">
        <v>0</v>
      </c>
      <c r="F63" s="8">
        <v>0</v>
      </c>
      <c r="G63" s="9">
        <v>0</v>
      </c>
      <c r="H63" s="8">
        <v>44436.479999999996</v>
      </c>
      <c r="I63" s="8">
        <v>7071.24</v>
      </c>
      <c r="J63" s="9">
        <v>-0.84086858365019013</v>
      </c>
      <c r="K63" s="8">
        <v>44436.479999999996</v>
      </c>
      <c r="L63" s="9">
        <v>1</v>
      </c>
      <c r="M63" s="8">
        <v>7071.24</v>
      </c>
      <c r="N63" s="9">
        <v>1</v>
      </c>
      <c r="O63" s="9">
        <v>0</v>
      </c>
    </row>
    <row r="64" spans="1:15">
      <c r="A64" t="s">
        <v>328</v>
      </c>
      <c r="B64" t="s">
        <v>329</v>
      </c>
      <c r="C64" t="s">
        <v>10</v>
      </c>
      <c r="D64" t="s">
        <v>17</v>
      </c>
      <c r="E64" s="8">
        <v>0</v>
      </c>
      <c r="F64" s="8">
        <v>0</v>
      </c>
      <c r="G64" s="9">
        <v>0</v>
      </c>
      <c r="H64" s="8">
        <v>37194.520000000004</v>
      </c>
      <c r="I64" s="8">
        <v>0</v>
      </c>
      <c r="J64" s="9">
        <v>-1</v>
      </c>
      <c r="K64" s="8">
        <v>37194.520000000004</v>
      </c>
      <c r="L64" s="9">
        <v>1</v>
      </c>
      <c r="M64" s="8">
        <v>0</v>
      </c>
      <c r="N64" s="9">
        <v>0</v>
      </c>
      <c r="O64" s="9">
        <v>0</v>
      </c>
    </row>
    <row r="65" spans="1:15">
      <c r="A65" t="s">
        <v>328</v>
      </c>
      <c r="B65" t="s">
        <v>329</v>
      </c>
      <c r="C65" t="s">
        <v>11</v>
      </c>
      <c r="D65" t="s">
        <v>17</v>
      </c>
      <c r="E65" s="8">
        <v>0</v>
      </c>
      <c r="F65" s="8">
        <v>0</v>
      </c>
      <c r="G65" s="9">
        <v>0</v>
      </c>
      <c r="H65" s="8">
        <v>4625.4799999999996</v>
      </c>
      <c r="I65" s="8">
        <v>0</v>
      </c>
      <c r="J65" s="9">
        <v>-1</v>
      </c>
      <c r="K65" s="8">
        <v>4625.4799999999996</v>
      </c>
      <c r="L65" s="9">
        <v>1</v>
      </c>
      <c r="M65" s="8">
        <v>0</v>
      </c>
      <c r="N65" s="9">
        <v>0</v>
      </c>
      <c r="O65" s="9">
        <v>0</v>
      </c>
    </row>
    <row r="66" spans="1:15">
      <c r="A66" t="s">
        <v>345</v>
      </c>
      <c r="B66" t="s">
        <v>346</v>
      </c>
      <c r="C66" t="s">
        <v>95</v>
      </c>
      <c r="D66" t="s">
        <v>93</v>
      </c>
      <c r="E66" s="8">
        <v>0</v>
      </c>
      <c r="F66" s="8">
        <v>0</v>
      </c>
      <c r="G66" s="9">
        <v>0</v>
      </c>
      <c r="H66" s="8">
        <v>23400</v>
      </c>
      <c r="I66" s="8">
        <v>54600</v>
      </c>
      <c r="J66" s="9">
        <v>1.3333333333333333</v>
      </c>
      <c r="K66" s="8">
        <v>23400</v>
      </c>
      <c r="L66" s="9">
        <v>1</v>
      </c>
      <c r="M66" s="8">
        <v>54600</v>
      </c>
      <c r="N66" s="9">
        <v>1</v>
      </c>
      <c r="O66" s="9">
        <v>0</v>
      </c>
    </row>
    <row r="67" spans="1:15">
      <c r="A67" t="s">
        <v>245</v>
      </c>
      <c r="B67" t="s">
        <v>246</v>
      </c>
      <c r="C67" t="s">
        <v>199</v>
      </c>
      <c r="D67" t="s">
        <v>93</v>
      </c>
      <c r="E67" s="8">
        <v>0</v>
      </c>
      <c r="F67" s="8">
        <v>0</v>
      </c>
      <c r="G67" s="9">
        <v>0</v>
      </c>
      <c r="H67" s="8">
        <v>45375</v>
      </c>
      <c r="I67" s="8">
        <v>0</v>
      </c>
      <c r="J67" s="9">
        <v>-1</v>
      </c>
      <c r="K67" s="8">
        <v>45375</v>
      </c>
      <c r="L67" s="9">
        <v>1</v>
      </c>
      <c r="M67" s="8">
        <v>0</v>
      </c>
      <c r="N67" s="9">
        <v>0</v>
      </c>
      <c r="O67" s="9">
        <v>0</v>
      </c>
    </row>
    <row r="68" spans="1:15">
      <c r="A68" t="s">
        <v>361</v>
      </c>
      <c r="B68" t="s">
        <v>362</v>
      </c>
      <c r="C68" t="s">
        <v>95</v>
      </c>
      <c r="D68" t="s">
        <v>93</v>
      </c>
      <c r="E68" s="8">
        <v>0</v>
      </c>
      <c r="F68" s="8">
        <v>0</v>
      </c>
      <c r="G68" s="9">
        <v>0</v>
      </c>
      <c r="H68" s="8">
        <v>53625</v>
      </c>
      <c r="I68" s="8">
        <v>0</v>
      </c>
      <c r="J68" s="9">
        <v>-1</v>
      </c>
      <c r="K68" s="8">
        <v>53625</v>
      </c>
      <c r="L68" s="9">
        <v>1</v>
      </c>
      <c r="M68" s="8">
        <v>0</v>
      </c>
      <c r="N68" s="9">
        <v>0</v>
      </c>
      <c r="O68" s="9">
        <v>0</v>
      </c>
    </row>
    <row r="69" spans="1:15">
      <c r="A69" t="s">
        <v>361</v>
      </c>
      <c r="B69" t="s">
        <v>362</v>
      </c>
      <c r="C69" t="s">
        <v>199</v>
      </c>
      <c r="D69" t="s">
        <v>93</v>
      </c>
      <c r="E69" s="8">
        <v>0</v>
      </c>
      <c r="F69" s="8">
        <v>0</v>
      </c>
      <c r="G69" s="9">
        <v>0</v>
      </c>
      <c r="H69" s="8">
        <v>24750</v>
      </c>
      <c r="I69" s="8">
        <v>0</v>
      </c>
      <c r="J69" s="9">
        <v>-1</v>
      </c>
      <c r="K69" s="8">
        <v>24750</v>
      </c>
      <c r="L69" s="9">
        <v>1</v>
      </c>
      <c r="M69" s="8">
        <v>0</v>
      </c>
      <c r="N69" s="9">
        <v>0</v>
      </c>
      <c r="O69" s="9">
        <v>0</v>
      </c>
    </row>
    <row r="70" spans="1:15">
      <c r="A70" t="s">
        <v>361</v>
      </c>
      <c r="B70" t="s">
        <v>362</v>
      </c>
      <c r="C70" t="s">
        <v>105</v>
      </c>
      <c r="D70" t="s">
        <v>106</v>
      </c>
      <c r="E70" s="8">
        <v>0</v>
      </c>
      <c r="F70" s="8">
        <v>0</v>
      </c>
      <c r="G70" s="9">
        <v>0</v>
      </c>
      <c r="H70" s="8">
        <v>14950</v>
      </c>
      <c r="I70" s="8">
        <v>0</v>
      </c>
      <c r="J70" s="9">
        <v>-1</v>
      </c>
      <c r="K70" s="8">
        <v>14950</v>
      </c>
      <c r="L70" s="9">
        <v>1</v>
      </c>
      <c r="M70" s="8">
        <v>0</v>
      </c>
      <c r="N70" s="9">
        <v>0</v>
      </c>
      <c r="O70" s="9">
        <v>0</v>
      </c>
    </row>
    <row r="71" spans="1:15">
      <c r="A71" t="s">
        <v>367</v>
      </c>
      <c r="B71" t="s">
        <v>368</v>
      </c>
      <c r="C71" t="s">
        <v>10</v>
      </c>
      <c r="D71" t="s">
        <v>17</v>
      </c>
      <c r="E71" s="8">
        <v>97.5</v>
      </c>
      <c r="F71" s="8">
        <v>0</v>
      </c>
      <c r="G71" s="9">
        <v>-1</v>
      </c>
      <c r="H71" s="8">
        <v>4403.95</v>
      </c>
      <c r="I71" s="8">
        <v>0</v>
      </c>
      <c r="J71" s="9">
        <v>-1</v>
      </c>
      <c r="K71" s="8">
        <v>4403.95</v>
      </c>
      <c r="L71" s="9">
        <v>1</v>
      </c>
      <c r="M71" s="8">
        <v>0</v>
      </c>
      <c r="N71" s="9">
        <v>0</v>
      </c>
      <c r="O71" s="9">
        <v>0</v>
      </c>
    </row>
    <row r="72" spans="1:15">
      <c r="A72" t="s">
        <v>82</v>
      </c>
      <c r="B72" t="s">
        <v>83</v>
      </c>
      <c r="C72" t="s">
        <v>68</v>
      </c>
      <c r="D72" t="s">
        <v>17</v>
      </c>
      <c r="E72" s="8">
        <v>5475</v>
      </c>
      <c r="F72" s="8">
        <v>0</v>
      </c>
      <c r="G72" s="9">
        <v>-1</v>
      </c>
      <c r="H72" s="8">
        <v>93425.24</v>
      </c>
      <c r="I72" s="8">
        <v>98033.600000000006</v>
      </c>
      <c r="J72" s="9">
        <v>4.9326712995331888E-2</v>
      </c>
      <c r="K72" s="8">
        <v>93425.24</v>
      </c>
      <c r="L72" s="9">
        <v>1</v>
      </c>
      <c r="M72" s="8">
        <v>98033.600000000006</v>
      </c>
      <c r="N72" s="9">
        <v>1</v>
      </c>
      <c r="O72" s="9">
        <v>0</v>
      </c>
    </row>
    <row r="73" spans="1:15">
      <c r="A73" t="s">
        <v>376</v>
      </c>
      <c r="B73" t="s">
        <v>377</v>
      </c>
      <c r="C73" t="s">
        <v>10</v>
      </c>
      <c r="D73" t="s">
        <v>17</v>
      </c>
      <c r="E73" s="8">
        <v>1365</v>
      </c>
      <c r="F73" s="8">
        <v>0</v>
      </c>
      <c r="G73" s="9">
        <v>-1</v>
      </c>
      <c r="H73" s="8">
        <v>71148.75</v>
      </c>
      <c r="I73" s="8">
        <v>0</v>
      </c>
      <c r="J73" s="9">
        <v>-1</v>
      </c>
      <c r="K73" s="8">
        <v>71148.75</v>
      </c>
      <c r="L73" s="9">
        <v>1</v>
      </c>
      <c r="M73" s="8">
        <v>0</v>
      </c>
      <c r="N73" s="9">
        <v>0</v>
      </c>
      <c r="O73" s="9">
        <v>0</v>
      </c>
    </row>
    <row r="74" spans="1:15">
      <c r="A74" t="s">
        <v>376</v>
      </c>
      <c r="B74" t="s">
        <v>377</v>
      </c>
      <c r="C74" t="s">
        <v>68</v>
      </c>
      <c r="D74" t="s">
        <v>17</v>
      </c>
      <c r="E74" s="8">
        <v>170</v>
      </c>
      <c r="F74" s="8">
        <v>0</v>
      </c>
      <c r="G74" s="9">
        <v>-1</v>
      </c>
      <c r="H74" s="8">
        <v>10015.060000000001</v>
      </c>
      <c r="I74" s="8">
        <v>0</v>
      </c>
      <c r="J74" s="9">
        <v>-1</v>
      </c>
      <c r="K74" s="8">
        <v>10015.060000000001</v>
      </c>
      <c r="L74" s="9">
        <v>1</v>
      </c>
      <c r="M74" s="8">
        <v>0</v>
      </c>
      <c r="N74" s="9">
        <v>0</v>
      </c>
      <c r="O74" s="9">
        <v>0</v>
      </c>
    </row>
    <row r="75" spans="1:15">
      <c r="A75" t="s">
        <v>376</v>
      </c>
      <c r="B75" t="s">
        <v>377</v>
      </c>
      <c r="C75" t="s">
        <v>133</v>
      </c>
      <c r="D75" t="s">
        <v>134</v>
      </c>
      <c r="E75" s="8">
        <v>0</v>
      </c>
      <c r="F75" s="8">
        <v>0</v>
      </c>
      <c r="G75" s="9">
        <v>0</v>
      </c>
      <c r="H75" s="8">
        <v>5488.88</v>
      </c>
      <c r="I75" s="8">
        <v>0</v>
      </c>
      <c r="J75" s="9">
        <v>-1</v>
      </c>
      <c r="K75" s="8">
        <v>5488.88</v>
      </c>
      <c r="L75" s="9">
        <v>1</v>
      </c>
      <c r="M75" s="8">
        <v>0</v>
      </c>
      <c r="N75" s="9">
        <v>0</v>
      </c>
      <c r="O75" s="9">
        <v>0</v>
      </c>
    </row>
    <row r="76" spans="1:15">
      <c r="A76" t="s">
        <v>318</v>
      </c>
      <c r="B76" t="s">
        <v>319</v>
      </c>
      <c r="C76" t="s">
        <v>11</v>
      </c>
      <c r="D76" t="s">
        <v>17</v>
      </c>
      <c r="E76" s="8">
        <v>0</v>
      </c>
      <c r="F76" s="8">
        <v>0</v>
      </c>
      <c r="G76" s="9">
        <v>0</v>
      </c>
      <c r="H76" s="8">
        <v>4522.59</v>
      </c>
      <c r="I76" s="8">
        <v>0</v>
      </c>
      <c r="J76" s="9">
        <v>-1</v>
      </c>
      <c r="K76" s="8">
        <v>4522.59</v>
      </c>
      <c r="L76" s="9">
        <v>1</v>
      </c>
      <c r="M76" s="8">
        <v>0</v>
      </c>
      <c r="N76" s="9">
        <v>0</v>
      </c>
      <c r="O76" s="9">
        <v>0</v>
      </c>
    </row>
    <row r="77" spans="1:15">
      <c r="A77" t="s">
        <v>71</v>
      </c>
      <c r="B77" t="s">
        <v>72</v>
      </c>
      <c r="C77" t="s">
        <v>10</v>
      </c>
      <c r="D77" t="s">
        <v>17</v>
      </c>
      <c r="E77" s="8">
        <v>0</v>
      </c>
      <c r="F77" s="8">
        <v>0</v>
      </c>
      <c r="G77" s="9">
        <v>0</v>
      </c>
      <c r="H77" s="8">
        <v>4476.9799999999996</v>
      </c>
      <c r="I77" s="8">
        <v>0</v>
      </c>
      <c r="J77" s="9">
        <v>-1</v>
      </c>
      <c r="K77" s="8">
        <v>4476.9799999999996</v>
      </c>
      <c r="L77" s="9">
        <v>1</v>
      </c>
      <c r="M77" s="8">
        <v>0</v>
      </c>
      <c r="N77" s="9">
        <v>0</v>
      </c>
      <c r="O77" s="9">
        <v>0</v>
      </c>
    </row>
    <row r="78" spans="1:15">
      <c r="A78" t="s">
        <v>87</v>
      </c>
      <c r="B78" t="s">
        <v>88</v>
      </c>
      <c r="C78" t="s">
        <v>408</v>
      </c>
      <c r="D78" t="s">
        <v>409</v>
      </c>
      <c r="E78" s="8">
        <v>48.5</v>
      </c>
      <c r="F78" s="8">
        <v>0</v>
      </c>
      <c r="G78" s="9">
        <v>-1</v>
      </c>
      <c r="H78" s="8">
        <v>0</v>
      </c>
      <c r="I78" s="8">
        <v>0</v>
      </c>
      <c r="J78" s="9">
        <v>0</v>
      </c>
      <c r="K78" s="8">
        <v>0</v>
      </c>
      <c r="L78" s="9">
        <v>0</v>
      </c>
      <c r="M78" s="8">
        <v>0</v>
      </c>
      <c r="N78" s="9">
        <v>0</v>
      </c>
      <c r="O78" s="9">
        <v>0</v>
      </c>
    </row>
    <row r="79" spans="1:15">
      <c r="A79" t="s">
        <v>73</v>
      </c>
      <c r="B79" t="s">
        <v>74</v>
      </c>
      <c r="C79" t="s">
        <v>95</v>
      </c>
      <c r="D79" t="s">
        <v>93</v>
      </c>
      <c r="E79" s="8">
        <v>292.5</v>
      </c>
      <c r="F79" s="8">
        <v>0</v>
      </c>
      <c r="G79" s="9">
        <v>-1</v>
      </c>
      <c r="H79" s="8">
        <v>16087.5</v>
      </c>
      <c r="I79" s="8">
        <v>93015</v>
      </c>
      <c r="J79" s="9">
        <v>4.7818181818181822</v>
      </c>
      <c r="K79" s="8">
        <v>16087.5</v>
      </c>
      <c r="L79" s="9">
        <v>1</v>
      </c>
      <c r="M79" s="8">
        <v>93015</v>
      </c>
      <c r="N79" s="9">
        <v>1</v>
      </c>
      <c r="O79" s="9">
        <v>0</v>
      </c>
    </row>
    <row r="80" spans="1:15">
      <c r="A80" t="s">
        <v>267</v>
      </c>
      <c r="B80" t="s">
        <v>268</v>
      </c>
      <c r="C80" t="s">
        <v>116</v>
      </c>
      <c r="D80" t="s">
        <v>78</v>
      </c>
      <c r="E80" s="8">
        <v>0</v>
      </c>
      <c r="F80" s="8">
        <v>0</v>
      </c>
      <c r="G80" s="9">
        <v>0</v>
      </c>
      <c r="H80" s="8">
        <v>101250</v>
      </c>
      <c r="I80" s="8">
        <v>0</v>
      </c>
      <c r="J80" s="9">
        <v>-1</v>
      </c>
      <c r="K80" s="8">
        <v>101250</v>
      </c>
      <c r="L80" s="9">
        <v>1</v>
      </c>
      <c r="M80" s="8">
        <v>0</v>
      </c>
      <c r="N80" s="9">
        <v>0</v>
      </c>
      <c r="O80" s="9">
        <v>0</v>
      </c>
    </row>
    <row r="81" spans="1:15">
      <c r="A81" t="s">
        <v>267</v>
      </c>
      <c r="B81" t="s">
        <v>268</v>
      </c>
      <c r="C81" t="s">
        <v>430</v>
      </c>
      <c r="D81" t="s">
        <v>78</v>
      </c>
      <c r="E81" s="8">
        <v>0</v>
      </c>
      <c r="F81" s="8">
        <v>0</v>
      </c>
      <c r="G81" s="9">
        <v>0</v>
      </c>
      <c r="H81" s="8">
        <v>139387.5</v>
      </c>
      <c r="I81" s="8">
        <v>0</v>
      </c>
      <c r="J81" s="9">
        <v>-1</v>
      </c>
      <c r="K81" s="8">
        <v>139387.5</v>
      </c>
      <c r="L81" s="9">
        <v>1</v>
      </c>
      <c r="M81" s="8">
        <v>0</v>
      </c>
      <c r="N81" s="9">
        <v>0</v>
      </c>
      <c r="O81" s="9">
        <v>0</v>
      </c>
    </row>
    <row r="82" spans="1:15">
      <c r="A82" t="s">
        <v>437</v>
      </c>
      <c r="B82" t="s">
        <v>438</v>
      </c>
      <c r="C82" t="s">
        <v>92</v>
      </c>
      <c r="D82" t="s">
        <v>93</v>
      </c>
      <c r="E82" s="8">
        <v>194</v>
      </c>
      <c r="F82" s="8">
        <v>0</v>
      </c>
      <c r="G82" s="9">
        <v>-1</v>
      </c>
      <c r="H82" s="8">
        <v>8772.6</v>
      </c>
      <c r="I82" s="8">
        <v>0</v>
      </c>
      <c r="J82" s="9">
        <v>-1</v>
      </c>
      <c r="K82" s="8">
        <v>8772.6</v>
      </c>
      <c r="L82" s="9">
        <v>1</v>
      </c>
      <c r="M82" s="8">
        <v>0</v>
      </c>
      <c r="N82" s="9">
        <v>0</v>
      </c>
      <c r="O82" s="9">
        <v>0</v>
      </c>
    </row>
    <row r="83" spans="1:15">
      <c r="A83" t="s">
        <v>437</v>
      </c>
      <c r="B83" t="s">
        <v>438</v>
      </c>
      <c r="C83" t="s">
        <v>95</v>
      </c>
      <c r="D83" t="s">
        <v>93</v>
      </c>
      <c r="E83" s="8">
        <v>23595</v>
      </c>
      <c r="F83" s="8">
        <v>0</v>
      </c>
      <c r="G83" s="9">
        <v>-1</v>
      </c>
      <c r="H83" s="8">
        <v>1066955.75</v>
      </c>
      <c r="I83" s="8">
        <v>0</v>
      </c>
      <c r="J83" s="9">
        <v>-1</v>
      </c>
      <c r="K83" s="8">
        <v>1066955.75</v>
      </c>
      <c r="L83" s="9">
        <v>1</v>
      </c>
      <c r="M83" s="8">
        <v>0</v>
      </c>
      <c r="N83" s="9">
        <v>0</v>
      </c>
      <c r="O83" s="9">
        <v>0</v>
      </c>
    </row>
    <row r="84" spans="1:15">
      <c r="A84" t="s">
        <v>437</v>
      </c>
      <c r="B84" t="s">
        <v>438</v>
      </c>
      <c r="C84" t="s">
        <v>105</v>
      </c>
      <c r="D84" t="s">
        <v>106</v>
      </c>
      <c r="E84" s="8">
        <v>0</v>
      </c>
      <c r="F84" s="8">
        <v>0</v>
      </c>
      <c r="G84" s="9">
        <v>0</v>
      </c>
      <c r="H84" s="8">
        <v>77886</v>
      </c>
      <c r="I84" s="8">
        <v>0</v>
      </c>
      <c r="J84" s="9">
        <v>-1</v>
      </c>
      <c r="K84" s="8">
        <v>77886</v>
      </c>
      <c r="L84" s="9">
        <v>1</v>
      </c>
      <c r="M84" s="8">
        <v>0</v>
      </c>
      <c r="N84" s="9">
        <v>0</v>
      </c>
      <c r="O84" s="9">
        <v>0</v>
      </c>
    </row>
    <row r="85" spans="1:15">
      <c r="A85" t="s">
        <v>143</v>
      </c>
      <c r="B85" t="s">
        <v>144</v>
      </c>
      <c r="C85" t="s">
        <v>10</v>
      </c>
      <c r="D85" t="s">
        <v>17</v>
      </c>
      <c r="E85" s="8">
        <v>390</v>
      </c>
      <c r="F85" s="8">
        <v>2633</v>
      </c>
      <c r="G85" s="9">
        <v>5.7512820512820513</v>
      </c>
      <c r="H85" s="8">
        <v>9750</v>
      </c>
      <c r="I85" s="8">
        <v>105700</v>
      </c>
      <c r="J85" s="9">
        <v>9.8410256410256416</v>
      </c>
      <c r="K85" s="8">
        <v>9750</v>
      </c>
      <c r="L85" s="9">
        <v>1</v>
      </c>
      <c r="M85" s="8">
        <v>105700</v>
      </c>
      <c r="N85" s="9">
        <v>1</v>
      </c>
      <c r="O85" s="9">
        <v>0</v>
      </c>
    </row>
    <row r="86" spans="1:15">
      <c r="A86" t="s">
        <v>437</v>
      </c>
      <c r="B86" t="s">
        <v>438</v>
      </c>
      <c r="C86" t="s">
        <v>199</v>
      </c>
      <c r="D86" t="s">
        <v>93</v>
      </c>
      <c r="E86" s="8">
        <v>600</v>
      </c>
      <c r="F86" s="8">
        <v>0</v>
      </c>
      <c r="G86" s="9">
        <v>-1</v>
      </c>
      <c r="H86" s="8">
        <v>27131.74</v>
      </c>
      <c r="I86" s="8">
        <v>0</v>
      </c>
      <c r="J86" s="9">
        <v>-1</v>
      </c>
      <c r="K86" s="8">
        <v>27131.74</v>
      </c>
      <c r="L86" s="9">
        <v>1</v>
      </c>
      <c r="M86" s="8">
        <v>0</v>
      </c>
      <c r="N86" s="9">
        <v>0</v>
      </c>
      <c r="O86" s="9">
        <v>0</v>
      </c>
    </row>
    <row r="87" spans="1:15">
      <c r="A87" t="s">
        <v>468</v>
      </c>
      <c r="B87" t="s">
        <v>469</v>
      </c>
      <c r="C87" t="s">
        <v>10</v>
      </c>
      <c r="D87" t="s">
        <v>17</v>
      </c>
      <c r="E87" s="8">
        <v>0</v>
      </c>
      <c r="F87" s="8">
        <v>0</v>
      </c>
      <c r="G87" s="9">
        <v>0</v>
      </c>
      <c r="H87" s="8">
        <v>0</v>
      </c>
      <c r="I87" s="8">
        <v>173613.54</v>
      </c>
      <c r="J87" s="9">
        <v>1</v>
      </c>
      <c r="K87" s="8">
        <v>0</v>
      </c>
      <c r="L87" s="9">
        <v>0</v>
      </c>
      <c r="M87" s="8">
        <v>173613.54</v>
      </c>
      <c r="N87" s="9">
        <v>1</v>
      </c>
      <c r="O87" s="9">
        <v>0</v>
      </c>
    </row>
    <row r="88" spans="1:15">
      <c r="A88" t="s">
        <v>480</v>
      </c>
      <c r="B88" t="s">
        <v>481</v>
      </c>
      <c r="C88" t="s">
        <v>11</v>
      </c>
      <c r="D88" t="s">
        <v>17</v>
      </c>
      <c r="E88" s="8">
        <v>0</v>
      </c>
      <c r="F88" s="8">
        <v>0</v>
      </c>
      <c r="G88" s="9">
        <v>0</v>
      </c>
      <c r="H88" s="8">
        <v>0</v>
      </c>
      <c r="I88" s="8">
        <v>13337.5</v>
      </c>
      <c r="J88" s="9">
        <v>1</v>
      </c>
      <c r="K88" s="8">
        <v>0</v>
      </c>
      <c r="L88" s="9">
        <v>0</v>
      </c>
      <c r="M88" s="8">
        <v>13337.5</v>
      </c>
      <c r="N88" s="9">
        <v>1</v>
      </c>
      <c r="O88" s="9">
        <v>0</v>
      </c>
    </row>
    <row r="89" spans="1:15">
      <c r="A89" t="s">
        <v>468</v>
      </c>
      <c r="B89" t="s">
        <v>469</v>
      </c>
      <c r="C89" t="s">
        <v>95</v>
      </c>
      <c r="D89" t="s">
        <v>93</v>
      </c>
      <c r="E89" s="8">
        <v>0</v>
      </c>
      <c r="F89" s="8">
        <v>0</v>
      </c>
      <c r="G89" s="9">
        <v>0</v>
      </c>
      <c r="H89" s="8">
        <v>0</v>
      </c>
      <c r="I89" s="8">
        <v>41139.380000000005</v>
      </c>
      <c r="J89" s="9">
        <v>1</v>
      </c>
      <c r="K89" s="8">
        <v>0</v>
      </c>
      <c r="L89" s="9">
        <v>0</v>
      </c>
      <c r="M89" s="8">
        <v>41139.380000000005</v>
      </c>
      <c r="N89" s="9">
        <v>1</v>
      </c>
      <c r="O89" s="9">
        <v>0</v>
      </c>
    </row>
    <row r="90" spans="1:15">
      <c r="A90" t="s">
        <v>87</v>
      </c>
      <c r="B90" t="s">
        <v>88</v>
      </c>
      <c r="C90" t="s">
        <v>68</v>
      </c>
      <c r="D90" t="s">
        <v>17</v>
      </c>
      <c r="E90" s="8">
        <v>0</v>
      </c>
      <c r="F90" s="8">
        <v>0</v>
      </c>
      <c r="G90" s="9">
        <v>0</v>
      </c>
      <c r="H90" s="8">
        <v>0</v>
      </c>
      <c r="I90" s="8">
        <v>80504.63</v>
      </c>
      <c r="J90" s="9">
        <v>1</v>
      </c>
      <c r="K90" s="8">
        <v>0</v>
      </c>
      <c r="L90" s="9">
        <v>0</v>
      </c>
      <c r="M90" s="8">
        <v>80504.63</v>
      </c>
      <c r="N90" s="9">
        <v>1</v>
      </c>
      <c r="O90" s="9">
        <v>0</v>
      </c>
    </row>
    <row r="91" spans="1:15">
      <c r="A91" t="s">
        <v>75</v>
      </c>
      <c r="B91" t="s">
        <v>76</v>
      </c>
      <c r="C91" t="s">
        <v>11</v>
      </c>
      <c r="D91" t="s">
        <v>17</v>
      </c>
      <c r="E91" s="8">
        <v>0</v>
      </c>
      <c r="F91" s="8">
        <v>0</v>
      </c>
      <c r="G91" s="9">
        <v>0</v>
      </c>
      <c r="H91" s="8">
        <v>0</v>
      </c>
      <c r="I91" s="8">
        <v>88810</v>
      </c>
      <c r="J91" s="9">
        <v>1</v>
      </c>
      <c r="K91" s="8">
        <v>0</v>
      </c>
      <c r="L91" s="9">
        <v>0</v>
      </c>
      <c r="M91" s="8">
        <v>88810</v>
      </c>
      <c r="N91" s="9">
        <v>1</v>
      </c>
      <c r="O91" s="9">
        <v>0</v>
      </c>
    </row>
    <row r="92" spans="1:15">
      <c r="A92" t="s">
        <v>514</v>
      </c>
      <c r="B92" t="s">
        <v>515</v>
      </c>
      <c r="C92" t="s">
        <v>95</v>
      </c>
      <c r="D92" t="s">
        <v>93</v>
      </c>
      <c r="E92" s="8">
        <v>0</v>
      </c>
      <c r="F92" s="8">
        <v>0</v>
      </c>
      <c r="G92" s="9">
        <v>0</v>
      </c>
      <c r="H92" s="8">
        <v>0</v>
      </c>
      <c r="I92" s="8">
        <v>91162.5</v>
      </c>
      <c r="J92" s="9">
        <v>1</v>
      </c>
      <c r="K92" s="8">
        <v>0</v>
      </c>
      <c r="L92" s="9">
        <v>0</v>
      </c>
      <c r="M92" s="8">
        <v>91162.5</v>
      </c>
      <c r="N92" s="9">
        <v>1</v>
      </c>
      <c r="O92" s="9">
        <v>0</v>
      </c>
    </row>
    <row r="93" spans="1:15">
      <c r="A93" t="s">
        <v>514</v>
      </c>
      <c r="B93" t="s">
        <v>515</v>
      </c>
      <c r="C93" t="s">
        <v>77</v>
      </c>
      <c r="D93" t="s">
        <v>78</v>
      </c>
      <c r="E93" s="8">
        <v>0</v>
      </c>
      <c r="F93" s="8">
        <v>0</v>
      </c>
      <c r="G93" s="9">
        <v>0</v>
      </c>
      <c r="H93" s="8">
        <v>0</v>
      </c>
      <c r="I93" s="8">
        <v>2425</v>
      </c>
      <c r="J93" s="9">
        <v>1</v>
      </c>
      <c r="K93" s="8">
        <v>0</v>
      </c>
      <c r="L93" s="9">
        <v>0</v>
      </c>
      <c r="M93" s="8">
        <v>2425</v>
      </c>
      <c r="N93" s="9">
        <v>1</v>
      </c>
      <c r="O93" s="9">
        <v>0</v>
      </c>
    </row>
    <row r="94" spans="1:15">
      <c r="A94" t="s">
        <v>514</v>
      </c>
      <c r="B94" t="s">
        <v>515</v>
      </c>
      <c r="C94" t="s">
        <v>105</v>
      </c>
      <c r="D94" t="s">
        <v>106</v>
      </c>
      <c r="E94" s="8">
        <v>0</v>
      </c>
      <c r="F94" s="8">
        <v>0</v>
      </c>
      <c r="G94" s="9">
        <v>0</v>
      </c>
      <c r="H94" s="8">
        <v>0</v>
      </c>
      <c r="I94" s="8">
        <v>17300</v>
      </c>
      <c r="J94" s="9">
        <v>1</v>
      </c>
      <c r="K94" s="8">
        <v>0</v>
      </c>
      <c r="L94" s="9">
        <v>0</v>
      </c>
      <c r="M94" s="8">
        <v>17300</v>
      </c>
      <c r="N94" s="9">
        <v>1</v>
      </c>
      <c r="O94" s="9">
        <v>0</v>
      </c>
    </row>
    <row r="95" spans="1:15">
      <c r="A95" t="s">
        <v>143</v>
      </c>
      <c r="B95" t="s">
        <v>144</v>
      </c>
      <c r="C95" t="s">
        <v>430</v>
      </c>
      <c r="D95" t="s">
        <v>78</v>
      </c>
      <c r="E95" s="8">
        <v>0</v>
      </c>
      <c r="F95" s="8">
        <v>0</v>
      </c>
      <c r="G95" s="9">
        <v>0</v>
      </c>
      <c r="H95" s="8">
        <v>0</v>
      </c>
      <c r="I95" s="8">
        <v>483665</v>
      </c>
      <c r="J95" s="9">
        <v>1</v>
      </c>
      <c r="K95" s="8">
        <v>0</v>
      </c>
      <c r="L95" s="9">
        <v>0</v>
      </c>
      <c r="M95" s="8">
        <v>483665</v>
      </c>
      <c r="N95" s="9">
        <v>1</v>
      </c>
      <c r="O95" s="9">
        <v>0</v>
      </c>
    </row>
    <row r="96" spans="1:15">
      <c r="A96" t="s">
        <v>468</v>
      </c>
      <c r="B96" t="s">
        <v>469</v>
      </c>
      <c r="C96" t="s">
        <v>199</v>
      </c>
      <c r="D96" t="s">
        <v>93</v>
      </c>
      <c r="E96" s="8">
        <v>0</v>
      </c>
      <c r="F96" s="8">
        <v>0</v>
      </c>
      <c r="G96" s="9">
        <v>0</v>
      </c>
      <c r="H96" s="8">
        <v>0</v>
      </c>
      <c r="I96" s="8">
        <v>25118.21</v>
      </c>
      <c r="J96" s="9">
        <v>1</v>
      </c>
      <c r="K96" s="8">
        <v>0</v>
      </c>
      <c r="L96" s="9">
        <v>0</v>
      </c>
      <c r="M96" s="8">
        <v>25118.21</v>
      </c>
      <c r="N96" s="9">
        <v>1</v>
      </c>
      <c r="O96" s="9">
        <v>0</v>
      </c>
    </row>
    <row r="97" spans="1:15">
      <c r="A97" t="s">
        <v>143</v>
      </c>
      <c r="B97" t="s">
        <v>144</v>
      </c>
      <c r="C97" t="s">
        <v>116</v>
      </c>
      <c r="D97" t="s">
        <v>78</v>
      </c>
      <c r="E97" s="8">
        <v>0</v>
      </c>
      <c r="F97" s="8">
        <v>0</v>
      </c>
      <c r="G97" s="9">
        <v>0</v>
      </c>
      <c r="H97" s="8">
        <v>0</v>
      </c>
      <c r="I97" s="8">
        <v>6600</v>
      </c>
      <c r="J97" s="9">
        <v>1</v>
      </c>
      <c r="K97" s="8">
        <v>0</v>
      </c>
      <c r="L97" s="9">
        <v>0</v>
      </c>
      <c r="M97" s="8">
        <v>6600</v>
      </c>
      <c r="N97" s="9">
        <v>1</v>
      </c>
      <c r="O97" s="9">
        <v>0</v>
      </c>
    </row>
    <row r="98" spans="1:15">
      <c r="A98" t="s">
        <v>75</v>
      </c>
      <c r="B98" t="s">
        <v>76</v>
      </c>
      <c r="C98" t="s">
        <v>10</v>
      </c>
      <c r="D98" t="s">
        <v>17</v>
      </c>
      <c r="E98" s="8">
        <v>0</v>
      </c>
      <c r="F98" s="8">
        <v>0</v>
      </c>
      <c r="G98" s="9">
        <v>0</v>
      </c>
      <c r="H98" s="8">
        <v>0</v>
      </c>
      <c r="I98" s="8">
        <v>35880</v>
      </c>
      <c r="J98" s="9">
        <v>1</v>
      </c>
      <c r="K98" s="8">
        <v>0</v>
      </c>
      <c r="L98" s="9">
        <v>0</v>
      </c>
      <c r="M98" s="8">
        <v>35880</v>
      </c>
      <c r="N98" s="9">
        <v>1</v>
      </c>
      <c r="O98" s="9">
        <v>0</v>
      </c>
    </row>
    <row r="99" spans="1:15">
      <c r="A99" t="s">
        <v>75</v>
      </c>
      <c r="B99" t="s">
        <v>76</v>
      </c>
      <c r="C99" t="s">
        <v>68</v>
      </c>
      <c r="D99" t="s">
        <v>17</v>
      </c>
      <c r="E99" s="8">
        <v>0</v>
      </c>
      <c r="F99" s="8">
        <v>0</v>
      </c>
      <c r="G99" s="9">
        <v>0</v>
      </c>
      <c r="H99" s="8">
        <v>0</v>
      </c>
      <c r="I99" s="8">
        <v>3450</v>
      </c>
      <c r="J99" s="9">
        <v>1</v>
      </c>
      <c r="K99" s="8">
        <v>0</v>
      </c>
      <c r="L99" s="9">
        <v>0</v>
      </c>
      <c r="M99" s="8">
        <v>3450</v>
      </c>
      <c r="N99" s="9">
        <v>1</v>
      </c>
      <c r="O99" s="9">
        <v>0</v>
      </c>
    </row>
    <row r="100" spans="1:15">
      <c r="A100" t="s">
        <v>345</v>
      </c>
      <c r="B100" t="s">
        <v>346</v>
      </c>
      <c r="C100" t="s">
        <v>105</v>
      </c>
      <c r="D100" t="s">
        <v>106</v>
      </c>
      <c r="E100" s="8">
        <v>0</v>
      </c>
      <c r="F100" s="8">
        <v>0</v>
      </c>
      <c r="G100" s="9">
        <v>0</v>
      </c>
      <c r="H100" s="8">
        <v>0</v>
      </c>
      <c r="I100" s="8">
        <v>12625</v>
      </c>
      <c r="J100" s="9">
        <v>1</v>
      </c>
      <c r="K100" s="8">
        <v>0</v>
      </c>
      <c r="L100" s="9">
        <v>0</v>
      </c>
      <c r="M100" s="8">
        <v>12625</v>
      </c>
      <c r="N100" s="9">
        <v>1</v>
      </c>
      <c r="O100" s="9">
        <v>0</v>
      </c>
    </row>
    <row r="101" spans="1:15">
      <c r="A101" t="s">
        <v>143</v>
      </c>
      <c r="B101" t="s">
        <v>144</v>
      </c>
      <c r="C101" t="s">
        <v>591</v>
      </c>
      <c r="D101" t="s">
        <v>17</v>
      </c>
      <c r="E101" s="8">
        <v>0</v>
      </c>
      <c r="F101" s="8">
        <v>0</v>
      </c>
      <c r="G101" s="9">
        <v>0</v>
      </c>
      <c r="H101" s="8">
        <v>0</v>
      </c>
      <c r="I101" s="8">
        <v>269000</v>
      </c>
      <c r="J101" s="9">
        <v>1</v>
      </c>
      <c r="K101" s="8">
        <v>0</v>
      </c>
      <c r="L101" s="9">
        <v>0</v>
      </c>
      <c r="M101" s="8">
        <v>269000</v>
      </c>
      <c r="N101" s="9">
        <v>1</v>
      </c>
      <c r="O101" s="9">
        <v>0</v>
      </c>
    </row>
    <row r="102" spans="1:15">
      <c r="A102" t="s">
        <v>82</v>
      </c>
      <c r="B102" t="s">
        <v>83</v>
      </c>
      <c r="C102" t="s">
        <v>92</v>
      </c>
      <c r="D102" t="s">
        <v>93</v>
      </c>
      <c r="E102" s="8">
        <v>0</v>
      </c>
      <c r="F102" s="8">
        <v>0</v>
      </c>
      <c r="G102" s="9">
        <v>0</v>
      </c>
      <c r="H102" s="8">
        <v>0</v>
      </c>
      <c r="I102" s="8">
        <v>256961.97</v>
      </c>
      <c r="J102" s="9">
        <v>1</v>
      </c>
      <c r="K102" s="8">
        <v>0</v>
      </c>
      <c r="L102" s="9">
        <v>0</v>
      </c>
      <c r="M102" s="8">
        <v>256961.97</v>
      </c>
      <c r="N102" s="9">
        <v>1</v>
      </c>
      <c r="O102" s="9">
        <v>0</v>
      </c>
    </row>
    <row r="103" spans="1:15">
      <c r="A103" t="s">
        <v>87</v>
      </c>
      <c r="B103" t="s">
        <v>88</v>
      </c>
      <c r="C103" t="s">
        <v>199</v>
      </c>
      <c r="D103" t="s">
        <v>93</v>
      </c>
      <c r="E103" s="8">
        <v>0</v>
      </c>
      <c r="F103" s="8">
        <v>0</v>
      </c>
      <c r="G103" s="9">
        <v>0</v>
      </c>
      <c r="H103" s="8">
        <v>0</v>
      </c>
      <c r="I103" s="8">
        <v>306269.90000000002</v>
      </c>
      <c r="J103" s="9">
        <v>1</v>
      </c>
      <c r="K103" s="8">
        <v>0</v>
      </c>
      <c r="L103" s="9">
        <v>0</v>
      </c>
      <c r="M103" s="8">
        <v>306269.90000000002</v>
      </c>
      <c r="N103" s="9">
        <v>1</v>
      </c>
      <c r="O103" s="9">
        <v>0</v>
      </c>
    </row>
    <row r="104" spans="1:15">
      <c r="A104" t="s">
        <v>267</v>
      </c>
      <c r="B104" t="s">
        <v>268</v>
      </c>
      <c r="C104" t="s">
        <v>95</v>
      </c>
      <c r="D104" t="s">
        <v>93</v>
      </c>
      <c r="E104" s="8">
        <v>0</v>
      </c>
      <c r="F104" s="8">
        <v>0</v>
      </c>
      <c r="G104" s="9">
        <v>0</v>
      </c>
      <c r="H104" s="8">
        <v>0</v>
      </c>
      <c r="I104" s="8">
        <v>16800</v>
      </c>
      <c r="J104" s="9">
        <v>1</v>
      </c>
      <c r="K104" s="8">
        <v>0</v>
      </c>
      <c r="L104" s="9">
        <v>0</v>
      </c>
      <c r="M104" s="8">
        <v>16800</v>
      </c>
      <c r="N104" s="9">
        <v>1</v>
      </c>
      <c r="O104" s="9">
        <v>0</v>
      </c>
    </row>
    <row r="105" spans="1:15">
      <c r="A105" t="s">
        <v>82</v>
      </c>
      <c r="B105" t="s">
        <v>83</v>
      </c>
      <c r="C105" t="s">
        <v>430</v>
      </c>
      <c r="D105" t="s">
        <v>78</v>
      </c>
      <c r="E105" s="8">
        <v>0</v>
      </c>
      <c r="F105" s="8">
        <v>0</v>
      </c>
      <c r="G105" s="9">
        <v>0</v>
      </c>
      <c r="H105" s="8">
        <v>0</v>
      </c>
      <c r="I105" s="8">
        <v>339303</v>
      </c>
      <c r="J105" s="9">
        <v>1</v>
      </c>
      <c r="K105" s="8">
        <v>0</v>
      </c>
      <c r="L105" s="9">
        <v>0</v>
      </c>
      <c r="M105" s="8">
        <v>339303</v>
      </c>
      <c r="N105" s="9">
        <v>1</v>
      </c>
      <c r="O105" s="9">
        <v>0</v>
      </c>
    </row>
    <row r="106" spans="1:15">
      <c r="A106" t="s">
        <v>82</v>
      </c>
      <c r="B106" t="s">
        <v>83</v>
      </c>
      <c r="C106" t="s">
        <v>116</v>
      </c>
      <c r="D106" t="s">
        <v>78</v>
      </c>
      <c r="E106" s="8">
        <v>0</v>
      </c>
      <c r="F106" s="8">
        <v>0</v>
      </c>
      <c r="G106" s="9">
        <v>0</v>
      </c>
      <c r="H106" s="8">
        <v>0</v>
      </c>
      <c r="I106" s="8">
        <v>55296</v>
      </c>
      <c r="J106" s="9">
        <v>1</v>
      </c>
      <c r="K106" s="8">
        <v>0</v>
      </c>
      <c r="L106" s="9">
        <v>0</v>
      </c>
      <c r="M106" s="8">
        <v>55296</v>
      </c>
      <c r="N106" s="9">
        <v>1</v>
      </c>
      <c r="O106" s="9">
        <v>0</v>
      </c>
    </row>
    <row r="107" spans="1:15">
      <c r="A107" t="s">
        <v>87</v>
      </c>
      <c r="B107" t="s">
        <v>88</v>
      </c>
      <c r="C107" t="s">
        <v>430</v>
      </c>
      <c r="D107" t="s">
        <v>78</v>
      </c>
      <c r="E107" s="8">
        <v>0</v>
      </c>
      <c r="F107" s="8">
        <v>0</v>
      </c>
      <c r="G107" s="9">
        <v>0</v>
      </c>
      <c r="H107" s="8">
        <v>0</v>
      </c>
      <c r="I107" s="8">
        <v>2080679.71</v>
      </c>
      <c r="J107" s="9">
        <v>1</v>
      </c>
      <c r="K107" s="8">
        <v>0</v>
      </c>
      <c r="L107" s="9">
        <v>0</v>
      </c>
      <c r="M107" s="8">
        <v>2080679.71</v>
      </c>
      <c r="N107" s="9">
        <v>1</v>
      </c>
      <c r="O107" s="9">
        <v>0</v>
      </c>
    </row>
    <row r="108" spans="1:15">
      <c r="A108" t="s">
        <v>87</v>
      </c>
      <c r="B108" t="s">
        <v>88</v>
      </c>
      <c r="C108" t="s">
        <v>77</v>
      </c>
      <c r="D108" t="s">
        <v>78</v>
      </c>
      <c r="E108" s="8">
        <v>0</v>
      </c>
      <c r="F108" s="8">
        <v>0</v>
      </c>
      <c r="G108" s="9">
        <v>0</v>
      </c>
      <c r="H108" s="8">
        <v>0</v>
      </c>
      <c r="I108" s="8">
        <v>351670.5</v>
      </c>
      <c r="J108" s="9">
        <v>1</v>
      </c>
      <c r="K108" s="8">
        <v>0</v>
      </c>
      <c r="L108" s="9">
        <v>0</v>
      </c>
      <c r="M108" s="8">
        <v>351670.5</v>
      </c>
      <c r="N108" s="9">
        <v>1</v>
      </c>
      <c r="O108" s="9">
        <v>0</v>
      </c>
    </row>
    <row r="109" spans="1:15">
      <c r="A109" t="s">
        <v>667</v>
      </c>
      <c r="B109" t="s">
        <v>668</v>
      </c>
      <c r="C109" t="s">
        <v>92</v>
      </c>
      <c r="D109" t="s">
        <v>93</v>
      </c>
      <c r="E109" s="8">
        <v>0</v>
      </c>
      <c r="F109" s="8">
        <v>0</v>
      </c>
      <c r="G109" s="9">
        <v>0</v>
      </c>
      <c r="H109" s="8">
        <v>0</v>
      </c>
      <c r="I109" s="8">
        <v>48860.65</v>
      </c>
      <c r="J109" s="9">
        <v>1</v>
      </c>
      <c r="K109" s="8">
        <v>0</v>
      </c>
      <c r="L109" s="9">
        <v>0</v>
      </c>
      <c r="M109" s="8">
        <v>48860.65</v>
      </c>
      <c r="N109" s="9">
        <v>1</v>
      </c>
      <c r="O109" s="9">
        <v>0</v>
      </c>
    </row>
    <row r="110" spans="1:15">
      <c r="A110" t="s">
        <v>667</v>
      </c>
      <c r="B110" t="s">
        <v>668</v>
      </c>
      <c r="C110" t="s">
        <v>199</v>
      </c>
      <c r="D110" t="s">
        <v>93</v>
      </c>
      <c r="E110" s="8">
        <v>0</v>
      </c>
      <c r="F110" s="8">
        <v>0</v>
      </c>
      <c r="G110" s="9">
        <v>0</v>
      </c>
      <c r="H110" s="8">
        <v>0</v>
      </c>
      <c r="I110" s="8">
        <v>75557.67</v>
      </c>
      <c r="J110" s="9">
        <v>1</v>
      </c>
      <c r="K110" s="8">
        <v>0</v>
      </c>
      <c r="L110" s="9">
        <v>0</v>
      </c>
      <c r="M110" s="8">
        <v>75557.67</v>
      </c>
      <c r="N110" s="9">
        <v>1</v>
      </c>
      <c r="O110" s="9">
        <v>0</v>
      </c>
    </row>
    <row r="111" spans="1:15">
      <c r="A111" t="s">
        <v>667</v>
      </c>
      <c r="B111" t="s">
        <v>668</v>
      </c>
      <c r="C111" t="s">
        <v>95</v>
      </c>
      <c r="D111" t="s">
        <v>93</v>
      </c>
      <c r="E111" s="8">
        <v>0</v>
      </c>
      <c r="F111" s="8">
        <v>0</v>
      </c>
      <c r="G111" s="9">
        <v>0</v>
      </c>
      <c r="H111" s="8">
        <v>0</v>
      </c>
      <c r="I111" s="8">
        <v>733002.18</v>
      </c>
      <c r="J111" s="9">
        <v>1</v>
      </c>
      <c r="K111" s="8">
        <v>0</v>
      </c>
      <c r="L111" s="9">
        <v>0</v>
      </c>
      <c r="M111" s="8">
        <v>733002.18</v>
      </c>
      <c r="N111" s="9">
        <v>1</v>
      </c>
      <c r="O111" s="9">
        <v>0</v>
      </c>
    </row>
    <row r="112" spans="1:15">
      <c r="A112" t="s">
        <v>667</v>
      </c>
      <c r="B112" t="s">
        <v>668</v>
      </c>
      <c r="C112" t="s">
        <v>105</v>
      </c>
      <c r="D112" t="s">
        <v>106</v>
      </c>
      <c r="E112" s="8">
        <v>0</v>
      </c>
      <c r="F112" s="8">
        <v>0</v>
      </c>
      <c r="G112" s="9">
        <v>0</v>
      </c>
      <c r="H112" s="8">
        <v>0</v>
      </c>
      <c r="I112" s="8">
        <v>99858</v>
      </c>
      <c r="J112" s="9">
        <v>1</v>
      </c>
      <c r="K112" s="8">
        <v>0</v>
      </c>
      <c r="L112" s="9">
        <v>0</v>
      </c>
      <c r="M112" s="8">
        <v>99858</v>
      </c>
      <c r="N112" s="9">
        <v>1</v>
      </c>
      <c r="O112" s="9">
        <v>0</v>
      </c>
    </row>
    <row r="113" spans="1:15">
      <c r="A113" t="s">
        <v>143</v>
      </c>
      <c r="B113" t="s">
        <v>144</v>
      </c>
      <c r="C113" t="s">
        <v>68</v>
      </c>
      <c r="D113" t="s">
        <v>17</v>
      </c>
      <c r="E113" s="8">
        <v>0</v>
      </c>
      <c r="F113" s="8">
        <v>1500</v>
      </c>
      <c r="G113" s="9">
        <v>0</v>
      </c>
      <c r="H113" s="8">
        <v>0</v>
      </c>
      <c r="I113" s="8">
        <v>30000</v>
      </c>
      <c r="J113" s="9">
        <v>1</v>
      </c>
      <c r="K113" s="8">
        <v>0</v>
      </c>
      <c r="L113" s="9">
        <v>0</v>
      </c>
      <c r="M113" s="8">
        <v>30000</v>
      </c>
      <c r="N113" s="9">
        <v>1</v>
      </c>
      <c r="O113" s="9">
        <v>0</v>
      </c>
    </row>
    <row r="114" spans="1:15">
      <c r="A114" t="s">
        <v>680</v>
      </c>
      <c r="B114" t="s">
        <v>681</v>
      </c>
      <c r="C114" t="s">
        <v>10</v>
      </c>
      <c r="D114" t="s">
        <v>17</v>
      </c>
      <c r="E114" s="8">
        <v>0</v>
      </c>
      <c r="F114" s="8">
        <v>0</v>
      </c>
      <c r="G114" s="9">
        <v>0</v>
      </c>
      <c r="H114" s="8">
        <v>0</v>
      </c>
      <c r="I114" s="8">
        <v>19500</v>
      </c>
      <c r="J114" s="9">
        <v>1</v>
      </c>
      <c r="K114" s="8">
        <v>0</v>
      </c>
      <c r="L114" s="9">
        <v>0</v>
      </c>
      <c r="M114" s="8">
        <v>19500</v>
      </c>
      <c r="N114" s="9">
        <v>1</v>
      </c>
      <c r="O114" s="9">
        <v>0</v>
      </c>
    </row>
    <row r="115" spans="1:15">
      <c r="A115" t="s">
        <v>680</v>
      </c>
      <c r="B115" t="s">
        <v>681</v>
      </c>
      <c r="C115" t="s">
        <v>68</v>
      </c>
      <c r="D115" t="s">
        <v>17</v>
      </c>
      <c r="E115" s="8">
        <v>0</v>
      </c>
      <c r="F115" s="8">
        <v>0</v>
      </c>
      <c r="G115" s="9">
        <v>0</v>
      </c>
      <c r="H115" s="8">
        <v>0</v>
      </c>
      <c r="I115" s="8">
        <v>45000</v>
      </c>
      <c r="J115" s="9">
        <v>1</v>
      </c>
      <c r="K115" s="8">
        <v>0</v>
      </c>
      <c r="L115" s="9">
        <v>0</v>
      </c>
      <c r="M115" s="8">
        <v>45000</v>
      </c>
      <c r="N115" s="9">
        <v>1</v>
      </c>
      <c r="O115" s="9">
        <v>0</v>
      </c>
    </row>
    <row r="116" spans="1:15">
      <c r="A116" t="s">
        <v>680</v>
      </c>
      <c r="B116" t="s">
        <v>681</v>
      </c>
      <c r="C116" t="s">
        <v>11</v>
      </c>
      <c r="D116" t="s">
        <v>17</v>
      </c>
      <c r="E116" s="8">
        <v>0</v>
      </c>
      <c r="F116" s="8">
        <v>0</v>
      </c>
      <c r="G116" s="9">
        <v>0</v>
      </c>
      <c r="H116" s="8">
        <v>0</v>
      </c>
      <c r="I116" s="8">
        <v>38800</v>
      </c>
      <c r="J116" s="9">
        <v>1</v>
      </c>
      <c r="K116" s="8">
        <v>0</v>
      </c>
      <c r="L116" s="9">
        <v>0</v>
      </c>
      <c r="M116" s="8">
        <v>38800</v>
      </c>
      <c r="N116" s="9">
        <v>1</v>
      </c>
      <c r="O116" s="9">
        <v>0</v>
      </c>
    </row>
    <row r="117" spans="1:15">
      <c r="A117" t="s">
        <v>680</v>
      </c>
      <c r="B117" t="s">
        <v>681</v>
      </c>
      <c r="C117" t="s">
        <v>105</v>
      </c>
      <c r="D117" t="s">
        <v>106</v>
      </c>
      <c r="E117" s="8">
        <v>0</v>
      </c>
      <c r="F117" s="8">
        <v>0</v>
      </c>
      <c r="G117" s="9">
        <v>0</v>
      </c>
      <c r="H117" s="8">
        <v>0</v>
      </c>
      <c r="I117" s="8">
        <v>30650</v>
      </c>
      <c r="J117" s="9">
        <v>1</v>
      </c>
      <c r="K117" s="8">
        <v>0</v>
      </c>
      <c r="L117" s="9">
        <v>0</v>
      </c>
      <c r="M117" s="8">
        <v>30650</v>
      </c>
      <c r="N117" s="9">
        <v>1</v>
      </c>
      <c r="O117" s="9">
        <v>0</v>
      </c>
    </row>
    <row r="118" spans="1:15">
      <c r="A118" t="s">
        <v>328</v>
      </c>
      <c r="B118" t="s">
        <v>329</v>
      </c>
      <c r="C118" t="s">
        <v>199</v>
      </c>
      <c r="D118" t="s">
        <v>93</v>
      </c>
      <c r="E118" s="8">
        <v>0</v>
      </c>
      <c r="F118" s="8">
        <v>0</v>
      </c>
      <c r="G118" s="9">
        <v>0</v>
      </c>
      <c r="H118" s="8">
        <v>0</v>
      </c>
      <c r="I118" s="8">
        <v>10934.91</v>
      </c>
      <c r="J118" s="9">
        <v>1</v>
      </c>
      <c r="K118" s="8">
        <v>0</v>
      </c>
      <c r="L118" s="9">
        <v>0</v>
      </c>
      <c r="M118" s="8">
        <v>10934.91</v>
      </c>
      <c r="N118" s="9">
        <v>1</v>
      </c>
      <c r="O118" s="9">
        <v>0</v>
      </c>
    </row>
    <row r="119" spans="1:15">
      <c r="A119" t="s">
        <v>328</v>
      </c>
      <c r="B119" t="s">
        <v>329</v>
      </c>
      <c r="C119" t="s">
        <v>105</v>
      </c>
      <c r="D119" t="s">
        <v>106</v>
      </c>
      <c r="E119" s="8">
        <v>0</v>
      </c>
      <c r="F119" s="8">
        <v>0</v>
      </c>
      <c r="G119" s="9">
        <v>0</v>
      </c>
      <c r="H119" s="8">
        <v>0</v>
      </c>
      <c r="I119" s="8">
        <v>10625</v>
      </c>
      <c r="J119" s="9">
        <v>1</v>
      </c>
      <c r="K119" s="8">
        <v>0</v>
      </c>
      <c r="L119" s="9">
        <v>0</v>
      </c>
      <c r="M119" s="8">
        <v>10625</v>
      </c>
      <c r="N119" s="9">
        <v>1</v>
      </c>
      <c r="O119" s="9">
        <v>0</v>
      </c>
    </row>
    <row r="120" spans="1:15">
      <c r="A120" t="s">
        <v>758</v>
      </c>
      <c r="B120" t="s">
        <v>759</v>
      </c>
      <c r="C120" t="s">
        <v>68</v>
      </c>
      <c r="D120" t="s">
        <v>17</v>
      </c>
      <c r="E120" s="8">
        <v>0</v>
      </c>
      <c r="F120" s="8">
        <v>0</v>
      </c>
      <c r="G120" s="9">
        <v>0</v>
      </c>
      <c r="H120" s="8">
        <v>0</v>
      </c>
      <c r="I120" s="8">
        <v>3750</v>
      </c>
      <c r="J120" s="9">
        <v>1</v>
      </c>
      <c r="K120" s="8">
        <v>0</v>
      </c>
      <c r="L120" s="9">
        <v>0</v>
      </c>
      <c r="M120" s="8">
        <v>3750</v>
      </c>
      <c r="N120" s="9">
        <v>1</v>
      </c>
      <c r="O120" s="9">
        <v>0</v>
      </c>
    </row>
    <row r="121" spans="1:15">
      <c r="A121" t="s">
        <v>758</v>
      </c>
      <c r="B121" t="s">
        <v>759</v>
      </c>
      <c r="C121" t="s">
        <v>11</v>
      </c>
      <c r="D121" t="s">
        <v>17</v>
      </c>
      <c r="E121" s="8">
        <v>0</v>
      </c>
      <c r="F121" s="8">
        <v>0</v>
      </c>
      <c r="G121" s="9">
        <v>0</v>
      </c>
      <c r="H121" s="8">
        <v>0</v>
      </c>
      <c r="I121" s="8">
        <v>18187.5</v>
      </c>
      <c r="J121" s="9">
        <v>1</v>
      </c>
      <c r="K121" s="8">
        <v>0</v>
      </c>
      <c r="L121" s="9">
        <v>0</v>
      </c>
      <c r="M121" s="8">
        <v>18187.5</v>
      </c>
      <c r="N121" s="9">
        <v>1</v>
      </c>
      <c r="O121" s="9">
        <v>0</v>
      </c>
    </row>
    <row r="122" spans="1:15">
      <c r="A122" t="s">
        <v>758</v>
      </c>
      <c r="B122" t="s">
        <v>759</v>
      </c>
      <c r="C122" t="s">
        <v>105</v>
      </c>
      <c r="D122" t="s">
        <v>106</v>
      </c>
      <c r="E122" s="8">
        <v>0</v>
      </c>
      <c r="F122" s="8">
        <v>0</v>
      </c>
      <c r="G122" s="9">
        <v>0</v>
      </c>
      <c r="H122" s="8">
        <v>0</v>
      </c>
      <c r="I122" s="8">
        <v>13725</v>
      </c>
      <c r="J122" s="9">
        <v>1</v>
      </c>
      <c r="K122" s="8">
        <v>0</v>
      </c>
      <c r="L122" s="9">
        <v>0</v>
      </c>
      <c r="M122" s="8">
        <v>13725</v>
      </c>
      <c r="N122" s="9">
        <v>1</v>
      </c>
      <c r="O122" s="9">
        <v>0</v>
      </c>
    </row>
    <row r="123" spans="1:15">
      <c r="A123" t="s">
        <v>764</v>
      </c>
      <c r="B123" t="s">
        <v>765</v>
      </c>
      <c r="C123" t="s">
        <v>77</v>
      </c>
      <c r="D123" t="s">
        <v>78</v>
      </c>
      <c r="E123" s="8">
        <v>0</v>
      </c>
      <c r="F123" s="8">
        <v>0</v>
      </c>
      <c r="G123" s="9">
        <v>0</v>
      </c>
      <c r="H123" s="8">
        <v>0</v>
      </c>
      <c r="I123" s="8">
        <v>13737</v>
      </c>
      <c r="J123" s="9">
        <v>1</v>
      </c>
      <c r="K123" s="8">
        <v>0</v>
      </c>
      <c r="L123" s="9">
        <v>0</v>
      </c>
      <c r="M123" s="8">
        <v>13737</v>
      </c>
      <c r="N123" s="9">
        <v>1</v>
      </c>
      <c r="O123" s="9">
        <v>0</v>
      </c>
    </row>
    <row r="124" spans="1:15">
      <c r="A124" t="s">
        <v>764</v>
      </c>
      <c r="B124" t="s">
        <v>765</v>
      </c>
      <c r="C124" t="s">
        <v>116</v>
      </c>
      <c r="D124" t="s">
        <v>78</v>
      </c>
      <c r="E124" s="8">
        <v>0</v>
      </c>
      <c r="F124" s="8">
        <v>0</v>
      </c>
      <c r="G124" s="9">
        <v>0</v>
      </c>
      <c r="H124" s="8">
        <v>0</v>
      </c>
      <c r="I124" s="8">
        <v>4248.54</v>
      </c>
      <c r="J124" s="9">
        <v>1</v>
      </c>
      <c r="K124" s="8">
        <v>0</v>
      </c>
      <c r="L124" s="9">
        <v>0</v>
      </c>
      <c r="M124" s="8">
        <v>4248.54</v>
      </c>
      <c r="N124" s="9">
        <v>1</v>
      </c>
      <c r="O124" s="9">
        <v>0</v>
      </c>
    </row>
    <row r="125" spans="1:15">
      <c r="A125" t="s">
        <v>764</v>
      </c>
      <c r="B125" t="s">
        <v>765</v>
      </c>
      <c r="C125" t="s">
        <v>430</v>
      </c>
      <c r="D125" t="s">
        <v>78</v>
      </c>
      <c r="E125" s="8">
        <v>0</v>
      </c>
      <c r="F125" s="8">
        <v>0</v>
      </c>
      <c r="G125" s="9">
        <v>0</v>
      </c>
      <c r="H125" s="8">
        <v>0</v>
      </c>
      <c r="I125" s="8">
        <v>52469.45</v>
      </c>
      <c r="J125" s="9">
        <v>1</v>
      </c>
      <c r="K125" s="8">
        <v>0</v>
      </c>
      <c r="L125" s="9">
        <v>0</v>
      </c>
      <c r="M125" s="8">
        <v>52469.45</v>
      </c>
      <c r="N125" s="9">
        <v>1</v>
      </c>
      <c r="O125" s="9">
        <v>0</v>
      </c>
    </row>
    <row r="126" spans="1:15">
      <c r="A126" t="s">
        <v>764</v>
      </c>
      <c r="B126" t="s">
        <v>765</v>
      </c>
      <c r="C126" t="s">
        <v>105</v>
      </c>
      <c r="D126" t="s">
        <v>106</v>
      </c>
      <c r="E126" s="8">
        <v>0</v>
      </c>
      <c r="F126" s="8">
        <v>0</v>
      </c>
      <c r="G126" s="9">
        <v>0</v>
      </c>
      <c r="H126" s="8">
        <v>0</v>
      </c>
      <c r="I126" s="8">
        <v>27450</v>
      </c>
      <c r="J126" s="9">
        <v>1</v>
      </c>
      <c r="K126" s="8">
        <v>0</v>
      </c>
      <c r="L126" s="9">
        <v>0</v>
      </c>
      <c r="M126" s="8">
        <v>27450</v>
      </c>
      <c r="N126" s="9">
        <v>1</v>
      </c>
      <c r="O126" s="9">
        <v>0</v>
      </c>
    </row>
    <row r="127" spans="1:15">
      <c r="A127" t="s">
        <v>75</v>
      </c>
      <c r="B127" t="s">
        <v>76</v>
      </c>
      <c r="C127" t="s">
        <v>430</v>
      </c>
      <c r="D127" t="s">
        <v>78</v>
      </c>
      <c r="E127" s="8">
        <v>0</v>
      </c>
      <c r="F127" s="8">
        <v>0</v>
      </c>
      <c r="G127" s="9">
        <v>0</v>
      </c>
      <c r="H127" s="8">
        <v>0</v>
      </c>
      <c r="I127" s="8">
        <v>4850</v>
      </c>
      <c r="J127" s="9">
        <v>1</v>
      </c>
      <c r="K127" s="8">
        <v>0</v>
      </c>
      <c r="L127" s="9">
        <v>0</v>
      </c>
      <c r="M127" s="8">
        <v>4850</v>
      </c>
      <c r="N127" s="9">
        <v>1</v>
      </c>
      <c r="O127" s="9">
        <v>0</v>
      </c>
    </row>
    <row r="128" spans="1:15">
      <c r="A128" t="s">
        <v>12</v>
      </c>
      <c r="E128" s="8">
        <f>SUBTOTAL(109,ByCustomer[Quantity Period A])</f>
        <v>310647</v>
      </c>
      <c r="F128" s="8">
        <f>SUBTOTAL(109,ByCustomer[Quantity Period B])</f>
        <v>5249.5</v>
      </c>
      <c r="G128" s="9">
        <f>(ByCustomer[[#Totals],[Quantity Period B]]-ByCustomer[[#Totals],[Quantity Period A]])/ByCustomer[[#Totals],[Quantity Period A]]</f>
        <v>-0.98310139804987651</v>
      </c>
      <c r="H128" s="8">
        <f>SUBTOTAL(109,ByCustomer[Sales Period A])</f>
        <v>15931414.770000007</v>
      </c>
      <c r="I128" s="8">
        <f>SUBTOTAL(109,ByCustomer[Sales Period B])</f>
        <v>18450380.59</v>
      </c>
      <c r="J128" s="9">
        <f>(ByCustomer[[#Totals],[Sales Period B]]-ByCustomer[[#Totals],[Sales Period A]])/ByCustomer[[#Totals],[Sales Period A]]</f>
        <v>0.15811312782737824</v>
      </c>
      <c r="K128" s="8">
        <f>SUBTOTAL(109,ByCustomer[Margin Period A])</f>
        <v>15928141.340000007</v>
      </c>
      <c r="L128" s="9">
        <f>ByCustomer[[#Totals],[Margin Period A]]/ByCustomer[[#Totals],[Sales Period A]]</f>
        <v>0.99979452986145567</v>
      </c>
      <c r="M128" s="8">
        <f>SUBTOTAL(109,ByCustomer[Margin Period B])</f>
        <v>18450380.59</v>
      </c>
      <c r="N128" s="9">
        <f>ByCustomer[[#Totals],[Margin Period B]]/ByCustomer[[#Totals],[Sales Period B]]</f>
        <v>1</v>
      </c>
      <c r="O128" s="9">
        <f>(ByCustomer[[#Totals],[Margin Period B]]/ByCustomer[[#Totals],[Sales Period B]]) - (ByCustomer[[#Totals],[Margin Period A]]/ByCustomer[[#Totals],[Sales Period A]])</f>
        <v>2.0547013854432805E-4</v>
      </c>
    </row>
  </sheetData>
  <phoneticPr fontId="7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UnitConversion"/>
  <dimension ref="A1:F6"/>
  <sheetViews>
    <sheetView workbookViewId="0">
      <selection activeCell="E19" sqref="E19"/>
    </sheetView>
  </sheetViews>
  <sheetFormatPr defaultRowHeight="15"/>
  <cols>
    <col min="1" max="1" width="15.140625" customWidth="1"/>
    <col min="2" max="2" width="11.85546875" customWidth="1"/>
    <col min="3" max="3" width="8.7109375" customWidth="1"/>
    <col min="4" max="4" width="20.7109375" customWidth="1"/>
    <col min="5" max="5" width="9.42578125" customWidth="1"/>
    <col min="6" max="6" width="12.28515625" customWidth="1"/>
    <col min="7" max="7" width="12.28515625" bestFit="1" customWidth="1"/>
  </cols>
  <sheetData>
    <row r="1" spans="1:6" ht="22.5">
      <c r="A1" s="1" t="s">
        <v>1060</v>
      </c>
      <c r="B1" s="1"/>
      <c r="C1" s="1"/>
      <c r="D1" s="1"/>
      <c r="E1" s="1"/>
      <c r="F1" s="1"/>
    </row>
    <row r="2" spans="1:6">
      <c r="A2" s="2" t="s">
        <v>33</v>
      </c>
      <c r="B2" s="2" t="s">
        <v>1061</v>
      </c>
      <c r="C2" s="2" t="s">
        <v>1062</v>
      </c>
      <c r="D2" s="2" t="s">
        <v>1063</v>
      </c>
      <c r="E2" s="2" t="s">
        <v>1064</v>
      </c>
      <c r="F2" s="2" t="s">
        <v>1065</v>
      </c>
    </row>
    <row r="3" spans="1:6">
      <c r="A3" s="5" t="s">
        <v>1069</v>
      </c>
      <c r="B3" s="5"/>
      <c r="C3" s="5"/>
      <c r="D3" s="5"/>
      <c r="E3" s="5"/>
      <c r="F3" s="5"/>
    </row>
    <row r="4" spans="1:6">
      <c r="A4" s="2" t="s">
        <v>12</v>
      </c>
      <c r="B4" s="2"/>
      <c r="C4" s="2">
        <f>SUBTOTAL(109,AtlasReport_4_Table_1[Factor])</f>
        <v>0</v>
      </c>
      <c r="D4" s="2">
        <f>SUBTOTAL(109,AtlasReport_4_Table_1[Additional quantity])</f>
        <v>0</v>
      </c>
      <c r="E4" s="2"/>
      <c r="F4" s="2"/>
    </row>
    <row r="5" spans="1:6">
      <c r="A5" s="2"/>
      <c r="B5" s="2"/>
      <c r="C5" s="2"/>
      <c r="D5" s="2"/>
      <c r="E5" s="2"/>
      <c r="F5" s="2"/>
    </row>
    <row r="6" spans="1:6">
      <c r="A6" s="2"/>
      <c r="B6" s="2"/>
      <c r="C6" s="2"/>
      <c r="D6" s="2"/>
      <c r="E6" s="2"/>
      <c r="F6" s="2"/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InventUnit"/>
  <dimension ref="A1:B239"/>
  <sheetViews>
    <sheetView workbookViewId="0">
      <selection activeCell="B32" sqref="B32"/>
    </sheetView>
  </sheetViews>
  <sheetFormatPr defaultRowHeight="15"/>
  <cols>
    <col min="1" max="1" width="21.140625" customWidth="1"/>
    <col min="2" max="2" width="7.140625" customWidth="1"/>
    <col min="3" max="3" width="7.140625" bestFit="1" customWidth="1"/>
  </cols>
  <sheetData>
    <row r="1" spans="1:2" ht="22.5">
      <c r="A1" s="1" t="s">
        <v>1057</v>
      </c>
      <c r="B1" s="1"/>
    </row>
    <row r="2" spans="1:2">
      <c r="A2" s="2" t="s">
        <v>33</v>
      </c>
      <c r="B2" s="2" t="s">
        <v>25</v>
      </c>
    </row>
    <row r="3" spans="1:2">
      <c r="A3" s="4" t="s">
        <v>834</v>
      </c>
      <c r="B3" s="4" t="s">
        <v>26</v>
      </c>
    </row>
    <row r="4" spans="1:2">
      <c r="A4" s="4" t="s">
        <v>835</v>
      </c>
      <c r="B4" s="4" t="s">
        <v>27</v>
      </c>
    </row>
    <row r="5" spans="1:2">
      <c r="A5" s="4" t="s">
        <v>836</v>
      </c>
      <c r="B5" s="4" t="s">
        <v>1058</v>
      </c>
    </row>
    <row r="6" spans="1:2">
      <c r="A6" s="4" t="s">
        <v>837</v>
      </c>
      <c r="B6" s="4" t="s">
        <v>27</v>
      </c>
    </row>
    <row r="7" spans="1:2">
      <c r="A7" s="4" t="s">
        <v>838</v>
      </c>
      <c r="B7" s="4" t="s">
        <v>27</v>
      </c>
    </row>
    <row r="8" spans="1:2">
      <c r="A8" s="4" t="s">
        <v>839</v>
      </c>
      <c r="B8" s="4" t="s">
        <v>27</v>
      </c>
    </row>
    <row r="9" spans="1:2">
      <c r="A9" s="4" t="s">
        <v>840</v>
      </c>
      <c r="B9" s="4" t="s">
        <v>27</v>
      </c>
    </row>
    <row r="10" spans="1:2">
      <c r="A10" s="4" t="s">
        <v>841</v>
      </c>
      <c r="B10" s="4" t="s">
        <v>1059</v>
      </c>
    </row>
    <row r="11" spans="1:2">
      <c r="A11" s="4" t="s">
        <v>842</v>
      </c>
      <c r="B11" s="4" t="s">
        <v>27</v>
      </c>
    </row>
    <row r="12" spans="1:2">
      <c r="A12" s="4" t="s">
        <v>843</v>
      </c>
      <c r="B12" s="4" t="s">
        <v>27</v>
      </c>
    </row>
    <row r="13" spans="1:2">
      <c r="A13" s="4" t="s">
        <v>844</v>
      </c>
      <c r="B13" s="4" t="s">
        <v>26</v>
      </c>
    </row>
    <row r="14" spans="1:2">
      <c r="A14" s="4" t="s">
        <v>845</v>
      </c>
      <c r="B14" s="4" t="s">
        <v>26</v>
      </c>
    </row>
    <row r="15" spans="1:2">
      <c r="A15" s="4" t="s">
        <v>846</v>
      </c>
      <c r="B15" s="4" t="s">
        <v>26</v>
      </c>
    </row>
    <row r="16" spans="1:2">
      <c r="A16" s="4" t="s">
        <v>847</v>
      </c>
      <c r="B16" s="4" t="s">
        <v>1059</v>
      </c>
    </row>
    <row r="17" spans="1:2">
      <c r="A17" s="4" t="s">
        <v>848</v>
      </c>
      <c r="B17" s="4" t="s">
        <v>26</v>
      </c>
    </row>
    <row r="18" spans="1:2">
      <c r="A18" s="4" t="s">
        <v>849</v>
      </c>
      <c r="B18" s="4" t="s">
        <v>26</v>
      </c>
    </row>
    <row r="19" spans="1:2">
      <c r="A19" s="4" t="s">
        <v>850</v>
      </c>
      <c r="B19" s="4" t="s">
        <v>26</v>
      </c>
    </row>
    <row r="20" spans="1:2">
      <c r="A20" s="4" t="s">
        <v>851</v>
      </c>
      <c r="B20" s="4" t="s">
        <v>26</v>
      </c>
    </row>
    <row r="21" spans="1:2">
      <c r="A21" s="4" t="s">
        <v>852</v>
      </c>
      <c r="B21" s="4" t="s">
        <v>27</v>
      </c>
    </row>
    <row r="22" spans="1:2">
      <c r="A22" s="4" t="s">
        <v>853</v>
      </c>
      <c r="B22" s="4" t="s">
        <v>27</v>
      </c>
    </row>
    <row r="23" spans="1:2">
      <c r="A23" s="4" t="s">
        <v>854</v>
      </c>
      <c r="B23" s="4" t="s">
        <v>27</v>
      </c>
    </row>
    <row r="24" spans="1:2">
      <c r="A24" s="4" t="s">
        <v>855</v>
      </c>
      <c r="B24" s="4" t="s">
        <v>26</v>
      </c>
    </row>
    <row r="25" spans="1:2">
      <c r="A25" s="4" t="s">
        <v>105</v>
      </c>
      <c r="B25" s="4" t="s">
        <v>27</v>
      </c>
    </row>
    <row r="26" spans="1:2">
      <c r="A26" s="4" t="s">
        <v>133</v>
      </c>
      <c r="B26" s="4" t="s">
        <v>124</v>
      </c>
    </row>
    <row r="27" spans="1:2">
      <c r="A27" s="4" t="s">
        <v>856</v>
      </c>
      <c r="B27" s="4" t="s">
        <v>26</v>
      </c>
    </row>
    <row r="28" spans="1:2">
      <c r="A28" s="4" t="s">
        <v>857</v>
      </c>
      <c r="B28" s="4" t="s">
        <v>26</v>
      </c>
    </row>
    <row r="29" spans="1:2">
      <c r="A29" s="4" t="s">
        <v>858</v>
      </c>
      <c r="B29" s="4" t="s">
        <v>26</v>
      </c>
    </row>
    <row r="30" spans="1:2">
      <c r="A30" s="4" t="s">
        <v>859</v>
      </c>
      <c r="B30" s="4" t="s">
        <v>26</v>
      </c>
    </row>
    <row r="31" spans="1:2">
      <c r="A31" s="4" t="s">
        <v>860</v>
      </c>
      <c r="B31" s="4" t="s">
        <v>26</v>
      </c>
    </row>
    <row r="32" spans="1:2">
      <c r="A32" s="4" t="s">
        <v>77</v>
      </c>
      <c r="B32" s="4" t="s">
        <v>27</v>
      </c>
    </row>
    <row r="33" spans="1:2">
      <c r="A33" s="4" t="s">
        <v>92</v>
      </c>
      <c r="B33" s="4" t="s">
        <v>27</v>
      </c>
    </row>
    <row r="34" spans="1:2">
      <c r="A34" s="4" t="s">
        <v>116</v>
      </c>
      <c r="B34" s="4" t="s">
        <v>27</v>
      </c>
    </row>
    <row r="35" spans="1:2">
      <c r="A35" s="4" t="s">
        <v>430</v>
      </c>
      <c r="B35" s="4" t="s">
        <v>27</v>
      </c>
    </row>
    <row r="36" spans="1:2">
      <c r="A36" s="4" t="s">
        <v>199</v>
      </c>
      <c r="B36" s="4" t="s">
        <v>27</v>
      </c>
    </row>
    <row r="37" spans="1:2">
      <c r="A37" s="4" t="s">
        <v>95</v>
      </c>
      <c r="B37" s="4" t="s">
        <v>27</v>
      </c>
    </row>
    <row r="38" spans="1:2">
      <c r="A38" s="4" t="s">
        <v>861</v>
      </c>
      <c r="B38" s="4" t="s">
        <v>26</v>
      </c>
    </row>
    <row r="39" spans="1:2">
      <c r="A39" s="4" t="s">
        <v>862</v>
      </c>
      <c r="B39" s="4" t="s">
        <v>26</v>
      </c>
    </row>
    <row r="40" spans="1:2">
      <c r="A40" s="4" t="s">
        <v>863</v>
      </c>
      <c r="B40" s="4" t="s">
        <v>26</v>
      </c>
    </row>
    <row r="41" spans="1:2">
      <c r="A41" s="4" t="s">
        <v>864</v>
      </c>
      <c r="B41" s="4" t="s">
        <v>26</v>
      </c>
    </row>
    <row r="42" spans="1:2">
      <c r="A42" s="4" t="s">
        <v>865</v>
      </c>
      <c r="B42" s="4" t="s">
        <v>26</v>
      </c>
    </row>
    <row r="43" spans="1:2">
      <c r="A43" s="4" t="s">
        <v>866</v>
      </c>
      <c r="B43" s="4" t="s">
        <v>26</v>
      </c>
    </row>
    <row r="44" spans="1:2">
      <c r="A44" s="4" t="s">
        <v>867</v>
      </c>
      <c r="B44" s="4" t="s">
        <v>26</v>
      </c>
    </row>
    <row r="45" spans="1:2">
      <c r="A45" s="4" t="s">
        <v>868</v>
      </c>
      <c r="B45" s="4" t="s">
        <v>26</v>
      </c>
    </row>
    <row r="46" spans="1:2">
      <c r="A46" s="4" t="s">
        <v>869</v>
      </c>
      <c r="B46" s="4" t="s">
        <v>26</v>
      </c>
    </row>
    <row r="47" spans="1:2">
      <c r="A47" s="4" t="s">
        <v>870</v>
      </c>
      <c r="B47" s="4" t="s">
        <v>27</v>
      </c>
    </row>
    <row r="48" spans="1:2">
      <c r="A48" s="4" t="s">
        <v>871</v>
      </c>
      <c r="B48" s="4" t="s">
        <v>27</v>
      </c>
    </row>
    <row r="49" spans="1:2">
      <c r="A49" s="4" t="s">
        <v>872</v>
      </c>
      <c r="B49" s="4" t="s">
        <v>27</v>
      </c>
    </row>
    <row r="50" spans="1:2">
      <c r="A50" s="4" t="s">
        <v>873</v>
      </c>
      <c r="B50" s="4" t="s">
        <v>27</v>
      </c>
    </row>
    <row r="51" spans="1:2">
      <c r="A51" s="4" t="s">
        <v>874</v>
      </c>
      <c r="B51" s="4" t="s">
        <v>27</v>
      </c>
    </row>
    <row r="52" spans="1:2">
      <c r="A52" s="4" t="s">
        <v>875</v>
      </c>
      <c r="B52" s="4" t="s">
        <v>27</v>
      </c>
    </row>
    <row r="53" spans="1:2">
      <c r="A53" s="4" t="s">
        <v>876</v>
      </c>
      <c r="B53" s="4" t="s">
        <v>27</v>
      </c>
    </row>
    <row r="54" spans="1:2">
      <c r="A54" s="4" t="s">
        <v>877</v>
      </c>
      <c r="B54" s="4" t="s">
        <v>27</v>
      </c>
    </row>
    <row r="55" spans="1:2">
      <c r="A55" s="4" t="s">
        <v>878</v>
      </c>
      <c r="B55" s="4" t="s">
        <v>27</v>
      </c>
    </row>
    <row r="56" spans="1:2">
      <c r="A56" s="4" t="s">
        <v>879</v>
      </c>
      <c r="B56" s="4" t="s">
        <v>27</v>
      </c>
    </row>
    <row r="57" spans="1:2">
      <c r="A57" s="4" t="s">
        <v>880</v>
      </c>
      <c r="B57" s="4" t="s">
        <v>27</v>
      </c>
    </row>
    <row r="58" spans="1:2">
      <c r="A58" s="4" t="s">
        <v>881</v>
      </c>
      <c r="B58" s="4" t="s">
        <v>26</v>
      </c>
    </row>
    <row r="59" spans="1:2">
      <c r="A59" s="4" t="s">
        <v>882</v>
      </c>
      <c r="B59" s="4" t="s">
        <v>26</v>
      </c>
    </row>
    <row r="60" spans="1:2">
      <c r="A60" s="4" t="s">
        <v>883</v>
      </c>
      <c r="B60" s="4" t="s">
        <v>26</v>
      </c>
    </row>
    <row r="61" spans="1:2">
      <c r="A61" s="4" t="s">
        <v>884</v>
      </c>
      <c r="B61" s="4" t="s">
        <v>26</v>
      </c>
    </row>
    <row r="62" spans="1:2">
      <c r="A62" s="4" t="s">
        <v>885</v>
      </c>
      <c r="B62" s="4" t="s">
        <v>26</v>
      </c>
    </row>
    <row r="63" spans="1:2">
      <c r="A63" s="4" t="s">
        <v>886</v>
      </c>
      <c r="B63" s="4" t="s">
        <v>26</v>
      </c>
    </row>
    <row r="64" spans="1:2">
      <c r="A64" s="4" t="s">
        <v>887</v>
      </c>
      <c r="B64" s="4" t="s">
        <v>26</v>
      </c>
    </row>
    <row r="65" spans="1:2">
      <c r="A65" s="4" t="s">
        <v>888</v>
      </c>
      <c r="B65" s="4" t="s">
        <v>26</v>
      </c>
    </row>
    <row r="66" spans="1:2">
      <c r="A66" s="4" t="s">
        <v>889</v>
      </c>
      <c r="B66" s="4" t="s">
        <v>26</v>
      </c>
    </row>
    <row r="67" spans="1:2">
      <c r="A67" s="4" t="s">
        <v>890</v>
      </c>
      <c r="B67" s="4" t="s">
        <v>1058</v>
      </c>
    </row>
    <row r="68" spans="1:2">
      <c r="A68" s="4" t="s">
        <v>891</v>
      </c>
      <c r="B68" s="4" t="s">
        <v>26</v>
      </c>
    </row>
    <row r="69" spans="1:2">
      <c r="A69" s="4" t="s">
        <v>892</v>
      </c>
      <c r="B69" s="4" t="s">
        <v>26</v>
      </c>
    </row>
    <row r="70" spans="1:2">
      <c r="A70" s="4" t="s">
        <v>893</v>
      </c>
      <c r="B70" s="4" t="s">
        <v>26</v>
      </c>
    </row>
    <row r="71" spans="1:2">
      <c r="A71" s="4" t="s">
        <v>894</v>
      </c>
      <c r="B71" s="4" t="s">
        <v>26</v>
      </c>
    </row>
    <row r="72" spans="1:2">
      <c r="A72" s="4" t="s">
        <v>895</v>
      </c>
      <c r="B72" s="4" t="s">
        <v>27</v>
      </c>
    </row>
    <row r="73" spans="1:2">
      <c r="A73" s="4" t="s">
        <v>896</v>
      </c>
      <c r="B73" s="4" t="s">
        <v>27</v>
      </c>
    </row>
    <row r="74" spans="1:2">
      <c r="A74" s="4" t="s">
        <v>897</v>
      </c>
      <c r="B74" s="4" t="s">
        <v>27</v>
      </c>
    </row>
    <row r="75" spans="1:2">
      <c r="A75" s="4" t="s">
        <v>898</v>
      </c>
      <c r="B75" s="4" t="s">
        <v>27</v>
      </c>
    </row>
    <row r="76" spans="1:2">
      <c r="A76" s="4" t="s">
        <v>11</v>
      </c>
      <c r="B76" s="4" t="s">
        <v>27</v>
      </c>
    </row>
    <row r="77" spans="1:2">
      <c r="A77" s="4" t="s">
        <v>408</v>
      </c>
      <c r="B77" s="4" t="s">
        <v>27</v>
      </c>
    </row>
    <row r="78" spans="1:2">
      <c r="A78" s="4" t="s">
        <v>899</v>
      </c>
      <c r="B78" s="4" t="s">
        <v>27</v>
      </c>
    </row>
    <row r="79" spans="1:2">
      <c r="A79" s="4" t="s">
        <v>900</v>
      </c>
      <c r="B79" s="4" t="s">
        <v>27</v>
      </c>
    </row>
    <row r="80" spans="1:2">
      <c r="A80" s="4" t="s">
        <v>591</v>
      </c>
      <c r="B80" s="4" t="s">
        <v>27</v>
      </c>
    </row>
    <row r="81" spans="1:2">
      <c r="A81" s="4" t="s">
        <v>68</v>
      </c>
      <c r="B81" s="4" t="s">
        <v>27</v>
      </c>
    </row>
    <row r="82" spans="1:2">
      <c r="A82" s="4" t="s">
        <v>10</v>
      </c>
      <c r="B82" s="4" t="s">
        <v>27</v>
      </c>
    </row>
    <row r="83" spans="1:2">
      <c r="A83" s="4" t="s">
        <v>901</v>
      </c>
      <c r="B83" s="4" t="s">
        <v>27</v>
      </c>
    </row>
    <row r="84" spans="1:2">
      <c r="A84" s="4" t="s">
        <v>902</v>
      </c>
      <c r="B84" s="4" t="s">
        <v>27</v>
      </c>
    </row>
    <row r="85" spans="1:2">
      <c r="A85" s="4" t="s">
        <v>903</v>
      </c>
      <c r="B85" s="4" t="s">
        <v>27</v>
      </c>
    </row>
    <row r="86" spans="1:2">
      <c r="A86" s="4" t="s">
        <v>904</v>
      </c>
      <c r="B86" s="4" t="s">
        <v>27</v>
      </c>
    </row>
    <row r="87" spans="1:2">
      <c r="A87" s="4" t="s">
        <v>905</v>
      </c>
      <c r="B87" s="4" t="s">
        <v>27</v>
      </c>
    </row>
    <row r="88" spans="1:2">
      <c r="A88" s="4" t="s">
        <v>906</v>
      </c>
      <c r="B88" s="4" t="s">
        <v>27</v>
      </c>
    </row>
    <row r="89" spans="1:2">
      <c r="A89" s="4" t="s">
        <v>907</v>
      </c>
      <c r="B89" s="4" t="s">
        <v>26</v>
      </c>
    </row>
    <row r="90" spans="1:2">
      <c r="A90" s="4" t="s">
        <v>908</v>
      </c>
      <c r="B90" s="4" t="s">
        <v>1058</v>
      </c>
    </row>
    <row r="91" spans="1:2">
      <c r="A91" s="4" t="s">
        <v>909</v>
      </c>
      <c r="B91" s="4" t="s">
        <v>1058</v>
      </c>
    </row>
    <row r="92" spans="1:2">
      <c r="A92" s="4" t="s">
        <v>910</v>
      </c>
      <c r="B92" s="4" t="s">
        <v>1058</v>
      </c>
    </row>
    <row r="93" spans="1:2">
      <c r="A93" s="4" t="s">
        <v>911</v>
      </c>
      <c r="B93" s="4" t="s">
        <v>1058</v>
      </c>
    </row>
    <row r="94" spans="1:2">
      <c r="A94" s="4" t="s">
        <v>912</v>
      </c>
      <c r="B94" s="4" t="s">
        <v>1058</v>
      </c>
    </row>
    <row r="95" spans="1:2">
      <c r="A95" s="4" t="s">
        <v>913</v>
      </c>
      <c r="B95" s="4" t="s">
        <v>1058</v>
      </c>
    </row>
    <row r="96" spans="1:2">
      <c r="A96" s="4" t="s">
        <v>914</v>
      </c>
      <c r="B96" s="4" t="s">
        <v>1058</v>
      </c>
    </row>
    <row r="97" spans="1:2">
      <c r="A97" s="4" t="s">
        <v>915</v>
      </c>
      <c r="B97" s="4" t="s">
        <v>1058</v>
      </c>
    </row>
    <row r="98" spans="1:2">
      <c r="A98" s="4" t="s">
        <v>916</v>
      </c>
      <c r="B98" s="4" t="s">
        <v>1058</v>
      </c>
    </row>
    <row r="99" spans="1:2">
      <c r="A99" s="4" t="s">
        <v>917</v>
      </c>
      <c r="B99" s="4" t="s">
        <v>1058</v>
      </c>
    </row>
    <row r="100" spans="1:2">
      <c r="A100" s="4" t="s">
        <v>918</v>
      </c>
      <c r="B100" s="4" t="s">
        <v>1058</v>
      </c>
    </row>
    <row r="101" spans="1:2">
      <c r="A101" s="4" t="s">
        <v>919</v>
      </c>
      <c r="B101" s="4" t="s">
        <v>1058</v>
      </c>
    </row>
    <row r="102" spans="1:2">
      <c r="A102" s="4" t="s">
        <v>920</v>
      </c>
      <c r="B102" s="4" t="s">
        <v>1058</v>
      </c>
    </row>
    <row r="103" spans="1:2">
      <c r="A103" s="4" t="s">
        <v>921</v>
      </c>
      <c r="B103" s="4" t="s">
        <v>1058</v>
      </c>
    </row>
    <row r="104" spans="1:2">
      <c r="A104" s="4" t="s">
        <v>922</v>
      </c>
      <c r="B104" s="4" t="s">
        <v>1058</v>
      </c>
    </row>
    <row r="105" spans="1:2">
      <c r="A105" s="4" t="s">
        <v>923</v>
      </c>
      <c r="B105" s="4" t="s">
        <v>1058</v>
      </c>
    </row>
    <row r="106" spans="1:2">
      <c r="A106" s="4" t="s">
        <v>924</v>
      </c>
      <c r="B106" s="4" t="s">
        <v>1058</v>
      </c>
    </row>
    <row r="107" spans="1:2">
      <c r="A107" s="4" t="s">
        <v>925</v>
      </c>
      <c r="B107" s="4" t="s">
        <v>1058</v>
      </c>
    </row>
    <row r="108" spans="1:2">
      <c r="A108" s="4" t="s">
        <v>926</v>
      </c>
      <c r="B108" s="4" t="s">
        <v>1058</v>
      </c>
    </row>
    <row r="109" spans="1:2">
      <c r="A109" s="4" t="s">
        <v>927</v>
      </c>
      <c r="B109" s="4" t="s">
        <v>1058</v>
      </c>
    </row>
    <row r="110" spans="1:2">
      <c r="A110" s="4" t="s">
        <v>928</v>
      </c>
      <c r="B110" s="4" t="s">
        <v>1058</v>
      </c>
    </row>
    <row r="111" spans="1:2">
      <c r="A111" s="4" t="s">
        <v>929</v>
      </c>
      <c r="B111" s="4" t="s">
        <v>1058</v>
      </c>
    </row>
    <row r="112" spans="1:2">
      <c r="A112" s="4" t="s">
        <v>930</v>
      </c>
      <c r="B112" s="4" t="s">
        <v>1058</v>
      </c>
    </row>
    <row r="113" spans="1:2">
      <c r="A113" s="4" t="s">
        <v>931</v>
      </c>
      <c r="B113" s="4" t="s">
        <v>1058</v>
      </c>
    </row>
    <row r="114" spans="1:2">
      <c r="A114" s="4" t="s">
        <v>932</v>
      </c>
      <c r="B114" s="4" t="s">
        <v>26</v>
      </c>
    </row>
    <row r="115" spans="1:2">
      <c r="A115" s="4" t="s">
        <v>933</v>
      </c>
      <c r="B115" s="4" t="s">
        <v>26</v>
      </c>
    </row>
    <row r="116" spans="1:2">
      <c r="A116" s="4" t="s">
        <v>934</v>
      </c>
      <c r="B116" s="4" t="s">
        <v>26</v>
      </c>
    </row>
    <row r="117" spans="1:2">
      <c r="A117" s="4" t="s">
        <v>935</v>
      </c>
      <c r="B117" s="4" t="s">
        <v>26</v>
      </c>
    </row>
    <row r="118" spans="1:2">
      <c r="A118" s="4" t="s">
        <v>936</v>
      </c>
      <c r="B118" s="4" t="s">
        <v>26</v>
      </c>
    </row>
    <row r="119" spans="1:2">
      <c r="A119" s="4" t="s">
        <v>937</v>
      </c>
      <c r="B119" s="4" t="s">
        <v>26</v>
      </c>
    </row>
    <row r="120" spans="1:2">
      <c r="A120" s="4" t="s">
        <v>938</v>
      </c>
      <c r="B120" s="4" t="s">
        <v>26</v>
      </c>
    </row>
    <row r="121" spans="1:2">
      <c r="A121" s="4" t="s">
        <v>939</v>
      </c>
      <c r="B121" s="4" t="s">
        <v>26</v>
      </c>
    </row>
    <row r="122" spans="1:2">
      <c r="A122" s="4" t="s">
        <v>940</v>
      </c>
      <c r="B122" s="4" t="s">
        <v>26</v>
      </c>
    </row>
    <row r="123" spans="1:2">
      <c r="A123" s="4" t="s">
        <v>941</v>
      </c>
      <c r="B123" s="4" t="s">
        <v>26</v>
      </c>
    </row>
    <row r="124" spans="1:2">
      <c r="A124" s="4" t="s">
        <v>942</v>
      </c>
      <c r="B124" s="4" t="s">
        <v>26</v>
      </c>
    </row>
    <row r="125" spans="1:2">
      <c r="A125" s="4" t="s">
        <v>943</v>
      </c>
      <c r="B125" s="4" t="s">
        <v>26</v>
      </c>
    </row>
    <row r="126" spans="1:2">
      <c r="A126" s="4" t="s">
        <v>944</v>
      </c>
      <c r="B126" s="4" t="s">
        <v>26</v>
      </c>
    </row>
    <row r="127" spans="1:2">
      <c r="A127" s="4" t="s">
        <v>945</v>
      </c>
      <c r="B127" s="4" t="s">
        <v>26</v>
      </c>
    </row>
    <row r="128" spans="1:2">
      <c r="A128" s="4" t="s">
        <v>946</v>
      </c>
      <c r="B128" s="4" t="s">
        <v>26</v>
      </c>
    </row>
    <row r="129" spans="1:2">
      <c r="A129" s="4" t="s">
        <v>947</v>
      </c>
      <c r="B129" s="4" t="s">
        <v>26</v>
      </c>
    </row>
    <row r="130" spans="1:2">
      <c r="A130" s="4" t="s">
        <v>948</v>
      </c>
      <c r="B130" s="4" t="s">
        <v>26</v>
      </c>
    </row>
    <row r="131" spans="1:2">
      <c r="A131" s="4" t="s">
        <v>949</v>
      </c>
      <c r="B131" s="4" t="s">
        <v>26</v>
      </c>
    </row>
    <row r="132" spans="1:2">
      <c r="A132" s="4" t="s">
        <v>950</v>
      </c>
      <c r="B132" s="4" t="s">
        <v>26</v>
      </c>
    </row>
    <row r="133" spans="1:2">
      <c r="A133" s="4" t="s">
        <v>951</v>
      </c>
      <c r="B133" s="4" t="s">
        <v>26</v>
      </c>
    </row>
    <row r="134" spans="1:2">
      <c r="A134" s="4" t="s">
        <v>952</v>
      </c>
      <c r="B134" s="4" t="s">
        <v>26</v>
      </c>
    </row>
    <row r="135" spans="1:2">
      <c r="A135" s="4" t="s">
        <v>953</v>
      </c>
      <c r="B135" s="4" t="s">
        <v>26</v>
      </c>
    </row>
    <row r="136" spans="1:2">
      <c r="A136" s="4" t="s">
        <v>954</v>
      </c>
      <c r="B136" s="4" t="s">
        <v>26</v>
      </c>
    </row>
    <row r="137" spans="1:2">
      <c r="A137" s="4" t="s">
        <v>955</v>
      </c>
      <c r="B137" s="4" t="s">
        <v>26</v>
      </c>
    </row>
    <row r="138" spans="1:2">
      <c r="A138" s="4" t="s">
        <v>956</v>
      </c>
      <c r="B138" s="4" t="s">
        <v>26</v>
      </c>
    </row>
    <row r="139" spans="1:2">
      <c r="A139" s="4" t="s">
        <v>957</v>
      </c>
      <c r="B139" s="4" t="s">
        <v>26</v>
      </c>
    </row>
    <row r="140" spans="1:2">
      <c r="A140" s="4" t="s">
        <v>958</v>
      </c>
      <c r="B140" s="4" t="s">
        <v>26</v>
      </c>
    </row>
    <row r="141" spans="1:2">
      <c r="A141" s="4" t="s">
        <v>959</v>
      </c>
      <c r="B141" s="4" t="s">
        <v>26</v>
      </c>
    </row>
    <row r="142" spans="1:2">
      <c r="A142" s="4" t="s">
        <v>960</v>
      </c>
      <c r="B142" s="4" t="s">
        <v>26</v>
      </c>
    </row>
    <row r="143" spans="1:2">
      <c r="A143" s="4" t="s">
        <v>961</v>
      </c>
      <c r="B143" s="4" t="s">
        <v>26</v>
      </c>
    </row>
    <row r="144" spans="1:2">
      <c r="A144" s="4" t="s">
        <v>962</v>
      </c>
      <c r="B144" s="4" t="s">
        <v>26</v>
      </c>
    </row>
    <row r="145" spans="1:2">
      <c r="A145" s="4" t="s">
        <v>963</v>
      </c>
      <c r="B145" s="4" t="s">
        <v>26</v>
      </c>
    </row>
    <row r="146" spans="1:2">
      <c r="A146" s="4" t="s">
        <v>964</v>
      </c>
      <c r="B146" s="4" t="s">
        <v>26</v>
      </c>
    </row>
    <row r="147" spans="1:2">
      <c r="A147" s="4" t="s">
        <v>965</v>
      </c>
      <c r="B147" s="4" t="s">
        <v>26</v>
      </c>
    </row>
    <row r="148" spans="1:2">
      <c r="A148" s="4" t="s">
        <v>966</v>
      </c>
      <c r="B148" s="4" t="s">
        <v>26</v>
      </c>
    </row>
    <row r="149" spans="1:2">
      <c r="A149" s="4" t="s">
        <v>967</v>
      </c>
      <c r="B149" s="4" t="s">
        <v>124</v>
      </c>
    </row>
    <row r="150" spans="1:2">
      <c r="A150" s="4" t="s">
        <v>968</v>
      </c>
      <c r="B150" s="4" t="s">
        <v>26</v>
      </c>
    </row>
    <row r="151" spans="1:2">
      <c r="A151" s="4" t="s">
        <v>969</v>
      </c>
      <c r="B151" s="4" t="s">
        <v>26</v>
      </c>
    </row>
    <row r="152" spans="1:2">
      <c r="A152" s="4" t="s">
        <v>970</v>
      </c>
      <c r="B152" s="4" t="s">
        <v>26</v>
      </c>
    </row>
    <row r="153" spans="1:2">
      <c r="A153" s="4" t="s">
        <v>971</v>
      </c>
      <c r="B153" s="4" t="s">
        <v>26</v>
      </c>
    </row>
    <row r="154" spans="1:2">
      <c r="A154" s="4" t="s">
        <v>972</v>
      </c>
      <c r="B154" s="4" t="s">
        <v>26</v>
      </c>
    </row>
    <row r="155" spans="1:2">
      <c r="A155" s="4" t="s">
        <v>973</v>
      </c>
      <c r="B155" s="4" t="s">
        <v>26</v>
      </c>
    </row>
    <row r="156" spans="1:2">
      <c r="A156" s="4" t="s">
        <v>974</v>
      </c>
      <c r="B156" s="4" t="s">
        <v>26</v>
      </c>
    </row>
    <row r="157" spans="1:2">
      <c r="A157" s="4" t="s">
        <v>975</v>
      </c>
      <c r="B157" s="4" t="s">
        <v>26</v>
      </c>
    </row>
    <row r="158" spans="1:2">
      <c r="A158" s="4" t="s">
        <v>976</v>
      </c>
      <c r="B158" s="4" t="s">
        <v>26</v>
      </c>
    </row>
    <row r="159" spans="1:2">
      <c r="A159" s="4" t="s">
        <v>977</v>
      </c>
      <c r="B159" s="4" t="s">
        <v>27</v>
      </c>
    </row>
    <row r="160" spans="1:2">
      <c r="A160" s="4" t="s">
        <v>978</v>
      </c>
      <c r="B160" s="4" t="s">
        <v>26</v>
      </c>
    </row>
    <row r="161" spans="1:2">
      <c r="A161" s="4" t="s">
        <v>979</v>
      </c>
      <c r="B161" s="4" t="s">
        <v>26</v>
      </c>
    </row>
    <row r="162" spans="1:2">
      <c r="A162" s="4" t="s">
        <v>980</v>
      </c>
      <c r="B162" s="4" t="s">
        <v>26</v>
      </c>
    </row>
    <row r="163" spans="1:2">
      <c r="A163" s="4" t="s">
        <v>981</v>
      </c>
      <c r="B163" s="4" t="s">
        <v>26</v>
      </c>
    </row>
    <row r="164" spans="1:2">
      <c r="A164" s="4" t="s">
        <v>982</v>
      </c>
      <c r="B164" s="4" t="s">
        <v>26</v>
      </c>
    </row>
    <row r="165" spans="1:2">
      <c r="A165" s="4" t="s">
        <v>983</v>
      </c>
      <c r="B165" s="4" t="s">
        <v>26</v>
      </c>
    </row>
    <row r="166" spans="1:2">
      <c r="A166" s="4" t="s">
        <v>984</v>
      </c>
      <c r="B166" s="4" t="s">
        <v>26</v>
      </c>
    </row>
    <row r="167" spans="1:2">
      <c r="A167" s="4" t="s">
        <v>985</v>
      </c>
      <c r="B167" s="4" t="s">
        <v>26</v>
      </c>
    </row>
    <row r="168" spans="1:2">
      <c r="A168" s="4" t="s">
        <v>986</v>
      </c>
      <c r="B168" s="4" t="s">
        <v>26</v>
      </c>
    </row>
    <row r="169" spans="1:2">
      <c r="A169" s="4" t="s">
        <v>987</v>
      </c>
      <c r="B169" s="4" t="s">
        <v>26</v>
      </c>
    </row>
    <row r="170" spans="1:2">
      <c r="A170" s="4" t="s">
        <v>988</v>
      </c>
      <c r="B170" s="4" t="s">
        <v>26</v>
      </c>
    </row>
    <row r="171" spans="1:2">
      <c r="A171" s="4" t="s">
        <v>989</v>
      </c>
      <c r="B171" s="4" t="s">
        <v>26</v>
      </c>
    </row>
    <row r="172" spans="1:2">
      <c r="A172" s="4" t="s">
        <v>990</v>
      </c>
      <c r="B172" s="4" t="s">
        <v>26</v>
      </c>
    </row>
    <row r="173" spans="1:2">
      <c r="A173" s="4" t="s">
        <v>991</v>
      </c>
      <c r="B173" s="4" t="s">
        <v>26</v>
      </c>
    </row>
    <row r="174" spans="1:2">
      <c r="A174" s="4" t="s">
        <v>992</v>
      </c>
      <c r="B174" s="4" t="s">
        <v>26</v>
      </c>
    </row>
    <row r="175" spans="1:2">
      <c r="A175" s="4" t="s">
        <v>993</v>
      </c>
      <c r="B175" s="4" t="s">
        <v>26</v>
      </c>
    </row>
    <row r="176" spans="1:2">
      <c r="A176" s="4" t="s">
        <v>994</v>
      </c>
      <c r="B176" s="4" t="s">
        <v>26</v>
      </c>
    </row>
    <row r="177" spans="1:2">
      <c r="A177" s="4" t="s">
        <v>995</v>
      </c>
      <c r="B177" s="4" t="s">
        <v>26</v>
      </c>
    </row>
    <row r="178" spans="1:2">
      <c r="A178" s="4" t="s">
        <v>996</v>
      </c>
      <c r="B178" s="4" t="s">
        <v>26</v>
      </c>
    </row>
    <row r="179" spans="1:2">
      <c r="A179" s="4" t="s">
        <v>997</v>
      </c>
      <c r="B179" s="4" t="s">
        <v>26</v>
      </c>
    </row>
    <row r="180" spans="1:2">
      <c r="A180" s="4" t="s">
        <v>998</v>
      </c>
      <c r="B180" s="4" t="s">
        <v>26</v>
      </c>
    </row>
    <row r="181" spans="1:2">
      <c r="A181" s="4" t="s">
        <v>999</v>
      </c>
      <c r="B181" s="4" t="s">
        <v>26</v>
      </c>
    </row>
    <row r="182" spans="1:2">
      <c r="A182" s="4" t="s">
        <v>1000</v>
      </c>
      <c r="B182" s="4" t="s">
        <v>26</v>
      </c>
    </row>
    <row r="183" spans="1:2">
      <c r="A183" s="4" t="s">
        <v>1001</v>
      </c>
      <c r="B183" s="4" t="s">
        <v>26</v>
      </c>
    </row>
    <row r="184" spans="1:2">
      <c r="A184" s="4" t="s">
        <v>1002</v>
      </c>
      <c r="B184" s="4" t="s">
        <v>26</v>
      </c>
    </row>
    <row r="185" spans="1:2">
      <c r="A185" s="4" t="s">
        <v>1003</v>
      </c>
      <c r="B185" s="4" t="s">
        <v>26</v>
      </c>
    </row>
    <row r="186" spans="1:2">
      <c r="A186" s="4" t="s">
        <v>1004</v>
      </c>
      <c r="B186" s="4" t="s">
        <v>26</v>
      </c>
    </row>
    <row r="187" spans="1:2">
      <c r="A187" s="4" t="s">
        <v>1005</v>
      </c>
      <c r="B187" s="4" t="s">
        <v>26</v>
      </c>
    </row>
    <row r="188" spans="1:2">
      <c r="A188" s="4" t="s">
        <v>1006</v>
      </c>
      <c r="B188" s="4" t="s">
        <v>26</v>
      </c>
    </row>
    <row r="189" spans="1:2">
      <c r="A189" s="4" t="s">
        <v>1007</v>
      </c>
      <c r="B189" s="4" t="s">
        <v>26</v>
      </c>
    </row>
    <row r="190" spans="1:2">
      <c r="A190" s="4" t="s">
        <v>1008</v>
      </c>
      <c r="B190" s="4" t="s">
        <v>26</v>
      </c>
    </row>
    <row r="191" spans="1:2">
      <c r="A191" s="4" t="s">
        <v>1009</v>
      </c>
      <c r="B191" s="4" t="s">
        <v>26</v>
      </c>
    </row>
    <row r="192" spans="1:2">
      <c r="A192" s="4" t="s">
        <v>1010</v>
      </c>
      <c r="B192" s="4" t="s">
        <v>26</v>
      </c>
    </row>
    <row r="193" spans="1:2">
      <c r="A193" s="4" t="s">
        <v>1011</v>
      </c>
      <c r="B193" s="4" t="s">
        <v>26</v>
      </c>
    </row>
    <row r="194" spans="1:2">
      <c r="A194" s="4" t="s">
        <v>1012</v>
      </c>
      <c r="B194" s="4" t="s">
        <v>26</v>
      </c>
    </row>
    <row r="195" spans="1:2">
      <c r="A195" s="4" t="s">
        <v>1013</v>
      </c>
      <c r="B195" s="4" t="s">
        <v>26</v>
      </c>
    </row>
    <row r="196" spans="1:2">
      <c r="A196" s="4" t="s">
        <v>1014</v>
      </c>
      <c r="B196" s="4" t="s">
        <v>26</v>
      </c>
    </row>
    <row r="197" spans="1:2">
      <c r="A197" s="4" t="s">
        <v>1015</v>
      </c>
      <c r="B197" s="4" t="s">
        <v>26</v>
      </c>
    </row>
    <row r="198" spans="1:2">
      <c r="A198" s="4" t="s">
        <v>1016</v>
      </c>
      <c r="B198" s="4" t="s">
        <v>26</v>
      </c>
    </row>
    <row r="199" spans="1:2">
      <c r="A199" s="4" t="s">
        <v>1017</v>
      </c>
      <c r="B199" s="4" t="s">
        <v>26</v>
      </c>
    </row>
    <row r="200" spans="1:2">
      <c r="A200" s="4" t="s">
        <v>1018</v>
      </c>
      <c r="B200" s="4" t="s">
        <v>26</v>
      </c>
    </row>
    <row r="201" spans="1:2">
      <c r="A201" s="4" t="s">
        <v>1019</v>
      </c>
      <c r="B201" s="4" t="s">
        <v>26</v>
      </c>
    </row>
    <row r="202" spans="1:2">
      <c r="A202" s="4" t="s">
        <v>1020</v>
      </c>
      <c r="B202" s="4" t="s">
        <v>26</v>
      </c>
    </row>
    <row r="203" spans="1:2">
      <c r="A203" s="4" t="s">
        <v>1021</v>
      </c>
      <c r="B203" s="4" t="s">
        <v>26</v>
      </c>
    </row>
    <row r="204" spans="1:2">
      <c r="A204" s="4" t="s">
        <v>1022</v>
      </c>
      <c r="B204" s="4" t="s">
        <v>26</v>
      </c>
    </row>
    <row r="205" spans="1:2">
      <c r="A205" s="4" t="s">
        <v>1023</v>
      </c>
      <c r="B205" s="4" t="s">
        <v>26</v>
      </c>
    </row>
    <row r="206" spans="1:2">
      <c r="A206" s="4" t="s">
        <v>1024</v>
      </c>
      <c r="B206" s="4" t="s">
        <v>26</v>
      </c>
    </row>
    <row r="207" spans="1:2">
      <c r="A207" s="4" t="s">
        <v>1025</v>
      </c>
      <c r="B207" s="4" t="s">
        <v>26</v>
      </c>
    </row>
    <row r="208" spans="1:2">
      <c r="A208" s="4" t="s">
        <v>1026</v>
      </c>
      <c r="B208" s="4" t="s">
        <v>26</v>
      </c>
    </row>
    <row r="209" spans="1:2">
      <c r="A209" s="4" t="s">
        <v>1027</v>
      </c>
      <c r="B209" s="4" t="s">
        <v>26</v>
      </c>
    </row>
    <row r="210" spans="1:2">
      <c r="A210" s="4" t="s">
        <v>1028</v>
      </c>
      <c r="B210" s="4" t="s">
        <v>26</v>
      </c>
    </row>
    <row r="211" spans="1:2">
      <c r="A211" s="4" t="s">
        <v>1029</v>
      </c>
      <c r="B211" s="4" t="s">
        <v>26</v>
      </c>
    </row>
    <row r="212" spans="1:2">
      <c r="A212" s="4" t="s">
        <v>1030</v>
      </c>
      <c r="B212" s="4" t="s">
        <v>26</v>
      </c>
    </row>
    <row r="213" spans="1:2">
      <c r="A213" s="4" t="s">
        <v>1031</v>
      </c>
      <c r="B213" s="4" t="s">
        <v>26</v>
      </c>
    </row>
    <row r="214" spans="1:2">
      <c r="A214" s="4" t="s">
        <v>1032</v>
      </c>
      <c r="B214" s="4" t="s">
        <v>26</v>
      </c>
    </row>
    <row r="215" spans="1:2">
      <c r="A215" s="4" t="s">
        <v>1033</v>
      </c>
      <c r="B215" s="4" t="s">
        <v>26</v>
      </c>
    </row>
    <row r="216" spans="1:2">
      <c r="A216" s="4" t="s">
        <v>1034</v>
      </c>
      <c r="B216" s="4" t="s">
        <v>26</v>
      </c>
    </row>
    <row r="217" spans="1:2">
      <c r="A217" s="4" t="s">
        <v>1035</v>
      </c>
      <c r="B217" s="4" t="s">
        <v>26</v>
      </c>
    </row>
    <row r="218" spans="1:2">
      <c r="A218" s="4" t="s">
        <v>1036</v>
      </c>
      <c r="B218" s="4" t="s">
        <v>26</v>
      </c>
    </row>
    <row r="219" spans="1:2">
      <c r="A219" s="4" t="s">
        <v>1037</v>
      </c>
      <c r="B219" s="4" t="s">
        <v>26</v>
      </c>
    </row>
    <row r="220" spans="1:2">
      <c r="A220" s="4" t="s">
        <v>1038</v>
      </c>
      <c r="B220" s="4" t="s">
        <v>26</v>
      </c>
    </row>
    <row r="221" spans="1:2">
      <c r="A221" s="4" t="s">
        <v>1039</v>
      </c>
      <c r="B221" s="4" t="s">
        <v>26</v>
      </c>
    </row>
    <row r="222" spans="1:2">
      <c r="A222" s="4" t="s">
        <v>1040</v>
      </c>
      <c r="B222" s="4" t="s">
        <v>26</v>
      </c>
    </row>
    <row r="223" spans="1:2">
      <c r="A223" s="4" t="s">
        <v>1041</v>
      </c>
      <c r="B223" s="4" t="s">
        <v>26</v>
      </c>
    </row>
    <row r="224" spans="1:2">
      <c r="A224" s="4" t="s">
        <v>1042</v>
      </c>
      <c r="B224" s="4" t="s">
        <v>26</v>
      </c>
    </row>
    <row r="225" spans="1:2">
      <c r="A225" s="4" t="s">
        <v>1043</v>
      </c>
      <c r="B225" s="4" t="s">
        <v>26</v>
      </c>
    </row>
    <row r="226" spans="1:2">
      <c r="A226" s="4" t="s">
        <v>1044</v>
      </c>
      <c r="B226" s="4" t="s">
        <v>26</v>
      </c>
    </row>
    <row r="227" spans="1:2">
      <c r="A227" s="4" t="s">
        <v>1045</v>
      </c>
      <c r="B227" s="4" t="s">
        <v>26</v>
      </c>
    </row>
    <row r="228" spans="1:2">
      <c r="A228" s="4" t="s">
        <v>1046</v>
      </c>
      <c r="B228" s="4" t="s">
        <v>26</v>
      </c>
    </row>
    <row r="229" spans="1:2">
      <c r="A229" s="4" t="s">
        <v>1047</v>
      </c>
      <c r="B229" s="4" t="s">
        <v>26</v>
      </c>
    </row>
    <row r="230" spans="1:2">
      <c r="A230" s="4" t="s">
        <v>1048</v>
      </c>
      <c r="B230" s="4" t="s">
        <v>26</v>
      </c>
    </row>
    <row r="231" spans="1:2">
      <c r="A231" s="4" t="s">
        <v>1049</v>
      </c>
      <c r="B231" s="4" t="s">
        <v>26</v>
      </c>
    </row>
    <row r="232" spans="1:2">
      <c r="A232" s="4" t="s">
        <v>1050</v>
      </c>
      <c r="B232" s="4" t="s">
        <v>26</v>
      </c>
    </row>
    <row r="233" spans="1:2">
      <c r="A233" s="4" t="s">
        <v>1051</v>
      </c>
      <c r="B233" s="4" t="s">
        <v>26</v>
      </c>
    </row>
    <row r="234" spans="1:2">
      <c r="A234" s="4" t="s">
        <v>1052</v>
      </c>
      <c r="B234" s="4" t="s">
        <v>26</v>
      </c>
    </row>
    <row r="235" spans="1:2">
      <c r="A235" s="4" t="s">
        <v>1053</v>
      </c>
      <c r="B235" s="4" t="s">
        <v>26</v>
      </c>
    </row>
    <row r="236" spans="1:2">
      <c r="A236" s="4" t="s">
        <v>1054</v>
      </c>
      <c r="B236" s="4" t="s">
        <v>26</v>
      </c>
    </row>
    <row r="237" spans="1:2">
      <c r="A237" s="4" t="s">
        <v>1055</v>
      </c>
      <c r="B237" s="4" t="s">
        <v>26</v>
      </c>
    </row>
    <row r="238" spans="1:2">
      <c r="A238" s="4" t="s">
        <v>1056</v>
      </c>
      <c r="B238" s="4" t="s">
        <v>1059</v>
      </c>
    </row>
    <row r="239" spans="1:2">
      <c r="A239" s="2"/>
      <c r="B239" s="2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item1.xml><?xml version="1.0" encoding="utf-8"?>
<Atlas>
  <Report name="AtlasReport_2">AAEAAAD/////AQAAAAAAAAAMAgAAAGBHbG9iZVNvZnR3YXJlLkF0bGFzNDAuQUlFeGNlbCwgVmVyc2lvbj00LjAuMC4wLCBDdWx0dXJlPW5ldXRyYWwsIFB1YmxpY0tleVRva2VuPWFlMjFlYzM1NzVkMTI5OWYFAQAAACRHbG9iZVNvZnR3YXJlLkF0bGFzNDAuQUlFeGNlbC5SZXBvcnQLAAAACV9yZXBvcnRObwxfbGlzdE9iamVjdHMSX2RyaWxsRG93bkNyaXRlcmlhBV9uYW1lC19kYXRhQXJlYUlkBV9udWRlGVJlcG9ydCtfZHJpbGxEb3duQ3JpdGVyaWEMUmVwb3J0K19uYW1lElJlcG9ydCtfZGF0YUFyZWFJZAxSZXBvcnQrX251ZGUVUmVwb3J0K19vdXRwdXRDb2x1bW5zAAMDAQEAAwEBAAMItQFTeXN0ZW0uQ29sbGVjdGlvbnMuR2VuZXJpYy5MaXN0YDFbW0dsb2JlU29mdHdhcmUuQXRsYXM0MC5BSUV4Y2VsLlJlcG9ydExpc3RPYmplY3QsIEdsb2JlU29mdHdhcmUuQXRsYXM0MC5BSUV4Y2VsLCBWZXJzaW9uPTQuMC4wLjAsIEN1bHR1cmU9bmV1dHJhbCwgUHVibGljS2V5VG9rZW49YWUyMWVjMzU3NWQxMjk5Zl1d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a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G4AVN5c3RlbS5Db2xsZWN0aW9ucy5HZW5lcmljLkxpc3RgMVtbR2xvYmVTb2Z0d2FyZS5BdGxhczQwLkF0bGFzQ29tbW9uLlR5cGUuQ29sdW1uLCBHbG9iZVNvZnR3YXJlLkF0bGFzNDAuQXRsYXNDb21tb24sIFZlcnNpb249NC4wLjAuMCwgQ3VsdHVyZT1uZXV0cmFsLCBQdWJsaWNLZXlUb2tlbj1hZTIxZWMzNTc1ZDEyOTlmXV0CAAAAAgAAAAkDAAAACQQAAAAGBQAAAA1BdGxhc1JlcG9ydF8yBgYAAAADMzY5AAkEAAAACQUAAAAJBgAAAAAJCgAAAAQDAAAAtQFTeXN0ZW0uQ29sbGVjdGlvbnMuR2VuZXJpYy5MaXN0YDFbW0dsb2JlU29mdHdhcmUuQXRsYXM0MC5BSUV4Y2VsLlJlcG9ydExpc3RPYmplY3QsIEdsb2JlU29mdHdhcmUuQXRsYXM0MC5BSUV4Y2VsLCBWZXJzaW9uPTQuMC4wLjAsIEN1bHR1cmU9bmV1dHJhbCwgUHVibGljS2V5VG9rZW49YWUyMWVjMzU3NWQxMjk5Zl1dAwAAAAZfaXRlbXMFX3NpemUIX3ZlcnNpb24EAAAwR2xvYmVTb2Z0d2FyZS5BdGxhczQwLkFJRXhjZWwuUmVwb3J0TGlzdE9iamVjdFtdAgAAAAgICQsAAAABAAAAAQAAAAQEAAAA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pg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1bXQEAAAAJDAAAAAMAAAAJDQAAAAwOAAAAZEdsb2JlU29mdHdhcmUuQXRsYXM0MC5BdGxhc0NvbW1vbiwgVmVyc2lvbj00LjAuMC4wLCBDdWx0dXJlPW5ldXRyYWwsIFB1YmxpY0tleVRva2VuPWFlMjFlYzM1NzVkMTI5OWYECg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DgAAAAgICQ8AAAAGAAAABgAAAAcLAAAAAAEAAAAEAAAABC5HbG9iZVNvZnR3YXJlLkF0bGFzNDAuQUlFeGNlbC5SZXBvcnRMaXN0T2JqZWN0AgAAAAkQAAAADQMEDAAAAJIBU3lzdGVtLkNvbGxlY3Rpb25zLkdlbmVyaWMuR2VuZXJpY0VxdWFsaXR5Q29tcGFyZXJgMVtbU3lzdGVtLlN0cmluZywgbXNjb3JsaWIsIFZlcnNpb249NC4wLjAuMCwgQ3VsdHVyZT1uZXV0cmFsLCBQdWJsaWNLZXlUb2tlbj1iNzdhNWM1NjE5MzRlMDg5XV0AAAAABw0AAAAAAQAAAAEAAAADpA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0E7////6Q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gAAAANrZXkFdmFsdWUBA80BU3lzdGVtLkNvbGxlY3Rpb25zLkdlbmVyaWMuTGlzdGAxW1tHbG9iZVNvZnR3YXJlLkF0bGFzNDAuQXRsYXNDb21tb25DbGllbnQuRGF0YVNvdXJjZUZpZWxkVmFsdWUsIEdsb2JlU29mdHdhcmUuQXRsYXM0MC5BdGxhc0NvbW1vbkNsaWVudCwgVmVyc2lvbj00LjAuMC4wLCBDdWx0dXJlPW5ldXRyYWwsIFB1YmxpY0tleVRva2VuPWFlMjFlYzM1NzVkMTI5OWZdXQYSAAAAAV8JEwAAAAcPAAAAAAEAAAAIAAAABC1HbG9iZVNvZnR3YXJlLkF0bGFzNDAuQXRsYXNDb21tb24uVHlwZS5Db2x1bW4OAAAACRQAAAAJFQAAAAkWAAAACRcAAAAJGAAAAAkZAAAADQIMGgAAAGpHbG9iZVNvZnR3YXJlLkF0bGFzNDAuQXRsYXNDb21tb25DbGllbnQsIFZlcnNpb249NC4wLjAuMCwgQ3VsdHVyZT1uZXV0cmFsLCBQdWJsaWNLZXlUb2tlbj1hZTIxZWMzNTc1ZDEyOTlmBRAAAAAuR2xvYmVTb2Z0d2FyZS5BdGxhczQwLkFJRXhjZWwuUmVwb3J0TGlzdE9iamVjdAMAAAAFX25hbWUKX3JlZmVyZW5jZQlfb2JqZWN0Tm8BBAA4R2xvYmVTb2Z0d2FyZS5BdGxhczQwLkF0bGFzQ29tbW9uQ2xpZW50LlJlcG9ydC5SZWZlcmVuY2UaAAAACAIAAAAGGwAAABVBdGxhc1JlcG9ydF8yX1RhYmxlXzEJHAAAAAAAAAAEEwAAAM0BU3lzdGVtLkNvbGxlY3Rpb25zLkdlbmVyaWMuTGlzdGAxW1tHbG9iZVNvZnR3YXJlLkF0bGFzNDAuQXRsYXNDb21tb25DbGllbnQuRGF0YVNvdXJjZUZpZWxkVmFsdWUsIEdsb2JlU29mdHdhcmUuQXRsYXM0MC5BdGxhc0NvbW1vbkNsaWVudCwgVmVyc2lvbj00LjAuMC4wLCBDdWx0dXJlPW5ldXRyYWwsIFB1YmxpY0tleVRva2VuPWFlMjFlYzM1NzVkMTI5OWZdXQMAAAAGX2l0ZW1zBV9zaXplCF92ZXJzaW9uBAAAPkdsb2JlU29mdHdhcmUuQXRsYXM0MC5BdGxhc0NvbW1vbkNsaWVudC5EYXRhU291cmNlRmllbGRWYWx1ZVtdGgAAAAgICR0AAAABAAAAAQAAAAUUAAAALUdsb2JlU29mdHdhcmUuQXRsYXM0MC5BdGxhc0NvbW1vbi5UeXBlLkNvbHVtbhoAAAAHX2ZpZWxkcwtfYXR0cmlidXRlcw1fY29sdW1uRm9ybWF0BV9uYW1lBl9sYWJlbAVfaWNvbgxfY2FsY3VsYXRpb24DX2lkDF9hZ2dyZWdhdGlvbgZfb3JkZXILX2NvbHVtblR5cGUKX3NvcnRPcmRlcg9fc29ydE9yZGVySW5kZXgGX2dyb3VwCV9jcm9zc1RhYg5fY3Jvc3NUYWJWYWx1ZQ5fY3Jvc3NUYWJUb3RhbA9fYWdncmVnYXRlVmFsdWUPX291dHB1dENvbHVtbk5vC19udWxsQ29sdW1uBF9rZXkJX2ZpZWxkS2V5Dl9oZWFkZXJDb2x1bW5zDl9mb290ZXJDb2x1bW5zDF91cGxvYWRWYWx1ZSE8Q2FsY3VsYXRpb25RdWVyeT5rX19CYWNraW5nRmllbGQDAwMBAQEBAQQABAQAAAQCAAAAAAEBAwMBBMIBU3lzdGVtLkNvbGxlY3Rpb25zLkdlbmVyaWMuTGlzdGAxW1tHbG9iZVNvZnR3YXJlLkF0bGFzNDAuQXRsYXNDb21tb24uVHlwZS5GaWVsZE91dHB1dEZpZWxkLCBHbG9iZVNvZnR3YXJlLkF0bGFzNDAuQXRsYXNDb21tb24sIFZlcnNpb249NC4wLjAuMCwgQ3VsdHVyZT1uZXV0cmFsLCBQdWJsaWNLZXlUb2tlbj1hZTIxZWMzNTc1ZDEyOTlmXV2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S1HbG9iZVNvZnR3YXJlLkF0bGFzNDAuQXRsYXNDb21tb24uQWdncmVnYXRpb24OAAAACCxHbG9iZVNvZnR3YXJlLkF0bGFzNDAuQXRsYXNDb21tb24uQ29sdW1uVHlwZQ4AAAArR2xvYmVTb2Z0d2FyZS5BdGxhczQwLkF0bGFzQ29tbW9uLlNvcnRPcmRlcg4AAAAIAUBHbG9iZVNvZnR3YXJlLkF0bGFzNDAuQXRsYXNDb21tb24uVHlwZS5Db2x1bW4rQ3Jvc3NUYWJDb2x1bW5UeXBlDgAAAAEGCAG4AVN5c3RlbS5Db2xsZWN0aW9ucy5HZW5lcmljLkxpc3RgMVtbR2xvYmVTb2Z0d2FyZS5BdGxhczQwLkF0bGFzQ29tbW9uLlR5cGUuQ29sdW1u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sR2xvYmVTb2Z0d2FyZS5BdGxhczQwLkF0bGFzQ29tbW9uLlR5cGUuUXVlcnkOAAAADgAAAAkeAAAACR8AAAAJIAAAAAYhAAAACkRhdGFBcmVhSWQGIgAAABBDb21wYW55IGFjY291bnRzBiMAAAAGU3RyaW5nBiQAAAAABiUAAAAkZDUwOTQ4OWUtOTRlNS00YWNmLThkZmQtNDAxZGQ1Y2E0ZjRkBdr///8tR2xvYmVTb2Z0d2FyZS5BdGxhczQwLkF0bGFzQ29tbW9uLkFnZ3JlZ2F0aW9uAQAAAAd2YWx1ZV9fAAgOAAAA/////wAAAAAF2f///yxHbG9iZVNvZnR3YXJlLkF0bGFzNDAuQXRsYXNDb21tb24uQ29sdW1uVHlwZQEAAAAHdmFsdWVfXwAIDgAAAAAAAAAF2P///ytHbG9iZVNvZnR3YXJlLkF0bGFzNDAuQXRsYXNDb21tb24uU29ydE9yZGVyAQAAAAd2YWx1ZV9fAAgOAAAAAgAAAAAAAAAABdf///9AR2xvYmVTb2Z0d2FyZS5BdGxhczQwLkF0bGFzQ29tbW9uLlR5cGUuQ29sdW1uK0Nyb3NzVGFiQ29sdW1uVHlwZQEAAAAHdmFsdWVfXwAIDgAAAAAAAAAKAQAAAAAAAAAAAAAAAAAGKgAAACRlYjIxZjNlYi0zY2U3LTQ1ZGItYjU3ZS1mODlhNTE4YTk5ZDIGKwAAABxUYWJsZS5JbnZlbnRUYWJsZS5EYXRhQXJlYUlkCgoKCgEVAAAAFAAAAAksAAAACS0AAAAJLgAAAAYvAAAABkl0ZW1JZAYwAAAAC0l0ZW0gbnVtYmVyBjEAAAAGU3RyaW5nCSQAAAAGMwAAACQxYzU5NGQ1My03NzUxLTQ0ODAtYTkyNC02Zjg0OGI0MmY0NzgBzP///9r/////////AQAAAAHL////2f///wAAAAAByv///9j///8CAAAAAAAAAAAByf///9f///8AAAAACgEAAAAAAAAAAAEAAAAABjgAAAAkZWUyYzAxMjEtMmM3ZC00YjdiLThiYmMtZGYwNTc5ODEwZGFjBjkAAAAYVGFibGUuSW52ZW50VGFibGUuSXRlbUlkCgoKCgEWAAAAFAAAAAk6AAAACTsAAAAJPAAAAAY9AAAACEl0ZW1OYW1lBj4AAAAJSXRlbSBuYW1lBj8AAAAGU3RyaW5nCSQAAAAGQQAAACQ2YTE5YmQ4Ny03MTIxLTQ5NTgtYTU2Yy00YzJmMmM2NjhlNGYBvv///9r/////////AgAAAAG9////2f///wAAAAABvP///9j///8CAAAAAAAAAAABu////9f///8AAAAACgEAAAAAAAAAAAIAAAAABkYAAAAkYzNiNDQ0OWUtYmMxNi00MjVhLWI4YzUtMjEzZDZkMWNhNzA4BkcAAAAaVGFibGUuSW52ZW50VGFibGUuSXRlbU5hbWUKCgoKARcAAAAUAAAACUgAAAAJSQAAAAlKAAAABksAAAALSXRlbUdyb3VwSWQGTAAAAApJdGVtIGdyb3VwBk0AAAAGU3RyaW5nCSQAAAAGTwAAACRmM2UxMmYwMS0xNjE5LTQ4ZTMtODI1Ny1hNzExYjBmMTMxODkBsP///9r/////////AwAAAAGv////2f///wAAAAABrv///9j///8CAAAAAAAAAAABrf///9f///8AAAAACgEAAAAAAAAAAAMAAAAABlQAAAAkMjBkYzhmNjQtMmJmMC00MWQ0LTg3MDQtZTczY2Q2YTE2MzBhBlUAAAAdVGFibGUuSW52ZW50VGFibGUuSXRlbUdyb3VwSWQKCgoKARgAAAAUAAAACVYAAAAJVwAAAAlYAAAABlkAAAAISXRlbVR5cGUGWgAAAAlJdGVtIHR5cGUGWwAAAARFbnVtCSQAAAAGXQAAACQ4NzlhZjRlYS1iNWE1LTRmZTgtODgxNi1hNmRhZjhkZGYzNGQBov///9r/////////BAAAAAGh////2f///wAAAAABoP///9j///8CAAAAAAAAAAABn////9f///8AAAAACgEAAAAAAAAAAAQAAAAABmIAAAAkNjNmMGVjOTEtODJmNi00OTg0LWIwYjMtNDZmNjkwMjNhZmQyBmMAAAAaVGFibGUuSW52ZW50VGFibGUuSXRlbVR5cGUKCgoKARkAAAAUAAAACWQAAAAJZQAAAAlmAAAABmcAAAAOQXBwcm92ZWRCeV9zc3QGaAAAAAtBcHByb3ZlZCBieQZpAAAABlN0cmluZwkkAAAABmsAAAAkNWYxNGY0YTgtMDAzYi00ZGZlLWE1YzUtMjMyMDM2NTU3YWQ0AZT////a/////////wUAAAABk////9n///8AAAAAAZL////Y////AgAAAAAAAAAAAZH////X////AAAAAAoBAAAAAAAAAAAFAAAAAAZwAAAAJGQyODdmMDUwLWI4ZWYtNGYxZi1iZDQ3LTYwMGE4ZWI3ODZlMwZxAAAAIFRhYmxlLkludmVudFRhYmxlLkFwcHJvdmVkQnlfc3N0CgoKCgUcAAAAOEdsb2JlU29mdHdhcmUuQXRsYXM0MC5BdGxhc0NvbW1vbkNsaWVudC5SZXBvcnQuUmVmZXJlbmNlAQAAAApfcmVmZXJlbmNlBwgaAAAACXIAAAAHHQAAAAABAAAABAAAAAQ8R2xvYmVTb2Z0d2FyZS5BdGxhczQwLkF0bGFzQ29tbW9uQ2xpZW50LkRhdGFTb3VyY2VGaWVsZFZhbHVlGgAAAAlzAAAADQMEHgAAAMIBU3lzdGVtLkNvbGxlY3Rpb25zLkdlbmVyaWMuTGlzdGAxW1tHbG9iZVNvZnR3YXJlLkF0bGFzNDAuQXRsYXNDb21tb24uVHlwZS5GaWVsZE91dHB1dEZpZWxkLCBHbG9iZVNvZnR3YXJlLkF0bGFzNDAuQXRsYXNDb21tb24sIFZlcnNpb249NC4wLjAuMCwgQ3VsdHVyZT1uZXV0cmFsLCBQdWJsaWNLZXlUb2tlbj1hZTIxZWMzNTc1ZDEyOTlmXV0DAAAABl9pdGVtcwVfc2l6ZQhfdmVyc2lvbgQAADlHbG9iZVNvZnR3YXJlLkF0bGFzNDAuQXRsYXNDb21tb24uVHlwZS5GaWVsZE91dHB1dEZpZWxkW10OAAAACAgJdAAAAAEAAAABAAAABB8AAAC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QAAAAHVmVyc2lvbghDb21wYXJlcghIYXNoU2l6ZQ1LZXlWYWx1ZVBhaXJzAAMAAwjNAVN5c3RlbS5Db2xsZWN0aW9ucy5HZW5lcmljLkVudW1FcXVhbGl0eUNvbXBhcmVyYDFbW0dsb2JlU29mdHdhcmUuQXRsYXM0MC5BdGxhc0NvbW1vbi5Db2x1bW5BdHRyaWJ1dGVzLCBHbG9iZVNvZnR3YXJlLkF0bGFzNDAuQXRsYXNDb21tb24sIFZlcnNpb249NC4wLjAuMCwgQ3VsdHVyZT1uZXV0cmFsLCBQdWJsaWNLZXlUb2tlbj1hZTIxZWMzNTc1ZDEyOTlmXV0IpA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VtdAwAAAAl1AAAAAwAAAAl2AAAABCA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DAAAAB1ZlcnNpb24IQ29tcGFyZXIISGFzaFNpemUAAwAIkgFTeXN0ZW0uQ29sbGVjdGlvbnMuR2VuZXJpYy5HZW5lcmljRXF1YWxpdHlDb21wYXJlcmAxW1tTeXN0ZW0uU3RyaW5nLCBtc2NvcmxpYiwgVmVyc2lvbj00LjAuMC4wLCBDdWx0dXJlPW5ldXRyYWwsIFB1YmxpY0tleVRva2VuPWI3N2E1YzU2MTkzNGUwODldXQgAAAAACQwAAAAAAAAAASwAAAAeAAAACXgAAAABAAAAAQAAAAEtAAAAHwAAAAUAAAAJdQAAAAcAAAAJegAAAAEuAAAAIAAAAAAAAAAJDAAAAAAAAAABOgAAAB4AAAAJfAAAAAEAAAABAAAAATsAAAAfAAAABAAAAAl1AAAAAwAAAAl+AAAAATwAAAAgAAAAAAAAAAkMAAAAAAAAAAFIAAAAHgAAAAmAAAAAAQAAAAEAAAABSQAAAB8AAAAEAAAACXUAAAADAAAACYIAAAABSgAAACAAAAAAAAAACQwAAAAAAAAAAVYAAAAeAAAACYQAAAABAAAAAQAAAAFXAAAAHwAAAAQAAAAJdQAAAAMAAAAJhgAAAAFYAAAAIAAAAAAAAAAJDAAAAAAAAAABZAAAAB4AAAAJiAAAAAEAAAABAAAAAWUAAAAfAAAAAwAAAAl1AAAAAwAAAAmKAAAAAWYAAAAgAAAAAAAAAAkMAAAAAAAAAA9yAAAAAQAAAAgBAAAABXMAAAA8R2xvYmVTb2Z0d2FyZS5BdGxhczQwLkF0bGFzQ29tbW9uQ2xpZW50LkRhdGFTb3VyY2VGaWVsZFZhbHVlBAAAABJfaXNEcmlsbERvd25GaWx0ZXIGX2RzS2V5Cl9maWVsZG5hbWULX2ZpZWxkVmFsdWUAAQEBARoAAAAABowAAAARVGFibGUuSW52ZW50VGFibGUGjQAAAApEYXRhQXJlYUlkCQYAAAAHdAAAAAABAAAABAAAAAQ3R2xvYmVTb2Z0d2FyZS5BdGxhczQwLkF0bGFzQ29tbW9uLlR5cGUuRmllbGRPdXRwdXRGaWVsZA4AAAAJjwAAAA0DBHUAAADNAVN5c3RlbS5Db2xsZWN0aW9ucy5HZW5lcmljLkVudW1FcXVhbGl0eUNvbXBhcmVyYDFbW0dsb2JlU29mdHdhcmUuQXRsYXM0MC5BdGxhc0NvbW1vbi5Db2x1bW5BdHRyaWJ1dGVzLCBHbG9iZVNvZnR3YXJlLkF0bGFzNDAuQXRsYXNDb21tb24sIFZlcnNpb249NC4wLjAuMCwgQ3VsdHVyZT1uZXV0cmFsLCBQdWJsaWNLZXlUb2tlbj1hZTIxZWMzNTc1ZDEyOTlmXV0AAAAAB3YAAAAAAQAAAAI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Rw////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IAAAADa2V5BXZhbHVlBAEyR2xvYmVTb2Z0d2FyZS5BdGxhczQwLkF0bGFzQ29tbW9uLkNvbHVtbkF0dHJpYnV0ZXMOAAAABW////8yR2xvYmVTb2Z0d2FyZS5BdGxhczQwLkF0bGFzQ29tbW9uLkNvbHVtbkF0dHJpYnV0ZXMBAAAAB3ZhbHVlX18ACA4AAAAJAAAACSQAAAABbf///3D///8BbP///2////8LAAAABpUAAAABMAd4AAAAAAEAAAAEAAAABDdHbG9iZVNvZnR3YXJlLkF0bGFzNDAuQXRsYXNDb21tb24uVHlwZS5GaWVsZE91dHB1dEZpZWxkDgAAAAmWAAAADQMHegAAAAABAAAABA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Wn///9w////AWj///9v////BgAAAAaZAAAABVRvdGFsAWb///9w////AWX///9v////EAAAAAacAAAABE5vbmUBY////3D///8BYv///2////8JAAAACSQAAAABYP///3D///8BX////2////8LAAAABqIAAAABMQd8AAAAAAEAAAAEAAAABDdHbG9iZVNvZnR3YXJlLkF0bGFzNDAuQXRsYXNDb21tb24uVHlwZS5GaWVsZE91dHB1dEZpZWxkDgAAAAmjAAAADQMHfgAAAAABAAAAAw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Vz///9w////AVv///9v////EAAAAAmcAAAAAVn///9w////AVj///9v////CQAAAAkkAAAAAVb///9w////AVX///9v////CwAAAAasAAAAATIHgAAAAAABAAAABAAAAAQ3R2xvYmVTb2Z0d2FyZS5BdGxhczQwLkF0bGFzQ29tbW9uLlR5cGUuRmllbGRPdXRwdXRGaWVsZA4AAAAJrQAAAA0DB4IAAAAAAQAAAAM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S////cP///wFR////b////xAAAAAJnAAAAAFP////cP///wFO////b////wkAAAAJJAAAAAFM////cP///wFL////b////wsAAAAGtgAAAAEzB4QAAAAAAQAAAAQAAAAEN0dsb2JlU29mdHdhcmUuQXRsYXM0MC5BdGxhc0NvbW1vbi5UeXBlLkZpZWxkT3V0cHV0RmllbGQOAAAACbcAAAANAweGAAAAAAEAAAAD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SP///3D///8BR////2////8QAAAACZwAAAABRf///3D///8BRP///2////8JAAAACSQAAAABQv///3D///8BQf///2////8LAAAABsAAAAABNAeIAAAAAAEAAAAEAAAABDdHbG9iZVNvZnR3YXJlLkF0bGFzNDAuQXRsYXNDb21tb24uVHlwZS5GaWVsZE91dHB1dEZpZWxkDgAAAAnBAAAADQMHigAAAAABAAAAA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T7///9w////AT3///9v////CQAAAAkkAAAAATv///9w////ATr///9v////CwAAAAbHAAAAATUFjwAAADdHbG9iZVNvZnR3YXJlLkF0bGFzNDAuQXRsYXNDb21tb24uVHlwZS5GaWVsZE91dHB1dEZpZWxkFwAAAAxfYWdncmVnYXRpb24HX2ludmVydAVfdHlwZQZfbGFiZWwLX2RhdGFTb3VyY2UKX3NvcnRPcmRlchBfbnVtU2VxQ29uZGl0aW9uDV9pc01ldGhvZENhbGwJX3NlbGVjdGVkDl9kYXRhU291cmNlS2V5BV9uYW1lDV9mb3JtYXRTdHJpbmcMRmllbGQrX3ZhbHVlEEZpZWxkK19heEZpZWxkSWQURmllbGQrX2RhdGFTb3VyY2VLZXkNRmllbGQrX2RzTmFtZQtGaWVsZCtfbmFtZRdGaWVsZCtfcmVsYXRlZEZpZWxkTmFtZRxGaWVsZCtfcmVsYXRlZERhdGFTb3VyY2VOYW1lE0ZpZWxkK19maWVsZE9ubHlLZXkTRmllbGQrX2Zvcm1hdFN0cmluZxFGaWVsZCtfYXR0cmlidXRlcxBGaWVsZCtfY3VzdG9tS2V5BAABAQQEBAAAAQEBAgABAQEBAQEBAwEtR2xvYmVTb2Z0d2FyZS5BdGxhczQwLkF0bGFzQ29tbW9uLkFnZ3JlZ2F0aW9uDgAAAAExR2xvYmVTb2Z0d2FyZS5BdGxhczQwLkF0bGFzQ29tbW9uLlR5cGUuRGF0YVNvdXJjZQ4AAAArR2xvYmVTb2Z0d2FyZS5BdGxhczQwLkF0bGFzQ29tbW9uLlNvcnRPcmRlcg4AAAA5R2xvYmVTb2Z0d2FyZS5BdGxhczQwLkF0bGFzQ29tbW9uLk51bWJlclNlcXVlbmNlQ29uZGl0aW9uDgAAAAEBC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4AAAABOP///9r/////////AAbJAAAABlN0cmluZwbKAAAAEENvbXBhbnkgYWNjb3VudHMJywAAAAE0////2P///wIAAAAFM////zlHbG9iZVNvZnR3YXJlLkF0bGFzNDAuQXRsYXNDb21tb24uTnVtYmVyU2VxdWVuY2VDb25kaXRpb24BAAAAB3ZhbHVlX18ACA4AAAABAAAAAAAGzgAAABFUYWJsZS5JbnZlbnRUYWJsZQkhAAAACSQAAAAK/////wnOAAAACgkhAAAACgoKCSQAAAAJ1AAAAAkkAAAAAZYAAACPAAAAASr////a/////////wAG1wAAAAZTdHJpbmcG2AAAAAtJdGVtIG51bWJlcgnLAAAAASb////Y////AgAAAAEl////M////wEAAAAAAAnOAAAACS8AAAAJJAAAAAr/////Cc4AAAAKCS8AAAAKCgoJJAAAAAniAAAACSQAAAABowAAAI8AAAABHP///9r/////////AAblAAAABlN0cmluZwbmAAAACUl0ZW0gbmFtZQnLAAAAARj////Y////AgAAAAEX////M////wEAAAAAAAnOAAAACT0AAAAJJAAAAAr/////Cc4AAAAKCT0AAAAKCgoJJAAAAAnwAAAACSQAAAABrQAAAI8AAAABDv///9r/////////AAbzAAAABlN0cmluZwb0AAAACkl0ZW0gZ3JvdXAJywAAAAEK////2P///wIAAAABCf///zP///8BAAAAAAAJzgAAAAlLAAAACSQAAAAK/////wnOAAAACglLAAAACgoKCSQAAAAJ/gAAAAkkAAAAAbcAAACPAAAAAQD////a/////////wAGAQEAAARFbnVtBgIBAAAJSXRlbSB0eXBlCcsAAAAB/P7//9j///8CAAAAAfv+//8z////AQAAAAAACc4AAAAJWQAAAAkkAAAACv////8JzgAAAAoJWQAAAAoKCgkkAAAACQwBAAAJJAAAAAHBAAAAjwAAAAHy/v//2v////////8ABg8BAAAGU3RyaW5nBhABAAALQXBwcm92ZWQgYnkJywAAAAHu/v//2P///wIAAAAB7f7//zP///8BAAAAAAAJzgAAAAlnAAAACSQAAAAK/////wnOAAAACglnAAAACgoKCSQAAAAJGgEAAAkkAAAABcsAAAAxR2xvYmVTb2Z0d2FyZS5BdGxhczQwLkF0bGFzQ29tbW9uLlR5cGUuRGF0YVNvdXJjZRgAAAADX2lkBV9uYW1lBl9sYWJlbAxfcGFyZW50VGFibGUMX3BhcmVudEZpZWxkC19jaGlsZEZpZWxkBV90eXBlDV9vdXRwdXRGaWVsZHMMX3JhbmdlRmllbGRzBV9ndWlkCV9yZWZlcnNUbxBfb3V0cHV0RmllbGRLZXkwEV9jaGlsZERhdGFTb3VyY2VzBF9rZXkVX3BhcmVudERhdGFTb3VyY2VOYW1lGV9wYXJlbnRGaWVsZERhdGFTb3VyY2VLZXkPX3BhcmVudEZpZWxkS2V5EF9wYXJlbnRGaWVsZE5hbWURX3JlbGF0ZWRGaWVsZE5hbWUGX2luZGV4CV9qb2luTW9kZQpfZmV0Y2hNb2RlB19pZ25vcmULX2F0dHJpYnV0ZXMAAQEBAQEEAwMDAQEDAQEBAQEBAAQEAAMIMEdsb2JlU29mdHdhcmUuQXRsYXM0MC5BdGxhc0NvbW1vbi5EYXRhU291cmNlVHlwZQ4A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LU3lzdGVtLkd1aWS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CDRHbG9iZVNvZnR3YXJlLkF0bGFzNDAuQXRsYXNDb21tb24uRGF0YVNvdXJjZUpvaW5Nb2RlDgAAADVHbG9iZVNvZnR3YXJlLkF0bGFzNDAuQXRsYXNDb21tb24uRGF0YVNvdXJjZUZldGNoTW9kZQ4AAAAB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DgAAAK8AAAAGHAEAAAtJbnZlbnRUYWJsZQYdAQAABUl0ZW1zCSQAAAAJJAAAAAkkAAAABeH+//8wR2xvYmVTb2Z0d2FyZS5BdGxhczQwLkF0bGFzQ29tbW9uLkRhdGFTb3VyY2VUeXBlAQAAAAd2YWx1ZV9fAAgOAAAAAAAAAAkgAQAACSEBAAAE3v7//wtTeXN0ZW0uR3VpZAsAAAACX2ECX2ICX2MCX2QCX2UCX2YCX2cCX2gCX2kCX2oCX2sAAAAAAAAAAAAAAAgHBwICAgICAgICMg0AhG/jYkqB+aRT7D1WigkkAAAACSQAAAAJJAEAAAnOAAAACgoKCgoBAAAABdr+//80R2xvYmVTb2Z0d2FyZS5BdGxhczQwLkF0bGFzQ29tbW9uLkRhdGFTb3VyY2VKb2luTW9kZQEAAAAHdmFsdWVfXwAIDgAAAAAAAAAF2f7//zVHbG9iZVNvZnR3YXJlLkF0bGFzNDAuQXRsYXNDb21tb24uRGF0YVNvdXJjZUZldGNoTW9kZQEAAAAHdmFsdWVfXwAIDgAAAAAAAAAACSgBAAAE1A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CAAAACQwAAAADAAAACSoBAAAE4g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FAAAACQwAAAADAAAACSwBAAAE8A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FAAAACQwAAAADAAAACS4BAAAE/g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FAAAACQwAAAADAAAACTABAAAEDA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FAAAACQwAAAADAAAACTIBAAAEGg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CAAAACQwAAAADAAAACTQBAAAEIAE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p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1bXQoAAAAJNQEAAAcAAAAJNgEAAAQhAQ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TUBAAAAAAAABCQB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k1AQAAAAAAAAQoAQAA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AwAAAAdWZXJzaW9uCENvbXBhcmVyCEhhc2hTaXplAAMACM4BU3lzdGVtLkNvbGxlY3Rpb25zLkdlbmVyaWMuRW51bUVxdWFsaXR5Q29tcGFyZXJgMVtbR2xvYmVTb2Z0d2FyZS5BdGxhczQwLkF0bGFzQ29tbW9uLlR5cGUuQXhBdHRyaWJ1dGVzLCBHbG9iZVNvZnR3YXJlLkF0bGFzNDAuQXRsYXNDb21tb24sIFZlcnNpb249NC4wLjAuMCwgQ3VsdHVyZT1uZXV0cmFsLCBQdWJsaWNLZXlUb2tlbj1hZTIxZWMzNTc1ZDEyOTlmXV0IAAAAAAk4AQAAAAAAAAcqAQ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BMf+///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IAAAADa2V5BXZhbHVlAQEGOgEAAAVMYWJlbAnKAAAAAcT+///H/v//Bj0BAAAEVHlwZQnJAAAABywB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wf7//8f+//8GQAEAAAhIZWxwVGV4dAZBAQAADklkZW50aWZ5IGl0ZW0uAb7+///H/v//CToBAAAJ2AAAAAG7/v//x/7//wk9AQAACdcAAAAHLgE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4/v//x/7//wlAAQAABkoBAAAYRGVzY3JpcHRpb24gb2YgdGhlIGl0ZW0uAbX+///H/v//CToBAAAJ5gAAAAGy/v//x/7//wk9AQAACeUAAAAHMAE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v/v//x/7//wlAAQAABlMBAAAoSXRlbSBncm91cCB0aGF0IHRoZSBpdGVtIGlzIGF0dGFjaGVkIHRvLgGs/v//x/7//wk6AQAACfQAAAABqf7//8f+//8JPQEAAAnzAAAABzIB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pv7//8f+//8JQAEAAAZcAQAALlR5cGUgZGV0ZXJtaW5pbmcgaG93IHRoZSBpdGVtIGlzIGFkbWluaXN0ZXJlZC4Bo/7//8f+//8JOgEAAAkCAQAAAaD+///H/v//CT0BAAAJAQEAAAc0AQ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Z3+///H/v//CToBAAAJEAEAAAGa/v//x/7//wk9AQAACQ8BAAABNQEAAAwAAAAHNgEAAAABAAAABg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l/7//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IAAAADa2V5BXZhbHVlAQQ3R2xvYmVTb2Z0d2FyZS5BdGxhczQwLkF0bGFzQ29tbW9uLlR5cGUuRmllbGRPdXRwdXRGaWVsZA4AAAAGagEAABhUYWJsZS5JbnZlbnRUYWJsZS5JdGVtSWQJlgAAAAGU/v//l/7//wZtAQAAGlRhYmxlLkludmVudFRhYmxlLkl0ZW1OYW1lCaMAAAABkf7//5f+//8GcAEAAB1UYWJsZS5JbnZlbnRUYWJsZS5JdGVtR3JvdXBJZAmtAAAAAY7+//+X/v//BnMBAAAaVGFibGUuSW52ZW50VGFibGUuSXRlbVR5cGUJtwAAAAGL/v//l/7//wZ2AQAAIFRhYmxlLkludmVudFRhYmxlLkFwcHJvdmVkQnlfc3N0CcEAAAABiP7//5f+//8GeQEAABxUYWJsZS5JbnZlbnRUYWJsZS5EYXRhQXJlYUlkCY8AAAAEOAEAAM4BU3lzdGVtLkNvbGxlY3Rpb25zLkdlbmVyaWMuRW51bUVxdWFsaXR5Q29tcGFyZXJgMVtbR2xvYmVTb2Z0d2FyZS5BdGxhczQwLkF0bGFzQ29tbW9uLlR5cGUuQXhBdHRyaWJ1dGVzLCBHbG9iZVNvZnR3YXJlLkF0bGFzNDAuQXRsYXNDb21tb24sIFZlcnNpb249NC4wLjAuMCwgQ3VsdHVyZT1uZXV0cmFsLCBQdWJsaWNLZXlUb2tlbj1hZTIxZWMzNTc1ZDEyOTlmXV0AAAAACw==</Report>
</Atlas>
</file>

<file path=customXml/item2.xml><?xml version="1.0" encoding="utf-8"?>
<Atlas>
  <Query type="ReportList" id="a27d7385-b742-4ceb-a435-653f41e74217">
    AAEAAAD/////AQAAAAAAAAAMAgAAAGRHbG9iZVNvZnR3YXJlLkF0bGFzNDAuQXRsYXNDb21tb24sIFZlcnNpb249NC4wLjAuMCwgQ3VsdHVyZT1uZXV0cmFsLCBQdWJsaWNLZXlUb2tlbj1hZTIxZWMzNTc1ZDEyOTlmBQEAAAAwR2xvYmVTb2Z0d2FyZS5BdGxhczQwLkF0bGFzQ29tbW9uLlR5cGUuUXVlcnlJbXBsDgAAABVRdWVyeStfZGF0YUNvbm5lY3Rpb24SUXVlcnkrX2RhdGFTb3VyY2VzDlF1ZXJ5K19jb2x1bW5zEFF1ZXJ5K19xdWVyeVR5cGUUUXVlcnkrX291dHB1dE9iamVjdHMNUXVlcnkrX3JlcG9ydBFRdWVyeStfZHNTaG9ydEtleRBRdWVyeStfZGF0YVZpZXdzEVF1ZXJ5K19hdHRyaWJ1dGVzGlF1ZXJ5K19kYXRhU291cmNlT2NjdXJlbmNlFVF1ZXJ5K19kYXRhU291cmNla2V5MBhRdWVyeStfcHJpbWFyeURhdGFTb3VyY2UeUXVlcnkrX2pvdXJuYWxIZWFkZXJEYXRhU291cmNlG1F1ZXJ5K19qb3VybmFsSGVhZGVyQ29sdW1ucwQDAwQDAQMDAwMBBAQDNUdsb2JlU29mdHdhcmUuQXRsYXM0MC5BdGxhc0NvbW1vbi5UeXBlLkRhdGFDb25uZWN0aW9uAg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rR2xvYmVTb2Z0d2FyZS5BdGxhczQwLkF0bGFzQ29tbW9uLlF1ZXJ5VHlwZQIAAAB/U3lzdGVtLkNvbGxlY3Rpb25zLkdlbmVyaWMuTGlzdGAxW1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T2JqZWN0LCBtc2NvcmxpYiwgVmVyc2lvbj00LjAuMC4wLCBDdWx0dXJlPW5ldXRyYWwsIFB1YmxpY0tleVRva2VuPWI3N2E1YzU2MTkzNGUwODldXboBU3lzdGVtLkNvbGxlY3Rpb25zLkdlbmVyaWMuTGlzdGAxW1tHbG9iZVNvZnR3YXJlLkF0bGFzNDAuQXRsYXNDb21tb24uVHlwZS5EYXRhdmlldywgR2xvYmVTb2Z0d2FyZS5BdGxhczQwLkF0bGFzQ29tbW9uLCBWZXJzaW9uPTQuMC4wLjAsIEN1bHR1cmU9bmV1dHJhbCwgUHVibGljS2V5VG9rZW49YWUyMWVjMzU3NWQxMjk5Zl1d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3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TFHbG9iZVNvZnR3YXJlLkF0bGFzNDAuQXRsYXNDb21tb24uVHlwZS5EYXRhU291cmNlAgAAADFHbG9iZVNvZnR3YXJlLkF0bGFzNDAuQXRsYXNDb21tb24uVHlwZS5EYXRhU291cmNlAgAAALgBU3lzdGVtLkNvbGxlY3Rpb25zLkdlbmVyaWMuTGlzdGAxW1tHbG9iZVNvZnR3YXJlLkF0bGFzNDAuQXRsYXNDb21tb24uVHlwZS5Db2x1bW4sIEdsb2JlU29mdHdhcmUuQXRsYXM0MC5BdGxhc0NvbW1vbiwgVmVyc2lvbj00LjAuMC4wLCBDdWx0dXJlPW5ldXRyYWwsIFB1YmxpY0tleVRva2VuPWFlMjFlYzM1NzVkMTI5OWZdXQIAAAAJAwAAAAkEAAAACQUAAAAF+v///ytHbG9iZVNvZnR3YXJlLkF0bGFzNDAuQXRsYXNDb21tb24uUXVlcnlUeXBlAQAAAAd2YWx1ZV9fAAgCAAAACQAAAAkHAAAABggAAAAACQkAAAAJCgAAAAkLAAAACQwAAAAJCAAAAAkOAAAACgkPAAAABQMAAAA1R2xvYmVTb2Z0d2FyZS5BdGxhczQwLkF0bGFzQ29tbW9uLlR5cGUuRGF0YUNvbm5lY3Rpb24CAAAAC19hdHRyaWJ1dGVzBV9uYW1lAwH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CRAAAAAGEQAAAARQUk9EBAQA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ow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W10EAAAACRIAAAAHAAAACRMAAAAEBQ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AgAAAAgICRQAAAAMAAAADAAAAAQHAAAAf1N5c3RlbS5Db2xsZWN0aW9ucy5HZW5lcmljLkxpc3RgMVtbU3lzdGVtLlN0cmluZywgbXNjb3JsaWIsIFZlcnNpb249NC4wLjAuMCwgQ3VsdHVyZT1uZXV0cmFsLCBQdWJsaWNLZXlUb2tlbj1iNzdhNWM1NjE5MzRlMDg5XV0DAAAABl9pdGVtcwVfc2l6ZQhfdmVyc2lvbgYAAAgICRUAAAABAAAAAQAAAAQJAAAA4gFTeXN0ZW0uQ29sbGVjdGlvbnMuR2VuZXJpYy5EaWN0aW9uYXJ5YDJbW1N5c3RlbS5TdHJpbmcsIG1zY29ybGliLCBWZXJzaW9uPTQuMC4wLjAsIEN1bHR1cmU9bmV1dHJhbCwgUHVibGljS2V5VG9rZW49Yjc3YTVjNTYxOTM0ZTA4OV0sW1N5c3RlbS5PYmplY3Q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k9iamVjdCwgbXNjb3JsaWIsIFZlcnNpb249NC4wLjAuMCwgQ3VsdHVyZT1uZXV0cmFsLCBQdWJsaWNLZXlUb2tlbj1iNzdhNWM1NjE5MzRlMDg5XV1bXQQAAAAJEgAAAAcAAAAJFwAAAAQKAAAAugFTeXN0ZW0uQ29sbGVjdGlvbnMuR2VuZXJpYy5MaXN0YDFbW0dsb2JlU29mdHdhcmUuQXRsYXM0MC5BdGxhc0NvbW1vbi5UeXBlLkRhdGF2aWV3LCBHbG9iZVNvZnR3YXJlLkF0bGFzNDAuQXRsYXNDb21tb24sIFZlcnNpb249NC4wLjAuMCwgQ3VsdHVyZT1uZXV0cmFsLCBQdWJsaWNLZXlUb2tlbj1hZTIxZWMzNTc1ZDEyOTlmXV0DAAAABl9pdGVtcwVfc2l6ZQhfdmVyc2lvbgQAADFHbG9iZVNvZnR3YXJlLkF0bGFzNDAuQXRsYXNDb21tb24uVHlwZS5EYXRhdmlld1tdAgAAAAgICRgAAAAGAAAAAgAAAAQLAAAA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0EAAAAB1ZlcnNpb24IQ29tcGFyZXIISGFzaFNpemUNS2V5VmFsdWVQYWlycwADAAMI2QFTeXN0ZW0uQ29sbGVjdGlvbnMuR2VuZXJpYy5FbnVtRXF1YWxpdHlDb21wYXJlcmAxW1tHbG9iZVNvZnR3YXJlLkF0bGFzNDAuQXRsYXNDb21tb24uVHlwZS5BdGxhc1F1ZXJ5QXR0cmlidXRlTmFtZSwgR2xvYmVTb2Z0d2FyZS5BdGxhczQwLkF0bGFzQ29tbW9uLCBWZXJzaW9uPTQuMC4wLjAsIEN1bHR1cmU9bmV1dHJhbCwgUHVibGljS2V5VG9rZW49YWUyMWVjMzU3NWQxMjk5Zl1dCLACU3lzdGVtLkNvbGxlY3Rpb25zLkdlbmVyaWMuS2V5VmFsdWVQYWly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1bXWAAAAAJGQAAABEAAAAJGgAAAAQMAAAA4QFTeXN0ZW0uQ29sbGVjdGlvbnMuR2VuZXJpYy5EaWN0aW9uYXJ5YDJbW1N5c3RlbS5TdHJpbmcsIG1zY29ybGliLCBWZXJzaW9uPTQuMC4wLjAsIEN1bHR1cmU9bmV1dHJhbCwgUHVibGljS2V5VG9rZW49Yjc3YTVjNTYxOTM0ZTA4OV0sW1N5c3RlbS5JbnQzMi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l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W10EAAAACRIAAAAHAAAACRwAAAAFDgAAADFHbG9iZVNvZnR3YXJlLkF0bGFzNDAuQXRsYXNDb21tb24uVHlwZS5EYXRhU291cmNlGAAAAANfaWQFX25hbWUGX2xhYmVsDF9wYXJlbnRUYWJsZQxfcGFyZW50RmllbGQLX2NoaWxkRmllbGQFX3R5cGUNX291dHB1dEZpZWxkcwxfcmFuZ2VGaWVsZHMFX2d1aWQJX3JlZmVyc1RvEF9vdXRwdXRGaWVsZEtleTARX2NoaWxkRGF0YVNvdXJjZXMEX2tleRVfcGFyZW50RGF0YVNvdXJjZU5hbWUZX3BhcmVudEZpZWxkRGF0YVNvdXJjZUtleQ9fcGFyZW50RmllbGRLZXkQX3BhcmVudEZpZWxkTmFtZRFfcmVsYXRlZEZpZWxkTmFtZQZfaW5kZXgJX2pvaW5Nb2RlCl9mZXRjaE1vZGUHX2lnbm9yZQtfYXR0cmlidXRlcwABAQEBAQQDAwMBAQMBAQEBAQEABAQAAwgwR2xvYmVTb2Z0d2FyZS5BdGxhczQwLkF0bGFzQ29tbW9uLkRhdGFTb3VyY2VUeXBlAgA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2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tTeXN0ZW0uR3VpZ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INEdsb2JlU29mdHdhcmUuQXRsYXM0MC5BdGxhc0NvbW1vbi5EYXRhU291cmNlSm9pbk1vZGUCAAAANUdsb2JlU29mdHdhcmUuQXRsYXM0MC5BdGxhc0NvbW1vbi5EYXRhU291cmNlRmV0Y2hNb2RlAgAAAAG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/////wYdAAAAEEN1c3RJbnZvaWNlVHJhbnMGHgAAABZDdXN0b21lciBpbnZvaWNlIGxpbmVzCQgAAAAJCAAAAAkIAAAABeD///8wR2xvYmVTb2Z0d2FyZS5BdGxhczQwLkF0bGFzQ29tbW9uLkRhdGFTb3VyY2VUeXBlAQAAAAd2YWx1ZV9fAAgCAAAAAAAAAAkhAAAACSIAAAAE3f///wtTeXN0ZW0uR3VpZAsAAAACX2ECX2ICX2MCX2QCX2UCX2YCX2cCX2gCX2kCX2oCX2sAAAAAAAAAAAAAAAgHBwICAgICAgICs7GLiW7OHUWi7di4zy3qzAkIAAAACQgAAAAJJQAAAAYmAAAAFlRhYmxlLkN1c3RJbnZvaWNlVHJhbnMKCgoKCgEAAAAF2f///zRHbG9iZVNvZnR3YXJlLkF0bGFzNDAuQXRsYXNDb21tb24uRGF0YVNvdXJjZUpvaW5Nb2RlAQAAAAd2YWx1ZV9fAAgCAAAAAAAAAAXY////NUdsb2JlU29mdHdhcmUuQXRsYXM0MC5BdGxhc0NvbW1vbi5EYXRhU291cmNlRmV0Y2hNb2RlAQAAAAd2YWx1ZV9fAAgCAAAAAAAAAAAJKQAAAAEPAAAABQAAAAkqAAAAAAAAAAAAAAAEEA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KwAAAAAAAAAEEgAAAJIBU3lzdGVtLkNvbGxlY3Rpb25zLkdlbmVyaWMuR2VuZXJpY0VxdWFsaXR5Q29tcGFyZXJgMVtbU3lzdGVtLlN0cmluZywgbXNjb3JsaWIsIFZlcnNpb249NC4wLjAuMCwgQ3VsdHVyZT1uZXV0cmFsLCBQdWJsaWNLZXlUb2tlbj1iNzdhNWM1NjE5MzRlMDg5XV0AAAAABxMAAAAAAQAAAAQAAAAD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BNT///+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CAAAAA2tleQV2YWx1ZQEEMUdsb2JlU29mdHdhcmUuQXRsYXM0MC5BdGxhc0NvbW1vbi5UeXBlLkRhdGFTb3VyY2UCAAAACSYAAAAJDgAAAAHR////1P///wYwAAAANlRhYmxlLkN1c3RJbnZvaWNlVHJhbnMuSW52b2ljZUlkflRhYmxlLkN1c3RJbnZvaWNlSm91cgkxAAAAAc7////U////BjMAAABTVGFibGUuQ3VzdEludm9pY2VUcmFucy5JbnZvaWNlSWR+VGFibGUuQ3VzdEludm9pY2VKb3VyLk9yZGVyQWNjb3VudH5UYWJsZS5DdXN0VGFibGUJNAAAAAHL////1P///wY2AAAAL1RhYmxlLkN1c3RJbnZvaWNlVHJhbnMuSXRlbUlkflRhYmxlLkludmVudFRhYmxlCTcAAAAHFAAAAAABAAAAEAAAAAQtR2xvYmVTb2Z0d2FyZS5BdGxhczQwLkF0bGFzQ29tbW9uLlR5cGUuQ29sdW1uAgAAAAk4AAAACTkAAAAJOgAAAAk7AAAACTwAAAAJPQAAAAk+AAAACT8AAAAJQAAAAAlBAAAACUIAAAAJQwAAAA0EERUAAAAEAAAABkQAAAANQXRsYXNSZXBvcnRfMQ0DBxcAAAAAAQAAAAQAAAAD5AFTeXN0ZW0uQ29sbGVjdGlvbnMuR2VuZXJpYy5LZXlWYWx1ZVBhaXJgMltbU3lzdGVtLlN0cmluZywgbXNjb3JsaWIsIFZlcnNpb249NC4wLjAuMCwgQ3VsdHVyZT1uZXV0cmFsLCBQdWJsaWNLZXlUb2tlbj1iNzdhNWM1NjE5MzRlMDg5XSxbU3lzdGVtLk9iamVjdCwgbXNjb3JsaWIsIFZlcnNpb249NC4wLjAuMCwgQ3VsdHVyZT1uZXV0cmFsLCBQdWJsaWNLZXlUb2tlbj1iNzdhNWM1NjE5MzRlMDg5XV0Eu////+QBU3lzdGVtLkNvbGxlY3Rpb25zLkdlbmVyaWMuS2V5VmFsdWVQYWlyYDJbW1N5c3RlbS5TdHJpbmcsIG1zY29ybGliLCBWZXJzaW9uPTQuMC4wLjAsIEN1bHR1cmU9bmV1dHJhbCwgUHVibGljS2V5VG9rZW49Yjc3YTVjNTYxOTM0ZTA4OV0sW1N5c3RlbS5PYmplY3QsIG1zY29ybGliLCBWZXJzaW9uPTQuMC4wLjAsIEN1bHR1cmU9bmV1dHJhbCwgUHVibGljS2V5VG9rZW49Yjc3YTVjNTYxOTM0ZTA4OV1dAgAAAANrZXkFdmFsdWUBAgkmAAAACSYAAAABuf///7v///8GSAAAABVUYWJsZS5DdXN0SW52b2ljZUpvdXIJMAAAAAG2////u////wZLAAAAMlRhYmxlLkN1c3RJbnZvaWNlSm91ci5PcmRlckFjY291bnR+VGFibGUuQ3VzdFRhYmxlCTMAAAABs////7v///8GTgAAABFUYWJsZS5JbnZlbnRUYWJsZQk2AAAABxgAAAAAAQAAAAYAAAAEL0dsb2JlU29mdHdhcmUuQXRsYXM0MC5BdGxhc0NvbW1vbi5UeXBlLkRhdGF2aWV3AgAAAA0GBBkAAADZAVN5c3RlbS5Db2xsZWN0aW9ucy5HZW5lcmljLkVudW1FcXVhbGl0eUNvbXBhcmVyYDFbW0dsb2JlU29mdHdhcmUuQXRsYXM0MC5BdGxhc0NvbW1vbi5UeXBlLkF0bGFzUXVlcnlBdHRyaWJ1dGVOYW1lLCBHbG9iZVNvZnR3YXJlLkF0bGFzNDAuQXRsYXNDb21tb24sIFZlcnNpb249NC4wLjAuMCwgQ3VsdHVyZT1uZXV0cmFsLCBQdWJsaWNLZXlUb2tlbj1hZTIxZWMzNTc1ZDEyOTlmXV0AAAAABxoAAAAAAQAAAA4AAAADrg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Sw////rg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IAAAADa2V5BXZhbHVlBAE+R2xvYmVTb2Z0d2FyZS5BdGxhczQwLkF0bGFzQ29tbW9uLlR5cGUuQXRsYXNRdWVyeUF0dHJpYnV0ZU5hbWUCAAAABa////8+R2xvYmVTb2Z0d2FyZS5BdGxhczQwLkF0bGFzQ29tbW9uLlR5cGUuQXRsYXNRdWVyeUF0dHJpYnV0ZU5hbWUBAAAAB3ZhbHVlX18ACAIAAAACAAAABlIAAAAkYTI3ZDczODUtYjc0Mi00Y2ViLWE0MzUtNjUzZjQxZTc0MjE3Aa3///+w////Aaz///+v////AAAAAAZVAAAABHRydWUBqv///7D///8Bqf///6////8LAAAABlgAAAAWQ3VzdG9tZXIgaW52b2ljZSBsaW5lcwGn////sP///wGm////r////xsAAAAGWwAAAARUcnVlAaT///+w////AaP///+v////BgAAAAZeAAAABUZhbHNlAaH///+w////AaD///+v////HAAAAAlbAAAAAZ7///+w////AZ3///+v////HQAAAAleAAAAAZv///+w////AZr///+v////KgAAAAlbAAAAAZj///+w////AZf///+v////AQAAAAZqAAAAAzM2OQGV////sP///wGU////r////ycAAAAGbQAAAAs9RGF0YUFyZWFJZAGS////sP///wGR////r////xkAAAAGcAAAAA9DZWxsc1ZlcnRpY2FsbHkBj////7D///8Bjv///6////8JAAAACgGN////sP///wGM////r////ygAAAAGdQAAAAIxMgGK////sP///wGJ////r////ysAAAAGeAAAABFUYWJsZVN0eWxlTWVkaXVtMgccAAAAAAEAAAAEAAAAA+MBU3lzdGVtLkNvbGxlY3Rpb25zLkdlbmVyaWMuS2V5VmFsdWVQYWlyYDJbW1N5c3RlbS5TdHJpbmcsIG1zY29ybGliLCBWZXJzaW9uPTQuMC4wLjAsIEN1bHR1cmU9bmV1dHJhbCwgUHVibGljS2V5VG9rZW49Yjc3YTVjNTYxOTM0ZTA4OV0sW1N5c3RlbS5JbnQzMiwgbXNjb3JsaWIsIFZlcnNpb249NC4wLjAuMCwgQ3VsdHVyZT1uZXV0cmFsLCBQdWJsaWNLZXlUb2tlbj1iNzdhNWM1NjE5MzRlMDg5XV0Eh////+MBU3lzdGVtLkNvbGxlY3Rpb25zLkdlbmVyaWMuS2V5VmFsdWVQYWlyYDJbW1N5c3RlbS5TdHJpbmcsIG1zY29ybGliLCBWZXJzaW9uPTQuMC4wLjAsIEN1bHR1cmU9bmV1dHJhbCwgUHVibGljS2V5VG9rZW49Yjc3YTVjNTYxOTM0ZTA4OV0sW1N5c3RlbS5JbnQzMiwgbXNjb3JsaWIsIFZlcnNpb249NC4wLjAuMCwgQ3VsdHVyZT1uZXV0cmFsLCBQdWJsaWNLZXlUb2tlbj1iNzdhNWM1NjE5MzRlMDg5XV0CAAAAA2tleQV2YWx1ZQEACAZ6AAAAEEN1c3RJbnZvaWNlVHJhbnMBAAAAAYX///+H////BnwAAAAPQ3VzdEludm9pY2VKb3VyAQAAAAGD////h////wZ+AAAACUN1c3RUYWJsZQEAAAABgf///4f///8GgAAAAAtJbnZlbnRUYWJsZQEAAAAEIQA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p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1bXQcAAAAJgQAAAAcAAAAJggAAAAQiAA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e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W10DAAAACRIAAAADAAAACYQAAAABJQAAAAQAAAACAAAACYEAAAADAAAACYYAAAAEKQAAAK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MAAAAHVmVyc2lvbghDb21wYXJlcghIYXNoU2l6ZQADAAjOAVN5c3RlbS5Db2xsZWN0aW9ucy5HZW5lcmljLkVudW1FcXVhbGl0eUNvbXBhcmVyYDFbW0dsb2JlU29mdHdhcmUuQXRsYXM0MC5BdGxhc0NvbW1vbi5UeXBlLkF4QXR0cmlidXRlcywgR2xvYmVTb2Z0d2FyZS5BdGxhczQwLkF0bGFzQ29tbW9uLCBWZXJzaW9uPTQuMC4wLjAsIEN1bHR1cmU9bmV1dHJhbCwgUHVibGljS2V5VG9rZW49YWUyMWVjMzU3NWQxMjk5Zl1dCAAAAAAJhwAAAAAAAAAHKgAAAAABAAAAAAAAAAQtR2xvYmVTb2Z0d2FyZS5BdGxhczQwLkF0bGFzQ29tbW9uLlR5cGUuQ29sdW1uAgAAAAErAAAAEgAAAAExAAAADgAAAP////8GiAAAAA9DdXN0SW52b2ljZUpvdXIGiQAAABhDdXN0b21lciBpbnZvaWNlIGpvdXJuYWwJCAAAAAkIAAAACQgAAAABdf///+D///8AAAAACYwAAAAJjQAAAAFy////3f///7pOABzL1sRFqN6kvH0pEMIJCAAAAAkIAAAACZAAAAAJMAAAAAaSAAAAEEN1c3RJbnZvaWNlVHJhbnMGkwAAABZUYWJsZS5DdXN0SW52b2ljZVRyYW5zBpQAAAAgVGFibGUuQ3VzdEludm9pY2VUcmFucy5JbnZvaWNlSWQGlQAAAAlJbnZvaWNlSWQGlgAAAAlJbnZvaWNlSWQBAAAAAWn////Z////AAAAAAFo////2P///wAAAAAACZkAAAABNAAAAA4AAAD/////BpoAAAAJQ3VzdFRhYmxlBpsAAAAJQ3VzdG9tZXJzCQgAAAAJCAAAAAkIAAAAAWP////g////AAAAAAmeAAAACZ8AAAABYP///93///+ZtWIVt90eRpuyNSgGp4nwCQgAAAAJCAAAAAmiAAAACTMAAAAGpAAAAA9DdXN0SW52b2ljZUpvdXIGpQAAADZUYWJsZS5DdXN0SW52b2ljZVRyYW5zLkludm9pY2VJZH5UYWJsZS5DdXN0SW52b2ljZUpvdXIGpgAAAENUYWJsZS5DdXN0SW52b2ljZVRyYW5zLkludm9pY2VJZH5UYWJsZS5DdXN0SW52b2ljZUpvdXIuT3JkZXJBY2NvdW50BqcAAAAMT3JkZXJBY2NvdW50BqgAAAAKQWNjb3VudE51bQEAAAABV////9n///8AAAAAAVb////Y////AAAAAAAJqwAAAAE3AAAADgAAAP////8GrAAAAAtJbnZlbnRUYWJsZQatAAAABUl0ZW1zCQgAAAAJCAAAAAkIAAAAAVH////g////AAAAAAmwAAAACbEAAAABTv///93///+Ow0OV6syTQ5Pl3nfXpf53CQgAAAAJCAAAAAm0AAAACTYAAAAGtgAAABBDdXN0SW52b2ljZVRyYW5zBrcAAAAWVGFibGUuQ3VzdEludm9pY2VUcmFucwa4AAAAHVRhYmxlLkN1c3RJbnZvaWNlVHJhbnMuSXRlbUlkBrkAAAAGSXRlbUlkBroAAAAGSXRlbUlkAQAAAAFF////2f///wAAAAABRP///9j///8AAAAAAAm9AAAABTgAAAAtR2xvYmVTb2Z0d2FyZS5BdGxhczQwLkF0bGFzQ29tbW9uLlR5cGUuQ29sdW1uGgAAAAdfZmllbGRzC19hdHRyaWJ1dGVzDV9jb2x1bW5Gb3JtYXQFX25hbWUGX2xhYmVsBV9pY29uDF9jYWxjdWxhdGlvbgNfaWQMX2FnZ3JlZ2F0aW9uBl9vcmRlcgtfY29sdW1uVHlwZQpfc29ydE9yZGVyD19zb3J0T3JkZXJJbmRleAZfZ3JvdXAJX2Nyb3NzVGFiDl9jcm9zc1RhYlZhbHVlDl9jcm9zc1RhYlRvdGFsD19hZ2dyZWdhdGVWYWx1ZQ9fb3V0cHV0Q29sdW1uTm8LX251bGxDb2x1bW4EX2tleQlfZmllbGRLZXkOX2hlYWRlckNvbHVtbnMOX2Zvb3RlckNvbHVtbnMMX3VwbG9hZFZhbHVlITxDYWxjdWxhdGlvblF1ZXJ5PmtfX0JhY2tpbmdGaWVsZAMDAwEBAQEBBAAEBAAABAIAAAAAAQEDAwEEwgFTeXN0ZW0uQ29sbGVjdGlvbnMuR2VuZXJpYy5MaXN0YDFbW0dsb2JlU29mdHdhcmUuQXRsYXM0MC5BdGxhc0NvbW1vbi5UeXBlLkZpZWxkT3V0cHV0RmllbGQsIEdsb2JlU29mdHdhcmUuQXRsYXM0MC5BdGxhc0NvbW1vbiwgVmVyc2lvbj00LjAuMC4wLCBDdWx0dXJlPW5ldXRyYWwsIFB1YmxpY0tleVRva2VuPWFlMjFlYzM1NzVkMTI5OWZdXa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LUdsb2JlU29mdHdhcmUuQXRsYXM0MC5BdGxhc0NvbW1vbi5BZ2dyZWdhdGlvbgIAAAAILEdsb2JlU29mdHdhcmUuQXRsYXM0MC5BdGxhc0NvbW1vbi5Db2x1bW5UeXBlAgAAACtHbG9iZVNvZnR3YXJlLkF0bGFzNDAuQXRsYXNDb21tb24uU29ydE9yZGVyAgAAAAgBQEdsb2JlU29mdHdhcmUuQXRsYXM0MC5BdGxhc0NvbW1vbi5UeXBlLkNvbHVtbitDcm9zc1RhYkNvbHVtblR5cGUCAAAAAQYIAbgBU3lzdGVtLkNvbGxlY3Rpb25zLkdlbmVyaWMuTGlzdGAxW1tHbG9iZVNvZnR3YXJlLkF0bGFzNDAuQXRsYXNDb21tb24uVHlwZS5Db2x1bW4sIEdsb2JlU29mdHdhcmUuQXRsYXM0MC5BdGxhc0NvbW1vbiwgVmVyc2lvbj00LjAuMC4wLCBDdWx0dXJlPW5ldXRyYWwsIFB1YmxpY0tleVRva2VuPWFlMjFlYzM1NzVkMTI5OWZdXbgBU3lzdGVtLkNvbGxlY3Rpb25zLkdlbmVyaWMuTGlzdGAxW1tHbG9iZVNvZnR3YXJlLkF0bGFzNDAuQXRsYXNDb21tb24uVHlwZS5Db2x1bW4sIEdsb2JlU29mdHdhcmUuQXRsYXM0MC5BdGxhc0NvbW1vbiwgVmVyc2lvbj00LjAuMC4wLCBDdWx0dXJlPW5ldXRyYWwsIFB1YmxpY0tleVRva2VuPWFlMjFlYzM1NzVkMTI5OWZdXSxHbG9iZVNvZnR3YXJlLkF0bGFzNDAuQXRsYXNDb21tb24uVHlwZS5RdWVyeQIAAAACAAAACb4AAAAJvwAAAAnAAAAABsEAAAAMT3JkZXJBY2NvdW50BsIAAAAQQ3VzdG9tZXIgYWNjb3VudAbDAAAABlN0cmluZwkIAAAABsUAAAAkNWM3ZjJlOGMtOGVjMi00YmIwLWE0NjQtNjU3ZmI2YzViMjc5BTr///8tR2xvYmVTb2Z0d2FyZS5BdGxhczQwLkF0bGFzQ29tbW9uLkFnZ3JlZ2F0aW9uAQAAAAd2YWx1ZV9fAAgCAAAA/////wAAAAAFOf///yxHbG9iZVNvZnR3YXJlLkF0bGFzNDAuQXRsYXNDb21tb24uQ29sdW1uVHlwZQEAAAAHdmFsdWVfXwAIAgAAAAAAAAAFOP///ytHbG9iZVNvZnR3YXJlLkF0bGFzNDAuQXRsYXNDb21tb24uU29ydE9yZGVyAQAAAAd2YWx1ZV9fAAgCAAAAAgAAAAAAAAAABTf///9AR2xvYmVTb2Z0d2FyZS5BdGxhczQwLkF0bGFzQ29tbW9uLlR5cGUuQ29sdW1uK0Nyb3NzVGFiQ29sdW1uVHlwZQEAAAAHdmFsdWVfXwAIAgAAAAAAAAAKAQAAAAAAAAAAAAAAAAAGygAAACQ4NWI4ZTU0OC1hYmVjLTRlMjAtOTY1My00ZjU2YTA0YzFlOGEGywAAAENUYWJsZS5DdXN0SW52b2ljZVRyYW5zLkludm9pY2VJZH5UYWJsZS5DdXN0SW52b2ljZUpvdXIuT3JkZXJBY2NvdW50CgoKCgE5AAAAOAAAAAnMAAAACc0AAAAJzgAAAAbPAAAABE5hbWUG0AAAAA1DdXN0b21lciBuYW1lBtEAAAAGU3RyaW5nCQgAAAAG0wAAACQwN2VjNmU0NS1kM2QyLTQ5YWQtOTcwZC1iNDA2NTY3YmExNjkBLP///zr/////////AQAAAAEr////Of///wAAAAABKv///zj///8CAAAAAAAAAAABKf///zf///8AAAAACgEAAAAAAAAAAAEAAAAABtgAAAAkNTM4ODlmZjMtNDUzNi00YTE4LWFhOGEtM2UzYTY0MGNjMDYwBtkAAABYVGFibGUuQ3VzdEludm9pY2VUcmFucy5JbnZvaWNlSWR+VGFibGUuQ3VzdEludm9pY2VKb3VyLk9yZGVyQWNjb3VudH5UYWJsZS5DdXN0VGFibGUuTmFtZQoKCgoBOgAAADgAAAAJ2gAAAAnbAAAACdwAAAAG3QAAAAZJdGVtSWQG3gAAAARJdGVtBt8AAAAGU3RyaW5nCQgAAAAG4QAAACRjMmRiYmFkYi1lYjJhLTRiM2QtOGVhZS00ZWI3MjRhMTEzNjIBHv///zr/////////AgAAAAEd////Of///wAAAAABHP///zj///8CAAAAAAAAAAABG////zf///8AAAAACgEAAAAAAAAAAAIAAAAABuYAAAAkNzgyZGQ5ZjYtMzY4My00NjE0LTllOTktZWM3MzM5ODU3MWY1BucAAAAdVGFibGUuQ3VzdEludm9pY2VUcmFucy5JdGVtSWQKCgoKATsAAAA4AAAACegAAAAJ6QAAAAnqAAAABusAAAAISXRlbU5hbWUG7AAAAAlJdGVtIG5hbWUG7QAAAAZTdHJpbmcJCAAAAAbvAAAAJGFkZmM5NjRhLTYzYzgtNDg2Yi1iYTJlLTZmMDkzZTVmOGNmYwEQ////Ov////////8DAAAAAQ////85////AAAAAAEO////OP///wIAAAAAAAAAAAEN////N////wAAAAAKAQAAAAAAAAAAAwAAAAAG9AAAACQ5MjQ1ZGUzNi04M2IzLTRiY2ItOWNkZC0zZjk4NTYzZmUzYmEG9QAAADhUYWJsZS5DdXN0SW52b2ljZVRyYW5zLkl0ZW1JZH5UYWJsZS5JbnZlbnRUYWJsZS5JdGVtTmFtZQoKCgoBPAAAADgAAAAJ9gAAAAn3AAAACfgAAAAG+QAAAAdTYWxlc0lkBvoAAAALU2FsZXMgb3JkZXIG+wAAAAZTdHJpbmcJCAAAAAb9AAAAJGU4YTUzNzY4LWI3MDctNDkxYi04YjcxLWNhNGFlMGViOTNlZgEC////Ov////////8EAAAAAQH///85////AAAAAAEA////OP///wIAAAAAAAAAAAH//v//N////wAAAAAKAQAAAAAAAAAABAAAAAAGAgEAACQ5OGYyZTEwOC0xNmU0LTRjMmItYWIzZi0zYWIxZjBmM2UzYzAGAwEAAB5UYWJsZS5DdXN0SW52b2ljZVRyYW5zLlNhbGVzSWQKCgoKAT0AAAA4AAAACQQBAAAJBQEAAAkGAQAABgcBAAANSW52ZW50VHJhbnNJZAYIAQAABkxvdCBJRAYJAQAABlN0cmluZwkIAAAABgsBAAAkZjM4ZGM1NTYtNmJkMy00OTdmLWI2YjItYjNjNDlkNWE2N2YyAfT+//86/////////wUAAAAB8/7//zn///8AAAAAAfL+//84////AgAAAAAAAAAAAfH+//83////AAAAAAoBAAAAAAAAAAAFAAAAAAYQAQAAJDIxNjAzMWQ2LThlNDMtNGUwNi1hNTljLWE3ZTM0NzdlNTBhMQYRAQAAJFRhYmxlLkN1c3RJbnZvaWNlVHJhbnMuSW52ZW50VHJhbnNJZAoKCgoBPgAAADgAAAAJEgEAAAkTAQAACRQBAAAGFQEAAAtJbnZvaWNlRGF0ZQYWAQAABERhdGUGFwEAAAREYXRlCQgAAAAGGQEAACQzODRmZDA0Yy0yZTNiLTQzNmEtYTFjOC1mM2JhN2E4NzkxMGUB5v7//zr/////////BgAAAAHl/v//Of///wAAAAAB5P7//zj///8CAAAAAAAAAAAB4/7//zf///8AAAAACgEAAAAAAAAAAAYAAAAABh4BAAAkZTNiYjQ1OGItMzFiOC00YmNlLTlhOTMtODljNjc2YmQ2NDIyBh8BAAAiVGFibGUuQ3VzdEludm9pY2VUcmFucy5JbnZvaWNlRGF0ZQoKCgoBPwAAADgAAAAJIAEAAAkhAQAACSIBAAAGIwEAAANRdHkGJAEAAAhRdWFudGl0eQYlAQAABFJlYWwJCAAAAAYnAQAAJDBhYTlkZmQzLTEyMzAtNGNmYi04MTE4LWMwMzE4NGVjNjQ4OAHY/v//Ov///wEAAAAHAAAAAdf+//85////AAAAAAHW/v//OP///wIAAAAAAAAAAAHV/v//N////wAAAAAKAQAAAAAAAAAABwAAAAAGLAEAACQ4NDI1MmY0Ni0wNTA1LTQzNWItYmFmZC0zZTcxNzk0YjExOTQGLQEAABpUYWJsZS5DdXN0SW52b2ljZVRyYW5zLlF0eQoKCgoBQAAAADgAAAAJLgEAAAkvAQAACTABAAAGMQEAAAlTYWxlc1VuaXQGMgEAAARVbml0BjMBAAAGU3RyaW5nCQgAAAAGNQEAACQ0OWEwMDlkOS1jNmU3LTQ1YTUtODRjNC1iNDY1ZGYxNzFkMmQByv7//zr/////////CAAAAAHJ/v//Of///wAAAAAByP7//zj///8CAAAAAAAAAAABx/7//zf///8AAAAACgEAAAAAAAAAAAgAAAAABjoBAAAkZmQzNmVjMGYtYWQyOS00ZDE1LWI0YTQtYTc0MmJlYzRlYjk2BjsBAAAgVGFibGUuQ3VzdEludm9pY2VUcmFucy5TYWxlc1VuaXQKCgoKAUEAAAA4AAAACTwBAAAJPQEAAAk+AQAABj8BAAANTGluZUFtb3VudE1TVAZAAQAAGkFtb3VudCBpbiBkZWZhdWx0IGN1cnJlbmN5BkEBAAAEUmVhbAkIAAAABkMBAAAkNTBjZjE1ODgtOTBmNS00ZWM2LTg3ZjEtNWE0YzE4YjEyNmRjAbz+//86////AQAAAAkAAAABu/7//zn///8AAAAAAbr+//84////AgAAAAAAAAAAAbn+//83////AAAAAAoBAAAAAAAAAAAJAAAAAAZIAQAAJDNhNzg0ZDNhLWIwYWItNDkzMC05YjA0LWQxZTQwYjY5MjQ0ZQZJAQAAJFRhYmxlLkN1c3RJbnZvaWNlVHJhbnMuTGluZUFtb3VudE1TVAoKCgoBQgAAADgAAAAJSgEAAAlLAQAACUwBAAAGTQEAADdBdGxhc01hbmFnZWRDb2x1bW5fMWMwYWU5YWEtY2VhNy00MzA4LWExOTItNzBhNzIzZjNmNTFlBk4BAAALQ29zdCBBbW91bnQJCAAAAAkIAAAABlABAAAkMjI0ODg4ZDMtM2U1Ni00NmI2LTg1ZGItMjFjOGU0MTA4MjNmAa/+//86/////////woAAAABrv7//zn///8CAAAAAa3+//84////AgAAAAAAAAAAAaz+//83////AAAAAAoBAAAAAAAAAAAKAAAAAAZVAQAAJGU4YzU1NGU2LWM4ZDAtNGU1My05YzgwLWRhMjFjOTJmOGM0NQkIAAAACgoKCgFDAAAAOAAAAAlXAQAACVgBAAAJWQEAAAZaAQAAN0F0bGFzTWFuYWdlZENvbHVtbl80NDVkOGNjNC04OWE3LTQ1MTUtOGUxOS04ODUwNDYyYzY5MGEGWwEAAAZNYXJnaW4JCAAAAAkIAAAABl0BAAAkZDA4ZDFkYmUtNmIyMS00ZTY0LTkzOGMtMzE5MWQxNTllMzE5AaL+//86/////////wsAAAABof7//zn///8CAAAAAaD+//84////AgAAAAAAAAAAAZ/+//83////AAAAAAoBAAAAAAAAAAALAAAAAAZiAQAAJDIyYWQyYzJjLWI5NTMtNDVjNS1hYmYyLTYxYjQ2ZDk1ZWFiMAkIAAAACgoKCgGBAAAAEgAAAAeCAAAAAAEAAAAH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Sc/v//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gAAAANrZXkFdmFsdWUBBDdHbG9iZVNvZnR3YXJlLkF0bGFzNDAuQXRsYXNDb21tb24uVHlwZS5GaWVsZE91dHB1dEZpZWxkAgAAAAZlAQAAHVRhYmxlLkN1c3RJbnZvaWNlVHJhbnMuSXRlbUlkCWYBAAABmf7//5z+//8GaAEAAB5UYWJsZS5DdXN0SW52b2ljZVRyYW5zLlNhbGVzSWQJaQEAAAGW/v//nP7//wZrAQAAJFRhYmxlLkN1c3RJbnZvaWNlVHJhbnMuSW52ZW50VHJhbnNJZAlsAQAAAZP+//+c/v//Bm4BAAAiVGFibGUuQ3VzdEludm9pY2VUcmFucy5JbnZvaWNlRGF0ZQlvAQAAAZD+//+c/v//BnEBAAAaVGFibGUuQ3VzdEludm9pY2VUcmFucy5RdHkJcgEAAAGN/v//nP7//wZ0AQAAIFRhYmxlLkN1c3RJbnZvaWNlVHJhbnMuU2FsZXNVbml0CXUBAAABiv7//5z+//8GdwEAACRUYWJsZS5DdXN0SW52b2ljZVRyYW5zLkxpbmVBbW91bnRNU1QJeAEAAAeEAAAAAAEAAAADAAAAA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Eh/7//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CAAAAA2tleQV2YWx1ZQEEMkdsb2JlU29mdHdhcmUuQXRsYXM0MC5BdGxhc0NvbW1vbi5UeXBlLkZpZWxkU3RyaW5nAgAAAAZ6AQAAIlRhYmxlLkN1c3RJbnZvaWNlVHJhbnMuSW52b2ljZURhdGUJewEAAAGE/v//h/7//wZ9AQAAHVRhYmxlLkN1c3RJbnZvaWNlVHJhbnMuSXRlbUlkCX4BAAABgf7//4f+//8GgAEAACNUYWJsZS5DdXN0SW52b2ljZVRyYW5zLkRpbWVuc2lvbls3XQmBAQAAB4YAAAAAAQAAAAIAAAAD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X7+///U////CTAAAAAJMQAAAAF7/v//1P///wk2AAAACTcAAAAEhwAAAM4BU3lzdGVtLkNvbGxlY3Rpb25zLkdlbmVyaWMuRW51bUVxdWFsaXR5Q29tcGFyZXJgMVtbR2xvYmVTb2Z0d2FyZS5BdGxhczQwLkF0bGFzQ29tbW9uLlR5cGUuQXhBdHRyaWJ1dGVzLCBHbG9iZVNvZnR3YXJlLkF0bGFzNDAuQXRsYXNDb21tb24sIFZlcnNpb249NC4wLjAuMCwgQ3VsdHVyZT1uZXV0cmFsLCBQdWJsaWNLZXlUb2tlbj1hZTIxZWMzNTc1ZDEyOTlmXV0AAAAAAYwAAAAhAAAAAwAAAAmIAQAAAwAAAAmJAQAABI0AAAC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EgAAAAAAAAABkAAAAAQAAAABAAAACYgBAAADAAAACYwBAAABmQAAACkAAAAAAAAACY0BAAAAAAAAAZ4AAAAhAAAAAQAAAAmOAQAAAwAAAAmPAQAAAZ8AAAAiAAAAAQAAAAkSAAAAAwAAAAmRAQAABKIA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mOAQAAAAAAAAGrAAAAKQAAAAAAAAAJkwEAAAAAAAABsAAAACEAAAABAAAACYgBAAADAAAACZUBAAABsQAAACIAAAABAAAACRIAAAADAAAACZcBAAAEtA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YgBAAAAAAAAAb0AAAApAAAAAAAAAAmNAQAAAAAAAAS+AAAAwgFTeXN0ZW0uQ29sbGVjdGlvbnMuR2VuZXJpYy5MaXN0YDFbW0dsb2JlU29mdHdhcmUuQXRsYXM0MC5BdGxhc0NvbW1vbi5UeXBlLkZpZWxkT3V0cHV0RmllbGQsIEdsb2JlU29mdHdhcmUuQXRsYXM0MC5BdGxhc0NvbW1vbiwgVmVyc2lvbj00LjAuMC4wLCBDdWx0dXJlPW5ldXRyYWwsIFB1YmxpY0tleVRva2VuPWFlMjFlYzM1NzVkMTI5OWZdXQMAAAAGX2l0ZW1zBV9zaXplCF92ZXJzaW9uBAAAOUdsb2JlU29mdHdhcmUuQXRsYXM0MC5BdGxhc0NvbW1vbi5UeXBlLkZpZWxkT3V0cHV0RmllbGRbXQIAAAAICAmaAQAAAQAAAAEAAAAEvwAAAK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AAAAAdWZXJzaW9uCENvbXBhcmVyCEhhc2hTaXplDUtleVZhbHVlUGFpcnMAAwADCM0BU3lzdGVtLkNvbGxlY3Rpb25zLkdlbmVyaWMuRW51bUVxdWFsaXR5Q29tcGFyZXJgMVtbR2xvYmVTb2Z0d2FyZS5BdGxhczQwLkF0bGFzQ29tbW9uLkNvbHVtbkF0dHJpYnV0ZXMsIEdsb2JlU29mdHdhcmUuQXRsYXM0MC5BdGxhc0NvbW1vbiwgVmVyc2lvbj00LjAuMC4wLCBDdWx0dXJlPW5ldXRyYWwsIFB1YmxpY0tleVRva2VuPWFlMjFlYzM1NzVkMTI5OWZdXQik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W13PAAAACZsBAAAHAAAACZwBAAAEwA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13LAAAACYgBAAAHAAAACZ4BAAABzAAAAL4AAAAJnwEAAAEAAAABAAAAAc0AAAC/AAAA1QAAAAmgAQAABwAAAAmhAQAABM4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xAAAAAmOAQAABwAAAAmjAQAAAdoAAAC+AAAACaQBAAABAAAAAQAAAAHbAAAAvwAAAOwAAAAJpQEAAAcAAAAJpgEAAATc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ecAAAAJpwEAAAcAAAAJqAEAAAHoAAAAvgAAAAmpAQAAAQAAAAEAAAAB6QAAAL8AAADPAAAACZsBAAAHAAAACasBAAAE6g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13LAAAACYgBAAAHAAAACa0BAAAB9gAAAL4AAAAJrgEAAAEAAAABAAAAAfcAAAC/AAAAjwAAAAmvAQAABwAAAAmwAQAABPg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jAAAAAmxAQAABwAAAAmyAQAAAQQBAAC+AAAACbMBAAABAAAAAQAAAAEFAQAAvwAAALMAAAAJtAEAAAcAAAAJtQEAAAQG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a8AAAAJtgEAAAcAAAAJtwEAAAESAQAAvgAAAAm4AQAAAQAAAAEAAAABEwEAAL8AAACIAAAACbkBAAAHAAAACboBAAAEFA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12FAAAACbsBAAAHAAAACbwBAAABIAEAAL4AAAAJvQEAAAEAAAABAAAAASEBAAC/AAAAiAAAAAm5AQAABwAAAAm/AQAABCI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hQAAAAm7AQAABwAAAAnBAQAAAS4BAAC+AAAACcIBAAABAAAAAQAAAAEvAQAAvwAAAIgAAAAJuQEAAAcAAAAJxAEAAAQw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YUAAAAJuwEAAAcAAAAJxgEAAAE8AQAAvgAAAAnHAQAAAQAAAAEAAAABPQEAAL8AAACWAAAACcgBAAAHAAAACckBAAAEPg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12TAAAACcoBAAAHAAAACcsBAAABSgEAAL4AAAAJzAEAAAAAAAAAAAAAAUsBAAC/AAAAmwAAAAnIAQAABwAAAAnOAQAABEw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kwAAAAnKAQAABwAAAAnQAQAAAVcBAAC+AAAACcwBAAAAAAAAAAAAAAFYAQAAvwAAAJsAAAAJyAEAAAcAAAAJ0wEAAARZ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ZMAAAAJygEAAAcAAAAJ1QEAAAVmAQAAN0dsb2JlU29mdHdhcmUuQXRsYXM0MC5BdGxhc0NvbW1vbi5UeXBlLkZpZWxkT3V0cHV0RmllbGQXAAAADF9hZ2dyZWdhdGlvbgdfaW52ZXJ0BV90eXBlBl9sYWJlbAtfZGF0YVNvdXJjZQpfc29ydE9yZGVyEF9udW1TZXFDb25kaXRpb24NX2lzTWV0aG9kQ2FsbAlfc2VsZWN0ZWQ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EAAEBBAQEAAABAQECAAEBAQEBAQEDAS1HbG9iZVNvZnR3YXJlLkF0bGFzNDAuQXRsYXNDb21tb24uQWdncmVnYXRpb24CAAAAATFHbG9iZVNvZnR3YXJlLkF0bGFzNDAuQXRsYXNDb21tb24uVHlwZS5EYXRhU291cmNlAgAAACtHbG9iZVNvZnR3YXJlLkF0bGFzNDAuQXRsYXNDb21tb24uU29ydE9yZGVyAgAAADlHbG9iZVNvZnR3YXJlLkF0bGFzNDAuQXRsYXNDb21tb24uTnVtYmVyU2VxdWVuY2VDb25kaXRpb24CAAAAAQ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gAAAAEq/v//Ov////////8ABtcBAAAGU3RyaW5nBtgBAAAESXRlbQnZAQAAASb+//84////AgAAAAUl/v//OUdsb2JlU29mdHdhcmUuQXRsYXM0MC5BdGxhc0NvbW1vbi5OdW1iZXJTZXF1ZW5jZUNvbmRpdGlvbgEAAAAHdmFsdWVfXwAIAgAAAAEAAAAAAAbcAQAAFlRhYmxlLkN1c3RJbnZvaWNlVHJhbnMJ3QAAAAkIAAAACv////8J3AEAAAoJ3QAAAAoKCgkIAAAACeIBAAAJCAAAAAFpAQAAZgEAAAEc/v//Ov////////8ABuUBAAAGU3RyaW5nBuYBAAALU2FsZXMgb3JkZXIJ5wEAAAEY/v//OP///wIAAAABF/7//yX+//8BAAAAAAAG6gEAABZUYWJsZS5DdXN0SW52b2ljZVRyYW5zCfkAAAAJCAAAAAr/////CeoBAAAKCfkAAAAKCgoJCAAAAAnwAQAACQgAAAABbAEAAGYBAAABDv7//zr/////////AAbzAQAABlN0cmluZwb0AQAABkxvdCBJRAn1AQAAAQr+//84////AgAAAAEJ/v//Jf7//wEAAAAAAAb4AQAAFlRhYmxlLkN1c3RJbnZvaWNlVHJhbnMJBwEAAAkIAAAACv////8J+AEAAAoJBwEAAAoKCgkIAAAACf4BAAAJCAAAAAFvAQAAZgEAAAEA/v//Ov////////8ABgECAAAERGF0ZQYCAgAABERhdGUJAwIAAAH8/f//OP///wIAAAAB+/3//yX+//8BAAAAAAAGBgIAABZUYWJsZS5DdXN0SW52b2ljZVRyYW5zCRUBAAAJCAAAAAr/////CQYCAAAKCRUBAAAKCgoJCAAAAAkMAgAACQgAAAABcgEAAGYBAAAB8v3//zr/////////AAYPAgAABFJlYWwGEAIAAAhRdWFudGl0eQkDAgAAAe79//84////AgAAAAHt/f//Jf7//wEAAAAAAAkGAgAACSMBAAAJCAAAAAr/////CQYCAAAKCSMBAAAKCgoJCAAAAAkaAgAACQgAAAABdQEAAGYBAAAB5P3//zr/////////AAYdAgAABlN0cmluZwYeAgAABFVuaXQJAwIAAAHg/f//OP///wIAAAAB3/3//yX+//8BAAAAAAAJBgIAAAkxAQAACQgAAAAK/////wkGAgAACgkxAQAACgoKCQgAAAAJKAIAAAkIAAAAAXgBAABmAQAAAdb9//86/////////wAGKwIAAARSZWFsBiwCAAAaQW1vdW50IGluIGRlZmF1bHQgY3VycmVuY3kJLQIAAAHS/f//OP///wIAAAAB0f3//yX+//8BAAAAAAAGMAIAABZUYWJsZS5DdXN0SW52b2ljZVRyYW5zCT8BAAAJCAAAAAr/////CTACAAAKCT8BAAAKCgoJCAAAAAk2AgAACQgAAAAFewEAADJHbG9iZVNvZnR3YXJlLkF0bGFzNDAuQXRsYXNDb21tb24uVHlwZS5GaWVsZFN0cmluZw4AAAA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BAQECAAEBAQEBAQEDAQj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BjgCAAAWVGFibGUuQ3VzdEludm9pY2VUcmFucwY5AgAAC0ludm9pY2VEYXRlCQgAAAAGOwIAADIwMS4wMS4yMDIwIC4uIDMxLjEyLjIwMjAsIDAxLjAxLjIwMjEgLi4gMzEuMTIuMjAyMf////8JOAIAAAoJOQIAAAoKCgkIAAAACT8CAAAJCAAAAAF+AQAAewEAAAk4AgAABkICAAAGSXRlbUlkCQgAAAAGRAIAAAEq/////wk4AgAACglCAgAACgoKCQgAAAAJSAIAAAkIAAAAAYEBAAB7AQAACTgCAAAGSwIAAAxEaW1lbnNpb25bN10JCAAAAAZNAgAAB0FTUEhBTFT/////CTgCAAAKCUsCAAAKCgoJCAAAAAlRAgAACQgAAAABiAEAABIAAAAHiQEAAAABAAAAAQ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rf3//5z+//8GVAIAAENUYWJsZS5DdXN0SW52b2ljZVRyYW5zLkludm9pY2VJZH5UYWJsZS5DdXN0SW52b2ljZUpvdXIuT3JkZXJBY2NvdW50CVUCAAAHjAEAAAABAAAAAQAAAAO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Bqv3//9T///8JMwAAAAk0AAAAAY0BAACHAAAAAY4BAAASAAAAB48BAAAAAQAAAAE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af9//+c/v//BloCAABYVGFibGUuQ3VzdEludm9pY2VUcmFucy5JbnZvaWNlSWR+VGFibGUuQ3VzdEludm9pY2VKb3VyLk9yZGVyQWNjb3VudH5UYWJsZS5DdXN0VGFibGUuTmFtZQlbAgAAB5EBAAAAAQAAAAEAAAAD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Gk/f//h/7//wZdAgAAXVRhYmxlLkN1c3RJbnZvaWNlVHJhbnMuSW52b2ljZUlkflRhYmxlLkN1c3RJbnZvaWNlSm91ci5PcmRlckFjY291bnR+VGFibGUuQ3VzdFRhYmxlLkN1c3RHcm91cAleAgAAAZMBAACHAAAAB5UBAAAAAQAAAAE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aH9//+c/v//BmACAAA4VGFibGUuQ3VzdEludm9pY2VUcmFucy5JdGVtSWR+VGFibGUuSW52ZW50VGFibGUuSXRlbU5hbWUJYQIAAAeXAQAAAAEAAAABAAAAA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Bnv3//4f+//8GYwIAADtUYWJsZS5DdXN0SW52b2ljZVRyYW5zLkl0ZW1JZH5UYWJsZS5JbnZlbnRUYWJsZS5JdGVtR3JvdXBJZAlkAgAAB5oBAAAAAQAAAAQAAAAEN0dsb2JlU29mdHdhcmUuQXRsYXM0MC5BdGxhc0NvbW1vbi5UeXBlLkZpZWxkT3V0cHV0RmllbGQCAAAACVUCAAANAwSbAQAAzQFTeXN0ZW0uQ29sbGVjdGlvbnMuR2VuZXJpYy5FbnVtRXF1YWxpdHlDb21wYXJlcmAxW1tHbG9iZVNvZnR3YXJlLkF0bGFzNDAuQXRsYXNDb21tb24uQ29sdW1uQXR0cmlidXRlcywgR2xvYmVTb2Z0d2FyZS5BdGxhczQwLkF0bGFzQ29tbW9uLCBWZXJzaW9uPTQuMC4wLjAsIEN1bHR1cmU9bmV1dHJhbCwgUHVibGljS2V5VG9rZW49YWUyMWVjMzU3NWQxMjk5Zl1dAAAAAAec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mv3//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A2tleQV2YWx1ZQQBMkdsb2JlU29mdHdhcmUuQXRsYXM0MC5BdGxhc0NvbW1vbi5Db2x1bW5BdHRyaWJ1dGVzAgAAAAWZ/f//Mkdsb2JlU29mdHdhcmUuQXRsYXM0MC5BdGxhc0NvbW1vbi5Db2x1bW5BdHRyaWJ1dGVzAQAAAAd2YWx1ZV9fAAgCAAAACQAAAAkIAAAAAZf9//+a/f//AZb9//+Z/f//CwAAAAZrAgAAATABlP3//5r9//8Bk/3//5n9//8EAAAABm4CAAAHR2VuZXJhbAGR/f//mv3//wGQ/f//mf3//wIAAAAGcQIAAAExAY79//+a/f//AY39//+Z/f//AAAAAAZ0AgAABTE0LjU3AYv9//+a/f//AYr9//+Z/f//EAAAAAZ3AgAABE5vbmUHng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SI/f//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CAAAAA2tleQV2YWx1ZQEBBnkCAAAIRm9udEJvbGQGegIAAAVGYWxzZQGF/f//iP3//wZ8AgAACkZvbnRJdGFsaWMJegIAAAGC/f//iP3//wZ/AgAADUZvbnRVbmRlcmxpbmUGgAIAAAUtNDE0MgF//f//iP3//waCAgAACEZvbnROYW1lBoMCAAAHQ2FsaWJyaQF8/f//iP3//waFAgAACUZvbnRDb2xvcgaGAgAAATABef3//4j9//8GiAIAAAhGb250U2l6ZQaJAgAAAjExAXb9//+I/f//BosCAAAJRm9udFN0eWxlBowCAAAHUmVndWxhcgefAQAAAAEAAAAEAAAABDdHbG9iZVNvZnR3YXJlLkF0bGFzNDAuQXRsYXNDb21tb24uVHlwZS5GaWVsZE91dHB1dEZpZWxkAgAAAAlbAgAADQMBoAEAAJsBAAAHoQEAAAABAAAABw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XL9//+a/f//AXH9//+Z/f//JAAAAAnQAAAAAW/9//+a/f//AW79//+Z/f//CQAAAAkIAAAAAWz9//+a/f//AWv9//+Z/f//CwAAAAaWAgAAATEBaf3//5r9//8BaP3//5n9//8EAAAABpkCAAAHR2VuZXJhbAFm/f//mv3//wFl/f//mf3//wIAAAAGnAIAAAExAWP9//+a/f//AWL9//+Z/f//AAAAAAafAgAABTIxLjcxAWD9//+a/f//AV/9//+Z/f//EAAAAAl3AgAAB6M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Xf3//4j9//8JeQIAAAl6AgAAAVr9//+I/f//CXwCAAAJegIAAAFX/f//iP3//wl/AgAABqsCAAAFLTQxNDIBVP3//4j9//8JggIAAAauAgAAB0NhbGlicmkBUf3//4j9//8JhQIAAAaxAgAAATABTv3//4j9//8JiAIAAAa0AgAAAjExAUv9//+I/f//CYsCAAAGtwIAAAdSZWd1bGFyB6QBAAAAAQAAAAQAAAAEN0dsb2JlU29mdHdhcmUuQXRsYXM0MC5BdGxhc0NvbW1vbi5UeXBlLkZpZWxkT3V0cHV0RmllbGQCAAAACWYBAAANAwGlAQAAmwEAAAem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R/3//5r9//8BRv3//5n9//8QAAAACXcCAAABRP3//5r9//8BQ/3//5n9//8JAAAACQgAAAABQf3//5r9//8BQP3//5n9//8LAAAABsECAAABMgE+/f//mv3//wE9/f//mf3//wQAAAAGxAIAAAdHZW5lcmFsATv9//+a/f//ATr9//+Z/f//AgAAAAbHAgAAATEBOP3//5r9//8BN/3//5n9//8AAAAABsoCAAAFMTYuNTcBpwEAABIAAAAHqA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1/f//iP3//wbMAgAACEZvbnRCb2xkCXoCAAABMv3//4j9//8GzwIAAApGb250SXRhbGljCXoCAAABL/3//4j9//8G0gIAAA1Gb250VW5kZXJsaW5lBtMCAAAFLTQxNDIBLP3//4j9//8G1QIAAAhGb250TmFtZQbWAgAAB0NhbGlicmkBKf3//4j9//8G2AIAAAlGb250Q29sb3IG2QIAAAEwASb9//+I/f//BtsCAAAIRm9udFNpemUG3AIAAAIxMQEj/f//iP3//wbeAgAACUZvbnRTdHlsZQbfAgAAB1JlZ3VsYXIHqQEAAAABAAAABAAAAAQ3R2xvYmVTb2Z0d2FyZS5BdGxhczQwLkF0bGFzQ29tbW9uLlR5cGUuRmllbGRPdXRwdXRGaWVsZAIAAAAJYQIAAA0DB6s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f/f//mv3//wEe/f//mf3//wkAAAAJCAAAAAEc/f//mv3//wEb/f//mf3//wsAAAAG5gIAAAEzARn9//+a/f//ARj9//+Z/f//BAAAAAbpAgAAB0dlbmVyYWwBFv3//5r9//8BFf3//5n9//8CAAAABuwCAAABMQET/f//mv3//wES/f//mf3//wAAAAAG7wIAAAU0MS4xNAEQ/f//mv3//wEP/f//mf3//xAAAAAJdwIAAAet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Q39//+I/f//CXkCAAAJegIAAAEK/f//iP3//wl8AgAACXoCAAABB/3//4j9//8JfwIAAAb7AgAABS00MTQyAQT9//+I/f//CYICAAAG/gIAAAdDYWxpYnJpAQH9//+I/f//CYUCAAAGAQMAAAEwAf78//+I/f//CYgCAAAGBAMAAAIxMQH7/P//iP3//wmLAgAABgcDAAAHUmVndWxhcgeuAQAAAAEAAAAEAAAABDdHbG9iZVNvZnR3YXJlLkF0bGFzNDAuQXRsYXNDb21tb24uVHlwZS5GaWVsZE91dHB1dEZpZWxkAgAAAAlpAQAADQMBrwEAAJsBAAAHsAE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ff8//+a/f//Afb8//+Z/f//CQAAAAkIAAAAAfT8//+a/f//AfP8//+Z/f//CwAAAAYOAwAAATQB8fz//5r9//8B8Pz//5n9//8EAAAABhEDAAAHR2VuZXJhbAHu/P//mv3//wHt/P//mf3//wIAAAAGFAMAAAExAev8//+a/f//Aer8//+Z/f//AAAAAAYXAwAABTEyLjQzAbEBAAASAAAAB7I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6Pz//4j9//8GGQMAAAhGb250Qm9sZAl6AgAAAeX8//+I/f//BhwDAAAKRm9udEl0YWxpYwl6AgAAAeL8//+I/f//Bh8DAAANRm9udFVuZGVybGluZQYgAwAABS00MTQyAd/8//+I/f//BiIDAAAIRm9udE5hbWUGIwMAAAdDYWxpYnJpAdz8//+I/f//BiUDAAAJRm9udENvbG9yBiYDAAABMAHZ/P//iP3//wYoAwAACEZvbnRTaXplBikDAAACMTEB1vz//4j9//8GKwMAAAlGb250U3R5bGUGLAMAAAdSZWd1bGFyB7MBAAAAAQAAAAQAAAAEN0dsb2JlU29mdHdhcmUuQXRsYXM0MC5BdGxhc0NvbW1vbi5UeXBlLkZpZWxkT3V0cHV0RmllbGQCAAAACWwBAAANAwG0AQAAmwEAAAe1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0vz//5r9//8B0fz//5n9//8JAAAACQgAAAABz/z//5r9//8Bzvz//5n9//8LAAAABjMDAAABNQHM/P//mv3//wHL/P//mf3//xAAAAAJdwIAAAHJ/P//mv3//wHI/P//mf3//wQAAAAGOQMAAAdHZW5lcmFsAcb8//+a/f//AcX8//+Z/f//AgAAAAY8AwAAATEBw/z//5r9//8Bwvz//5n9//8AAAAABj8DAAAEOS40MwG2AQAAEgAAAAe3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cD8//+I/f//BkEDAAAIRm9udEJvbGQJegIAAAG9/P//iP3//wZEAwAACkZvbnRJdGFsaWMJegIAAAG6/P//iP3//wZHAwAADUZvbnRVbmRlcmxpbmUGSAMAAAUtNDE0MgG3/P//iP3//wZKAwAACEZvbnROYW1lBksDAAAHQ2FsaWJyaQG0/P//iP3//wZNAwAACUZvbnRDb2xvcgZOAwAAATABsfz//4j9//8GUAMAAAhGb250U2l6ZQZRAwAAAjExAa78//+I/f//BlMDAAAJRm9udFN0eWxlBlQDAAAHUmVndWxhcge4AQAAAAEAAAAEAAAABDdHbG9iZVNvZnR3YXJlLkF0bGFzNDAuQXRsYXNDb21tb24uVHlwZS5GaWVsZE91dHB1dEZpZWxkAgAAAAlvAQAADQMBuQEAAJsBAAAHugE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ar8//+a/f//Aan8//+Z/f//CQAAAAkIAAAAAaf8//+a/f//Aab8//+Z/f//CwAAAAZbAwAAATYBpPz//5r9//8Bo/z//5n9//8EAAAABl4DAAAIbS9kL3l5eXkBofz//5r9//8BoPz//5n9//8CAAAABmEDAAABMQGe/P//mv3//wGd/P//mf3//wAAAAAGZAMAAAQ5LjQzAbsBAAASAAAAB7w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m/z//4j9//8GZgMAAAhGb250Qm9sZAl6AgAAAZj8//+I/f//BmkDAAAKRm9udEl0YWxpYwl6AgAAAZX8//+I/f//BmwDAAANRm9udFVuZGVybGluZQZtAwAABS00MTQyAZL8//+I/f//Bm8DAAAIRm9udE5hbWUGcAMAAAdDYWxpYnJpAY/8//+I/f//BnIDAAAJRm9udENvbG9yBnMDAAABMAGM/P//iP3//wZ1AwAACEZvbnRTaXplBnYDAAACMTEBifz//4j9//8GeAMAAAlGb250U3R5bGUGeQMAAAdSZWd1bGFyB70BAAAAAQAAAAQAAAAEN0dsb2JlU29mdHdhcmUuQXRsYXM0MC5BdGxhc0NvbW1vbi5UeXBlLkZpZWxkT3V0cHV0RmllbGQCAAAACXIBAAANAwe/AQ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hfz//5r9//8BhPz//5n9//8JAAAACQgAAAABgvz//5r9//8Bgfz//5n9//8LAAAABoADAAABNwF//P//mv3//wF+/P//mf3//wQAAAAGgwMAAAdHZW5lcmFsAXz8//+a/f//AXv8//+Z/f//AgAAAAaGAwAAATEBefz//5r9//8BePz//5n9//8AAAAABokDAAAFMTAuMjkHwQ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2/P//iP3//wlmAwAACXoCAAABc/z//4j9//8JaQMAAAl6AgAAAXD8//+I/f//CWwDAAAGkgMAAAUtNDE0MgFt/P//iP3//wlvAwAABpUDAAAHQ2FsaWJyaQFq/P//iP3//wlyAwAABpgDAAABMAFn/P//iP3//wl1AwAABpsDAAACMTEBZPz//4j9//8JeAMAAAaeAwAAB1JlZ3VsYXIHwgEAAAABAAAABAAAAAQ3R2xvYmVTb2Z0d2FyZS5BdGxhczQwLkF0bGFzQ29tbW9uLlR5cGUuRmllbGRPdXRwdXRGaWVsZAIAAAAJdQEAAA0DB8QB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g/P//mv3//wFf/P//mf3//wkAAAAJCAAAAAFd/P//mv3//wFc/P//mf3//wsAAAAGpQMAAAE4AVr8//+a/f//AVn8//+Z/f//BAAAAAaoAwAAB0dlbmVyYWwBV/z//5r9//8BVvz//5n9//8CAAAABqsDAAABMQFU/P//mv3//wFT/P//mf3//wAAAAAGrgMAAAQ2LjQzB8Y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Ufz//4j9//8JZgMAAAl6AgAAAU78//+I/f//CWkDAAAJegIAAAFL/P//iP3//wlsAwAABrcDAAAFLTQxNDIBSPz//4j9//8JbwMAAAa6AwAAB0NhbGlicmkBRfz//4j9//8JcgMAAAa9AwAAATABQvz//4j9//8JdQMAAAbAAwAAAjExAT/8//+I/f//CXgDAAAGwwMAAAdSZWd1bGFyB8cBAAAAAQAAAAQAAAAEN0dsb2JlU29mdHdhcmUuQXRsYXM0MC5BdGxhc0NvbW1vbi5UeXBlLkZpZWxkT3V0cHV0RmllbGQCAAAACXgBAAANAwHIAQAAmwEAAAfJAQ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O/z//5r9//8BOvz//5n9//8JAAAACQgAAAABOPz//5r9//8BN/z//5n9//8LAAAABsoDAAABOQE1/P//mv3//wE0/P//mf3//wQAAAAGzQMAAD1fLSogIywjIzAuMDAgX+KCrF8tOy0qICMsIyMwLjAwIF/igqxfLTtfLSogIi0iPz8gX+KCrF8tO18tQF8tATL8//+a/f//ATH8//+Z/f//AgAAAAbQAwAAATEBL/z//5r9//8BLvz//5n9//8AAAAABtMDAAAFMTkuNzEBygEAABIAAAAHyw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s/P//iP3//wbVAwAACEZvbnRCb2xkCXoCAAABKfz//4j9//8G2AMAAApGb250SXRhbGljCXoCAAABJvz//4j9//8G2wMAAA1Gb250VW5kZXJsaW5lBtwDAAAFLTQxNDIBI/z//4j9//8G3gMAAAhGb250TmFtZQbfAwAAB0NhbGlicmkBIPz//4j9//8G4QMAAAlGb250Q29sb3IG4gMAAAEwAR38//+I/f//BuQDAAAIRm9udFNpemUG5QMAAAIxMQEa/P//iP3//wbnAwAACUZvbnRTdHlsZQboAwAAB1JlZ3VsYXIHzAEAAAABAAAAAAAAAAQ3R2xvYmVTb2Z0d2FyZS5BdGxhczQwLkF0bGFzQ29tbW9uLlR5cGUuRmllbGRPdXRwdXRGaWVsZAIAAAAHzg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Rf8//+a/f//ARb8//+Z/f//JAAAAAlOAQAAART8//+a/f//ARP8//+Z/f//CwAAAAbuAwAAAjEwARH8//+a/f//ARD8//+Z/f//BAAAAAbxAwAAPV8tKiAjLCMjMC4wMCBf4oKsXy07LSogIywjIzAuMDAgX+KCrF8tO18tKiAiLSI/PyBf4oKsXy07Xy1AXy0BDvz//5r9//8BDfz//5n9//8CAAAABvQDAAABMQEL/P//mv3//wEK/P//mf3//wAAAAAG9wMAAAIxNAEI/P//mv3//wEH/P//mf3//wMAAAAG+gMAAAczMjczLjQzB9A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Bfz//4j9//8J1QMAAAl6AgAAAQL8//+I/f//CdgDAAAJegIAAAH/+///iP3//wnbAwAABgMEAAAFLTQxNDIB/Pv//4j9//8J3gMAAAYGBAAAB0NhbGlicmkB+fv//4j9//8J4QMAAAYJBAAAATAB9vv//4j9//8J5AMAAAYMBAAAAjExAfP7//+I/f//CecDAAAGDwQAAAdSZWd1bGFyB9M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w+///mv3//wHv+///mf3//yQAAAAJWwEAAAHt+///mv3//wHs+///mf3//wsAAAAGFQQAAAIxMQHq+///mv3//wHp+///mf3//wQAAAAGGAQAAD1fLSogIywjIzAuMDAgX+KCrF8tOy0qICMsIyMwLjAwIF/igqxfLTtfLSogIi0iPz8gX+KCrF8tO18tQF8tAef7//+a/f//Aeb7//+Z/f//AgAAAAYbBAAAATEB5Pv//5r9//8B4/v//5n9//8AAAAABh4EAAAFMTUuNzEB4fv//5r9//8B4Pv//5n9//8DAAAABiEEAAAxPVtAW0Ftb3VudCBpbiBkZWZhdWx0IGN1cnJlbmN5XV0tW0BbQ29zdCBBbW91bnRdXQfV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d77//+I/f//CdUDAAAJegIAAAHb+///iP3//wnYAwAACXoCAAAB2Pv//4j9//8J2wMAAAYqBAAABS00MTQyAdX7//+I/f//Cd4DAAAGLQQAAAdDYWxpYnJpAdL7//+I/f//CeEDAAAGMAQAAAEwAc/7//+I/f//CeQDAAAGMwQAAAIxMQHM+///iP3//wnnAwAABjYEAAAHUmVndWxhcgHZAQAADgAAAEAAAAAGNwQAABBDdXN0SW52b2ljZVRyYW5zBjgEAAAWQ3VzdG9tZXIgaW52b2ljZSBsaW5lcwkIAAAACQgAAAAJCAAAAAHG+///4P///wAAAAAJOwQAAAk8BAAAAcP7///d////VLqlJ0+9UUOr7OncCh1ApQkIAAAACQgAAAAJPwQAAAncAQAACgoKCgoBAAAAAb/7///Z////AAAAAAG++///2P///wAAAAAACUMEAAAE4g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12HAAAACacBAAADAAAACUUEAAAB5wEAAA4AAAD/////BkYEAAAQQ3VzdEludm9pY2VUcmFucwZHBAAAFkN1c3RvbWVyIGludm9pY2UgbGluZXMJCAAAAAkIAAAACQgAAAABt/v//+D///8AAAAACUoEAAAJSwQAAAG0+///3f///7bvvohVUsVAnqO+EbcLndMJCAAAAAkIAAAACU4EAAAJ6gEAAAoKCgoKAQAAAAGw+///2f///wAAAAABr/v//9j///8AAAAAAAlSBAAABPA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NgAAAAmxAQAAAwAAAAlUBAAAAfUBAAAOAAAA/////wZVBAAAEEN1c3RJbnZvaWNlVHJhbnMGVgQAABZDdXN0b21lciBpbnZvaWNlIGxpbmVzCQgAAAAJCAAAAAkIAAAAAaj7///g////AAAAAAlZBAAACVoEAAABpfv//93////szFr+8IjDQqbU6shLUWAeCQgAAAAJCAAAAAldBAAACfgBAAAKCgoKCgEAAAABofv//9n///8AAAAAAaD7///Y////AAAAAAAJYQQAAAT+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VQAAAAJtgEAAAMAAAAJYwQAAAEDAgAADgAAAP////8GZAQAABBDdXN0SW52b2ljZVRyYW5zBmUEAAAWQ3VzdG9tZXIgaW52b2ljZSBsaW5lcwkIAAAACQgAAAAJCAAAAAGZ+///4P///wAAAAAJaAQAAAlpBAAAAZb7///d////zkuJjlCgbUKY8rOKhZaqLQkIAAAACQgAAAAJbAQAAAkGAgAACgoKCgoBAAAAAZL7///Z////AAAAAAGR+///2P///wAAAAAACXAEAAAEDA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wAAAACbsBAAADAAAACXIEAAAEGg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wAAAACbsBAAADAAAACXQEAAAEKA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wAAAACbsBAAADAAAACXYEAAABLQIAAA4AAAD/////BncEAAAQQ3VzdEludm9pY2VUcmFucwZ4BAAAFkN1c3RvbWVyIGludm9pY2UgbGluZXMJCAAAAAkIAAAACQgAAAABhvv//+D///8AAAAACXsEAAAJfAQAAAGD+///3f///0mLuBiVH81Gk/aPv1TiUcQJCAAAAAkIAAAACX8EAAAJMAIAAAoKCgoKAQAAAAF/+///2f///wAAAAABfvv//9j///8AAAAAAAmDBAAABDYC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PAAAAAnKAQAAAwAAAAmFBAAABD8C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JwAAAAkSAAAAAwAAAAmHBAAABEgC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JwAAAAkSAAAAAwAAAAmJBAAABFEC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JwAAAAkSAAAAAwAAAAmLBAAAAVUCAABmAQAAAXT7//86/////////wAGjQQAAAZTdHJpbmcGjgQAABBDdXN0b21lciBhY2NvdW50CTEAAAABcPv//zj///8CAAAAAW/7//8l/v//AQAAAAAACTAAAAAJwQAAAAkIAAAACv////8JMAAAAAoJwQAAAAaXBAAACUludm9pY2VJZAaYBAAAEEN1c3RJbnZvaWNlVHJhbnMKCQgAAAAJmgQAAAkIAAAAAVsCAABmAQAAAWT7//86/////////wAGnQQAAAZTdHJpbmcGngQAAAROYW1lCTQAAAABYPv//zj///8CAAAAAV/7//8l/v//AQAAAAAACTMAAAAJzwAAAAkIAAAACv////8JMwAAAAoJzwAAAAanBAAADE9yZGVyQWNjb3VudAaoBAAAD0N1c3RJbnZvaWNlSm91cgoJCAAAAAmqBAAACQgAAAABXgIAAHsBAAAJMwAAAAatBAAACUN1c3RHcm91cAkIAAAABq8EAAANIUlDLUFYLCFJQy1CU/////8JMwAAAAoJrQQAAAayBAAADE9yZGVyQWNjb3VudAoKCQgAAAAJtAQAAAkIAAAAAWECAABmAQAAAUr7//86/////////wAGtwQAAAZTdHJpbmcGuAQAAAlJdGVtIG5hbWUJNwAAAAFG+///OP///wIAAAABRfv//yX+//8BAAAAAAAJNgAAAAnrAAAACQgAAAAK/////wk2AAAACgnrAAAABsEEAAAGSXRlbUlkBsIEAAAQQ3VzdEludm9pY2VUcmFucwoJCAAAAAnEBAAACQgAAAABZAIAAHsBAAAJNgAAAAbHBAAAC0l0ZW1Hcm91cElkCQgAAAAGyQQAAAEq/////wk2AAAACgnHBAAABswEAAAGSXRlbUlkCgoJCAAAAAnOBAAACQgAAAABOwQAACEAAAAGAAAACdAEAAAHAAAACdEEAAABPAQAACIAAAAFAAAACdAEAAAHAAAACdMEAAAEPwQ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dAEAAAAAAAAAUMEAAApAAAAAAAAAAnVBAAAAAAAAAdFBA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Sr7//+I/f//BtcEAAAISGVscFRleHQG2AQAAA5JZGVudGlmeSBpdGVtLgEn+///iP3//wbaBAAABUxhYmVsCdgBAAABJPv//4j9//8G3QQAAARUeXBlCdcBAAABSgQAACEAAAAEAAAACd8EAAAHAAAACeAEAAABSwQAACIAAAABAAAACcoBAAADAAAACeIEAAABTgQAAAQAAAACAAAACd8EAAADAAAACeQEAAABUgQAACkAAAAAAAAACeUEAAAAAAAAB1QE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Gvv//4j9//8G5wQAAAVMYWJlbAnmAQAAARf7//+I/f//BuoEAAAEVHlwZQnlAQAAAVkEAAAhAAAAAwAAAAnsBAAAAwAAAAntBAAAAVoEAAAiAAAAAQAAAAmOAQAAAwAAAAnvBAAAAV0EAAAEAAAAAgAAAAnsBAAAAwAAAAnxBAAAAWEEAAApAAAAAAAAAAnyBAAAAAAAAAdjBA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Q37//+I/f//BvQEAAAFTGFiZWwJ9AEAAAEK+///iP3//wb3BAAABFR5cGUJ8wEAAAFoBAAAIQAAAAcAAAAJ+QQAAAcAAAAJ+gQAAAFpBAAAIgAAAAEAAAAJsQEAAAMAAAAJ/AQAAAFsBAAABAAAAAIAAAAJ+QQAAAMAAAAJ/gQAAAFwBAAAKQAAAAAAAAAJ/wQAAAAAAAAHcgQ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A+///iP3//wYBBQAABUxhYmVsCQICAAAB/fr//4j9//8GBAUAAARUeXBlCQECAAAHdAQ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6+v//iP3//wkBBQAACRACAAAB9/r//4j9//8JBAUAAAkPAgAAB3YE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9Pr//4j9//8JAQUAAAkeAgAAAfH6//+I/f//CQQFAAAJHQIAAAF7BAAAIQAAAAMAAAAJEgUAAAMAAAAJEwUAAAF8BAAAIgAAAAEAAAAJygEAAAMAAAAJFQUAAAF/BAAABAAAAAIAAAAJEgUAAAMAAAAJFwUAAAGDBAAAKQAAAAAAAAAJGAUAAAAAAAAHhQQ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n+v//iP3//wYaBQAABUxhYmVsCSwCAAAB5Pr//4j9//8GHQUAAARUeXBlCSsCAAAHhwQ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h+v//iP3//wYgBQAABFR5cGUJAQIAAAHe+v//iP3//wYjBQAABUxhYmVsCQICAAAB2/r//4j9//8GJgUAAAhSZWZlcnNUbwYnBQAACz1EYXRlUGVyaW9kB4kE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2Pr//4j9//8JIAUAAAnXAQAAAdX6//+I/f//CSMFAAAJ2AEAAAHS+v//iP3//wkmBQAABjAFAAAHPUl0ZW1JZAeLBA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c/6//+I/f//CSAFAAAGMwUAAAZTdHJpbmcBzPr//4j9//8JIwUAAAY2BQAAFU1ham9yIE1hcmtldGluZyBHcm91cAHJ+v//iP3//wkmBQAABjkFAAAEPU1NRwSaB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WwAAAAJiAEAAAMAAAAJOwUAAASqB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WYAAAAJjgEAAAMAAAAJPQUAAAS0B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ScAAAAJEgAAAAMAAAAJPwUAAATEB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WwAAAAJiAEAAAMAAAAJQQUAAATOB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ScAAAAJEgAAAAMAAAAJQwUAAAHQBAAAEgAAAAfRBAAAAAEAAAAG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G8+v//nP7//wZFBQAAIFRhYmxlLkN1c3RJbnZvaWNlVHJhbnMuSW52b2ljZUlkCUYFAAABufr//5z+//8GSAUAAB1UYWJsZS5DdXN0SW52b2ljZVRyYW5zLkl0ZW1JZAlmAQAAAbb6//+c/v//BksFAAAaVGFibGUuQ3VzdEludm9pY2VUcmFucy5RdHkJTAUAAAGz+v//nP7//wZOBQAAIVRhYmxlLkN1c3RJbnZvaWNlVHJhbnMuU2FsZXNQcmljZQlPBQAAAbD6//+c/v//BlEFAAAhVGFibGUuQ3VzdEludm9pY2VUcmFucy5MaW5lQW1vdW50CVIFAAABrfr//5z+//8GVAUAACNUYWJsZS5DdXN0SW52b2ljZVRyYW5zLkN1cnJlbmN5Q29kZQlVBQAAB9MEAAAAAQAAAAUAAAAD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Gq+v//h/7//wZXBQAAIVRhYmxlLkN1c3RJbnZvaWNlVHJhbnMuRGF0YUFyZWFJZAlYBQAAAaf6//+H/v//BloFAAAjVGFibGUuQ3VzdEludm9pY2VUcmFucy5DdXJyZW5jeUNvZGUJWwUAAAGk+v//h/7//wZdBQAAIlRhYmxlLkN1c3RJbnZvaWNlVHJhbnMuSW52b2ljZURhdGUJXgUAAAGh+v//h/7//wZgBQAAIFRhYmxlLkN1c3RJbnZvaWNlVHJhbnMuSW52b2ljZUlkCWEFAAABnvr//4f+//8GYwUAAB1UYWJsZS5DdXN0SW52b2ljZVRyYW5zLkl0ZW1JZAlkBQAAAdUEAACHAAAAAd8EAAASAAAAB+AEAAAAAQAAAAQ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Zv6//+c/v//BmYFAAAdVGFibGUuQ3VzdEludm9pY2VUcmFucy5JdGVtSWQJZgEAAAGY+v//nP7//wZpBQAAJFRhYmxlLkN1c3RJbnZvaWNlVHJhbnMuSW52ZW50VHJhbnNJZAlsAQAAAZX6//+c/v//BmwFAAAkVGFibGUuQ3VzdEludm9pY2VUcmFucy5MaW5lQW1vdW50TVNUCXgBAAABkvr//5z+//8GbwUAAB5UYWJsZS5DdXN0SW52b2ljZVRyYW5zLlNhbGVzSWQJaQEAAAfiBAAAAAEAAAABAAAAA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Bj/r//4f+//8GcgUAACJUYWJsZS5DdXN0SW52b2ljZVRyYW5zLkludm9pY2VEYXRlCXMFAAAH5AQAAAABAAAAAgAAAAO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BjPr//9T///8JMAAAAAkxAAAAAYn6///U////CTYAAAAJNwAAAAHlBAAAhwAAAAHsBAAAEgAAAAftBAAAAAEAAAAD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GG+v//nP7//wZ7BQAAHVRhYmxlLkN1c3RJbnZvaWNlVHJhbnMuSXRlbUlkCWYBAAABg/r//5z+//8GfgUAABpUYWJsZS5DdXN0SW52b2ljZVRyYW5zLlF0eQlMBQAAAYD6//+c/v//BoEFAAAkVGFibGUuQ3VzdEludm9pY2VUcmFucy5JbnZlbnRUcmFuc0lkCWwBAAAH7wQAAAABAAAAAQ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X36//+H/v//BoQFAAAiVGFibGUuQ3VzdEludm9pY2VUcmFucy5JbnZvaWNlRGF0ZQlzBQAAB/EEAAAAAQAAAAIAAAAD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Xr6///U////CTAAAAAJMQAAAAF3+v//1P///wk2AAAACTcAAAAB8gQAAIcAAAAB+QQAABIAAAAH+gQAAAABAAAABw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dPr//5z+//8GjQUAAB1UYWJsZS5DdXN0SW52b2ljZVRyYW5zLkl0ZW1JZAlmAQAAAXH6//+c/v//BpAFAAAeVGFibGUuQ3VzdEludm9pY2VUcmFucy5TYWxlc0lkCWkBAAABbvr//5z+//8GkwUAACRUYWJsZS5DdXN0SW52b2ljZVRyYW5zLkludmVudFRyYW5zSWQJbAEAAAFr+v//nP7//waWBQAAJFRhYmxlLkN1c3RJbnZvaWNlVHJhbnMuTGluZUFtb3VudE1TVAl4AQAAAWj6//+c/v//BpkFAAAiVGFibGUuQ3VzdEludm9pY2VUcmFucy5JbnZvaWNlRGF0ZQlvAQAAAWX6//+c/v//BpwFAAAaVGFibGUuQ3VzdEludm9pY2VUcmFucy5RdHkJcgEAAAFi+v//nP7//wafBQAAIFRhYmxlLkN1c3RJbnZvaWNlVHJhbnMuU2FsZXNVbml0CXUBAAAH/AQAAAABAAAAAQ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V/6//+H/v//BqIFAAAiVGFibGUuQ3VzdEludm9pY2VUcmFucy5JbnZvaWNlRGF0ZQlzBQAAB/4EAAAAAQAAAAIAAAAD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Vz6///U////CTAAAAAJMQAAAAFZ+v//1P///wk2AAAACTcAAAAB/wQAAIcAAAABEgUAABIAAAAHEwUAAAABAAAAAw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Vvr//5z+//8GqwUAAB1UYWJsZS5DdXN0SW52b2ljZVRyYW5zLkl0ZW1JZAlmAQAAAVP6//+c/v//Bq4FAAAkVGFibGUuQ3VzdEludm9pY2VUcmFucy5JbnZlbnRUcmFuc0lkCWwBAAABUPr//5z+//8GsQUAACRUYWJsZS5DdXN0SW52b2ljZVRyYW5zLkxpbmVBbW91bnRNU1QJeAEAAAcVBQAAAAEAAAABAAAAA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BTfr//4f+//8GtAUAACJUYWJsZS5DdXN0SW52b2ljZVRyYW5zLkludm9pY2VEYXRlCXMFAAAHFwUAAAABAAAAAgAAAAO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BSvr//9T///8JMAAAAAkxAAAAAUf6///U////CTYAAAAJNwAAAAEYBQAAhwAAAAc7BQ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UT6//+I/f//Br0FAAAFTGFiZWwJjgQAAAFB+v//iP3//wbABQAABFR5cGUJjQQAAAc9BQ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T76//+I/f//BsMFAAAFTGFiZWwJngQAAAE7+v//iP3//wbGBQAABFR5cGUJnQQAAAc/B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Tj6//+I/f//CSAFAAAGygUAAAZTdHJpbmcBNfr//4j9//8JIwUAAAbNBQAADkN1c3RvbWVyIGdyb3VwATL6//+I/f//CSYFAAAG0AUAAAo9Q3VzdEdyb3VwB0EF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L/r//4j9//8JvQUAAAm4BAAAASz6//+I/f//CcAFAAAJtwQAAAdDB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Sn6//+I/f//CSAFAAAG2QUAAAZTdHJpbmcBJvr//4j9//8JIwUAAAbcBQAACkl0ZW0gZ3JvdXABI/r//4j9//8JJgUAAAbfBQAACj1JdGVtR3JvdXABRgUAAGYBAAABIPr//zr/////////AAbhBQAABlN0cmluZwbiBQAAB0ludm9pY2UJ2QEAAAEc+v//OP///wIAAAABG/r//yX+//8BAAAAAAAJ3AEAAAbnBQAACUludm9pY2VJZAkIAAAACv////8J3AEAAAoJ5wUAAAoKCgkIAAAACewFAAAJCAAAAAFMBQAAZgEAAAES+v//Ov////////8ABu8FAAAEUmVhbAbwBQAACFF1YW50aXR5CdkBAAABDvr//zj///8CAAAAAQ36//8l/v//AQAAAAAACdwBAAAG9QUAAANRdHkJCAAAAAr/////CdwBAAAKCfUFAAAKCgoJCAAAAAn6BQAACQgAAAABTwUAAGYBAAABBPr//zr/////////AAb9BQAABFJlYWwG/gUAAApVbml0IHByaWNlCdkBAAABAPr//zj///8CAAAAAf/5//8l/v//AQAAAAAACdwBAAAGAwYAAApTYWxlc1ByaWNlCQgAAAAK/////wncAQAACgkDBgAACgoKCQgAAAAJCAYAAAkIAAAAAVIFAABmAQAAAfb5//86/////////wAGCwYAAARSZWFsBgwGAAAGQW1vdW50CdkBAAAB8vn//zj///8CAAAAAfH5//8l/v//AQAAAAAACdwBAAAGEQYAAApMaW5lQW1vdW50CQgAAAAK/////wncAQAACgkRBgAACgoKCQgAAAAJFgYAAAkIAAAAAVUFAABmAQAAAej5//86/////////wAGGQYAAAZTdHJpbmcGGgYAAAhDdXJyZW5jeQnZAQAAAeT5//84////AgAAAAHj+f//Jf7//wEAAAAAAAncAQAABh8GAAAMQ3VycmVuY3lDb2RlCQgAAAAK/////wncAQAACgkfBgAACgoKCQgAAAAJJAYAAAkIAAAAAVgFAAB7AQAACdwBAAAGJwYAAApEYXRhQXJlYUlkCQgAAAAJCAAAAP////8J3AEAAAoJJwYAAAoKCgkIAAAACSwGAAAJCAAAAAFbBQAAewEAAAncAQAABi8GAAAMQ3VycmVuY3lDb2RlCQgAAAAJCAAAAP////8J3AEAAAoJLwYAAAoKCgkIAAAACTQGAAAJCAAAAAFeBQAAewEAAAncAQAACTkCAAAJCAAAAAkIAAAA/////wncAQAACgk5AgAACgoKCQgAAAAJPAYAAAkIAAAAAWEFAAB7AQAACdwBAAAGPwYAAAlJbnZvaWNlSWQJCAAAAAkIAAAA/////wncAQAACgk/BgAACgoKCQgAAAAJRAYAAAkIAAAAAWQFAAB7AQAACdwBAAAGRwYAAAZJdGVtSWQJCAAAAAkIAAAA/////wncAQAACglHBgAACgoKCQgAAAAJTAYAAAkIAAAAAXMFAAB7AQAACdwBAAAJOQIAAAkIAAAABlEGAAAyMDEuMDEuMjAxNiAuLiAwNi4zMC4yMDE2LCAwMS4wMS4yMDE3IC4uIDA2LjMwLjIwMTf/////CdwBAAAKCTkCAAAKCgoJCAAAAAlVBgAACQgAAAAE7AU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bAAAACacBAAADAAAACVgGAAAE+gU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105AAAACacBAAADAAAACVoGAAAECAY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bAAAACacBAAADAAAACVwGAAAEFgY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bAAAACacBAAADAAAACV4GAAAEJAY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bAAAACacBAAADAAAACWAGAAABLAYAABAAAAAAAAAACacBAAAAAAAAATQGAAAQAAAAAAAAAAmnAQAAAAAAAAE8BgAAEAAAAAAAAAAJpwEAAAAAAAABRAYAABAAAAAAAAAACacBAAAAAAAAAUwGAAAQAAAAAAAAAAmnAQAAAAAAAARVB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WsAAAAJpwEAAAMAAAAJYgYAAAdYB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Z35//+I/f//CdcEAAAGZQYAAA5JbnZvaWNlIG51bWJlcgGa+f//iP3//wnaBAAACeIFAAABl/n//4j9//8J3QQAAAnhBQAAB1oG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lPn//4j9//8J1wQAAAZuBgAAKlF1YW50aXR5IHRoYXQgd2FzIGludm9pY2VkIGluIHNhbGVzIHVuaXRzLgGR+f//iP3//wnaBAAACfAFAAABjvn//4j9//8J3QQAAAnvBQAAB1wG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i/n//4j9//8J1wQAAAZ3BgAAKE92ZXJ2aWV3IG9mIHNhbGVzIHByaWNlIHNldHVwIGZvciBjb3N0cy4BiPn//4j9//8J2gQAAAn+BQAAAYX5//+I/f//Cd0EAAAJ/QUAAAdeB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YL5//+I/f//CdcEAAAGgAYAABNBbW91bnQgaW4gY3VycmVuY3kuAX/5//+I/f//CdoEAAAJDAYAAAF8+f//iP3//wndBAAACQsGAAAHYAY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5+f//iP3//wnXBAAABokGAAAWQ3VycmVudCBjdXJyZW5jeSBjb2RlLgF2+f//iP3//wnaBAAACRoGAAABc/n//4j9//8J3QQAAAkZBgAAB2IG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cPn//4j9//8J3QQAAAaSBgAABERhdGUBbfn//4j9//8J2gQAAAaVBgAABERhdGUBavn//4j9//8GlwYAAAhSZWZlcnNUbwknBQAACw==
    <Output>
      <OutputObject name="AtlasReport_1"/>
    </Output>
  </Query>
</Atlas>
</file>

<file path=customXml/item3.xml><?xml version="1.0" encoding="utf-8"?>
<Atlas>
  <Report name="AtlasReport_1">AAEAAAD/////AQAAAAAAAAAMAgAAAGBHbG9iZVNvZnR3YXJlLkF0bGFzNDAuQUlFeGNlbCwgVmVyc2lvbj00LjAuMC4wLCBDdWx0dXJlPW5ldXRyYWwsIFB1YmxpY0tleVRva2VuPWFlMjFlYzM1NzVkMTI5OWYFAQAAACRHbG9iZVNvZnR3YXJlLkF0bGFzNDAuQUlFeGNlbC5SZXBvcnQLAAAACV9yZXBvcnRObwxfbGlzdE9iamVjdHMSX2RyaWxsRG93bkNyaXRlcmlhBV9uYW1lC19kYXRhQXJlYUlkBV9udWRlGVJlcG9ydCtfZHJpbGxEb3duQ3JpdGVyaWEMUmVwb3J0K19uYW1lElJlcG9ydCtfZGF0YUFyZWFJZAxSZXBvcnQrX251ZGUVUmVwb3J0K19vdXRwdXRDb2x1bW5zAAMDAQEAAwEBAAMItQFTeXN0ZW0uQ29sbGVjdGlvbnMuR2VuZXJpYy5MaXN0YDFbW0dsb2JlU29mdHdhcmUuQXRsYXM0MC5BSUV4Y2VsLlJlcG9ydExpc3RPYmplY3QsIEdsb2JlU29mdHdhcmUuQXRsYXM0MC5BSUV4Y2VsLCBWZXJzaW9uPTQuMC4wLjAsIEN1bHR1cmU9bmV1dHJhbCwgUHVibGljS2V5VG9rZW49YWUyMWVjMzU3NWQxMjk5Zl1d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a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G4AVN5c3RlbS5Db2xsZWN0aW9ucy5HZW5lcmljLkxpc3RgMVtbR2xvYmVTb2Z0d2FyZS5BdGxhczQwLkF0bGFzQ29tbW9uLlR5cGUuQ29sdW1uLCBHbG9iZVNvZnR3YXJlLkF0bGFzNDAuQXRsYXNDb21tb24sIFZlcnNpb249NC4wLjAuMCwgQ3VsdHVyZT1uZXV0cmFsLCBQdWJsaWNLZXlUb2tlbj1hZTIxZWMzNTc1ZDEyOTlmXV0CAAAAAQAAAAkDAAAACQQAAAAGBQAAAA1BdGxhc1JlcG9ydF8xBgYAAAADMzY5AAkEAAAACQUAAAAJBgAAAAAJCgAAAAQDAAAAtQFTeXN0ZW0uQ29sbGVjdGlvbnMuR2VuZXJpYy5MaXN0YDFbW0dsb2JlU29mdHdhcmUuQXRsYXM0MC5BSUV4Y2VsLlJlcG9ydExpc3RPYmplY3QsIEdsb2JlU29mdHdhcmUuQXRsYXM0MC5BSUV4Y2VsLCBWZXJzaW9uPTQuMC4wLjAsIEN1bHR1cmU9bmV1dHJhbCwgUHVibGljS2V5VG9rZW49YWUyMWVjMzU3NWQxMjk5Zl1dAwAAAAZfaXRlbXMFX3NpemUIX3ZlcnNpb24EAAAwR2xvYmVTb2Z0d2FyZS5BdGxhczQwLkFJRXhjZWwuUmVwb3J0TGlzdE9iamVjdFtdAgAAAAgICQsAAAABAAAAAQAAAAQEAAAA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pg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1bXQEAAAAJDAAAAAMAAAAJDQAAAAwOAAAAZEdsb2JlU29mdHdhcmUuQXRsYXM0MC5BdGxhc0NvbW1vbiwgVmVyc2lvbj00LjAuMC4wLCBDdWx0dXJlPW5ldXRyYWwsIFB1YmxpY0tleVRva2VuPWFlMjFlYzM1NzVkMTI5OWYECg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DgAAAAgICQ8AAAAMAAAADAAAAAcLAAAAAAEAAAAEAAAABC5HbG9iZVNvZnR3YXJlLkF0bGFzNDAuQUlFeGNlbC5SZXBvcnRMaXN0T2JqZWN0AgAAAAkQAAAADQMEDAAAAJIBU3lzdGVtLkNvbGxlY3Rpb25zLkdlbmVyaWMuR2VuZXJpY0VxdWFsaXR5Q29tcGFyZXJgMVtbU3lzdGVtLlN0cmluZywgbXNjb3JsaWIsIFZlcnNpb249NC4wLjAuMCwgQ3VsdHVyZT1uZXV0cmFsLCBQdWJsaWNLZXlUb2tlbj1iNzdhNWM1NjE5MzRlMDg5XV0AAAAABw0AAAAAAQAAAAEAAAADpA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0E7////6Q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gAAAANrZXkFdmFsdWUBA80BU3lzdGVtLkNvbGxlY3Rpb25zLkdlbmVyaWMuTGlzdGAxW1tHbG9iZVNvZnR3YXJlLkF0bGFzNDAuQXRsYXNDb21tb25DbGllbnQuRGF0YVNvdXJjZUZpZWxkVmFsdWUsIEdsb2JlU29mdHdhcmUuQXRsYXM0MC5BdGxhc0NvbW1vbkNsaWVudCwgVmVyc2lvbj00LjAuMC4wLCBDdWx0dXJlPW5ldXRyYWwsIFB1YmxpY0tleVRva2VuPWFlMjFlYzM1NzVkMTI5OWZdXQYSAAAAAV8JEwAAAAcPAAAAAAEAAAAQAAAABC1HbG9iZVNvZnR3YXJlLkF0bGFzNDAuQXRsYXNDb21tb24uVHlwZS5Db2x1bW4OAAAACRQAAAAJFQAAAAkWAAAACRcAAAAJGAAAAAkZAAAACRoAAAAJGwAAAAkcAAAACR0AAAAJHgAAAAkfAAAADQQMIAAAAGpHbG9iZVNvZnR3YXJlLkF0bGFzNDAuQXRsYXNDb21tb25DbGllbnQsIFZlcnNpb249NC4wLjAuMCwgQ3VsdHVyZT1uZXV0cmFsLCBQdWJsaWNLZXlUb2tlbj1hZTIxZWMzNTc1ZDEyOTlmBRAAAAAuR2xvYmVTb2Z0d2FyZS5BdGxhczQwLkFJRXhjZWwuUmVwb3J0TGlzdE9iamVjdAMAAAAFX25hbWUKX3JlZmVyZW5jZQlfb2JqZWN0Tm8BBAA4R2xvYmVTb2Z0d2FyZS5BdGxhczQwLkF0bGFzQ29tbW9uQ2xpZW50LlJlcG9ydC5SZWZlcmVuY2UgAAAACAIAAAAGIQAAABVBdGxhc1JlcG9ydF8xX1RhYmxlXzEJIgAAAAAAAAAEEwAAAM0BU3lzdGVtLkNvbGxlY3Rpb25zLkdlbmVyaWMuTGlzdGAxW1tHbG9iZVNvZnR3YXJlLkF0bGFzNDAuQXRsYXNDb21tb25DbGllbnQuRGF0YVNvdXJjZUZpZWxkVmFsdWUsIEdsb2JlU29mdHdhcmUuQXRsYXM0MC5BdGxhc0NvbW1vbkNsaWVudCwgVmVyc2lvbj00LjAuMC4wLCBDdWx0dXJlPW5ldXRyYWwsIFB1YmxpY0tleVRva2VuPWFlMjFlYzM1NzVkMTI5OWZdXQMAAAAGX2l0ZW1zBV9zaXplCF92ZXJzaW9uBAAAPkdsb2JlU29mdHdhcmUuQXRsYXM0MC5BdGxhc0NvbW1vbkNsaWVudC5EYXRhU291cmNlRmllbGRWYWx1ZVtdIAAAAAgICSMAAAAGAAAABgAAAAUUAAAALUdsb2JlU29mdHdhcmUuQXRsYXM0MC5BdGxhc0NvbW1vbi5UeXBlLkNvbHVtbhoAAAAHX2ZpZWxkcwtfYXR0cmlidXRlcw1fY29sdW1uRm9ybWF0BV9uYW1lBl9sYWJlbAVfaWNvbgxfY2FsY3VsYXRpb24DX2lkDF9hZ2dyZWdhdGlvbgZfb3JkZXILX2NvbHVtblR5cGUKX3NvcnRPcmRlcg9fc29ydE9yZGVySW5kZXgGX2dyb3VwCV9jcm9zc1RhYg5fY3Jvc3NUYWJWYWx1ZQ5fY3Jvc3NUYWJUb3RhbA9fYWdncmVnYXRlVmFsdWUPX291dHB1dENvbHVtbk5vC19udWxsQ29sdW1uBF9rZXkJX2ZpZWxkS2V5Dl9oZWFkZXJDb2x1bW5zDl9mb290ZXJDb2x1bW5zDF91cGxvYWRWYWx1ZSE8Q2FsY3VsYXRpb25RdWVyeT5rX19CYWNraW5nRmllbGQDAwMBAQEBAQQABAQAAAQCAAAAAAEBAwMBBMIBU3lzdGVtLkNvbGxlY3Rpb25zLkdlbmVyaWMuTGlzdGAxW1tHbG9iZVNvZnR3YXJlLkF0bGFzNDAuQXRsYXNDb21tb24uVHlwZS5GaWVsZE91dHB1dEZpZWxkLCBHbG9iZVNvZnR3YXJlLkF0bGFzNDAuQXRsYXNDb21tb24sIFZlcnNpb249NC4wLjAuMCwgQ3VsdHVyZT1uZXV0cmFsLCBQdWJsaWNLZXlUb2tlbj1hZTIxZWMzNTc1ZDEyOTlmXV2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S1HbG9iZVNvZnR3YXJlLkF0bGFzNDAuQXRsYXNDb21tb24uQWdncmVnYXRpb24OAAAACCxHbG9iZVNvZnR3YXJlLkF0bGFzNDAuQXRsYXNDb21tb24uQ29sdW1uVHlwZQ4AAAArR2xvYmVTb2Z0d2FyZS5BdGxhczQwLkF0bGFzQ29tbW9uLlNvcnRPcmRlcg4AAAAIAUBHbG9iZVNvZnR3YXJlLkF0bGFzNDAuQXRsYXNDb21tb24uVHlwZS5Db2x1bW4rQ3Jvc3NUYWJDb2x1bW5UeXBlDgAAAAEGCAG4AVN5c3RlbS5Db2xsZWN0aW9ucy5HZW5lcmljLkxpc3RgMVtbR2xvYmVTb2Z0d2FyZS5BdGxhczQwLkF0bGFzQ29tbW9uLlR5cGUuQ29sdW1u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sR2xvYmVTb2Z0d2FyZS5BdGxhczQwLkF0bGFzQ29tbW9uLlR5cGUuUXVlcnkOAAAADgAAAAkkAAAACSUAAAAJJgAAAAYnAAAADE9yZGVyQWNjb3VudAYoAAAAEEN1c3RvbWVyIGFjY291bnQGKQAAAAZTdHJpbmcGKgAAAAAGKwAAACQ1YzdmMmU4Yy04ZWMyLTRiYjAtYTQ2NC02NTdmYjZjNWIyNzkF1P///y1HbG9iZVNvZnR3YXJlLkF0bGFzNDAuQXRsYXNDb21tb24uQWdncmVnYXRpb24BAAAAB3ZhbHVlX18ACA4AAAD/////AAAAAAXT////LEdsb2JlU29mdHdhcmUuQXRsYXM0MC5BdGxhc0NvbW1vbi5Db2x1bW5UeXBlAQAAAAd2YWx1ZV9fAAgOAAAAAAAAAAXS////K0dsb2JlU29mdHdhcmUuQXRsYXM0MC5BdGxhc0NvbW1vbi5Tb3J0T3JkZXIBAAAAB3ZhbHVlX18ACA4AAAACAAAAAAAAAAAF0f///0BHbG9iZVNvZnR3YXJlLkF0bGFzNDAuQXRsYXNDb21tb24uVHlwZS5Db2x1bW4rQ3Jvc3NUYWJDb2x1bW5UeXBlAQAAAAd2YWx1ZV9fAAgOAAAAAAAAAAoBAAAAAAAAAAAAAAAAAAYwAAAAJDg1YjhlNTQ4LWFiZWMtNGUyMC05NjUzLTRmNTZhMDRjMWU4YQYxAAAAQ1RhYmxlLkN1c3RJbnZvaWNlVHJhbnMuSW52b2ljZUlkflRhYmxlLkN1c3RJbnZvaWNlSm91ci5PcmRlckFjY291bnQKCgoKARUAAAAUAAAACTIAAAAJMwAAAAk0AAAABjUAAAAETmFtZQY2AAAADUN1c3RvbWVyIG5hbWUGNwAAAAZTdHJpbmcJKgAAAAY5AAAAJDA3ZWM2ZTQ1LWQzZDItNDlhZC05NzBkLWI0MDY1NjdiYTE2OQHG////1P////////8BAAAAAcX////T////AAAAAAHE////0v///wIAAAAAAAAAAAHD////0f///wAAAAAKAQAAAAAAAAAAAQAAAAAGPgAAACQ1Mzg4OWZmMy00NTM2LTRhMTgtYWE4YS0zZTNhNjQwY2MwNjAGPwAAAFhUYWJsZS5DdXN0SW52b2ljZVRyYW5zLkludm9pY2VJZH5UYWJsZS5DdXN0SW52b2ljZUpvdXIuT3JkZXJBY2NvdW50flRhYmxlLkN1c3RUYWJsZS5OYW1lCgoKCgEWAAAAFAAAAAlAAAAACUEAAAAJQgAAAAZDAAAABkl0ZW1JZAZEAAAABEl0ZW0GRQAAAAZTdHJpbmcJKgAAAAZHAAAAJGMyZGJiYWRiLWViMmEtNGIzZC04ZWFlLTRlYjcyNGExMTM2MgG4////1P////////8CAAAAAbf////T////AAAAAAG2////0v///wIAAAAAAAAAAAG1////0f///wAAAAAKAQAAAAAAAAAAAgAAAAAGTAAAACQ3ODJkZDlmNi0zNjgzLTQ2MTQtOWU5OS1lYzczMzk4NTcxZjUGTQAAAB1UYWJsZS5DdXN0SW52b2ljZVRyYW5zLkl0ZW1JZAoKCgoBFwAAABQAAAAJTgAAAAlPAAAACVAAAAAGUQAAAAhJdGVtTmFtZQZSAAAACUl0ZW0gbmFtZQZTAAAABlN0cmluZwkqAAAABlUAAAAkYWRmYzk2NGEtNjNjOC00ODZiLWJhMmUtNmYwOTNlNWY4Y2ZjAar////U/////////wMAAAABqf///9P///8AAAAAAaj////S////AgAAAAAAAAAAAaf////R////AAAAAAoBAAAAAAAAAAADAAAAAAZaAAAAJDkyNDVkZTM2LTgzYjMtNGJjYi05Y2RkLTNmOTg1NjNmZTNiYQZbAAAAOFRhYmxlLkN1c3RJbnZvaWNlVHJhbnMuSXRlbUlkflRhYmxlLkludmVudFRhYmxlLkl0ZW1OYW1lCgoKCgEYAAAAFAAAAAlcAAAACV0AAAAJXgAAAAZfAAAAB1NhbGVzSWQGYAAAAAtTYWxlcyBvcmRlcgZhAAAABlN0cmluZwkqAAAABmMAAAAkZThhNTM3NjgtYjcwNy00OTFiLThiNzEtY2E0YWUwZWI5M2VmAZz////U/////////wQAAAABm////9P///8AAAAAAZr////S////AgAAAAAAAAAAAZn////R////AAAAAAoBAAAAAAAAAAAEAAAAAAZoAAAAJDk4ZjJlMTA4LTE2ZTQtNGMyYi1hYjNmLTNhYjFmMGYzZTNjMAZpAAAAHlRhYmxlLkN1c3RJbnZvaWNlVHJhbnMuU2FsZXNJZAoKCgoBGQAAABQAAAAJagAAAAlrAAAACWwAAAAGbQAAAA1JbnZlbnRUcmFuc0lkBm4AAAAGTG90IElEBm8AAAAGU3RyaW5nCSoAAAAGcQAAACRmMzhkYzU1Ni02YmQzLTQ5N2YtYjZiMi1iM2M0OWQ1YTY3ZjIBjv///9T/////////BQAAAAGN////0////wAAAAABjP///9L///8CAAAAAAAAAAABi////9H///8AAAAACgEAAAAAAAAAAAUAAAAABnYAAAAkMjE2MDMxZDYtOGU0My00ZTA2LWE1OWMtYTdlMzQ3N2U1MGExBncAAAAkVGFibGUuQ3VzdEludm9pY2VUcmFucy5JbnZlbnRUcmFuc0lkCgoKCgEaAAAAFAAAAAl4AAAACXkAAAAJegAAAAZ7AAAAC0ludm9pY2VEYXRlBnwAAAAERGF0ZQZ9AAAABERhdGUJKgAAAAZ/AAAAJDM4NGZkMDRjLTJlM2ItNDM2YS1hMWM4LWYzYmE3YTg3OTEwZQGA////1P////////8GAAAAAX/////T////AAAAAAF+////0v///wIAAAAAAAAAAAF9////0f///wAAAAAKAQAAAAAAAAAABgAAAAAGhAAAACRlM2JiNDU4Yi0zMWI4LTRiY2UtOWE5My04OWM2NzZiZDY0MjIGhQAAACJUYWJsZS5DdXN0SW52b2ljZVRyYW5zLkludm9pY2VEYXRlCgoKCgEbAAAAFAAAAAmGAAAACYcAAAAJiAAAAAaJAAAAA1F0eQaKAAAACFF1YW50aXR5BosAAAAEUmVhbAkqAAAABo0AAAAkMGFhOWRmZDMtMTIzMC00Y2ZiLTgxMTgtYzAzMTg0ZWM2NDg4AXL////U////AQAAAAcAAAABcf///9P///8AAAAAAXD////S////AgAAAAAAAAAAAW/////R////AAAAAAoBAAAAAAAAAAAHAAAAAAaSAAAAJDg0MjUyZjQ2LTA1MDUtNDM1Yi1iYWZkLTNlNzE3OTRiMTE5NAaTAAAAGlRhYmxlLkN1c3RJbnZvaWNlVHJhbnMuUXR5CgoKCgEcAAAAFAAAAAmUAAAACZUAAAAJlgAAAAaXAAAACVNhbGVzVW5pdAaYAAAABFVuaXQGmQAAAAZTdHJpbmcJKgAAAAabAAAAJDQ5YTAwOWQ5LWM2ZTctNDVhNS04NGM0LWI0NjVkZjE3MWQyZAFk////1P////////8IAAAAAWP////T////AAAAAAFi////0v///wIAAAAAAAAAAAFh////0f///wAAAAAKAQAAAAAAAAAACAAAAAAGoAAAACRmZDM2ZWMwZi1hZDI5LTRkMTUtYjRhNC1hNzQyYmVjNGViOTYGoQAAACBUYWJsZS5DdXN0SW52b2ljZVRyYW5zLlNhbGVzVW5pdAoKCgoBHQAAABQAAAAJogAAAAmjAAAACaQAAAAGpQAAAA1MaW5lQW1vdW50TVNUBqYAAAAaQW1vdW50IGluIGRlZmF1bHQgY3VycmVuY3kGpwAAAARSZWFsCSoAAAAGqQAAACQ1MGNmMTU4OC05MGY1LTRlYzYtODdmMS01YTRjMThiMTI2ZGMBVv///9T///8BAAAACQAAAAFV////0////wAAAAABVP///9L///8CAAAAAAAAAAABU////9H///8AAAAACgEAAAAAAAAAAAkAAAAABq4AAAAkM2E3ODRkM2EtYjBhYi00OTMwLTliMDQtZDFlNDBiNjkyNDRlBq8AAAAkVGFibGUuQ3VzdEludm9pY2VUcmFucy5MaW5lQW1vdW50TVNUCgoKCgEeAAAAFAAAAAmwAAAACbEAAAAJsgAAAAazAAAAN0F0bGFzTWFuYWdlZENvbHVtbl8xYzBhZTlhYS1jZWE3LTQzMDgtYTE5Mi03MGE3MjNmM2Y1MWUGtAAAAAtDb3N0IEFtb3VudAkqAAAACSoAAAAGtgAAACQyMjQ4ODhkMy0zZTU2LTQ2YjYtODVkYi0yMWM4ZTQxMDgyM2YBSf///9T/////////CgAAAAFI////0////wIAAAABR////9L///8CAAAAAAAAAAABRv///9H///8AAAAACgEAAAAAAAAAAAoAAAAABrsAAAAkZThjNTU0ZTYtYzhkMC00ZTUzLTljODAtZGEyMWM5MmY4YzQ1CSoAAAAKCgoKAR8AAAAUAAAACb0AAAAJvgAAAAm/AAAABsAAAAA3QXRsYXNNYW5hZ2VkQ29sdW1uXzQ0NWQ4Y2M0LTg5YTctNDUxNS04ZTE5LTg4NTA0NjJjNjkwYQbBAAAABk1hcmdpbgkqAAAACSoAAAAGwwAAACRkMDhkMWRiZS02YjIxLTRlNjQtOTM4Yy0zMTkxZDE1OWUzMTkBPP///9T/////////CwAAAAE7////0////wIAAAABOv///9L///8CAAAAAAAAAAABOf///9H///8AAAAACgEAAAAAAAAAAAsAAAAABsgAAAAkMjJhZDJjMmMtYjk1My00NWM1LWFiZjItNjFiNDZkOTVlYWIwCSoAAAAKCgoKBSIAAAA4R2xvYmVTb2Z0d2FyZS5BdGxhczQwLkF0bGFzQ29tbW9uQ2xpZW50LlJlcG9ydC5SZWZlcmVuY2UBAAAACl9yZWZlcmVuY2UHCCAAAAAJygAAAAcjAAAAAAEAAAAIAAAABDxHbG9iZVNvZnR3YXJlLkF0bGFzNDAuQXRsYXNDb21tb25DbGllbnQuRGF0YVNvdXJjZUZpZWxkVmFsdWUgAAAACcsAAAAJzAAAAAnNAAAACc4AAAAJzwAAAAnQAAAADQIEJAAAAMIBU3lzdGVtLkNvbGxlY3Rpb25zLkdlbmVyaWMuTGlzdGAxW1tHbG9iZVNvZnR3YXJlLkF0bGFzNDAuQXRsYXNDb21tb24uVHlwZS5GaWVsZE91dHB1dEZpZWxkLCBHbG9iZVNvZnR3YXJlLkF0bGFzNDAuQXRsYXNDb21tb24sIFZlcnNpb249NC4wLjAuMCwgQ3VsdHVyZT1uZXV0cmFsLCBQdWJsaWNLZXlUb2tlbj1hZTIxZWMzNTc1ZDEyOTlmXV0DAAAABl9pdGVtcwVfc2l6ZQhfdmVyc2lvbgQAADlHbG9iZVNvZnR3YXJlLkF0bGFzNDAuQXRsYXNDb21tb24uVHlwZS5GaWVsZE91dHB1dEZpZWxkW10OAAAACAgJ0QAAAAEAAAABAAAABCUAAAC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QAAAAHVmVyc2lvbghDb21wYXJlcghIYXNoU2l6ZQ1LZXlWYWx1ZVBhaXJzAAMAAwjNAVN5c3RlbS5Db2xsZWN0aW9ucy5HZW5lcmljLkVudW1FcXVhbGl0eUNvbXBhcmVyYDFbW0dsb2JlU29mdHdhcmUuQXRsYXM0MC5BdGxhc0NvbW1vbi5Db2x1bW5BdHRyaWJ1dGVzLCBHbG9iZVNvZnR3YXJlLkF0bGFzNDAuQXRsYXNDb21tb24sIFZlcnNpb249NC4wLjAuMCwgQ3VsdHVyZT1uZXV0cmFsLCBQdWJsaWNLZXlUb2tlbj1hZTIxZWMzNTc1ZDEyOTlmXV0IpA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VtdzwAAAAnSAAAABwAAAAnTAAAABCY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ywAAAAnUAAAABwAAAAnVAAAAATIAAAAkAAAACdYAAAABAAAAAQAAAAEzAAAAJQAAANUAAAAJ1wAAAAcAAAAJ2AAAAAE0AAAAJgAAAMQAAAAJ2QAAAAcAAAAJ2gAAAAFAAAAAJAAAAAnbAAAAAQAAAAEAAAABQQAAACUAAADsAAAACdwAAAAHAAAACd0AAAABQgAAACYAAADnAAAACd4AAAAHAAAACd8AAAABTgAAACQAAAAJ4AAAAAEAAAABAAAAAU8AAAAlAAAAzwAAAAnSAAAABwAAAAniAAAAAVAAAAAmAAAAywAAAAnUAAAABwAAAAnkAAAAAVwAAAAkAAAACeUAAAABAAAAAQAAAAFdAAAAJQAAAI8AAAAJ5gAAAAcAAAAJ5wAAAAFeAAAAJgAAAIwAAAAJ6AAAAAcAAAAJ6QAAAAFqAAAAJAAAAAnqAAAAAQAAAAEAAAABawAAACUAAACzAAAACesAAAAHAAAACewAAAABbAAAACYAAACvAAAACe0AAAAHAAAACe4AAAABeAAAACQAAAAJ7wAAAAEAAAABAAAAAXkAAAAlAAAAiAAAAAnwAAAABwAAAAnxAAAAAXoAAAAmAAAAhQAAAAnyAAAABwAAAAnzAAAAAYYAAAAkAAAACfQAAAABAAAAAQAAAAGHAAAAJQAAAIgAAAAJ8AAAAAcAAAAJ9gAAAAGIAAAAJgAAAIUAAAAJ8gAAAAcAAAAJ+AAAAAGUAAAAJAAAAAn5AAAAAQAAAAEAAAABlQAAACUAAACIAAAACfAAAAAHAAAACfsAAAABlgAAACYAAACFAAAACfIAAAAHAAAACf0AAAABogAAACQAAAAJ/gAAAAEAAAABAAAAAaMAAAAlAAAAlgAAAAn/AAAABwAAAAkAAQAAAaQAAAAmAAAAkwAAAAkBAQAABwAAAAkCAQAAAbAAAAAkAAAACQMBAAAAAAAAAAAAAAGxAAAAJQAAAJsAAAAJ/wAAAAcAAAAJBQEAAAGyAAAAJgAAAJMAAAAJAQEAAAcAAAAJBwEAAAG9AAAAJAAAAAkDAQAAAAAAAAAAAAABvgAAACUAAACbAAAACf8AAAAHAAAACQoBAAABvwAAACYAAACTAAAACQEBAAAHAAAACQwBAAAPygAAAAEAAAAIAQAAAAXLAAAAPEdsb2JlU29mdHdhcmUuQXRsYXM0MC5BdGxhc0NvbW1vbkNsaWVudC5EYXRhU291cmNlRmllbGRWYWx1ZQQAAAASX2lzRHJpbGxEb3duRmlsdGVyBl9kc0tleQpfZmllbGRuYW1lC19maWVsZFZhbHVlAAEBAQEgAAAAAAYNAQAAFlRhYmxlLkN1c3RJbnZvaWNlVHJhbnMGDgEAAApEYXRhQXJlYUlkCQYAAAABzAAAAMsAAAAACQ0BAAAGEQEAAAtJbnZvaWNlRGF0ZQYSAQAAMjAxLjAxLjIwMjAgLi4gMzEuMTIuMjAyMCwgMDEuMDEuMjAyMSAuLiAzMS4xMi4yMDIxAc0AAADLAAAAAAkNAQAABhQBAAAGSXRlbUlkBhUBAAABKgHOAAAAywAAAAAJDQEAAAYXAQAADERpbWVuc2lvbls3XQYYAQAAB0FTUEhBTFQBzwAAAMsAAAAABhkBAABTVGFibGUuQ3VzdEludm9pY2VUcmFucy5JbnZvaWNlSWR+VGFibGUuQ3VzdEludm9pY2VKb3VyLk9yZGVyQWNjb3VudH5UYWJsZS5DdXN0VGFibGUGGgEAAAlDdXN0R3JvdXAGGwEAAA0hSUMtQVgsIUlDLUJTAdAAAADLAAAAAAYcAQAAL1RhYmxlLkN1c3RJbnZvaWNlVHJhbnMuSXRlbUlkflRhYmxlLkludmVudFRhYmxlBh0BAAALSXRlbUdyb3VwSWQGHgEAAAEqB9EAAAAAAQAAAAQAAAAEN0dsb2JlU29mdHdhcmUuQXRsYXM0MC5BdGxhc0NvbW1vbi5UeXBlLkZpZWxkT3V0cHV0RmllbGQOAAAACR8BAAANAwTSAAAAzQFTeXN0ZW0uQ29sbGVjdGlvbnMuR2VuZXJpYy5FbnVtRXF1YWxpdHlDb21wYXJlcmAxW1tHbG9iZVNvZnR3YXJlLkF0bGFzNDAuQXRsYXNDb21tb24uQ29sdW1uQXR0cmlidXRlcywgR2xvYmVTb2Z0d2FyZS5BdGxhczQwLkF0bGFzQ29tbW9uLCBWZXJzaW9uPTQuMC4wLjAsIEN1bHR1cmU9bmV1dHJhbCwgUHVibGljS2V5VG9rZW49YWUyMWVjMzU3NWQxMjk5Zl1dAAAAAAfT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4P7//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A2tleQV2YWx1ZQQBMkdsb2JlU29mdHdhcmUuQXRsYXM0MC5BdGxhc0NvbW1vbi5Db2x1bW5BdHRyaWJ1dGVzDgAAAAXf/v//Mkdsb2JlU29mdHdhcmUuQXRsYXM0MC5BdGxhc0NvbW1vbi5Db2x1bW5BdHRyaWJ1dGVzAQAAAAd2YWx1ZV9fAAgOAAAACQAAAAkqAAAAAd3+///g/v//Adz+///f/v//CwAAAAYlAQAAATAB2v7//+D+//8B2f7//9/+//8EAAAABigBAAAHR2VuZXJhbAHX/v//4P7//wHW/v//3/7//wIAAAAGKwEAAAExAdT+///g/v//AdP+///f/v//AAAAAAYuAQAABTE0LjU3AdH+///g/v//AdD+///f/v//EAAAAAYxAQAABE5vbmUB1AAAAAwAAAAH1Q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TO/v//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CAAAAA2tleQV2YWx1ZQEBBjMBAAAIRm9udEJvbGQGNAEAAAVGYWxzZQHL/v//zv7//wY2AQAACkZvbnRJdGFsaWMJNAEAAAHI/v//zv7//wY5AQAADUZvbnRVbmRlcmxpbmUGOgEAAAUtNDE0MgHF/v//zv7//wY8AQAACEZvbnROYW1lBj0BAAAHQ2FsaWJyaQHC/v//zv7//wY/AQAACUZvbnRDb2xvcgZAAQAAATABv/7//87+//8GQgEAAAhGb250U2l6ZQZDAQAAAjExAbz+///O/v//BkUBAAAJRm9udFN0eWxlBkYBAAAHUmVndWxhcgfWAAAAAAEAAAAEAAAABDdHbG9iZVNvZnR3YXJlLkF0bGFzNDAuQXRsYXNDb21tb24uVHlwZS5GaWVsZE91dHB1dEZpZWxkDgAAAAlHAQAADQMB1wAAANIAAAAH2AAAAAABAAAABw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bj+///g/v//Abf+///f/v//JAAAAAk2AAAAAbX+///g/v//AbT+///f/v//CQAAAAkqAAAAAbL+///g/v//AbH+///f/v//CwAAAAZQAQAAATEBr/7//+D+//8Brv7//9/+//8EAAAABlMBAAAHR2VuZXJhbAGs/v//4P7//wGr/v//3/7//wIAAAAGVgEAAAExAan+///g/v//Aaj+///f/v//AAAAAAZZAQAABTIxLjcxAab+///g/v//AaX+///f/v//EAAAAAkxAQAAAdkAAAAMAAAAB9o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o/7//87+//8JMwEAAAk0AQAAAaD+///O/v//CTYBAAAJNAEAAAGd/v//zv7//wk5AQAABmUBAAAFLTQxNDIBmv7//87+//8JPAEAAAZoAQAAB0NhbGlicmkBl/7//87+//8JPwEAAAZrAQAAATABlP7//87+//8JQgEAAAZuAQAAAjExAZH+///O/v//CUUBAAAGcQEAAAdSZWd1bGFyB9sAAAAAAQAAAAQAAAAEN0dsb2JlU29mdHdhcmUuQXRsYXM0MC5BdGxhc0NvbW1vbi5UeXBlLkZpZWxkT3V0cHV0RmllbGQOAAAACXIBAAANAwHcAAAA0gAAAAfd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jf7//+D+//8BjP7//9/+//8QAAAACTEBAAABiv7//+D+//8Bif7//9/+//8JAAAACSoAAAABh/7//+D+//8Bhv7//9/+//8LAAAABnsBAAABMgGE/v//4P7//wGD/v//3/7//wQAAAAGfgEAAAdHZW5lcmFsAYH+///g/v//AYD+///f/v//AgAAAAaBAQAAATEBfv7//+D+//8Bff7//9/+//8AAAAABoQBAAAFMTYuNTcB3gAAAAwAAAAH3w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7/v//zv7//waGAQAACEZvbnRCb2xkCTQBAAABeP7//87+//8GiQEAAApGb250SXRhbGljCTQBAAABdf7//87+//8GjAEAAA1Gb250VW5kZXJsaW5lBo0BAAAFLTQxNDIBcv7//87+//8GjwEAAAhGb250TmFtZQaQAQAAB0NhbGlicmkBb/7//87+//8GkgEAAAlGb250Q29sb3IGkwEAAAEwAWz+///O/v//BpUBAAAIRm9udFNpemUGlgEAAAIxMQFp/v//zv7//waYAQAACUZvbnRTdHlsZQaZAQAAB1JlZ3VsYXIH4AAAAAABAAAABAAAAAQ3R2xvYmVTb2Z0d2FyZS5BdGxhczQwLkF0bGFzQ29tbW9uLlR5cGUuRmllbGRPdXRwdXRGaWVsZA4AAAAJmgEAAA0DB+I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l/v//4P7//wFk/v//3/7//wkAAAAJKgAAAAFi/v//4P7//wFh/v//3/7//wsAAAAGoAEAAAEzAV/+///g/v//AV7+///f/v//BAAAAAajAQAAB0dlbmVyYWwBXP7//+D+//8BW/7//9/+//8CAAAABqYBAAABMQFZ/v//4P7//wFY/v//3/7//wAAAAAGqQEAAAU0MS4xNAFW/v//4P7//wFV/v//3/7//xAAAAAJMQEAAAfk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VP+///O/v//CTMBAAAJNAEAAAFQ/v//zv7//wk2AQAACTQBAAABTf7//87+//8JOQEAAAa1AQAABS00MTQyAUr+///O/v//CTwBAAAGuAEAAAdDYWxpYnJpAUf+///O/v//CT8BAAAGuwEAAAEwAUT+///O/v//CUIBAAAGvgEAAAIxMQFB/v//zv7//wlFAQAABsEBAAAHUmVndWxhcgflAAAAAAEAAAAEAAAABDdHbG9iZVNvZnR3YXJlLkF0bGFzNDAuQXRsYXNDb21tb24uVHlwZS5GaWVsZE91dHB1dEZpZWxkDgAAAAnCAQAADQMB5gAAANIAAAAH5wA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T3+///g/v//ATz+///f/v//CQAAAAkqAAAAATr+///g/v//ATn+///f/v//CwAAAAbIAQAAATQBN/7//+D+//8BNv7//9/+//8EAAAABssBAAAHR2VuZXJhbAE0/v//4P7//wEz/v//3/7//wIAAAAGzgEAAAExATH+///g/v//ATD+///f/v//AAAAAAbRAQAABTEyLjQzAegAAAAMAAAAB+k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Lv7//87+//8G0wEAAAhGb250Qm9sZAk0AQAAASv+///O/v//BtYBAAAKRm9udEl0YWxpYwk0AQAAASj+///O/v//BtkBAAANRm9udFVuZGVybGluZQbaAQAABS00MTQyASX+///O/v//BtwBAAAIRm9udE5hbWUG3QEAAAdDYWxpYnJpASL+///O/v//Bt8BAAAJRm9udENvbG9yBuABAAABMAEf/v//zv7//wbiAQAACEZvbnRTaXplBuMBAAACMTEBHP7//87+//8G5QEAAAlGb250U3R5bGUG5gEAAAdSZWd1bGFyB+oAAAAAAQAAAAQAAAAEN0dsb2JlU29mdHdhcmUuQXRsYXM0MC5BdGxhc0NvbW1vbi5UeXBlLkZpZWxkT3V0cHV0RmllbGQOAAAACecBAAANAwHrAAAA0gAAAAfs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GP7//+D+//8BF/7//9/+//8JAAAACSoAAAABFf7//+D+//8BFP7//9/+//8LAAAABu0BAAABNQES/v//4P7//wER/v//3/7//xAAAAAJMQEAAAEP/v//4P7//wEO/v//3/7//wQAAAAG8wEAAAdHZW5lcmFsAQz+///g/v//AQv+///f/v//AgAAAAb2AQAAATEBCf7//+D+//8BCP7//9/+//8AAAAABvkBAAAEOS40MwHtAAAADAAAAAfu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Qb+///O/v//BvsBAAAIRm9udEJvbGQJNAEAAAED/v//zv7//wb+AQAACkZvbnRJdGFsaWMJNAEAAAEA/v//zv7//wYBAgAADUZvbnRVbmRlcmxpbmUGAgIAAAUtNDE0MgH9/f//zv7//wYEAgAACEZvbnROYW1lBgUCAAAHQ2FsaWJyaQH6/f//zv7//wYHAgAACUZvbnRDb2xvcgYIAgAAATAB9/3//87+//8GCgIAAAhGb250U2l6ZQYLAgAAAjExAfT9///O/v//Bg0CAAAJRm9udFN0eWxlBg4CAAAHUmVndWxhcgfvAAAAAAEAAAAEAAAABDdHbG9iZVNvZnR3YXJlLkF0bGFzNDAuQXRsYXNDb21tb24uVHlwZS5GaWVsZE91dHB1dEZpZWxkDgAAAAkPAgAADQMB8AAAANIAAAAH8QA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fD9///g/v//Ae/9///f/v//CQAAAAkqAAAAAe39///g/v//Aez9///f/v//CwAAAAYVAgAAATYB6v3//+D+//8B6f3//9/+//8EAAAABhgCAAAIbS9kL3l5eXkB5/3//+D+//8B5v3//9/+//8CAAAABhsCAAABMQHk/f//4P7//wHj/f//3/7//wAAAAAGHgIAAAQ5LjQzAfIAAAAMAAAAB/M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4f3//87+//8GIAIAAAhGb250Qm9sZAk0AQAAAd79///O/v//BiMCAAAKRm9udEl0YWxpYwk0AQAAAdv9///O/v//BiYCAAANRm9udFVuZGVybGluZQYnAgAABS00MTQyAdj9///O/v//BikCAAAIRm9udE5hbWUGKgIAAAdDYWxpYnJpAdX9///O/v//BiwCAAAJRm9udENvbG9yBi0CAAABMAHS/f//zv7//wYvAgAACEZvbnRTaXplBjACAAACMTEBz/3//87+//8GMgIAAAlGb250U3R5bGUGMwIAAAdSZWd1bGFyB/QAAAAAAQAAAAQAAAAEN0dsb2JlU29mdHdhcmUuQXRsYXM0MC5BdGxhc0NvbW1vbi5UeXBlLkZpZWxkT3V0cHV0RmllbGQOAAAACTQCAAANAwf2AA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y/3//+D+//8Byv3//9/+//8JAAAACSoAAAAByP3//+D+//8Bx/3//9/+//8LAAAABjoCAAABNwHF/f//4P7//wHE/f//3/7//wQAAAAGPQIAAAdHZW5lcmFsAcL9///g/v//AcH9///f/v//AgAAAAZAAgAAATEBv/3//+D+//8Bvv3//9/+//8AAAAABkMCAAAFMTAuMjkH+A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8/f//zv7//wkgAgAACTQBAAABuf3//87+//8JIwIAAAk0AQAAAbb9///O/v//CSYCAAAGTAIAAAUtNDE0MgGz/f//zv7//wkpAgAABk8CAAAHQ2FsaWJyaQGw/f//zv7//wksAgAABlICAAABMAGt/f//zv7//wkvAgAABlUCAAACMTEBqv3//87+//8JMgIAAAZYAgAAB1JlZ3VsYXIH+QAAAAABAAAABAAAAAQ3R2xvYmVTb2Z0d2FyZS5BdGxhczQwLkF0bGFzQ29tbW9uLlR5cGUuRmllbGRPdXRwdXRGaWVsZA4AAAAJWQIAAA0DB/sA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m/f//4P7//wGl/f//3/7//wkAAAAJKgAAAAGj/f//4P7//wGi/f//3/7//wsAAAAGXwIAAAE4AaD9///g/v//AZ/9///f/v//BAAAAAZiAgAAB0dlbmVyYWwBnf3//+D+//8BnP3//9/+//8CAAAABmUCAAABMQGa/f//4P7//wGZ/f//3/7//wAAAAAGaAIAAAQ2LjQzB/0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l/3//87+//8JIAIAAAk0AQAAAZT9///O/v//CSMCAAAJNAEAAAGR/f//zv7//wkmAgAABnECAAAFLTQxNDIBjv3//87+//8JKQIAAAZ0AgAAB0NhbGlicmkBi/3//87+//8JLAIAAAZ3AgAAATABiP3//87+//8JLwIAAAZ6AgAAAjExAYX9///O/v//CTICAAAGfQIAAAdSZWd1bGFyB/4AAAAAAQAAAAQAAAAEN0dsb2JlU29mdHdhcmUuQXRsYXM0MC5BdGxhc0NvbW1vbi5UeXBlLkZpZWxkT3V0cHV0RmllbGQOAAAACX4CAAANAwH/AAAA0gAAAAcAAQ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gf3//+D+//8BgP3//9/+//8JAAAACSoAAAABfv3//+D+//8Bff3//9/+//8LAAAABoQCAAABOQF7/f//4P7//wF6/f//3/7//wQAAAAGhwIAAD1fLSogIywjIzAuMDAgX+KCrF8tOy0qICMsIyMwLjAwIF/igqxfLTtfLSogIi0iPz8gX+KCrF8tO18tQF8tAXj9///g/v//AXf9///f/v//AgAAAAaKAgAAATEBdf3//+D+//8BdP3//9/+//8AAAAABo0CAAAFMTkuNzEBAQEAAAwAAAAHAg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y/f//zv7//waPAgAACEZvbnRCb2xkCTQBAAABb/3//87+//8GkgIAAApGb250SXRhbGljCTQBAAABbP3//87+//8GlQIAAA1Gb250VW5kZXJsaW5lBpYCAAAFLTQxNDIBaf3//87+//8GmAIAAAhGb250TmFtZQaZAgAAB0NhbGlicmkBZv3//87+//8GmwIAAAlGb250Q29sb3IGnAIAAAEwAWP9///O/v//Bp4CAAAIRm9udFNpemUGnwIAAAIxMQFg/f//zv7//wahAgAACUZvbnRTdHlsZQaiAgAAB1JlZ3VsYXIHAwEAAAABAAAAAAAAAAQ3R2xvYmVTb2Z0d2FyZS5BdGxhczQwLkF0bGFzQ29tbW9uLlR5cGUuRmllbGRPdXRwdXRGaWVsZA4AAAAHBQ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V39///g/v//AVz9///f/v//JAAAAAm0AAAAAVr9///g/v//AVn9///f/v//CwAAAAaoAgAAAjEwAVf9///g/v//AVb9///f/v//BAAAAAarAgAAPV8tKiAjLCMjMC4wMCBf4oKsXy07LSogIywjIzAuMDAgX+KCrF8tO18tKiAiLSI/PyBf4oKsXy07Xy1AXy0BVP3//+D+//8BU/3//9/+//8CAAAABq4CAAABMQFR/f//4P7//wFQ/f//3/7//wAAAAAGsQIAAAIxNAFO/f//4P7//wFN/f//3/7//wMAAAAGtAIAAAczMjczLjQzBwc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S/3//87+//8JjwIAAAk0AQAAAUj9///O/v//CZICAAAJNAEAAAFF/f//zv7//wmVAgAABr0CAAAFLTQxNDIBQv3//87+//8JmAIAAAbAAgAAB0NhbGlicmkBP/3//87+//8JmwIAAAbDAgAAATABPP3//87+//8JngIAAAbGAgAAAjExATn9///O/v//CaECAAAGyQIAAAdSZWd1bGFyBwo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2/f//4P7//wE1/f//3/7//yQAAAAJwQAAAAEz/f//4P7//wEy/f//3/7//wsAAAAGzwIAAAIxMQEw/f//4P7//wEv/f//3/7//wQAAAAG0gIAAD1fLSogIywjIzAuMDAgX+KCrF8tOy0qICMsIyMwLjAwIF/igqxfLTtfLSogIi0iPz8gX+KCrF8tO18tQF8tAS39///g/v//ASz9///f/v//AgAAAAbVAgAAATEBKv3//+D+//8BKf3//9/+//8AAAAABtgCAAAFMTUuNzEBJ/3//+D+//8BJv3//9/+//8DAAAABtsCAAAxPVtAW0Ftb3VudCBpbiBkZWZhdWx0IGN1cnJlbmN5XV0tW0BbQ29zdCBBbW91bnRdXQcM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ST9///O/v//CY8CAAAJNAEAAAEh/f//zv7//wmSAgAACTQBAAABHv3//87+//8JlQIAAAbkAgAABS00MTQyARv9///O/v//CZgCAAAG5wIAAAdDYWxpYnJpARj9///O/v//CZsCAAAG6gIAAAEwARX9///O/v//CZ4CAAAG7QIAAAIxMQES/f//zv7//wmhAgAABvACAAAHUmVndWxhcgUfAQAAN0dsb2JlU29mdHdhcmUuQXRsYXM0MC5BdGxhc0NvbW1vbi5UeXBlLkZpZWxkT3V0cHV0RmllbGQXAAAADF9hZ2dyZWdhdGlvbgdfaW52ZXJ0BV90eXBlBl9sYWJlbAtfZGF0YVNvdXJjZQpfc29ydE9yZGVyEF9udW1TZXFDb25kaXRpb24NX2lzTWV0aG9kQ2FsbAlfc2VsZWN0ZWQ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EAAEBBAQEAAABAQECAAEBAQEBAQEDAS1HbG9iZVNvZnR3YXJlLkF0bGFzNDAuQXRsYXNDb21tb24uQWdncmVnYXRpb24OAAAAATFHbG9iZVNvZnR3YXJlLkF0bGFzNDAuQXRsYXNDb21tb24uVHlwZS5EYXRhU291cmNlDgAAACtHbG9iZVNvZnR3YXJlLkF0bGFzNDAuQXRsYXNDb21tb24uU29ydE9yZGVyDgAAADlHbG9iZVNvZnR3YXJlLkF0bGFzNDAuQXRsYXNDb21tb24uTnVtYmVyU2VxdWVuY2VDb25kaXRpb24OAAAAAQ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DgAAAAEP/f//1P////////8ABvICAAAGU3RyaW5nBvMCAAAQQ3VzdG9tZXIgYWNjb3VudAn0AgAAAQv9///S////AgAAAAUK/f//OUdsb2JlU29mdHdhcmUuQXRsYXM0MC5BdGxhc0NvbW1vbi5OdW1iZXJTZXF1ZW5jZUNvbmRpdGlvbgEAAAAHdmFsdWVfXwAIDgAAAAEAAAAAAAb3AgAANlRhYmxlLkN1c3RJbnZvaWNlVHJhbnMuSW52b2ljZUlkflRhYmxlLkN1c3RJbnZvaWNlSm91cgknAAAACSoAAAAK/////wn3AgAACgknAAAABvwCAAAJSW52b2ljZUlkBv0CAAAQQ3VzdEludm9pY2VUcmFucwoJKgAAAAn/AgAACSoAAAABRwEAAB8BAAAB//z//9T/////////AAYCAwAABlN0cmluZwYDAwAABE5hbWUJBAMAAAH7/P//0v///wIAAAAB+vz//wr9//8BAAAAAAAJGQEAAAk1AAAACSoAAAAK/////wkZAQAACgk1AAAABgwDAAAMT3JkZXJBY2NvdW50Bg0DAAAPQ3VzdEludm9pY2VKb3VyCgkqAAAACQ8DAAAJKgAAAAFyAQAAHwEAAAHv/P//1P////////8ABhIDAAAGU3RyaW5nBhMDAAAESXRlbQkUAwAAAev8///S////AgAAAAHq/P//Cv3//wEAAAAAAAYXAwAAFlRhYmxlLkN1c3RJbnZvaWNlVHJhbnMJQwAAAAkqAAAACv////8JFwMAAAoJQwAAAAoKCgkqAAAACR0DAAAJKgAAAAGaAQAAHwEAAAHh/P//1P////////8ABiADAAAGU3RyaW5nBiEDAAAJSXRlbSBuYW1lCSIDAAAB3fz//9L///8CAAAAAdz8//8K/f//AQAAAAAACRwBAAAJUQAAAAkqAAAACv////8JHAEAAAoJUQAAAAYqAwAABkl0ZW1JZAYrAwAAEEN1c3RJbnZvaWNlVHJhbnMKCSoAAAAJLQMAAAkqAAAAAcIBAAAfAQAAAdH8///U/////////wAGMAMAAAZTdHJpbmcGMQMAAAtTYWxlcyBvcmRlcgkyAwAAAc38///S////AgAAAAHM/P//Cv3//wEAAAAAAAY1AwAAFlRhYmxlLkN1c3RJbnZvaWNlVHJhbnMJXwAAAAkqAAAACv////8JNQMAAAoJXwAAAAoKCgkqAAAACTsDAAAJKgAAAAHnAQAAHwEAAAHD/P//1P////////8ABj4DAAAGU3RyaW5nBj8DAAAGTG90IElECUADAAABv/z//9L///8CAAAAAb78//8K/f//AQAAAAAABkMDAAAWVGFibGUuQ3VzdEludm9pY2VUcmFucwltAAAACSoAAAAK/////wlDAwAACgltAAAACgoKCSoAAAAJSQMAAAkqAAAAAQ8CAAAfAQAAAbX8///U/////////wAGTAMAAAREYXRlBk0DAAAERGF0ZQlOAwAAAbH8///S////AgAAAAGw/P//Cv3//wEAAAAAAAZRAwAAFlRhYmxlLkN1c3RJbnZvaWNlVHJhbnMJewAAAAkqAAAACv////8JUQMAAAoJewAAAAoKCgkqAAAACVcDAAAJKgAAAAE0AgAAHwEAAAGn/P//1P////////8ABloDAAAEUmVhbAZbAwAACFF1YW50aXR5CU4DAAABo/z//9L///8CAAAAAaL8//8K/f//AQAAAAAACVEDAAAJiQAAAAkqAAAACv////8JUQMAAAoJiQAAAAoKCgkqAAAACWUDAAAJKgAAAAFZAgAAHwEAAAGZ/P//1P////////8ABmgDAAAGU3RyaW5nBmkDAAAEVW5pdAlOAwAAAZX8///S////AgAAAAGU/P//Cv3//wEAAAAAAAlRAwAACZcAAAAJKgAAAAr/////CVEDAAAKCZcAAAAKCgoJKgAAAAlzAwAACSoAAAABfgIAAB8BAAABi/z//9T/////////AAZ2AwAABFJlYWwGdwMAABpBbW91bnQgaW4gZGVmYXVsdCBjdXJyZW5jeQl4AwAAAYf8///S////AgAAAAGG/P//Cv3//wEAAAAAAAZ7AwAAFlRhYmxlLkN1c3RJbnZvaWNlVHJhbnMJpQAAAAkqAAAACv////8JewMAAAoJpQAAAAoKCgkqAAAACYEDAAAJKgAAAAX0AgAAMUdsb2JlU29mdHdhcmUuQXRsYXM0MC5BdGxhc0NvbW1vbi5UeXBlLkRhdGFTb3VyY2UYAAAAA19pZAVfbmFtZQZfbGFiZWwMX3BhcmVudFRhYmxlDF9wYXJlbnRGaWVsZAtfY2hpbGRGaWVsZAVfdHlwZQ1fb3V0cHV0RmllbGRzDF9yYW5nZUZpZWxkcwVfZ3VpZAlfcmVmZXJzVG8QX291dHB1dEZpZWxkS2V5MBFfY2hpbGREYXRhU291cmNlcwRfa2V5FV9wYXJlbnREYXRhU291cmNlTmFtZRlfcGFyZW50RmllbGREYXRhU291cmNlS2V5D19wYXJlbnRGaWVsZEtleRBfcGFyZW50RmllbGROYW1lEV9yZWxhdGVkRmllbGROYW1lBl9pbmRleAlfam9pbk1vZGUKX2ZldGNoTW9kZQdfaWdub3JlC19hdHRyaWJ1dGVzAAEBAQEBBAMDAwEBAwEBAQEBAQAEBAADCDBHbG9iZVNvZnR3YXJlLkF0bGFzNDAuQXRsYXNDb21tb24uRGF0YVNvdXJjZVR5cGUO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Z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C1N5c3RlbS5HdWlk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g0R2xvYmVTb2Z0d2FyZS5BdGxhczQwLkF0bGFzQ29tbW9uLkRhdGFTb3VyY2VKb2luTW9kZQ4AAAA1R2xvYmVTb2Z0d2FyZS5BdGxhczQwLkF0bGFzQ29tbW9uLkRhdGFTb3VyY2VGZXRjaE1vZGUOAAAAAa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4AAAD/////BoMDAAAPQ3VzdEludm9pY2VKb3VyBoQDAAAYQ3VzdG9tZXIgaW52b2ljZSBqb3VybmFsCSoAAAAJKgAAAAkqAAAABXr8//8wR2xvYmVTb2Z0d2FyZS5BdGxhczQwLkF0bGFzQ29tbW9uLkRhdGFTb3VyY2VUeXBlAQAAAAd2YWx1ZV9fAAgOAAAAAAAAAAmHAwAACYgDAAAEd/z//wtTeXN0ZW0uR3VpZAsAAAACX2ECX2ICX2MCX2QCX2UCX2YCX2cCX2gCX2kCX2oCX2sAAAAAAAAAAAAAAAgHBwICAgICAgICuk4AHMvWxEWo3qS8fSkQwgkqAAAACSoAAAAJiwMAAAn3AgAABo0DAAAQQ3VzdEludm9pY2VUcmFucwaOAwAAFlRhYmxlLkN1c3RJbnZvaWNlVHJhbnMGjwMAACBUYWJsZS5DdXN0SW52b2ljZVRyYW5zLkludm9pY2VJZAaQAwAACUludm9pY2VJZAaRAwAACUludm9pY2VJZAEAAAAFbvz//zRHbG9iZVNvZnR3YXJlLkF0bGFzNDAuQXRsYXNDb21tb24uRGF0YVNvdXJjZUpvaW5Nb2RlAQAAAAd2YWx1ZV9fAAgOAAAAAAAAAAVt/P//NUdsb2JlU29mdHdhcmUuQXRsYXM0MC5BdGxhc0NvbW1vbi5EYXRhU291cmNlRmV0Y2hNb2RlAQAAAAd2YWx1ZV9fAAgOAAAAAAAAAAAJlAMAAAH/AgAAJgAAAGwAAAAJ1AAAAAMAAAAJlgMAAAEEAwAA9AIAAP////8GlwMAAAlDdXN0VGFibGUGmAMAAAlDdXN0b21lcnMJKgAAAAkqAAAACSoAAAABZvz//3r8//8AAAAACZsDAAAJnAMAAAFj/P//d/z//5m1YhW33R5Gm7I1KAanifAJKgAAAAkqAAAACZ8DAAAJGQEAAAahAwAAD0N1c3RJbnZvaWNlSm91cgaiAwAANlRhYmxlLkN1c3RJbnZvaWNlVHJhbnMuSW52b2ljZUlkflRhYmxlLkN1c3RJbnZvaWNlSm91cgajAwAAQ1RhYmxlLkN1c3RJbnZvaWNlVHJhbnMuSW52b2ljZUlkflRhYmxlLkN1c3RJbnZvaWNlSm91ci5PcmRlckFjY291bnQGpAMAAAxPcmRlckFjY291bnQGpQMAAApBY2NvdW50TnVtAQAAAAFa/P//bvz//wAAAAABWfz//238//8AAAAAAAmoAwAAAQ8DAAAmAAAAZgAAAAnZAAAAAwAAAAmqAwAAARQDAAD0AgAAQAAAAAarAwAAEEN1c3RJbnZvaWNlVHJhbnMGrAMAABZDdXN0b21lciBpbnZvaWNlIGxpbmVzCSoAAAAJKgAAAAkqAAAAAVL8//96/P//AAAAAAmvAwAACbADAAABT/z//3f8//9UuqUnT71RQ6vs6dwKHUClCSoAAAAJKgAAAAmzAwAACRcDAAAKCgoKCgEAAAABS/z//278//8AAAAAAUr8//9t/P//AAAAAAAJtwMAAAEdAwAAJgAAAIcAAAAJ3gAAAAMAAAAJuQMAAAEiAwAA9AIAAP////8GugMAAAtJbnZlbnRUYWJsZQa7AwAABUl0ZW1zCSoAAAAJKgAAAAkqAAAAAUP8//96/P//AAAAAAm+AwAACb8DAAABQPz//3f8//+Ow0OV6syTQ5Pl3nfXpf53CSoAAAAJKgAAAAnCAwAACRwBAAAGxAMAABBDdXN0SW52b2ljZVRyYW5zBsUDAAAWVGFibGUuQ3VzdEludm9pY2VUcmFucwbGAwAAHVRhYmxlLkN1c3RJbnZvaWNlVHJhbnMuSXRlbUlkBscDAAAGSXRlbUlkBsgDAAAGSXRlbUlkAQAAAAE3/P//bvz//wAAAAABNvz//238//8AAAAAAAnLAwAAAS0DAAAmAAAAbAAAAAnUAAAAAwAAAAnNAwAAATIDAAD0AgAA/////wbOAwAAEEN1c3RJbnZvaWNlVHJhbnMGzwMAABZDdXN0b21lciBpbnZvaWNlIGxpbmVzCSoAAAAJKgAAAAkqAAAAAS/8//96/P//AAAAAAnSAwAACdMDAAABLPz//3f8//+2776IVVLFQJ6jvhG3C53TCSoAAAAJKgAAAAnWAwAACTUDAAAKCgoKCgEAAAABKPz//278//8AAAAAASf8//9t/P//AAAAAAAJ2gMAAAE7AwAAJgAAADYAAAAJ6AAAAAMAAAAJ3AMAAAFAAwAA9AIAAP////8G3QMAABBDdXN0SW52b2ljZVRyYW5zBt4DAAAWQ3VzdG9tZXIgaW52b2ljZSBsaW5lcwkqAAAACSoAAAAJKgAAAAEg/P//evz//wAAAAAJ4QMAAAniAwAAAR38//93/P//7Mxa/vCIw0Km1OrIS1FgHgkqAAAACSoAAAAJ5QMAAAlDAwAACgoKCgoBAAAAARn8//9u/P//AAAAAAEY/P//bfz//wAAAAAACekDAAABSQMAACYAAABUAAAACe0AAAADAAAACesDAAABTgMAAPQCAAD/////BuwDAAAQQ3VzdEludm9pY2VUcmFucwbtAwAAFkN1c3RvbWVyIGludm9pY2UgbGluZXMJKgAAAAkqAAAACSoAAAABEfz//3r8//8AAAAACfADAAAJ8QMAAAEO/P//d/z//85LiY5QoG1CmPKzioWWqi0JKgAAAAkqAAAACfQDAAAJUQMAAAoKCgoKAQAAAAEK/P//bvz//wAAAAABCfz//238//8AAAAAAAn4AwAAAVcDAAAmAAAAMAAAAAnyAAAAAwAAAAn6AwAAAWUDAAAmAAAAMAAAAAnyAAAAAwAAAAn8AwAAAXMDAAAmAAAAMAAAAAnyAAAAAwAAAAn+AwAAAXgDAAD0AgAA/////wb/AwAAEEN1c3RJbnZvaWNlVHJhbnMGAAQAABZDdXN0b21lciBpbnZvaWNlIGxpbmVzCSoAAAAJKgAAAAkqAAAAAf77//96/P//AAAAAAkDBAAACQQEAAAB+/v//3f8//9Ji7gYlR/NRpP2j79U4lHECSoAAAAJKgAAAAkHBAAACXsDAAAKCgoKCgEAAAAB9/v//278//8AAAAAAfb7//9t/P//AAAAAAAJCwQAAAGBAwAAJgAAADwAAAAJAQEAAAMAAAAJDQQAAASHAw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QAAAAHVmVyc2lvbghDb21wYXJlcghIYXNoU2l6ZQ1LZXlWYWx1ZVBhaXJzAAMAAwiSAVN5c3RlbS5Db2xsZWN0aW9ucy5HZW5lcmljLkdlbmVyaWNFcXVhbGl0eUNvbXBhcmVyYDFbW1N5c3RlbS5TdHJpbmcsIG1zY29ybGliLCBWZXJzaW9uPTQuMC4wLjAsIEN1bHR1cmU9bmV1dHJhbCwgUHVibGljS2V5VG9rZW49Yjc3YTVjNTYxOTM0ZTA4OV1dCKk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VtdAwAAAAnUAAAAAwAAAAkPBAAABIgDAAC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EAQAAAAAAAAEiwM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j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1bXQEAAAAJ1AAAAAMAAAAJEgQAAASUAwAA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AwAAAAdWZXJzaW9uCENvbXBhcmVyCEhhc2hTaXplAAMACM4BU3lzdGVtLkNvbGxlY3Rpb25zLkdlbmVyaWMuRW51bUVxdWFsaXR5Q29tcGFyZXJgMVtbR2xvYmVTb2Z0d2FyZS5BdGxhczQwLkF0bGFzQ29tbW9uLlR5cGUuQXhBdHRyaWJ1dGVzLCBHbG9iZVNvZnR3YXJlLkF0bGFzNDAuQXRsYXNDb21tb24sIFZlcnNpb249NC4wLjAuMCwgQ3VsdHVyZT1uZXV0cmFsLCBQdWJsaWNLZXlUb2tlbj1hZTIxZWMzNTc1ZDEyOTlmXV0IAAAAAAkTBAAAAAAAAAeWAw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ez7///O/v//BhUEAAAFTGFiZWwJ8wIAAAHp+///zv7//wYYBAAABFR5cGUJ8gIAAAGbAwAAhwMAAAEAAAAJ2QAAAAMAAAAJGwQAAAScAw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e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W10BAAAACRAEAAADAAAACR0EAAAEnwM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dkAAAAAAAAAAagDAACUAwAAAAAAAAkfBAAAAAAAAAeqAw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eD7///O/v//BiEEAAAFTGFiZWwJAwMAAAHd+///zv7//wYkBAAABFR5cGUJAgMAAAGvAwAAhwMAAAYAAAAJJgQAAAcAAAAJJwQAAASwAw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e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W10FAAAACSYEAAAHAAAACSkEAAAEswM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SYEAAAAAAAAAbcDAACUAwAAAAAAAAkrBAAAAAAAAAe5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dT7///O/v//Bi0EAAAISGVscFRleHQGLgQAAA5JZGVudGlmeSBpdGVtLgHR+///zv7//wYwBAAABUxhYmVsCRMDAAABzvv//87+//8GMwQAAARUeXBlCRIDAAABvgMAAIcDAAABAAAACdQAAAADAAAACTYEAAAEvwM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ng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VtdAQAAAAkQBAAAAwAAAAk4BAAABMID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nUAAAAAAAAAAHLAwAAlAMAAAAAAAAJEwQAAAAAAAAHzQM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F+///zv7//wkVBAAACSEDAAABwvv//87+//8JGAQAAAkgAwAAAdIDAACHAwAABAAAAAlBBAAABwAAAAlCBAAABNMDAAC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QAAAAHVmVyc2lvbghDb21wYXJlcghIYXNoU2l6ZQ1LZXlWYWx1ZVBhaXJzAAMAAwiSAVN5c3RlbS5Db2xsZWN0aW9ucy5HZW5lcmljLkdlbmVyaWNFcXVhbGl0eUNvbXBhcmVyYDFbW1N5c3RlbS5TdHJpbmcsIG1zY29ybGliLCBWZXJzaW9uPTQuMC4wLjAsIEN1bHR1cmU9bmV1dHJhbCwgUHVibGljS2V5VG9rZW49Yjc3YTVjNTYxOTM0ZTA4OV1dCJ4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1bXQEAAAAJAQEAAAMAAAAJRAQAAAHWAwAAiwMAAAIAAAAJQQQAAAMAAAAJRgQAAAHaAwAAlAMAAAAAAAAJRwQAAAAAAAAH3AM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4+///zv7//wZJBAAABUxhYmVsCTEDAAABtfv//87+//8GTAQAAARUeXBlCTADAAAB4QMAAIcDAAADAAAACU4EAAADAAAACU8EAAAE4gM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ng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VtdAQAAAAnZAAAAAwAAAAlRBAAAAeUDAACLAwAAAgAAAAlOBAAAAwAAAAlTBAAAAekDAACUAwAAAAAAAAlUBAAAAAAAAAfrAw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av7///O/v//BlYEAAAFTGFiZWwJPwMAAAGo+///zv7//wZZBAAABFR5cGUJPgMAAAHwAwAAhwMAAAcAAAAJWwQAAAcAAAAJXAQAAATxAw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e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W10BAAAACegAAAADAAAACV4EAAAB9AMAAIsDAAACAAAACVsEAAADAAAACWAEAAAB+AMAAJQDAAAAAAAACWEEAAAAAAAAB/oD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nvv//87+//8GYwQAAAVMYWJlbAlNAwAAAZv7///O/v//BmYEAAAEVHlwZQlMAwAAB/wD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mPv//87+//8JYwQAAAlbAwAAAZX7///O/v//CWYEAAAJWgMAAAf+Aw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ZL7///O/v//CWMEAAAJaQMAAAGP+///zv7//wlmBAAACWgDAAABAwQAAIcDAAADAAAACXQEAAADAAAACXUEAAAEBAQ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ng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VtdAQAAAAkBAQAAAwAAAAl3BAAAAQcEAACLAwAAAgAAAAl0BAAAAwAAAAl5BAAAAQsEAACUAwAAAAAAAAl6BAAAAAAAAAcNBA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YX7///O/v//BnwEAAAFTGFiZWwJdwMAAAGC+///zv7//wZ/BAAABFR5cGUJdgMAAAcPBAAAAAEAAAAB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R/+///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gAAAANrZXkFdmFsdWUBBDdHbG9iZVNvZnR3YXJlLkF0bGFzNDAuQXRsYXNDb21tb24uVHlwZS5GaWVsZE91dHB1dEZpZWxkDgAAAAaCBAAAQ1RhYmxlLkN1c3RJbnZvaWNlVHJhbnMuSW52b2ljZUlkflRhYmxlLkN1c3RJbnZvaWNlSm91ci5PcmRlckFjY291bnQJHwEAAAEQBAAADAAAAAcSBAAAAAEAAAABAAAAA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R8+///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gAAAANrZXkFdmFsdWUBBDFHbG9iZVNvZnR3YXJlLkF0bGFzNDAuQXRsYXNDb21tb24uVHlwZS5EYXRhU291cmNlDgAAAAkZAQAACQQDAAAEEwQAAM4BU3lzdGVtLkNvbGxlY3Rpb25zLkdlbmVyaWMuRW51bUVxdWFsaXR5Q29tcGFyZXJgMVtbR2xvYmVTb2Z0d2FyZS5BdGxhczQwLkF0bGFzQ29tbW9uLlR5cGUuQXhBdHRyaWJ1dGVzLCBHbG9iZVNvZnR3YXJlLkF0bGFzNDAuQXRsYXNDb21tb24sIFZlcnNpb249NC4wLjAuMCwgQ3VsdHVyZT1uZXV0cmFsLCBQdWJsaWNLZXlUb2tlbj1hZTIxZWMzNTc1ZDEyOTlmXV0AAAAABxsEAAAAAQAAAAE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Xn7//9/+///BogEAABYVGFibGUuQ3VzdEludm9pY2VUcmFucy5JbnZvaWNlSWR+VGFibGUuQ3VzdEludm9pY2VKb3VyLk9yZGVyQWNjb3VudH5UYWJsZS5DdXN0VGFibGUuTmFtZQlHAQAABx0EAAAAAQAAAAEAAAAD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R2+///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IAAAADa2V5BXZhbHVlAQQyR2xvYmVTb2Z0d2FyZS5BdGxhczQwLkF0bGFzQ29tbW9uLlR5cGUuRmllbGRTdHJpbmcOAAAABosEAABdVGFibGUuQ3VzdEludm9pY2VUcmFucy5JbnZvaWNlSWR+VGFibGUuQ3VzdEludm9pY2VKb3VyLk9yZGVyQWNjb3VudH5UYWJsZS5DdXN0VGFibGUuQ3VzdEdyb3VwCYwEAAABHwQAABMEAAABJgQAAAwAAAAHJwQAAAABAAAABg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c/v//3/7//8GjgQAACBUYWJsZS5DdXN0SW52b2ljZVRyYW5zLkludm9pY2VJZAmPBAAAAXD7//9/+///BpEEAAAdVGFibGUuQ3VzdEludm9pY2VUcmFucy5JdGVtSWQJcgEAAAFt+///f/v//waUBAAAGlRhYmxlLkN1c3RJbnZvaWNlVHJhbnMuUXR5CZUEAAABavv//3/7//8GlwQAACFUYWJsZS5DdXN0SW52b2ljZVRyYW5zLlNhbGVzUHJpY2UJmAQAAAFn+///f/v//waaBAAAIVRhYmxlLkN1c3RJbnZvaWNlVHJhbnMuTGluZUFtb3VudAmbBAAAAWT7//9/+///Bp0EAAAjVGFibGUuQ3VzdEludm9pY2VUcmFucy5DdXJyZW5jeUNvZGUJngQAAAcpBAAAAAEAAAAFAAAAA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BYfv//3b7//8GoAQAACFUYWJsZS5DdXN0SW52b2ljZVRyYW5zLkRhdGFBcmVhSWQJoQQAAAFe+///dvv//wajBAAAI1RhYmxlLkN1c3RJbnZvaWNlVHJhbnMuQ3VycmVuY3lDb2RlCaQEAAABW/v//3b7//8GpgQAACJUYWJsZS5DdXN0SW52b2ljZVRyYW5zLkludm9pY2VEYXRlCacEAAABWPv//3b7//8GqQQAACBUYWJsZS5DdXN0SW52b2ljZVRyYW5zLkludm9pY2VJZAmqBAAAAVX7//92+///BqwEAAAdVGFibGUuQ3VzdEludm9pY2VUcmFucy5JdGVtSWQJrQQAAAErBAAAEwQAAAc2BAAAAAEAAAAB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FS+///f/v//wavBAAAOFRhYmxlLkN1c3RJbnZvaWNlVHJhbnMuSXRlbUlkflRhYmxlLkludmVudFRhYmxlLkl0ZW1OYW1lCZoBAAAHOAQAAAABAAAAAQ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U/7//92+///BrIEAAA7VGFibGUuQ3VzdEludm9pY2VUcmFucy5JdGVtSWR+VGFibGUuSW52ZW50VGFibGUuSXRlbUdyb3VwSWQJswQAAAFBBAAADAAAAAdCBAAAAAEAAAAE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FM+///f/v//wa1BAAAHVRhYmxlLkN1c3RJbnZvaWNlVHJhbnMuSXRlbUlkCXIBAAABSfv//3/7//8GuAQAACRUYWJsZS5DdXN0SW52b2ljZVRyYW5zLkludmVudFRyYW5zSWQJ5wEAAAFG+///f/v//wa7BAAAJFRhYmxlLkN1c3RJbnZvaWNlVHJhbnMuTGluZUFtb3VudE1TVAl+AgAAAUP7//9/+///Br4EAAAeVGFibGUuQ3VzdEludm9pY2VUcmFucy5TYWxlc0lkCcIBAAAHRAQAAAABAAAAAQ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UD7//92+///BsEEAAAiVGFibGUuQ3VzdEludm9pY2VUcmFucy5JbnZvaWNlRGF0ZQnCBAAAB0YEAAAAAQAAAAIAAAAD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T37//98+///CfcCAAAJ9AIAAAE6+///fPv//wkcAQAACSIDAAABRwQAABMEAAABTgQAAAwAAAAHTwQAAAABAAAAAw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N/v//3/7//8GygQAAB1UYWJsZS5DdXN0SW52b2ljZVRyYW5zLkl0ZW1JZAlyAQAAATT7//9/+///Bs0EAAAaVGFibGUuQ3VzdEludm9pY2VUcmFucy5RdHkJlQQAAAEx+///f/v//wbQBAAAJFRhYmxlLkN1c3RJbnZvaWNlVHJhbnMuSW52ZW50VHJhbnNJZAnnAQAAB1EEAAAAAQAAAAEAAAAD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Eu+///dvv//wbTBAAAIlRhYmxlLkN1c3RJbnZvaWNlVHJhbnMuSW52b2ljZURhdGUJwgQAAAdTBAAAAAEAAAACAAAAA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Er+///fPv//wn3AgAACfQCAAABKPv//3z7//8JHAEAAAkiAwAAAVQEAAATBAAAAVsEAAAMAAAAB1wEAAAAAQAAAAc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SX7//9/+///BtwEAAAdVGFibGUuQ3VzdEludm9pY2VUcmFucy5JdGVtSWQJcgEAAAEi+///f/v//wbfBAAAHlRhYmxlLkN1c3RJbnZvaWNlVHJhbnMuU2FsZXNJZAnCAQAAAR/7//9/+///BuIEAAAkVGFibGUuQ3VzdEludm9pY2VUcmFucy5JbnZlbnRUcmFuc0lkCecBAAABHPv//3/7//8G5QQAACRUYWJsZS5DdXN0SW52b2ljZVRyYW5zLkxpbmVBbW91bnRNU1QJfgIAAAEZ+///f/v//wboBAAAIlRhYmxlLkN1c3RJbnZvaWNlVHJhbnMuSW52b2ljZURhdGUJDwIAAAEW+///f/v//wbrBAAAGlRhYmxlLkN1c3RJbnZvaWNlVHJhbnMuUXR5CTQCAAABE/v//3/7//8G7gQAACBUYWJsZS5DdXN0SW52b2ljZVRyYW5zLlNhbGVzVW5pdAlZAgAAB14EAAAAAQAAAAEAAAAD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EQ+///dvv//wbxBAAAIlRhYmxlLkN1c3RJbnZvaWNlVHJhbnMuSW52b2ljZURhdGUJwgQAAAdgBAAAAAEAAAACAAAAA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EN+///fPv//wn3AgAACfQCAAABCvv//3z7//8JHAEAAAkiAwAAAWEEAAATBAAAAXQEAAAMAAAAB3UEAAAAAQAAAAM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Qf7//9/+///BvoEAAAdVGFibGUuQ3VzdEludm9pY2VUcmFucy5JdGVtSWQJcgEAAAEE+///f/v//wb9BAAAJFRhYmxlLkN1c3RJbnZvaWNlVHJhbnMuSW52ZW50VHJhbnNJZAnnAQAAAQH7//9/+///BgAFAAAkVGFibGUuQ3VzdEludm9pY2VUcmFucy5MaW5lQW1vdW50TVNUCX4CAAAHdwQAAAABAAAAAQ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f76//92+///BgMFAAAiVGFibGUuQ3VzdEludm9pY2VUcmFucy5JbnZvaWNlRGF0ZQnCBAAAB3kEAAAAAQAAAAIAAAAD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fv6//98+///CfcCAAAJ9AIAAAH4+v//fPv//wkcAQAACSIDAAABegQAABMEAAAFjAQAADJHbG9iZVNvZnR3YXJlLkF0bGFzNDAuQXRsYXNDb21tb24uVHlwZS5GaWVsZFN0cmluZw4AAAA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BAQECAAEBAQEBAQEDAQj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OAAAACRkBAAAJGgEAAAkqAAAACRsBAAD/////CRkBAAAKCRoBAAAGEQUAAAxPcmRlckFjY291bnQKCgkqAAAACRMFAAAJKgAAAAGPBAAAHwEAAAHr+v//1P////////8ABhYFAAAGU3RyaW5nBhcFAAAHSW52b2ljZQkUAwAAAef6///S////AgAAAAHm+v//Cv3//wEAAAAAAAkXAwAABhwFAAAJSW52b2ljZUlkCSoAAAAK/////wkXAwAACgkcBQAACgoKCSoAAAAJIQUAAAkqAAAAAZUEAAAfAQAAAd36///U/////////wAGJAUAAARSZWFsBiUFAAAIUXVhbnRpdHkJFAMAAAHZ+v//0v///wIAAAAB2Pr//wr9//8BAAAAAAAJFwMAAAYqBQAAA1F0eQkqAAAACv////8JFwMAAAoJKgUAAAoKCgkqAAAACS8FAAAJKgAAAAGYBAAAHwEAAAHP+v//1P////////8ABjIFAAAEUmVhbAYzBQAAClVuaXQgcHJpY2UJFAMAAAHL+v//0v///wIAAAAByvr//wr9//8BAAAAAAAJFwMAAAY4BQAAClNhbGVzUHJpY2UJKgAAAAr/////CRcDAAAKCTgFAAAKCgoJKgAAAAk9BQAACSoAAAABmwQAAB8BAAABwfr//9T/////////AAZABQAABFJlYWwGQQUAAAZBbW91bnQJFAMAAAG9+v//0v///wIAAAABvPr//wr9//8BAAAAAAAJFwMAAAZGBQAACkxpbmVBbW91bnQJKgAAAAr/////CRcDAAAKCUYFAAAKCgoJKgAAAAlLBQAACSoAAAABngQAAB8BAAABs/r//9T/////////AAZOBQAABlN0cmluZwZPBQAACEN1cnJlbmN5CRQDAAABr/r//9L///8CAAAAAa76//8K/f//AQAAAAAACRcDAAAGVAUAAAxDdXJyZW5jeUNvZGUJKgAAAAr/////CRcDAAAKCVQFAAAKCgoJKgAAAAlZBQAACSoAAAABoQQAAIwEAAAJFwMAAAZcBQAACkRhdGFBcmVhSWQJKgAAAAkqAAAA/////wkXAwAACglcBQAACgoKCSoAAAAJYQUAAAkqAAAAAaQEAACMBAAACRcDAAAGZAUAAAxDdXJyZW5jeUNvZGUJKgAAAAkqAAAA/////wkXAwAACglkBQAACgoKCSoAAAAJaQUAAAkqAAAAAacEAACMBAAACRcDAAAJEQEAAAkqAAAACSoAAAD/////CRcDAAAKCREBAAAKCgoJKgAAAAlxBQAACSoAAAABqgQAAIwEAAAJFwMAAAZ0BQAACUludm9pY2VJZAkqAAAACSoAAAD/////CRcDAAAKCXQFAAAKCgoJKgAAAAl5BQAACSoAAAABrQQAAIwEAAAJFwMAAAZ8BQAABkl0ZW1JZAkqAAAACSoAAAD/////CRcDAAAKCXwFAAAKCgoJKgAAAAmBBQAACSoAAAABswQAAIwEAAAJHAEAAAkdAQAACSoAAAAJHgEAAP////8JHAEAAAoJHQEAAAaJBQAABkl0ZW1JZAoKCSoAAAAJiwUAAAkqAAAAAcIEAACMBAAACRcDAAAJEQEAAAkqAAAABpAFAAAyMDEuMDEuMjAxNiAuLiAwNi4zMC4yMDE2LCAwMS4wMS4yMDE3IC4uIDA2LjMwLjIwMTf/////CRcDAAAKCREBAAAKCgoJKgAAAAmUBQAACSoAAAABEwUAACYAAAAnAAAACRAEAAADAAAACZcFAAABIQUAACYAAAAbAAAACd4AAAADAAAACZkFAAABLwUAACYAAAA5AAAACd4AAAADAAAACZsFAAABPQUAACYAAAAbAAAACd4AAAADAAAACZ0FAAABSwUAACYAAAAbAAAACd4AAAADAAAACZ8FAAABWQUAACYAAAAbAAAACd4AAAADAAAACaEFAAAEYQU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3gAAAAAAAAAEaQU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3gAAAAAAAAAEcQU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3gAAAAAAAAAEeQU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3gAAAAAAAAAEgQU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3gAAAAAAAAABiwUAACYAAAAnAAAACRAEAAADAAAACaQFAAABlAUAACYAAABrAAAACd4AAAADAAAACaYFAAAHlwU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Z+v//zv7//waoBQAABFR5cGUGqQUAAAZTdHJpbmcBVvr//87+//8GqwUAAAVMYWJlbAasBQAADkN1c3RvbWVyIGdyb3VwAVP6///O/v//Bq4FAAAIUmVmZXJzVG8GrwUAAAo9Q3VzdEdyb3VwB5kF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UPr//87+//8JLQQAAAayBQAADkludm9pY2UgbnVtYmVyAU36///O/v//CTAEAAAJFwUAAAFK+v//zv7//wkzBAAACRYFAAAHmwU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H+v//zv7//wktBAAABrsFAAAqUXVhbnRpdHkgdGhhdCB3YXMgaW52b2ljZWQgaW4gc2FsZXMgdW5pdHMuAUT6///O/v//CTAEAAAJJQUAAAFB+v//zv7//wkzBAAACSQFAAAHnQU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++v//zv7//wktBAAABsQFAAAoT3ZlcnZpZXcgb2Ygc2FsZXMgcHJpY2Ugc2V0dXAgZm9yIGNvc3RzLgE7+v//zv7//wkwBAAACTMFAAABOPr//87+//8JMwQAAAkyBQAAB58F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Nfr//87+//8JLQQAAAbNBQAAE0Ftb3VudCBpbiBjdXJyZW5jeS4BMvr//87+//8JMAQAAAlBBQAAAS/6///O/v//CTMEAAAJQAUAAAehB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Sz6///O/v//CS0EAAAG1gUAABZDdXJyZW50IGN1cnJlbmN5IGNvZGUuASn6///O/v//CTAEAAAJTwUAAAEm+v//zv7//wkzBAAACU4FAAAHpAU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j+v//zv7//wmoBQAABt8FAAAGU3RyaW5nASD6///O/v//CasFAAAG4gUAAApJdGVtIGdyb3VwAR36///O/v//Ca4FAAAG5QUAAAo9SXRlbUdyb3VwB6YF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Gvr//87+//8JMwQAAAboBQAABERhdGUBF/r//87+//8JMAQAAAbrBQAABERhdGUBFPr//87+//8G7QUAAAhSZWZlcnNUbwbuBQAACz1EYXRlUGVyaW9kCw==</Report>
</Atlas>
</file>

<file path=customXml/item4.xml><?xml version="1.0" encoding="utf-8"?>
<Atlas>
  <Query type="ReportList" id="c6ecd5c6-6c60-44be-b8bb-3edb883d30ef">
    AAEAAAD/////AQAAAAAAAAAMAgAAAGRHbG9iZVNvZnR3YXJlLkF0bGFzNDAuQXRsYXNDb21tb24sIFZlcnNpb249NC4wLjAuMCwgQ3VsdHVyZT1uZXV0cmFsLCBQdWJsaWNLZXlUb2tlbj1hZTIxZWMzNTc1ZDEyOTlmBQEAAAAwR2xvYmVTb2Z0d2FyZS5BdGxhczQwLkF0bGFzQ29tbW9uLlR5cGUuUXVlcnlJbXBsDgAAABVRdWVyeStfZGF0YUNvbm5lY3Rpb24SUXVlcnkrX2RhdGFTb3VyY2VzDlF1ZXJ5K19jb2x1bW5zEFF1ZXJ5K19xdWVyeVR5cGUUUXVlcnkrX291dHB1dE9iamVjdHMNUXVlcnkrX3JlcG9ydBFRdWVyeStfZHNTaG9ydEtleRBRdWVyeStfZGF0YVZpZXdzEVF1ZXJ5K19hdHRyaWJ1dGVzGlF1ZXJ5K19kYXRhU291cmNlT2NjdXJlbmNlFVF1ZXJ5K19kYXRhU291cmNla2V5MBhRdWVyeStfcHJpbWFyeURhdGFTb3VyY2UeUXVlcnkrX2pvdXJuYWxIZWFkZXJEYXRhU291cmNlG1F1ZXJ5K19qb3VybmFsSGVhZGVyQ29sdW1ucwQDAwQDAQMDAwMBBAQDNUdsb2JlU29mdHdhcmUuQXRsYXM0MC5BdGxhc0NvbW1vbi5UeXBlLkRhdGFDb25uZWN0aW9uAg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rR2xvYmVTb2Z0d2FyZS5BdGxhczQwLkF0bGFzQ29tbW9uLlF1ZXJ5VHlwZQIAAAB/U3lzdGVtLkNvbGxlY3Rpb25zLkdlbmVyaWMuTGlzdGAxW1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T2JqZWN0LCBtc2NvcmxpYiwgVmVyc2lvbj00LjAuMC4wLCBDdWx0dXJlPW5ldXRyYWwsIFB1YmxpY0tleVRva2VuPWI3N2E1YzU2MTkzNGUwODldXboBU3lzdGVtLkNvbGxlY3Rpb25zLkdlbmVyaWMuTGlzdGAxW1tHbG9iZVNvZnR3YXJlLkF0bGFzNDAuQXRsYXNDb21tb24uVHlwZS5EYXRhdmlldywgR2xvYmVTb2Z0d2FyZS5BdGxhczQwLkF0bGFzQ29tbW9uLCBWZXJzaW9uPTQuMC4wLjAsIEN1bHR1cmU9bmV1dHJhbCwgUHVibGljS2V5VG9rZW49YWUyMWVjMzU3NWQxMjk5Zl1d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3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TFHbG9iZVNvZnR3YXJlLkF0bGFzNDAuQXRsYXNDb21tb24uVHlwZS5EYXRhU291cmNlAgAAADFHbG9iZVNvZnR3YXJlLkF0bGFzNDAuQXRsYXNDb21tb24uVHlwZS5EYXRhU291cmNlAgAAALgBU3lzdGVtLkNvbGxlY3Rpb25zLkdlbmVyaWMuTGlzdGAxW1tHbG9iZVNvZnR3YXJlLkF0bGFzNDAuQXRsYXNDb21tb24uVHlwZS5Db2x1bW4sIEdsb2JlU29mdHdhcmUuQXRsYXM0MC5BdGxhc0NvbW1vbiwgVmVyc2lvbj00LjAuMC4wLCBDdWx0dXJlPW5ldXRyYWwsIFB1YmxpY0tleVRva2VuPWFlMjFlYzM1NzVkMTI5OWZdXQIAAAAJAwAAAAkEAAAACQUAAAAF+v///ytHbG9iZVNvZnR3YXJlLkF0bGFzNDAuQXRsYXNDb21tb24uUXVlcnlUeXBlAQAAAAd2YWx1ZV9fAAgCAAAACQAAAAkHAAAABggAAAAACQkAAAAJCgAAAAkLAAAACQwAAAAJCAAAAAkOAAAACgkPAAAABQMAAAA1R2xvYmVTb2Z0d2FyZS5BdGxhczQwLkF0bGFzQ29tbW9uLlR5cGUuRGF0YUNvbm5lY3Rpb24CAAAAC19hdHRyaWJ1dGVzBV9uYW1lAwH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CRAAAAAGEQAAAARQcm9kBAQA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ow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W10BAAAACRIAAAADAAAACRMAAAAEBQ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AgAAAAgICRQAAAAGAAAABgAAAAQHAAAAf1N5c3RlbS5Db2xsZWN0aW9ucy5HZW5lcmljLkxpc3RgMVtbU3lzdGVtLlN0cmluZywgbXNjb3JsaWIsIFZlcnNpb249NC4wLjAuMCwgQ3VsdHVyZT1uZXV0cmFsLCBQdWJsaWNLZXlUb2tlbj1iNzdhNWM1NjE5MzRlMDg5XV0DAAAABl9pdGVtcwVfc2l6ZQhfdmVyc2lvbgYAAAgICRUAAAABAAAAAQAAAAQJAAAA4gFTeXN0ZW0uQ29sbGVjdGlvbnMuR2VuZXJpYy5EaWN0aW9uYXJ5YDJbW1N5c3RlbS5TdHJpbmcsIG1zY29ybGliLCBWZXJzaW9uPTQuMC4wLjAsIEN1bHR1cmU9bmV1dHJhbCwgUHVibGljS2V5VG9rZW49Yjc3YTVjNTYxOTM0ZTA4OV0sW1N5c3RlbS5PYmplY3Q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k9iamVjdCwgbXNjb3JsaWIsIFZlcnNpb249NC4wLjAuMCwgQ3VsdHVyZT1uZXV0cmFsLCBQdWJsaWNLZXlUb2tlbj1iNzdhNWM1NjE5MzRlMDg5XV1bXQEAAAAJEgAAAAMAAAAJFwAAAAQKAAAAugFTeXN0ZW0uQ29sbGVjdGlvbnMuR2VuZXJpYy5MaXN0YDFbW0dsb2JlU29mdHdhcmUuQXRsYXM0MC5BdGxhc0NvbW1vbi5UeXBlLkRhdGF2aWV3LCBHbG9iZVNvZnR3YXJlLkF0bGFzNDAuQXRsYXNDb21tb24sIFZlcnNpb249NC4wLjAuMCwgQ3VsdHVyZT1uZXV0cmFsLCBQdWJsaWNLZXlUb2tlbj1hZTIxZWMzNTc1ZDEyOTlmXV0DAAAABl9pdGVtcwVfc2l6ZQhfdmVyc2lvbgQAADFHbG9iZVNvZnR3YXJlLkF0bGFzNDAuQXRsYXNDb21tb24uVHlwZS5EYXRhdmlld1tdAgAAAAgICRgAAAAGAAAAAgAAAAQLAAAA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0EAAAAB1ZlcnNpb24IQ29tcGFyZXIISGFzaFNpemUNS2V5VmFsdWVQYWlycwADAAMI2QFTeXN0ZW0uQ29sbGVjdGlvbnMuR2VuZXJpYy5FbnVtRXF1YWxpdHlDb21wYXJlcmAxW1tHbG9iZVNvZnR3YXJlLkF0bGFzNDAuQXRsYXNDb21tb24uVHlwZS5BdGxhc1F1ZXJ5QXR0cmlidXRlTmFtZSwgR2xvYmVTb2Z0d2FyZS5BdGxhczQwLkF0bGFzQ29tbW9uLCBWZXJzaW9uPTQuMC4wLjAsIEN1bHR1cmU9bmV1dHJhbCwgUHVibGljS2V5VG9rZW49YWUyMWVjMzU3NWQxMjk5Zl1dCLACU3lzdGVtLkNvbGxlY3Rpb25zLkdlbmVyaWMuS2V5VmFsdWVQYWly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1bXR4AAAAJGQAAABEAAAAJGgAAAAQMAAAA4QFTeXN0ZW0uQ29sbGVjdGlvbnMuR2VuZXJpYy5EaWN0aW9uYXJ5YDJbW1N5c3RlbS5TdHJpbmcsIG1zY29ybGliLCBWZXJzaW9uPTQuMC4wLjAsIEN1bHR1cmU9bmV1dHJhbCwgUHVibGljS2V5VG9rZW49Yjc3YTVjNTYxOTM0ZTA4OV0sW1N5c3RlbS5JbnQzMi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l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W10BAAAACRIAAAADAAAACRwAAAAFDgAAADFHbG9iZVNvZnR3YXJlLkF0bGFzNDAuQXRsYXNDb21tb24uVHlwZS5EYXRhU291cmNlGAAAAANfaWQFX25hbWUGX2xhYmVsDF9wYXJlbnRUYWJsZQxfcGFyZW50RmllbGQLX2NoaWxkRmllbGQFX3R5cGUNX291dHB1dEZpZWxkcwxfcmFuZ2VGaWVsZHMFX2d1aWQJX3JlZmVyc1RvEF9vdXRwdXRGaWVsZEtleTARX2NoaWxkRGF0YVNvdXJjZXMEX2tleRVfcGFyZW50RGF0YVNvdXJjZU5hbWUZX3BhcmVudEZpZWxkRGF0YVNvdXJjZUtleQ9fcGFyZW50RmllbGRLZXkQX3BhcmVudEZpZWxkTmFtZRFfcmVsYXRlZEZpZWxkTmFtZQZfaW5kZXgJX2pvaW5Nb2RlCl9mZXRjaE1vZGUHX2lnbm9yZQtfYXR0cmlidXRlcwABAQEBAQQDAwMBAQMBAQEBAQEABAQAAwgwR2xvYmVTb2Z0d2FyZS5BdGxhczQwLkF0bGFzQ29tbW9uLkRhdGFTb3VyY2VUeXBlAgA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2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tTeXN0ZW0uR3VpZ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INEdsb2JlU29mdHdhcmUuQXRsYXM0MC5BdGxhc0NvbW1vbi5EYXRhU291cmNlSm9pbk1vZGUCAAAANUdsb2JlU29mdHdhcmUuQXRsYXM0MC5BdGxhc0NvbW1vbi5EYXRhU291cmNlRmV0Y2hNb2RlAgAAAAG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/////wYdAAAAC1VuaXRDb252ZXJ0Bh4AAAAPVW5pdCBjb252ZXJzaW9uCQgAAAAJCAAAAAkIAAAABeD///8wR2xvYmVTb2Z0d2FyZS5BdGxhczQwLkF0bGFzQ29tbW9uLkRhdGFTb3VyY2VUeXBlAQAAAAd2YWx1ZV9fAAgCAAAAAAAAAAkhAAAACSIAAAAE3f///wtTeXN0ZW0uR3VpZAsAAAACX2ECX2ICX2MCX2QCX2UCX2YCX2cCX2gCX2kCX2oCX2sAAAAAAAAAAAAAAAgHBwICAgICAgIC5ATNWsPzOE2dxoEQuUNu0wkIAAAACQgAAAAJJQAAAAYmAAAAEVRhYmxlLlVuaXRDb252ZXJ0CgoKCgoBAAAABdn///80R2xvYmVTb2Z0d2FyZS5BdGxhczQwLkF0bGFzQ29tbW9uLkRhdGFTb3VyY2VKb2luTW9kZQEAAAAHdmFsdWVfXwAIAgAAAAAAAAAF2P///zVHbG9iZVNvZnR3YXJlLkF0bGFzNDAuQXRsYXNDb21tb24uRGF0YVNvdXJjZUZldGNoTW9kZQEAAAAHdmFsdWVfXwAIAgAAAAAAAAAACSkAAAABDwAAAAUAAAAJKgAAAAAAAAAAAAAABBA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DAAAAB1ZlcnNpb24IQ29tcGFyZXIISGFzaFNpemUAAwAIkgFTeXN0ZW0uQ29sbGVjdGlvbnMuR2VuZXJpYy5HZW5lcmljRXF1YWxpdHlDb21wYXJlcmAxW1tTeXN0ZW0uU3RyaW5nLCBtc2NvcmxpYiwgVmVyc2lvbj00LjAuMC4wLCBDdWx0dXJlPW5ldXRyYWwsIFB1YmxpY0tleVRva2VuPWI3N2E1YzU2MTkzNGUwODldXQgAAAAACRIAAAAAAAAABBIAAACSAVN5c3RlbS5Db2xsZWN0aW9ucy5HZW5lcmljLkdlbmVyaWNFcXVhbGl0eUNvbXBhcmVyYDFbW1N5c3RlbS5TdHJpbmcsIG1zY29ybGliLCBWZXJzaW9uPTQuMC4wLjAsIEN1bHR1cmU9bmV1dHJhbCwgUHVibGljS2V5VG9rZW49Yjc3YTVjNTYxOTM0ZTA4OV1dAAAAAAcTAAAAAAEAAAABAAAAA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TU////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gAAAANrZXkFdmFsdWUBBDFHbG9iZVNvZnR3YXJlLkF0bGFzNDAuQXRsYXNDb21tb24uVHlwZS5EYXRhU291cmNlAgAAAAkmAAAACQ4AAAAHFAAAAAABAAAACAAAAAQtR2xvYmVTb2Z0d2FyZS5BdGxhczQwLkF0bGFzQ29tbW9uLlR5cGUuQ29sdW1uAgAAAAkvAAAACTAAAAAJMQAAAAkyAAAACTMAAAAJNAAAAA0CERUAAAAEAAAABjUAAAANQXRsYXNSZXBvcnRfNA0DBxcAAAAAAQAAAAEAAAAD5AFTeXN0ZW0uQ29sbGVjdGlvbnMuR2VuZXJpYy5LZXlWYWx1ZVBhaXJgMltbU3lzdGVtLlN0cmluZywgbXNjb3JsaWIsIFZlcnNpb249NC4wLjAuMCwgQ3VsdHVyZT1uZXV0cmFsLCBQdWJsaWNLZXlUb2tlbj1iNzdhNWM1NjE5MzRlMDg5XSxbU3lzdGVtLk9iamVjdCwgbXNjb3JsaWIsIFZlcnNpb249NC4wLjAuMCwgQ3VsdHVyZT1uZXV0cmFsLCBQdWJsaWNLZXlUb2tlbj1iNzdhNWM1NjE5MzRlMDg5XV0Eyv///+QBU3lzdGVtLkNvbGxlY3Rpb25zLkdlbmVyaWMuS2V5VmFsdWVQYWlyYDJbW1N5c3RlbS5TdHJpbmcsIG1zY29ybGliLCBWZXJzaW9uPTQuMC4wLjAsIEN1bHR1cmU9bmV1dHJhbCwgUHVibGljS2V5VG9rZW49Yjc3YTVjNTYxOTM0ZTA4OV0sW1N5c3RlbS5PYmplY3QsIG1zY29ybGliLCBWZXJzaW9uPTQuMC4wLjAsIEN1bHR1cmU9bmV1dHJhbCwgUHVibGljS2V5VG9rZW49Yjc3YTVjNTYxOTM0ZTA4OV1dAgAAAANrZXkFdmFsdWUBAgkmAAAACSYAAAAHGAAAAAABAAAABgAAAAQvR2xvYmVTb2Z0d2FyZS5BdGxhczQwLkF0bGFzQ29tbW9uLlR5cGUuRGF0YXZpZXcCAAAADQYEGQAAANkBU3lzdGVtLkNvbGxlY3Rpb25zLkdlbmVyaWMuRW51bUVxdWFsaXR5Q29tcGFyZXJgMVtbR2xvYmVTb2Z0d2FyZS5BdGxhczQwLkF0bGFzQ29tbW9uLlR5cGUuQXRsYXNRdWVyeUF0dHJpYnV0ZU5hbWUsIEdsb2JlU29mdHdhcmUuQXRsYXM0MC5BdGxhc0NvbW1vbiwgVmVyc2lvbj00LjAuMC4wLCBDdWx0dXJlPW5ldXRyYWwsIFB1YmxpY0tleVRva2VuPWFlMjFlYzM1NzVkMTI5OWZdXQAAAAAHGgAAAAABAAAADgAAAAOuAlN5c3RlbS5Db2xsZWN0aW9ucy5HZW5lcmljLktleVZhbHVlUGFpcmAyW1tHbG9iZVNvZnR3YXJlLkF0bGFzNDAuQXRsYXNDb21tb24uVHlwZS5BdGxhc1F1ZXJ5QXR0cmlidXRlTmFtZSwgR2xvYmVTb2Z0d2FyZS5BdGxhczQwLkF0bGFzQ29tbW9uLCBWZXJzaW9uPTQuMC4wLjAsIEN1bHR1cmU9bmV1dHJhbCwgUHVibGljS2V5VG9rZW49YWUyMWVjMzU3NWQxMjk5Zl0sW1N5c3RlbS5TdHJpbmcsIG1zY29ybGliLCBWZXJzaW9uPTQuMC4wLjAsIEN1bHR1cmU9bmV1dHJhbCwgUHVibGljS2V5VG9rZW49Yjc3YTVjNTYxOTM0ZTA4OV1dBMj///+uAlN5c3RlbS5Db2xsZWN0aW9ucy5HZW5lcmljLktleVZhbHVlUGFpcmAyW1tHbG9iZVNvZnR3YXJlLkF0bGFzNDAuQXRsYXNDb21tb24uVHlwZS5BdGxhc1F1ZXJ5QXR0cmlidXRlTmFtZSwgR2xvYmVTb2Z0d2FyZS5BdGxhczQwLkF0bGFzQ29tbW9uLCBWZXJzaW9uPTQuMC4wLjAsIEN1bHR1cmU9bmV1dHJhbCwgUHVibGljS2V5VG9rZW49YWUyMWVjMzU3NWQxMjk5Zl0sW1N5c3RlbS5TdHJpbmcsIG1zY29ybGliLCBWZXJzaW9uPTQuMC4wLjAsIEN1bHR1cmU9bmV1dHJhbCwgUHVibGljS2V5VG9rZW49Yjc3YTVjNTYxOTM0ZTA4OV1dAgAAAANrZXkFdmFsdWUEAT5HbG9iZVNvZnR3YXJlLkF0bGFzNDAuQXRsYXNDb21tb24uVHlwZS5BdGxhc1F1ZXJ5QXR0cmlidXRlTmFtZQIAAAAFx////z5HbG9iZVNvZnR3YXJlLkF0bGFzNDAuQXRsYXNDb21tb24uVHlwZS5BdGxhc1F1ZXJ5QXR0cmlidXRlTmFtZQEAAAAHdmFsdWVfXwAIAgAAAAIAAAAGOgAAACRjNmVjZDVjNi02YzYwLTQ0YmUtYjhiYi0zZWRiODgzZDMwZWYBxf///8j///8BxP///8f///8AAAAABj0AAAAEdHJ1ZQHC////yP///wHB////x////wsAAAAGQAAAAA9Vbml0IGNvbnZlcnNpb24Bv////8j///8Bvv///8f///8bAAAABkMAAAAEVHJ1ZQG8////yP///wG7////x////wYAAAAGRgAAAAVGYWxzZQG5////yP///wG4////x////xwAAAAJQwAAAAG2////yP///wG1////x////x0AAAAJRgAAAAGz////yP///wGy////x////yoAAAAJQwAAAAGw////yP///wGv////x////wEAAAAGUgAAAAMzNjkBrf///8j///8BrP///8f///8nAAAABlUAAAALPURhdGFBcmVhSWQBqv///8j///8Bqf///8f///8ZAAAABlgAAAAPQ2VsbHNWZXJ0aWNhbGx5Aaf////I////Aab////H////CQAAAAoBpf///8j///8BpP///8f///8oAAAABl0AAAABNgGi////yP///wGh////x////ysAAAAGYAAAABFUYWJsZVN0eWxlTWVkaXVtMgccAAAAAAEAAAABAAAAA+MBU3lzdGVtLkNvbGxlY3Rpb25zLkdlbmVyaWMuS2V5VmFsdWVQYWlyYDJbW1N5c3RlbS5TdHJpbmcsIG1zY29ybGliLCBWZXJzaW9uPTQuMC4wLjAsIEN1bHR1cmU9bmV1dHJhbCwgUHVibGljS2V5VG9rZW49Yjc3YTVjNTYxOTM0ZTA4OV0sW1N5c3RlbS5JbnQzMiwgbXNjb3JsaWIsIFZlcnNpb249NC4wLjAuMCwgQ3VsdHVyZT1uZXV0cmFsLCBQdWJsaWNLZXlUb2tlbj1iNzdhNWM1NjE5MzRlMDg5XV0En////+MBU3lzdGVtLkNvbGxlY3Rpb25zLkdlbmVyaWMuS2V5VmFsdWVQYWlyYDJbW1N5c3RlbS5TdHJpbmcsIG1zY29ybGliLCBWZXJzaW9uPTQuMC4wLjAsIEN1bHR1cmU9bmV1dHJhbCwgUHVibGljS2V5VG9rZW49Yjc3YTVjNTYxOTM0ZTA4OV0sW1N5c3RlbS5JbnQzMiwgbXNjb3JsaWIsIFZlcnNpb249NC4wLjAuMCwgQ3VsdHVyZT1uZXV0cmFsLCBQdWJsaWNLZXlUb2tlbj1iNzdhNWM1NjE5MzRlMDg5XV0CAAAAA2tleQV2YWx1ZQEACAZiAAAAC1VuaXRDb252ZXJ0AQAAAAQh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QAAAAHVmVyc2lvbghDb21wYXJlcghIYXNoU2l6ZQ1LZXlWYWx1ZVBhaXJzAAMAAwiSAVN5c3RlbS5Db2xsZWN0aW9ucy5HZW5lcmljLkdlbmVyaWNFcXVhbGl0eUNvbXBhcmVyYDFbW1N5c3RlbS5TdHJpbmcsIG1zY29ybGliLCBWZXJzaW9uPTQuMC4wLjAsIEN1bHR1cmU9bmV1dHJhbCwgUHVibGljS2V5VG9rZW49Yjc3YTVjNTYxOTM0ZTA4OV1dCKk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VtdBgAAAAljAAAABwAAAAlkAAAABCIAAAC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EgAAAAAAAAAEJQ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WMAAAAAAAAABCkAAAC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DAAAAB1ZlcnNpb24IQ29tcGFyZXIISGFzaFNpemUAAwAIzgFTeXN0ZW0uQ29sbGVjdGlvbnMuR2VuZXJpYy5FbnVtRXF1YWxpdHlDb21wYXJlcmAxW1tHbG9iZVNvZnR3YXJlLkF0bGFzNDAuQXRsYXNDb21tb24uVHlwZS5BeEF0dHJpYnV0ZXMsIEdsb2JlU29mdHdhcmUuQXRsYXM0MC5BdGxhc0NvbW1vbiwgVmVyc2lvbj00LjAuMC4wLCBDdWx0dXJlPW5ldXRyYWwsIFB1YmxpY0tleVRva2VuPWFlMjFlYzM1NzVkMTI5OWZdXQgAAAAACWcAAAAAAAAAByoAAAAAAQAAAAAAAAAELUdsb2JlU29mdHdhcmUuQXRsYXM0MC5BdGxhc0NvbW1vbi5UeXBlLkNvbHVtbgIAAAAFLwAAAC1HbG9iZVNvZnR3YXJlLkF0bGFzNDAuQXRsYXNDb21tb24uVHlwZS5Db2x1bW4aAAAAB19maWVsZHMLX2F0dHJpYnV0ZXMNX2NvbHVtbkZvcm1hdAVfbmFtZQZfbGFiZWwFX2ljb24MX2NhbGN1bGF0aW9uA19pZAxfYWdncmVnYXRpb24GX29yZGVyC19jb2x1bW5UeXBlCl9zb3J0T3JkZXIPX3NvcnRPcmRlckluZGV4Bl9ncm91cAlfY3Jvc3NUYWIOX2Nyb3NzVGFiVmFsdWUOX2Nyb3NzVGFiVG90YWwPX2FnZ3JlZ2F0ZVZhbHVlD19vdXRwdXRDb2x1bW5ObwtfbnVsbENvbHVtbgRfa2V5CV9maWVsZEtleQ5faGVhZGVyQ29sdW1ucw5fZm9vdGVyQ29sdW1ucwxfdXBsb2FkVmFsdWUhPENhbGN1bGF0aW9uUXVlcnk+a19fQmFja2luZ0ZpZWxkAwMDAQEBAQEEAAQEAAAEAgAAAAABAQMDAQTCAVN5c3RlbS5Db2xsZWN0aW9ucy5HZW5lcmljLkxpc3RgMVtbR2xvYmVTb2Z0d2FyZS5BdGxhczQwLkF0bGFzQ29tbW9uLlR5cGUuRmllbGRPdXRwdXRGaWVsZCwgR2xvYmVTb2Z0d2FyZS5BdGxhczQwLkF0bGFzQ29tbW9uLCBWZXJzaW9uPTQuMC4wLjAsIEN1bHR1cmU9bmV1dHJhbCwgUHVibGljS2V5VG9rZW49YWUyMWVjMzU3NWQxMjk5Zl1d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3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tR2xvYmVTb2Z0d2FyZS5BdGxhczQwLkF0bGFzQ29tbW9uLkFnZ3JlZ2F0aW9uAgAAAAgsR2xvYmVTb2Z0d2FyZS5BdGxhczQwLkF0bGFzQ29tbW9uLkNvbHVtblR5cGUCAAAAK0dsb2JlU29mdHdhcmUuQXRsYXM0MC5BdGxhc0NvbW1vbi5Tb3J0T3JkZXICAAAACAFAR2xvYmVTb2Z0d2FyZS5BdGxhczQwLkF0bGFzQ29tbW9uLlR5cGUuQ29sdW1uK0Nyb3NzVGFiQ29sdW1uVHlwZQIAAAABBggBuAFTeXN0ZW0uQ29sbGVjdGlvbnMuR2VuZXJpYy5MaXN0YDFbW0dsb2JlU29mdHdhcmUuQXRsYXM0MC5BdGxhc0NvbW1vbi5UeXBlLkNvbHVtbiwgR2xvYmVTb2Z0d2FyZS5BdGxhczQwLkF0bGFzQ29tbW9uLCBWZXJzaW9uPTQuMC4wLjAsIEN1bHR1cmU9bmV1dHJhbCwgUHVibGljS2V5VG9rZW49YWUyMWVjMzU3NWQxMjk5Zl1duAFTeXN0ZW0uQ29sbGVjdGlvbnMuR2VuZXJpYy5MaXN0YDFbW0dsb2JlU29mdHdhcmUuQXRsYXM0MC5BdGxhc0NvbW1vbi5UeXBlLkNvbHVtbiwgR2xvYmVTb2Z0d2FyZS5BdGxhczQwLkF0bGFzQ29tbW9uLCBWZXJzaW9uPTQuMC4wLjAsIEN1bHR1cmU9bmV1dHJhbCwgUHVibGljS2V5VG9rZW49YWUyMWVjMzU3NWQxMjk5Zl1dLEdsb2JlU29mdHdhcmUuQXRsYXM0MC5BdGxhc0NvbW1vbi5UeXBlLlF1ZXJ5AgAAAAIAAAAJaAAAAAlpAAAACWoAAAAGawAAAAZJdGVtSWQGbAAAAAtJdGVtIG51bWJlcgZtAAAABlN0cmluZwkIAAAABm8AAAAkNjEzNjk2YTAtNTJiMC00ZDI1LWIwMDQtYTQ3OTJhNDEzODY0BZD///8tR2xvYmVTb2Z0d2FyZS5BdGxhczQwLkF0bGFzQ29tbW9uLkFnZ3JlZ2F0aW9uAQAAAAd2YWx1ZV9fAAgCAAAA/////wAAAAAFj////yxHbG9iZVNvZnR3YXJlLkF0bGFzNDAuQXRsYXNDb21tb24uQ29sdW1uVHlwZQEAAAAHdmFsdWVfXwAIAgAAAAAAAAAFjv///ytHbG9iZVNvZnR3YXJlLkF0bGFzNDAuQXRsYXNDb21tb24uU29ydE9yZGVyAQAAAAd2YWx1ZV9fAAgCAAAAAgAAAAAAAAAABY3///9AR2xvYmVTb2Z0d2FyZS5BdGxhczQwLkF0bGFzQ29tbW9uLlR5cGUuQ29sdW1uK0Nyb3NzVGFiQ29sdW1uVHlwZQEAAAAHdmFsdWVfXwAIAgAAAAAAAAAKAQAAAAAAAAAAAAAAAAAGdAAAACRlNTA2M2I5MS1kOGI2LTQ3ZjktYTEyNi0xNzg2M2FiZTlkMmYGdQAAABhUYWJsZS5Vbml0Q29udmVydC5JdGVtSWQKCgoKATAAAAAvAAAACXYAAAAJdwAAAAl4AAAABnkAAAAIRnJvbVVuaXQGegAAAAlGcm9tIHVuaXQGewAAAAZTdHJpbmcJCAAAAAZ9AAAAJDdmMWFiN2U0LTdmOTktNDYxMy05MGYxLTJiMDBjMzY3NGM4ZQGC////kP////////8BAAAAAYH///+P////AAAAAAGA////jv///wIAAAAAAAAAAAF/////jf///wAAAAAKAQAAAAAAAAAAAQAAAAAGggAAACQ1MDU1YjdhYi00NTlkLTRjM2YtOGNjNi1kNzFiNDc5MDc4YjIGgwAAABpUYWJsZS5Vbml0Q29udmVydC5Gcm9tVW5pdAoKCgoBMQAAAC8AAAAJhAAAAAmFAAAACYYAAAAGhwAAAAZGYWN0b3IGiAAAAAZGYWN0b3IGiQAAAARSZWFsCQgAAAAGiwAAACRhZmU3NGRlMi01NDdiLTQ3ZTgtYjdjMy00NWE5YmZjMmRlYWUBdP///5D///8BAAAAAgAAAAFz////j////wAAAAABcv///47///8CAAAAAAAAAAABcf///43///8AAAAACgEAAAAAAAAAAAIAAAAABpAAAAAkMTQ2OTViZTQtZWUwOS00YzYxLWJlYjItNGU3MGJkMmQwN2FhBpEAAAAYVGFibGUuVW5pdENvbnZlcnQuRmFjdG9yCgoKCgEyAAAALwAAAAmSAAAACZMAAAAJlAAAAAaVAAAABk1hcmt1cAaWAAAAE0FkZGl0aW9uYWwgcXVhbnRpdHkGlwAAAARSZWFsCQgAAAAGmQAAACRlZDliMzU5ZC0yMGY5LTRhNDQtYjgxNi05ZmU0NzM4MWU0NDEBZv///5D///8BAAAAAwAAAAFl////j////wAAAAABZP///47///8CAAAAAAAAAAABY////43///8AAAAACgEAAAAAAAAAAAMAAAAABp4AAAAkM2Q1ODFiYWEtNDBlZC00Nzc3LThjMzYtZDFmZGU2ZWE5MDI5Bp8AAAAYVGFibGUuVW5pdENvbnZlcnQuTWFya3VwCgoKCgEzAAAALwAAAAmgAAAACaEAAAAJogAAAAajAAAABlRvVW5pdAakAAAAB1RvIHVuaXQGpQAAAAZTdHJpbmcJCAAAAAanAAAAJDA4NWIyZTIxLWMyMTMtNDAxYS1iNmVkLTE3MzRhYzAwZGYyYgFY////kP////////8EAAAAAVf///+P////AAAAAAFW////jv///wIAAAAAAAAAAAFV////jf///wAAAAAKAQAAAAAAAAAABAAAAAAGrAAAACQ1MzNjYzBmNC0zNTA5LTQwZWEtYjU1MC04MDhkMWVkMDA1MzAGrQAAABhUYWJsZS5Vbml0Q29udmVydC5Ub1VuaXQKCgoKATQAAAAvAAAACa4AAAAJrwAAAAmwAAAABrEAAAAIUm91bmRPZmYGsgAAAAlSb3VuZC1vZmYGswAAAARFbnVtCQgAAAAGtQAAACRmZGYxOGUxZi1kMWU2LTRjNGItOTExZS01MjZhNTQ5YTJhYzEBSv///5D/////////BQAAAAFJ////j////wAAAAABSP///47///8CAAAAAAAAAAABR////43///8AAAAACgEAAAAAAAAAAAUAAAAABroAAAAkNzYzNjExMTMtMjYxYS00Y2Y0LWI4MDUtNjY1YjE0NjI3MDBmBrsAAAAaVGFibGUuVW5pdENvbnZlcnQuUm91bmRPZmYKCgoKAWMAAAASAAAAB2QAAAAAAQAAAAY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ET///+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CAAAAA2tleQV2YWx1ZQEEN0dsb2JlU29mdHdhcmUuQXRsYXM0MC5BdGxhc0NvbW1vbi5UeXBlLkZpZWxkT3V0cHV0RmllbGQCAAAABr0AAAAYVGFibGUuVW5pdENvbnZlcnQuSXRlbUlkCb4AAAABQf///0T///8GwAAAABpUYWJsZS5Vbml0Q29udmVydC5Gcm9tVW5pdAnBAAAAAT7///9E////BsMAAAAYVGFibGUuVW5pdENvbnZlcnQuRmFjdG9yCcQAAAABO////0T///8GxgAAABhUYWJsZS5Vbml0Q29udmVydC5NYXJrdXAJxwAAAAE4////RP///wbJAAAAGFRhYmxlLlVuaXRDb252ZXJ0LlRvVW5pdAnKAAAAATX///9E////BswAAAAaVGFibGUuVW5pdENvbnZlcnQuUm91bmRPZmYJzQAAAARnAAAAzgFTeXN0ZW0uQ29sbGVjdGlvbnMuR2VuZXJpYy5FbnVtRXF1YWxpdHlDb21wYXJlcmAxW1tHbG9iZVNvZnR3YXJlLkF0bGFzNDAuQXRsYXNDb21tb24uVHlwZS5BeEF0dHJpYnV0ZXMsIEdsb2JlU29mdHdhcmUuQXRsYXM0MC5BdGxhc0NvbW1vbiwgVmVyc2lvbj00LjAuMC4wLCBDdWx0dXJlPW5ldXRyYWwsIFB1YmxpY0tleVRva2VuPWFlMjFlYzM1NzVkMTI5OWZdXQAAAAAEaAAAAMIBU3lzdGVtLkNvbGxlY3Rpb25zLkdlbmVyaWMuTGlzdGAxW1tHbG9iZVNvZnR3YXJlLkF0bGFzNDAuQXRsYXNDb21tb24uVHlwZS5GaWVsZE91dHB1dEZpZWxkLCBHbG9iZVNvZnR3YXJlLkF0bGFzNDAuQXRsYXNDb21tb24sIFZlcnNpb249NC4wLjAuMCwgQ3VsdHVyZT1uZXV0cmFsLCBQdWJsaWNLZXlUb2tlbj1hZTIxZWMzNTc1ZDEyOTlmXV0DAAAABl9pdGVtcwVfc2l6ZQhfdmVyc2lvbgQAADlHbG9iZVNvZnR3YXJlLkF0bGFzNDAuQXRsYXNDb21tb24uVHlwZS5GaWVsZE91dHB1dEZpZWxkW10CAAAACAgJzgAAAAEAAAABAAAABGkAAAC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QAAAAHVmVyc2lvbghDb21wYXJlcghIYXNoU2l6ZQ1LZXlWYWx1ZVBhaXJzAAMAAwjNAVN5c3RlbS5Db2xsZWN0aW9ucy5HZW5lcmljLkVudW1FcXVhbGl0eUNvbXBhcmVyYDFbW0dsb2JlU29mdHdhcmUuQXRsYXM0MC5BdGxhc0NvbW1vbi5Db2x1bW5BdHRyaWJ1dGVzLCBHbG9iZVNvZnR3YXJlLkF0bGFzNDAuQXRsYXNDb21tb24sIFZlcnNpb249NC4wLjAuMCwgQ3VsdHVyZT1uZXV0cmFsLCBQdWJsaWNLZXlUb2tlbj1hZTIxZWMzNTc1ZDEyOTlmXV0IpA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VtdEwAAAAnPAAAABwAAAAnQAAAABGo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DgAAAAnRAAAABwAAAAnSAAAAAXYAAABoAAAACdMAAAABAAAAAQAAAAF3AAAAaQAAABIAAAAJzwAAAAcAAAAJ1QAAAAR4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4AAAAJ0QAAAAcAAAAJ1wAAAAGEAAAAaAAAAAnYAAAAAQAAAAEAAAABhQAAAGkAAAASAAAACc8AAAAHAAAACdoAAAAEhg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OAAAACdEAAAAHAAAACdwAAAABkgAAAGgAAAAJ3QAAAAEAAAABAAAAAZMAAABpAAAAEgAAAAnPAAAABwAAAAnfAAAABJQ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DgAAAAnRAAAABwAAAAnhAAAAAaAAAABoAAAACeIAAAABAAAAAQAAAAGhAAAAaQAAABIAAAAJzwAAAAcAAAAJ5AAAAASi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4AAAAJ0QAAAAcAAAAJ5gAAAAGuAAAAaAAAAAnnAAAAAQAAAAEAAAABrwAAAGkAAAASAAAACc8AAAAHAAAACekAAAAEsA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OAAAACdEAAAAHAAAACesAAAAFvgAAADdHbG9iZVNvZnR3YXJlLkF0bGFzNDAuQXRsYXNDb21tb24uVHlwZS5GaWVsZE91dHB1dEZpZWxkFwAAAAxfYWdncmVnYXRpb24HX2ludmVydAVfdHlwZQZfbGFiZWwLX2RhdGFTb3VyY2UKX3NvcnRPcmRlchBfbnVtU2VxQ29uZGl0aW9uDV9pc01ldGhvZENhbGwJX3NlbGVjdGVkDl9kYXRhU291cmNlS2V5BV9uYW1lDV9mb3JtYXRTdHJpbmcMRmllbGQrX3ZhbHVlEEZpZWxkK19heEZpZWxkSWQURmllbGQrX2RhdGFTb3VyY2VLZXkNRmllbGQrX2RzTmFtZQtGaWVsZCtfbmFtZRdGaWVsZCtfcmVsYXRlZEZpZWxkTmFtZRxGaWVsZCtfcmVsYXRlZERhdGFTb3VyY2VOYW1lE0ZpZWxkK19maWVsZE9ubHlLZXkTRmllbGQrX2Zvcm1hdFN0cmluZxFGaWVsZCtfYXR0cmlidXRlcxBGaWVsZCtfY3VzdG9tS2V5BAABAQQEBAAAAQEBAgABAQEBAQEBAwEtR2xvYmVTb2Z0d2FyZS5BdGxhczQwLkF0bGFzQ29tbW9uLkFnZ3JlZ2F0aW9uAgAAAAExR2xvYmVTb2Z0d2FyZS5BdGxhczQwLkF0bGFzQ29tbW9uLlR5cGUuRGF0YVNvdXJjZQIAAAArR2xvYmVTb2Z0d2FyZS5BdGxhczQwLkF0bGFzQ29tbW9uLlNvcnRPcmRlcgIAAAA5R2xvYmVTb2Z0d2FyZS5BdGxhczQwLkF0bGFzQ29tbW9uLk51bWJlclNlcXVlbmNlQ29uZGl0aW9uAgAAAAEBC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IAAAABFP///5D/////////AAbtAAAABlN0cmluZwbuAAAAC0l0ZW0gbnVtYmVyCe8AAAABEP///47///8CAAAABQ////85R2xvYmVTb2Z0d2FyZS5BdGxhczQwLkF0bGFzQ29tbW9uLk51bWJlclNlcXVlbmNlQ29uZGl0aW9uAQAAAAd2YWx1ZV9fAAgCAAAAAQAAAAAABvIAAAARVGFibGUuVW5pdENvbnZlcnQJawAAAAkIAAAACv////8J8gAAAAoJawAAAAoKCgkIAAAACfgAAAAJCAAAAAHBAAAAvgAAAAEG////kP////////8ABvsAAAAGU3RyaW5nBvwAAAAJRnJvbSB1bml0Ce8AAAABAv///47///8CAAAAAQH///8P////AQAAAAAACfIAAAAJeQAAAAkIAAAACv////8J8gAAAAoJeQAAAAoKCgkIAAAACQYBAAAJCAAAAAHEAAAAvgAAAAH4/v//kP////////8ABgkBAAAEUmVhbAYKAQAABkZhY3RvcgnvAAAAAfT+//+O////AgAAAAHz/v//D////wEAAAAAAAnyAAAACYcAAAAJCAAAAAr/////CfIAAAAKCYcAAAAKCgoJCAAAAAkUAQAACQgAAAABxwAAAL4AAAAB6v7//5D/////////AAYXAQAABFJlYWwGGAEAABNBZGRpdGlvbmFsIHF1YW50aXR5Ce8AAAAB5v7//47///8CAAAAAeX+//8P////AQAAAAAACfIAAAAJlQAAAAkIAAAACv////8J8gAAAAoJlQAAAAoKCgkIAAAACSIBAAAJCAAAAAHKAAAAvgAAAAHc/v//kP////////8ABiUBAAAGU3RyaW5nBiYBAAAHVG8gdW5pdAnvAAAAAdj+//+O////AgAAAAHX/v//D////wEAAAAAAAnyAAAACaMAAAAJCAAAAAr/////CfIAAAAKCaMAAAAKCgoJCAAAAAkwAQAACQgAAAABzQAAAL4AAAABzv7//5D/////////AAYzAQAABEVudW0GNAEAAAlSb3VuZC1vZmYJ7wAAAAHK/v//jv///wIAAAAByf7//w////8BAAAAAAAJ8gAAAAmxAAAACQgAAAAK/////wnyAAAACgmxAAAACgoKCQgAAAAJPgEAAAkIAAAAB84AAAAAAQAAAAQAAAAEN0dsb2JlU29mdHdhcmUuQXRsYXM0MC5BdGxhc0NvbW1vbi5UeXBlLkZpZWxkT3V0cHV0RmllbGQCAAAACb4AAAANAwTPAAAAzQFTeXN0ZW0uQ29sbGVjdGlvbnMuR2VuZXJpYy5FbnVtRXF1YWxpdHlDb21wYXJlcmAxW1tHbG9iZVNvZnR3YXJlLkF0bGFzNDAuQXRsYXNDb21tb24uQ29sdW1uQXR0cmlidXRlcywgR2xvYmVTb2Z0d2FyZS5BdGxhczQwLkF0bGFzQ29tbW9uLCBWZXJzaW9uPTQuMC4wLjAsIEN1bHR1cmU9bmV1dHJhbCwgUHVibGljS2V5VG9rZW49YWUyMWVjMzU3NWQxMjk5Zl1dAAAAAAfQAAAAAAEAAAAH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v/7//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A2tleQV2YWx1ZQQBMkdsb2JlU29mdHdhcmUuQXRsYXM0MC5BdGxhc0NvbW1vbi5Db2x1bW5BdHRyaWJ1dGVzAgAAAAW+/v//Mkdsb2JlU29mdHdhcmUuQXRsYXM0MC5BdGxhc0NvbW1vbi5Db2x1bW5BdHRyaWJ1dGVzAQAAAAd2YWx1ZV9fAAgCAAAABgAAAAZDAQAABVRvdGFsAbz+//+//v//Abv+//++/v//EAAAAAZGAQAABE5vbmUBuf7//7/+//8BuP7//77+//8JAAAACQgAAAABtv7//7/+//8Btf7//77+//8LAAAABkwBAAABMAGz/v//v/7//wGy/v//vv7//wQAAAAGTwEAAAdHZW5lcmFsAbD+//+//v//Aa/+//++/v//AgAAAAZSAQAAATEBrf7//7/+//8BrP7//77+//8AAAAABlUBAAAFMTQuNDMB0QAAABIAAAAH0g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Sq/v//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CAAAAA2tleQV2YWx1ZQEBBlcBAAAIRm9udEJvbGQGWAEAAAVGYWxzZQGn/v//qv7//wZaAQAACkZvbnRJdGFsaWMJWAEAAAGk/v//qv7//wZdAQAADUZvbnRVbmRlcmxpbmUGXgEAAAUtNDE0MgGh/v//qv7//wZgAQAACEZvbnROYW1lBmEBAAAHQ2FsaWJyaQGe/v//qv7//wZjAQAACUZvbnRDb2xvcgZkAQAAATABm/7//6r+//8GZgEAAAhGb250U2l6ZQZnAQAAAjExAZj+//+q/v//BmkBAAAJRm9udFN0eWxlBmoBAAAHUmVndWxhcgfTAAAAAAEAAAAEAAAABDdHbG9iZVNvZnR3YXJlLkF0bGFzNDAuQXRsYXNDb21tb24uVHlwZS5GaWVsZE91dHB1dEZpZWxkAgAAAAnBAAAADQMH1Q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ZT+//+//v//AZP+//++/v//EAAAAAlGAQAAAZH+//+//v//AZD+//++/v//CQAAAAkIAAAAAY7+//+//v//AY3+//++/v//CwAAAAZ0AQAAATEBi/7//7/+//8Biv7//77+//8EAAAABncBAAAHR2VuZXJhbAGI/v//v/7//wGH/v//vv7//wIAAAAGegEAAAExAYX+//+//v//AYT+//++/v//AAAAAAZ9AQAABTExLjE0B9c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gv7//6r+//8JVwEAAAlYAQAAAX/+//+q/v//CVoBAAAJWAEAAAF8/v//qv7//wldAQAABoYBAAAFLTQxNDIBef7//6r+//8JYAEAAAaJAQAAB0NhbGlicmkBdv7//6r+//8JYwEAAAaMAQAAATABc/7//6r+//8JZgEAAAaPAQAAAjExAXD+//+q/v//CWkBAAAGkgEAAAdSZWd1bGFyB9gAAAAAAQAAAAQAAAAEN0dsb2JlU29mdHdhcmUuQXRsYXM0MC5BdGxhc0NvbW1vbi5UeXBlLkZpZWxkT3V0cHV0RmllbGQCAAAACcQAAAANAwfa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bP7//7/+//8Ba/7//77+//8QAAAACUYBAAABaf7//7/+//8BaP7//77+//8JAAAACQgAAAABZv7//7/+//8BZf7//77+//8LAAAABpwBAAABMgFj/v//v/7//wFi/v//vv7//wQAAAAGnwEAAAdHZW5lcmFsAWD+//+//v//AV/+//++/v//AgAAAAaiAQAAATEBXf7//7/+//8BXP7//77+//8AAAAABqUBAAABOAfc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Vr+//+q/v//CVcBAAAJWAEAAAFX/v//qv7//wlaAQAACVgBAAABVP7//6r+//8JXQEAAAauAQAABS00MTQyAVH+//+q/v//CWABAAAGsQEAAAdDYWxpYnJpAU7+//+q/v//CWMBAAAGtAEAAAEwAUv+//+q/v//CWYBAAAGtwEAAAIxMQFI/v//qv7//wlpAQAABroBAAAHUmVndWxhcgfdAAAAAAEAAAAEAAAABDdHbG9iZVNvZnR3YXJlLkF0bGFzNDAuQXRsYXNDb21tb24uVHlwZS5GaWVsZE91dHB1dEZpZWxkAgAAAAnHAAAADQMH3w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UT+//+//v//AUP+//++/v//EAAAAAlGAQAAAUH+//+//v//AUD+//++/v//CQAAAAkIAAAAAT7+//+//v//AT3+//++/v//CwAAAAbEAQAAATMBO/7//7/+//8BOv7//77+//8EAAAABscBAAAHR2VuZXJhbAE4/v//v/7//wE3/v//vv7//wIAAAAGygEAAAExATX+//+//v//ATT+//++/v//AAAAAAbNAQAAAjIwB+E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Mv7//6r+//8JVwEAAAlYAQAAAS/+//+q/v//CVoBAAAJWAEAAAEs/v//qv7//wldAQAABtYBAAAFLTQxNDIBKf7//6r+//8JYAEAAAbZAQAAB0NhbGlicmkBJv7//6r+//8JYwEAAAbcAQAAATABI/7//6r+//8JZgEAAAbfAQAAAjExASD+//+q/v//CWkBAAAG4gEAAAdSZWd1bGFyB+IAAAAAAQAAAAQAAAAEN0dsb2JlU29mdHdhcmUuQXRsYXM0MC5BdGxhc0NvbW1vbi5UeXBlLkZpZWxkT3V0cHV0RmllbGQCAAAACcoAAAANAwfk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HP7//7/+//8BG/7//77+//8QAAAACUYBAAABGf7//7/+//8BGP7//77+//8JAAAACQgAAAABFv7//7/+//8BFf7//77+//8LAAAABuwBAAABNAET/v//v/7//wES/v//vv7//wQAAAAG7wEAAAdHZW5lcmFsARD+//+//v//AQ/+//++/v//AgAAAAbyAQAAATEBDf7//7/+//8BDP7//77+//8AAAAABvUBAAAEOC43MQfm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Qr+//+q/v//CVcBAAAJWAEAAAEH/v//qv7//wlaAQAACVgBAAABBP7//6r+//8JXQEAAAb+AQAABS00MTQyAQH+//+q/v//CWABAAAGAQIAAAdDYWxpYnJpAf79//+q/v//CWMBAAAGBAIAAAEwAfv9//+q/v//CWYBAAAGBwIAAAIxMQH4/f//qv7//wlpAQAABgoCAAAHUmVndWxhcgfnAAAAAAEAAAAEAAAABDdHbG9iZVNvZnR3YXJlLkF0bGFzNDAuQXRsYXNDb21tb24uVHlwZS5GaWVsZE91dHB1dEZpZWxkAgAAAAnNAAAADQMH6Q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fT9//+//v//AfP9//++/v//EAAAAAlGAQAAAfH9//+//v//AfD9//++/v//CQAAAAkIAAAAAe79//+//v//Ae39//++/v//CwAAAAYUAgAAATUB6/3//7/+//8B6v3//77+//8EAAAABhcCAAAHR2VuZXJhbAHo/f//v/7//wHn/f//vv7//wIAAAAGGgIAAAExAeX9//+//v//AeT9//++/v//AAAAAAYdAgAABTExLjU3B+s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4v3//6r+//8JVwEAAAlYAQAAAd/9//+q/v//CVoBAAAJWAEAAAHc/f//qv7//wldAQAABiYCAAAFLTQxNDIB2f3//6r+//8JYAEAAAYpAgAAB0NhbGlicmkB1v3//6r+//8JYwEAAAYsAgAAATAB0/3//6r+//8JZgEAAAYvAgAAAjExAdD9//+q/v//CWkBAAAGMgIAAAdSZWd1bGFyAe8AAAAOAAAA5gEAAAYzAgAAC1VuaXRDb252ZXJ0BjQCAAAPVW5pdCBjb252ZXJzaW9uCQgAAAAJCAAAAAkIAAAAAcr9///g////AAAAAAk3AgAACTgCAAABx/3//93///+kEvuCr3FDS5uNGyaaU/FwCQgAAAAJCAAAAAk7AgAACfIAAAAKCgoKCgEAAAABw/3//9n///8AAAAAAcL9///Y////AAAAAAAJPwIAAAT4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0AAAAJ0QAAAAMAAAAJQQIAAAQG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0AAAAJ0QAAAAMAAAAJQwIAAAQU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0AAAAJ0QAAAAMAAAAJRQIAAAQi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0AAAAJ0QAAAAMAAAAJRwIAAAQw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0AAAAJ0QAAAAMAAAAJSQIAAAQ+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0AAAAJ0QAAAAMAAAAJSwIAAAE3AgAAIQAAAAcAAAAJTAIAAAcAAAAJTQIAAAE4AgAAIgAAAAAAAAAJTAIAAAAAAAAEOwI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UwCAAAAAAAAAT8CAAApAAAAAAAAAAlPAgAAAAAAAAdBA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bD9//+q/v//BlECAAAISGVscFRleHQGUgIAACxJdGVtIHRoYXQgdGhlIGNvbnZlcnNpb24gZm9ybXVsYSBhcHBsaWVzIHRvLgGt/f//qv7//wZUAgAABUxhYmVsCe4AAAABqv3//6r+//8GVwIAAARUeXBlCe0AAAAHQwI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n/f//qv7//wlRAgAABlsCAAAUVW5pdCB0byBjb252ZXJ0IGZyb20BpP3//6r+//8JVAIAAAn8AAAAAaH9//+q/v//CVcCAAAJ+wAAAAdFA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Z79//+q/v//CVECAAAGZAIAAERDb252ZXJzaW9uIGZhY3RvciBiZXR3ZWVuIEZyb20gdW5pdCBhbmQgVG8gdW5pdCAoVG8gPSBGcm9tIHggRmFjdG9yKQGb/f//qv7//wlUAgAACQoBAAABmP3//6r+//8JVwIAAAkJAQAAB0c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lf3//6r+//8JUQIAAAZtAgAAKVF1YW50aXR5IGFkZGVkIHRvIHRoZSB1bml0IG9uIGNvbnZlcnNpb24uAZL9//+q/v//CVQCAAAJGAEAAAGP/f//qv7//wlXAgAACRcBAAAHSQI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M/f//qv7//wlRAgAABnYCAAASVW5pdCB0byBjb252ZXJ0IHRvAYn9//+q/v//CVQCAAAJJgEAAAGG/f//qv7//wlXAgAACSUBAAAHSwI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D/f//qv7//wlRAgAABn8CAAAiSG93IHNob3VsZCB0aGUgVG8gdW5pdCBiZSByb3VuZGVkPwGA/f//qv7//wlUAgAACTQBAAABff3//6r+//8JVwIAAAkzAQAAAUwCAAASAAAAB00CAAAAAQAAAAc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Xr9//9E////BocCAAAYVGFibGUuVW5pdENvbnZlcnQuSXRlbUlkCb4AAAABd/3//0T///8GigIAABpUYWJsZS5Vbml0Q29udmVydC5Gcm9tVW5pdAnBAAAAAXT9//9E////Bo0CAAAYVGFibGUuVW5pdENvbnZlcnQuRmFjdG9yCcQAAAABcf3//0T///8GkAIAABhUYWJsZS5Vbml0Q29udmVydC5NYXJrdXAJxwAAAAFu/f//RP///waTAgAAGFRhYmxlLlVuaXRDb252ZXJ0LlRvVW5pdAnKAAAAAWv9//9E////BpYCAAAaVGFibGUuVW5pdENvbnZlcnQuUm91bmRPZmYJzQAAAAFo/f//RP///waZAgAAHFRhYmxlLlVuaXRDb252ZXJ0LkRhdGFBcmVhSWQJmgIAAAFPAgAAZwAAAAGaAgAAvgAAAAFl/f//kP////////8ABpwCAAAGU3RyaW5nBp0CAAAQQ29tcGFueSBhY2NvdW50cwnvAAAAAWH9//+O////AgAAAAFg/f//D////wEAAAAAAAnyAAAABqICAAAKRGF0YUFyZWFJZAkIAAAACv////8J8gAAAAoJogIAAAoKCgkIAAAACacCAAAJCAAAAASn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YAAAAJ0QAAAAMAAAAJqgIAAAeqAg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VX9//+q/v//CVQCAAAJnQIAAAFS/f//qv7//wlXAgAACZwCAAAL
    <Output>
      <OutputObject name="AtlasReport_4"/>
    </Output>
  </Query>
</Atlas>
</file>

<file path=customXml/item5.xml><?xml version="1.0" encoding="utf-8"?>
<Atlas>
  <Report name="AtlasReport_4">AAEAAAD/////AQAAAAAAAAAMAgAAAGBHbG9iZVNvZnR3YXJlLkF0bGFzNDAuQUlFeGNlbCwgVmVyc2lvbj00LjAuMC4wLCBDdWx0dXJlPW5ldXRyYWwsIFB1YmxpY0tleVRva2VuPWFlMjFlYzM1NzVkMTI5OWYFAQAAACRHbG9iZVNvZnR3YXJlLkF0bGFzNDAuQUlFeGNlbC5SZXBvcnQLAAAACV9yZXBvcnRObwxfbGlzdE9iamVjdHMSX2RyaWxsRG93bkNyaXRlcmlhBV9uYW1lC19kYXRhQXJlYUlkBV9udWRlGVJlcG9ydCtfZHJpbGxEb3duQ3JpdGVyaWEMUmVwb3J0K19uYW1lElJlcG9ydCtfZGF0YUFyZWFJZAxSZXBvcnQrX251ZGUVUmVwb3J0K19vdXRwdXRDb2x1bW5zAAMDAQEAAwEBAAMItQFTeXN0ZW0uQ29sbGVjdGlvbnMuR2VuZXJpYy5MaXN0YDFbW0dsb2JlU29mdHdhcmUuQXRsYXM0MC5BSUV4Y2VsLlJlcG9ydExpc3RPYmplY3QsIEdsb2JlU29mdHdhcmUuQXRsYXM0MC5BSUV4Y2VsLCBWZXJzaW9uPTQuMC4wLjAsIEN1bHR1cmU9bmV1dHJhbCwgUHVibGljS2V5VG9rZW49YWUyMWVjMzU3NWQxMjk5Zl1d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a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G4AVN5c3RlbS5Db2xsZWN0aW9ucy5HZW5lcmljLkxpc3RgMVtbR2xvYmVTb2Z0d2FyZS5BdGxhczQwLkF0bGFzQ29tbW9uLlR5cGUuQ29sdW1uLCBHbG9iZVNvZnR3YXJlLkF0bGFzNDAuQXRsYXNDb21tb24sIFZlcnNpb249NC4wLjAuMCwgQ3VsdHVyZT1uZXV0cmFsLCBQdWJsaWNLZXlUb2tlbj1hZTIxZWMzNTc1ZDEyOTlmXV0CAAAABAAAAAkDAAAACQQAAAAGBQAAAA1BdGxhc1JlcG9ydF80BgYAAAADMzY5AAkEAAAACQUAAAAJBgAAAAAJCgAAAAQDAAAAtQFTeXN0ZW0uQ29sbGVjdGlvbnMuR2VuZXJpYy5MaXN0YDFbW0dsb2JlU29mdHdhcmUuQXRsYXM0MC5BSUV4Y2VsLlJlcG9ydExpc3RPYmplY3QsIEdsb2JlU29mdHdhcmUuQXRsYXM0MC5BSUV4Y2VsLCBWZXJzaW9uPTQuMC4wLjAsIEN1bHR1cmU9bmV1dHJhbCwgUHVibGljS2V5VG9rZW49YWUyMWVjMzU3NWQxMjk5Zl1dAwAAAAZfaXRlbXMFX3NpemUIX3ZlcnNpb24EAAAwR2xvYmVTb2Z0d2FyZS5BdGxhczQwLkFJRXhjZWwuUmVwb3J0TGlzdE9iamVjdFtdAgAAAAgICQsAAAABAAAAAQAAAAQEAAAA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pg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1bXQEAAAAJDAAAAAMAAAAJDQAAAAwOAAAAZEdsb2JlU29mdHdhcmUuQXRsYXM0MC5BdGxhc0NvbW1vbiwgVmVyc2lvbj00LjAuMC4wLCBDdWx0dXJlPW5ldXRyYWwsIFB1YmxpY0tleVRva2VuPWFlMjFlYzM1NzVkMTI5OWYECg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DgAAAAgICQ8AAAAGAAAABgAAAAcLAAAAAAEAAAAEAAAABC5HbG9iZVNvZnR3YXJlLkF0bGFzNDAuQUlFeGNlbC5SZXBvcnRMaXN0T2JqZWN0AgAAAAkQAAAADQMEDAAAAJIBU3lzdGVtLkNvbGxlY3Rpb25zLkdlbmVyaWMuR2VuZXJpY0VxdWFsaXR5Q29tcGFyZXJgMVtbU3lzdGVtLlN0cmluZywgbXNjb3JsaWIsIFZlcnNpb249NC4wLjAuMCwgQ3VsdHVyZT1uZXV0cmFsLCBQdWJsaWNLZXlUb2tlbj1iNzdhNWM1NjE5MzRlMDg5XV0AAAAABw0AAAAAAQAAAAEAAAADpA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0E7////6Q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gAAAANrZXkFdmFsdWUBA80BU3lzdGVtLkNvbGxlY3Rpb25zLkdlbmVyaWMuTGlzdGAxW1tHbG9iZVNvZnR3YXJlLkF0bGFzNDAuQXRsYXNDb21tb25DbGllbnQuRGF0YVNvdXJjZUZpZWxkVmFsdWUsIEdsb2JlU29mdHdhcmUuQXRsYXM0MC5BdGxhc0NvbW1vbkNsaWVudCwgVmVyc2lvbj00LjAuMC4wLCBDdWx0dXJlPW5ldXRyYWwsIFB1YmxpY0tleVRva2VuPWFlMjFlYzM1NzVkMTI5OWZdXQYSAAAAAV8JEwAAAAcPAAAAAAEAAAAIAAAABC1HbG9iZVNvZnR3YXJlLkF0bGFzNDAuQXRsYXNDb21tb24uVHlwZS5Db2x1bW4OAAAACRQAAAAJFQAAAAkWAAAACRcAAAAJGAAAAAkZAAAADQIMGgAAAGpHbG9iZVNvZnR3YXJlLkF0bGFzNDAuQXRsYXNDb21tb25DbGllbnQsIFZlcnNpb249NC4wLjAuMCwgQ3VsdHVyZT1uZXV0cmFsLCBQdWJsaWNLZXlUb2tlbj1hZTIxZWMzNTc1ZDEyOTlmBRAAAAAuR2xvYmVTb2Z0d2FyZS5BdGxhczQwLkFJRXhjZWwuUmVwb3J0TGlzdE9iamVjdAMAAAAFX25hbWUKX3JlZmVyZW5jZQlfb2JqZWN0Tm8BBAA4R2xvYmVTb2Z0d2FyZS5BdGxhczQwLkF0bGFzQ29tbW9uQ2xpZW50LlJlcG9ydC5SZWZlcmVuY2UaAAAACAIAAAAGGwAAABVBdGxhc1JlcG9ydF80X1RhYmxlXzEJHAAAAAAAAAAEEwAAAM0BU3lzdGVtLkNvbGxlY3Rpb25zLkdlbmVyaWMuTGlzdGAxW1tHbG9iZVNvZnR3YXJlLkF0bGFzNDAuQXRsYXNDb21tb25DbGllbnQuRGF0YVNvdXJjZUZpZWxkVmFsdWUsIEdsb2JlU29mdHdhcmUuQXRsYXM0MC5BdGxhc0NvbW1vbkNsaWVudCwgVmVyc2lvbj00LjAuMC4wLCBDdWx0dXJlPW5ldXRyYWwsIFB1YmxpY0tleVRva2VuPWFlMjFlYzM1NzVkMTI5OWZdXQMAAAAGX2l0ZW1zBV9zaXplCF92ZXJzaW9uBAAAPkdsb2JlU29mdHdhcmUuQXRsYXM0MC5BdGxhc0NvbW1vbkNsaWVudC5EYXRhU291cmNlRmllbGRWYWx1ZVtdGgAAAAgICR0AAAABAAAAAQAAAAUUAAAALUdsb2JlU29mdHdhcmUuQXRsYXM0MC5BdGxhc0NvbW1vbi5UeXBlLkNvbHVtbhoAAAAHX2ZpZWxkcwtfYXR0cmlidXRlcw1fY29sdW1uRm9ybWF0BV9uYW1lBl9sYWJlbAVfaWNvbgxfY2FsY3VsYXRpb24DX2lkDF9hZ2dyZWdhdGlvbgZfb3JkZXILX2NvbHVtblR5cGUKX3NvcnRPcmRlcg9fc29ydE9yZGVySW5kZXgGX2dyb3VwCV9jcm9zc1RhYg5fY3Jvc3NUYWJWYWx1ZQ5fY3Jvc3NUYWJUb3RhbA9fYWdncmVnYXRlVmFsdWUPX291dHB1dENvbHVtbk5vC19udWxsQ29sdW1uBF9rZXkJX2ZpZWxkS2V5Dl9oZWFkZXJDb2x1bW5zDl9mb290ZXJDb2x1bW5zDF91cGxvYWRWYWx1ZSE8Q2FsY3VsYXRpb25RdWVyeT5rX19CYWNraW5nRmllbGQDAwMBAQEBAQQABAQAAAQCAAAAAAEBAwMBBMIBU3lzdGVtLkNvbGxlY3Rpb25zLkdlbmVyaWMuTGlzdGAxW1tHbG9iZVNvZnR3YXJlLkF0bGFzNDAuQXRsYXNDb21tb24uVHlwZS5GaWVsZE91dHB1dEZpZWxkLCBHbG9iZVNvZnR3YXJlLkF0bGFzNDAuQXRsYXNDb21tb24sIFZlcnNpb249NC4wLjAuMCwgQ3VsdHVyZT1uZXV0cmFsLCBQdWJsaWNLZXlUb2tlbj1hZTIxZWMzNTc1ZDEyOTlmXV2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S1HbG9iZVNvZnR3YXJlLkF0bGFzNDAuQXRsYXNDb21tb24uQWdncmVnYXRpb24OAAAACCxHbG9iZVNvZnR3YXJlLkF0bGFzNDAuQXRsYXNDb21tb24uQ29sdW1uVHlwZQ4AAAArR2xvYmVTb2Z0d2FyZS5BdGxhczQwLkF0bGFzQ29tbW9uLlNvcnRPcmRlcg4AAAAIAUBHbG9iZVNvZnR3YXJlLkF0bGFzNDAuQXRsYXNDb21tb24uVHlwZS5Db2x1bW4rQ3Jvc3NUYWJDb2x1bW5UeXBlDgAAAAEGCAG4AVN5c3RlbS5Db2xsZWN0aW9ucy5HZW5lcmljLkxpc3RgMVtbR2xvYmVTb2Z0d2FyZS5BdGxhczQwLkF0bGFzQ29tbW9uLlR5cGUuQ29sdW1u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sR2xvYmVTb2Z0d2FyZS5BdGxhczQwLkF0bGFzQ29tbW9uLlR5cGUuUXVlcnkOAAAADgAAAAkeAAAACR8AAAAJIAAAAAYhAAAABkl0ZW1JZAYiAAAAC0l0ZW0gbnVtYmVyBiMAAAAGU3RyaW5nBiQAAAAABiUAAAAkNjEzNjk2YTAtNTJiMC00ZDI1LWIwMDQtYTQ3OTJhNDEzODY0Bdr///8tR2xvYmVTb2Z0d2FyZS5BdGxhczQwLkF0bGFzQ29tbW9uLkFnZ3JlZ2F0aW9uAQAAAAd2YWx1ZV9fAAgOAAAA/////wAAAAAF2f///yxHbG9iZVNvZnR3YXJlLkF0bGFzNDAuQXRsYXNDb21tb24uQ29sdW1uVHlwZQEAAAAHdmFsdWVfXwAIDgAAAAAAAAAF2P///ytHbG9iZVNvZnR3YXJlLkF0bGFzNDAuQXRsYXNDb21tb24uU29ydE9yZGVyAQAAAAd2YWx1ZV9fAAgOAAAAAgAAAAAAAAAABdf///9AR2xvYmVTb2Z0d2FyZS5BdGxhczQwLkF0bGFzQ29tbW9uLlR5cGUuQ29sdW1uK0Nyb3NzVGFiQ29sdW1uVHlwZQEAAAAHdmFsdWVfXwAIDgAAAAAAAAAKAQAAAAAAAAAAAAAAAAAGKgAAACRlNTA2M2I5MS1kOGI2LTQ3ZjktYTEyNi0xNzg2M2FiZTlkMmYGKwAAABhUYWJsZS5Vbml0Q29udmVydC5JdGVtSWQKCgoKARUAAAAUAAAACSwAAAAJLQAAAAkuAAAABi8AAAAIRnJvbVVuaXQGMAAAAAlGcm9tIHVuaXQGMQAAAAZTdHJpbmcJJAAAAAYzAAAAJDdmMWFiN2U0LTdmOTktNDYxMy05MGYxLTJiMDBjMzY3NGM4ZQHM////2v////////8BAAAAAcv////Z////AAAAAAHK////2P///wIAAAAAAAAAAAHJ////1////wAAAAAKAQAAAAAAAAAAAQAAAAAGOAAAACQ1MDU1YjdhYi00NTlkLTRjM2YtOGNjNi1kNzFiNDc5MDc4YjIGOQAAABpUYWJsZS5Vbml0Q29udmVydC5Gcm9tVW5pdAoKCgoBFgAAABQAAAAJOgAAAAk7AAAACTwAAAAGPQAAAAZGYWN0b3IGPgAAAAZGYWN0b3IGPwAAAARSZWFsCSQAAAAGQQAAACRhZmU3NGRlMi01NDdiLTQ3ZTgtYjdjMy00NWE5YmZjMmRlYWUBvv///9r///8BAAAAAgAAAAG9////2f///wAAAAABvP///9j///8CAAAAAAAAAAABu////9f///8AAAAACgEAAAAAAAAAAAIAAAAABkYAAAAkMTQ2OTViZTQtZWUwOS00YzYxLWJlYjItNGU3MGJkMmQwN2FhBkcAAAAYVGFibGUuVW5pdENvbnZlcnQuRmFjdG9yCgoKCgEXAAAAFAAAAAlIAAAACUkAAAAJSgAAAAZLAAAABk1hcmt1cAZMAAAAE0FkZGl0aW9uYWwgcXVhbnRpdHkGTQAAAARSZWFsCSQAAAAGTwAAACRlZDliMzU5ZC0yMGY5LTRhNDQtYjgxNi05ZmU0NzM4MWU0NDEBsP///9r///8BAAAAAwAAAAGv////2f///wAAAAABrv///9j///8CAAAAAAAAAAABrf///9f///8AAAAACgEAAAAAAAAAAAMAAAAABlQAAAAkM2Q1ODFiYWEtNDBlZC00Nzc3LThjMzYtZDFmZGU2ZWE5MDI5BlUAAAAYVGFibGUuVW5pdENvbnZlcnQuTWFya3VwCgoKCgEYAAAAFAAAAAlWAAAACVcAAAAJWAAAAAZZAAAABlRvVW5pdAZaAAAAB1RvIHVuaXQGWwAAAAZTdHJpbmcJJAAAAAZdAAAAJDA4NWIyZTIxLWMyMTMtNDAxYS1iNmVkLTE3MzRhYzAwZGYyYgGi////2v////////8EAAAAAaH////Z////AAAAAAGg////2P///wIAAAAAAAAAAAGf////1////wAAAAAKAQAAAAAAAAAABAAAAAAGYgAAACQ1MzNjYzBmNC0zNTA5LTQwZWEtYjU1MC04MDhkMWVkMDA1MzAGYwAAABhUYWJsZS5Vbml0Q29udmVydC5Ub1VuaXQKCgoKARkAAAAUAAAACWQAAAAJZQAAAAlmAAAABmcAAAAIUm91bmRPZmYGaAAAAAlSb3VuZC1vZmYGaQAAAARFbnVtCSQAAAAGawAAACRmZGYxOGUxZi1kMWU2LTRjNGItOTExZS01MjZhNTQ5YTJhYzEBlP///9r/////////BQAAAAGT////2f///wAAAAABkv///9j///8CAAAAAAAAAAABkf///9f///8AAAAACgEAAAAAAAAAAAUAAAAABnAAAAAkNzYzNjExMTMtMjYxYS00Y2Y0LWI4MDUtNjY1YjE0NjI3MDBmBnEAAAAaVGFibGUuVW5pdENvbnZlcnQuUm91bmRPZmYKCgoKBRwAAAA4R2xvYmVTb2Z0d2FyZS5BdGxhczQwLkF0bGFzQ29tbW9uQ2xpZW50LlJlcG9ydC5SZWZlcmVuY2UBAAAACl9yZWZlcmVuY2UHCBoAAAAJcgAAAAcdAAAAAAEAAAAEAAAABDxHbG9iZVNvZnR3YXJlLkF0bGFzNDAuQXRsYXNDb21tb25DbGllbnQuRGF0YVNvdXJjZUZpZWxkVmFsdWUaAAAACXMAAAANAwQeAAAAwgFTeXN0ZW0uQ29sbGVjdGlvbnMuR2VuZXJpYy5MaXN0YDFbW0dsb2JlU29mdHdhcmUuQXRsYXM0MC5BdGxhc0NvbW1vbi5UeXBlLkZpZWxkT3V0cHV0RmllbGQsIEdsb2JlU29mdHdhcmUuQXRsYXM0MC5BdGxhc0NvbW1vbiwgVmVyc2lvbj00LjAuMC4wLCBDdWx0dXJlPW5ldXRyYWwsIFB1YmxpY0tleVRva2VuPWFlMjFlYzM1NzVkMTI5OWZdXQMAAAAGX2l0ZW1zBV9zaXplCF92ZXJzaW9uBAAAOUdsb2JlU29mdHdhcmUuQXRsYXM0MC5BdGxhc0NvbW1vbi5UeXBlLkZpZWxkT3V0cHV0RmllbGRbXQ4AAAAICAl0AAAAAQAAAAEAAAAEHwAAAK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AAAAAdWZXJzaW9uCENvbXBhcmVyCEhhc2hTaXplDUtleVZhbHVlUGFpcnMAAwADCM0BU3lzdGVtLkNvbGxlY3Rpb25zLkdlbmVyaWMuRW51bUVxdWFsaXR5Q29tcGFyZXJgMVtbR2xvYmVTb2Z0d2FyZS5BdGxhczQwLkF0bGFzQ29tbW9uLkNvbHVtbkF0dHJpYnV0ZXMsIEdsb2JlU29mdHdhcmUuQXRsYXM0MC5BdGxhc0NvbW1vbiwgVmVyc2lvbj00LjAuMC4wLCBDdWx0dXJlPW5ldXRyYWwsIFB1YmxpY0tleVRva2VuPWFlMjFlYzM1NzVkMTI5OWZdXQik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W10TAAAACXUAAAAHAAAACXYAAAAEIA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OAAAACXcAAAAHAAAACXgAAAABLAAAAB4AAAAJeQAAAAEAAAABAAAAAS0AAAAfAAAAEgAAAAl1AAAABwAAAAl7AAAAAS4AAAAgAAAADgAAAAl3AAAABwAAAAl9AAAAAToAAAAeAAAACX4AAAABAAAAAQAAAAE7AAAAHwAAABIAAAAJdQAAAAcAAAAJgAAAAAE8AAAAIAAAAA4AAAAJdwAAAAcAAAAJggAAAAFIAAAAHgAAAAmDAAAAAQAAAAEAAAABSQAAAB8AAAASAAAACXUAAAAHAAAACYUAAAABSgAAACAAAAAOAAAACXcAAAAHAAAACYcAAAABVgAAAB4AAAAJiAAAAAEAAAABAAAAAVcAAAAfAAAAEgAAAAl1AAAABwAAAAmKAAAAAVgAAAAgAAAADgAAAAl3AAAABwAAAAmMAAAAAWQAAAAeAAAACY0AAAABAAAAAQAAAAFlAAAAHwAAABIAAAAJdQAAAAcAAAAJjwAAAAFmAAAAIAAAAA4AAAAJdwAAAAcAAAAJkQAAAA9yAAAAAQAAAAgBAAAABXMAAAA8R2xvYmVTb2Z0d2FyZS5BdGxhczQwLkF0bGFzQ29tbW9uQ2xpZW50LkRhdGFTb3VyY2VGaWVsZFZhbHVlBAAAABJfaXNEcmlsbERvd25GaWx0ZXIGX2RzS2V5Cl9maWVsZG5hbWULX2ZpZWxkVmFsdWUAAQEBARoAAAAABpIAAAARVGFibGUuVW5pdENvbnZlcnQGkwAAAApEYXRhQXJlYUlkCQYAAAAHdAAAAAABAAAABAAAAAQ3R2xvYmVTb2Z0d2FyZS5BdGxhczQwLkF0bGFzQ29tbW9uLlR5cGUuRmllbGRPdXRwdXRGaWVsZA4AAAAJlQAAAA0DBHUAAADNAVN5c3RlbS5Db2xsZWN0aW9ucy5HZW5lcmljLkVudW1FcXVhbGl0eUNvbXBhcmVyYDFbW0dsb2JlU29mdHdhcmUuQXRsYXM0MC5BdGxhc0NvbW1vbi5Db2x1bW5BdHRyaWJ1dGVzLCBHbG9iZVNvZnR3YXJlLkF0bGFzNDAuQXRsYXNDb21tb24sIFZlcnNpb249NC4wLjAuMCwgQ3VsdHVyZT1uZXV0cmFsLCBQdWJsaWNLZXlUb2tlbj1hZTIxZWMzNTc1ZDEyOTlmXV0AAAAAB3YAAAAAAQAAAAc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Rq////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IAAAADa2V5BXZhbHVlBAEyR2xvYmVTb2Z0d2FyZS5BdGxhczQwLkF0bGFzQ29tbW9uLkNvbHVtbkF0dHJpYnV0ZXMOAAAABWn///8yR2xvYmVTb2Z0d2FyZS5BdGxhczQwLkF0bGFzQ29tbW9uLkNvbHVtbkF0dHJpYnV0ZXMBAAAAB3ZhbHVlX18ACA4AAAAGAAAABpgAAAAFVG90YWwBZ////2r///8BZv///2n///8QAAAABpsAAAAETm9uZQFk////av///wFj////af///wkAAAAJJAAAAAFh////av///wFg////af///wsAAAAGoQAAAAEwAV7///9q////AV3///9p////BAAAAAakAAAAB0dlbmVyYWwBW////2r///8BWv///2n///8CAAAABqcAAAABMQFY////av///wFX////af///wAAAAAGqgAAAAUxNC40MwF3AAAADAAAAAd4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BFX////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IAAAADa2V5BXZhbHVlAQEGrAAAAAhGb250Qm9sZAatAAAABUZhbHNlAVL///9V////Bq8AAAAKRm9udEl0YWxpYwmtAAAAAU////9V////BrIAAAANRm9udFVuZGVybGluZQazAAAABS00MTQyAUz///9V////BrUAAAAIRm9udE5hbWUGtgAAAAdDYWxpYnJpAUn///9V////BrgAAAAJRm9udENvbG9yBrkAAAABMAFG////Vf///wa7AAAACEZvbnRTaXplBrwAAAACMTEBQ////1X///8GvgAAAAlGb250U3R5bGUGvwAAAAdSZWd1bGFyB3kAAAAAAQAAAAQAAAAEN0dsb2JlU29mdHdhcmUuQXRsYXM0MC5BdGxhc0NvbW1vbi5UeXBlLkZpZWxkT3V0cHV0RmllbGQOAAAACcAAAAANAwd7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P////2r///8BPv///2n///8QAAAACZsAAAABPP///2r///8BO////2n///8JAAAACSQAAAABOf///2r///8BOP///2n///8LAAAABskAAAABMQE2////av///wE1////af///wQAAAAGzAAAAAdHZW5lcmFsATP///9q////ATL///9p////AgAAAAbPAAAAATEBMP///2r///8BL////2n///8AAAAABtIAAAAFMTEuMTQHfQ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t////Vf///wmsAAAACa0AAAABKv///1X///8JrwAAAAmtAAAAASf///9V////CbIAAAAG2wAAAAUtNDE0MgEk////Vf///wm1AAAABt4AAAAHQ2FsaWJyaQEh////Vf///wm4AAAABuEAAAABMAEe////Vf///wm7AAAABuQAAAACMTEBG////1X///8JvgAAAAbnAAAAB1JlZ3VsYXIHfgAAAAABAAAABAAAAAQ3R2xvYmVTb2Z0d2FyZS5BdGxhczQwLkF0bGFzQ29tbW9uLlR5cGUuRmllbGRPdXRwdXRGaWVsZA4AAAAJ6AAAAA0DB4A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X////av///wEW////af///xAAAAAJmwAAAAEU////av///wET////af///wkAAAAJJAAAAAER////av///wEQ////af///wsAAAAG8QAAAAEyAQ7///9q////AQ3///9p////BAAAAAb0AAAAB0dlbmVyYWwBC////2r///8BCv///2n///8CAAAABvcAAAABMQEI////av///wEH////af///wAAAAAG+gAAAAE4B4I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Bf///1X///8JrAAAAAmtAAAAAQL///9V////Ca8AAAAJrQAAAAH//v//Vf///wmyAAAABgMBAAAFLTQxNDIB/P7//1X///8JtQAAAAYGAQAAB0NhbGlicmkB+f7//1X///8JuAAAAAYJAQAAATAB9v7//1X///8JuwAAAAYMAQAAAjExAfP+//9V////Cb4AAAAGDwEAAAdSZWd1bGFyB4MAAAAAAQAAAAQAAAAEN0dsb2JlU29mdHdhcmUuQXRsYXM0MC5BdGxhc0NvbW1vbi5UeXBlLkZpZWxkT3V0cHV0RmllbGQOAAAACRABAAANAweF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7/7//2r///8B7v7//2n///8QAAAACZsAAAAB7P7//2r///8B6/7//2n///8JAAAACSQAAAAB6f7//2r///8B6P7//2n///8LAAAABhkBAAABMwHm/v//av///wHl/v//af///wQAAAAGHAEAAAdHZW5lcmFsAeP+//9q////AeL+//9p////AgAAAAYfAQAAATEB4P7//2r///8B3/7//2n///8AAAAABiIBAAACMjAHhw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d/v//Vf///wmsAAAACa0AAAAB2v7//1X///8JrwAAAAmtAAAAAdf+//9V////CbIAAAAGKwEAAAUtNDE0MgHU/v//Vf///wm1AAAABi4BAAAHQ2FsaWJyaQHR/v//Vf///wm4AAAABjEBAAABMAHO/v//Vf///wm7AAAABjQBAAACMTEBy/7//1X///8JvgAAAAY3AQAAB1JlZ3VsYXIHiAAAAAABAAAABAAAAAQ3R2xvYmVTb2Z0d2FyZS5BdGxhczQwLkF0bGFzQ29tbW9uLlR5cGUuRmllbGRPdXRwdXRGaWVsZA4AAAAJOAEAAA0DB4o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H/v//av///wHG/v//af///xAAAAAJmwAAAAHE/v//av///wHD/v//af///wkAAAAJJAAAAAHB/v//av///wHA/v//af///wsAAAAGQQEAAAE0Ab7+//9q////Ab3+//9p////BAAAAAZEAQAAB0dlbmVyYWwBu/7//2r///8Buv7//2n///8CAAAABkcBAAABMQG4/v//av///wG3/v//af///wAAAAAGSgEAAAQ4LjcxB4w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tf7//1X///8JrAAAAAmtAAAAAbL+//9V////Ca8AAAAJrQAAAAGv/v//Vf///wmyAAAABlMBAAAFLTQxNDIBrP7//1X///8JtQAAAAZWAQAAB0NhbGlicmkBqf7//1X///8JuAAAAAZZAQAAATABpv7//1X///8JuwAAAAZcAQAAAjExAaP+//9V////Cb4AAAAGXwEAAAdSZWd1bGFyB40AAAAAAQAAAAQAAAAEN0dsb2JlU29mdHdhcmUuQXRsYXM0MC5BdGxhc0NvbW1vbi5UeXBlLkZpZWxkT3V0cHV0RmllbGQOAAAACWABAAANAweP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n/7//2r///8Bnv7//2n///8QAAAACZsAAAABnP7//2r///8Bm/7//2n///8JAAAACSQAAAABmf7//2r///8BmP7//2n///8LAAAABmkBAAABNQGW/v//av///wGV/v//af///wQAAAAGbAEAAAdHZW5lcmFsAZP+//9q////AZL+//9p////AgAAAAZvAQAAATEBkP7//2r///8Bj/7//2n///8AAAAABnIBAAAFMTEuNTcHkQ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N/v//Vf///wmsAAAACa0AAAABiv7//1X///8JrwAAAAmtAAAAAYf+//9V////CbIAAAAGewEAAAUtNDE0MgGE/v//Vf///wm1AAAABn4BAAAHQ2FsaWJyaQGB/v//Vf///wm4AAAABoEBAAABMAF+/v//Vf///wm7AAAABoQBAAACMTEBe/7//1X///8JvgAAAAaHAQAAB1JlZ3VsYXIFlQAAADdHbG9iZVNvZnR3YXJlLkF0bGFzNDAuQXRsYXNDb21tb24uVHlwZS5GaWVsZE91dHB1dEZpZWxkFwAAAAxfYWdncmVnYXRpb24HX2ludmVydAVfdHlwZQZfbGFiZWwLX2RhdGFTb3VyY2UKX3NvcnRPcmRlchBfbnVtU2VxQ29uZGl0aW9uDV9pc01ldGhvZENhbGwJX3NlbGVjdGVkDl9kYXRhU291cmNlS2V5BV9uYW1lDV9mb3JtYXRTdHJpbmcMRmllbGQrX3ZhbHVlEEZpZWxkK19heEZpZWxkSWQURmllbGQrX2RhdGFTb3VyY2VLZXkNRmllbGQrX2RzTmFtZQtGaWVsZCtfbmFtZRdGaWVsZCtfcmVsYXRlZEZpZWxkTmFtZRxGaWVsZCtfcmVsYXRlZERhdGFTb3VyY2VOYW1lE0ZpZWxkK19maWVsZE9ubHlLZXkTRmllbGQrX2Zvcm1hdFN0cmluZxFGaWVsZCtfYXR0cmlidXRlcxBGaWVsZCtfY3VzdG9tS2V5BAABAQQEBAAAAQEBAgABAQEBAQEBAwEtR2xvYmVTb2Z0d2FyZS5BdGxhczQwLkF0bGFzQ29tbW9uLkFnZ3JlZ2F0aW9uDgAAAAExR2xvYmVTb2Z0d2FyZS5BdGxhczQwLkF0bGFzQ29tbW9uLlR5cGUuRGF0YVNvdXJjZQ4AAAArR2xvYmVTb2Z0d2FyZS5BdGxhczQwLkF0bGFzQ29tbW9uLlNvcnRPcmRlcg4AAAA5R2xvYmVTb2Z0d2FyZS5BdGxhczQwLkF0bGFzQ29tbW9uLk51bWJlclNlcXVlbmNlQ29uZGl0aW9uDgAAAAEBC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4AAAABeP7//9r/////////AAaJAQAABlN0cmluZwaKAQAAC0l0ZW0gbnVtYmVyCYsBAAABdP7//9j///8CAAAABXP+//85R2xvYmVTb2Z0d2FyZS5BdGxhczQwLkF0bGFzQ29tbW9uLk51bWJlclNlcXVlbmNlQ29uZGl0aW9uAQAAAAd2YWx1ZV9fAAgOAAAAAQAAAAAABo4BAAARVGFibGUuVW5pdENvbnZlcnQJIQAAAAkkAAAACv////8JjgEAAAoJIQAAAAoKCgkkAAAACZQBAAAJJAAAAAHAAAAAlQAAAAFq/v//2v////////8ABpcBAAAGU3RyaW5nBpgBAAAJRnJvbSB1bml0CYsBAAABZv7//9j///8CAAAAAWX+//9z/v//AQAAAAAACY4BAAAJLwAAAAkkAAAACv////8JjgEAAAoJLwAAAAoKCgkkAAAACaIBAAAJJAAAAAHoAAAAlQAAAAFc/v//2v////////8ABqUBAAAEUmVhbAamAQAABkZhY3RvcgmLAQAAAVj+///Y////AgAAAAFX/v//c/7//wEAAAAAAAmOAQAACT0AAAAJJAAAAAr/////CY4BAAAKCT0AAAAKCgoJJAAAAAmwAQAACSQAAAABEAEAAJUAAAABTv7//9r/////////AAazAQAABFJlYWwGtAEAABNBZGRpdGlvbmFsIHF1YW50aXR5CYsBAAABSv7//9j///8CAAAAAUn+//9z/v//AQAAAAAACY4BAAAJSwAAAAkkAAAACv////8JjgEAAAoJSwAAAAoKCgkkAAAACb4BAAAJJAAAAAE4AQAAlQAAAAFA/v//2v////////8ABsEBAAAGU3RyaW5nBsIBAAAHVG8gdW5pdAmLAQAAATz+///Y////AgAAAAE7/v//c/7//wEAAAAAAAmOAQAACVkAAAAJJAAAAAr/////CY4BAAAKCVkAAAAKCgoJJAAAAAnMAQAACSQAAAABYAEAAJUAAAABMv7//9r/////////AAbPAQAABEVudW0G0AEAAAlSb3VuZC1vZmYJiwEAAAEu/v//2P///wIAAAABLf7//3P+//8BAAAAAAAJjgEAAAlnAAAACSQAAAAK/////wmOAQAACglnAAAACgoKCSQAAAAJ2gEAAAkkAAAABYsBAAAxR2xvYmVTb2Z0d2FyZS5BdGxhczQwLkF0bGFzQ29tbW9uLlR5cGUuRGF0YVNvdXJjZRgAAAADX2lkBV9uYW1lBl9sYWJlbAxfcGFyZW50VGFibGUMX3BhcmVudEZpZWxkC19jaGlsZEZpZWxkBV90eXBlDV9vdXRwdXRGaWVsZHMMX3JhbmdlRmllbGRzBV9ndWlkCV9yZWZlcnNUbxBfb3V0cHV0RmllbGRLZXkwEV9jaGlsZERhdGFTb3VyY2VzBF9rZXkVX3BhcmVudERhdGFTb3VyY2VOYW1lGV9wYXJlbnRGaWVsZERhdGFTb3VyY2VLZXkPX3BhcmVudEZpZWxkS2V5EF9wYXJlbnRGaWVsZE5hbWURX3JlbGF0ZWRGaWVsZE5hbWUGX2luZGV4CV9qb2luTW9kZQpfZmV0Y2hNb2RlB19pZ25vcmULX2F0dHJpYnV0ZXMAAQEBAQEEAwMDAQEDAQEBAQEBAAQEAAMIMEdsb2JlU29mdHdhcmUuQXRsYXM0MC5BdGxhc0NvbW1vbi5EYXRhU291cmNlVHlwZQ4A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LU3lzdGVtLkd1aWS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CDRHbG9iZVNvZnR3YXJlLkF0bGFzNDAuQXRsYXNDb21tb24uRGF0YVNvdXJjZUpvaW5Nb2RlDgAAADVHbG9iZVNvZnR3YXJlLkF0bGFzNDAuQXRsYXNDb21tb24uRGF0YVNvdXJjZUZldGNoTW9kZQ4AAAAB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DgAAAOYBAAAG3AEAAAtVbml0Q29udmVydAbdAQAAD1VuaXQgY29udmVyc2lvbgkkAAAACSQAAAAJJAAAAAUh/v//MEdsb2JlU29mdHdhcmUuQXRsYXM0MC5BdGxhc0NvbW1vbi5EYXRhU291cmNlVHlwZQEAAAAHdmFsdWVfXwAIDgAAAAAAAAAJ4AEAAAnhAQAABB7+//8LU3lzdGVtLkd1aWQLAAAAAl9hAl9iAl9jAl9kAl9lAl9mAl9nAl9oAl9pAl9qAl9rAAAAAAAAAAAAAAAIBwcCAgICAgICAqQS+4KvcUNLm40bJppT8XAJJAAAAAkkAAAACeQBAAAJjgEAAAoKCgoKAQAAAAUa/v//NEdsb2JlU29mdHdhcmUuQXRsYXM0MC5BdGxhc0NvbW1vbi5EYXRhU291cmNlSm9pbk1vZGUBAAAAB3ZhbHVlX18ACA4AAAAAAAAABRn+//81R2xvYmVTb2Z0d2FyZS5BdGxhczQwLkF0bGFzQ29tbW9uLkRhdGFTb3VyY2VGZXRjaE1vZGUBAAAAB3ZhbHVlX18ACA4AAAAAAAAAAAnoAQAAAZQBAAAgAAAADQAAAAl3AAAAAwAAAAnqAQAAAaIBAAAgAAAADQAAAAl3AAAAAwAAAAnsAQAAAbABAAAgAAAADQAAAAl3AAAAAwAAAAnuAQAAAb4BAAAgAAAADQAAAAl3AAAAAwAAAAnwAQAAAcwBAAAgAAAADQAAAAl3AAAAAwAAAAnyAQAAAdoBAAAgAAAADQAAAAl3AAAAAwAAAAn0AQAABOAB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qQ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W10HAAAACfUBAAAHAAAACfYBAAAE4QE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n1AQAAAAAAAATkAQ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9QEAAAAAAAAE6AEAAK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MAAAAHVmVyc2lvbghDb21wYXJlcghIYXNoU2l6ZQADAAjOAVN5c3RlbS5Db2xsZWN0aW9ucy5HZW5lcmljLkVudW1FcXVhbGl0eUNvbXBhcmVyYDFbW0dsb2JlU29mdHdhcmUuQXRsYXM0MC5BdGxhc0NvbW1vbi5UeXBlLkF4QXR0cmlidXRlcywgR2xvYmVTb2Z0d2FyZS5BdGxhczQwLkF0bGFzQ29tbW9uLCBWZXJzaW9uPTQuMC4wLjAsIEN1bHR1cmU9bmV1dHJhbCwgUHVibGljS2V5VG9rZW49YWUyMWVjMzU3NWQxMjk5Zl1dCAAAAAAJ+AEAAAAAAAAH6gE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H/v//Vf///wb6AQAACEhlbHBUZXh0BvsBAAAsSXRlbSB0aGF0IHRoZSBjb252ZXJzaW9uIGZvcm11bGEgYXBwbGllcyB0by4BBP7//1X///8G/QEAAAVMYWJlbAmKAQAAAQH+//9V////BgACAAAEVHlwZQmJAQAAB+wB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/v3//1X///8J+gEAAAYEAgAAFFVuaXQgdG8gY29udmVydCBmcm9tAfv9//9V////Cf0BAAAJmAEAAAH4/f//Vf///wkAAgAACZcBAAAH7gE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1/f//Vf///wn6AQAABg0CAABEQ29udmVyc2lvbiBmYWN0b3IgYmV0d2VlbiBGcm9tIHVuaXQgYW5kIFRvIHVuaXQgKFRvID0gRnJvbSB4IEZhY3RvcikB8v3//1X///8J/QEAAAmmAQAAAe/9//9V////CQACAAAJpQEAAAfwA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ez9//9V////CfoBAAAGFgIAAClRdWFudGl0eSBhZGRlZCB0byB0aGUgdW5pdCBvbiBjb252ZXJzaW9uLgHp/f//Vf///wn9AQAACbQBAAAB5v3//1X///8JAAIAAAmzAQAAB/IB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4/3//1X///8J+gEAAAYfAgAAElVuaXQgdG8gY29udmVydCB0bwHg/f//Vf///wn9AQAACcIBAAAB3f3//1X///8JAAIAAAnBAQAAB/QB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2v3//1X///8J+gEAAAYoAgAAIkhvdyBzaG91bGQgdGhlIFRvIHVuaXQgYmUgcm91bmRlZD8B1/3//1X///8J/QEAAAnQAQAAAdT9//9V////CQACAAAJzwEAAAH1AQAADAAAAAf2AQAAAAEAAAAH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TR/f//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gAAAANrZXkFdmFsdWUBBDdHbG9iZVNvZnR3YXJlLkF0bGFzNDAuQXRsYXNDb21tb24uVHlwZS5GaWVsZE91dHB1dEZpZWxkDgAAAAYwAgAAGFRhYmxlLlVuaXRDb252ZXJ0Lkl0ZW1JZAmVAAAAAc79///R/f//BjMCAAAaVGFibGUuVW5pdENvbnZlcnQuRnJvbVVuaXQJwAAAAAHL/f//0f3//wY2AgAAGFRhYmxlLlVuaXRDb252ZXJ0LkZhY3RvcgnoAAAAAcj9///R/f//BjkCAAAYVGFibGUuVW5pdENvbnZlcnQuTWFya3VwCRABAAABxf3//9H9//8GPAIAABhUYWJsZS5Vbml0Q29udmVydC5Ub1VuaXQJOAEAAAHC/f//0f3//wY/AgAAGlRhYmxlLlVuaXRDb252ZXJ0LlJvdW5kT2ZmCWABAAABv/3//9H9//8GQgIAABxUYWJsZS5Vbml0Q29udmVydC5EYXRhQXJlYUlkCUMCAAAE+AEAAM4BU3lzdGVtLkNvbGxlY3Rpb25zLkdlbmVyaWMuRW51bUVxdWFsaXR5Q29tcGFyZXJgMVtbR2xvYmVTb2Z0d2FyZS5BdGxhczQwLkF0bGFzQ29tbW9uLlR5cGUuQXhBdHRyaWJ1dGVzLCBHbG9iZVNvZnR3YXJlLkF0bGFzNDAuQXRsYXNDb21tb24sIFZlcnNpb249NC4wLjAuMCwgQ3VsdHVyZT1uZXV0cmFsLCBQdWJsaWNLZXlUb2tlbj1hZTIxZWMzNTc1ZDEyOTlmXV0AAAAAAUMCAACVAAAAAbz9///a/////////wAGRQIAAAZTdHJpbmcGRgIAABBDb21wYW55IGFjY291bnRzCYsBAAABuP3//9j///8CAAAAAbf9//9z/v//AQAAAAAACY4BAAAGSwIAAApEYXRhQXJlYUlkCSQAAAAK/////wmOAQAACglLAgAACgoKCSQAAAAJUAIAAAkkAAAAAVACAAAgAAAABgAAAAl3AAAAAwAAAAlTAgAAB1MC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rP3//1X///8J/QEAAAlGAgAAAan9//9V////CQACAAAJRQIAAAs=</Report>
</Atlas>
</file>

<file path=customXml/item6.xml><?xml version="1.0" encoding="utf-8"?>
<Atlas>
  <Query type="ReportList" id="d2a0af41-13ca-4225-8e95-ded53eb57897">
    AAEAAAD/////AQAAAAAAAAAMAgAAAGRHbG9iZVNvZnR3YXJlLkF0bGFzNDAuQXRsYXNDb21tb24sIFZlcnNpb249NC4wLjAuMCwgQ3VsdHVyZT1uZXV0cmFsLCBQdWJsaWNLZXlUb2tlbj1hZTIxZWMzNTc1ZDEyOTlmBQEAAAAwR2xvYmVTb2Z0d2FyZS5BdGxhczQwLkF0bGFzQ29tbW9uLlR5cGUuUXVlcnlJbXBsDgAAABVRdWVyeStfZGF0YUNvbm5lY3Rpb24SUXVlcnkrX2RhdGFTb3VyY2VzDlF1ZXJ5K19jb2x1bW5zEFF1ZXJ5K19xdWVyeVR5cGUUUXVlcnkrX291dHB1dE9iamVjdHMNUXVlcnkrX3JlcG9ydBFRdWVyeStfZHNTaG9ydEtleRBRdWVyeStfZGF0YVZpZXdzEVF1ZXJ5K19hdHRyaWJ1dGVzGlF1ZXJ5K19kYXRhU291cmNlT2NjdXJlbmNlFVF1ZXJ5K19kYXRhU291cmNla2V5MBhRdWVyeStfcHJpbWFyeURhdGFTb3VyY2UeUXVlcnkrX2pvdXJuYWxIZWFkZXJEYXRhU291cmNlG1F1ZXJ5K19qb3VybmFsSGVhZGVyQ29sdW1ucwQDAwQDAQMDAwMBBAQDNUdsb2JlU29mdHdhcmUuQXRsYXM0MC5BdGxhc0NvbW1vbi5UeXBlLkRhdGFDb25uZWN0aW9uAg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rR2xvYmVTb2Z0d2FyZS5BdGxhczQwLkF0bGFzQ29tbW9uLlF1ZXJ5VHlwZQIAAAB/U3lzdGVtLkNvbGxlY3Rpb25zLkdlbmVyaWMuTGlzdGAxW1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T2JqZWN0LCBtc2NvcmxpYiwgVmVyc2lvbj00LjAuMC4wLCBDdWx0dXJlPW5ldXRyYWwsIFB1YmxpY0tleVRva2VuPWI3N2E1YzU2MTkzNGUwODldXboBU3lzdGVtLkNvbGxlY3Rpb25zLkdlbmVyaWMuTGlzdGAxW1tHbG9iZVNvZnR3YXJlLkF0bGFzNDAuQXRsYXNDb21tb24uVHlwZS5EYXRhdmlldywgR2xvYmVTb2Z0d2FyZS5BdGxhczQwLkF0bGFzQ29tbW9uLCBWZXJzaW9uPTQuMC4wLjAsIEN1bHR1cmU9bmV1dHJhbCwgUHVibGljS2V5VG9rZW49YWUyMWVjMzU3NWQxMjk5Zl1d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3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TFHbG9iZVNvZnR3YXJlLkF0bGFzNDAuQXRsYXNDb21tb24uVHlwZS5EYXRhU291cmNlAgAAADFHbG9iZVNvZnR3YXJlLkF0bGFzNDAuQXRsYXNDb21tb24uVHlwZS5EYXRhU291cmNlAgAAALgBU3lzdGVtLkNvbGxlY3Rpb25zLkdlbmVyaWMuTGlzdGAxW1tHbG9iZVNvZnR3YXJlLkF0bGFzNDAuQXRsYXNDb21tb24uVHlwZS5Db2x1bW4sIEdsb2JlU29mdHdhcmUuQXRsYXM0MC5BdGxhc0NvbW1vbiwgVmVyc2lvbj00LjAuMC4wLCBDdWx0dXJlPW5ldXRyYWwsIFB1YmxpY0tleVRva2VuPWFlMjFlYzM1NzVkMTI5OWZdXQIAAAAJAwAAAAkEAAAACQUAAAAF+v///ytHbG9iZVNvZnR3YXJlLkF0bGFzNDAuQXRsYXNDb21tb24uUXVlcnlUeXBlAQAAAAd2YWx1ZV9fAAgCAAAACQAAAAkHAAAABggAAAAACQkAAAAJCgAAAAkLAAAACQwAAAAJCAAAAAkOAAAACgkPAAAABQMAAAA1R2xvYmVTb2Z0d2FyZS5BdGxhczQwLkF0bGFzQ29tbW9uLlR5cGUuRGF0YUNvbm5lY3Rpb24CAAAAC19hdHRyaWJ1dGVzBV9uYW1lAwH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CRAAAAAGEQAAAARQcm9kBAQA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ow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W10BAAAACRIAAAADAAAACRMAAAAEBQ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AgAAAAgICRQAAAACAAAAAgAAAAQHAAAAf1N5c3RlbS5Db2xsZWN0aW9ucy5HZW5lcmljLkxpc3RgMVtbU3lzdGVtLlN0cmluZywgbXNjb3JsaWIsIFZlcnNpb249NC4wLjAuMCwgQ3VsdHVyZT1uZXV0cmFsLCBQdWJsaWNLZXlUb2tlbj1iNzdhNWM1NjE5MzRlMDg5XV0DAAAABl9pdGVtcwVfc2l6ZQhfdmVyc2lvbgYAAAgICRUAAAABAAAAAQAAAAQJAAAA4gFTeXN0ZW0uQ29sbGVjdGlvbnMuR2VuZXJpYy5EaWN0aW9uYXJ5YDJbW1N5c3RlbS5TdHJpbmcsIG1zY29ybGliLCBWZXJzaW9uPTQuMC4wLjAsIEN1bHR1cmU9bmV1dHJhbCwgUHVibGljS2V5VG9rZW49Yjc3YTVjNTYxOTM0ZTA4OV0sW1N5c3RlbS5PYmplY3Q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k9iamVjdCwgbXNjb3JsaWIsIFZlcnNpb249NC4wLjAuMCwgQ3VsdHVyZT1uZXV0cmFsLCBQdWJsaWNLZXlUb2tlbj1iNzdhNWM1NjE5MzRlMDg5XV1bXQEAAAAJEgAAAAMAAAAJFwAAAAQKAAAAugFTeXN0ZW0uQ29sbGVjdGlvbnMuR2VuZXJpYy5MaXN0YDFbW0dsb2JlU29mdHdhcmUuQXRsYXM0MC5BdGxhc0NvbW1vbi5UeXBlLkRhdGF2aWV3LCBHbG9iZVNvZnR3YXJlLkF0bGFzNDAuQXRsYXNDb21tb24sIFZlcnNpb249NC4wLjAuMCwgQ3VsdHVyZT1uZXV0cmFsLCBQdWJsaWNLZXlUb2tlbj1hZTIxZWMzNTc1ZDEyOTlmXV0DAAAABl9pdGVtcwVfc2l6ZQhfdmVyc2lvbgQAADFHbG9iZVNvZnR3YXJlLkF0bGFzNDAuQXRsYXNDb21tb24uVHlwZS5EYXRhdmlld1tdAgAAAAgICRgAAAAGAAAAAgAAAAQLAAAA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0EAAAAB1ZlcnNpb24IQ29tcGFyZXIISGFzaFNpemUNS2V5VmFsdWVQYWlycwADAAMI2QFTeXN0ZW0uQ29sbGVjdGlvbnMuR2VuZXJpYy5FbnVtRXF1YWxpdHlDb21wYXJlcmAxW1tHbG9iZVNvZnR3YXJlLkF0bGFzNDAuQXRsYXNDb21tb24uVHlwZS5BdGxhc1F1ZXJ5QXR0cmlidXRlTmFtZSwgR2xvYmVTb2Z0d2FyZS5BdGxhczQwLkF0bGFzQ29tbW9uLCBWZXJzaW9uPTQuMC4wLjAsIEN1bHR1cmU9bmV1dHJhbCwgUHVibGljS2V5VG9rZW49YWUyMWVjMzU3NWQxMjk5Zl1dCLACU3lzdGVtLkNvbGxlY3Rpb25zLkdlbmVyaWMuS2V5VmFsdWVQYWly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1bXR4AAAAJGQAAABEAAAAJGgAAAAQMAAAA4QFTeXN0ZW0uQ29sbGVjdGlvbnMuR2VuZXJpYy5EaWN0aW9uYXJ5YDJbW1N5c3RlbS5TdHJpbmcsIG1zY29ybGliLCBWZXJzaW9uPTQuMC4wLjAsIEN1bHR1cmU9bmV1dHJhbCwgUHVibGljS2V5VG9rZW49Yjc3YTVjNTYxOTM0ZTA4OV0sW1N5c3RlbS5JbnQzMi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l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W10BAAAACRIAAAADAAAACRwAAAAFDgAAADFHbG9iZVNvZnR3YXJlLkF0bGFzNDAuQXRsYXNDb21tb24uVHlwZS5EYXRhU291cmNlGAAAAANfaWQFX25hbWUGX2xhYmVsDF9wYXJlbnRUYWJsZQxfcGFyZW50RmllbGQLX2NoaWxkRmllbGQFX3R5cGUNX291dHB1dEZpZWxkcwxfcmFuZ2VGaWVsZHMFX2d1aWQJX3JlZmVyc1RvEF9vdXRwdXRGaWVsZEtleTARX2NoaWxkRGF0YVNvdXJjZXMEX2tleRVfcGFyZW50RGF0YVNvdXJjZU5hbWUZX3BhcmVudEZpZWxkRGF0YVNvdXJjZUtleQ9fcGFyZW50RmllbGRLZXkQX3BhcmVudEZpZWxkTmFtZRFfcmVsYXRlZEZpZWxkTmFtZQZfaW5kZXgJX2pvaW5Nb2RlCl9mZXRjaE1vZGUHX2lnbm9yZQtfYXR0cmlidXRlcwABAQEBAQQDAwMBAQMBAQEBAQEABAQAAwgwR2xvYmVTb2Z0d2FyZS5BdGxhczQwLkF0bGFzQ29tbW9uLkRhdGFTb3VyY2VUeXBlAgA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2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tTeXN0ZW0uR3VpZ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INEdsb2JlU29mdHdhcmUuQXRsYXM0MC5BdGxhc0NvbW1vbi5EYXRhU291cmNlSm9pbk1vZGUCAAAANUdsb2JlU29mdHdhcmUuQXRsYXM0MC5BdGxhc0NvbW1vbi5EYXRhU291cmNlRmV0Y2hNb2RlAgAAAAG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/////wYdAAAAEUludmVudFRhYmxlTW9kdWxlBh4AAAAbSW52ZW50b3J5IG1vZHVsZSBwYXJhbWV0ZXJzCQgAAAAJCAAAAAkIAAAABeD///8wR2xvYmVTb2Z0d2FyZS5BdGxhczQwLkF0bGFzQ29tbW9uLkRhdGFTb3VyY2VUeXBlAQAAAAd2YWx1ZV9fAAgCAAAAAAAAAAkhAAAACSIAAAAE3f///wtTeXN0ZW0uR3VpZAsAAAACX2ECX2ICX2MCX2QCX2UCX2YCX2cCX2gCX2kCX2oCX2sAAAAAAAAAAAAAAAgHBwICAgICAgIClzrUsYaJLEmIEF2iBwI+wAkIAAAACQgAAAAJJQAAAAYmAAAAF1RhYmxlLkludmVudFRhYmxlTW9kdWxlCgoKCgoBAAAABdn///80R2xvYmVTb2Z0d2FyZS5BdGxhczQwLkF0bGFzQ29tbW9uLkRhdGFTb3VyY2VKb2luTW9kZQEAAAAHdmFsdWVfXwAIAgAAAAAAAAAF2P///zVHbG9iZVNvZnR3YXJlLkF0bGFzNDAuQXRsYXNDb21tb24uRGF0YVNvdXJjZUZldGNoTW9kZQEAAAAHdmFsdWVfXwAIAgAAAAAAAAAACSkAAAABDwAAAAUAAAAJKgAAAAAAAAAAAAAABBA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DAAAAB1ZlcnNpb24IQ29tcGFyZXIISGFzaFNpemUAAwAIkgFTeXN0ZW0uQ29sbGVjdGlvbnMuR2VuZXJpYy5HZW5lcmljRXF1YWxpdHlDb21wYXJlcmAxW1tTeXN0ZW0uU3RyaW5nLCBtc2NvcmxpYiwgVmVyc2lvbj00LjAuMC4wLCBDdWx0dXJlPW5ldXRyYWwsIFB1YmxpY0tleVRva2VuPWI3N2E1YzU2MTkzNGUwODldXQgAAAAACRIAAAAAAAAABBIAAACSAVN5c3RlbS5Db2xsZWN0aW9ucy5HZW5lcmljLkdlbmVyaWNFcXVhbGl0eUNvbXBhcmVyYDFbW1N5c3RlbS5TdHJpbmcsIG1zY29ybGliLCBWZXJzaW9uPTQuMC4wLjAsIEN1bHR1cmU9bmV1dHJhbCwgUHVibGljS2V5VG9rZW49Yjc3YTVjNTYxOTM0ZTA4OV1dAAAAAAcTAAAAAAEAAAABAAAAA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TU////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gAAAANrZXkFdmFsdWUBBDFHbG9iZVNvZnR3YXJlLkF0bGFzNDAuQXRsYXNDb21tb24uVHlwZS5EYXRhU291cmNlAgAAAAkmAAAACQ4AAAAHFAAAAAABAAAABAAAAAQtR2xvYmVTb2Z0d2FyZS5BdGxhczQwLkF0bGFzQ29tbW9uLlR5cGUuQ29sdW1uAgAAAAkvAAAACTAAAAANAhEVAAAABAAAAAYxAAAADUF0bGFzUmVwb3J0XzMNAwcXAAAAAAEAAAABAAAAA+QBU3lzdGVtLkNvbGxlY3Rpb25zLkdlbmVyaWMuS2V5VmFsdWVQYWlyYDJbW1N5c3RlbS5TdHJpbmcsIG1zY29ybGliLCBWZXJzaW9uPTQuMC4wLjAsIEN1bHR1cmU9bmV1dHJhbCwgUHVibGljS2V5VG9rZW49Yjc3YTVjNTYxOTM0ZTA4OV0sW1N5c3RlbS5PYmplY3QsIG1zY29ybGliLCBWZXJzaW9uPTQuMC4wLjAsIEN1bHR1cmU9bmV1dHJhbCwgUHVibGljS2V5VG9rZW49Yjc3YTVjNTYxOTM0ZTA4OV1dBM7////kAVN5c3RlbS5Db2xsZWN0aW9ucy5HZW5lcmljLktleVZhbHVlUGFpcmAyW1tTeXN0ZW0uU3RyaW5nLCBtc2NvcmxpYiwgVmVyc2lvbj00LjAuMC4wLCBDdWx0dXJlPW5ldXRyYWwsIFB1YmxpY0tleVRva2VuPWI3N2E1YzU2MTkzNGUwODldLFtTeXN0ZW0uT2JqZWN0LCBtc2NvcmxpYiwgVmVyc2lvbj00LjAuMC4wLCBDdWx0dXJlPW5ldXRyYWwsIFB1YmxpY0tleVRva2VuPWI3N2E1YzU2MTkzNGUwODldXQIAAAADa2V5BXZhbHVlAQIJJgAAAAkmAAAABxgAAAAAAQAAAAYAAAAEL0dsb2JlU29mdHdhcmUuQXRsYXM0MC5BdGxhc0NvbW1vbi5UeXBlLkRhdGF2aWV3AgAAAA0GBBkAAADZAVN5c3RlbS5Db2xsZWN0aW9ucy5HZW5lcmljLkVudW1FcXVhbGl0eUNvbXBhcmVyYDFbW0dsb2JlU29mdHdhcmUuQXRsYXM0MC5BdGxhc0NvbW1vbi5UeXBlLkF0bGFzUXVlcnlBdHRyaWJ1dGVOYW1lLCBHbG9iZVNvZnR3YXJlLkF0bGFzNDAuQXRsYXNDb21tb24sIFZlcnNpb249NC4wLjAuMCwgQ3VsdHVyZT1uZXV0cmFsLCBQdWJsaWNLZXlUb2tlbj1hZTIxZWMzNTc1ZDEyOTlmXV0AAAAABxoAAAAAAQAAAA4AAAADrg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TM////rg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IAAAADa2V5BXZhbHVlBAE+R2xvYmVTb2Z0d2FyZS5BdGxhczQwLkF0bGFzQ29tbW9uLlR5cGUuQXRsYXNRdWVyeUF0dHJpYnV0ZU5hbWUCAAAABcv///8+R2xvYmVTb2Z0d2FyZS5BdGxhczQwLkF0bGFzQ29tbW9uLlR5cGUuQXRsYXNRdWVyeUF0dHJpYnV0ZU5hbWUBAAAAB3ZhbHVlX18ACAIAAAACAAAABjYAAAAkZDJhMGFmNDEtMTNjYS00MjI1LThlOTUtZGVkNTNlYjU3ODk3Acn////M////Acj////L////AAAAAAY5AAAABHRydWUBxv///8z///8Bxf///8v///8LAAAABjwAAAAbSW52ZW50b3J5IG1vZHVsZSBwYXJhbWV0ZXJzAcP////M////AcL////L////GwAAAAY/AAAABFRydWUBwP///8z///8Bv////8v///8GAAAABkIAAAAFRmFsc2UBvf///8z///8BvP///8v///8cAAAACT8AAAABuv///8z///8Buf///8v///8dAAAACUIAAAABt////8z///8Btv///8v///8qAAAACT8AAAABtP///8z///8Bs////8v///8BAAAABk4AAAADMzY5AbH////M////AbD////L////JwAAAAZRAAAACz1EYXRhQXJlYUlkAa7////M////Aa3////L////GQAAAAZUAAAAD0NlbGxzVmVydGljYWxseQGr////zP///wGq////y////wkAAAAKAan////M////Aaj////L////KAAAAAZZAAAAATIBpv///8z///8Bpf///8v///8rAAAABlwAAAARVGFibGVTdHlsZU1lZGl1bTIHHAAAAAABAAAAAQAAAAPj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BKP////j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AgAAAANrZXkFdmFsdWUBAAgGXgAAABFJbnZlbnRUYWJsZU1vZHVsZQEAAAAEIQA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p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1bXQIAAAAJXwAAAAMAAAAJYAAAAAQiAA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e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W10BAAAACRIAAAADAAAACWIAAAAEJQ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V8AAAAAAAAABCkAAAC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DAAAAB1ZlcnNpb24IQ29tcGFyZXIISGFzaFNpemUAAwAIzgFTeXN0ZW0uQ29sbGVjdGlvbnMuR2VuZXJpYy5FbnVtRXF1YWxpdHlDb21wYXJlcmAxW1tHbG9iZVNvZnR3YXJlLkF0bGFzNDAuQXRsYXNDb21tb24uVHlwZS5BeEF0dHJpYnV0ZXMsIEdsb2JlU29mdHdhcmUuQXRsYXM0MC5BdGxhc0NvbW1vbiwgVmVyc2lvbj00LjAuMC4wLCBDdWx0dXJlPW5ldXRyYWwsIFB1YmxpY0tleVRva2VuPWFlMjFlYzM1NzVkMTI5OWZdXQgAAAAACWQAAAAAAAAAByoAAAAAAQAAAAAAAAAELUdsb2JlU29mdHdhcmUuQXRsYXM0MC5BdGxhc0NvbW1vbi5UeXBlLkNvbHVtbgIAAAAFLwAAAC1HbG9iZVNvZnR3YXJlLkF0bGFzNDAuQXRsYXNDb21tb24uVHlwZS5Db2x1bW4aAAAAB19maWVsZHMLX2F0dHJpYnV0ZXMNX2NvbHVtbkZvcm1hdAVfbmFtZQZfbGFiZWwFX2ljb24MX2NhbGN1bGF0aW9uA19pZAxfYWdncmVnYXRpb24GX29yZGVyC19jb2x1bW5UeXBlCl9zb3J0T3JkZXIPX3NvcnRPcmRlckluZGV4Bl9ncm91cAlfY3Jvc3NUYWIOX2Nyb3NzVGFiVmFsdWUOX2Nyb3NzVGFiVG90YWwPX2FnZ3JlZ2F0ZVZhbHVlD19vdXRwdXRDb2x1bW5ObwtfbnVsbENvbHVtbgRfa2V5CV9maWVsZEtleQ5faGVhZGVyQ29sdW1ucw5fZm9vdGVyQ29sdW1ucwxfdXBsb2FkVmFsdWUhPENhbGN1bGF0aW9uUXVlcnk+a19fQmFja2luZ0ZpZWxkAwMDAQEBAQEEAAQEAAAEAgAAAAABAQMDAQTCAVN5c3RlbS5Db2xsZWN0aW9ucy5HZW5lcmljLkxpc3RgMVtbR2xvYmVTb2Z0d2FyZS5BdGxhczQwLkF0bGFzQ29tbW9uLlR5cGUuRmllbGRPdXRwdXRGaWVsZCwgR2xvYmVTb2Z0d2FyZS5BdGxhczQwLkF0bGFzQ29tbW9uLCBWZXJzaW9uPTQuMC4wLjAsIEN1bHR1cmU9bmV1dHJhbCwgUHVibGljS2V5VG9rZW49YWUyMWVjMzU3NWQxMjk5Zl1d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3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tR2xvYmVTb2Z0d2FyZS5BdGxhczQwLkF0bGFzQ29tbW9uLkFnZ3JlZ2F0aW9uAgAAAAgsR2xvYmVTb2Z0d2FyZS5BdGxhczQwLkF0bGFzQ29tbW9uLkNvbHVtblR5cGUCAAAAK0dsb2JlU29mdHdhcmUuQXRsYXM0MC5BdGxhc0NvbW1vbi5Tb3J0T3JkZXICAAAACAFAR2xvYmVTb2Z0d2FyZS5BdGxhczQwLkF0bGFzQ29tbW9uLlR5cGUuQ29sdW1uK0Nyb3NzVGFiQ29sdW1uVHlwZQIAAAABBggBuAFTeXN0ZW0uQ29sbGVjdGlvbnMuR2VuZXJpYy5MaXN0YDFbW0dsb2JlU29mdHdhcmUuQXRsYXM0MC5BdGxhc0NvbW1vbi5UeXBlLkNvbHVtbiwgR2xvYmVTb2Z0d2FyZS5BdGxhczQwLkF0bGFzQ29tbW9uLCBWZXJzaW9uPTQuMC4wLjAsIEN1bHR1cmU9bmV1dHJhbCwgUHVibGljS2V5VG9rZW49YWUyMWVjMzU3NWQxMjk5Zl1duAFTeXN0ZW0uQ29sbGVjdGlvbnMuR2VuZXJpYy5MaXN0YDFbW0dsb2JlU29mdHdhcmUuQXRsYXM0MC5BdGxhc0NvbW1vbi5UeXBlLkNvbHVtbiwgR2xvYmVTb2Z0d2FyZS5BdGxhczQwLkF0bGFzQ29tbW9uLCBWZXJzaW9uPTQuMC4wLjAsIEN1bHR1cmU9bmV1dHJhbCwgUHVibGljS2V5VG9rZW49YWUyMWVjMzU3NWQxMjk5Zl1dLEdsb2JlU29mdHdhcmUuQXRsYXM0MC5BdGxhc0NvbW1vbi5UeXBlLlF1ZXJ5AgAAAAIAAAAJZQAAAAlmAAAACWcAAAAGaAAAAAZJdGVtSWQGaQAAAAtJdGVtIG51bWJlcgZqAAAABlN0cmluZwkIAAAABmwAAAAkYzQwNDc0ZTEtZjJlMi00MmE1LWFmNTUtZGI1YjBiNTM3OWM4BZP///8tR2xvYmVTb2Z0d2FyZS5BdGxhczQwLkF0bGFzQ29tbW9uLkFnZ3JlZ2F0aW9uAQAAAAd2YWx1ZV9fAAgCAAAA/////wAAAAAFkv///yxHbG9iZVNvZnR3YXJlLkF0bGFzNDAuQXRsYXNDb21tb24uQ29sdW1uVHlwZQEAAAAHdmFsdWVfXwAIAgAAAAAAAAAFkf///ytHbG9iZVNvZnR3YXJlLkF0bGFzNDAuQXRsYXNDb21tb24uU29ydE9yZGVyAQAAAAd2YWx1ZV9fAAgCAAAAAgAAAAAAAAAABZD///9AR2xvYmVTb2Z0d2FyZS5BdGxhczQwLkF0bGFzQ29tbW9uLlR5cGUuQ29sdW1uK0Nyb3NzVGFiQ29sdW1uVHlwZQEAAAAHdmFsdWVfXwAIAgAAAAAAAAAKAQAAAAAAAAAAAAAAAAAGcQAAACQzMmMxMzhlNi02YjhkLTQyYTctOThkMC1lODRlYjM5Y2Q0MGIGcgAAAB5UYWJsZS5JbnZlbnRUYWJsZU1vZHVsZS5JdGVtSWQKCgoKATAAAAAvAAAACXMAAAAJdAAAAAl1AAAABnYAAAAGVW5pdElkBncAAAAEVW5pdAZ4AAAABlN0cmluZwkIAAAABnoAAAAkMThhYTAyOWUtODgxMy00YTYyLTkwZGYtMWU2NTdlZTI1Y2RmAYX///+T/////////wEAAAABhP///5L///8AAAAAAYP///+R////AgAAAAAAAAAAAYL///+Q////AAAAAAoBAAAAAAAAAAABAAAAAAZ/AAAAJGE3OTM2YjQ2LWNhZDgtNDY0OC1iZTc5LTAzYTliZWQwOTM5MAaAAAAAHlRhYmxlLkludmVudFRhYmxlTW9kdWxlLlVuaXRJZAoKCgoBXwAAABIAAAAHYAAAAAABAAAAAg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f////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IAAAADa2V5BXZhbHVlAQQ3R2xvYmVTb2Z0d2FyZS5BdGxhczQwLkF0bGFzQ29tbW9uLlR5cGUuRmllbGRPdXRwdXRGaWVsZAIAAAAGggAAAB5UYWJsZS5JbnZlbnRUYWJsZU1vZHVsZS5JdGVtSWQJgwAAAAF8////f////waFAAAAHlRhYmxlLkludmVudFRhYmxlTW9kdWxlLlVuaXRJZAmGAAAAB2IAAAAAAQAAAAEAAAAD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R5////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IAAAADa2V5BXZhbHVlAQQyR2xvYmVTb2Z0d2FyZS5BdGxhczQwLkF0bGFzQ29tbW9uLlR5cGUuRmllbGRTdHJpbmcCAAAABogAAAAiVGFibGUuSW52ZW50VGFibGVNb2R1bGUuTW9kdWxlVHlwZQmJAAAABGQAAADOAVN5c3RlbS5Db2xsZWN0aW9ucy5HZW5lcmljLkVudW1FcXVhbGl0eUNvbXBhcmVyYDFbW0dsb2JlU29mdHdhcmUuQXRsYXM0MC5BdGxhc0NvbW1vbi5UeXBlLkF4QXR0cmlidXRlcywgR2xvYmVTb2Z0d2FyZS5BdGxhczQwLkF0bGFzQ29tbW9uLCBWZXJzaW9uPTQuMC4wLjAsIEN1bHR1cmU9bmV1dHJhbCwgUHVibGljS2V5VG9rZW49YWUyMWVjMzU3NWQxMjk5Zl1dAAAAAARlAAAAwgFTeXN0ZW0uQ29sbGVjdGlvbnMuR2VuZXJpYy5MaXN0YDFbW0dsb2JlU29mdHdhcmUuQXRsYXM0MC5BdGxhc0NvbW1vbi5UeXBlLkZpZWxkT3V0cHV0RmllbGQsIEdsb2JlU29mdHdhcmUuQXRsYXM0MC5BdGxhc0NvbW1vbiwgVmVyc2lvbj00LjAuMC4wLCBDdWx0dXJlPW5ldXRyYWwsIFB1YmxpY0tleVRva2VuPWFlMjFlYzM1NzVkMTI5OWZdXQMAAAAGX2l0ZW1zBV9zaXplCF92ZXJzaW9uBAAAOUdsb2JlU29mdHdhcmUuQXRsYXM0MC5BdGxhc0NvbW1vbi5UeXBlLkZpZWxkT3V0cHV0RmllbGRbXQIAAAAICAmKAAAAAQAAAAEAAAAEZgAAAK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AAAAAdWZXJzaW9uCENvbXBhcmVyCEhhc2hTaXplDUtleVZhbHVlUGFpcnMAAwADCM0BU3lzdGVtLkNvbGxlY3Rpb25zLkdlbmVyaWMuRW51bUVxdWFsaXR5Q29tcGFyZXJgMVtbR2xvYmVTb2Z0d2FyZS5BdGxhczQwLkF0bGFzQ29tbW9uLkNvbHVtbkF0dHJpYnV0ZXMsIEdsb2JlU29mdHdhcmUuQXRsYXM0MC5BdGxhc0NvbW1vbiwgVmVyc2lvbj00LjAuMC4wLCBDdWx0dXJlPW5ldXRyYWwsIFB1YmxpY0tleVRva2VuPWFlMjFlYzM1NzVkMTI5OWZdXQik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W10TAAAACYsAAAAHAAAACYwAAAAEZw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OAAAACY0AAAAHAAAACY4AAAABcwAAAGUAAAAJjwAAAAEAAAABAAAAAXQAAABmAAAAEgAAAAmLAAAABwAAAAmRAAAABHU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DgAAAAmNAAAABwAAAAmTAAAABYMAAAA3R2xvYmVTb2Z0d2FyZS5BdGxhczQwLkF0bGFzQ29tbW9uLlR5cGUuRmllbGRPdXRwdXRGaWVsZBcAAAAMX2FnZ3JlZ2F0aW9uB19pbnZlcnQFX3R5cGUGX2xhYmVsC19kYXRhU291cmNlCl9zb3J0T3JkZXIQX251bVNlcUNvbmRpdGlvbg1faXNNZXRob2RDYWxsCV9zZWxlY3RlZA5fZGF0YVNvdXJjZUtleQVfbmFtZQ1fZm9ybWF0U3RyaW5nDEZpZWxkK192YWx1ZRBGaWVsZCtfYXhGaWVsZElkFEZpZWxkK19kYXRhU291cmNlS2V5DUZpZWxkK19kc05hbWULRmllbGQrX25hbWUXRmllbGQrX3JlbGF0ZWRGaWVsZE5hbWUcRmllbGQrX3JlbGF0ZWREYXRhU291cmNlTmFtZRNGaWVsZCtfZmllbGRPbmx5S2V5E0ZpZWxkK19mb3JtYXRTdHJpbmcRRmllbGQrX2F0dHJpYnV0ZXMQRmllbGQrX2N1c3RvbUtleQQAAQEEBAQAAAEBAQIAAQEBAQEBAQMBLUdsb2JlU29mdHdhcmUuQXRsYXM0MC5BdGxhc0NvbW1vbi5BZ2dyZWdhdGlvbgIAAAABMUdsb2JlU29mdHdhcmUuQXRsYXM0MC5BdGxhc0NvbW1vbi5UeXBlLkRhdGFTb3VyY2UCAAAAK0dsb2JlU29mdHdhcmUuQXRsYXM0MC5BdGxhc0NvbW1vbi5Tb3J0T3JkZXICAAAAOUdsb2JlU29mdHdhcmUuQXRsYXM0MC5BdGxhc0NvbW1vbi5OdW1iZXJTZXF1ZW5jZUNvbmRpdGlvbgIAAAABAQj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AWz///+T/////////wAGlQAAAAZTdHJpbmcGlgAAAAtJdGVtIG51bWJlcgmXAAAAAWj///+R////AgAAAAVn////OUdsb2JlU29mdHdhcmUuQXRsYXM0MC5BdGxhc0NvbW1vbi5OdW1iZXJTZXF1ZW5jZUNvbmRpdGlvbgEAAAAHdmFsdWVfXwAIAgAAAAEAAAAAAAaaAAAAF1RhYmxlLkludmVudFRhYmxlTW9kdWxlCWgAAAAJCAAAAAr/////CZoAAAAKCWgAAAAKCgoJCAAAAAmgAAAACQgAAAABhgAAAIMAAAABXv///5P/////////AAajAAAABlN0cmluZwakAAAABFVuaXQJlwAAAAFa////kf///wIAAAABWf///2f///8BAAAAAAAJmgAAAAl2AAAACQgAAAAK/////wmaAAAACgl2AAAACgoKCQgAAAAJrgAAAAkIAAAABYkAAAAyR2xvYmVTb2Z0d2FyZS5BdGxhczQwLkF0bGFzQ29tbW9uLlR5cGUuRmllbGRTdHJpbmcOAAAADl9kYXRhU291cmNlS2V5BV9uYW1lDV9mb3JtYXRTdHJpbmcMRmllbGQrX3ZhbHVlEEZpZWxkK19heEZpZWxkSWQURmllbGQrX2RhdGFTb3VyY2VLZXkNRmllbGQrX2RzTmFtZQtGaWVsZCtfbmFtZRdGaWVsZCtfcmVsYXRlZEZpZWxkTmFtZRxGaWVsZCtfcmVsYXRlZERhdGFTb3VyY2VOYW1lE0ZpZWxkK19maWVsZE9ubHlLZXkTRmllbGQrX2Zvcm1hdFN0cmluZxFGaWVsZCtfYXR0cmlidXRlcxBGaWVsZCtfY3VzdG9tS2V5AQEBAgABAQEBAQEBAw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gAAAAmaAAAABrEAAAAKTW9kdWxlVHlwZQkIAAAABrMAAAAGSW52ZW50/////wmaAAAABrUAAAARSW52ZW50VGFibGVNb2R1bGUJsQAAAAoKCgkIAAAACbgAAAAJCAAAAAeKAAAAAAEAAAAEAAAABDdHbG9iZVNvZnR3YXJlLkF0bGFzNDAuQXRsYXNDb21tb24uVHlwZS5GaWVsZE91dHB1dEZpZWxkAgAAAAmDAAAADQMEiwAAAM0BU3lzdGVtLkNvbGxlY3Rpb25zLkdlbmVyaWMuRW51bUVxdWFsaXR5Q29tcGFyZXJgMVtbR2xvYmVTb2Z0d2FyZS5BdGxhczQwLkF0bGFzQ29tbW9uLkNvbHVtbkF0dHJpYnV0ZXMsIEdsb2JlU29mdHdhcmUuQXRsYXM0MC5BdGxhc0NvbW1vbiwgVmVyc2lvbj00LjAuMC4wLCBDdWx0dXJlPW5ldXRyYWwsIFB1YmxpY0tleVRva2VuPWFlMjFlYzM1NzVkMTI5OWZdXQAAAAAHjAAAAAABAAAABw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EX///+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gAAAANrZXkFdmFsdWUEATJHbG9iZVNvZnR3YXJlLkF0bGFzNDAuQXRsYXNDb21tb24uQ29sdW1uQXR0cmlidXRlcwIAAAAFRP///zJHbG9iZVNvZnR3YXJlLkF0bGFzNDAuQXRsYXNDb21tb24uQ29sdW1uQXR0cmlidXRlcwEAAAAHdmFsdWVfXwAIAgAAAAYAAAAGvQAAAAVUb3RhbAFC////Rf///wFB////RP///xAAAAAGwAAAAAROb25lAT////9F////AT7///9E////CQAAAAkIAAAAATz///9F////ATv///9E////CwAAAAbGAAAAATABOf///0X///8BOP///0T///8EAAAABskAAAAHR2VuZXJhbAE2////Rf///wE1////RP///wIAAAAGzAAAAAExATP///9F////ATL///9E////AAAAAAbPAAAABTIwLjQzAY0AAAASAAAAB44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EMP///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gAAAANrZXkFdmFsdWUBAQbRAAAACEZvbnRCb2xkBtIAAAAFRmFsc2UBLf///zD///8G1AAAAApGb250SXRhbGljCdIAAAABKv///zD///8G1wAAAA1Gb250VW5kZXJsaW5lBtgAAAAFLTQxNDIBJ////zD///8G2gAAAAhGb250TmFtZQbbAAAAB0NhbGlicmkBJP///zD///8G3QAAAAlGb250Q29sb3IG3gAAAAEwASH///8w////BuAAAAAIRm9udFNpemUG4QAAAAIxMQEe////MP///wbjAAAACUZvbnRTdHlsZQbkAAAAB1JlZ3VsYXIHjwAAAAABAAAABAAAAAQ3R2xvYmVTb2Z0d2FyZS5BdGxhczQwLkF0bGFzQ29tbW9uLlR5cGUuRmllbGRPdXRwdXRGaWVsZAIAAAAJhgAAAA0DB5E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a////Rf///wEZ////RP///xAAAAAJwAAAAAEX////Rf///wEW////RP///wkAAAAJCAAAAAEU////Rf///wET////RP///wsAAAAG7gAAAAExARH///9F////ARD///9E////BAAAAAbxAAAAB0dlbmVyYWwBDv///0X///8BDf///0T///8CAAAABvQAAAABMQEL////Rf///wEK////RP///wAAAAAG9wAAAAQ2LjQzB5M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CP///zD///8J0QAAAAnSAAAAAQX///8w////CdQAAAAJ0gAAAAEC////MP///wnXAAAABgABAAAFLTQxNDIB//7//zD///8J2gAAAAYDAQAAB0NhbGlicmkB/P7//zD///8J3QAAAAYGAQAAATAB+f7//zD///8J4AAAAAYJAQAAAjExAfb+//8w////CeMAAAAGDAEAAAdSZWd1bGFyAZcAAAAOAAAAsAAAAAYNAQAAEUludmVudFRhYmxlTW9kdWxlBg4BAAAbSW52ZW50b3J5IG1vZHVsZSBwYXJhbWV0ZXJzCQgAAAAJCAAAAAkIAAAAAfD+///g////AAAAAAkRAQAACRIBAAAB7f7//93////Y4viCSvG/QbvGYe6bMM9JCQgAAAAJCAAAAAkVAQAACZoAAAAKCgoKCgEAAAAB6f7//9n///8AAAAAAej+///Y////AAAAAAAJGQEAAASg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0AAAAJjQAAAAMAAAAJGwEAAASu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0AAAAJjQAAAAMAAAAJHQEAAAS4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wAAAAJjQAAAAMAAAAJHwEAAAERAQAAIQAAAA0AAAAJIAEAABEAAAAJIQEAAAESAQAAIgAAAAQAAAAJjQAAAAcAAAAJIwEAAAQVAQ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IAEAAAAAAAABGQEAACkAAAAAAAAACSUBAAAAAAAABxsB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2v7//zD///8GJwEAAAhIZWxwVGV4dAYoAQAAKUl0ZW0gbnVtYmVyIHRoYXQgdGhlIHBhcmFtZXRlcnMgYXBwbHkgdG8uAdf+//8w////BioBAAAFTGFiZWwJlgAAAAHU/v//MP///wYtAQAABFR5cGUJlQAAAAcdA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dH+//8w////CScBAAAGMQEAAB9Vbml0IHdoaWNoIHRoZSBtb2R1bGUgaXMgcnVuIGluAc7+//8w////CSoBAAAJpAAAAAHL/v//MP///wktAQAACaMAAAAHHwE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I/v//MP///wktAQAABjoBAAAERW51bQHF/v//MP///wkqAQAABj0BAAALTW9kdWxlIHR5cGUBIAEAABIAAAAHIQEAAAABAAAAAw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wv7//3////8GPwEAAB5UYWJsZS5JbnZlbnRUYWJsZU1vZHVsZS5JdGVtSWQJgwAAAAG//v//f////wZCAQAAHlRhYmxlLkludmVudFRhYmxlTW9kdWxlLlVuaXRJZAmGAAAAAbz+//9/////BkUBAAAiVGFibGUuSW52ZW50VGFibGVNb2R1bGUuRGF0YUFyZWFJZAlGAQAAByMBAAAAAQAAAAQAAAAD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G5/v//ef///wZIAQAAHlRhYmxlLkludmVudFRhYmxlTW9kdWxlLkl0ZW1JZAlJAQAAAbb+//95////BksBAAAgVGFibGUuSW52ZW50VGFibGVNb2R1bGUuTGluZURpc2MJTAEAAAGz/v//ef///wZOAQAAIlRhYmxlLkludmVudFRhYmxlTW9kdWxlLk1vZHVsZVR5cGUJiQAAAAGw/v//ef///wZRAQAAHlRhYmxlLkludmVudFRhYmxlTW9kdWxlLlVuaXRJZAlSAQAAASUBAABkAAAAAUYBAACDAAAAAa3+//+T/////////wAGVAEAAAZTdHJpbmcGVQEAABBDb21wYW55IGFjY291bnRzCZcAAAABqf7//5H///8CAAAAAaj+//9n////AQAAAAAACZoAAAAGWgEAAApEYXRhQXJlYUlkCQgAAAAK/////wmaAAAACglaAQAACgoKCQgAAAAJXwEAAAkIAAAAAUkBAACJAAAACZoAAAAGYgEAAAZJdGVtSWQJCAAAAAkIAAAA/////wmaAAAACgliAQAACgoKCQgAAAAJZwEAAAkIAAAAAUwBAACJAAAACZoAAAAGagEAAAhMaW5lRGlzYwkIAAAACQgAAAD/////CZoAAAAKCWoBAAAKCgoJCAAAAAlvAQAACQgAAAABUgEAAIkAAAAJmgAAAAZyAQAABlVuaXRJZAkIAAAACQgAAAD/////CZoAAAAKCXIBAAAKCgoJCAAAAAl3AQAACQgAAAAEXw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GAAAACY0AAAADAAAACXoBAAAEZw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CAAAACY0AAAADAAAACXwBAAAEbw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CAAAACY0AAAADAAAACX4BAAAEdw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CAAAACY0AAAADAAAACYABAAAHegE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//v//MP///wkqAQAACVUBAAABfP7//zD///8JLQEAAAlUAQAAB3wB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ef7//zD///8JLQEAAAaJAQAABlN0cmluZwF2/v//MP///wkqAQAABowBAAALSXRlbSBudW1iZXIHfgE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z/v//MP///wktAQAABo8BAAAGU3RyaW5nAXD+//8w////CSoBAAAGkgEAAA1MaW5lIGRpc2NvdW50B4AB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bf7//zD///8JLQEAAAaVAQAABlN0cmluZwFq/v//MP///wkqAQAABpgBAAAEVW5pdAs=
    <Output>
      <OutputObject name="AtlasReport_3"/>
    </Output>
  </Query>
</Atlas>
</file>

<file path=customXml/item7.xml><?xml version="1.0" encoding="utf-8"?>
<Atlas>
  <Report name="AtlasReport_3">AAEAAAD/////AQAAAAAAAAAMAgAAAGBHbG9iZVNvZnR3YXJlLkF0bGFzNDAuQUlFeGNlbCwgVmVyc2lvbj00LjAuMC4wLCBDdWx0dXJlPW5ldXRyYWwsIFB1YmxpY0tleVRva2VuPWFlMjFlYzM1NzVkMTI5OWYFAQAAACRHbG9iZVNvZnR3YXJlLkF0bGFzNDAuQUlFeGNlbC5SZXBvcnQLAAAACV9yZXBvcnRObwxfbGlzdE9iamVjdHMSX2RyaWxsRG93bkNyaXRlcmlhBV9uYW1lC19kYXRhQXJlYUlkBV9udWRlGVJlcG9ydCtfZHJpbGxEb3duQ3JpdGVyaWEMUmVwb3J0K19uYW1lElJlcG9ydCtfZGF0YUFyZWFJZAxSZXBvcnQrX251ZGUVUmVwb3J0K19vdXRwdXRDb2x1bW5zAAMDAQEAAwEBAAMItQFTeXN0ZW0uQ29sbGVjdGlvbnMuR2VuZXJpYy5MaXN0YDFbW0dsb2JlU29mdHdhcmUuQXRsYXM0MC5BSUV4Y2VsLlJlcG9ydExpc3RPYmplY3QsIEdsb2JlU29mdHdhcmUuQXRsYXM0MC5BSUV4Y2VsLCBWZXJzaW9uPTQuMC4wLjAsIEN1bHR1cmU9bmV1dHJhbCwgUHVibGljS2V5VG9rZW49YWUyMWVjMzU3NWQxMjk5Zl1d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a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G4AVN5c3RlbS5Db2xsZWN0aW9ucy5HZW5lcmljLkxpc3RgMVtbR2xvYmVTb2Z0d2FyZS5BdGxhczQwLkF0bGFzQ29tbW9uLlR5cGUuQ29sdW1uLCBHbG9iZVNvZnR3YXJlLkF0bGFzNDAuQXRsYXNDb21tb24sIFZlcnNpb249NC4wLjAuMCwgQ3VsdHVyZT1uZXV0cmFsLCBQdWJsaWNLZXlUb2tlbj1hZTIxZWMzNTc1ZDEyOTlmXV0CAAAAAwAAAAkDAAAACQQAAAAGBQAAAA1BdGxhc1JlcG9ydF8zBgYAAAADMzY5AAkEAAAACQUAAAAJBgAAAAAJCgAAAAQDAAAAtQFTeXN0ZW0uQ29sbGVjdGlvbnMuR2VuZXJpYy5MaXN0YDFbW0dsb2JlU29mdHdhcmUuQXRsYXM0MC5BSUV4Y2VsLlJlcG9ydExpc3RPYmplY3QsIEdsb2JlU29mdHdhcmUuQXRsYXM0MC5BSUV4Y2VsLCBWZXJzaW9uPTQuMC4wLjAsIEN1bHR1cmU9bmV1dHJhbCwgUHVibGljS2V5VG9rZW49YWUyMWVjMzU3NWQxMjk5Zl1dAwAAAAZfaXRlbXMFX3NpemUIX3ZlcnNpb24EAAAwR2xvYmVTb2Z0d2FyZS5BdGxhczQwLkFJRXhjZWwuUmVwb3J0TGlzdE9iamVjdFtdAgAAAAgICQsAAAABAAAAAQAAAAQEAAAA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pg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1bXQEAAAAJDAAAAAMAAAAJDQAAAAwOAAAAZEdsb2JlU29mdHdhcmUuQXRsYXM0MC5BdGxhc0NvbW1vbiwgVmVyc2lvbj00LjAuMC4wLCBDdWx0dXJlPW5ldXRyYWwsIFB1YmxpY0tleVRva2VuPWFlMjFlYzM1NzVkMTI5OWYECg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DgAAAAgICQ8AAAACAAAAAgAAAAcLAAAAAAEAAAAEAAAABC5HbG9iZVNvZnR3YXJlLkF0bGFzNDAuQUlFeGNlbC5SZXBvcnRMaXN0T2JqZWN0AgAAAAkQAAAADQMEDAAAAJIBU3lzdGVtLkNvbGxlY3Rpb25zLkdlbmVyaWMuR2VuZXJpY0VxdWFsaXR5Q29tcGFyZXJgMVtbU3lzdGVtLlN0cmluZywgbXNjb3JsaWIsIFZlcnNpb249NC4wLjAuMCwgQ3VsdHVyZT1uZXV0cmFsLCBQdWJsaWNLZXlUb2tlbj1iNzdhNWM1NjE5MzRlMDg5XV0AAAAABw0AAAAAAQAAAAEAAAADpA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0E7////6Q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gAAAANrZXkFdmFsdWUBA80BU3lzdGVtLkNvbGxlY3Rpb25zLkdlbmVyaWMuTGlzdGAxW1tHbG9iZVNvZnR3YXJlLkF0bGFzNDAuQXRsYXNDb21tb25DbGllbnQuRGF0YVNvdXJjZUZpZWxkVmFsdWUsIEdsb2JlU29mdHdhcmUuQXRsYXM0MC5BdGxhc0NvbW1vbkNsaWVudCwgVmVyc2lvbj00LjAuMC4wLCBDdWx0dXJlPW5ldXRyYWwsIFB1YmxpY0tleVRva2VuPWFlMjFlYzM1NzVkMTI5OWZdXQYSAAAAAV8JEwAAAAcPAAAAAAEAAAAEAAAABC1HbG9iZVNvZnR3YXJlLkF0bGFzNDAuQXRsYXNDb21tb24uVHlwZS5Db2x1bW4OAAAACRQAAAAJFQAAAA0CDBYAAABqR2xvYmVTb2Z0d2FyZS5BdGxhczQwLkF0bGFzQ29tbW9uQ2xpZW50LCBWZXJzaW9uPTQuMC4wLjAsIEN1bHR1cmU9bmV1dHJhbCwgUHVibGljS2V5VG9rZW49YWUyMWVjMzU3NWQxMjk5ZgUQAAAALkdsb2JlU29mdHdhcmUuQXRsYXM0MC5BSUV4Y2VsLlJlcG9ydExpc3RPYmplY3QDAAAABV9uYW1lCl9yZWZlcmVuY2UJX29iamVjdE5vAQQAOEdsb2JlU29mdHdhcmUuQXRsYXM0MC5BdGxhc0NvbW1vbkNsaWVudC5SZXBvcnQuUmVmZXJlbmNlFgAAAAgCAAAABhcAAAAVQXRsYXNSZXBvcnRfM19UYWJsZV8xCRgAAAAAAAAABBMAAADNAVN5c3RlbS5Db2xsZWN0aW9ucy5HZW5lcmljLkxpc3RgMVtbR2xvYmVTb2Z0d2FyZS5BdGxhczQwLkF0bGFzQ29tbW9uQ2xpZW50LkRhdGFTb3VyY2VGaWVsZFZhbHVlLCBHbG9iZVNvZnR3YXJlLkF0bGFzNDAuQXRsYXNDb21tb25DbGllbnQsIFZlcnNpb249NC4wLjAuMCwgQ3VsdHVyZT1uZXV0cmFsLCBQdWJsaWNLZXlUb2tlbj1hZTIxZWMzNTc1ZDEyOTlmXV0DAAAABl9pdGVtcwVfc2l6ZQhfdmVyc2lvbgQAAD5HbG9iZVNvZnR3YXJlLkF0bGFzNDAuQXRsYXNDb21tb25DbGllbnQuRGF0YVNvdXJjZUZpZWxkVmFsdWVbXRYAAAAICAkZAAAAAgAAAAIAAAAFFAAAAC1HbG9iZVNvZnR3YXJlLkF0bGFzNDAuQXRsYXNDb21tb24uVHlwZS5Db2x1bW4aAAAAB19maWVsZHMLX2F0dHJpYnV0ZXMNX2NvbHVtbkZvcm1hdAVfbmFtZQZfbGFiZWwFX2ljb24MX2NhbGN1bGF0aW9uA19pZAxfYWdncmVnYXRpb24GX29yZGVyC19jb2x1bW5UeXBlCl9zb3J0T3JkZXIPX3NvcnRPcmRlckluZGV4Bl9ncm91cAlfY3Jvc3NUYWIOX2Nyb3NzVGFiVmFsdWUOX2Nyb3NzVGFiVG90YWwPX2FnZ3JlZ2F0ZVZhbHVlD19vdXRwdXRDb2x1bW5ObwtfbnVsbENvbHVtbgRfa2V5CV9maWVsZEtleQ5faGVhZGVyQ29sdW1ucw5fZm9vdGVyQ29sdW1ucwxfdXBsb2FkVmFsdWUhPENhbGN1bGF0aW9uUXVlcnk+a19fQmFja2luZ0ZpZWxkAwMDAQEBAQEEAAQEAAAEAgAAAAABAQMDAQTCAVN5c3RlbS5Db2xsZWN0aW9ucy5HZW5lcmljLkxpc3RgMVtbR2xvYmVTb2Z0d2FyZS5BdGxhczQwLkF0bGFzQ29tbW9uLlR5cGUuRmllbGRPdXRwdXRGaWVsZCwgR2xvYmVTb2Z0d2FyZS5BdGxhczQwLkF0bGFzQ29tbW9uLCBWZXJzaW9uPTQuMC4wLjAsIEN1bHR1cmU9bmV1dHJhbCwgUHVibGljS2V5VG9rZW49YWUyMWVjMzU3NWQxMjk5Zl1d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3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tR2xvYmVTb2Z0d2FyZS5BdGxhczQwLkF0bGFzQ29tbW9uLkFnZ3JlZ2F0aW9uDgAAAAgsR2xvYmVTb2Z0d2FyZS5BdGxhczQwLkF0bGFzQ29tbW9uLkNvbHVtblR5cGUOAAAAK0dsb2JlU29mdHdhcmUuQXRsYXM0MC5BdGxhc0NvbW1vbi5Tb3J0T3JkZXIOAAAACAFAR2xvYmVTb2Z0d2FyZS5BdGxhczQwLkF0bGFzQ29tbW9uLlR5cGUuQ29sdW1uK0Nyb3NzVGFiQ29sdW1uVHlwZQ4AAAABBggBuAFTeXN0ZW0uQ29sbGVjdGlvbnMuR2VuZXJpYy5MaXN0YDFbW0dsb2JlU29mdHdhcmUuQXRsYXM0MC5BdGxhc0NvbW1vbi5UeXBlLkNvbHVtbiwgR2xvYmVTb2Z0d2FyZS5BdGxhczQwLkF0bGFzQ29tbW9uLCBWZXJzaW9uPTQuMC4wLjAsIEN1bHR1cmU9bmV1dHJhbCwgUHVibGljS2V5VG9rZW49YWUyMWVjMzU3NWQxMjk5Zl1duAFTeXN0ZW0uQ29sbGVjdGlvbnMuR2VuZXJpYy5MaXN0YDFbW0dsb2JlU29mdHdhcmUuQXRsYXM0MC5BdGxhc0NvbW1vbi5UeXBlLkNvbHVtbiwgR2xvYmVTb2Z0d2FyZS5BdGxhczQwLkF0bGFzQ29tbW9uLCBWZXJzaW9uPTQuMC4wLjAsIEN1bHR1cmU9bmV1dHJhbCwgUHVibGljS2V5VG9rZW49YWUyMWVjMzU3NWQxMjk5Zl1dLEdsb2JlU29mdHdhcmUuQXRsYXM0MC5BdGxhc0NvbW1vbi5UeXBlLlF1ZXJ5DgAAAA4AAAAJGgAAAAkbAAAACRwAAAAGHQAAAAZJdGVtSWQGHgAAAAtJdGVtIG51bWJlcgYfAAAABlN0cmluZwYgAAAAAAYhAAAAJGM0MDQ3NGUxLWYyZTItNDJhNS1hZjU1LWRiNWIwYjUzNzljOAXe////LUdsb2JlU29mdHdhcmUuQXRsYXM0MC5BdGxhc0NvbW1vbi5BZ2dyZWdhdGlvbgEAAAAHdmFsdWVfXwAIDgAAAP////8AAAAABd3///8sR2xvYmVTb2Z0d2FyZS5BdGxhczQwLkF0bGFzQ29tbW9uLkNvbHVtblR5cGUBAAAAB3ZhbHVlX18ACA4AAAAAAAAABdz///8rR2xvYmVTb2Z0d2FyZS5BdGxhczQwLkF0bGFzQ29tbW9uLlNvcnRPcmRlcgEAAAAHdmFsdWVfXwAIDgAAAAIAAAAAAAAAAAXb////QEdsb2JlU29mdHdhcmUuQXRsYXM0MC5BdGxhc0NvbW1vbi5UeXBlLkNvbHVtbitDcm9zc1RhYkNvbHVtblR5cGUBAAAAB3ZhbHVlX18ACA4AAAAAAAAACgEAAAAAAAAAAAAAAAAABiYAAAAkMzJjMTM4ZTYtNmI4ZC00MmE3LTk4ZDAtZTg0ZWIzOWNkNDBiBicAAAAeVGFibGUuSW52ZW50VGFibGVNb2R1bGUuSXRlbUlkCgoKCgEVAAAAFAAAAAkoAAAACSkAAAAJKgAAAAYrAAAABlVuaXRJZAYsAAAABFVuaXQGLQAAAAZTdHJpbmcJIAAAAAYvAAAAJDE4YWEwMjllLTg4MTMtNGE2Mi05MGRmLTFlNjU3ZWUyNWNkZgHQ////3v////////8BAAAAAc/////d////AAAAAAHO////3P///wIAAAAAAAAAAAHN////2////wAAAAAKAQAAAAAAAAAAAQAAAAAGNAAAACRhNzkzNmI0Ni1jYWQ4LTQ2NDgtYmU3OS0wM2E5YmVkMDkzOTAGNQAAAB5UYWJsZS5JbnZlbnRUYWJsZU1vZHVsZS5Vbml0SWQKCgoKBRgAAAA4R2xvYmVTb2Z0d2FyZS5BdGxhczQwLkF0bGFzQ29tbW9uQ2xpZW50LlJlcG9ydC5SZWZlcmVuY2UBAAAACl9yZWZlcmVuY2UHCBYAAAAJNgAAAAcZAAAAAAEAAAAEAAAABDxHbG9iZVNvZnR3YXJlLkF0bGFzNDAuQXRsYXNDb21tb25DbGllbnQuRGF0YVNvdXJjZUZpZWxkVmFsdWUWAAAACTcAAAAJOAAAAA0CBBoAAADCAVN5c3RlbS5Db2xsZWN0aW9ucy5HZW5lcmljLkxpc3RgMVtbR2xvYmVTb2Z0d2FyZS5BdGxhczQwLkF0bGFzQ29tbW9uLlR5cGUuRmllbGRPdXRwdXRGaWVsZCwgR2xvYmVTb2Z0d2FyZS5BdGxhczQwLkF0bGFzQ29tbW9uLCBWZXJzaW9uPTQuMC4wLjAsIEN1bHR1cmU9bmV1dHJhbCwgUHVibGljS2V5VG9rZW49YWUyMWVjMzU3NWQxMjk5Zl1dAwAAAAZfaXRlbXMFX3NpemUIX3ZlcnNpb24EAAA5R2xvYmVTb2Z0d2FyZS5BdGxhczQwLkF0bGFzQ29tbW9uLlR5cGUuRmllbGRPdXRwdXRGaWVsZFtdDgAAAAgICTkAAAABAAAAAQAAAAQbAAAA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AAAAB1ZlcnNpb24IQ29tcGFyZXIISGFzaFNpemUNS2V5VmFsdWVQYWlycwADAAMIzQFTeXN0ZW0uQ29sbGVjdGlvbnMuR2VuZXJpYy5FbnVtRXF1YWxpdHlDb21wYXJlcmAxW1tHbG9iZVNvZnR3YXJlLkF0bGFzNDAuQXRsYXNDb21tb24uQ29sdW1uQXR0cmlidXRlcywgR2xvYmVTb2Z0d2FyZS5BdGxhczQwLkF0bGFzQ29tbW9uLCBWZXJzaW9uPTQuMC4wLjAsIEN1bHR1cmU9bmV1dHJhbCwgUHVibGljS2V5VG9rZW49YWUyMWVjMzU3NWQxMjk5Zl1dCKQ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1bXRMAAAAJOgAAAAcAAAAJOwAAAAQc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4AAAAJPAAAAAcAAAAJPQAAAAEoAAAAGgAAAAk+AAAAAQAAAAEAAAABKQAAABsAAAASAAAACToAAAAHAAAACUAAAAABKgAAABwAAAAOAAAACTwAAAAHAAAACUIAAAAPNgAAAAEAAAAIAQAAAAU3AAAAPEdsb2JlU29mdHdhcmUuQXRsYXM0MC5BdGxhc0NvbW1vbkNsaWVudC5EYXRhU291cmNlRmllbGRWYWx1ZQQAAAASX2lzRHJpbGxEb3duRmlsdGVyBl9kc0tleQpfZmllbGRuYW1lC19maWVsZFZhbHVlAAEBAQEWAAAAAAZDAAAAF1RhYmxlLkludmVudFRhYmxlTW9kdWxlBkQAAAAKRGF0YUFyZWFJZAkGAAAAATgAAAA3AAAAAAlDAAAABkcAAAAKTW9kdWxlVHlwZQZIAAAABkludmVudAc5AAAAAAEAAAAEAAAABDdHbG9iZVNvZnR3YXJlLkF0bGFzNDAuQXRsYXNDb21tb24uVHlwZS5GaWVsZE91dHB1dEZpZWxkDgAAAAlJAAAADQMEOgAAAM0BU3lzdGVtLkNvbGxlY3Rpb25zLkdlbmVyaWMuRW51bUVxdWFsaXR5Q29tcGFyZXJgMVtbR2xvYmVTb2Z0d2FyZS5BdGxhczQwLkF0bGFzQ29tbW9uLkNvbHVtbkF0dHJpYnV0ZXMsIEdsb2JlU29mdHdhcmUuQXRsYXM0MC5BdGxhc0NvbW1vbiwgVmVyc2lvbj00LjAuMC4wLCBDdWx0dXJlPW5ldXRyYWwsIFB1YmxpY0tleVRva2VuPWFlMjFlYzM1NzVkMTI5OWZdXQAAAAAHOwAAAAABAAAABw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Lb///+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gAAAANrZXkFdmFsdWUEATJHbG9iZVNvZnR3YXJlLkF0bGFzNDAuQXRsYXNDb21tb24uQ29sdW1uQXR0cmlidXRlcw4AAAAFtf///zJHbG9iZVNvZnR3YXJlLkF0bGFzNDAuQXRsYXNDb21tb24uQ29sdW1uQXR0cmlidXRlcwEAAAAHdmFsdWVfXwAIDgAAAAYAAAAGTAAAAAVUb3RhbAGz////tv///wGy////tf///xAAAAAGTwAAAAROb25lAbD///+2////Aa////+1////CQAAAAkgAAAAAa3///+2////Aaz///+1////CwAAAAZVAAAAATABqv///7b///8Bqf///7X///8EAAAABlgAAAAHR2VuZXJhbAGn////tv///wGm////tf///wIAAAAGWwAAAAExAaT///+2////AaP///+1////AAAAAAZeAAAABTIwLjQzATwAAAAMAAAABz0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Eof///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gAAAANrZXkFdmFsdWUBAQZgAAAACEZvbnRCb2xkBmEAAAAFRmFsc2UBnv///6H///8GYwAAAApGb250SXRhbGljCWEAAAABm////6H///8GZgAAAA1Gb250VW5kZXJsaW5lBmcAAAAFLTQxNDIBmP///6H///8GaQAAAAhGb250TmFtZQZqAAAAB0NhbGlicmkBlf///6H///8GbAAAAAlGb250Q29sb3IGbQAAAAEwAZL///+h////Bm8AAAAIRm9udFNpemUGcAAAAAIxMQGP////of///wZyAAAACUZvbnRTdHlsZQZzAAAAB1JlZ3VsYXIHPgAAAAABAAAABAAAAAQ3R2xvYmVTb2Z0d2FyZS5BdGxhczQwLkF0bGFzQ29tbW9uLlR5cGUuRmllbGRPdXRwdXRGaWVsZA4AAAAJdAAAAA0DB0A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L////tv///wGK////tf///xAAAAAJTwAAAAGI////tv///wGH////tf///wkAAAAJIAAAAAGF////tv///wGE////tf///wsAAAAGfQAAAAExAYL///+2////AYH///+1////BAAAAAaAAAAAB0dlbmVyYWwBf////7b///8Bfv///7X///8CAAAABoMAAAABMQF8////tv///wF7////tf///wAAAAAGhgAAAAQ2LjQzB0I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ef///6H///8JYAAAAAlhAAAAAXb///+h////CWMAAAAJYQAAAAFz////of///wlmAAAABo8AAAAFLTQxNDIBcP///6H///8JaQAAAAaSAAAAB0NhbGlicmkBbf///6H///8JbAAAAAaVAAAAATABav///6H///8JbwAAAAaYAAAAAjExAWf///+h////CXIAAAAGmwAAAAdSZWd1bGFyBUkAAAA3R2xvYmVTb2Z0d2FyZS5BdGxhczQwLkF0bGFzQ29tbW9uLlR5cGUuRmllbGRPdXRwdXRGaWVsZBcAAAAMX2FnZ3JlZ2F0aW9uB19pbnZlcnQFX3R5cGUGX2xhYmVsC19kYXRhU291cmNlCl9zb3J0T3JkZXIQX251bVNlcUNvbmRpdGlvbg1faXNNZXRob2RDYWxsCV9zZWxlY3RlZA5fZGF0YVNvdXJjZUtleQVfbmFtZQ1fZm9ybWF0U3RyaW5nDEZpZWxkK192YWx1ZRBGaWVsZCtfYXhGaWVsZElkFEZpZWxkK19kYXRhU291cmNlS2V5DUZpZWxkK19kc05hbWULRmllbGQrX25hbWUXRmllbGQrX3JlbGF0ZWRGaWVsZE5hbWUcRmllbGQrX3JlbGF0ZWREYXRhU291cmNlTmFtZRNGaWVsZCtfZmllbGRPbmx5S2V5E0ZpZWxkK19mb3JtYXRTdHJpbmcRRmllbGQrX2F0dHJpYnV0ZXMQRmllbGQrX2N1c3RvbUtleQQAAQEEBAQAAAEBAQIAAQEBAQEBAQMBLUdsb2JlU29mdHdhcmUuQXRsYXM0MC5BdGxhc0NvbW1vbi5BZ2dyZWdhdGlvbg4AAAABMUdsb2JlU29mdHdhcmUuQXRsYXM0MC5BdGxhc0NvbW1vbi5UeXBlLkRhdGFTb3VyY2UOAAAAK0dsb2JlU29mdHdhcmUuQXRsYXM0MC5BdGxhc0NvbW1vbi5Tb3J0T3JkZXIOAAAAOUdsb2JlU29mdHdhcmUuQXRsYXM0MC5BdGxhc0NvbW1vbi5OdW1iZXJTZXF1ZW5jZUNvbmRpdGlvbg4AAAABAQj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OAAAAAWT////e/////////wAGnQAAAAZTdHJpbmcGngAAAAtJdGVtIG51bWJlcgmfAAAAAWD////c////AgAAAAVf////OUdsb2JlU29mdHdhcmUuQXRsYXM0MC5BdGxhc0NvbW1vbi5OdW1iZXJTZXF1ZW5jZUNvbmRpdGlvbgEAAAAHdmFsdWVfXwAIDgAAAAEAAAAAAAaiAAAAF1RhYmxlLkludmVudFRhYmxlTW9kdWxlCR0AAAAJIAAAAAr/////CaIAAAAKCR0AAAAKCgoJIAAAAAmoAAAACSAAAAABdAAAAEkAAAABVv///97/////////AAarAAAABlN0cmluZwasAAAABFVuaXQJnwAAAAFS////3P///wIAAAABUf///1////8BAAAAAAAJogAAAAkrAAAACSAAAAAK/////wmiAAAACgkrAAAACgoKCSAAAAAJtgAAAAkgAAAABZ8AAAAxR2xvYmVTb2Z0d2FyZS5BdGxhczQwLkF0bGFzQ29tbW9uLlR5cGUuRGF0YVNvdXJjZRgAAAADX2lkBV9uYW1lBl9sYWJlbAxfcGFyZW50VGFibGUMX3BhcmVudEZpZWxkC19jaGlsZEZpZWxkBV90eXBlDV9vdXRwdXRGaWVsZHMMX3JhbmdlRmllbGRzBV9ndWlkCV9yZWZlcnNUbxBfb3V0cHV0RmllbGRLZXkwEV9jaGlsZERhdGFTb3VyY2VzBF9rZXkVX3BhcmVudERhdGFTb3VyY2VOYW1lGV9wYXJlbnRGaWVsZERhdGFTb3VyY2VLZXkPX3BhcmVudEZpZWxkS2V5EF9wYXJlbnRGaWVsZE5hbWURX3JlbGF0ZWRGaWVsZE5hbWUGX2luZGV4CV9qb2luTW9kZQpfZmV0Y2hNb2RlB19pZ25vcmULX2F0dHJpYnV0ZXMAAQEBAQEEAwMDAQEDAQEBAQEBAAQEAAMIMEdsb2JlU29mdHdhcmUuQXRsYXM0MC5BdGxhc0NvbW1vbi5EYXRhU291cmNlVHlwZQ4A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LU3lzdGVtLkd1aWS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CDRHbG9iZVNvZnR3YXJlLkF0bGFzNDAuQXRsYXNDb21tb24uRGF0YVNvdXJjZUpvaW5Nb2RlDgAAADVHbG9iZVNvZnR3YXJlLkF0bGFzNDAuQXRsYXNDb21tb24uRGF0YVNvdXJjZUZldGNoTW9kZQ4AAAAB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DgAAALAAAAAGuAAAABFJbnZlbnRUYWJsZU1vZHVsZQa5AAAAG0ludmVudG9yeSBtb2R1bGUgcGFyYW1ldGVycwkgAAAACSAAAAAJIAAAAAVF////MEdsb2JlU29mdHdhcmUuQXRsYXM0MC5BdGxhc0NvbW1vbi5EYXRhU291cmNlVHlwZQEAAAAHdmFsdWVfXwAIDgAAAAAAAAAJvAAAAAm9AAAABEL///8LU3lzdGVtLkd1aWQLAAAAAl9hAl9iAl9jAl9kAl9lAl9mAl9nAl9oAl9pAl9qAl9rAAAAAAAAAAAAAAAIBwcCAgICAgICAtji+IJK8b9Bu8Zh7pswz0kJIAAAAAkgAAAACcAAAAAJogAAAAoKCgoKAQAAAAU+////NEdsb2JlU29mdHdhcmUuQXRsYXM0MC5BdGxhc0NvbW1vbi5EYXRhU291cmNlSm9pbk1vZGUBAAAAB3ZhbHVlX18ACA4AAAAAAAAABT3///81R2xvYmVTb2Z0d2FyZS5BdGxhczQwLkF0bGFzQ29tbW9uLkRhdGFTb3VyY2VGZXRjaE1vZGUBAAAAB3ZhbHVlX18ACA4AAAAAAAAAAAnEAAAAAagAAAAcAAAADQAAAAk8AAAAAwAAAAnGAAAAAbYAAAAcAAAADQAAAAk8AAAAAwAAAAnIAAAABLwA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qQ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W10NAAAACckAAAARAAAACcoAAAAEvQA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ng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VtdBAAAAAk8AAAABwAAAAnMAAAABMAA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nJAAAAAAAAAATEAAAA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AwAAAAdWZXJzaW9uCENvbXBhcmVyCEhhc2hTaXplAAMACM4BU3lzdGVtLkNvbGxlY3Rpb25zLkdlbmVyaWMuRW51bUVxdWFsaXR5Q29tcGFyZXJgMVtbR2xvYmVTb2Z0d2FyZS5BdGxhczQwLkF0bGFzQ29tbW9uLlR5cGUuQXhBdHRyaWJ1dGVzLCBHbG9iZVNvZnR3YXJlLkF0bGFzNDAuQXRsYXNDb21tb24sIFZlcnNpb249NC4wLjAuMCwgQ3VsdHVyZT1uZXV0cmFsLCBQdWJsaWNLZXlUb2tlbj1hZTIxZWMzNTc1ZDEyOTlmXV0IAAAAAAnOAAAAAAAAAAfGAA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TH///+h////BtAAAAAISGVscFRleHQG0QAAAClJdGVtIG51bWJlciB0aGF0IHRoZSBwYXJhbWV0ZXJzIGFwcGx5IHRvLgEu////of///wbTAAAABUxhYmVsCZ4AAAABK////6H///8G1gAAAARUeXBlCZ0AAAAHyAA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o////of///wnQAAAABtoAAAAfVW5pdCB3aGljaCB0aGUgbW9kdWxlIGlzIHJ1biBpbgEl////of///wnTAAAACawAAAABIv///6H///8J1gAAAAmrAAAAAckAAAAMAAAAB8oAAAAAAQAAAAM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B////+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CAAAAA2tleQV2YWx1ZQEEN0dsb2JlU29mdHdhcmUuQXRsYXM0MC5BdGxhc0NvbW1vbi5UeXBlLkZpZWxkT3V0cHV0RmllbGQOAAAABuIAAAAeVGFibGUuSW52ZW50VGFibGVNb2R1bGUuSXRlbUlkCUkAAAABHP///x////8G5QAAAB5UYWJsZS5JbnZlbnRUYWJsZU1vZHVsZS5Vbml0SWQJdAAAAAEZ////H////wboAAAAIlRhYmxlLkludmVudFRhYmxlTW9kdWxlLkRhdGFBcmVhSWQJ6QAAAAfMAAAAAAEAAAAEAAAAA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EFv///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CAAAAA2tleQV2YWx1ZQEEMkdsb2JlU29mdHdhcmUuQXRsYXM0MC5BdGxhc0NvbW1vbi5UeXBlLkZpZWxkU3RyaW5nDgAAAAbrAAAAHlRhYmxlLkludmVudFRhYmxlTW9kdWxlLkl0ZW1JZAnsAAAAARP///8W////Bu4AAAAgVGFibGUuSW52ZW50VGFibGVNb2R1bGUuTGluZURpc2MJ7wAAAAEQ////Fv///wbxAAAAIlRhYmxlLkludmVudFRhYmxlTW9kdWxlLk1vZHVsZVR5cGUJ8gAAAAEN////Fv///wb0AAAAHlRhYmxlLkludmVudFRhYmxlTW9kdWxlLlVuaXRJZAn1AAAABM4AAADOAVN5c3RlbS5Db2xsZWN0aW9ucy5HZW5lcmljLkVudW1FcXVhbGl0eUNvbXBhcmVyYDFbW0dsb2JlU29mdHdhcmUuQXRsYXM0MC5BdGxhc0NvbW1vbi5UeXBlLkF4QXR0cmlidXRlcywgR2xvYmVTb2Z0d2FyZS5BdGxhczQwLkF0bGFzQ29tbW9uLCBWZXJzaW9uPTQuMC4wLjAsIEN1bHR1cmU9bmV1dHJhbCwgUHVibGljS2V5VG9rZW49YWUyMWVjMzU3NWQxMjk5Zl1dAAAAAAHpAAAASQAAAAEK////3v////////8ABvcAAAAGU3RyaW5nBvgAAAAQQ29tcGFueSBhY2NvdW50cwmfAAAAAQb////c////AgAAAAEF////X////wEAAAAAAAmiAAAABv0AAAAKRGF0YUFyZWFJZAkgAAAACv////8JogAAAAoJ/QAAAAoKCgkgAAAACQIBAAAJIAAAAAXsAAAAMkdsb2JlU29mdHdhcmUuQXRsYXM0MC5BdGxhc0NvbW1vbi5UeXBlLkZpZWxkU3RyaW5nDgAAAA5fZGF0YVNvdXJjZUtleQVfbmFtZQ1fZm9ybWF0U3RyaW5nDEZpZWxkK192YWx1ZRBGaWVsZCtfYXhGaWVsZElkFEZpZWxkK19kYXRhU291cmNlS2V5DUZpZWxkK19kc05hbWULRmllbGQrX25hbWUXRmllbGQrX3JlbGF0ZWRGaWVsZE5hbWUcRmllbGQrX3JlbGF0ZWREYXRhU291cmNlTmFtZRNGaWVsZCtfZmllbGRPbmx5S2V5E0ZpZWxkK19mb3JtYXRTdHJpbmcRRmllbGQrX2F0dHJpYnV0ZXMQRmllbGQrX2N1c3RvbUtleQEBAQIAAQEBAQEBAQMBC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4AAAAJogAAAAYFAQAABkl0ZW1JZAkgAAAACSAAAAD/////CaIAAAAKCQUBAAAKCgoJIAAAAAkKAQAACSAAAAAB7wAAAOwAAAAJogAAAAYNAQAACExpbmVEaXNjCSAAAAAJIAAAAP////8JogAAAAoJDQEAAAoKCgkgAAAACRIBAAAJIAAAAAHyAAAA7AAAAAmiAAAACUcAAAAJIAAAAAlIAAAA/////wmiAAAABhkBAAARSW52ZW50VGFibGVNb2R1bGUJRwAAAAoKCgkgAAAACRwBAAAJIAAAAAH1AAAA7AAAAAmiAAAABh8BAAAGVW5pdElkCSAAAAAJIAAAAP////8JogAAAAoJHwEAAAoKCgkgAAAACSQBAAAJIAAAAAECAQAAHAAAAAYAAAAJPAAAAAMAAAAJJwEAAAEKAQAAHAAAAAIAAAAJPAAAAAMAAAAJKQEAAAESAQAAHAAAAAIAAAAJPAAAAAMAAAAJKwEAAAEcAQAAHAAAAAwAAAAJPAAAAAMAAAAJLQEAAAEkAQAAHAAAAAIAAAAJPAAAAAMAAAAJLwEAAAcnAQ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dD+//+h////CdMAAAAJ+AAAAAHN/v//of///wnWAAAACfcAAAAHKQE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K/v//of///wnWAAAABjgBAAAGU3RyaW5nAcf+//+h////CdMAAAAGOwEAAAtJdGVtIG51bWJlcgcrAQ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cT+//+h////CdYAAAAGPgEAAAZTdHJpbmcBwf7//6H///8J0wAAAAZBAQAADUxpbmUgZGlzY291bnQHLQE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+/v//of///wnWAAAABkQBAAAERW51bQG7/v//of///wnTAAAABkcBAAALTW9kdWxlIHR5cGUHLwE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4/v//of///wnWAAAABkoBAAAGU3RyaW5nAbX+//+h////CdMAAAAGTQEAAARVbml0Cw==</Report>
</Atlas>
</file>

<file path=customXml/itemProps1.xml><?xml version="1.0" encoding="utf-8"?>
<ds:datastoreItem xmlns:ds="http://schemas.openxmlformats.org/officeDocument/2006/customXml" ds:itemID="{805CDB83-C7B7-4C78-B7FB-6A0E56B5A8D0}">
  <ds:schemaRefs/>
</ds:datastoreItem>
</file>

<file path=customXml/itemProps2.xml><?xml version="1.0" encoding="utf-8"?>
<ds:datastoreItem xmlns:ds="http://schemas.openxmlformats.org/officeDocument/2006/customXml" ds:itemID="{1DF19244-A106-48C4-BF36-E8B5A5E8921D}">
  <ds:schemaRefs/>
</ds:datastoreItem>
</file>

<file path=customXml/itemProps3.xml><?xml version="1.0" encoding="utf-8"?>
<ds:datastoreItem xmlns:ds="http://schemas.openxmlformats.org/officeDocument/2006/customXml" ds:itemID="{15F489A1-5D31-403F-B6D2-A0D42F559146}">
  <ds:schemaRefs/>
</ds:datastoreItem>
</file>

<file path=customXml/itemProps4.xml><?xml version="1.0" encoding="utf-8"?>
<ds:datastoreItem xmlns:ds="http://schemas.openxmlformats.org/officeDocument/2006/customXml" ds:itemID="{E4E56245-412C-4E06-9ADE-F9FDD022E325}">
  <ds:schemaRefs/>
</ds:datastoreItem>
</file>

<file path=customXml/itemProps5.xml><?xml version="1.0" encoding="utf-8"?>
<ds:datastoreItem xmlns:ds="http://schemas.openxmlformats.org/officeDocument/2006/customXml" ds:itemID="{C8606342-05E9-455E-95C8-82185D8432FD}">
  <ds:schemaRefs/>
</ds:datastoreItem>
</file>

<file path=customXml/itemProps6.xml><?xml version="1.0" encoding="utf-8"?>
<ds:datastoreItem xmlns:ds="http://schemas.openxmlformats.org/officeDocument/2006/customXml" ds:itemID="{1A13A865-54B7-48EC-BB8A-B3A8EA805001}">
  <ds:schemaRefs/>
</ds:datastoreItem>
</file>

<file path=customXml/itemProps7.xml><?xml version="1.0" encoding="utf-8"?>
<ds:datastoreItem xmlns:ds="http://schemas.openxmlformats.org/officeDocument/2006/customXml" ds:itemID="{44C14C09-589B-468B-BA21-9AEF71528685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16</vt:i4>
      </vt:variant>
    </vt:vector>
  </HeadingPairs>
  <TitlesOfParts>
    <vt:vector size="22" baseType="lpstr">
      <vt:lpstr>General</vt:lpstr>
      <vt:lpstr>SalesDetails</vt:lpstr>
      <vt:lpstr>ByItem</vt:lpstr>
      <vt:lpstr>ByCustomer</vt:lpstr>
      <vt:lpstr>UnitConversion</vt:lpstr>
      <vt:lpstr>InventUnit</vt:lpstr>
      <vt:lpstr>SalesDetails!AtlasReport_1</vt:lpstr>
      <vt:lpstr>InventUnit!AtlasReport_3</vt:lpstr>
      <vt:lpstr>UnitConversion!AtlasReport_4</vt:lpstr>
      <vt:lpstr>CustGroup</vt:lpstr>
      <vt:lpstr>DataAreaId</vt:lpstr>
      <vt:lpstr>DateFormat</vt:lpstr>
      <vt:lpstr>DatePeriod</vt:lpstr>
      <vt:lpstr>DatePeriodA</vt:lpstr>
      <vt:lpstr>DatePeriodB</vt:lpstr>
      <vt:lpstr>FromDateA</vt:lpstr>
      <vt:lpstr>FromDateB</vt:lpstr>
      <vt:lpstr>ItemGroup</vt:lpstr>
      <vt:lpstr>ItemId</vt:lpstr>
      <vt:lpstr>MMG</vt:lpstr>
      <vt:lpstr>ToDateA</vt:lpstr>
      <vt:lpstr>ToDateB</vt:lpstr>
    </vt:vector>
  </TitlesOfParts>
  <Company>Simpson Manufacturing Co.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Spenser Wang</dc:creator>
  <cp:lastModifiedBy>Johannes Krimm</cp:lastModifiedBy>
  <dcterms:created xsi:type="dcterms:W3CDTF">2017-07-18T05:50:41Z</dcterms:created>
  <dcterms:modified xsi:type="dcterms:W3CDTF">2022-02-08T14:02:46Z</dcterms:modified>
</cp:coreProperties>
</file>