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RLSE0004566 ReSale Report\"/>
    </mc:Choice>
  </mc:AlternateContent>
  <bookViews>
    <workbookView xWindow="240" yWindow="45" windowWidth="21075" windowHeight="10035" activeTab="3"/>
  </bookViews>
  <sheets>
    <sheet name="General" sheetId="1" r:id="rId1"/>
    <sheet name="Sales" sheetId="2" r:id="rId2"/>
    <sheet name="Purchase" sheetId="3" r:id="rId3"/>
    <sheet name="ReSale List" sheetId="4" r:id="rId4"/>
  </sheets>
  <functionGroups builtInGroupCount="18"/>
  <definedNames>
    <definedName name="AtlasReport_1" localSheetId="1">Sales!$A$1:$P$47</definedName>
    <definedName name="AtlasReport_2" localSheetId="2">Purchase!$A$1:$P$811</definedName>
    <definedName name="DataAreaId">General!$D$1</definedName>
    <definedName name="DateFormat">General!$J$1</definedName>
    <definedName name="DateRange">General!$D$3</definedName>
    <definedName name="DateRegion">General!$M$1</definedName>
    <definedName name="FromDate">General!$D$2</definedName>
    <definedName name="ItemNumber">General!$D$8</definedName>
    <definedName name="ItemType">General!$D$7</definedName>
    <definedName name="PurchDateRange">General!$D$5</definedName>
    <definedName name="PurchFromDate">General!$D$4</definedName>
    <definedName name="PurchToDate">General!$G$4</definedName>
    <definedName name="Region">Table6[Region]</definedName>
    <definedName name="ToDate">General!$G$2</definedName>
    <definedName name="Warehouse">General!$D$6</definedName>
  </definedNames>
  <calcPr calcId="162913"/>
</workbook>
</file>

<file path=xl/calcChain.xml><?xml version="1.0" encoding="utf-8"?>
<calcChain xmlns="http://schemas.openxmlformats.org/spreadsheetml/2006/main">
  <c r="M135" i="4" l="1"/>
  <c r="J135" i="4"/>
  <c r="P135" i="4"/>
  <c r="M810" i="3"/>
  <c r="L810" i="3"/>
  <c r="J810" i="3"/>
  <c r="M46" i="2"/>
  <c r="L46" i="2"/>
  <c r="J46" i="2"/>
  <c r="J1" i="1" l="1"/>
  <c r="P16" i="3"/>
  <c r="P32" i="3"/>
  <c r="P48" i="3"/>
  <c r="P64" i="3"/>
  <c r="P80" i="3"/>
  <c r="P96" i="3"/>
  <c r="P112" i="3"/>
  <c r="P128" i="3"/>
  <c r="P144" i="3"/>
  <c r="P160" i="3"/>
  <c r="P176" i="3"/>
  <c r="P192" i="3"/>
  <c r="P208" i="3"/>
  <c r="P224" i="3"/>
  <c r="P240" i="3"/>
  <c r="P256" i="3"/>
  <c r="P272" i="3"/>
  <c r="P288" i="3"/>
  <c r="P304" i="3"/>
  <c r="P320" i="3"/>
  <c r="P336" i="3"/>
  <c r="P352" i="3"/>
  <c r="P5" i="3"/>
  <c r="P21" i="3"/>
  <c r="P37" i="3"/>
  <c r="P53" i="3"/>
  <c r="P69" i="3"/>
  <c r="P85" i="3"/>
  <c r="P101" i="3"/>
  <c r="P117" i="3"/>
  <c r="P133" i="3"/>
  <c r="P149" i="3"/>
  <c r="P165" i="3"/>
  <c r="P181" i="3"/>
  <c r="P197" i="3"/>
  <c r="P213" i="3"/>
  <c r="P229" i="3"/>
  <c r="P245" i="3"/>
  <c r="P261" i="3"/>
  <c r="P277" i="3"/>
  <c r="P293" i="3"/>
  <c r="P309" i="3"/>
  <c r="P325" i="3"/>
  <c r="P341" i="3"/>
  <c r="P357" i="3"/>
  <c r="P10" i="3"/>
  <c r="P26" i="3"/>
  <c r="P42" i="3"/>
  <c r="P58" i="3"/>
  <c r="P74" i="3"/>
  <c r="P90" i="3"/>
  <c r="P106" i="3"/>
  <c r="P122" i="3"/>
  <c r="P138" i="3"/>
  <c r="P154" i="3"/>
  <c r="P170" i="3"/>
  <c r="P186" i="3"/>
  <c r="P202" i="3"/>
  <c r="P218" i="3"/>
  <c r="P234" i="3"/>
  <c r="P250" i="3"/>
  <c r="P266" i="3"/>
  <c r="P282" i="3"/>
  <c r="P298" i="3"/>
  <c r="P314" i="3"/>
  <c r="P330" i="3"/>
  <c r="P346" i="3"/>
  <c r="P362" i="3"/>
  <c r="P378" i="3"/>
  <c r="P394" i="3"/>
  <c r="P410" i="3"/>
  <c r="P426" i="3"/>
  <c r="P442" i="3"/>
  <c r="P458" i="3"/>
  <c r="P474" i="3"/>
  <c r="P490" i="3"/>
  <c r="P506" i="3"/>
  <c r="P35" i="3"/>
  <c r="P99" i="3"/>
  <c r="P163" i="3"/>
  <c r="P227" i="3"/>
  <c r="P291" i="3"/>
  <c r="P355" i="3"/>
  <c r="P384" i="3"/>
  <c r="P405" i="3"/>
  <c r="P427" i="3"/>
  <c r="P448" i="3"/>
  <c r="P469" i="3"/>
  <c r="P491" i="3"/>
  <c r="P512" i="3"/>
  <c r="P528" i="3"/>
  <c r="P544" i="3"/>
  <c r="P560" i="3"/>
  <c r="P576" i="3"/>
  <c r="P592" i="3"/>
  <c r="P608" i="3"/>
  <c r="P624" i="3"/>
  <c r="P640" i="3"/>
  <c r="P656" i="3"/>
  <c r="P672" i="3"/>
  <c r="P688" i="3"/>
  <c r="P704" i="3"/>
  <c r="P720" i="3"/>
  <c r="P736" i="3"/>
  <c r="P752" i="3"/>
  <c r="P768" i="3"/>
  <c r="P784" i="3"/>
  <c r="P800" i="3"/>
  <c r="P709" i="3"/>
  <c r="P55" i="3"/>
  <c r="P119" i="3"/>
  <c r="P183" i="3"/>
  <c r="P247" i="3"/>
  <c r="P311" i="3"/>
  <c r="P369" i="3"/>
  <c r="P391" i="3"/>
  <c r="P412" i="3"/>
  <c r="P433" i="3"/>
  <c r="P455" i="3"/>
  <c r="P476" i="3"/>
  <c r="P497" i="3"/>
  <c r="P517" i="3"/>
  <c r="P533" i="3"/>
  <c r="P549" i="3"/>
  <c r="P565" i="3"/>
  <c r="P581" i="3"/>
  <c r="P597" i="3"/>
  <c r="P4" i="3"/>
  <c r="P20" i="3"/>
  <c r="P36" i="3"/>
  <c r="P52" i="3"/>
  <c r="P68" i="3"/>
  <c r="P84" i="3"/>
  <c r="P100" i="3"/>
  <c r="P116" i="3"/>
  <c r="P132" i="3"/>
  <c r="P148" i="3"/>
  <c r="P164" i="3"/>
  <c r="P180" i="3"/>
  <c r="P196" i="3"/>
  <c r="P212" i="3"/>
  <c r="P228" i="3"/>
  <c r="P244" i="3"/>
  <c r="P260" i="3"/>
  <c r="P276" i="3"/>
  <c r="P292" i="3"/>
  <c r="P308" i="3"/>
  <c r="P324" i="3"/>
  <c r="P340" i="3"/>
  <c r="P356" i="3"/>
  <c r="P9" i="3"/>
  <c r="P25" i="3"/>
  <c r="P41" i="3"/>
  <c r="P57" i="3"/>
  <c r="P73" i="3"/>
  <c r="P89" i="3"/>
  <c r="P105" i="3"/>
  <c r="P121" i="3"/>
  <c r="P137" i="3"/>
  <c r="P153" i="3"/>
  <c r="P169" i="3"/>
  <c r="P185" i="3"/>
  <c r="P201" i="3"/>
  <c r="P217" i="3"/>
  <c r="P233" i="3"/>
  <c r="P249" i="3"/>
  <c r="P265" i="3"/>
  <c r="P281" i="3"/>
  <c r="P297" i="3"/>
  <c r="P313" i="3"/>
  <c r="P329" i="3"/>
  <c r="P345" i="3"/>
  <c r="P361" i="3"/>
  <c r="P14" i="3"/>
  <c r="P30" i="3"/>
  <c r="P46" i="3"/>
  <c r="P62" i="3"/>
  <c r="P78" i="3"/>
  <c r="P94" i="3"/>
  <c r="P110" i="3"/>
  <c r="P126" i="3"/>
  <c r="P142" i="3"/>
  <c r="P158" i="3"/>
  <c r="P174" i="3"/>
  <c r="P190" i="3"/>
  <c r="P206" i="3"/>
  <c r="P222" i="3"/>
  <c r="P238" i="3"/>
  <c r="P254" i="3"/>
  <c r="P270" i="3"/>
  <c r="P286" i="3"/>
  <c r="P302" i="3"/>
  <c r="P318" i="3"/>
  <c r="P334" i="3"/>
  <c r="P350" i="3"/>
  <c r="P366" i="3"/>
  <c r="P382" i="3"/>
  <c r="P398" i="3"/>
  <c r="P414" i="3"/>
  <c r="P430" i="3"/>
  <c r="P446" i="3"/>
  <c r="P462" i="3"/>
  <c r="P478" i="3"/>
  <c r="P494" i="3"/>
  <c r="P510" i="3"/>
  <c r="P51" i="3"/>
  <c r="P115" i="3"/>
  <c r="P179" i="3"/>
  <c r="P243" i="3"/>
  <c r="P307" i="3"/>
  <c r="P368" i="3"/>
  <c r="P389" i="3"/>
  <c r="P411" i="3"/>
  <c r="P432" i="3"/>
  <c r="P453" i="3"/>
  <c r="P475" i="3"/>
  <c r="P496" i="3"/>
  <c r="P516" i="3"/>
  <c r="P532" i="3"/>
  <c r="P548" i="3"/>
  <c r="P564" i="3"/>
  <c r="P580" i="3"/>
  <c r="P596" i="3"/>
  <c r="P612" i="3"/>
  <c r="P628" i="3"/>
  <c r="P644" i="3"/>
  <c r="P12" i="3"/>
  <c r="P28" i="3"/>
  <c r="P44" i="3"/>
  <c r="P60" i="3"/>
  <c r="P76" i="3"/>
  <c r="P92" i="3"/>
  <c r="P108" i="3"/>
  <c r="P124" i="3"/>
  <c r="P140" i="3"/>
  <c r="P156" i="3"/>
  <c r="P172" i="3"/>
  <c r="P188" i="3"/>
  <c r="P204" i="3"/>
  <c r="P220" i="3"/>
  <c r="P236" i="3"/>
  <c r="P252" i="3"/>
  <c r="P268" i="3"/>
  <c r="P284" i="3"/>
  <c r="P300" i="3"/>
  <c r="P316" i="3"/>
  <c r="P332" i="3"/>
  <c r="P348" i="3"/>
  <c r="P364" i="3"/>
  <c r="P17" i="3"/>
  <c r="P33" i="3"/>
  <c r="P49" i="3"/>
  <c r="P65" i="3"/>
  <c r="P81" i="3"/>
  <c r="P97" i="3"/>
  <c r="P113" i="3"/>
  <c r="P129" i="3"/>
  <c r="P145" i="3"/>
  <c r="P161" i="3"/>
  <c r="P177" i="3"/>
  <c r="P193" i="3"/>
  <c r="P209" i="3"/>
  <c r="P225" i="3"/>
  <c r="P241" i="3"/>
  <c r="P257" i="3"/>
  <c r="P273" i="3"/>
  <c r="P289" i="3"/>
  <c r="P305" i="3"/>
  <c r="P321" i="3"/>
  <c r="P337" i="3"/>
  <c r="P353" i="3"/>
  <c r="P6" i="3"/>
  <c r="P22" i="3"/>
  <c r="P38" i="3"/>
  <c r="P54" i="3"/>
  <c r="P70" i="3"/>
  <c r="P86" i="3"/>
  <c r="P102" i="3"/>
  <c r="P118" i="3"/>
  <c r="P134" i="3"/>
  <c r="P150" i="3"/>
  <c r="P166" i="3"/>
  <c r="P182" i="3"/>
  <c r="P198" i="3"/>
  <c r="P214" i="3"/>
  <c r="P230" i="3"/>
  <c r="P246" i="3"/>
  <c r="P262" i="3"/>
  <c r="P278" i="3"/>
  <c r="P294" i="3"/>
  <c r="P310" i="3"/>
  <c r="P326" i="3"/>
  <c r="P342" i="3"/>
  <c r="P358" i="3"/>
  <c r="P374" i="3"/>
  <c r="P390" i="3"/>
  <c r="P406" i="3"/>
  <c r="P422" i="3"/>
  <c r="P438" i="3"/>
  <c r="P454" i="3"/>
  <c r="P470" i="3"/>
  <c r="P486" i="3"/>
  <c r="P502" i="3"/>
  <c r="P19" i="3"/>
  <c r="P83" i="3"/>
  <c r="P147" i="3"/>
  <c r="P211" i="3"/>
  <c r="P275" i="3"/>
  <c r="P339" i="3"/>
  <c r="P379" i="3"/>
  <c r="P400" i="3"/>
  <c r="P421" i="3"/>
  <c r="P443" i="3"/>
  <c r="P464" i="3"/>
  <c r="P485" i="3"/>
  <c r="P507" i="3"/>
  <c r="P524" i="3"/>
  <c r="P540" i="3"/>
  <c r="P556" i="3"/>
  <c r="P572" i="3"/>
  <c r="P588" i="3"/>
  <c r="P604" i="3"/>
  <c r="P620" i="3"/>
  <c r="P636" i="3"/>
  <c r="P652" i="3"/>
  <c r="P24" i="3"/>
  <c r="P88" i="3"/>
  <c r="P152" i="3"/>
  <c r="P216" i="3"/>
  <c r="P280" i="3"/>
  <c r="P344" i="3"/>
  <c r="P45" i="3"/>
  <c r="P109" i="3"/>
  <c r="P173" i="3"/>
  <c r="P237" i="3"/>
  <c r="P301" i="3"/>
  <c r="P365" i="3"/>
  <c r="P66" i="3"/>
  <c r="P130" i="3"/>
  <c r="P194" i="3"/>
  <c r="P258" i="3"/>
  <c r="P322" i="3"/>
  <c r="P386" i="3"/>
  <c r="P450" i="3"/>
  <c r="P3" i="3"/>
  <c r="P259" i="3"/>
  <c r="P416" i="3"/>
  <c r="P501" i="3"/>
  <c r="P568" i="3"/>
  <c r="P632" i="3"/>
  <c r="P668" i="3"/>
  <c r="P692" i="3"/>
  <c r="P712" i="3"/>
  <c r="P732" i="3"/>
  <c r="P756" i="3"/>
  <c r="P776" i="3"/>
  <c r="P796" i="3"/>
  <c r="P7" i="3"/>
  <c r="P87" i="3"/>
  <c r="P167" i="3"/>
  <c r="P263" i="3"/>
  <c r="P343" i="3"/>
  <c r="P385" i="3"/>
  <c r="P417" i="3"/>
  <c r="P444" i="3"/>
  <c r="P471" i="3"/>
  <c r="P503" i="3"/>
  <c r="P525" i="3"/>
  <c r="P545" i="3"/>
  <c r="P569" i="3"/>
  <c r="P589" i="3"/>
  <c r="P609" i="3"/>
  <c r="P625" i="3"/>
  <c r="P641" i="3"/>
  <c r="P657" i="3"/>
  <c r="P673" i="3"/>
  <c r="P689" i="3"/>
  <c r="P11" i="3"/>
  <c r="P75" i="3"/>
  <c r="P139" i="3"/>
  <c r="P203" i="3"/>
  <c r="P267" i="3"/>
  <c r="P331" i="3"/>
  <c r="P376" i="3"/>
  <c r="P397" i="3"/>
  <c r="P419" i="3"/>
  <c r="P440" i="3"/>
  <c r="P461" i="3"/>
  <c r="P483" i="3"/>
  <c r="P504" i="3"/>
  <c r="P522" i="3"/>
  <c r="P538" i="3"/>
  <c r="P554" i="3"/>
  <c r="P570" i="3"/>
  <c r="P586" i="3"/>
  <c r="P602" i="3"/>
  <c r="P618" i="3"/>
  <c r="P634" i="3"/>
  <c r="P650" i="3"/>
  <c r="P666" i="3"/>
  <c r="P682" i="3"/>
  <c r="P698" i="3"/>
  <c r="P714" i="3"/>
  <c r="P730" i="3"/>
  <c r="P746" i="3"/>
  <c r="P762" i="3"/>
  <c r="P79" i="3"/>
  <c r="P335" i="3"/>
  <c r="P441" i="3"/>
  <c r="P523" i="3"/>
  <c r="P587" i="3"/>
  <c r="P651" i="3"/>
  <c r="P713" i="3"/>
  <c r="P745" i="3"/>
  <c r="P775" i="3"/>
  <c r="P797" i="3"/>
  <c r="P731" i="3"/>
  <c r="P782" i="3"/>
  <c r="P727" i="3"/>
  <c r="P785" i="3"/>
  <c r="P95" i="3"/>
  <c r="P351" i="3"/>
  <c r="P447" i="3"/>
  <c r="P527" i="3"/>
  <c r="P591" i="3"/>
  <c r="P655" i="3"/>
  <c r="P723" i="3"/>
  <c r="P793" i="3"/>
  <c r="P799" i="3"/>
  <c r="P479" i="3"/>
  <c r="P615" i="3"/>
  <c r="P743" i="3"/>
  <c r="P111" i="3"/>
  <c r="P367" i="3"/>
  <c r="P452" i="3"/>
  <c r="P531" i="3"/>
  <c r="P595" i="3"/>
  <c r="P659" i="3"/>
  <c r="P717" i="3"/>
  <c r="P749" i="3"/>
  <c r="P40" i="3"/>
  <c r="P104" i="3"/>
  <c r="P168" i="3"/>
  <c r="P232" i="3"/>
  <c r="P296" i="3"/>
  <c r="P360" i="3"/>
  <c r="P61" i="3"/>
  <c r="P125" i="3"/>
  <c r="P189" i="3"/>
  <c r="P253" i="3"/>
  <c r="P317" i="3"/>
  <c r="P18" i="3"/>
  <c r="P82" i="3"/>
  <c r="P146" i="3"/>
  <c r="P210" i="3"/>
  <c r="P274" i="3"/>
  <c r="P338" i="3"/>
  <c r="P402" i="3"/>
  <c r="P466" i="3"/>
  <c r="P67" i="3"/>
  <c r="P323" i="3"/>
  <c r="P437" i="3"/>
  <c r="P520" i="3"/>
  <c r="P584" i="3"/>
  <c r="P648" i="3"/>
  <c r="P676" i="3"/>
  <c r="P696" i="3"/>
  <c r="P716" i="3"/>
  <c r="P740" i="3"/>
  <c r="P760" i="3"/>
  <c r="P780" i="3"/>
  <c r="P804" i="3"/>
  <c r="P23" i="3"/>
  <c r="P103" i="3"/>
  <c r="P199" i="3"/>
  <c r="P279" i="3"/>
  <c r="P359" i="3"/>
  <c r="P396" i="3"/>
  <c r="P423" i="3"/>
  <c r="P449" i="3"/>
  <c r="P481" i="3"/>
  <c r="P508" i="3"/>
  <c r="P529" i="3"/>
  <c r="P553" i="3"/>
  <c r="P573" i="3"/>
  <c r="P593" i="3"/>
  <c r="P613" i="3"/>
  <c r="P629" i="3"/>
  <c r="P645" i="3"/>
  <c r="P661" i="3"/>
  <c r="P677" i="3"/>
  <c r="P693" i="3"/>
  <c r="P27" i="3"/>
  <c r="P91" i="3"/>
  <c r="P155" i="3"/>
  <c r="P219" i="3"/>
  <c r="P283" i="3"/>
  <c r="P347" i="3"/>
  <c r="P381" i="3"/>
  <c r="P403" i="3"/>
  <c r="P424" i="3"/>
  <c r="P445" i="3"/>
  <c r="P467" i="3"/>
  <c r="P488" i="3"/>
  <c r="P509" i="3"/>
  <c r="P526" i="3"/>
  <c r="P542" i="3"/>
  <c r="P558" i="3"/>
  <c r="P574" i="3"/>
  <c r="P590" i="3"/>
  <c r="P606" i="3"/>
  <c r="P622" i="3"/>
  <c r="P638" i="3"/>
  <c r="P654" i="3"/>
  <c r="P670" i="3"/>
  <c r="P686" i="3"/>
  <c r="P702" i="3"/>
  <c r="P718" i="3"/>
  <c r="P734" i="3"/>
  <c r="P750" i="3"/>
  <c r="P766" i="3"/>
  <c r="P143" i="3"/>
  <c r="P377" i="3"/>
  <c r="P463" i="3"/>
  <c r="P539" i="3"/>
  <c r="P603" i="3"/>
  <c r="P667" i="3"/>
  <c r="P721" i="3"/>
  <c r="P753" i="3"/>
  <c r="P781" i="3"/>
  <c r="P802" i="3"/>
  <c r="P747" i="3"/>
  <c r="P787" i="3"/>
  <c r="P751" i="3"/>
  <c r="P801" i="3"/>
  <c r="P159" i="3"/>
  <c r="P383" i="3"/>
  <c r="P468" i="3"/>
  <c r="P543" i="3"/>
  <c r="P607" i="3"/>
  <c r="P671" i="3"/>
  <c r="P739" i="3"/>
  <c r="P809" i="3"/>
  <c r="P319" i="3"/>
  <c r="P519" i="3"/>
  <c r="P647" i="3"/>
  <c r="P767" i="3"/>
  <c r="P175" i="3"/>
  <c r="P388" i="3"/>
  <c r="P473" i="3"/>
  <c r="P547" i="3"/>
  <c r="P611" i="3"/>
  <c r="P675" i="3"/>
  <c r="P725" i="3"/>
  <c r="P757" i="3"/>
  <c r="P794" i="3"/>
  <c r="P191" i="3"/>
  <c r="P457" i="3"/>
  <c r="P599" i="3"/>
  <c r="P719" i="3"/>
  <c r="P3" i="2"/>
  <c r="P19" i="2"/>
  <c r="P35" i="2"/>
  <c r="P8" i="2"/>
  <c r="P24" i="2"/>
  <c r="P40" i="2"/>
  <c r="P56" i="3"/>
  <c r="P120" i="3"/>
  <c r="P184" i="3"/>
  <c r="P248" i="3"/>
  <c r="P312" i="3"/>
  <c r="P13" i="3"/>
  <c r="P77" i="3"/>
  <c r="P141" i="3"/>
  <c r="P205" i="3"/>
  <c r="P269" i="3"/>
  <c r="P333" i="3"/>
  <c r="P34" i="3"/>
  <c r="P98" i="3"/>
  <c r="P162" i="3"/>
  <c r="P226" i="3"/>
  <c r="P290" i="3"/>
  <c r="P354" i="3"/>
  <c r="P418" i="3"/>
  <c r="P482" i="3"/>
  <c r="P131" i="3"/>
  <c r="P373" i="3"/>
  <c r="P459" i="3"/>
  <c r="P536" i="3"/>
  <c r="P600" i="3"/>
  <c r="P660" i="3"/>
  <c r="P680" i="3"/>
  <c r="P700" i="3"/>
  <c r="P724" i="3"/>
  <c r="P744" i="3"/>
  <c r="P764" i="3"/>
  <c r="P788" i="3"/>
  <c r="P808" i="3"/>
  <c r="P39" i="3"/>
  <c r="P135" i="3"/>
  <c r="P215" i="3"/>
  <c r="P295" i="3"/>
  <c r="P375" i="3"/>
  <c r="P401" i="3"/>
  <c r="P428" i="3"/>
  <c r="P460" i="3"/>
  <c r="P487" i="3"/>
  <c r="P513" i="3"/>
  <c r="P537" i="3"/>
  <c r="P557" i="3"/>
  <c r="P577" i="3"/>
  <c r="P601" i="3"/>
  <c r="P617" i="3"/>
  <c r="P633" i="3"/>
  <c r="P649" i="3"/>
  <c r="P665" i="3"/>
  <c r="P681" i="3"/>
  <c r="P697" i="3"/>
  <c r="P43" i="3"/>
  <c r="P107" i="3"/>
  <c r="P171" i="3"/>
  <c r="P235" i="3"/>
  <c r="P299" i="3"/>
  <c r="P363" i="3"/>
  <c r="P387" i="3"/>
  <c r="P408" i="3"/>
  <c r="P429" i="3"/>
  <c r="P451" i="3"/>
  <c r="P472" i="3"/>
  <c r="P493" i="3"/>
  <c r="P514" i="3"/>
  <c r="P530" i="3"/>
  <c r="P546" i="3"/>
  <c r="P562" i="3"/>
  <c r="P578" i="3"/>
  <c r="P594" i="3"/>
  <c r="P610" i="3"/>
  <c r="P626" i="3"/>
  <c r="P642" i="3"/>
  <c r="P658" i="3"/>
  <c r="P674" i="3"/>
  <c r="P690" i="3"/>
  <c r="P706" i="3"/>
  <c r="P722" i="3"/>
  <c r="P738" i="3"/>
  <c r="P754" i="3"/>
  <c r="P770" i="3"/>
  <c r="P207" i="3"/>
  <c r="P399" i="3"/>
  <c r="P484" i="3"/>
  <c r="P555" i="3"/>
  <c r="P619" i="3"/>
  <c r="P683" i="3"/>
  <c r="P729" i="3"/>
  <c r="P761" i="3"/>
  <c r="P786" i="3"/>
  <c r="P807" i="3"/>
  <c r="P755" i="3"/>
  <c r="P798" i="3"/>
  <c r="P759" i="3"/>
  <c r="P806" i="3"/>
  <c r="P223" i="3"/>
  <c r="P404" i="3"/>
  <c r="P489" i="3"/>
  <c r="P559" i="3"/>
  <c r="P623" i="3"/>
  <c r="P687" i="3"/>
  <c r="P763" i="3"/>
  <c r="P773" i="3"/>
  <c r="P393" i="3"/>
  <c r="P551" i="3"/>
  <c r="P679" i="3"/>
  <c r="P795" i="3"/>
  <c r="P239" i="3"/>
  <c r="P409" i="3"/>
  <c r="P495" i="3"/>
  <c r="P563" i="3"/>
  <c r="P627" i="3"/>
  <c r="P691" i="3"/>
  <c r="P733" i="3"/>
  <c r="P765" i="3"/>
  <c r="P805" i="3"/>
  <c r="P255" i="3"/>
  <c r="P8" i="3"/>
  <c r="P72" i="3"/>
  <c r="P136" i="3"/>
  <c r="P200" i="3"/>
  <c r="P264" i="3"/>
  <c r="P328" i="3"/>
  <c r="P29" i="3"/>
  <c r="P93" i="3"/>
  <c r="P157" i="3"/>
  <c r="P221" i="3"/>
  <c r="P285" i="3"/>
  <c r="P349" i="3"/>
  <c r="P50" i="3"/>
  <c r="P114" i="3"/>
  <c r="P178" i="3"/>
  <c r="P242" i="3"/>
  <c r="P306" i="3"/>
  <c r="P370" i="3"/>
  <c r="P434" i="3"/>
  <c r="P498" i="3"/>
  <c r="P195" i="3"/>
  <c r="P395" i="3"/>
  <c r="P480" i="3"/>
  <c r="P552" i="3"/>
  <c r="P616" i="3"/>
  <c r="P664" i="3"/>
  <c r="P684" i="3"/>
  <c r="P708" i="3"/>
  <c r="P728" i="3"/>
  <c r="P748" i="3"/>
  <c r="P772" i="3"/>
  <c r="P792" i="3"/>
  <c r="P701" i="3"/>
  <c r="P71" i="3"/>
  <c r="P151" i="3"/>
  <c r="P231" i="3"/>
  <c r="P327" i="3"/>
  <c r="P380" i="3"/>
  <c r="P407" i="3"/>
  <c r="P439" i="3"/>
  <c r="P465" i="3"/>
  <c r="P492" i="3"/>
  <c r="P521" i="3"/>
  <c r="P541" i="3"/>
  <c r="P561" i="3"/>
  <c r="P585" i="3"/>
  <c r="P605" i="3"/>
  <c r="P621" i="3"/>
  <c r="P637" i="3"/>
  <c r="P653" i="3"/>
  <c r="P669" i="3"/>
  <c r="P685" i="3"/>
  <c r="P705" i="3"/>
  <c r="P59" i="3"/>
  <c r="P123" i="3"/>
  <c r="P187" i="3"/>
  <c r="P251" i="3"/>
  <c r="P315" i="3"/>
  <c r="P371" i="3"/>
  <c r="P392" i="3"/>
  <c r="P413" i="3"/>
  <c r="P435" i="3"/>
  <c r="P456" i="3"/>
  <c r="P477" i="3"/>
  <c r="P499" i="3"/>
  <c r="P518" i="3"/>
  <c r="P534" i="3"/>
  <c r="P550" i="3"/>
  <c r="P566" i="3"/>
  <c r="P582" i="3"/>
  <c r="P598" i="3"/>
  <c r="P614" i="3"/>
  <c r="P630" i="3"/>
  <c r="P646" i="3"/>
  <c r="P662" i="3"/>
  <c r="P678" i="3"/>
  <c r="P694" i="3"/>
  <c r="P710" i="3"/>
  <c r="P726" i="3"/>
  <c r="P742" i="3"/>
  <c r="P758" i="3"/>
  <c r="P15" i="3"/>
  <c r="P271" i="3"/>
  <c r="P420" i="3"/>
  <c r="P505" i="3"/>
  <c r="P571" i="3"/>
  <c r="P635" i="3"/>
  <c r="P699" i="3"/>
  <c r="P737" i="3"/>
  <c r="P769" i="3"/>
  <c r="P791" i="3"/>
  <c r="P715" i="3"/>
  <c r="P771" i="3"/>
  <c r="P803" i="3"/>
  <c r="P779" i="3"/>
  <c r="P31" i="3"/>
  <c r="P287" i="3"/>
  <c r="P425" i="3"/>
  <c r="P511" i="3"/>
  <c r="P575" i="3"/>
  <c r="P639" i="3"/>
  <c r="P703" i="3"/>
  <c r="P777" i="3"/>
  <c r="P789" i="3"/>
  <c r="P436" i="3"/>
  <c r="P583" i="3"/>
  <c r="P711" i="3"/>
  <c r="P47" i="3"/>
  <c r="P303" i="3"/>
  <c r="P431" i="3"/>
  <c r="P515" i="3"/>
  <c r="P579" i="3"/>
  <c r="P643" i="3"/>
  <c r="P707" i="3"/>
  <c r="P741" i="3"/>
  <c r="P778" i="3"/>
  <c r="P63" i="3"/>
  <c r="P372" i="3"/>
  <c r="P535" i="3"/>
  <c r="P663" i="3"/>
  <c r="P774" i="3"/>
  <c r="P11" i="2"/>
  <c r="P27" i="2"/>
  <c r="P43" i="2"/>
  <c r="P16" i="2"/>
  <c r="P32" i="2"/>
  <c r="P5" i="2"/>
  <c r="P783" i="3"/>
  <c r="P567" i="3"/>
  <c r="P790" i="3"/>
  <c r="P31" i="2"/>
  <c r="P20" i="2"/>
  <c r="P9" i="2"/>
  <c r="P25" i="2"/>
  <c r="P41" i="2"/>
  <c r="P14" i="2"/>
  <c r="P30" i="2"/>
  <c r="P127" i="3"/>
  <c r="P631" i="3"/>
  <c r="P7" i="2"/>
  <c r="P39" i="2"/>
  <c r="P28" i="2"/>
  <c r="P13" i="2"/>
  <c r="P29" i="2"/>
  <c r="P45" i="2"/>
  <c r="P18" i="2"/>
  <c r="P34" i="2"/>
  <c r="P415" i="3"/>
  <c r="P695" i="3"/>
  <c r="P15" i="2"/>
  <c r="P4" i="2"/>
  <c r="P36" i="2"/>
  <c r="P17" i="2"/>
  <c r="P33" i="2"/>
  <c r="P6" i="2"/>
  <c r="P22" i="2"/>
  <c r="P38" i="2"/>
  <c r="P500" i="3"/>
  <c r="P735" i="3"/>
  <c r="P23" i="2"/>
  <c r="P12" i="2"/>
  <c r="P44" i="2"/>
  <c r="P21" i="2"/>
  <c r="P37" i="2"/>
  <c r="P10" i="2"/>
  <c r="P26" i="2"/>
  <c r="P42" i="2"/>
  <c r="P46" i="2" l="1"/>
  <c r="P810" i="3"/>
  <c r="D3" i="1"/>
  <c r="D5" i="1"/>
</calcChain>
</file>

<file path=xl/sharedStrings.xml><?xml version="1.0" encoding="utf-8"?>
<sst xmlns="http://schemas.openxmlformats.org/spreadsheetml/2006/main" count="9763" uniqueCount="1075">
  <si>
    <t>Company:</t>
  </si>
  <si>
    <t>Customer invoice lines</t>
  </si>
  <si>
    <t>Invoice</t>
  </si>
  <si>
    <t>Item</t>
  </si>
  <si>
    <t>Quantity</t>
  </si>
  <si>
    <t>Unit price</t>
  </si>
  <si>
    <t>Amount</t>
  </si>
  <si>
    <t>Currency</t>
  </si>
  <si>
    <t>EUR</t>
  </si>
  <si>
    <t>LA15010012</t>
  </si>
  <si>
    <t>LARESI22015</t>
  </si>
  <si>
    <t>LA15005012</t>
  </si>
  <si>
    <t>CS240300300</t>
  </si>
  <si>
    <t>CS240300600</t>
  </si>
  <si>
    <t>LAFRPTO002</t>
  </si>
  <si>
    <t>ARAPTOOL003</t>
  </si>
  <si>
    <t>SHRESEPO55HP6KG</t>
  </si>
  <si>
    <t>SHWETLAYMANUF1</t>
  </si>
  <si>
    <t>Total</t>
  </si>
  <si>
    <t>Company accounts</t>
  </si>
  <si>
    <t>360</t>
  </si>
  <si>
    <t>Item name</t>
  </si>
  <si>
    <t>S&amp;P Asphalt Abrollgerät maschinell</t>
  </si>
  <si>
    <t>S&amp;P C-Sheet 240 300 g/m2</t>
  </si>
  <si>
    <t>S&amp;P C-Laminate SM (150/2000) 50/1.2</t>
  </si>
  <si>
    <t>S&amp;P C-Laminate SM (150/2000) 100/1.2</t>
  </si>
  <si>
    <t>S&amp;P Aufziehgerät Kleber Lamellen</t>
  </si>
  <si>
    <t>S&amp;P Resin 220 (Set of 15 kg)</t>
  </si>
  <si>
    <t>S&amp;P Resin 55 HP
(Set à 6kg)</t>
  </si>
  <si>
    <t>Sheet gluing machine or 
wet-lay-up machine</t>
  </si>
  <si>
    <t>Date</t>
  </si>
  <si>
    <t>From date:</t>
  </si>
  <si>
    <t>To date:</t>
  </si>
  <si>
    <t>Date Range:</t>
  </si>
  <si>
    <t>Purchase order</t>
  </si>
  <si>
    <t>Sales order</t>
  </si>
  <si>
    <t>DD.MM.YYYY</t>
  </si>
  <si>
    <t>Region</t>
  </si>
  <si>
    <t>Date format</t>
  </si>
  <si>
    <t xml:space="preserve">0. European </t>
  </si>
  <si>
    <t>1. Germany</t>
  </si>
  <si>
    <t>TT.MM.JJJJ</t>
  </si>
  <si>
    <t>2. Netherland</t>
  </si>
  <si>
    <t>DD.MM.JJJJ</t>
  </si>
  <si>
    <t>3. America</t>
  </si>
  <si>
    <t>MM.DD.YYYY</t>
  </si>
  <si>
    <t>DateFormat:</t>
  </si>
  <si>
    <t>Customer account</t>
  </si>
  <si>
    <t>Name</t>
  </si>
  <si>
    <t>S&amp;P Clever Reinforcement Company Benelux</t>
  </si>
  <si>
    <t>S&amp;P Reinforcement Nordic ApS</t>
  </si>
  <si>
    <t>Warehouse</t>
  </si>
  <si>
    <t>SW</t>
  </si>
  <si>
    <t>Unit</t>
  </si>
  <si>
    <t>M²</t>
  </si>
  <si>
    <t>PCS</t>
  </si>
  <si>
    <t>RecId column</t>
  </si>
  <si>
    <t>TPP Amount</t>
  </si>
  <si>
    <t>Vendor invoice lines</t>
  </si>
  <si>
    <t>Vendor account</t>
  </si>
  <si>
    <t>S&amp;P Handels GmbH</t>
  </si>
  <si>
    <t>S&amp;P Reinforcement France</t>
  </si>
  <si>
    <t>M</t>
  </si>
  <si>
    <t>Simpson Strong-Tie France</t>
  </si>
  <si>
    <t>Simpson Strong-Tie GmbH</t>
  </si>
  <si>
    <t>360-200009</t>
  </si>
  <si>
    <t>ApP0001746</t>
  </si>
  <si>
    <t>4091903M</t>
  </si>
  <si>
    <t>ApP0001775</t>
  </si>
  <si>
    <t>4091873M</t>
  </si>
  <si>
    <t>Company</t>
  </si>
  <si>
    <t>Cust/Vend</t>
  </si>
  <si>
    <t>Cust/Vend Name</t>
  </si>
  <si>
    <t>Order Number</t>
  </si>
  <si>
    <t>Invoice Id</t>
  </si>
  <si>
    <t>Item Number</t>
  </si>
  <si>
    <t>Item Name</t>
  </si>
  <si>
    <t>Unit Price</t>
  </si>
  <si>
    <t>Order Type</t>
  </si>
  <si>
    <t>Warehouse:</t>
  </si>
  <si>
    <t>DE</t>
  </si>
  <si>
    <t>S&amp;P Clever Reinforcement Company Benelux BV</t>
  </si>
  <si>
    <t>S&amp;P Clever Reinforcement Company AG</t>
  </si>
  <si>
    <t>366-2000025</t>
  </si>
  <si>
    <t>ApP0000132</t>
  </si>
  <si>
    <t>ApP0000134</t>
  </si>
  <si>
    <t>ApP0000136</t>
  </si>
  <si>
    <t>ApP0000143</t>
  </si>
  <si>
    <t>ApP0000145</t>
  </si>
  <si>
    <t>366-2000016</t>
  </si>
  <si>
    <t>ApP0000153</t>
  </si>
  <si>
    <t>Item Type:</t>
  </si>
  <si>
    <t>!Service</t>
  </si>
  <si>
    <t>Item Number:</t>
  </si>
  <si>
    <t>*</t>
  </si>
  <si>
    <t>Steps:</t>
  </si>
  <si>
    <t>Specify proper date format in M1</t>
  </si>
  <si>
    <t>Refresh the report via Atlas 5.1 -&gt; Refresh</t>
  </si>
  <si>
    <t>Version:</t>
  </si>
  <si>
    <t>V1</t>
  </si>
  <si>
    <t>Initial version</t>
  </si>
  <si>
    <t>Click button "Generate Report", the report will be generated in sheet "ReSale List"</t>
  </si>
  <si>
    <t>Sales:</t>
  </si>
  <si>
    <t>Purchase:</t>
  </si>
  <si>
    <t>Fill in the criterions from range D1 to D6 and G2,G4</t>
  </si>
  <si>
    <t>360-200010</t>
  </si>
  <si>
    <t>ApP0001734</t>
  </si>
  <si>
    <t>47446622</t>
  </si>
  <si>
    <t>BOAXII12070020A4</t>
  </si>
  <si>
    <t>S&amp;P Anchor M12 (Endverankerung)</t>
  </si>
  <si>
    <t>368</t>
  </si>
  <si>
    <t>368-2000086</t>
  </si>
  <si>
    <t>ApP0000119</t>
  </si>
  <si>
    <t>111004220</t>
  </si>
  <si>
    <t>FR</t>
  </si>
  <si>
    <t>ApP0000124</t>
  </si>
  <si>
    <t>111004296</t>
  </si>
  <si>
    <t>CS240400300</t>
  </si>
  <si>
    <t>S&amp;P C-Sheet 240 400 g/m2</t>
  </si>
  <si>
    <t>CS640400300</t>
  </si>
  <si>
    <t>S&amp;P C-Sheet 640 400 g/m2</t>
  </si>
  <si>
    <t>ApP0000114</t>
  </si>
  <si>
    <t>111004115</t>
  </si>
  <si>
    <t>GLG0097120</t>
  </si>
  <si>
    <t>S&amp;P Glasphalt G (120/120kN)</t>
  </si>
  <si>
    <t>ApP0000150</t>
  </si>
  <si>
    <t>111004700</t>
  </si>
  <si>
    <t>LA15001014</t>
  </si>
  <si>
    <t>S&amp;P C-Laminate SM (150/2000) 10/1.4</t>
  </si>
  <si>
    <t>ApP0000152</t>
  </si>
  <si>
    <t>111004713</t>
  </si>
  <si>
    <t>ApP0000121</t>
  </si>
  <si>
    <t>111004280</t>
  </si>
  <si>
    <t>LA15001028</t>
  </si>
  <si>
    <t>S&amp;P C-Laminate SM (150/2000) 10/2.8</t>
  </si>
  <si>
    <t>111004872</t>
  </si>
  <si>
    <t>111004497</t>
  </si>
  <si>
    <t>LA15002014</t>
  </si>
  <si>
    <t>S&amp;P C-Laminate SM (150/2000) 20/1.4</t>
  </si>
  <si>
    <t>ApP0000169</t>
  </si>
  <si>
    <t>111004959</t>
  </si>
  <si>
    <t>LA15005014</t>
  </si>
  <si>
    <t>S&amp;P C-Laminate SM (150/2000) 50/1.4</t>
  </si>
  <si>
    <t>LA15008012</t>
  </si>
  <si>
    <t>S&amp;P C-Laminate SM (150/2000) 80/1.2</t>
  </si>
  <si>
    <t>LA15009014</t>
  </si>
  <si>
    <t>S&amp;P C-Laminate SM (150/2000) 90/1.4</t>
  </si>
  <si>
    <t>LA15010014</t>
  </si>
  <si>
    <t>S&amp;P C-Laminate SM (150/2000) 100/1.4</t>
  </si>
  <si>
    <t>LA15012014</t>
  </si>
  <si>
    <t>S&amp;P C-Laminate SM (150/2000) 120/1.4</t>
  </si>
  <si>
    <t>368-2000088</t>
  </si>
  <si>
    <t>40-91875M</t>
  </si>
  <si>
    <t>LAFRPTO001F1</t>
  </si>
  <si>
    <t>S&amp;P Unrolling set - F</t>
  </si>
  <si>
    <t>ApP0000162</t>
  </si>
  <si>
    <t>40-91898M</t>
  </si>
  <si>
    <t>LARES23030</t>
  </si>
  <si>
    <t>S&amp;P Resin 230 (Set of 30 kg)</t>
  </si>
  <si>
    <t>ApP0000130</t>
  </si>
  <si>
    <t>111004404</t>
  </si>
  <si>
    <t>LARESI22005</t>
  </si>
  <si>
    <t>S&amp;P Resin 220 (Set of 5 kg)</t>
  </si>
  <si>
    <t>ApP0000166</t>
  </si>
  <si>
    <t>111004912</t>
  </si>
  <si>
    <t>368-2000098</t>
  </si>
  <si>
    <t>SOCOM SAS</t>
  </si>
  <si>
    <t>FA45001283</t>
  </si>
  <si>
    <t>SHRESEPO55</t>
  </si>
  <si>
    <t>S&amp;P Resin Epoxy 55 , Laminierharz (Set à 6 kg)</t>
  </si>
  <si>
    <t>Kit(6KG)</t>
  </si>
  <si>
    <t>ApP0000146</t>
  </si>
  <si>
    <t>F45001362</t>
  </si>
  <si>
    <t>ApP0000149</t>
  </si>
  <si>
    <t>45001436</t>
  </si>
  <si>
    <t>ApP0000158</t>
  </si>
  <si>
    <t>45001490</t>
  </si>
  <si>
    <t>ApP0000163</t>
  </si>
  <si>
    <t>45001509</t>
  </si>
  <si>
    <t>362</t>
  </si>
  <si>
    <t>362-000413</t>
  </si>
  <si>
    <t>360ApP0002052</t>
  </si>
  <si>
    <t>111001220</t>
  </si>
  <si>
    <t>PL</t>
  </si>
  <si>
    <t>CAG0097200</t>
  </si>
  <si>
    <t>S&amp;P Carbophalt G (120/200kN)</t>
  </si>
  <si>
    <t>362-000418</t>
  </si>
  <si>
    <t>360366ApP0000154</t>
  </si>
  <si>
    <t>111001232</t>
  </si>
  <si>
    <t>360366ApP0000166</t>
  </si>
  <si>
    <t>111001252</t>
  </si>
  <si>
    <t>360366ApP0000148</t>
  </si>
  <si>
    <t>111001219</t>
  </si>
  <si>
    <t>CAG0195200</t>
  </si>
  <si>
    <t>360364ApP0000228</t>
  </si>
  <si>
    <t>111001218</t>
  </si>
  <si>
    <t>360ApP0002106</t>
  </si>
  <si>
    <t>111001221</t>
  </si>
  <si>
    <t>360364ApP0000262</t>
  </si>
  <si>
    <t>111001254</t>
  </si>
  <si>
    <t>SO0001050</t>
  </si>
  <si>
    <t>2222000071</t>
  </si>
  <si>
    <t>360369ApP0000246</t>
  </si>
  <si>
    <t>111001224</t>
  </si>
  <si>
    <t>360366ApP0000152</t>
  </si>
  <si>
    <t>111001216</t>
  </si>
  <si>
    <t>360366ApP0000146</t>
  </si>
  <si>
    <t>111001230</t>
  </si>
  <si>
    <t>111001253</t>
  </si>
  <si>
    <t>111001248</t>
  </si>
  <si>
    <t>GLG0150120</t>
  </si>
  <si>
    <t>GLG0195120</t>
  </si>
  <si>
    <t>365</t>
  </si>
  <si>
    <t>365-200116</t>
  </si>
  <si>
    <t>S&amp;P Clever Reinforcement Company, AG</t>
  </si>
  <si>
    <t>ApP0000222</t>
  </si>
  <si>
    <t>111004249</t>
  </si>
  <si>
    <t>AO</t>
  </si>
  <si>
    <t>AM20020019550</t>
  </si>
  <si>
    <t>S&amp;P ARMO-mesh 200/200</t>
  </si>
  <si>
    <t>363</t>
  </si>
  <si>
    <t>363-200080</t>
  </si>
  <si>
    <t>ApP0000178</t>
  </si>
  <si>
    <t>111004217</t>
  </si>
  <si>
    <t>AT</t>
  </si>
  <si>
    <t>ApP0000228</t>
  </si>
  <si>
    <t>111004318</t>
  </si>
  <si>
    <t>364</t>
  </si>
  <si>
    <t>364-2000168</t>
  </si>
  <si>
    <t>ApP0000188</t>
  </si>
  <si>
    <t>111004557</t>
  </si>
  <si>
    <t>NL</t>
  </si>
  <si>
    <t>ApP0000209</t>
  </si>
  <si>
    <t>111004634</t>
  </si>
  <si>
    <t>ApP0000269</t>
  </si>
  <si>
    <t>111004626</t>
  </si>
  <si>
    <t>ApP0000281</t>
  </si>
  <si>
    <t>111004924</t>
  </si>
  <si>
    <t>ApP0000103</t>
  </si>
  <si>
    <t>111004232</t>
  </si>
  <si>
    <t>AM50050019550</t>
  </si>
  <si>
    <t>S&amp;PARMO-mesh 500/500
roll 1.95 x 50 m</t>
  </si>
  <si>
    <t>ApP0000196</t>
  </si>
  <si>
    <t>111004402</t>
  </si>
  <si>
    <t>362-200639</t>
  </si>
  <si>
    <t>ApP0000199</t>
  </si>
  <si>
    <t>111004021</t>
  </si>
  <si>
    <t>AMC200097050</t>
  </si>
  <si>
    <t>S&amp;P ARMO-mesh C200</t>
  </si>
  <si>
    <t>366</t>
  </si>
  <si>
    <t>366-2000015</t>
  </si>
  <si>
    <t>ApP0000123</t>
  </si>
  <si>
    <t>111004319</t>
  </si>
  <si>
    <t>AML200195050</t>
  </si>
  <si>
    <t>S&amp;P ARMO-mesh L200</t>
  </si>
  <si>
    <t>AML500195050</t>
  </si>
  <si>
    <t>S&amp;P ARMO-mesh L500</t>
  </si>
  <si>
    <t>ApP0000184</t>
  </si>
  <si>
    <t>111004541</t>
  </si>
  <si>
    <t>AML600195050</t>
  </si>
  <si>
    <t>S&amp;P ARMO-mesh L600</t>
  </si>
  <si>
    <t>ANGF220100AR</t>
  </si>
  <si>
    <t>S&amp;P Glasfaserbewehrung AR</t>
  </si>
  <si>
    <t>366-2000018</t>
  </si>
  <si>
    <t>S&amp;P Polska Sp. z o.o</t>
  </si>
  <si>
    <t>ApP0000094</t>
  </si>
  <si>
    <t>333000006,111000786</t>
  </si>
  <si>
    <t>ARAPTOOL001</t>
  </si>
  <si>
    <t>S&amp;P Asphalt Manual Application equip.</t>
  </si>
  <si>
    <t>ApP0000140</t>
  </si>
  <si>
    <t>111001149</t>
  </si>
  <si>
    <t>363-200002</t>
  </si>
  <si>
    <t>S&amp;P Polska Sp. z o.o.</t>
  </si>
  <si>
    <t>ApP0000243</t>
  </si>
  <si>
    <t>111001091</t>
  </si>
  <si>
    <t>ARAPTOOL002</t>
  </si>
  <si>
    <t>ARMOWET025RQ</t>
  </si>
  <si>
    <t>S&amp;P ARMO-crete w ,bag of 25kg</t>
  </si>
  <si>
    <t>ApP0000154</t>
  </si>
  <si>
    <t>111004340</t>
  </si>
  <si>
    <t>AS120290300</t>
  </si>
  <si>
    <t>S&amp;P A-Sheet 120 290 g/m²</t>
  </si>
  <si>
    <t>ApP0000097</t>
  </si>
  <si>
    <t>111004203</t>
  </si>
  <si>
    <t>ApP0000113</t>
  </si>
  <si>
    <t>111004353</t>
  </si>
  <si>
    <t>ApP0000127</t>
  </si>
  <si>
    <t>111004400</t>
  </si>
  <si>
    <t>369</t>
  </si>
  <si>
    <t>369-000005</t>
  </si>
  <si>
    <t>ApP0000191</t>
  </si>
  <si>
    <t>111004577</t>
  </si>
  <si>
    <t>WDK</t>
  </si>
  <si>
    <t>ApP0000200</t>
  </si>
  <si>
    <t>111004684</t>
  </si>
  <si>
    <t>ApP0000221</t>
  </si>
  <si>
    <t>2222000334</t>
  </si>
  <si>
    <t>111004810</t>
  </si>
  <si>
    <t>ApP0000205</t>
  </si>
  <si>
    <t>111004878</t>
  </si>
  <si>
    <t>ApP0000213</t>
  </si>
  <si>
    <t>111004898</t>
  </si>
  <si>
    <t>111005029</t>
  </si>
  <si>
    <t>ApP0000157</t>
  </si>
  <si>
    <t>2222000349</t>
  </si>
  <si>
    <t>ApP0000159</t>
  </si>
  <si>
    <t>111005033</t>
  </si>
  <si>
    <t>111005055</t>
  </si>
  <si>
    <t>369-000022</t>
  </si>
  <si>
    <t>ApP0000164</t>
  </si>
  <si>
    <t>111004305</t>
  </si>
  <si>
    <t>SWE</t>
  </si>
  <si>
    <t>CAG0097200200</t>
  </si>
  <si>
    <t>S&amp;P Carbophalt G (200/200kN)</t>
  </si>
  <si>
    <t>ApP0000170</t>
  </si>
  <si>
    <t>111004409</t>
  </si>
  <si>
    <t>ApP0000198</t>
  </si>
  <si>
    <t>111004775</t>
  </si>
  <si>
    <t>ApP0000070</t>
  </si>
  <si>
    <t>111004054</t>
  </si>
  <si>
    <t>CAG0097200GV</t>
  </si>
  <si>
    <t>S&amp;P Carbophalt GV (120/200kN)</t>
  </si>
  <si>
    <t>ApP0000089</t>
  </si>
  <si>
    <t>111004185</t>
  </si>
  <si>
    <t>ApP0000141</t>
  </si>
  <si>
    <t>111004263</t>
  </si>
  <si>
    <t>2222000313</t>
  </si>
  <si>
    <t>ApP0000125</t>
  </si>
  <si>
    <t>111004257</t>
  </si>
  <si>
    <t>ApP0000115</t>
  </si>
  <si>
    <t>2222000304</t>
  </si>
  <si>
    <t>CAG0150200</t>
  </si>
  <si>
    <t>111004612</t>
  </si>
  <si>
    <t>ApP0000068</t>
  </si>
  <si>
    <t>111004031</t>
  </si>
  <si>
    <t>CAG0150200GV</t>
  </si>
  <si>
    <t>111004262</t>
  </si>
  <si>
    <t>2222000303</t>
  </si>
  <si>
    <t>111004256</t>
  </si>
  <si>
    <t>ApP0000133</t>
  </si>
  <si>
    <t>2222000312</t>
  </si>
  <si>
    <t>ApP0000183</t>
  </si>
  <si>
    <t>111003980</t>
  </si>
  <si>
    <t>ApP0000064</t>
  </si>
  <si>
    <t>111004027</t>
  </si>
  <si>
    <t>ApP0000138</t>
  </si>
  <si>
    <t>111004260</t>
  </si>
  <si>
    <t>2222000311</t>
  </si>
  <si>
    <t>ApP0000122</t>
  </si>
  <si>
    <t>111004254</t>
  </si>
  <si>
    <t>ApP0000112</t>
  </si>
  <si>
    <t>2222000301</t>
  </si>
  <si>
    <t>111004398</t>
  </si>
  <si>
    <t>ApP0000174</t>
  </si>
  <si>
    <t>111004432</t>
  </si>
  <si>
    <t>ApP0000172</t>
  </si>
  <si>
    <t>111004408</t>
  </si>
  <si>
    <t>ApP0000175</t>
  </si>
  <si>
    <t>2222000321</t>
  </si>
  <si>
    <t>ApP0000180</t>
  </si>
  <si>
    <t>111004473</t>
  </si>
  <si>
    <t>369-000070</t>
  </si>
  <si>
    <t>ApP0000185</t>
  </si>
  <si>
    <t>111000394</t>
  </si>
  <si>
    <t>DKK</t>
  </si>
  <si>
    <t>ApP0000254</t>
  </si>
  <si>
    <t>111004493</t>
  </si>
  <si>
    <t>111004560</t>
  </si>
  <si>
    <t>ApP0000135</t>
  </si>
  <si>
    <t>111004580</t>
  </si>
  <si>
    <t>ApP0000193</t>
  </si>
  <si>
    <t>111004625</t>
  </si>
  <si>
    <t>ApP0000226</t>
  </si>
  <si>
    <t>111004946</t>
  </si>
  <si>
    <t>ApP0000148</t>
  </si>
  <si>
    <t>111005006</t>
  </si>
  <si>
    <t>2222000351</t>
  </si>
  <si>
    <t>111005036</t>
  </si>
  <si>
    <t>CAG0195200GV</t>
  </si>
  <si>
    <t>ApP0000060</t>
  </si>
  <si>
    <t>111004023</t>
  </si>
  <si>
    <t>ApP0000066</t>
  </si>
  <si>
    <t>111004029</t>
  </si>
  <si>
    <t>111004258</t>
  </si>
  <si>
    <t>ApP0000139</t>
  </si>
  <si>
    <t>111004261</t>
  </si>
  <si>
    <t>2222000302</t>
  </si>
  <si>
    <t>ApP0000109</t>
  </si>
  <si>
    <t>2222000299</t>
  </si>
  <si>
    <t>ApP0000120</t>
  </si>
  <si>
    <t>111004252</t>
  </si>
  <si>
    <t>111004255</t>
  </si>
  <si>
    <t>2222000309</t>
  </si>
  <si>
    <t>2222000314</t>
  </si>
  <si>
    <t>ApP0000203</t>
  </si>
  <si>
    <t>111004668</t>
  </si>
  <si>
    <t>CAG195200200</t>
  </si>
  <si>
    <t>ApP0000100</t>
  </si>
  <si>
    <t>111004303</t>
  </si>
  <si>
    <t>ApP0000187</t>
  </si>
  <si>
    <t>111004526</t>
  </si>
  <si>
    <t>ApP0000189</t>
  </si>
  <si>
    <t>111004565</t>
  </si>
  <si>
    <t>ApP0000225</t>
  </si>
  <si>
    <t>111004882</t>
  </si>
  <si>
    <t>ApP0000227</t>
  </si>
  <si>
    <t>111004884</t>
  </si>
  <si>
    <t>ApP0000230</t>
  </si>
  <si>
    <t>111004900</t>
  </si>
  <si>
    <t>ApP0000218</t>
  </si>
  <si>
    <t>111004788</t>
  </si>
  <si>
    <t>ApP0000201</t>
  </si>
  <si>
    <t>111004095</t>
  </si>
  <si>
    <t>CS240200300</t>
  </si>
  <si>
    <t>S&amp;P C-Sheet 240 200 g/m2</t>
  </si>
  <si>
    <t>CS240200600</t>
  </si>
  <si>
    <t>111004283</t>
  </si>
  <si>
    <t>363-200004</t>
  </si>
  <si>
    <t>111004540</t>
  </si>
  <si>
    <t>ApP0000215</t>
  </si>
  <si>
    <t>111004539</t>
  </si>
  <si>
    <t>ApP0000267</t>
  </si>
  <si>
    <t>111004640</t>
  </si>
  <si>
    <t>111004586</t>
  </si>
  <si>
    <t>ApP0000194</t>
  </si>
  <si>
    <t>111004378</t>
  </si>
  <si>
    <t>ApP0000234</t>
  </si>
  <si>
    <t>111004367</t>
  </si>
  <si>
    <t>ApP0000283</t>
  </si>
  <si>
    <t>111004948</t>
  </si>
  <si>
    <t>ApP0000238</t>
  </si>
  <si>
    <t>111004902</t>
  </si>
  <si>
    <t>CS240600300</t>
  </si>
  <si>
    <t>S&amp;P C-Sheet 240 600 g/m2</t>
  </si>
  <si>
    <t>ApP0000245</t>
  </si>
  <si>
    <t>111004886</t>
  </si>
  <si>
    <t>ApP0000256</t>
  </si>
  <si>
    <t>2222000344</t>
  </si>
  <si>
    <t>ApP0000260</t>
  </si>
  <si>
    <t>111004944</t>
  </si>
  <si>
    <t>ApP0000129</t>
  </si>
  <si>
    <t>111004421</t>
  </si>
  <si>
    <t>365-200207</t>
  </si>
  <si>
    <t>Simpson Strong-Tie (Home Office )</t>
  </si>
  <si>
    <t>98-004745</t>
  </si>
  <si>
    <t>FX225BB</t>
  </si>
  <si>
    <t>FX225 Concentrate BB Black Bag</t>
  </si>
  <si>
    <t>ApP0000248</t>
  </si>
  <si>
    <t>Credit65000381</t>
  </si>
  <si>
    <t>366-2000129</t>
  </si>
  <si>
    <t>Simpson Strong-Tie</t>
  </si>
  <si>
    <t>ApP0000091</t>
  </si>
  <si>
    <t>65-000173</t>
  </si>
  <si>
    <t>FX70-6MP-5A-GF</t>
  </si>
  <si>
    <t>FX70-6MP Epoxy Comp A 5 GAL (GER/FRA)</t>
  </si>
  <si>
    <t>ApP0000137</t>
  </si>
  <si>
    <t>Storno65-000173</t>
  </si>
  <si>
    <t>65-000173-1</t>
  </si>
  <si>
    <t>#98-004829</t>
  </si>
  <si>
    <t>FX70-6MP-5A-PS</t>
  </si>
  <si>
    <t>FX70-6MP Epoxy Comp A 5 GAL (POR/ESP)</t>
  </si>
  <si>
    <t>FX70-6MP-5B-GF</t>
  </si>
  <si>
    <t>FX70-6MP Epoxy Comp B 5 GAL (GER/FRA)</t>
  </si>
  <si>
    <t>FX70-6MP-5B-PS</t>
  </si>
  <si>
    <t>FX70-6MP Epoxy Comp B 5 GAL (POR/ESP)</t>
  </si>
  <si>
    <t>FX70-6MP-C-GF</t>
  </si>
  <si>
    <t>FX70-6MP FILLER 50 LB Bag (GER/FRA)</t>
  </si>
  <si>
    <t>FX70-6MP-C-PS</t>
  </si>
  <si>
    <t>FX70-6MP FILLER 50 LB Bag (POR/ESP)</t>
  </si>
  <si>
    <t>ApP0000111</t>
  </si>
  <si>
    <t>111004206</t>
  </si>
  <si>
    <t>111004354</t>
  </si>
  <si>
    <t>ApP0000131</t>
  </si>
  <si>
    <t>111004477</t>
  </si>
  <si>
    <t>111004562</t>
  </si>
  <si>
    <t>ApP0000202</t>
  </si>
  <si>
    <t>111004686</t>
  </si>
  <si>
    <t>ApP0000229</t>
  </si>
  <si>
    <t>111004718</t>
  </si>
  <si>
    <t>ApP0000236</t>
  </si>
  <si>
    <t>111004771</t>
  </si>
  <si>
    <t>ApP0000216</t>
  </si>
  <si>
    <t>111004778</t>
  </si>
  <si>
    <t>ApP0000142</t>
  </si>
  <si>
    <t>111004868</t>
  </si>
  <si>
    <t>ApP0000241</t>
  </si>
  <si>
    <t>111004965</t>
  </si>
  <si>
    <t>ApP0000144</t>
  </si>
  <si>
    <t>111004870</t>
  </si>
  <si>
    <t>111005016</t>
  </si>
  <si>
    <t>111005026</t>
  </si>
  <si>
    <t>ApP0000156</t>
  </si>
  <si>
    <t>2222000348</t>
  </si>
  <si>
    <t>111005035</t>
  </si>
  <si>
    <t>ApP0000160</t>
  </si>
  <si>
    <t>111005034</t>
  </si>
  <si>
    <t>ApP0000161</t>
  </si>
  <si>
    <t>2222000350</t>
  </si>
  <si>
    <t>GLG0097120GV</t>
  </si>
  <si>
    <t>S&amp;P Glasphalt GV (120/120kN)</t>
  </si>
  <si>
    <t>ApP0000082</t>
  </si>
  <si>
    <t>111004183</t>
  </si>
  <si>
    <t>GLG0097200GV</t>
  </si>
  <si>
    <t>S&amp;P Glasphalt GV (120/200kN)</t>
  </si>
  <si>
    <t>111004201</t>
  </si>
  <si>
    <t>ApP0000128</t>
  </si>
  <si>
    <t>111004266</t>
  </si>
  <si>
    <t>ApP0000118</t>
  </si>
  <si>
    <t>2222000307</t>
  </si>
  <si>
    <t>111003982</t>
  </si>
  <si>
    <t>GLG0150120GV</t>
  </si>
  <si>
    <t>ApP0000237</t>
  </si>
  <si>
    <t>111004368</t>
  </si>
  <si>
    <t>111004522</t>
  </si>
  <si>
    <t>GLG0150200GV</t>
  </si>
  <si>
    <t>ApP0000177</t>
  </si>
  <si>
    <t>111004520</t>
  </si>
  <si>
    <t>ApP0000092</t>
  </si>
  <si>
    <t>111003974</t>
  </si>
  <si>
    <t>ApP0000062</t>
  </si>
  <si>
    <t>111004025</t>
  </si>
  <si>
    <t>ApP0000204</t>
  </si>
  <si>
    <t>111004128</t>
  </si>
  <si>
    <t>111004259</t>
  </si>
  <si>
    <t>2222000310</t>
  </si>
  <si>
    <t>111004253</t>
  </si>
  <si>
    <t>2222000300</t>
  </si>
  <si>
    <t>111004355</t>
  </si>
  <si>
    <t>111004583</t>
  </si>
  <si>
    <t>ApP0000220</t>
  </si>
  <si>
    <t>111004880</t>
  </si>
  <si>
    <t>SO0000516</t>
  </si>
  <si>
    <t>ApP0000219</t>
  </si>
  <si>
    <t>111004789</t>
  </si>
  <si>
    <t>111000438</t>
  </si>
  <si>
    <t>GLG0195120GV</t>
  </si>
  <si>
    <t>ApP0000190</t>
  </si>
  <si>
    <t>111003978</t>
  </si>
  <si>
    <t>111004866</t>
  </si>
  <si>
    <t>GLG0195200GV40</t>
  </si>
  <si>
    <t>S&amp;P Glasphalt GV (120/200kN), afm 40x1.95m breed, 40 mtr</t>
  </si>
  <si>
    <t>111004955</t>
  </si>
  <si>
    <t>362-200633</t>
  </si>
  <si>
    <t>111000377</t>
  </si>
  <si>
    <t>GSE0505067</t>
  </si>
  <si>
    <t>S&amp;P G-Sheet E 50/50</t>
  </si>
  <si>
    <t>111004377</t>
  </si>
  <si>
    <t>ApP0000171</t>
  </si>
  <si>
    <t>111004472</t>
  </si>
  <si>
    <t>111004579</t>
  </si>
  <si>
    <t>LA15001525</t>
  </si>
  <si>
    <t>S&amp;P C-Laminate SM (150/2000) 15/2.5</t>
  </si>
  <si>
    <t>ApP0000240</t>
  </si>
  <si>
    <t>111004508</t>
  </si>
  <si>
    <t>ApP0000168</t>
  </si>
  <si>
    <t>111004122</t>
  </si>
  <si>
    <t>111004158</t>
  </si>
  <si>
    <t>111004138</t>
  </si>
  <si>
    <t>111004774</t>
  </si>
  <si>
    <t>2222000340</t>
  </si>
  <si>
    <t>ApP0000242</t>
  </si>
  <si>
    <t>111004848</t>
  </si>
  <si>
    <t>LA15008014</t>
  </si>
  <si>
    <t>S&amp;P C-Laminate SM (150/2000) 80/1.4</t>
  </si>
  <si>
    <t>ApP0000080</t>
  </si>
  <si>
    <t>111004123</t>
  </si>
  <si>
    <t>ApP0000117</t>
  </si>
  <si>
    <t>2222000306</t>
  </si>
  <si>
    <t>111004265</t>
  </si>
  <si>
    <t>ApP0000231</t>
  </si>
  <si>
    <t>111004715</t>
  </si>
  <si>
    <t>ApP0000208</t>
  </si>
  <si>
    <t>111004499</t>
  </si>
  <si>
    <t>ApP0000084</t>
  </si>
  <si>
    <t>111004160</t>
  </si>
  <si>
    <t>111004267</t>
  </si>
  <si>
    <t>2222000308</t>
  </si>
  <si>
    <t>111004121</t>
  </si>
  <si>
    <t>LA15012012</t>
  </si>
  <si>
    <t>S&amp;P C-Laminate SM (150/2000) 120/1.2</t>
  </si>
  <si>
    <t>111004876</t>
  </si>
  <si>
    <t>111004406</t>
  </si>
  <si>
    <t>LA15015012</t>
  </si>
  <si>
    <t>S&amp;P C-Laminate SM (150/2000) 150/1.2</t>
  </si>
  <si>
    <t>111004057</t>
  </si>
  <si>
    <t>LA15015014</t>
  </si>
  <si>
    <t>S&amp;P C-Laminate SM (150/2000) 150/1.4</t>
  </si>
  <si>
    <t>ApP0000167</t>
  </si>
  <si>
    <t>111004471</t>
  </si>
  <si>
    <t>LA20002014</t>
  </si>
  <si>
    <t>S&amp;P C-Laminate HM (200/2000) 20/1.4</t>
  </si>
  <si>
    <t>111004769</t>
  </si>
  <si>
    <t>LA20006014</t>
  </si>
  <si>
    <t>S&amp;P C-Laminate HM (200/2000) 60/1.4</t>
  </si>
  <si>
    <t>ApP0000182</t>
  </si>
  <si>
    <t>111004506</t>
  </si>
  <si>
    <t>LA20009014</t>
  </si>
  <si>
    <t>S&amp;P C-Laminate HM (200/2000) 90/1.4</t>
  </si>
  <si>
    <t>LA20010014</t>
  </si>
  <si>
    <t>S&amp;P C-Laminate HM (200/2000) 100/1.4</t>
  </si>
  <si>
    <t>ApP0000233</t>
  </si>
  <si>
    <t>111004745</t>
  </si>
  <si>
    <t>LA20012014</t>
  </si>
  <si>
    <t>S&amp;P C-Laminate HM (200/2000) 120/1.4</t>
  </si>
  <si>
    <t>111004719</t>
  </si>
  <si>
    <t>111004714</t>
  </si>
  <si>
    <t>363-200003</t>
  </si>
  <si>
    <t>111-97</t>
  </si>
  <si>
    <t>LACAFIBROD</t>
  </si>
  <si>
    <t>S&amp;P carbon fiber rod</t>
  </si>
  <si>
    <t>ApP0000207</t>
  </si>
  <si>
    <t>111000175</t>
  </si>
  <si>
    <t>363-200009</t>
  </si>
  <si>
    <t>SOCOM S.A.S.</t>
  </si>
  <si>
    <t>ApP0000270</t>
  </si>
  <si>
    <t>gdsfsd</t>
  </si>
  <si>
    <t>LACAN02PET</t>
  </si>
  <si>
    <t>Plastikkanister weiss 2 lt</t>
  </si>
  <si>
    <t>ApP0000271</t>
  </si>
  <si>
    <t>kolkj</t>
  </si>
  <si>
    <t>LACLEAN20AT</t>
  </si>
  <si>
    <t xml:space="preserve">Epoxy Cleaner 20 kg (Austria)
</t>
  </si>
  <si>
    <t>KG</t>
  </si>
  <si>
    <t>LAENACS050</t>
  </si>
  <si>
    <t>S&amp;P End Anchor Typ 50</t>
  </si>
  <si>
    <t>ApP0000279</t>
  </si>
  <si>
    <t>111004808</t>
  </si>
  <si>
    <t>LAENACS080</t>
  </si>
  <si>
    <t>S&amp;P End Anchor Typ 80</t>
  </si>
  <si>
    <t>ApP0000098</t>
  </si>
  <si>
    <t>111004003</t>
  </si>
  <si>
    <t>LAENACS100</t>
  </si>
  <si>
    <t>S&amp;P End Anchor Typ 100</t>
  </si>
  <si>
    <t>111004143</t>
  </si>
  <si>
    <t>S&amp;P Endverankerung Typ 100</t>
  </si>
  <si>
    <t>LAENACS120</t>
  </si>
  <si>
    <t>S&amp;P Endverankerung Typ 120</t>
  </si>
  <si>
    <t>111004180</t>
  </si>
  <si>
    <t>363-200076</t>
  </si>
  <si>
    <t>111000093-1</t>
  </si>
  <si>
    <t>LAFRPTO001</t>
  </si>
  <si>
    <t>S&amp;P Abrollgerät Lamellen</t>
  </si>
  <si>
    <t>ApP0000247</t>
  </si>
  <si>
    <t>111000093-3</t>
  </si>
  <si>
    <t>366-2000019</t>
  </si>
  <si>
    <t>ApP0000104</t>
  </si>
  <si>
    <t>111000014</t>
  </si>
  <si>
    <t>111004361</t>
  </si>
  <si>
    <t>S&amp;P Gluing system</t>
  </si>
  <si>
    <t>111004314</t>
  </si>
  <si>
    <t>2222000323</t>
  </si>
  <si>
    <t>111004447</t>
  </si>
  <si>
    <t>364-2000156</t>
  </si>
  <si>
    <t>ApP0000179</t>
  </si>
  <si>
    <t>111000088</t>
  </si>
  <si>
    <t>111000093-2</t>
  </si>
  <si>
    <t>111003992</t>
  </si>
  <si>
    <t>LAPSTKO110</t>
  </si>
  <si>
    <t>S&amp;P Verankerungsplatte Vorspannung Set</t>
  </si>
  <si>
    <t>ApP0000075</t>
  </si>
  <si>
    <t>111004092</t>
  </si>
  <si>
    <t>S&amp;P Resin 220 (Gebinde à 5 kg)</t>
  </si>
  <si>
    <t>111004108</t>
  </si>
  <si>
    <t>PAL</t>
  </si>
  <si>
    <t>111004215</t>
  </si>
  <si>
    <t>ApP0000126</t>
  </si>
  <si>
    <t>111004264</t>
  </si>
  <si>
    <t>ApP0000116</t>
  </si>
  <si>
    <t>2222000305</t>
  </si>
  <si>
    <t>111004344</t>
  </si>
  <si>
    <t>111004486</t>
  </si>
  <si>
    <t>ApP0000176</t>
  </si>
  <si>
    <t>111004483</t>
  </si>
  <si>
    <t>ApP0000224</t>
  </si>
  <si>
    <t>111004749</t>
  </si>
  <si>
    <t>111004781</t>
  </si>
  <si>
    <t>111003964</t>
  </si>
  <si>
    <t>S&amp;P Resin 220 (Gebinde à 15 kg)</t>
  </si>
  <si>
    <t>ApP0000249</t>
  </si>
  <si>
    <t>111004479</t>
  </si>
  <si>
    <t>ApP0000244</t>
  </si>
  <si>
    <t>111004564</t>
  </si>
  <si>
    <t>ApP0000264</t>
  </si>
  <si>
    <t>111004607</t>
  </si>
  <si>
    <t>ApP0000261</t>
  </si>
  <si>
    <t>111004597</t>
  </si>
  <si>
    <t>ApP0000263</t>
  </si>
  <si>
    <t>2222000327</t>
  </si>
  <si>
    <t>LARESI230AB</t>
  </si>
  <si>
    <t>S&amp;P Resin 230 Komp. A + B</t>
  </si>
  <si>
    <t>369-000098</t>
  </si>
  <si>
    <t>45001142</t>
  </si>
  <si>
    <t>362-200713</t>
  </si>
  <si>
    <t>45001164</t>
  </si>
  <si>
    <t>366-2000024</t>
  </si>
  <si>
    <t>ApP0000106</t>
  </si>
  <si>
    <t>45001210</t>
  </si>
  <si>
    <t>364-2000151</t>
  </si>
  <si>
    <t>ApP0000107</t>
  </si>
  <si>
    <t>45001248</t>
  </si>
  <si>
    <t>45001276</t>
  </si>
  <si>
    <t>ApP0000173</t>
  </si>
  <si>
    <t>45001337</t>
  </si>
  <si>
    <t>45001348-2</t>
  </si>
  <si>
    <t>ApP0000195</t>
  </si>
  <si>
    <t>45001348-1</t>
  </si>
  <si>
    <t>45001348</t>
  </si>
  <si>
    <t>45001427</t>
  </si>
  <si>
    <t>S&amp;P Resin Epoxy 55 , Laminierharz (Set à 6 kg) (PL)</t>
  </si>
  <si>
    <t>ApP0000253</t>
  </si>
  <si>
    <t>45001474</t>
  </si>
  <si>
    <t>45001474-1</t>
  </si>
  <si>
    <t>ApP0000255</t>
  </si>
  <si>
    <t>45001474.</t>
  </si>
  <si>
    <t>ApP0000250</t>
  </si>
  <si>
    <t>45001510</t>
  </si>
  <si>
    <t>SHRESICEHP010</t>
  </si>
  <si>
    <t>S&amp;P Resicem HP, Set 10 kg</t>
  </si>
  <si>
    <t>ApP0000252</t>
  </si>
  <si>
    <t>45001512</t>
  </si>
  <si>
    <t>ApP0000099</t>
  </si>
  <si>
    <t>111004205</t>
  </si>
  <si>
    <t>Supplies - office</t>
  </si>
  <si>
    <t>ApP0000108</t>
  </si>
  <si>
    <t>2222000298</t>
  </si>
  <si>
    <t>3600000008</t>
  </si>
  <si>
    <t>S&amp;P Clever Reinforcement GmbH</t>
  </si>
  <si>
    <t>366ApP0000154</t>
  </si>
  <si>
    <t>IC-Transit</t>
  </si>
  <si>
    <t>SO0005171</t>
  </si>
  <si>
    <t>366ApP0000159</t>
  </si>
  <si>
    <t>366ApP0000166</t>
  </si>
  <si>
    <t>3600000010</t>
  </si>
  <si>
    <t>364ApP0000228</t>
  </si>
  <si>
    <t>111005005</t>
  </si>
  <si>
    <t>366ApP0000148</t>
  </si>
  <si>
    <t>SO0005174</t>
  </si>
  <si>
    <t>366ApP0000163</t>
  </si>
  <si>
    <t>3600000569</t>
  </si>
  <si>
    <t>369ApP0000246</t>
  </si>
  <si>
    <t>111005018</t>
  </si>
  <si>
    <t>366ApP0000152</t>
  </si>
  <si>
    <t>366ApP0000146</t>
  </si>
  <si>
    <t>SO0005170</t>
  </si>
  <si>
    <t>SO0005173</t>
  </si>
  <si>
    <t>366ApP0000158</t>
  </si>
  <si>
    <t>366ApP0000160</t>
  </si>
  <si>
    <t>360-200002</t>
  </si>
  <si>
    <t>ApP0001728</t>
  </si>
  <si>
    <t>111000831</t>
  </si>
  <si>
    <t>ApP0001762</t>
  </si>
  <si>
    <t>111000873</t>
  </si>
  <si>
    <t>360-000507</t>
  </si>
  <si>
    <t>ApP0001786</t>
  </si>
  <si>
    <t>111000901</t>
  </si>
  <si>
    <t>ApP0001821</t>
  </si>
  <si>
    <t>111000912</t>
  </si>
  <si>
    <t>ApP0001799</t>
  </si>
  <si>
    <t>111000914</t>
  </si>
  <si>
    <t>ApP0001921</t>
  </si>
  <si>
    <t>111001004</t>
  </si>
  <si>
    <t>ApP0001929</t>
  </si>
  <si>
    <t>111001026</t>
  </si>
  <si>
    <t>ApP0001958</t>
  </si>
  <si>
    <t>111001056</t>
  </si>
  <si>
    <t>ApP0001995</t>
  </si>
  <si>
    <t>2222000063</t>
  </si>
  <si>
    <t>ApP0001989</t>
  </si>
  <si>
    <t>2222000065</t>
  </si>
  <si>
    <t>ApP0001988</t>
  </si>
  <si>
    <t>111001065</t>
  </si>
  <si>
    <t>ApP0001962</t>
  </si>
  <si>
    <t>2222000062</t>
  </si>
  <si>
    <t>ApP0002023</t>
  </si>
  <si>
    <t>111001089</t>
  </si>
  <si>
    <t>ApP0002072</t>
  </si>
  <si>
    <t>111001107</t>
  </si>
  <si>
    <t>ApP0001933</t>
  </si>
  <si>
    <t>111001131</t>
  </si>
  <si>
    <t>ApP0001951</t>
  </si>
  <si>
    <t>111001150</t>
  </si>
  <si>
    <t>ApP0002052</t>
  </si>
  <si>
    <t>ApP0001770</t>
  </si>
  <si>
    <t>111000871</t>
  </si>
  <si>
    <t>ApP0001816</t>
  </si>
  <si>
    <t>111000910</t>
  </si>
  <si>
    <t>ApP0001956</t>
  </si>
  <si>
    <t>111001059</t>
  </si>
  <si>
    <t>ApP0001687</t>
  </si>
  <si>
    <t>111000799</t>
  </si>
  <si>
    <t>ApP0001724</t>
  </si>
  <si>
    <t>111000824</t>
  </si>
  <si>
    <t>ApP0001899</t>
  </si>
  <si>
    <t>111000996</t>
  </si>
  <si>
    <t>ApP0001915</t>
  </si>
  <si>
    <t>111001018</t>
  </si>
  <si>
    <t>ApP0001680</t>
  </si>
  <si>
    <t>111000794</t>
  </si>
  <si>
    <t>ApP0001639</t>
  </si>
  <si>
    <t>111000776</t>
  </si>
  <si>
    <t>ApP0001676</t>
  </si>
  <si>
    <t>111000790</t>
  </si>
  <si>
    <t>ApP0001811</t>
  </si>
  <si>
    <t>111000906</t>
  </si>
  <si>
    <t>ApP0001829</t>
  </si>
  <si>
    <t>111000916</t>
  </si>
  <si>
    <t>ApP0001820</t>
  </si>
  <si>
    <t>111000911</t>
  </si>
  <si>
    <t>ApP0001825</t>
  </si>
  <si>
    <t>2222000061</t>
  </si>
  <si>
    <t>ApP0001870</t>
  </si>
  <si>
    <t>111000942</t>
  </si>
  <si>
    <t>ApP0001868</t>
  </si>
  <si>
    <t>111000944</t>
  </si>
  <si>
    <t>ApP0001883</t>
  </si>
  <si>
    <t>111000988</t>
  </si>
  <si>
    <t>ApP0001917</t>
  </si>
  <si>
    <t>111001010</t>
  </si>
  <si>
    <t>ApP0001925</t>
  </si>
  <si>
    <t>111001028</t>
  </si>
  <si>
    <t>ApP0002013</t>
  </si>
  <si>
    <t>111001170</t>
  </si>
  <si>
    <t>ApP0002015</t>
  </si>
  <si>
    <t>ApP0001678</t>
  </si>
  <si>
    <t>111000792</t>
  </si>
  <si>
    <t>ApP0001662</t>
  </si>
  <si>
    <t>111000797</t>
  </si>
  <si>
    <t>ApP0001931</t>
  </si>
  <si>
    <t>111001047</t>
  </si>
  <si>
    <t>ApP0001739</t>
  </si>
  <si>
    <t>111000869</t>
  </si>
  <si>
    <t>ApP0001893</t>
  </si>
  <si>
    <t>111000971</t>
  </si>
  <si>
    <t>ApP0001911</t>
  </si>
  <si>
    <t>111000990</t>
  </si>
  <si>
    <t>ApP0002037</t>
  </si>
  <si>
    <t>111001094</t>
  </si>
  <si>
    <t>ApP0002073</t>
  </si>
  <si>
    <t>111001135</t>
  </si>
  <si>
    <t>ApP0002075</t>
  </si>
  <si>
    <t>111001137</t>
  </si>
  <si>
    <t>ApP0002088</t>
  </si>
  <si>
    <t>111001145</t>
  </si>
  <si>
    <t>ApP0001699</t>
  </si>
  <si>
    <t>111000806</t>
  </si>
  <si>
    <t>ApP0001751</t>
  </si>
  <si>
    <t>111000849</t>
  </si>
  <si>
    <t>ApP0001758</t>
  </si>
  <si>
    <t>111000861</t>
  </si>
  <si>
    <t>360-000490</t>
  </si>
  <si>
    <t>ApP0001896</t>
  </si>
  <si>
    <t>111000980</t>
  </si>
  <si>
    <t>ApP0001898</t>
  </si>
  <si>
    <t>111000981</t>
  </si>
  <si>
    <t>ApP0001938</t>
  </si>
  <si>
    <t>111001037</t>
  </si>
  <si>
    <t>ApP0001788</t>
  </si>
  <si>
    <t>111000893</t>
  </si>
  <si>
    <t>ApP0001814</t>
  </si>
  <si>
    <t>111000903</t>
  </si>
  <si>
    <t>ApP0002094</t>
  </si>
  <si>
    <t>111001147</t>
  </si>
  <si>
    <t>ApP0002111</t>
  </si>
  <si>
    <t>111001172</t>
  </si>
  <si>
    <t>ApP0002144</t>
  </si>
  <si>
    <t>CS240400600</t>
  </si>
  <si>
    <t>ApP0002077</t>
  </si>
  <si>
    <t>111001139</t>
  </si>
  <si>
    <t>ApP0002117</t>
  </si>
  <si>
    <t>111001168</t>
  </si>
  <si>
    <t>ApP0002114</t>
  </si>
  <si>
    <t>2222000067</t>
  </si>
  <si>
    <t>ApP0001707</t>
  </si>
  <si>
    <t>111000810</t>
  </si>
  <si>
    <t>ApP0001730</t>
  </si>
  <si>
    <t>111000833</t>
  </si>
  <si>
    <t>ApP0001764</t>
  </si>
  <si>
    <t>111000875</t>
  </si>
  <si>
    <t>ApP0001856</t>
  </si>
  <si>
    <t>111000940</t>
  </si>
  <si>
    <t>ApP0001891</t>
  </si>
  <si>
    <t>111000986</t>
  </si>
  <si>
    <t>ApP0001960</t>
  </si>
  <si>
    <t>111001057</t>
  </si>
  <si>
    <t>ApP0001975</t>
  </si>
  <si>
    <t>111001061</t>
  </si>
  <si>
    <t>ApP0002024</t>
  </si>
  <si>
    <t>111001079</t>
  </si>
  <si>
    <t>ApP0002035</t>
  </si>
  <si>
    <t>111001092</t>
  </si>
  <si>
    <t>ApP0002040</t>
  </si>
  <si>
    <t>111001110</t>
  </si>
  <si>
    <t>ApP0002042</t>
  </si>
  <si>
    <t>111001112</t>
  </si>
  <si>
    <t>ApP0002120</t>
  </si>
  <si>
    <t>111001192</t>
  </si>
  <si>
    <t>ApP0002108</t>
  </si>
  <si>
    <t>111001190</t>
  </si>
  <si>
    <t>ApP0002118</t>
  </si>
  <si>
    <t>ApP0002048</t>
  </si>
  <si>
    <t>ApP0002172</t>
  </si>
  <si>
    <t>ApP0001716</t>
  </si>
  <si>
    <t>111000822</t>
  </si>
  <si>
    <t>ApP0001726</t>
  </si>
  <si>
    <t>111000829</t>
  </si>
  <si>
    <t>ApP0001656</t>
  </si>
  <si>
    <t>111000783</t>
  </si>
  <si>
    <t>ApP0001809</t>
  </si>
  <si>
    <t>111000898</t>
  </si>
  <si>
    <t>ApP0001805</t>
  </si>
  <si>
    <t>111000968</t>
  </si>
  <si>
    <t>ApP0001886</t>
  </si>
  <si>
    <t>111000970</t>
  </si>
  <si>
    <t>ApP0001641</t>
  </si>
  <si>
    <t>111000778</t>
  </si>
  <si>
    <t>ApP0001664</t>
  </si>
  <si>
    <t>111000788</t>
  </si>
  <si>
    <t>ApP0001714</t>
  </si>
  <si>
    <t>111000816</t>
  </si>
  <si>
    <t>ApP0001736</t>
  </si>
  <si>
    <t>111000837</t>
  </si>
  <si>
    <t>ApP0001781</t>
  </si>
  <si>
    <t>111000877</t>
  </si>
  <si>
    <t>ApP0001913</t>
  </si>
  <si>
    <t>111001012</t>
  </si>
  <si>
    <t>ApP0002038</t>
  </si>
  <si>
    <t>111001095</t>
  </si>
  <si>
    <t>ApP0002039</t>
  </si>
  <si>
    <t>111001133</t>
  </si>
  <si>
    <t>ApP0002086</t>
  </si>
  <si>
    <t>111001189</t>
  </si>
  <si>
    <t>ApP0001653</t>
  </si>
  <si>
    <t>111000780</t>
  </si>
  <si>
    <t>ApP0001968</t>
  </si>
  <si>
    <t>111001108</t>
  </si>
  <si>
    <t>ApP0002080</t>
  </si>
  <si>
    <t>111001174</t>
  </si>
  <si>
    <t>360-200102</t>
  </si>
  <si>
    <t>S&amp;P Clever Reinforcement Ibérica</t>
  </si>
  <si>
    <t>ApP0001965</t>
  </si>
  <si>
    <t>FT 01/00796</t>
  </si>
  <si>
    <t>ApP0001967</t>
  </si>
  <si>
    <t>FT 01/00798</t>
  </si>
  <si>
    <t>ApP0001749</t>
  </si>
  <si>
    <t>FT 01/00688</t>
  </si>
  <si>
    <t>360-000491</t>
  </si>
  <si>
    <t>S&amp;P Clever Reinforcement Ibérica Lda</t>
  </si>
  <si>
    <t>ApP0001803</t>
  </si>
  <si>
    <t>FT 01/00710</t>
  </si>
  <si>
    <t>ApP0001860</t>
  </si>
  <si>
    <t>FT 01/00737</t>
  </si>
  <si>
    <t>ApP0001919</t>
  </si>
  <si>
    <t>FT 01/00768</t>
  </si>
  <si>
    <t>ApP0001972</t>
  </si>
  <si>
    <t>FT 01/00831</t>
  </si>
  <si>
    <t>ApP0001874</t>
  </si>
  <si>
    <t>FT 01/00743</t>
  </si>
  <si>
    <t>360-000508</t>
  </si>
  <si>
    <t>ApP0001633</t>
  </si>
  <si>
    <t>FT 01/00606</t>
  </si>
  <si>
    <t>ApP0001649</t>
  </si>
  <si>
    <t>FT 01/00609</t>
  </si>
  <si>
    <t>ApP0001682</t>
  </si>
  <si>
    <t>FT 01/00643</t>
  </si>
  <si>
    <t>ApP0001795</t>
  </si>
  <si>
    <t>FT 01/00705</t>
  </si>
  <si>
    <t>ApP0001881</t>
  </si>
  <si>
    <t>FT 01/00747</t>
  </si>
  <si>
    <t>ApP0001876</t>
  </si>
  <si>
    <t>FT 01/00755</t>
  </si>
  <si>
    <t>ApP0002084</t>
  </si>
  <si>
    <t>FT 01/00833</t>
  </si>
  <si>
    <t>ApP0002113</t>
  </si>
  <si>
    <t>FT 01/00842</t>
  </si>
  <si>
    <t>ApP0001705</t>
  </si>
  <si>
    <t>FT 01/00640</t>
  </si>
  <si>
    <t>ApP0001712</t>
  </si>
  <si>
    <t>FT 01/00651</t>
  </si>
  <si>
    <t>ApP0001720</t>
  </si>
  <si>
    <t>FT 01/00656</t>
  </si>
  <si>
    <t>LA15006014</t>
  </si>
  <si>
    <t>S&amp;P C-Laminate SM (150/2000) 60/1.4</t>
  </si>
  <si>
    <t>FT 01/00625</t>
  </si>
  <si>
    <t>ApP0002030</t>
  </si>
  <si>
    <t>FT 01/00818</t>
  </si>
  <si>
    <t>ApP0001702</t>
  </si>
  <si>
    <t>FT 01/00638</t>
  </si>
  <si>
    <t>ApP0001778</t>
  </si>
  <si>
    <t>FT 01/00699</t>
  </si>
  <si>
    <t>ApP0001984</t>
  </si>
  <si>
    <t>FT 01/00802</t>
  </si>
  <si>
    <t>ApP0001864</t>
  </si>
  <si>
    <t>FT 01/00745</t>
  </si>
  <si>
    <t>ApP0001718</t>
  </si>
  <si>
    <t>FT 01/00658</t>
  </si>
  <si>
    <t>ApP0001797</t>
  </si>
  <si>
    <t>FT 01/00707</t>
  </si>
  <si>
    <t>ApP0001709</t>
  </si>
  <si>
    <t>FT 01/00641</t>
  </si>
  <si>
    <t>ApP0001827</t>
  </si>
  <si>
    <t>FT 01/00725</t>
  </si>
  <si>
    <t>ApP0002092</t>
  </si>
  <si>
    <t>FT 01/00836</t>
  </si>
  <si>
    <t>ApP0001823</t>
  </si>
  <si>
    <t>FT 01/00719</t>
  </si>
  <si>
    <t>ApP0001644</t>
  </si>
  <si>
    <t>FT 01/00621</t>
  </si>
  <si>
    <t>ApP0001858</t>
  </si>
  <si>
    <t>FT 01/00735</t>
  </si>
  <si>
    <t>ApP0002026</t>
  </si>
  <si>
    <t>FT 01/00816</t>
  </si>
  <si>
    <t>ApP0001878</t>
  </si>
  <si>
    <t>FT 01/00750</t>
  </si>
  <si>
    <t>LA20008014</t>
  </si>
  <si>
    <t>S&amp;P C-Laminate HM (200/2000) 80/1.4</t>
  </si>
  <si>
    <t>ApP0001992</t>
  </si>
  <si>
    <t>FT 01/00812</t>
  </si>
  <si>
    <t>ApP0001979</t>
  </si>
  <si>
    <t>FT 01/00800</t>
  </si>
  <si>
    <t>ApP0001981</t>
  </si>
  <si>
    <t>111001063</t>
  </si>
  <si>
    <t>360-000463</t>
  </si>
  <si>
    <t>ApP0001783</t>
  </si>
  <si>
    <t>111000054</t>
  </si>
  <si>
    <t>ApP0001848</t>
  </si>
  <si>
    <t>111000071</t>
  </si>
  <si>
    <t>ApP0001802</t>
  </si>
  <si>
    <t>111000057</t>
  </si>
  <si>
    <t>ApP0001800</t>
  </si>
  <si>
    <t>2222000007</t>
  </si>
  <si>
    <t>ApP0001830</t>
  </si>
  <si>
    <t>2222000008</t>
  </si>
  <si>
    <t>360-000496</t>
  </si>
  <si>
    <t>ApP0001651</t>
  </si>
  <si>
    <t>111000286</t>
  </si>
  <si>
    <t>ApP0001683</t>
  </si>
  <si>
    <t>111000292</t>
  </si>
  <si>
    <t>360-200006</t>
  </si>
  <si>
    <t>ApP0001689</t>
  </si>
  <si>
    <t>111000296</t>
  </si>
  <si>
    <t>ApP0001697</t>
  </si>
  <si>
    <t>111000298</t>
  </si>
  <si>
    <t>ApP0001732</t>
  </si>
  <si>
    <t>111000316</t>
  </si>
  <si>
    <t>ApP0001768</t>
  </si>
  <si>
    <t>111000334</t>
  </si>
  <si>
    <t>ApP0001793</t>
  </si>
  <si>
    <t>111000347</t>
  </si>
  <si>
    <t>ApP0001807</t>
  </si>
  <si>
    <t>111000349</t>
  </si>
  <si>
    <t>ApP0001831</t>
  </si>
  <si>
    <t>111000366</t>
  </si>
  <si>
    <t>ApP0001862</t>
  </si>
  <si>
    <t>111000368</t>
  </si>
  <si>
    <t>ApP0001949</t>
  </si>
  <si>
    <t>111000401</t>
  </si>
  <si>
    <t>ApP0001977</t>
  </si>
  <si>
    <t>111000419</t>
  </si>
  <si>
    <t>ApP0002029</t>
  </si>
  <si>
    <t>111000423</t>
  </si>
  <si>
    <t>ApP0002104</t>
  </si>
  <si>
    <t>111000444</t>
  </si>
  <si>
    <t>ApP0002096</t>
  </si>
  <si>
    <t>111000450</t>
  </si>
  <si>
    <t>ApP0001642</t>
  </si>
  <si>
    <t>111000283</t>
  </si>
  <si>
    <t>ApP0001854</t>
  </si>
  <si>
    <t>111000364</t>
  </si>
  <si>
    <t>ApP0001889</t>
  </si>
  <si>
    <t>111000384</t>
  </si>
  <si>
    <t>ApP0001927</t>
  </si>
  <si>
    <t>111000389</t>
  </si>
  <si>
    <t>S&amp;P Resin 230 Comp. A + B</t>
  </si>
  <si>
    <t>Purchase Order</t>
  </si>
  <si>
    <t>Sales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</si>
</sst>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_(* #,##0.00_);_(* \(#,##0.00\);_(* &quot;-&quot;??_);_(@_)"/>
  </numFmts>
  <fonts count="5" x14ac:knownFonts="1">
    <font>
      <sz val="11"/>
      <color theme="1"/>
      <name val="宋体"/>
      <family val="2"/>
      <scheme val="minor"/>
    </font>
    <font>
      <b/>
      <sz val="18"/>
      <color theme="3"/>
      <name val="宋体"/>
      <family val="2"/>
      <scheme val="major"/>
    </font>
    <font>
      <sz val="11"/>
      <color rgb="FF000000"/>
      <name val="宋体"/>
      <family val="2"/>
      <scheme val="minor"/>
    </font>
    <font>
      <sz val="11"/>
      <color rgb="FF000000"/>
      <name val="Calibri"/>
      <family val="2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1"/>
    <xf numFmtId="0" fontId="0" fillId="0" borderId="0" xfId="0" applyNumberFormat="1" applyAlignment="1"/>
    <xf numFmtId="0" fontId="0" fillId="0" borderId="0" xfId="0" quotePrefix="1" applyNumberFormat="1" applyAlignment="1"/>
    <xf numFmtId="0" fontId="2" fillId="0" borderId="0" xfId="0" quotePrefix="1" applyNumberFormat="1" applyFont="1" applyAlignment="1"/>
    <xf numFmtId="0" fontId="2" fillId="0" borderId="0" xfId="0" applyNumberFormat="1" applyFont="1" applyAlignment="1"/>
    <xf numFmtId="0" fontId="2" fillId="0" borderId="0" xfId="0" quotePrefix="1" applyNumberFormat="1" applyFont="1" applyAlignment="1">
      <alignment wrapText="1"/>
    </xf>
    <xf numFmtId="14" fontId="0" fillId="0" borderId="0" xfId="0" applyNumberFormat="1"/>
    <xf numFmtId="14" fontId="0" fillId="0" borderId="0" xfId="0" applyNumberFormat="1" applyAlignment="1"/>
    <xf numFmtId="14" fontId="2" fillId="0" borderId="0" xfId="0" applyNumberFormat="1" applyFont="1" applyAlignment="1"/>
    <xf numFmtId="176" fontId="0" fillId="0" borderId="0" xfId="0" applyNumberFormat="1" applyAlignment="1"/>
    <xf numFmtId="176" fontId="2" fillId="0" borderId="0" xfId="0" applyNumberFormat="1" applyFont="1" applyAlignment="1"/>
    <xf numFmtId="49" fontId="0" fillId="0" borderId="0" xfId="0" applyNumberFormat="1"/>
  </cellXfs>
  <cellStyles count="2">
    <cellStyle name="Normal" xfId="0" builtinId="0"/>
    <cellStyle name="Title" xfId="1" builtinId="15"/>
  </cellStyles>
  <dxfs count="67">
    <dxf>
      <numFmt numFmtId="177" formatCode="m/d/yyyy"/>
    </dxf>
    <dxf>
      <numFmt numFmtId="30" formatCode="@"/>
    </dxf>
    <dxf>
      <numFmt numFmtId="30" formatCode="@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_(* #,##0.00_);_(* \(#,##0.00\);_(* &quot;-&quot;??_);_(@_)"/>
      <alignment horizontal="general" vertical="bottom" textRotation="0" wrapText="0" indent="0" justifyLastLine="0" shrinkToFit="0" readingOrder="0"/>
    </dxf>
    <dxf>
      <numFmt numFmtId="177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7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381000</xdr:colOff>
          <xdr:row>5</xdr:row>
          <xdr:rowOff>161925</xdr:rowOff>
        </xdr:from>
        <xdr:to>
          <xdr:col>12</xdr:col>
          <xdr:colOff>57150</xdr:colOff>
          <xdr:row>12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Table6" displayName="Table6" ref="AQ2:AR8" totalsRowShown="0">
  <autoFilter ref="AQ2:AR8"/>
  <tableColumns count="2">
    <tableColumn id="1" name="Region"/>
    <tableColumn id="2" name="Date form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AtlasReport_1_Table_1" displayName="AtlasReport_1_Table_1" ref="A2:P46" totalsRowCount="1">
  <autoFilter ref="A2:P45"/>
  <tableColumns count="16">
    <tableColumn id="1" name="Company accounts" totalsRowLabel="Total" dataDxfId="66" totalsRowDxfId="65"/>
    <tableColumn id="2" name="Customer account" dataDxfId="64" totalsRowDxfId="63"/>
    <tableColumn id="3" name="Name" dataDxfId="62" totalsRowDxfId="61"/>
    <tableColumn id="4" name="Sales order" dataDxfId="60" totalsRowDxfId="59"/>
    <tableColumn id="5" name="Invoice" totalsRowLabel="Total" dataDxfId="58" totalsRowDxfId="57"/>
    <tableColumn id="6" name="Warehouse" dataDxfId="56" totalsRowDxfId="55"/>
    <tableColumn id="7" name="Item" dataDxfId="54" totalsRowDxfId="53"/>
    <tableColumn id="8" name="Item name" dataDxfId="52" totalsRowDxfId="51"/>
    <tableColumn id="9" name="Date" dataDxfId="50" totalsRowDxfId="49"/>
    <tableColumn id="10" name="Quantity" totalsRowFunction="sum" dataDxfId="48" totalsRowDxfId="47"/>
    <tableColumn id="11" name="Unit" dataDxfId="46" totalsRowDxfId="45"/>
    <tableColumn id="12" name="Unit price" totalsRowFunction="sum" dataDxfId="44" totalsRowDxfId="43"/>
    <tableColumn id="13" name="Amount" totalsRowFunction="sum" dataDxfId="42" totalsRowDxfId="41"/>
    <tableColumn id="14" name="Currency" dataDxfId="40" totalsRowDxfId="39"/>
    <tableColumn id="15" name="RecId column" dataDxfId="38" totalsRowDxfId="37"/>
    <tableColumn id="16" name="TPP Amount" totalsRowFunction="sum" dataDxfId="36" totalsRowDxfId="35">
      <calculatedColumnFormula>_xll.AtlasFormulas.AtlasFunctions.AtlasBalance("UAT",DataAreaId,"T.MarkupTrans","Sum|Posted|0","","","","","","","MarkupCode|TransRecId|TransTableId","TPP",$O3,"64")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AtlasReport_2_Table_1" displayName="AtlasReport_2_Table_1" ref="A2:P810" totalsRowCount="1">
  <autoFilter ref="A2:P809"/>
  <tableColumns count="16">
    <tableColumn id="1" name="Company accounts" totalsRowLabel="Total" dataDxfId="34" totalsRowDxfId="33"/>
    <tableColumn id="2" name="Vendor account" dataDxfId="32" totalsRowDxfId="31"/>
    <tableColumn id="3" name="Name" dataDxfId="30" totalsRowDxfId="29"/>
    <tableColumn id="4" name="Purchase order" totalsRowLabel="Total" dataDxfId="28" totalsRowDxfId="27"/>
    <tableColumn id="5" name="Invoice" dataDxfId="26" totalsRowDxfId="25"/>
    <tableColumn id="6" name="Warehouse" dataDxfId="24" totalsRowDxfId="23"/>
    <tableColumn id="7" name="Item" dataDxfId="22" totalsRowDxfId="21"/>
    <tableColumn id="8" name="Item name" dataDxfId="20" totalsRowDxfId="19"/>
    <tableColumn id="9" name="Date" dataDxfId="18" totalsRowDxfId="17"/>
    <tableColumn id="10" name="Quantity" totalsRowFunction="sum" dataDxfId="16" totalsRowDxfId="15"/>
    <tableColumn id="11" name="Unit" dataDxfId="14" totalsRowDxfId="13"/>
    <tableColumn id="12" name="Unit price" totalsRowFunction="sum" dataDxfId="12" totalsRowDxfId="11"/>
    <tableColumn id="13" name="Amount" totalsRowFunction="sum" dataDxfId="10" totalsRowDxfId="9"/>
    <tableColumn id="14" name="Currency" dataDxfId="8" totalsRowDxfId="7"/>
    <tableColumn id="15" name="RecId column" dataDxfId="6" totalsRowDxfId="5"/>
    <tableColumn id="16" name="TPP Amount" totalsRowFunction="sum" dataDxfId="4" totalsRowDxfId="3">
      <calculatedColumnFormula>_xll.AtlasFormulas.AtlasFunctions.AtlasBalance("UAT",DataAreaId,"T.MarkupTrans","Sum|Posted|0","","","","","","","TransRecId|TransTableId|MarkupCode",$O3,"492","TPP")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ReSaleList" displayName="ReSaleList" ref="A1:P135" totalsRowCount="1">
  <autoFilter ref="A1:P134"/>
  <sortState ref="A2:P134">
    <sortCondition ref="A2:A134"/>
    <sortCondition ref="G2:G134"/>
    <sortCondition ref="I2:I134"/>
  </sortState>
  <tableColumns count="16">
    <tableColumn id="1" name="Company" totalsRowLabel="Total"/>
    <tableColumn id="2" name="Cust/Vend" dataDxfId="2"/>
    <tableColumn id="3" name="Cust/Vend Name"/>
    <tableColumn id="4" name="Order Number"/>
    <tableColumn id="5" name="Invoice Id" dataDxfId="1"/>
    <tableColumn id="6" name="Warehouse"/>
    <tableColumn id="7" name="Item Number"/>
    <tableColumn id="8" name="Item Name"/>
    <tableColumn id="9" name="Date" dataDxfId="0"/>
    <tableColumn id="10" name="Quantity" totalsRowFunction="sum"/>
    <tableColumn id="11" name="Unit"/>
    <tableColumn id="12" name="Unit Price"/>
    <tableColumn id="13" name="Amount" totalsRowFunction="sum"/>
    <tableColumn id="14" name="Currency"/>
    <tableColumn id="15" name="Order Type"/>
    <tableColumn id="16" name="TPP Amount" totalsRowFunction="s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AR21"/>
  <sheetViews>
    <sheetView workbookViewId="0">
      <selection activeCell="D7" sqref="D7"/>
    </sheetView>
  </sheetViews>
  <sheetFormatPr defaultRowHeight="13.5" x14ac:dyDescent="0.15"/>
  <cols>
    <col min="2" max="2" width="9.25" customWidth="1"/>
    <col min="3" max="3" width="13.625" bestFit="1" customWidth="1"/>
    <col min="7" max="7" width="9.75" bestFit="1" customWidth="1"/>
    <col min="10" max="10" width="12.125" bestFit="1" customWidth="1"/>
    <col min="12" max="12" width="12" bestFit="1" customWidth="1"/>
    <col min="13" max="13" width="13.25" bestFit="1" customWidth="1"/>
    <col min="43" max="43" width="13.625" customWidth="1"/>
    <col min="44" max="44" width="13.75" customWidth="1"/>
  </cols>
  <sheetData>
    <row r="1" spans="2:44" x14ac:dyDescent="0.15">
      <c r="C1" t="s">
        <v>0</v>
      </c>
      <c r="D1" t="s">
        <v>94</v>
      </c>
      <c r="J1" t="str">
        <f>VLOOKUP(DateRegion,Table6[#All],2,0)</f>
        <v>MM.DD.YYYY</v>
      </c>
      <c r="L1" t="s">
        <v>46</v>
      </c>
      <c r="M1" t="s">
        <v>44</v>
      </c>
    </row>
    <row r="2" spans="2:44" x14ac:dyDescent="0.15">
      <c r="B2" t="s">
        <v>102</v>
      </c>
      <c r="C2" t="s">
        <v>31</v>
      </c>
      <c r="D2" s="7">
        <v>42948</v>
      </c>
      <c r="F2" t="s">
        <v>32</v>
      </c>
      <c r="G2" s="7">
        <v>42978</v>
      </c>
      <c r="AQ2" t="s">
        <v>37</v>
      </c>
      <c r="AR2" t="s">
        <v>38</v>
      </c>
    </row>
    <row r="3" spans="2:44" x14ac:dyDescent="0.15">
      <c r="C3" t="s">
        <v>33</v>
      </c>
      <c r="D3" t="str">
        <f>TEXT(FromDate,DateFormat) &amp; " .. " &amp; TEXT(ToDate,DateFormat)</f>
        <v>08.01.2017 .. 08.31.2017</v>
      </c>
      <c r="AQ3" t="s">
        <v>39</v>
      </c>
      <c r="AR3" t="s">
        <v>36</v>
      </c>
    </row>
    <row r="4" spans="2:44" x14ac:dyDescent="0.15">
      <c r="B4" t="s">
        <v>103</v>
      </c>
      <c r="C4" t="s">
        <v>31</v>
      </c>
      <c r="D4" s="7">
        <v>42736</v>
      </c>
      <c r="F4" t="s">
        <v>32</v>
      </c>
      <c r="G4" s="7">
        <v>42978</v>
      </c>
    </row>
    <row r="5" spans="2:44" x14ac:dyDescent="0.15">
      <c r="C5" t="s">
        <v>33</v>
      </c>
      <c r="D5" t="str">
        <f>TEXT(PurchFromDate,DateFormat) &amp; " .. " &amp; TEXT(PurchToDate,DateFormat)</f>
        <v>01.01.2017 .. 08.31.2017</v>
      </c>
    </row>
    <row r="6" spans="2:44" x14ac:dyDescent="0.15">
      <c r="C6" t="s">
        <v>79</v>
      </c>
      <c r="D6" t="s">
        <v>94</v>
      </c>
      <c r="AQ6" t="s">
        <v>40</v>
      </c>
      <c r="AR6" t="s">
        <v>41</v>
      </c>
    </row>
    <row r="7" spans="2:44" x14ac:dyDescent="0.15">
      <c r="C7" t="s">
        <v>91</v>
      </c>
      <c r="D7" t="s">
        <v>92</v>
      </c>
      <c r="AQ7" t="s">
        <v>42</v>
      </c>
      <c r="AR7" t="s">
        <v>43</v>
      </c>
    </row>
    <row r="8" spans="2:44" x14ac:dyDescent="0.15">
      <c r="C8" t="s">
        <v>93</v>
      </c>
      <c r="D8" t="s">
        <v>94</v>
      </c>
      <c r="AQ8" t="s">
        <v>44</v>
      </c>
      <c r="AR8" t="s">
        <v>45</v>
      </c>
    </row>
    <row r="13" spans="2:44" x14ac:dyDescent="0.15">
      <c r="B13" t="s">
        <v>95</v>
      </c>
    </row>
    <row r="14" spans="2:44" x14ac:dyDescent="0.15">
      <c r="B14">
        <v>1</v>
      </c>
      <c r="C14" t="s">
        <v>96</v>
      </c>
    </row>
    <row r="15" spans="2:44" x14ac:dyDescent="0.15">
      <c r="B15">
        <v>2</v>
      </c>
      <c r="C15" t="s">
        <v>104</v>
      </c>
    </row>
    <row r="16" spans="2:44" x14ac:dyDescent="0.15">
      <c r="B16">
        <v>3</v>
      </c>
      <c r="C16" t="s">
        <v>97</v>
      </c>
    </row>
    <row r="17" spans="2:4" x14ac:dyDescent="0.15">
      <c r="B17">
        <v>4</v>
      </c>
      <c r="C17" t="s">
        <v>101</v>
      </c>
    </row>
    <row r="20" spans="2:4" x14ac:dyDescent="0.15">
      <c r="B20" t="s">
        <v>98</v>
      </c>
    </row>
    <row r="21" spans="2:4" x14ac:dyDescent="0.15">
      <c r="B21" t="s">
        <v>99</v>
      </c>
      <c r="C21" s="7">
        <v>43095</v>
      </c>
      <c r="D21" t="s">
        <v>100</v>
      </c>
    </row>
  </sheetData>
  <phoneticPr fontId="4" type="noConversion"/>
  <dataValidations count="1">
    <dataValidation type="list" allowBlank="1" showInputMessage="1" showErrorMessage="1" sqref="M1">
      <formula1>Region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8</xdr:col>
                    <xdr:colOff>381000</xdr:colOff>
                    <xdr:row>5</xdr:row>
                    <xdr:rowOff>161925</xdr:rowOff>
                  </from>
                  <to>
                    <xdr:col>12</xdr:col>
                    <xdr:colOff>57150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48"/>
  <sheetViews>
    <sheetView workbookViewId="0">
      <selection activeCell="D3" sqref="D3"/>
    </sheetView>
  </sheetViews>
  <sheetFormatPr defaultRowHeight="13.5" x14ac:dyDescent="0.15"/>
  <cols>
    <col min="1" max="1" width="4.625" customWidth="1"/>
    <col min="2" max="2" width="12.125" customWidth="1"/>
    <col min="3" max="3" width="17.625" customWidth="1"/>
    <col min="4" max="4" width="14.75" customWidth="1"/>
    <col min="5" max="6" width="13.625" customWidth="1"/>
    <col min="7" max="7" width="19.125" customWidth="1"/>
    <col min="8" max="8" width="22.125" customWidth="1"/>
    <col min="9" max="9" width="10.75" customWidth="1"/>
    <col min="10" max="10" width="11" customWidth="1"/>
    <col min="11" max="11" width="7.125" customWidth="1"/>
    <col min="12" max="13" width="12" customWidth="1"/>
    <col min="14" max="14" width="11.125" customWidth="1"/>
    <col min="15" max="15" width="15.125" customWidth="1"/>
    <col min="16" max="16" width="14.125" customWidth="1"/>
  </cols>
  <sheetData>
    <row r="1" spans="1:16" ht="22.5" x14ac:dyDescent="0.2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15">
      <c r="A2" s="2" t="s">
        <v>19</v>
      </c>
      <c r="B2" s="2" t="s">
        <v>47</v>
      </c>
      <c r="C2" s="2" t="s">
        <v>48</v>
      </c>
      <c r="D2" s="2" t="s">
        <v>35</v>
      </c>
      <c r="E2" s="2" t="s">
        <v>2</v>
      </c>
      <c r="F2" s="2" t="s">
        <v>51</v>
      </c>
      <c r="G2" s="2" t="s">
        <v>3</v>
      </c>
      <c r="H2" s="2" t="s">
        <v>21</v>
      </c>
      <c r="I2" s="8" t="s">
        <v>30</v>
      </c>
      <c r="J2" s="10" t="s">
        <v>4</v>
      </c>
      <c r="K2" s="2" t="s">
        <v>53</v>
      </c>
      <c r="L2" s="10" t="s">
        <v>5</v>
      </c>
      <c r="M2" s="10" t="s">
        <v>6</v>
      </c>
      <c r="N2" s="2" t="s">
        <v>7</v>
      </c>
      <c r="O2" s="2" t="s">
        <v>56</v>
      </c>
      <c r="P2" s="10" t="s">
        <v>57</v>
      </c>
    </row>
    <row r="3" spans="1:16" x14ac:dyDescent="0.15">
      <c r="A3" s="4" t="s">
        <v>179</v>
      </c>
      <c r="B3" s="4" t="s">
        <v>180</v>
      </c>
      <c r="C3" s="4" t="s">
        <v>82</v>
      </c>
      <c r="D3" s="4" t="s">
        <v>181</v>
      </c>
      <c r="E3" s="4" t="s">
        <v>182</v>
      </c>
      <c r="F3" s="4" t="s">
        <v>183</v>
      </c>
      <c r="G3" s="4" t="s">
        <v>184</v>
      </c>
      <c r="H3" s="4" t="s">
        <v>185</v>
      </c>
      <c r="I3" s="9">
        <v>42949</v>
      </c>
      <c r="J3" s="11">
        <v>5335</v>
      </c>
      <c r="K3" s="4" t="s">
        <v>54</v>
      </c>
      <c r="L3" s="11">
        <v>1.7100000000000002</v>
      </c>
      <c r="M3" s="11">
        <v>9122.85</v>
      </c>
      <c r="N3" s="4" t="s">
        <v>8</v>
      </c>
      <c r="O3" s="5">
        <v>5637370250</v>
      </c>
      <c r="P3" s="11" t="e">
        <f ca="1">_xll.AtlasFormulas.AtlasFunctions.AtlasBalance("UAT",DataAreaId,"T.MarkupTrans","Sum|Posted|0","","","","","","","MarkupCode|TransRecId|TransTableId","TPP",$O3,"64")</f>
        <v>#NAME?</v>
      </c>
    </row>
    <row r="4" spans="1:16" x14ac:dyDescent="0.15">
      <c r="A4" s="4" t="s">
        <v>179</v>
      </c>
      <c r="B4" s="4" t="s">
        <v>186</v>
      </c>
      <c r="C4" s="4" t="s">
        <v>82</v>
      </c>
      <c r="D4" s="4" t="s">
        <v>187</v>
      </c>
      <c r="E4" s="4" t="s">
        <v>188</v>
      </c>
      <c r="F4" s="4" t="s">
        <v>183</v>
      </c>
      <c r="G4" s="4" t="s">
        <v>184</v>
      </c>
      <c r="H4" s="4" t="s">
        <v>185</v>
      </c>
      <c r="I4" s="9">
        <v>42954</v>
      </c>
      <c r="J4" s="11">
        <v>3880</v>
      </c>
      <c r="K4" s="4" t="s">
        <v>54</v>
      </c>
      <c r="L4" s="11">
        <v>1.7100000000000002</v>
      </c>
      <c r="M4" s="11">
        <v>6634.8</v>
      </c>
      <c r="N4" s="4" t="s">
        <v>8</v>
      </c>
      <c r="O4" s="5">
        <v>5637370841</v>
      </c>
      <c r="P4" s="11" t="e">
        <f ca="1">_xll.AtlasFormulas.AtlasFunctions.AtlasBalance("UAT",DataAreaId,"T.MarkupTrans","Sum|Posted|0","","","","","","","MarkupCode|TransRecId|TransTableId","TPP",$O4,"64")</f>
        <v>#NAME?</v>
      </c>
    </row>
    <row r="5" spans="1:16" x14ac:dyDescent="0.15">
      <c r="A5" s="4" t="s">
        <v>20</v>
      </c>
      <c r="B5" s="4" t="s">
        <v>725</v>
      </c>
      <c r="C5" s="4" t="s">
        <v>726</v>
      </c>
      <c r="D5" s="4" t="s">
        <v>727</v>
      </c>
      <c r="E5" s="4" t="s">
        <v>302</v>
      </c>
      <c r="F5" s="4" t="s">
        <v>728</v>
      </c>
      <c r="G5" s="4" t="s">
        <v>184</v>
      </c>
      <c r="H5" s="4" t="s">
        <v>185</v>
      </c>
      <c r="I5" s="9">
        <v>42954</v>
      </c>
      <c r="J5" s="11">
        <v>3880</v>
      </c>
      <c r="K5" s="4" t="s">
        <v>54</v>
      </c>
      <c r="L5" s="11">
        <v>1.7100000000000002</v>
      </c>
      <c r="M5" s="11">
        <v>6634.8</v>
      </c>
      <c r="N5" s="4" t="s">
        <v>8</v>
      </c>
      <c r="O5" s="5">
        <v>5637370862</v>
      </c>
      <c r="P5" s="11" t="e">
        <f ca="1">_xll.AtlasFormulas.AtlasFunctions.AtlasBalance("UAT",DataAreaId,"T.MarkupTrans","Sum|Posted|0","","","","","","","MarkupCode|TransRecId|TransTableId","TPP",$O5,"64")</f>
        <v>#NAME?</v>
      </c>
    </row>
    <row r="6" spans="1:16" x14ac:dyDescent="0.15">
      <c r="A6" s="4" t="s">
        <v>20</v>
      </c>
      <c r="B6" s="4" t="s">
        <v>725</v>
      </c>
      <c r="C6" s="4" t="s">
        <v>726</v>
      </c>
      <c r="D6" s="4" t="s">
        <v>729</v>
      </c>
      <c r="E6" s="4" t="s">
        <v>304</v>
      </c>
      <c r="F6" s="4" t="s">
        <v>728</v>
      </c>
      <c r="G6" s="4" t="s">
        <v>184</v>
      </c>
      <c r="H6" s="4" t="s">
        <v>185</v>
      </c>
      <c r="I6" s="9">
        <v>42956</v>
      </c>
      <c r="J6" s="11">
        <v>-3880</v>
      </c>
      <c r="K6" s="4" t="s">
        <v>54</v>
      </c>
      <c r="L6" s="11">
        <v>1.7100000000000002</v>
      </c>
      <c r="M6" s="11">
        <v>-6634.8</v>
      </c>
      <c r="N6" s="4" t="s">
        <v>8</v>
      </c>
      <c r="O6" s="5">
        <v>5637370924</v>
      </c>
      <c r="P6" s="11" t="e">
        <f ca="1">_xll.AtlasFormulas.AtlasFunctions.AtlasBalance("UAT",DataAreaId,"T.MarkupTrans","Sum|Posted|0","","","","","","","MarkupCode|TransRecId|TransTableId","TPP",$O6,"64")</f>
        <v>#NAME?</v>
      </c>
    </row>
    <row r="7" spans="1:16" x14ac:dyDescent="0.15">
      <c r="A7" s="4" t="s">
        <v>20</v>
      </c>
      <c r="B7" s="4" t="s">
        <v>725</v>
      </c>
      <c r="C7" s="4" t="s">
        <v>726</v>
      </c>
      <c r="D7" s="4" t="s">
        <v>730</v>
      </c>
      <c r="E7" s="4" t="s">
        <v>306</v>
      </c>
      <c r="F7" s="4" t="s">
        <v>728</v>
      </c>
      <c r="G7" s="4" t="s">
        <v>184</v>
      </c>
      <c r="H7" s="4" t="s">
        <v>185</v>
      </c>
      <c r="I7" s="9">
        <v>42956</v>
      </c>
      <c r="J7" s="11">
        <v>3880</v>
      </c>
      <c r="K7" s="4" t="s">
        <v>54</v>
      </c>
      <c r="L7" s="11">
        <v>1.7100000000000002</v>
      </c>
      <c r="M7" s="11">
        <v>6634.8</v>
      </c>
      <c r="N7" s="4" t="s">
        <v>8</v>
      </c>
      <c r="O7" s="5">
        <v>5637370939</v>
      </c>
      <c r="P7" s="11" t="e">
        <f ca="1">_xll.AtlasFormulas.AtlasFunctions.AtlasBalance("UAT",DataAreaId,"T.MarkupTrans","Sum|Posted|0","","","","","","","MarkupCode|TransRecId|TransTableId","TPP",$O7,"64")</f>
        <v>#NAME?</v>
      </c>
    </row>
    <row r="8" spans="1:16" x14ac:dyDescent="0.15">
      <c r="A8" s="4" t="s">
        <v>20</v>
      </c>
      <c r="B8" s="4" t="s">
        <v>725</v>
      </c>
      <c r="C8" s="4" t="s">
        <v>726</v>
      </c>
      <c r="D8" s="4" t="s">
        <v>731</v>
      </c>
      <c r="E8" s="4" t="s">
        <v>307</v>
      </c>
      <c r="F8" s="4" t="s">
        <v>728</v>
      </c>
      <c r="G8" s="4" t="s">
        <v>184</v>
      </c>
      <c r="H8" s="4" t="s">
        <v>185</v>
      </c>
      <c r="I8" s="9">
        <v>42971</v>
      </c>
      <c r="J8" s="11">
        <v>3880</v>
      </c>
      <c r="K8" s="4" t="s">
        <v>54</v>
      </c>
      <c r="L8" s="11">
        <v>1.7100000000000002</v>
      </c>
      <c r="M8" s="11">
        <v>6634.8</v>
      </c>
      <c r="N8" s="4" t="s">
        <v>8</v>
      </c>
      <c r="O8" s="5">
        <v>5637371504</v>
      </c>
      <c r="P8" s="11" t="e">
        <f ca="1">_xll.AtlasFormulas.AtlasFunctions.AtlasBalance("UAT",DataAreaId,"T.MarkupTrans","Sum|Posted|0","","","","","","","MarkupCode|TransRecId|TransTableId","TPP",$O8,"64")</f>
        <v>#NAME?</v>
      </c>
    </row>
    <row r="9" spans="1:16" x14ac:dyDescent="0.15">
      <c r="A9" s="4" t="s">
        <v>179</v>
      </c>
      <c r="B9" s="4" t="s">
        <v>186</v>
      </c>
      <c r="C9" s="4" t="s">
        <v>82</v>
      </c>
      <c r="D9" s="4" t="s">
        <v>189</v>
      </c>
      <c r="E9" s="4" t="s">
        <v>190</v>
      </c>
      <c r="F9" s="4" t="s">
        <v>183</v>
      </c>
      <c r="G9" s="4" t="s">
        <v>184</v>
      </c>
      <c r="H9" s="4" t="s">
        <v>185</v>
      </c>
      <c r="I9" s="9">
        <v>42971</v>
      </c>
      <c r="J9" s="11">
        <v>3880</v>
      </c>
      <c r="K9" s="4" t="s">
        <v>54</v>
      </c>
      <c r="L9" s="11">
        <v>1.7100000000000002</v>
      </c>
      <c r="M9" s="11">
        <v>6634.8</v>
      </c>
      <c r="N9" s="4" t="s">
        <v>8</v>
      </c>
      <c r="O9" s="5">
        <v>5637371501</v>
      </c>
      <c r="P9" s="11" t="e">
        <f ca="1">_xll.AtlasFormulas.AtlasFunctions.AtlasBalance("UAT",DataAreaId,"T.MarkupTrans","Sum|Posted|0","","","","","","","MarkupCode|TransRecId|TransTableId","TPP",$O9,"64")</f>
        <v>#NAME?</v>
      </c>
    </row>
    <row r="10" spans="1:16" x14ac:dyDescent="0.15">
      <c r="A10" s="4" t="s">
        <v>179</v>
      </c>
      <c r="B10" s="4" t="s">
        <v>186</v>
      </c>
      <c r="C10" s="4" t="s">
        <v>82</v>
      </c>
      <c r="D10" s="4" t="s">
        <v>191</v>
      </c>
      <c r="E10" s="4" t="s">
        <v>192</v>
      </c>
      <c r="F10" s="4" t="s">
        <v>183</v>
      </c>
      <c r="G10" s="4" t="s">
        <v>193</v>
      </c>
      <c r="H10" s="4" t="s">
        <v>185</v>
      </c>
      <c r="I10" s="9">
        <v>42948</v>
      </c>
      <c r="J10" s="11">
        <v>9750</v>
      </c>
      <c r="K10" s="4" t="s">
        <v>54</v>
      </c>
      <c r="L10" s="11">
        <v>1.7399999999999998</v>
      </c>
      <c r="M10" s="11">
        <v>16965</v>
      </c>
      <c r="N10" s="4" t="s">
        <v>8</v>
      </c>
      <c r="O10" s="5">
        <v>5637370248</v>
      </c>
      <c r="P10" s="11" t="e">
        <f ca="1">_xll.AtlasFormulas.AtlasFunctions.AtlasBalance("UAT",DataAreaId,"T.MarkupTrans","Sum|Posted|0","","","","","","","MarkupCode|TransRecId|TransTableId","TPP",$O10,"64")</f>
        <v>#NAME?</v>
      </c>
    </row>
    <row r="11" spans="1:16" x14ac:dyDescent="0.15">
      <c r="A11" s="4" t="s">
        <v>179</v>
      </c>
      <c r="B11" s="4" t="s">
        <v>186</v>
      </c>
      <c r="C11" s="4" t="s">
        <v>82</v>
      </c>
      <c r="D11" s="4" t="s">
        <v>194</v>
      </c>
      <c r="E11" s="4" t="s">
        <v>195</v>
      </c>
      <c r="F11" s="4" t="s">
        <v>183</v>
      </c>
      <c r="G11" s="4" t="s">
        <v>193</v>
      </c>
      <c r="H11" s="4" t="s">
        <v>185</v>
      </c>
      <c r="I11" s="9">
        <v>42948</v>
      </c>
      <c r="J11" s="11">
        <v>25350</v>
      </c>
      <c r="K11" s="4" t="s">
        <v>54</v>
      </c>
      <c r="L11" s="11">
        <v>1.7399999999999998</v>
      </c>
      <c r="M11" s="11">
        <v>44109</v>
      </c>
      <c r="N11" s="4" t="s">
        <v>8</v>
      </c>
      <c r="O11" s="5">
        <v>5637370246</v>
      </c>
      <c r="P11" s="11" t="e">
        <f ca="1">_xll.AtlasFormulas.AtlasFunctions.AtlasBalance("UAT",DataAreaId,"T.MarkupTrans","Sum|Posted|0","","","","","","","MarkupCode|TransRecId|TransTableId","TPP",$O11,"64")</f>
        <v>#NAME?</v>
      </c>
    </row>
    <row r="12" spans="1:16" x14ac:dyDescent="0.15">
      <c r="A12" s="4" t="s">
        <v>179</v>
      </c>
      <c r="B12" s="4" t="s">
        <v>180</v>
      </c>
      <c r="C12" s="4" t="s">
        <v>82</v>
      </c>
      <c r="D12" s="4" t="s">
        <v>196</v>
      </c>
      <c r="E12" s="4" t="s">
        <v>197</v>
      </c>
      <c r="F12" s="4" t="s">
        <v>183</v>
      </c>
      <c r="G12" s="4" t="s">
        <v>193</v>
      </c>
      <c r="H12" s="4" t="s">
        <v>185</v>
      </c>
      <c r="I12" s="9">
        <v>42949</v>
      </c>
      <c r="J12" s="11">
        <v>14917.5</v>
      </c>
      <c r="K12" s="4" t="s">
        <v>54</v>
      </c>
      <c r="L12" s="11">
        <v>1.7399999999999998</v>
      </c>
      <c r="M12" s="11">
        <v>25956.45</v>
      </c>
      <c r="N12" s="4" t="s">
        <v>8</v>
      </c>
      <c r="O12" s="5">
        <v>5637370252</v>
      </c>
      <c r="P12" s="11" t="e">
        <f ca="1">_xll.AtlasFormulas.AtlasFunctions.AtlasBalance("UAT",DataAreaId,"T.MarkupTrans","Sum|Posted|0","","","","","","","MarkupCode|TransRecId|TransTableId","TPP",$O12,"64")</f>
        <v>#NAME?</v>
      </c>
    </row>
    <row r="13" spans="1:16" x14ac:dyDescent="0.15">
      <c r="A13" s="4" t="s">
        <v>20</v>
      </c>
      <c r="B13" s="4" t="s">
        <v>732</v>
      </c>
      <c r="C13" s="4" t="s">
        <v>49</v>
      </c>
      <c r="D13" s="4" t="s">
        <v>733</v>
      </c>
      <c r="E13" s="4" t="s">
        <v>734</v>
      </c>
      <c r="F13" s="4" t="s">
        <v>728</v>
      </c>
      <c r="G13" s="4" t="s">
        <v>193</v>
      </c>
      <c r="H13" s="4" t="s">
        <v>185</v>
      </c>
      <c r="I13" s="9">
        <v>42949</v>
      </c>
      <c r="J13" s="11">
        <v>11700</v>
      </c>
      <c r="K13" s="4" t="s">
        <v>54</v>
      </c>
      <c r="L13" s="11">
        <v>1.7399999999999998</v>
      </c>
      <c r="M13" s="11">
        <v>20358</v>
      </c>
      <c r="N13" s="4" t="s">
        <v>8</v>
      </c>
      <c r="O13" s="5">
        <v>5637370255</v>
      </c>
      <c r="P13" s="11" t="e">
        <f ca="1">_xll.AtlasFormulas.AtlasFunctions.AtlasBalance("UAT",DataAreaId,"T.MarkupTrans","Sum|Posted|0","","","","","","","MarkupCode|TransRecId|TransTableId","TPP",$O13,"64")</f>
        <v>#NAME?</v>
      </c>
    </row>
    <row r="14" spans="1:16" x14ac:dyDescent="0.15">
      <c r="A14" s="4" t="s">
        <v>20</v>
      </c>
      <c r="B14" s="4" t="s">
        <v>725</v>
      </c>
      <c r="C14" s="4" t="s">
        <v>726</v>
      </c>
      <c r="D14" s="4" t="s">
        <v>735</v>
      </c>
      <c r="E14" s="4" t="s">
        <v>375</v>
      </c>
      <c r="F14" s="4" t="s">
        <v>728</v>
      </c>
      <c r="G14" s="4" t="s">
        <v>193</v>
      </c>
      <c r="H14" s="4" t="s">
        <v>185</v>
      </c>
      <c r="I14" s="9">
        <v>42949</v>
      </c>
      <c r="J14" s="11">
        <v>9750</v>
      </c>
      <c r="K14" s="4" t="s">
        <v>54</v>
      </c>
      <c r="L14" s="11">
        <v>1.7399999999999998</v>
      </c>
      <c r="M14" s="11">
        <v>16965</v>
      </c>
      <c r="N14" s="4" t="s">
        <v>8</v>
      </c>
      <c r="O14" s="5">
        <v>5637370259</v>
      </c>
      <c r="P14" s="11" t="e">
        <f ca="1">_xll.AtlasFormulas.AtlasFunctions.AtlasBalance("UAT",DataAreaId,"T.MarkupTrans","Sum|Posted|0","","","","","","","MarkupCode|TransRecId|TransTableId","TPP",$O14,"64")</f>
        <v>#NAME?</v>
      </c>
    </row>
    <row r="15" spans="1:16" x14ac:dyDescent="0.15">
      <c r="A15" s="4" t="s">
        <v>20</v>
      </c>
      <c r="B15" s="4" t="s">
        <v>725</v>
      </c>
      <c r="C15" s="4" t="s">
        <v>726</v>
      </c>
      <c r="D15" s="4" t="s">
        <v>736</v>
      </c>
      <c r="E15" s="4" t="s">
        <v>376</v>
      </c>
      <c r="F15" s="4" t="s">
        <v>728</v>
      </c>
      <c r="G15" s="4" t="s">
        <v>193</v>
      </c>
      <c r="H15" s="4" t="s">
        <v>185</v>
      </c>
      <c r="I15" s="9">
        <v>42956</v>
      </c>
      <c r="J15" s="11">
        <v>-9750</v>
      </c>
      <c r="K15" s="4" t="s">
        <v>54</v>
      </c>
      <c r="L15" s="11">
        <v>1.7399999999999998</v>
      </c>
      <c r="M15" s="11">
        <v>-16965</v>
      </c>
      <c r="N15" s="4" t="s">
        <v>8</v>
      </c>
      <c r="O15" s="5">
        <v>5637370927</v>
      </c>
      <c r="P15" s="11" t="e">
        <f ca="1">_xll.AtlasFormulas.AtlasFunctions.AtlasBalance("UAT",DataAreaId,"T.MarkupTrans","Sum|Posted|0","","","","","","","MarkupCode|TransRecId|TransTableId","TPP",$O15,"64")</f>
        <v>#NAME?</v>
      </c>
    </row>
    <row r="16" spans="1:16" x14ac:dyDescent="0.15">
      <c r="A16" s="4" t="s">
        <v>20</v>
      </c>
      <c r="B16" s="4" t="s">
        <v>725</v>
      </c>
      <c r="C16" s="4" t="s">
        <v>726</v>
      </c>
      <c r="D16" s="4" t="s">
        <v>737</v>
      </c>
      <c r="E16" s="4" t="s">
        <v>377</v>
      </c>
      <c r="F16" s="4" t="s">
        <v>728</v>
      </c>
      <c r="G16" s="4" t="s">
        <v>193</v>
      </c>
      <c r="H16" s="4" t="s">
        <v>185</v>
      </c>
      <c r="I16" s="9">
        <v>42956</v>
      </c>
      <c r="J16" s="11">
        <v>9750</v>
      </c>
      <c r="K16" s="4" t="s">
        <v>54</v>
      </c>
      <c r="L16" s="11">
        <v>1.7399999999999998</v>
      </c>
      <c r="M16" s="11">
        <v>16965</v>
      </c>
      <c r="N16" s="4" t="s">
        <v>8</v>
      </c>
      <c r="O16" s="5">
        <v>5637370949</v>
      </c>
      <c r="P16" s="11" t="e">
        <f ca="1">_xll.AtlasFormulas.AtlasFunctions.AtlasBalance("UAT",DataAreaId,"T.MarkupTrans","Sum|Posted|0","","","","","","","MarkupCode|TransRecId|TransTableId","TPP",$O16,"64")</f>
        <v>#NAME?</v>
      </c>
    </row>
    <row r="17" spans="1:16" x14ac:dyDescent="0.15">
      <c r="A17" s="4" t="s">
        <v>179</v>
      </c>
      <c r="B17" s="4" t="s">
        <v>186</v>
      </c>
      <c r="C17" s="4" t="s">
        <v>82</v>
      </c>
      <c r="D17" s="4" t="s">
        <v>198</v>
      </c>
      <c r="E17" s="4" t="s">
        <v>199</v>
      </c>
      <c r="F17" s="4" t="s">
        <v>183</v>
      </c>
      <c r="G17" s="4" t="s">
        <v>193</v>
      </c>
      <c r="H17" s="4" t="s">
        <v>185</v>
      </c>
      <c r="I17" s="9">
        <v>42976</v>
      </c>
      <c r="J17" s="11">
        <v>25350</v>
      </c>
      <c r="K17" s="4" t="s">
        <v>54</v>
      </c>
      <c r="L17" s="11">
        <v>1.7399999999999998</v>
      </c>
      <c r="M17" s="11">
        <v>44109</v>
      </c>
      <c r="N17" s="4" t="s">
        <v>8</v>
      </c>
      <c r="O17" s="5">
        <v>5637371505</v>
      </c>
      <c r="P17" s="11" t="e">
        <f ca="1">_xll.AtlasFormulas.AtlasFunctions.AtlasBalance("UAT",DataAreaId,"T.MarkupTrans","Sum|Posted|0","","","","","","","MarkupCode|TransRecId|TransTableId","TPP",$O17,"64")</f>
        <v>#NAME?</v>
      </c>
    </row>
    <row r="18" spans="1:16" x14ac:dyDescent="0.15">
      <c r="A18" s="4" t="s">
        <v>179</v>
      </c>
      <c r="B18" s="4" t="s">
        <v>186</v>
      </c>
      <c r="C18" s="4" t="s">
        <v>82</v>
      </c>
      <c r="D18" s="4" t="s">
        <v>200</v>
      </c>
      <c r="E18" s="4" t="s">
        <v>201</v>
      </c>
      <c r="F18" s="4" t="s">
        <v>183</v>
      </c>
      <c r="G18" s="4" t="s">
        <v>193</v>
      </c>
      <c r="H18" s="4" t="s">
        <v>185</v>
      </c>
      <c r="I18" s="9">
        <v>42976</v>
      </c>
      <c r="J18" s="11">
        <v>-25350</v>
      </c>
      <c r="K18" s="4" t="s">
        <v>54</v>
      </c>
      <c r="L18" s="11">
        <v>1.7399999999999998</v>
      </c>
      <c r="M18" s="11">
        <v>-44109</v>
      </c>
      <c r="N18" s="4" t="s">
        <v>8</v>
      </c>
      <c r="O18" s="5">
        <v>5637371506</v>
      </c>
      <c r="P18" s="11" t="e">
        <f ca="1">_xll.AtlasFormulas.AtlasFunctions.AtlasBalance("UAT",DataAreaId,"T.MarkupTrans","Sum|Posted|0","","","","","","","MarkupCode|TransRecId|TransTableId","TPP",$O18,"64")</f>
        <v>#NAME?</v>
      </c>
    </row>
    <row r="19" spans="1:16" x14ac:dyDescent="0.15">
      <c r="A19" s="4" t="s">
        <v>179</v>
      </c>
      <c r="B19" s="4" t="s">
        <v>186</v>
      </c>
      <c r="C19" s="4" t="s">
        <v>82</v>
      </c>
      <c r="D19" s="4" t="s">
        <v>202</v>
      </c>
      <c r="E19" s="4" t="s">
        <v>203</v>
      </c>
      <c r="F19" s="4" t="s">
        <v>183</v>
      </c>
      <c r="G19" s="4" t="s">
        <v>117</v>
      </c>
      <c r="H19" s="4" t="s">
        <v>118</v>
      </c>
      <c r="I19" s="9">
        <v>42949</v>
      </c>
      <c r="J19" s="11">
        <v>600</v>
      </c>
      <c r="K19" s="4" t="s">
        <v>54</v>
      </c>
      <c r="L19" s="11">
        <v>8.23</v>
      </c>
      <c r="M19" s="11">
        <v>4938</v>
      </c>
      <c r="N19" s="4" t="s">
        <v>8</v>
      </c>
      <c r="O19" s="5">
        <v>5637370258</v>
      </c>
      <c r="P19" s="11" t="e">
        <f ca="1">_xll.AtlasFormulas.AtlasFunctions.AtlasBalance("UAT",DataAreaId,"T.MarkupTrans","Sum|Posted|0","","","","","","","MarkupCode|TransRecId|TransTableId","TPP",$O19,"64")</f>
        <v>#NAME?</v>
      </c>
    </row>
    <row r="20" spans="1:16" x14ac:dyDescent="0.15">
      <c r="A20" s="4" t="s">
        <v>20</v>
      </c>
      <c r="B20" s="4" t="s">
        <v>738</v>
      </c>
      <c r="C20" s="4" t="s">
        <v>50</v>
      </c>
      <c r="D20" s="4" t="s">
        <v>739</v>
      </c>
      <c r="E20" s="4" t="s">
        <v>740</v>
      </c>
      <c r="F20" s="4" t="s">
        <v>728</v>
      </c>
      <c r="G20" s="4" t="s">
        <v>117</v>
      </c>
      <c r="H20" s="4" t="s">
        <v>118</v>
      </c>
      <c r="I20" s="9">
        <v>42950</v>
      </c>
      <c r="J20" s="11">
        <v>600</v>
      </c>
      <c r="K20" s="4" t="s">
        <v>54</v>
      </c>
      <c r="L20" s="11">
        <v>8.23</v>
      </c>
      <c r="M20" s="11">
        <v>4938</v>
      </c>
      <c r="N20" s="4" t="s">
        <v>8</v>
      </c>
      <c r="O20" s="5">
        <v>5637370762</v>
      </c>
      <c r="P20" s="11" t="e">
        <f ca="1">_xll.AtlasFormulas.AtlasFunctions.AtlasBalance("UAT",DataAreaId,"T.MarkupTrans","Sum|Posted|0","","","","","","","MarkupCode|TransRecId|TransTableId","TPP",$O20,"64")</f>
        <v>#NAME?</v>
      </c>
    </row>
    <row r="21" spans="1:16" x14ac:dyDescent="0.15">
      <c r="A21" s="4" t="s">
        <v>179</v>
      </c>
      <c r="B21" s="4" t="s">
        <v>186</v>
      </c>
      <c r="C21" s="4" t="s">
        <v>82</v>
      </c>
      <c r="D21" s="4" t="s">
        <v>204</v>
      </c>
      <c r="E21" s="4" t="s">
        <v>205</v>
      </c>
      <c r="F21" s="4" t="s">
        <v>183</v>
      </c>
      <c r="G21" s="4" t="s">
        <v>123</v>
      </c>
      <c r="H21" s="4" t="s">
        <v>124</v>
      </c>
      <c r="I21" s="9">
        <v>42948</v>
      </c>
      <c r="J21" s="11">
        <v>5820</v>
      </c>
      <c r="K21" s="4" t="s">
        <v>54</v>
      </c>
      <c r="L21" s="11">
        <v>0.62</v>
      </c>
      <c r="M21" s="11">
        <v>3608.4</v>
      </c>
      <c r="N21" s="4" t="s">
        <v>8</v>
      </c>
      <c r="O21" s="5">
        <v>5637369853</v>
      </c>
      <c r="P21" s="11" t="e">
        <f ca="1">_xll.AtlasFormulas.AtlasFunctions.AtlasBalance("UAT",DataAreaId,"T.MarkupTrans","Sum|Posted|0","","","","","","","MarkupCode|TransRecId|TransTableId","TPP",$O21,"64")</f>
        <v>#NAME?</v>
      </c>
    </row>
    <row r="22" spans="1:16" x14ac:dyDescent="0.15">
      <c r="A22" s="4" t="s">
        <v>20</v>
      </c>
      <c r="B22" s="4" t="s">
        <v>725</v>
      </c>
      <c r="C22" s="4" t="s">
        <v>726</v>
      </c>
      <c r="D22" s="4" t="s">
        <v>741</v>
      </c>
      <c r="E22" s="4" t="s">
        <v>489</v>
      </c>
      <c r="F22" s="4" t="s">
        <v>728</v>
      </c>
      <c r="G22" s="4" t="s">
        <v>123</v>
      </c>
      <c r="H22" s="4" t="s">
        <v>124</v>
      </c>
      <c r="I22" s="9">
        <v>42950</v>
      </c>
      <c r="J22" s="11">
        <v>5820</v>
      </c>
      <c r="K22" s="4" t="s">
        <v>54</v>
      </c>
      <c r="L22" s="11">
        <v>0.62</v>
      </c>
      <c r="M22" s="11">
        <v>3608.4</v>
      </c>
      <c r="N22" s="4" t="s">
        <v>8</v>
      </c>
      <c r="O22" s="5">
        <v>5637370759</v>
      </c>
      <c r="P22" s="11" t="e">
        <f ca="1">_xll.AtlasFormulas.AtlasFunctions.AtlasBalance("UAT",DataAreaId,"T.MarkupTrans","Sum|Posted|0","","","","","","","MarkupCode|TransRecId|TransTableId","TPP",$O22,"64")</f>
        <v>#NAME?</v>
      </c>
    </row>
    <row r="23" spans="1:16" x14ac:dyDescent="0.15">
      <c r="A23" s="4" t="s">
        <v>20</v>
      </c>
      <c r="B23" s="4" t="s">
        <v>725</v>
      </c>
      <c r="C23" s="4" t="s">
        <v>726</v>
      </c>
      <c r="D23" s="4" t="s">
        <v>727</v>
      </c>
      <c r="E23" s="4" t="s">
        <v>302</v>
      </c>
      <c r="F23" s="4" t="s">
        <v>728</v>
      </c>
      <c r="G23" s="4" t="s">
        <v>123</v>
      </c>
      <c r="H23" s="4" t="s">
        <v>124</v>
      </c>
      <c r="I23" s="9">
        <v>42954</v>
      </c>
      <c r="J23" s="11">
        <v>3880</v>
      </c>
      <c r="K23" s="4" t="s">
        <v>54</v>
      </c>
      <c r="L23" s="11">
        <v>0.62</v>
      </c>
      <c r="M23" s="11">
        <v>2405.6</v>
      </c>
      <c r="N23" s="4" t="s">
        <v>8</v>
      </c>
      <c r="O23" s="5">
        <v>5637370861</v>
      </c>
      <c r="P23" s="11" t="e">
        <f ca="1">_xll.AtlasFormulas.AtlasFunctions.AtlasBalance("UAT",DataAreaId,"T.MarkupTrans","Sum|Posted|0","","","","","","","MarkupCode|TransRecId|TransTableId","TPP",$O23,"64")</f>
        <v>#NAME?</v>
      </c>
    </row>
    <row r="24" spans="1:16" x14ac:dyDescent="0.15">
      <c r="A24" s="4" t="s">
        <v>20</v>
      </c>
      <c r="B24" s="4" t="s">
        <v>725</v>
      </c>
      <c r="C24" s="4" t="s">
        <v>726</v>
      </c>
      <c r="D24" s="4" t="s">
        <v>742</v>
      </c>
      <c r="E24" s="4" t="s">
        <v>490</v>
      </c>
      <c r="F24" s="4" t="s">
        <v>728</v>
      </c>
      <c r="G24" s="4" t="s">
        <v>123</v>
      </c>
      <c r="H24" s="4" t="s">
        <v>124</v>
      </c>
      <c r="I24" s="9">
        <v>42954</v>
      </c>
      <c r="J24" s="11">
        <v>3880</v>
      </c>
      <c r="K24" s="4" t="s">
        <v>54</v>
      </c>
      <c r="L24" s="11">
        <v>0.62</v>
      </c>
      <c r="M24" s="11">
        <v>2405.6</v>
      </c>
      <c r="N24" s="4" t="s">
        <v>8</v>
      </c>
      <c r="O24" s="5">
        <v>5637370855</v>
      </c>
      <c r="P24" s="11" t="e">
        <f ca="1">_xll.AtlasFormulas.AtlasFunctions.AtlasBalance("UAT",DataAreaId,"T.MarkupTrans","Sum|Posted|0","","","","","","","MarkupCode|TransRecId|TransTableId","TPP",$O24,"64")</f>
        <v>#NAME?</v>
      </c>
    </row>
    <row r="25" spans="1:16" x14ac:dyDescent="0.15">
      <c r="A25" s="4" t="s">
        <v>179</v>
      </c>
      <c r="B25" s="4" t="s">
        <v>186</v>
      </c>
      <c r="C25" s="4" t="s">
        <v>82</v>
      </c>
      <c r="D25" s="4" t="s">
        <v>187</v>
      </c>
      <c r="E25" s="4" t="s">
        <v>188</v>
      </c>
      <c r="F25" s="4" t="s">
        <v>183</v>
      </c>
      <c r="G25" s="4" t="s">
        <v>123</v>
      </c>
      <c r="H25" s="4" t="s">
        <v>124</v>
      </c>
      <c r="I25" s="9">
        <v>42954</v>
      </c>
      <c r="J25" s="11">
        <v>3880</v>
      </c>
      <c r="K25" s="4" t="s">
        <v>54</v>
      </c>
      <c r="L25" s="11">
        <v>0.62</v>
      </c>
      <c r="M25" s="11">
        <v>2405.6</v>
      </c>
      <c r="N25" s="4" t="s">
        <v>8</v>
      </c>
      <c r="O25" s="5">
        <v>5637370840</v>
      </c>
      <c r="P25" s="11" t="e">
        <f ca="1">_xll.AtlasFormulas.AtlasFunctions.AtlasBalance("UAT",DataAreaId,"T.MarkupTrans","Sum|Posted|0","","","","","","","MarkupCode|TransRecId|TransTableId","TPP",$O25,"64")</f>
        <v>#NAME?</v>
      </c>
    </row>
    <row r="26" spans="1:16" x14ac:dyDescent="0.15">
      <c r="A26" s="4" t="s">
        <v>179</v>
      </c>
      <c r="B26" s="4" t="s">
        <v>186</v>
      </c>
      <c r="C26" s="4" t="s">
        <v>82</v>
      </c>
      <c r="D26" s="4" t="s">
        <v>206</v>
      </c>
      <c r="E26" s="4" t="s">
        <v>207</v>
      </c>
      <c r="F26" s="4" t="s">
        <v>183</v>
      </c>
      <c r="G26" s="4" t="s">
        <v>123</v>
      </c>
      <c r="H26" s="4" t="s">
        <v>124</v>
      </c>
      <c r="I26" s="9">
        <v>42954</v>
      </c>
      <c r="J26" s="11">
        <v>3880</v>
      </c>
      <c r="K26" s="4" t="s">
        <v>54</v>
      </c>
      <c r="L26" s="11">
        <v>0.62</v>
      </c>
      <c r="M26" s="11">
        <v>2405.6</v>
      </c>
      <c r="N26" s="4" t="s">
        <v>8</v>
      </c>
      <c r="O26" s="5">
        <v>5637370831</v>
      </c>
      <c r="P26" s="11" t="e">
        <f ca="1">_xll.AtlasFormulas.AtlasFunctions.AtlasBalance("UAT",DataAreaId,"T.MarkupTrans","Sum|Posted|0","","","","","","","MarkupCode|TransRecId|TransTableId","TPP",$O26,"64")</f>
        <v>#NAME?</v>
      </c>
    </row>
    <row r="27" spans="1:16" x14ac:dyDescent="0.15">
      <c r="A27" s="4" t="s">
        <v>20</v>
      </c>
      <c r="B27" s="4" t="s">
        <v>725</v>
      </c>
      <c r="C27" s="4" t="s">
        <v>726</v>
      </c>
      <c r="D27" s="4" t="s">
        <v>743</v>
      </c>
      <c r="E27" s="4" t="s">
        <v>492</v>
      </c>
      <c r="F27" s="4" t="s">
        <v>728</v>
      </c>
      <c r="G27" s="4" t="s">
        <v>123</v>
      </c>
      <c r="H27" s="4" t="s">
        <v>124</v>
      </c>
      <c r="I27" s="9">
        <v>42956</v>
      </c>
      <c r="J27" s="11">
        <v>-3880</v>
      </c>
      <c r="K27" s="4" t="s">
        <v>54</v>
      </c>
      <c r="L27" s="11">
        <v>0.62</v>
      </c>
      <c r="M27" s="11">
        <v>-2405.6</v>
      </c>
      <c r="N27" s="4" t="s">
        <v>8</v>
      </c>
      <c r="O27" s="5">
        <v>5637370921</v>
      </c>
      <c r="P27" s="11" t="e">
        <f ca="1">_xll.AtlasFormulas.AtlasFunctions.AtlasBalance("UAT",DataAreaId,"T.MarkupTrans","Sum|Posted|0","","","","","","","MarkupCode|TransRecId|TransTableId","TPP",$O27,"64")</f>
        <v>#NAME?</v>
      </c>
    </row>
    <row r="28" spans="1:16" x14ac:dyDescent="0.15">
      <c r="A28" s="4" t="s">
        <v>20</v>
      </c>
      <c r="B28" s="4" t="s">
        <v>725</v>
      </c>
      <c r="C28" s="4" t="s">
        <v>726</v>
      </c>
      <c r="D28" s="4" t="s">
        <v>744</v>
      </c>
      <c r="E28" s="4" t="s">
        <v>497</v>
      </c>
      <c r="F28" s="4" t="s">
        <v>728</v>
      </c>
      <c r="G28" s="4" t="s">
        <v>123</v>
      </c>
      <c r="H28" s="4" t="s">
        <v>124</v>
      </c>
      <c r="I28" s="9">
        <v>42956</v>
      </c>
      <c r="J28" s="11">
        <v>-5820</v>
      </c>
      <c r="K28" s="4" t="s">
        <v>54</v>
      </c>
      <c r="L28" s="11">
        <v>0.62</v>
      </c>
      <c r="M28" s="11">
        <v>-3608.4</v>
      </c>
      <c r="N28" s="4" t="s">
        <v>8</v>
      </c>
      <c r="O28" s="5">
        <v>5637370925</v>
      </c>
      <c r="P28" s="11" t="e">
        <f ca="1">_xll.AtlasFormulas.AtlasFunctions.AtlasBalance("UAT",DataAreaId,"T.MarkupTrans","Sum|Posted|0","","","","","","","MarkupCode|TransRecId|TransTableId","TPP",$O28,"64")</f>
        <v>#NAME?</v>
      </c>
    </row>
    <row r="29" spans="1:16" x14ac:dyDescent="0.15">
      <c r="A29" s="4" t="s">
        <v>20</v>
      </c>
      <c r="B29" s="4" t="s">
        <v>725</v>
      </c>
      <c r="C29" s="4" t="s">
        <v>726</v>
      </c>
      <c r="D29" s="4" t="s">
        <v>745</v>
      </c>
      <c r="E29" s="4" t="s">
        <v>493</v>
      </c>
      <c r="F29" s="4" t="s">
        <v>728</v>
      </c>
      <c r="G29" s="4" t="s">
        <v>123</v>
      </c>
      <c r="H29" s="4" t="s">
        <v>124</v>
      </c>
      <c r="I29" s="9">
        <v>42956</v>
      </c>
      <c r="J29" s="11">
        <v>3880</v>
      </c>
      <c r="K29" s="4" t="s">
        <v>54</v>
      </c>
      <c r="L29" s="11">
        <v>0.62</v>
      </c>
      <c r="M29" s="11">
        <v>2405.6</v>
      </c>
      <c r="N29" s="4" t="s">
        <v>8</v>
      </c>
      <c r="O29" s="5">
        <v>5637370946</v>
      </c>
      <c r="P29" s="11" t="e">
        <f ca="1">_xll.AtlasFormulas.AtlasFunctions.AtlasBalance("UAT",DataAreaId,"T.MarkupTrans","Sum|Posted|0","","","","","","","MarkupCode|TransRecId|TransTableId","TPP",$O29,"64")</f>
        <v>#NAME?</v>
      </c>
    </row>
    <row r="30" spans="1:16" x14ac:dyDescent="0.15">
      <c r="A30" s="4" t="s">
        <v>20</v>
      </c>
      <c r="B30" s="4" t="s">
        <v>725</v>
      </c>
      <c r="C30" s="4" t="s">
        <v>726</v>
      </c>
      <c r="D30" s="4" t="s">
        <v>729</v>
      </c>
      <c r="E30" s="4" t="s">
        <v>304</v>
      </c>
      <c r="F30" s="4" t="s">
        <v>728</v>
      </c>
      <c r="G30" s="4" t="s">
        <v>123</v>
      </c>
      <c r="H30" s="4" t="s">
        <v>124</v>
      </c>
      <c r="I30" s="9">
        <v>42956</v>
      </c>
      <c r="J30" s="11">
        <v>-3880</v>
      </c>
      <c r="K30" s="4" t="s">
        <v>54</v>
      </c>
      <c r="L30" s="11">
        <v>0.62</v>
      </c>
      <c r="M30" s="11">
        <v>-2405.6</v>
      </c>
      <c r="N30" s="4" t="s">
        <v>8</v>
      </c>
      <c r="O30" s="5">
        <v>5637370923</v>
      </c>
      <c r="P30" s="11" t="e">
        <f ca="1">_xll.AtlasFormulas.AtlasFunctions.AtlasBalance("UAT",DataAreaId,"T.MarkupTrans","Sum|Posted|0","","","","","","","MarkupCode|TransRecId|TransTableId","TPP",$O30,"64")</f>
        <v>#NAME?</v>
      </c>
    </row>
    <row r="31" spans="1:16" x14ac:dyDescent="0.15">
      <c r="A31" s="4" t="s">
        <v>20</v>
      </c>
      <c r="B31" s="4" t="s">
        <v>725</v>
      </c>
      <c r="C31" s="4" t="s">
        <v>726</v>
      </c>
      <c r="D31" s="4" t="s">
        <v>746</v>
      </c>
      <c r="E31" s="4" t="s">
        <v>495</v>
      </c>
      <c r="F31" s="4" t="s">
        <v>728</v>
      </c>
      <c r="G31" s="4" t="s">
        <v>123</v>
      </c>
      <c r="H31" s="4" t="s">
        <v>124</v>
      </c>
      <c r="I31" s="9">
        <v>42956</v>
      </c>
      <c r="J31" s="11">
        <v>5820</v>
      </c>
      <c r="K31" s="4" t="s">
        <v>54</v>
      </c>
      <c r="L31" s="11">
        <v>0.62</v>
      </c>
      <c r="M31" s="11">
        <v>3608.4</v>
      </c>
      <c r="N31" s="4" t="s">
        <v>8</v>
      </c>
      <c r="O31" s="5">
        <v>5637370942</v>
      </c>
      <c r="P31" s="11" t="e">
        <f ca="1">_xll.AtlasFormulas.AtlasFunctions.AtlasBalance("UAT",DataAreaId,"T.MarkupTrans","Sum|Posted|0","","","","","","","MarkupCode|TransRecId|TransTableId","TPP",$O31,"64")</f>
        <v>#NAME?</v>
      </c>
    </row>
    <row r="32" spans="1:16" x14ac:dyDescent="0.15">
      <c r="A32" s="4" t="s">
        <v>20</v>
      </c>
      <c r="B32" s="4" t="s">
        <v>725</v>
      </c>
      <c r="C32" s="4" t="s">
        <v>726</v>
      </c>
      <c r="D32" s="4" t="s">
        <v>730</v>
      </c>
      <c r="E32" s="4" t="s">
        <v>306</v>
      </c>
      <c r="F32" s="4" t="s">
        <v>728</v>
      </c>
      <c r="G32" s="4" t="s">
        <v>123</v>
      </c>
      <c r="H32" s="4" t="s">
        <v>124</v>
      </c>
      <c r="I32" s="9">
        <v>42956</v>
      </c>
      <c r="J32" s="11">
        <v>3880</v>
      </c>
      <c r="K32" s="4" t="s">
        <v>54</v>
      </c>
      <c r="L32" s="11">
        <v>0.62</v>
      </c>
      <c r="M32" s="11">
        <v>2405.6</v>
      </c>
      <c r="N32" s="4" t="s">
        <v>8</v>
      </c>
      <c r="O32" s="5">
        <v>5637370938</v>
      </c>
      <c r="P32" s="11" t="e">
        <f ca="1">_xll.AtlasFormulas.AtlasFunctions.AtlasBalance("UAT",DataAreaId,"T.MarkupTrans","Sum|Posted|0","","","","","","","MarkupCode|TransRecId|TransTableId","TPP",$O32,"64")</f>
        <v>#NAME?</v>
      </c>
    </row>
    <row r="33" spans="1:16" x14ac:dyDescent="0.15">
      <c r="A33" s="4" t="s">
        <v>20</v>
      </c>
      <c r="B33" s="4" t="s">
        <v>725</v>
      </c>
      <c r="C33" s="4" t="s">
        <v>726</v>
      </c>
      <c r="D33" s="4" t="s">
        <v>731</v>
      </c>
      <c r="E33" s="4" t="s">
        <v>307</v>
      </c>
      <c r="F33" s="4" t="s">
        <v>728</v>
      </c>
      <c r="G33" s="4" t="s">
        <v>123</v>
      </c>
      <c r="H33" s="4" t="s">
        <v>124</v>
      </c>
      <c r="I33" s="9">
        <v>42971</v>
      </c>
      <c r="J33" s="11">
        <v>7760</v>
      </c>
      <c r="K33" s="4" t="s">
        <v>54</v>
      </c>
      <c r="L33" s="11">
        <v>0.62</v>
      </c>
      <c r="M33" s="11">
        <v>4811.2</v>
      </c>
      <c r="N33" s="4" t="s">
        <v>8</v>
      </c>
      <c r="O33" s="5">
        <v>5637371503</v>
      </c>
      <c r="P33" s="11" t="e">
        <f ca="1">_xll.AtlasFormulas.AtlasFunctions.AtlasBalance("UAT",DataAreaId,"T.MarkupTrans","Sum|Posted|0","","","","","","","MarkupCode|TransRecId|TransTableId","TPP",$O33,"64")</f>
        <v>#NAME?</v>
      </c>
    </row>
    <row r="34" spans="1:16" x14ac:dyDescent="0.15">
      <c r="A34" s="4" t="s">
        <v>179</v>
      </c>
      <c r="B34" s="4" t="s">
        <v>186</v>
      </c>
      <c r="C34" s="4" t="s">
        <v>82</v>
      </c>
      <c r="D34" s="4" t="s">
        <v>189</v>
      </c>
      <c r="E34" s="4" t="s">
        <v>208</v>
      </c>
      <c r="F34" s="4" t="s">
        <v>183</v>
      </c>
      <c r="G34" s="4" t="s">
        <v>123</v>
      </c>
      <c r="H34" s="4" t="s">
        <v>124</v>
      </c>
      <c r="I34" s="9">
        <v>42971</v>
      </c>
      <c r="J34" s="11">
        <v>3880</v>
      </c>
      <c r="K34" s="4" t="s">
        <v>54</v>
      </c>
      <c r="L34" s="11">
        <v>0.62</v>
      </c>
      <c r="M34" s="11">
        <v>2405.6</v>
      </c>
      <c r="N34" s="4" t="s">
        <v>8</v>
      </c>
      <c r="O34" s="5">
        <v>5637371502</v>
      </c>
      <c r="P34" s="11" t="e">
        <f ca="1">_xll.AtlasFormulas.AtlasFunctions.AtlasBalance("UAT",DataAreaId,"T.MarkupTrans","Sum|Posted|0","","","","","","","MarkupCode|TransRecId|TransTableId","TPP",$O34,"64")</f>
        <v>#NAME?</v>
      </c>
    </row>
    <row r="35" spans="1:16" x14ac:dyDescent="0.15">
      <c r="A35" s="4" t="s">
        <v>179</v>
      </c>
      <c r="B35" s="4" t="s">
        <v>186</v>
      </c>
      <c r="C35" s="4" t="s">
        <v>82</v>
      </c>
      <c r="D35" s="4" t="s">
        <v>189</v>
      </c>
      <c r="E35" s="4" t="s">
        <v>190</v>
      </c>
      <c r="F35" s="4" t="s">
        <v>183</v>
      </c>
      <c r="G35" s="4" t="s">
        <v>123</v>
      </c>
      <c r="H35" s="4" t="s">
        <v>124</v>
      </c>
      <c r="I35" s="9">
        <v>42971</v>
      </c>
      <c r="J35" s="11">
        <v>3880</v>
      </c>
      <c r="K35" s="4" t="s">
        <v>54</v>
      </c>
      <c r="L35" s="11">
        <v>0.62</v>
      </c>
      <c r="M35" s="11">
        <v>2405.6</v>
      </c>
      <c r="N35" s="4" t="s">
        <v>8</v>
      </c>
      <c r="O35" s="5">
        <v>5637371500</v>
      </c>
      <c r="P35" s="11" t="e">
        <f ca="1">_xll.AtlasFormulas.AtlasFunctions.AtlasBalance("UAT",DataAreaId,"T.MarkupTrans","Sum|Posted|0","","","","","","","MarkupCode|TransRecId|TransTableId","TPP",$O35,"64")</f>
        <v>#NAME?</v>
      </c>
    </row>
    <row r="36" spans="1:16" x14ac:dyDescent="0.15">
      <c r="A36" s="4" t="s">
        <v>179</v>
      </c>
      <c r="B36" s="4" t="s">
        <v>180</v>
      </c>
      <c r="C36" s="4" t="s">
        <v>82</v>
      </c>
      <c r="D36" s="4" t="s">
        <v>196</v>
      </c>
      <c r="E36" s="4" t="s">
        <v>209</v>
      </c>
      <c r="F36" s="4" t="s">
        <v>183</v>
      </c>
      <c r="G36" s="4" t="s">
        <v>210</v>
      </c>
      <c r="H36" s="4" t="s">
        <v>124</v>
      </c>
      <c r="I36" s="9">
        <v>42958</v>
      </c>
      <c r="J36" s="11">
        <v>4500</v>
      </c>
      <c r="K36" s="4" t="s">
        <v>54</v>
      </c>
      <c r="L36" s="11">
        <v>0.66</v>
      </c>
      <c r="M36" s="11">
        <v>2970</v>
      </c>
      <c r="N36" s="4" t="s">
        <v>8</v>
      </c>
      <c r="O36" s="5">
        <v>5637371079</v>
      </c>
      <c r="P36" s="11" t="e">
        <f ca="1">_xll.AtlasFormulas.AtlasFunctions.AtlasBalance("UAT",DataAreaId,"T.MarkupTrans","Sum|Posted|0","","","","","","","MarkupCode|TransRecId|TransTableId","TPP",$O36,"64")</f>
        <v>#NAME?</v>
      </c>
    </row>
    <row r="37" spans="1:16" x14ac:dyDescent="0.15">
      <c r="A37" s="4" t="s">
        <v>179</v>
      </c>
      <c r="B37" s="4" t="s">
        <v>186</v>
      </c>
      <c r="C37" s="4" t="s">
        <v>82</v>
      </c>
      <c r="D37" s="4" t="s">
        <v>204</v>
      </c>
      <c r="E37" s="4" t="s">
        <v>205</v>
      </c>
      <c r="F37" s="4" t="s">
        <v>183</v>
      </c>
      <c r="G37" s="4" t="s">
        <v>211</v>
      </c>
      <c r="H37" s="4" t="s">
        <v>124</v>
      </c>
      <c r="I37" s="9">
        <v>42948</v>
      </c>
      <c r="J37" s="11">
        <v>3900</v>
      </c>
      <c r="K37" s="4" t="s">
        <v>54</v>
      </c>
      <c r="L37" s="11">
        <v>0.62</v>
      </c>
      <c r="M37" s="11">
        <v>2418</v>
      </c>
      <c r="N37" s="4" t="s">
        <v>8</v>
      </c>
      <c r="O37" s="5">
        <v>5637369854</v>
      </c>
      <c r="P37" s="11" t="e">
        <f ca="1">_xll.AtlasFormulas.AtlasFunctions.AtlasBalance("UAT",DataAreaId,"T.MarkupTrans","Sum|Posted|0","","","","","","","MarkupCode|TransRecId|TransTableId","TPP",$O37,"64")</f>
        <v>#NAME?</v>
      </c>
    </row>
    <row r="38" spans="1:16" x14ac:dyDescent="0.15">
      <c r="A38" s="4" t="s">
        <v>20</v>
      </c>
      <c r="B38" s="4" t="s">
        <v>725</v>
      </c>
      <c r="C38" s="4" t="s">
        <v>726</v>
      </c>
      <c r="D38" s="4" t="s">
        <v>741</v>
      </c>
      <c r="E38" s="4" t="s">
        <v>489</v>
      </c>
      <c r="F38" s="4" t="s">
        <v>728</v>
      </c>
      <c r="G38" s="4" t="s">
        <v>211</v>
      </c>
      <c r="H38" s="4" t="s">
        <v>124</v>
      </c>
      <c r="I38" s="9">
        <v>42950</v>
      </c>
      <c r="J38" s="11">
        <v>3900</v>
      </c>
      <c r="K38" s="4" t="s">
        <v>54</v>
      </c>
      <c r="L38" s="11">
        <v>0.62</v>
      </c>
      <c r="M38" s="11">
        <v>2418</v>
      </c>
      <c r="N38" s="4" t="s">
        <v>8</v>
      </c>
      <c r="O38" s="5">
        <v>5637370760</v>
      </c>
      <c r="P38" s="11" t="e">
        <f ca="1">_xll.AtlasFormulas.AtlasFunctions.AtlasBalance("UAT",DataAreaId,"T.MarkupTrans","Sum|Posted|0","","","","","","","MarkupCode|TransRecId|TransTableId","TPP",$O38,"64")</f>
        <v>#NAME?</v>
      </c>
    </row>
    <row r="39" spans="1:16" x14ac:dyDescent="0.15">
      <c r="A39" s="4" t="s">
        <v>20</v>
      </c>
      <c r="B39" s="4" t="s">
        <v>725</v>
      </c>
      <c r="C39" s="4" t="s">
        <v>726</v>
      </c>
      <c r="D39" s="4" t="s">
        <v>742</v>
      </c>
      <c r="E39" s="4" t="s">
        <v>490</v>
      </c>
      <c r="F39" s="4" t="s">
        <v>728</v>
      </c>
      <c r="G39" s="4" t="s">
        <v>211</v>
      </c>
      <c r="H39" s="4" t="s">
        <v>124</v>
      </c>
      <c r="I39" s="9">
        <v>42954</v>
      </c>
      <c r="J39" s="11">
        <v>13650</v>
      </c>
      <c r="K39" s="4" t="s">
        <v>54</v>
      </c>
      <c r="L39" s="11">
        <v>0.62</v>
      </c>
      <c r="M39" s="11">
        <v>8463</v>
      </c>
      <c r="N39" s="4" t="s">
        <v>8</v>
      </c>
      <c r="O39" s="5">
        <v>5637370856</v>
      </c>
      <c r="P39" s="11" t="e">
        <f ca="1">_xll.AtlasFormulas.AtlasFunctions.AtlasBalance("UAT",DataAreaId,"T.MarkupTrans","Sum|Posted|0","","","","","","","MarkupCode|TransRecId|TransTableId","TPP",$O39,"64")</f>
        <v>#NAME?</v>
      </c>
    </row>
    <row r="40" spans="1:16" x14ac:dyDescent="0.15">
      <c r="A40" s="4" t="s">
        <v>179</v>
      </c>
      <c r="B40" s="4" t="s">
        <v>186</v>
      </c>
      <c r="C40" s="4" t="s">
        <v>82</v>
      </c>
      <c r="D40" s="4" t="s">
        <v>206</v>
      </c>
      <c r="E40" s="4" t="s">
        <v>207</v>
      </c>
      <c r="F40" s="4" t="s">
        <v>183</v>
      </c>
      <c r="G40" s="4" t="s">
        <v>211</v>
      </c>
      <c r="H40" s="4" t="s">
        <v>124</v>
      </c>
      <c r="I40" s="9">
        <v>42954</v>
      </c>
      <c r="J40" s="11">
        <v>13650</v>
      </c>
      <c r="K40" s="4" t="s">
        <v>54</v>
      </c>
      <c r="L40" s="11">
        <v>0.62</v>
      </c>
      <c r="M40" s="11">
        <v>8463</v>
      </c>
      <c r="N40" s="4" t="s">
        <v>8</v>
      </c>
      <c r="O40" s="5">
        <v>5637370832</v>
      </c>
      <c r="P40" s="11" t="e">
        <f ca="1">_xll.AtlasFormulas.AtlasFunctions.AtlasBalance("UAT",DataAreaId,"T.MarkupTrans","Sum|Posted|0","","","","","","","MarkupCode|TransRecId|TransTableId","TPP",$O40,"64")</f>
        <v>#NAME?</v>
      </c>
    </row>
    <row r="41" spans="1:16" x14ac:dyDescent="0.15">
      <c r="A41" s="4" t="s">
        <v>20</v>
      </c>
      <c r="B41" s="4" t="s">
        <v>725</v>
      </c>
      <c r="C41" s="4" t="s">
        <v>726</v>
      </c>
      <c r="D41" s="4" t="s">
        <v>743</v>
      </c>
      <c r="E41" s="4" t="s">
        <v>492</v>
      </c>
      <c r="F41" s="4" t="s">
        <v>728</v>
      </c>
      <c r="G41" s="4" t="s">
        <v>211</v>
      </c>
      <c r="H41" s="4" t="s">
        <v>124</v>
      </c>
      <c r="I41" s="9">
        <v>42956</v>
      </c>
      <c r="J41" s="11">
        <v>-13650</v>
      </c>
      <c r="K41" s="4" t="s">
        <v>54</v>
      </c>
      <c r="L41" s="11">
        <v>0.62</v>
      </c>
      <c r="M41" s="11">
        <v>-8463</v>
      </c>
      <c r="N41" s="4" t="s">
        <v>8</v>
      </c>
      <c r="O41" s="5">
        <v>5637370922</v>
      </c>
      <c r="P41" s="11" t="e">
        <f ca="1">_xll.AtlasFormulas.AtlasFunctions.AtlasBalance("UAT",DataAreaId,"T.MarkupTrans","Sum|Posted|0","","","","","","","MarkupCode|TransRecId|TransTableId","TPP",$O41,"64")</f>
        <v>#NAME?</v>
      </c>
    </row>
    <row r="42" spans="1:16" x14ac:dyDescent="0.15">
      <c r="A42" s="4" t="s">
        <v>20</v>
      </c>
      <c r="B42" s="4" t="s">
        <v>725</v>
      </c>
      <c r="C42" s="4" t="s">
        <v>726</v>
      </c>
      <c r="D42" s="4" t="s">
        <v>744</v>
      </c>
      <c r="E42" s="4" t="s">
        <v>497</v>
      </c>
      <c r="F42" s="4" t="s">
        <v>728</v>
      </c>
      <c r="G42" s="4" t="s">
        <v>211</v>
      </c>
      <c r="H42" s="4" t="s">
        <v>124</v>
      </c>
      <c r="I42" s="9">
        <v>42956</v>
      </c>
      <c r="J42" s="11">
        <v>-3900</v>
      </c>
      <c r="K42" s="4" t="s">
        <v>54</v>
      </c>
      <c r="L42" s="11">
        <v>0.62</v>
      </c>
      <c r="M42" s="11">
        <v>-2418</v>
      </c>
      <c r="N42" s="4" t="s">
        <v>8</v>
      </c>
      <c r="O42" s="5">
        <v>5637370926</v>
      </c>
      <c r="P42" s="11" t="e">
        <f ca="1">_xll.AtlasFormulas.AtlasFunctions.AtlasBalance("UAT",DataAreaId,"T.MarkupTrans","Sum|Posted|0","","","","","","","MarkupCode|TransRecId|TransTableId","TPP",$O42,"64")</f>
        <v>#NAME?</v>
      </c>
    </row>
    <row r="43" spans="1:16" x14ac:dyDescent="0.15">
      <c r="A43" s="4" t="s">
        <v>20</v>
      </c>
      <c r="B43" s="4" t="s">
        <v>725</v>
      </c>
      <c r="C43" s="4" t="s">
        <v>726</v>
      </c>
      <c r="D43" s="4" t="s">
        <v>745</v>
      </c>
      <c r="E43" s="4" t="s">
        <v>493</v>
      </c>
      <c r="F43" s="4" t="s">
        <v>728</v>
      </c>
      <c r="G43" s="4" t="s">
        <v>211</v>
      </c>
      <c r="H43" s="4" t="s">
        <v>124</v>
      </c>
      <c r="I43" s="9">
        <v>42956</v>
      </c>
      <c r="J43" s="11">
        <v>13650</v>
      </c>
      <c r="K43" s="4" t="s">
        <v>54</v>
      </c>
      <c r="L43" s="11">
        <v>0.62</v>
      </c>
      <c r="M43" s="11">
        <v>8463</v>
      </c>
      <c r="N43" s="4" t="s">
        <v>8</v>
      </c>
      <c r="O43" s="5">
        <v>5637370947</v>
      </c>
      <c r="P43" s="11" t="e">
        <f ca="1">_xll.AtlasFormulas.AtlasFunctions.AtlasBalance("UAT",DataAreaId,"T.MarkupTrans","Sum|Posted|0","","","","","","","MarkupCode|TransRecId|TransTableId","TPP",$O43,"64")</f>
        <v>#NAME?</v>
      </c>
    </row>
    <row r="44" spans="1:16" x14ac:dyDescent="0.15">
      <c r="A44" s="4" t="s">
        <v>20</v>
      </c>
      <c r="B44" s="4" t="s">
        <v>725</v>
      </c>
      <c r="C44" s="4" t="s">
        <v>726</v>
      </c>
      <c r="D44" s="4" t="s">
        <v>746</v>
      </c>
      <c r="E44" s="4" t="s">
        <v>495</v>
      </c>
      <c r="F44" s="4" t="s">
        <v>728</v>
      </c>
      <c r="G44" s="4" t="s">
        <v>211</v>
      </c>
      <c r="H44" s="4" t="s">
        <v>124</v>
      </c>
      <c r="I44" s="9">
        <v>42956</v>
      </c>
      <c r="J44" s="11">
        <v>3900</v>
      </c>
      <c r="K44" s="4" t="s">
        <v>54</v>
      </c>
      <c r="L44" s="11">
        <v>0.62</v>
      </c>
      <c r="M44" s="11">
        <v>2418</v>
      </c>
      <c r="N44" s="4" t="s">
        <v>8</v>
      </c>
      <c r="O44" s="5">
        <v>5637370943</v>
      </c>
      <c r="P44" s="11" t="e">
        <f ca="1">_xll.AtlasFormulas.AtlasFunctions.AtlasBalance("UAT",DataAreaId,"T.MarkupTrans","Sum|Posted|0","","","","","","","MarkupCode|TransRecId|TransTableId","TPP",$O44,"64")</f>
        <v>#NAME?</v>
      </c>
    </row>
    <row r="45" spans="1:16" x14ac:dyDescent="0.15">
      <c r="A45" s="4" t="s">
        <v>179</v>
      </c>
      <c r="B45" s="4" t="s">
        <v>180</v>
      </c>
      <c r="C45" s="4" t="s">
        <v>82</v>
      </c>
      <c r="D45" s="4" t="s">
        <v>196</v>
      </c>
      <c r="E45" s="4" t="s">
        <v>209</v>
      </c>
      <c r="F45" s="4" t="s">
        <v>183</v>
      </c>
      <c r="G45" s="4" t="s">
        <v>211</v>
      </c>
      <c r="H45" s="4" t="s">
        <v>124</v>
      </c>
      <c r="I45" s="9">
        <v>42958</v>
      </c>
      <c r="J45" s="11">
        <v>19500</v>
      </c>
      <c r="K45" s="4" t="s">
        <v>54</v>
      </c>
      <c r="L45" s="11">
        <v>0.62</v>
      </c>
      <c r="M45" s="11">
        <v>12090</v>
      </c>
      <c r="N45" s="4" t="s">
        <v>8</v>
      </c>
      <c r="O45" s="5">
        <v>5637371080</v>
      </c>
      <c r="P45" s="11" t="e">
        <f ca="1">_xll.AtlasFormulas.AtlasFunctions.AtlasBalance("UAT",DataAreaId,"T.MarkupTrans","Sum|Posted|0","","","","","","","MarkupCode|TransRecId|TransTableId","TPP",$O45,"64")</f>
        <v>#NAME?</v>
      </c>
    </row>
    <row r="46" spans="1:16" x14ac:dyDescent="0.15">
      <c r="A46" s="2" t="s">
        <v>18</v>
      </c>
      <c r="B46" s="3"/>
      <c r="C46" s="3"/>
      <c r="D46" s="3"/>
      <c r="E46" s="3" t="s">
        <v>18</v>
      </c>
      <c r="F46" s="3"/>
      <c r="G46" s="3"/>
      <c r="H46" s="3"/>
      <c r="I46" s="8"/>
      <c r="J46" s="10">
        <f>SUBTOTAL(109,AtlasReport_1_Table_1[Quantity])</f>
        <v>195302.5</v>
      </c>
      <c r="K46" s="3"/>
      <c r="L46" s="10">
        <f>SUBTOTAL(109,AtlasReport_1_Table_1[Unit price])</f>
        <v>59.629999999999924</v>
      </c>
      <c r="M46" s="10">
        <f>SUBTOTAL(109,AtlasReport_1_Table_1[Amount])</f>
        <v>233175.10000000003</v>
      </c>
      <c r="N46" s="3"/>
      <c r="O46" s="2"/>
      <c r="P46" s="10" t="e">
        <f ca="1">SUBTOTAL(109,AtlasReport_1_Table_1[TPP Amount])</f>
        <v>#NAME?</v>
      </c>
    </row>
    <row r="47" spans="1:16" x14ac:dyDescent="0.15">
      <c r="A47" s="2"/>
      <c r="B47" s="2"/>
      <c r="C47" s="2"/>
      <c r="D47" s="2"/>
      <c r="E47" s="2"/>
      <c r="F47" s="2"/>
      <c r="G47" s="2"/>
      <c r="H47" s="2"/>
      <c r="I47" s="8"/>
      <c r="J47" s="10"/>
      <c r="K47" s="2"/>
      <c r="L47" s="10"/>
      <c r="M47" s="10"/>
      <c r="N47" s="2"/>
      <c r="O47" s="2"/>
      <c r="P47" s="10"/>
    </row>
    <row r="48" spans="1:16" x14ac:dyDescent="0.15">
      <c r="A48" s="2"/>
      <c r="B48" s="2"/>
      <c r="C48" s="2"/>
      <c r="D48" s="2"/>
      <c r="E48" s="2"/>
      <c r="F48" s="2"/>
      <c r="G48" s="2"/>
      <c r="H48" s="2"/>
      <c r="I48" s="8"/>
      <c r="J48" s="10"/>
      <c r="K48" s="2"/>
      <c r="L48" s="10"/>
      <c r="M48" s="10"/>
      <c r="N48" s="2"/>
      <c r="O48" s="2"/>
      <c r="P48" s="10"/>
    </row>
  </sheetData>
  <phoneticPr fontId="4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812"/>
  <sheetViews>
    <sheetView workbookViewId="0">
      <selection activeCell="G3" sqref="G3"/>
    </sheetView>
  </sheetViews>
  <sheetFormatPr defaultRowHeight="13.5" x14ac:dyDescent="0.15"/>
  <cols>
    <col min="1" max="1" width="6.875" customWidth="1"/>
    <col min="2" max="2" width="13.875" customWidth="1"/>
    <col min="3" max="3" width="19.25" customWidth="1"/>
    <col min="4" max="4" width="16.75" customWidth="1"/>
    <col min="5" max="5" width="9.75" customWidth="1"/>
    <col min="6" max="6" width="13.625" customWidth="1"/>
    <col min="7" max="7" width="15.125" customWidth="1"/>
    <col min="8" max="8" width="29.875" customWidth="1"/>
    <col min="9" max="9" width="9.75" customWidth="1"/>
    <col min="10" max="10" width="11" customWidth="1"/>
    <col min="11" max="11" width="7.125" customWidth="1"/>
    <col min="12" max="12" width="12" customWidth="1"/>
    <col min="13" max="13" width="10.375" customWidth="1"/>
    <col min="14" max="14" width="11.125" customWidth="1"/>
    <col min="15" max="15" width="15.125" customWidth="1"/>
    <col min="16" max="16" width="14.125" customWidth="1"/>
  </cols>
  <sheetData>
    <row r="1" spans="1:16" ht="22.5" x14ac:dyDescent="0.25">
      <c r="A1" s="1" t="s">
        <v>58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15">
      <c r="A2" s="2" t="s">
        <v>19</v>
      </c>
      <c r="B2" s="2" t="s">
        <v>59</v>
      </c>
      <c r="C2" s="2" t="s">
        <v>48</v>
      </c>
      <c r="D2" s="2" t="s">
        <v>34</v>
      </c>
      <c r="E2" s="2" t="s">
        <v>2</v>
      </c>
      <c r="F2" s="2" t="s">
        <v>51</v>
      </c>
      <c r="G2" s="2" t="s">
        <v>3</v>
      </c>
      <c r="H2" s="2" t="s">
        <v>21</v>
      </c>
      <c r="I2" s="8" t="s">
        <v>30</v>
      </c>
      <c r="J2" s="10" t="s">
        <v>4</v>
      </c>
      <c r="K2" s="2" t="s">
        <v>53</v>
      </c>
      <c r="L2" s="10" t="s">
        <v>5</v>
      </c>
      <c r="M2" s="10" t="s">
        <v>6</v>
      </c>
      <c r="N2" s="2" t="s">
        <v>7</v>
      </c>
      <c r="O2" s="2" t="s">
        <v>56</v>
      </c>
      <c r="P2" s="10" t="s">
        <v>57</v>
      </c>
    </row>
    <row r="3" spans="1:16" x14ac:dyDescent="0.15">
      <c r="A3" s="4" t="s">
        <v>212</v>
      </c>
      <c r="B3" s="4" t="s">
        <v>213</v>
      </c>
      <c r="C3" s="4" t="s">
        <v>214</v>
      </c>
      <c r="D3" s="4" t="s">
        <v>215</v>
      </c>
      <c r="E3" s="4" t="s">
        <v>216</v>
      </c>
      <c r="F3" s="4" t="s">
        <v>217</v>
      </c>
      <c r="G3" s="4" t="s">
        <v>218</v>
      </c>
      <c r="H3" s="4" t="s">
        <v>219</v>
      </c>
      <c r="I3" s="9">
        <v>42823</v>
      </c>
      <c r="J3" s="11">
        <v>1462.5</v>
      </c>
      <c r="K3" s="4" t="s">
        <v>54</v>
      </c>
      <c r="L3" s="11">
        <v>3.8600000000000003</v>
      </c>
      <c r="M3" s="11">
        <v>5645.25</v>
      </c>
      <c r="N3" s="4" t="s">
        <v>8</v>
      </c>
      <c r="O3" s="5">
        <v>5637291398</v>
      </c>
      <c r="P3" s="11" t="e">
        <f ca="1">_xll.AtlasFormulas.AtlasFunctions.AtlasBalance("UAT",DataAreaId,"T.MarkupTrans","Sum|Posted|0","","","","","","","TransRecId|TransTableId|MarkupCode",$O3,"492","TPP")</f>
        <v>#NAME?</v>
      </c>
    </row>
    <row r="4" spans="1:16" x14ac:dyDescent="0.15">
      <c r="A4" s="4" t="s">
        <v>220</v>
      </c>
      <c r="B4" s="4" t="s">
        <v>221</v>
      </c>
      <c r="C4" s="4" t="s">
        <v>82</v>
      </c>
      <c r="D4" s="4" t="s">
        <v>222</v>
      </c>
      <c r="E4" s="4" t="s">
        <v>223</v>
      </c>
      <c r="F4" s="4" t="s">
        <v>224</v>
      </c>
      <c r="G4" s="4" t="s">
        <v>218</v>
      </c>
      <c r="H4" s="4" t="s">
        <v>219</v>
      </c>
      <c r="I4" s="9">
        <v>42826</v>
      </c>
      <c r="J4" s="11">
        <v>195</v>
      </c>
      <c r="K4" s="4" t="s">
        <v>54</v>
      </c>
      <c r="L4" s="11">
        <v>3.8600000000000003</v>
      </c>
      <c r="M4" s="11">
        <v>752.7</v>
      </c>
      <c r="N4" s="4" t="s">
        <v>8</v>
      </c>
      <c r="O4" s="5">
        <v>5637291342</v>
      </c>
      <c r="P4" s="11" t="e">
        <f ca="1">_xll.AtlasFormulas.AtlasFunctions.AtlasBalance("UAT",DataAreaId,"T.MarkupTrans","Sum|Posted|0","","","","","","","TransRecId|TransTableId|MarkupCode",$O4,"492","TPP")</f>
        <v>#NAME?</v>
      </c>
    </row>
    <row r="5" spans="1:16" x14ac:dyDescent="0.15">
      <c r="A5" s="4" t="s">
        <v>212</v>
      </c>
      <c r="B5" s="4" t="s">
        <v>213</v>
      </c>
      <c r="C5" s="4" t="s">
        <v>214</v>
      </c>
      <c r="D5" s="4" t="s">
        <v>225</v>
      </c>
      <c r="E5" s="4" t="s">
        <v>226</v>
      </c>
      <c r="F5" s="4" t="s">
        <v>217</v>
      </c>
      <c r="G5" s="4" t="s">
        <v>218</v>
      </c>
      <c r="H5" s="4" t="s">
        <v>219</v>
      </c>
      <c r="I5" s="9">
        <v>42837</v>
      </c>
      <c r="J5" s="11">
        <v>2925</v>
      </c>
      <c r="K5" s="4" t="s">
        <v>54</v>
      </c>
      <c r="L5" s="11">
        <v>3.8600000000000003</v>
      </c>
      <c r="M5" s="11">
        <v>11290.5</v>
      </c>
      <c r="N5" s="4" t="s">
        <v>8</v>
      </c>
      <c r="O5" s="5">
        <v>5637291410</v>
      </c>
      <c r="P5" s="11" t="e">
        <f ca="1">_xll.AtlasFormulas.AtlasFunctions.AtlasBalance("UAT",DataAreaId,"T.MarkupTrans","Sum|Posted|0","","","","","","","TransRecId|TransTableId|MarkupCode",$O5,"492","TPP")</f>
        <v>#NAME?</v>
      </c>
    </row>
    <row r="6" spans="1:16" x14ac:dyDescent="0.15">
      <c r="A6" s="4" t="s">
        <v>227</v>
      </c>
      <c r="B6" s="4" t="s">
        <v>228</v>
      </c>
      <c r="C6" s="4" t="s">
        <v>82</v>
      </c>
      <c r="D6" s="4" t="s">
        <v>229</v>
      </c>
      <c r="E6" s="4" t="s">
        <v>230</v>
      </c>
      <c r="F6" s="4" t="s">
        <v>231</v>
      </c>
      <c r="G6" s="4" t="s">
        <v>218</v>
      </c>
      <c r="H6" s="4" t="s">
        <v>219</v>
      </c>
      <c r="I6" s="9">
        <v>42878</v>
      </c>
      <c r="J6" s="11">
        <v>1950</v>
      </c>
      <c r="K6" s="4" t="s">
        <v>54</v>
      </c>
      <c r="L6" s="11">
        <v>3.8600000000000003</v>
      </c>
      <c r="M6" s="11">
        <v>7527</v>
      </c>
      <c r="N6" s="4" t="s">
        <v>8</v>
      </c>
      <c r="O6" s="5">
        <v>5637292207</v>
      </c>
      <c r="P6" s="11" t="e">
        <f ca="1">_xll.AtlasFormulas.AtlasFunctions.AtlasBalance("UAT",DataAreaId,"T.MarkupTrans","Sum|Posted|0","","","","","","","TransRecId|TransTableId|MarkupCode",$O6,"492","TPP")</f>
        <v>#NAME?</v>
      </c>
    </row>
    <row r="7" spans="1:16" x14ac:dyDescent="0.15">
      <c r="A7" s="4" t="s">
        <v>227</v>
      </c>
      <c r="B7" s="4" t="s">
        <v>228</v>
      </c>
      <c r="C7" s="4" t="s">
        <v>82</v>
      </c>
      <c r="D7" s="4" t="s">
        <v>232</v>
      </c>
      <c r="E7" s="4" t="s">
        <v>233</v>
      </c>
      <c r="F7" s="4" t="s">
        <v>231</v>
      </c>
      <c r="G7" s="4" t="s">
        <v>218</v>
      </c>
      <c r="H7" s="4" t="s">
        <v>219</v>
      </c>
      <c r="I7" s="9">
        <v>42893</v>
      </c>
      <c r="J7" s="11">
        <v>1170</v>
      </c>
      <c r="K7" s="4" t="s">
        <v>54</v>
      </c>
      <c r="L7" s="11">
        <v>3.8600000000000003</v>
      </c>
      <c r="M7" s="11">
        <v>4516.2</v>
      </c>
      <c r="N7" s="4" t="s">
        <v>8</v>
      </c>
      <c r="O7" s="5">
        <v>5637292334</v>
      </c>
      <c r="P7" s="11" t="e">
        <f ca="1">_xll.AtlasFormulas.AtlasFunctions.AtlasBalance("UAT",DataAreaId,"T.MarkupTrans","Sum|Posted|0","","","","","","","TransRecId|TransTableId|MarkupCode",$O7,"492","TPP")</f>
        <v>#NAME?</v>
      </c>
    </row>
    <row r="8" spans="1:16" x14ac:dyDescent="0.15">
      <c r="A8" s="4" t="s">
        <v>212</v>
      </c>
      <c r="B8" s="4" t="s">
        <v>213</v>
      </c>
      <c r="C8" s="4" t="s">
        <v>214</v>
      </c>
      <c r="D8" s="4" t="s">
        <v>234</v>
      </c>
      <c r="E8" s="4" t="s">
        <v>235</v>
      </c>
      <c r="F8" s="4" t="s">
        <v>217</v>
      </c>
      <c r="G8" s="4" t="s">
        <v>218</v>
      </c>
      <c r="H8" s="4" t="s">
        <v>219</v>
      </c>
      <c r="I8" s="9">
        <v>42906</v>
      </c>
      <c r="J8" s="11">
        <v>1462.5</v>
      </c>
      <c r="K8" s="4" t="s">
        <v>54</v>
      </c>
      <c r="L8" s="11">
        <v>3.8600000000000003</v>
      </c>
      <c r="M8" s="11">
        <v>5645.25</v>
      </c>
      <c r="N8" s="4" t="s">
        <v>8</v>
      </c>
      <c r="O8" s="5">
        <v>5637292431</v>
      </c>
      <c r="P8" s="11" t="e">
        <f ca="1">_xll.AtlasFormulas.AtlasFunctions.AtlasBalance("UAT",DataAreaId,"T.MarkupTrans","Sum|Posted|0","","","","","","","TransRecId|TransTableId|MarkupCode",$O8,"492","TPP")</f>
        <v>#NAME?</v>
      </c>
    </row>
    <row r="9" spans="1:16" x14ac:dyDescent="0.15">
      <c r="A9" s="4" t="s">
        <v>212</v>
      </c>
      <c r="B9" s="4" t="s">
        <v>213</v>
      </c>
      <c r="C9" s="4" t="s">
        <v>214</v>
      </c>
      <c r="D9" s="4" t="s">
        <v>236</v>
      </c>
      <c r="E9" s="4" t="s">
        <v>237</v>
      </c>
      <c r="F9" s="4" t="s">
        <v>217</v>
      </c>
      <c r="G9" s="4" t="s">
        <v>218</v>
      </c>
      <c r="H9" s="4" t="s">
        <v>219</v>
      </c>
      <c r="I9" s="9">
        <v>42947</v>
      </c>
      <c r="J9" s="11">
        <v>780</v>
      </c>
      <c r="K9" s="4" t="s">
        <v>54</v>
      </c>
      <c r="L9" s="11">
        <v>4.5299999999999994</v>
      </c>
      <c r="M9" s="11">
        <v>3533.4</v>
      </c>
      <c r="N9" s="4" t="s">
        <v>8</v>
      </c>
      <c r="O9" s="5">
        <v>5637293903</v>
      </c>
      <c r="P9" s="11" t="e">
        <f ca="1">_xll.AtlasFormulas.AtlasFunctions.AtlasBalance("UAT",DataAreaId,"T.MarkupTrans","Sum|Posted|0","","","","","","","TransRecId|TransTableId|MarkupCode",$O9,"492","TPP")</f>
        <v>#NAME?</v>
      </c>
    </row>
    <row r="10" spans="1:16" ht="27" x14ac:dyDescent="0.15">
      <c r="A10" s="4" t="s">
        <v>227</v>
      </c>
      <c r="B10" s="4" t="s">
        <v>228</v>
      </c>
      <c r="C10" s="4" t="s">
        <v>82</v>
      </c>
      <c r="D10" s="4" t="s">
        <v>238</v>
      </c>
      <c r="E10" s="4" t="s">
        <v>239</v>
      </c>
      <c r="F10" s="4" t="s">
        <v>231</v>
      </c>
      <c r="G10" s="4" t="s">
        <v>240</v>
      </c>
      <c r="H10" s="6" t="s">
        <v>241</v>
      </c>
      <c r="I10" s="9">
        <v>42809</v>
      </c>
      <c r="J10" s="11">
        <v>975</v>
      </c>
      <c r="K10" s="4" t="s">
        <v>54</v>
      </c>
      <c r="L10" s="11">
        <v>7.01</v>
      </c>
      <c r="M10" s="11">
        <v>6834.75</v>
      </c>
      <c r="N10" s="4" t="s">
        <v>8</v>
      </c>
      <c r="O10" s="5">
        <v>5637291280</v>
      </c>
      <c r="P10" s="11" t="e">
        <f ca="1">_xll.AtlasFormulas.AtlasFunctions.AtlasBalance("UAT",DataAreaId,"T.MarkupTrans","Sum|Posted|0","","","","","","","TransRecId|TransTableId|MarkupCode",$O10,"492","TPP")</f>
        <v>#NAME?</v>
      </c>
    </row>
    <row r="11" spans="1:16" ht="27" x14ac:dyDescent="0.15">
      <c r="A11" s="4" t="s">
        <v>220</v>
      </c>
      <c r="B11" s="4" t="s">
        <v>221</v>
      </c>
      <c r="C11" s="4" t="s">
        <v>82</v>
      </c>
      <c r="D11" s="4" t="s">
        <v>242</v>
      </c>
      <c r="E11" s="4" t="s">
        <v>243</v>
      </c>
      <c r="F11" s="4" t="s">
        <v>224</v>
      </c>
      <c r="G11" s="4" t="s">
        <v>240</v>
      </c>
      <c r="H11" s="6" t="s">
        <v>241</v>
      </c>
      <c r="I11" s="9">
        <v>42846</v>
      </c>
      <c r="J11" s="11">
        <v>97.5</v>
      </c>
      <c r="K11" s="4" t="s">
        <v>54</v>
      </c>
      <c r="L11" s="11">
        <v>7.01</v>
      </c>
      <c r="M11" s="11">
        <v>683.48</v>
      </c>
      <c r="N11" s="4" t="s">
        <v>8</v>
      </c>
      <c r="O11" s="5">
        <v>5637291795</v>
      </c>
      <c r="P11" s="11" t="e">
        <f ca="1">_xll.AtlasFormulas.AtlasFunctions.AtlasBalance("UAT",DataAreaId,"T.MarkupTrans","Sum|Posted|0","","","","","","","TransRecId|TransTableId|MarkupCode",$O11,"492","TPP")</f>
        <v>#NAME?</v>
      </c>
    </row>
    <row r="12" spans="1:16" ht="27" x14ac:dyDescent="0.15">
      <c r="A12" s="4" t="s">
        <v>227</v>
      </c>
      <c r="B12" s="4" t="s">
        <v>228</v>
      </c>
      <c r="C12" s="4" t="s">
        <v>82</v>
      </c>
      <c r="D12" s="4" t="s">
        <v>229</v>
      </c>
      <c r="E12" s="4" t="s">
        <v>230</v>
      </c>
      <c r="F12" s="4" t="s">
        <v>231</v>
      </c>
      <c r="G12" s="4" t="s">
        <v>240</v>
      </c>
      <c r="H12" s="6" t="s">
        <v>241</v>
      </c>
      <c r="I12" s="9">
        <v>42878</v>
      </c>
      <c r="J12" s="11">
        <v>1950</v>
      </c>
      <c r="K12" s="4" t="s">
        <v>54</v>
      </c>
      <c r="L12" s="11">
        <v>7.01</v>
      </c>
      <c r="M12" s="11">
        <v>13669.5</v>
      </c>
      <c r="N12" s="4" t="s">
        <v>8</v>
      </c>
      <c r="O12" s="5">
        <v>5637292206</v>
      </c>
      <c r="P12" s="11" t="e">
        <f ca="1">_xll.AtlasFormulas.AtlasFunctions.AtlasBalance("UAT",DataAreaId,"T.MarkupTrans","Sum|Posted|0","","","","","","","TransRecId|TransTableId|MarkupCode",$O12,"492","TPP")</f>
        <v>#NAME?</v>
      </c>
    </row>
    <row r="13" spans="1:16" ht="27" x14ac:dyDescent="0.15">
      <c r="A13" s="4" t="s">
        <v>212</v>
      </c>
      <c r="B13" s="4" t="s">
        <v>213</v>
      </c>
      <c r="C13" s="4" t="s">
        <v>214</v>
      </c>
      <c r="D13" s="4" t="s">
        <v>236</v>
      </c>
      <c r="E13" s="4" t="s">
        <v>237</v>
      </c>
      <c r="F13" s="4" t="s">
        <v>217</v>
      </c>
      <c r="G13" s="4" t="s">
        <v>240</v>
      </c>
      <c r="H13" s="6" t="s">
        <v>241</v>
      </c>
      <c r="I13" s="9">
        <v>42947</v>
      </c>
      <c r="J13" s="11">
        <v>682.5</v>
      </c>
      <c r="K13" s="4" t="s">
        <v>54</v>
      </c>
      <c r="L13" s="11">
        <v>7.5200000000000005</v>
      </c>
      <c r="M13" s="11">
        <v>5132.3999999999996</v>
      </c>
      <c r="N13" s="4" t="s">
        <v>8</v>
      </c>
      <c r="O13" s="5">
        <v>5637293904</v>
      </c>
      <c r="P13" s="11" t="e">
        <f ca="1">_xll.AtlasFormulas.AtlasFunctions.AtlasBalance("UAT",DataAreaId,"T.MarkupTrans","Sum|Posted|0","","","","","","","TransRecId|TransTableId|MarkupCode",$O13,"492","TPP")</f>
        <v>#NAME?</v>
      </c>
    </row>
    <row r="14" spans="1:16" x14ac:dyDescent="0.15">
      <c r="A14" s="4" t="s">
        <v>179</v>
      </c>
      <c r="B14" s="4" t="s">
        <v>244</v>
      </c>
      <c r="C14" s="4" t="s">
        <v>82</v>
      </c>
      <c r="D14" s="4" t="s">
        <v>245</v>
      </c>
      <c r="E14" s="4" t="s">
        <v>246</v>
      </c>
      <c r="F14" s="4" t="s">
        <v>183</v>
      </c>
      <c r="G14" s="4" t="s">
        <v>247</v>
      </c>
      <c r="H14" s="4" t="s">
        <v>248</v>
      </c>
      <c r="I14" s="9">
        <v>42767</v>
      </c>
      <c r="J14" s="11">
        <v>485</v>
      </c>
      <c r="K14" s="4" t="s">
        <v>54</v>
      </c>
      <c r="L14" s="11">
        <v>2.37</v>
      </c>
      <c r="M14" s="11">
        <v>1149.45</v>
      </c>
      <c r="N14" s="4" t="s">
        <v>8</v>
      </c>
      <c r="O14" s="5">
        <v>5637289779</v>
      </c>
      <c r="P14" s="11" t="e">
        <f ca="1">_xll.AtlasFormulas.AtlasFunctions.AtlasBalance("UAT",DataAreaId,"T.MarkupTrans","Sum|Posted|0","","","","","","","TransRecId|TransTableId|MarkupCode",$O14,"492","TPP")</f>
        <v>#NAME?</v>
      </c>
    </row>
    <row r="15" spans="1:16" x14ac:dyDescent="0.15">
      <c r="A15" s="4" t="s">
        <v>249</v>
      </c>
      <c r="B15" s="4" t="s">
        <v>250</v>
      </c>
      <c r="C15" s="4" t="s">
        <v>82</v>
      </c>
      <c r="D15" s="4" t="s">
        <v>251</v>
      </c>
      <c r="E15" s="4" t="s">
        <v>252</v>
      </c>
      <c r="F15" s="4" t="s">
        <v>80</v>
      </c>
      <c r="G15" s="4" t="s">
        <v>253</v>
      </c>
      <c r="H15" s="4" t="s">
        <v>254</v>
      </c>
      <c r="I15" s="9">
        <v>42849</v>
      </c>
      <c r="J15" s="11">
        <v>292.5</v>
      </c>
      <c r="K15" s="4" t="s">
        <v>54</v>
      </c>
      <c r="L15" s="11">
        <v>2.63</v>
      </c>
      <c r="M15" s="11">
        <v>769.28</v>
      </c>
      <c r="N15" s="4" t="s">
        <v>8</v>
      </c>
      <c r="O15" s="5">
        <v>5637291693</v>
      </c>
      <c r="P15" s="11" t="e">
        <f ca="1">_xll.AtlasFormulas.AtlasFunctions.AtlasBalance("UAT",DataAreaId,"T.MarkupTrans","Sum|Posted|0","","","","","","","TransRecId|TransTableId|MarkupCode",$O15,"492","TPP")</f>
        <v>#NAME?</v>
      </c>
    </row>
    <row r="16" spans="1:16" x14ac:dyDescent="0.15">
      <c r="A16" s="4" t="s">
        <v>227</v>
      </c>
      <c r="B16" s="4" t="s">
        <v>228</v>
      </c>
      <c r="C16" s="4" t="s">
        <v>82</v>
      </c>
      <c r="D16" s="4" t="s">
        <v>238</v>
      </c>
      <c r="E16" s="4" t="s">
        <v>239</v>
      </c>
      <c r="F16" s="4" t="s">
        <v>231</v>
      </c>
      <c r="G16" s="4" t="s">
        <v>255</v>
      </c>
      <c r="H16" s="4" t="s">
        <v>256</v>
      </c>
      <c r="I16" s="9">
        <v>42809</v>
      </c>
      <c r="J16" s="11">
        <v>780</v>
      </c>
      <c r="K16" s="4" t="s">
        <v>54</v>
      </c>
      <c r="L16" s="11">
        <v>5.07</v>
      </c>
      <c r="M16" s="11">
        <v>3954.6</v>
      </c>
      <c r="N16" s="4" t="s">
        <v>8</v>
      </c>
      <c r="O16" s="5">
        <v>5637291281</v>
      </c>
      <c r="P16" s="11" t="e">
        <f ca="1">_xll.AtlasFormulas.AtlasFunctions.AtlasBalance("UAT",DataAreaId,"T.MarkupTrans","Sum|Posted|0","","","","","","","TransRecId|TransTableId|MarkupCode",$O16,"492","TPP")</f>
        <v>#NAME?</v>
      </c>
    </row>
    <row r="17" spans="1:16" x14ac:dyDescent="0.15">
      <c r="A17" s="4" t="s">
        <v>227</v>
      </c>
      <c r="B17" s="4" t="s">
        <v>228</v>
      </c>
      <c r="C17" s="4" t="s">
        <v>82</v>
      </c>
      <c r="D17" s="4" t="s">
        <v>257</v>
      </c>
      <c r="E17" s="4" t="s">
        <v>258</v>
      </c>
      <c r="F17" s="4" t="s">
        <v>231</v>
      </c>
      <c r="G17" s="4" t="s">
        <v>255</v>
      </c>
      <c r="H17" s="4" t="s">
        <v>256</v>
      </c>
      <c r="I17" s="9">
        <v>42873</v>
      </c>
      <c r="J17" s="11">
        <v>1950</v>
      </c>
      <c r="K17" s="4" t="s">
        <v>54</v>
      </c>
      <c r="L17" s="11">
        <v>5.07</v>
      </c>
      <c r="M17" s="11">
        <v>9886.5</v>
      </c>
      <c r="N17" s="4" t="s">
        <v>8</v>
      </c>
      <c r="O17" s="5">
        <v>5637292209</v>
      </c>
      <c r="P17" s="11" t="e">
        <f ca="1">_xll.AtlasFormulas.AtlasFunctions.AtlasBalance("UAT",DataAreaId,"T.MarkupTrans","Sum|Posted|0","","","","","","","TransRecId|TransTableId|MarkupCode",$O17,"492","TPP")</f>
        <v>#NAME?</v>
      </c>
    </row>
    <row r="18" spans="1:16" x14ac:dyDescent="0.15">
      <c r="A18" s="4" t="s">
        <v>227</v>
      </c>
      <c r="B18" s="4" t="s">
        <v>228</v>
      </c>
      <c r="C18" s="4" t="s">
        <v>82</v>
      </c>
      <c r="D18" s="4" t="s">
        <v>229</v>
      </c>
      <c r="E18" s="4" t="s">
        <v>230</v>
      </c>
      <c r="F18" s="4" t="s">
        <v>231</v>
      </c>
      <c r="G18" s="4" t="s">
        <v>255</v>
      </c>
      <c r="H18" s="4" t="s">
        <v>256</v>
      </c>
      <c r="I18" s="9">
        <v>42878</v>
      </c>
      <c r="J18" s="11">
        <v>1950</v>
      </c>
      <c r="K18" s="4" t="s">
        <v>54</v>
      </c>
      <c r="L18" s="11">
        <v>5.07</v>
      </c>
      <c r="M18" s="11">
        <v>9886.5</v>
      </c>
      <c r="N18" s="4" t="s">
        <v>8</v>
      </c>
      <c r="O18" s="5">
        <v>5637292204</v>
      </c>
      <c r="P18" s="11" t="e">
        <f ca="1">_xll.AtlasFormulas.AtlasFunctions.AtlasBalance("UAT",DataAreaId,"T.MarkupTrans","Sum|Posted|0","","","","","","","TransRecId|TransTableId|MarkupCode",$O18,"492","TPP")</f>
        <v>#NAME?</v>
      </c>
    </row>
    <row r="19" spans="1:16" x14ac:dyDescent="0.15">
      <c r="A19" s="4" t="s">
        <v>227</v>
      </c>
      <c r="B19" s="4" t="s">
        <v>228</v>
      </c>
      <c r="C19" s="4" t="s">
        <v>82</v>
      </c>
      <c r="D19" s="4" t="s">
        <v>238</v>
      </c>
      <c r="E19" s="4" t="s">
        <v>239</v>
      </c>
      <c r="F19" s="4" t="s">
        <v>231</v>
      </c>
      <c r="G19" s="4" t="s">
        <v>259</v>
      </c>
      <c r="H19" s="4" t="s">
        <v>260</v>
      </c>
      <c r="I19" s="9">
        <v>42809</v>
      </c>
      <c r="J19" s="11">
        <v>195</v>
      </c>
      <c r="K19" s="4" t="s">
        <v>54</v>
      </c>
      <c r="L19" s="11">
        <v>6.11</v>
      </c>
      <c r="M19" s="11">
        <v>1191.45</v>
      </c>
      <c r="N19" s="4" t="s">
        <v>8</v>
      </c>
      <c r="O19" s="5">
        <v>5637291282</v>
      </c>
      <c r="P19" s="11" t="e">
        <f ca="1">_xll.AtlasFormulas.AtlasFunctions.AtlasBalance("UAT",DataAreaId,"T.MarkupTrans","Sum|Posted|0","","","","","","","TransRecId|TransTableId|MarkupCode",$O19,"492","TPP")</f>
        <v>#NAME?</v>
      </c>
    </row>
    <row r="20" spans="1:16" x14ac:dyDescent="0.15">
      <c r="A20" s="4" t="s">
        <v>227</v>
      </c>
      <c r="B20" s="4" t="s">
        <v>228</v>
      </c>
      <c r="C20" s="4" t="s">
        <v>82</v>
      </c>
      <c r="D20" s="4" t="s">
        <v>229</v>
      </c>
      <c r="E20" s="4" t="s">
        <v>230</v>
      </c>
      <c r="F20" s="4" t="s">
        <v>231</v>
      </c>
      <c r="G20" s="4" t="s">
        <v>259</v>
      </c>
      <c r="H20" s="4" t="s">
        <v>260</v>
      </c>
      <c r="I20" s="9">
        <v>42878</v>
      </c>
      <c r="J20" s="11">
        <v>1950</v>
      </c>
      <c r="K20" s="4" t="s">
        <v>54</v>
      </c>
      <c r="L20" s="11">
        <v>6.11</v>
      </c>
      <c r="M20" s="11">
        <v>11914.5</v>
      </c>
      <c r="N20" s="4" t="s">
        <v>8</v>
      </c>
      <c r="O20" s="5">
        <v>5637292205</v>
      </c>
      <c r="P20" s="11" t="e">
        <f ca="1">_xll.AtlasFormulas.AtlasFunctions.AtlasBalance("UAT",DataAreaId,"T.MarkupTrans","Sum|Posted|0","","","","","","","TransRecId|TransTableId|MarkupCode",$O20,"492","TPP")</f>
        <v>#NAME?</v>
      </c>
    </row>
    <row r="21" spans="1:16" x14ac:dyDescent="0.15">
      <c r="A21" s="4" t="s">
        <v>227</v>
      </c>
      <c r="B21" s="4" t="s">
        <v>228</v>
      </c>
      <c r="C21" s="4" t="s">
        <v>82</v>
      </c>
      <c r="D21" s="4" t="s">
        <v>232</v>
      </c>
      <c r="E21" s="4" t="s">
        <v>233</v>
      </c>
      <c r="F21" s="4" t="s">
        <v>231</v>
      </c>
      <c r="G21" s="4" t="s">
        <v>261</v>
      </c>
      <c r="H21" s="4" t="s">
        <v>262</v>
      </c>
      <c r="I21" s="9">
        <v>42893</v>
      </c>
      <c r="J21" s="11">
        <v>2420</v>
      </c>
      <c r="K21" s="4" t="s">
        <v>54</v>
      </c>
      <c r="L21" s="11">
        <v>1.05</v>
      </c>
      <c r="M21" s="11">
        <v>2541</v>
      </c>
      <c r="N21" s="4" t="s">
        <v>8</v>
      </c>
      <c r="O21" s="5">
        <v>5637292333</v>
      </c>
      <c r="P21" s="11" t="e">
        <f ca="1">_xll.AtlasFormulas.AtlasFunctions.AtlasBalance("UAT",DataAreaId,"T.MarkupTrans","Sum|Posted|0","","","","","","","TransRecId|TransTableId|MarkupCode",$O21,"492","TPP")</f>
        <v>#NAME?</v>
      </c>
    </row>
    <row r="22" spans="1:16" x14ac:dyDescent="0.15">
      <c r="A22" s="4" t="s">
        <v>249</v>
      </c>
      <c r="B22" s="4" t="s">
        <v>263</v>
      </c>
      <c r="C22" s="4" t="s">
        <v>264</v>
      </c>
      <c r="D22" s="4" t="s">
        <v>265</v>
      </c>
      <c r="E22" s="4" t="s">
        <v>266</v>
      </c>
      <c r="F22" s="4" t="s">
        <v>80</v>
      </c>
      <c r="G22" s="4" t="s">
        <v>267</v>
      </c>
      <c r="H22" s="4" t="s">
        <v>268</v>
      </c>
      <c r="I22" s="9">
        <v>42760</v>
      </c>
      <c r="J22" s="11">
        <v>1</v>
      </c>
      <c r="K22" s="4" t="s">
        <v>55</v>
      </c>
      <c r="L22" s="11">
        <v>1340</v>
      </c>
      <c r="M22" s="11">
        <v>1340</v>
      </c>
      <c r="N22" s="4" t="s">
        <v>8</v>
      </c>
      <c r="O22" s="5">
        <v>5637289665</v>
      </c>
      <c r="P22" s="11" t="e">
        <f ca="1">_xll.AtlasFormulas.AtlasFunctions.AtlasBalance("UAT",DataAreaId,"T.MarkupTrans","Sum|Posted|0","","","","","","","TransRecId|TransTableId|MarkupCode",$O22,"492","TPP")</f>
        <v>#NAME?</v>
      </c>
    </row>
    <row r="23" spans="1:16" x14ac:dyDescent="0.15">
      <c r="A23" s="4" t="s">
        <v>249</v>
      </c>
      <c r="B23" s="4" t="s">
        <v>263</v>
      </c>
      <c r="C23" s="4" t="s">
        <v>264</v>
      </c>
      <c r="D23" s="4" t="s">
        <v>269</v>
      </c>
      <c r="E23" s="4" t="s">
        <v>270</v>
      </c>
      <c r="F23" s="4" t="s">
        <v>80</v>
      </c>
      <c r="G23" s="4" t="s">
        <v>267</v>
      </c>
      <c r="H23" s="4" t="s">
        <v>268</v>
      </c>
      <c r="I23" s="9">
        <v>42947</v>
      </c>
      <c r="J23" s="11">
        <v>1</v>
      </c>
      <c r="K23" s="4" t="s">
        <v>55</v>
      </c>
      <c r="L23" s="11">
        <v>500</v>
      </c>
      <c r="M23" s="11">
        <v>500</v>
      </c>
      <c r="N23" s="4" t="s">
        <v>8</v>
      </c>
      <c r="O23" s="5">
        <v>5637294172</v>
      </c>
      <c r="P23" s="11" t="e">
        <f ca="1">_xll.AtlasFormulas.AtlasFunctions.AtlasBalance("UAT",DataAreaId,"T.MarkupTrans","Sum|Posted|0","","","","","","","TransRecId|TransTableId|MarkupCode",$O23,"492","TPP")</f>
        <v>#NAME?</v>
      </c>
    </row>
    <row r="24" spans="1:16" x14ac:dyDescent="0.15">
      <c r="A24" s="4" t="s">
        <v>220</v>
      </c>
      <c r="B24" s="4" t="s">
        <v>271</v>
      </c>
      <c r="C24" s="4" t="s">
        <v>272</v>
      </c>
      <c r="D24" s="4" t="s">
        <v>273</v>
      </c>
      <c r="E24" s="4" t="s">
        <v>274</v>
      </c>
      <c r="F24" s="4" t="s">
        <v>224</v>
      </c>
      <c r="G24" s="4" t="s">
        <v>275</v>
      </c>
      <c r="H24" s="4" t="s">
        <v>22</v>
      </c>
      <c r="I24" s="9">
        <v>42912</v>
      </c>
      <c r="J24" s="11">
        <v>1</v>
      </c>
      <c r="K24" s="4" t="s">
        <v>55</v>
      </c>
      <c r="L24" s="11">
        <v>500</v>
      </c>
      <c r="M24" s="11">
        <v>500</v>
      </c>
      <c r="N24" s="4" t="s">
        <v>8</v>
      </c>
      <c r="O24" s="5">
        <v>5637292974</v>
      </c>
      <c r="P24" s="11" t="e">
        <f ca="1">_xll.AtlasFormulas.AtlasFunctions.AtlasBalance("UAT",DataAreaId,"T.MarkupTrans","Sum|Posted|0","","","","","","","TransRecId|TransTableId|MarkupCode",$O24,"492","TPP")</f>
        <v>#NAME?</v>
      </c>
    </row>
    <row r="25" spans="1:16" x14ac:dyDescent="0.15">
      <c r="A25" s="4" t="s">
        <v>249</v>
      </c>
      <c r="B25" s="4" t="s">
        <v>263</v>
      </c>
      <c r="C25" s="4" t="s">
        <v>264</v>
      </c>
      <c r="D25" s="4" t="s">
        <v>265</v>
      </c>
      <c r="E25" s="4" t="s">
        <v>266</v>
      </c>
      <c r="F25" s="4" t="s">
        <v>80</v>
      </c>
      <c r="G25" s="4" t="s">
        <v>15</v>
      </c>
      <c r="H25" s="4" t="s">
        <v>22</v>
      </c>
      <c r="I25" s="9">
        <v>42760</v>
      </c>
      <c r="J25" s="11">
        <v>1</v>
      </c>
      <c r="K25" s="4" t="s">
        <v>55</v>
      </c>
      <c r="L25" s="11">
        <v>2460</v>
      </c>
      <c r="M25" s="11">
        <v>2460</v>
      </c>
      <c r="N25" s="4" t="s">
        <v>8</v>
      </c>
      <c r="O25" s="5">
        <v>5637289664</v>
      </c>
      <c r="P25" s="11" t="e">
        <f ca="1">_xll.AtlasFormulas.AtlasFunctions.AtlasBalance("UAT",DataAreaId,"T.MarkupTrans","Sum|Posted|0","","","","","","","TransRecId|TransTableId|MarkupCode",$O25,"492","TPP")</f>
        <v>#NAME?</v>
      </c>
    </row>
    <row r="26" spans="1:16" x14ac:dyDescent="0.15">
      <c r="A26" s="4" t="s">
        <v>20</v>
      </c>
      <c r="B26" s="4" t="s">
        <v>65</v>
      </c>
      <c r="C26" s="4" t="s">
        <v>63</v>
      </c>
      <c r="D26" s="4" t="s">
        <v>66</v>
      </c>
      <c r="E26" s="4" t="s">
        <v>67</v>
      </c>
      <c r="F26" s="4" t="s">
        <v>52</v>
      </c>
      <c r="G26" s="4" t="s">
        <v>15</v>
      </c>
      <c r="H26" s="4" t="s">
        <v>22</v>
      </c>
      <c r="I26" s="9">
        <v>42922</v>
      </c>
      <c r="J26" s="11">
        <v>2</v>
      </c>
      <c r="K26" s="4" t="s">
        <v>55</v>
      </c>
      <c r="L26" s="11">
        <v>12800</v>
      </c>
      <c r="M26" s="11">
        <v>25600</v>
      </c>
      <c r="N26" s="4" t="s">
        <v>8</v>
      </c>
      <c r="O26" s="5">
        <v>5637293454</v>
      </c>
      <c r="P26" s="11" t="e">
        <f ca="1">_xll.AtlasFormulas.AtlasFunctions.AtlasBalance("UAT",DataAreaId,"T.MarkupTrans","Sum|Posted|0","","","","","","","TransRecId|TransTableId|MarkupCode",$O26,"492","TPP")</f>
        <v>#NAME?</v>
      </c>
    </row>
    <row r="27" spans="1:16" x14ac:dyDescent="0.15">
      <c r="A27" s="4" t="s">
        <v>179</v>
      </c>
      <c r="B27" s="4" t="s">
        <v>244</v>
      </c>
      <c r="C27" s="4" t="s">
        <v>82</v>
      </c>
      <c r="D27" s="4" t="s">
        <v>245</v>
      </c>
      <c r="E27" s="4" t="s">
        <v>246</v>
      </c>
      <c r="F27" s="4" t="s">
        <v>183</v>
      </c>
      <c r="G27" s="4" t="s">
        <v>276</v>
      </c>
      <c r="H27" s="4" t="s">
        <v>277</v>
      </c>
      <c r="I27" s="9">
        <v>42767</v>
      </c>
      <c r="J27" s="11">
        <v>200</v>
      </c>
      <c r="K27" s="4" t="s">
        <v>55</v>
      </c>
      <c r="L27" s="11">
        <v>11.545</v>
      </c>
      <c r="M27" s="11">
        <v>2309</v>
      </c>
      <c r="N27" s="4" t="s">
        <v>8</v>
      </c>
      <c r="O27" s="5">
        <v>5637289780</v>
      </c>
      <c r="P27" s="11" t="e">
        <f ca="1">_xll.AtlasFormulas.AtlasFunctions.AtlasBalance("UAT",DataAreaId,"T.MarkupTrans","Sum|Posted|0","","","","","","","TransRecId|TransTableId|MarkupCode",$O27,"492","TPP")</f>
        <v>#NAME?</v>
      </c>
    </row>
    <row r="28" spans="1:16" x14ac:dyDescent="0.15">
      <c r="A28" s="4" t="s">
        <v>227</v>
      </c>
      <c r="B28" s="4" t="s">
        <v>228</v>
      </c>
      <c r="C28" s="4" t="s">
        <v>82</v>
      </c>
      <c r="D28" s="4" t="s">
        <v>278</v>
      </c>
      <c r="E28" s="4" t="s">
        <v>279</v>
      </c>
      <c r="F28" s="4" t="s">
        <v>231</v>
      </c>
      <c r="G28" s="4" t="s">
        <v>280</v>
      </c>
      <c r="H28" s="4" t="s">
        <v>281</v>
      </c>
      <c r="I28" s="9">
        <v>42831</v>
      </c>
      <c r="J28" s="11">
        <v>30</v>
      </c>
      <c r="K28" s="4" t="s">
        <v>54</v>
      </c>
      <c r="L28" s="11">
        <v>14.24</v>
      </c>
      <c r="M28" s="11">
        <v>427.2</v>
      </c>
      <c r="N28" s="4" t="s">
        <v>8</v>
      </c>
      <c r="O28" s="5">
        <v>5637291347</v>
      </c>
      <c r="P28" s="11" t="e">
        <f ca="1">_xll.AtlasFormulas.AtlasFunctions.AtlasBalance("UAT",DataAreaId,"T.MarkupTrans","Sum|Posted|0","","","","","","","TransRecId|TransTableId|MarkupCode",$O28,"492","TPP")</f>
        <v>#NAME?</v>
      </c>
    </row>
    <row r="29" spans="1:16" x14ac:dyDescent="0.15">
      <c r="A29" s="4" t="s">
        <v>20</v>
      </c>
      <c r="B29" s="4" t="s">
        <v>105</v>
      </c>
      <c r="C29" s="4" t="s">
        <v>64</v>
      </c>
      <c r="D29" s="4" t="s">
        <v>106</v>
      </c>
      <c r="E29" s="4" t="s">
        <v>107</v>
      </c>
      <c r="F29" s="4" t="s">
        <v>52</v>
      </c>
      <c r="G29" s="4" t="s">
        <v>108</v>
      </c>
      <c r="H29" s="4" t="s">
        <v>109</v>
      </c>
      <c r="I29" s="9">
        <v>42808</v>
      </c>
      <c r="J29" s="11">
        <v>3200</v>
      </c>
      <c r="K29" s="4" t="s">
        <v>55</v>
      </c>
      <c r="L29" s="11">
        <v>1.1705999999999999</v>
      </c>
      <c r="M29" s="11">
        <v>3745.92</v>
      </c>
      <c r="N29" s="4" t="s">
        <v>8</v>
      </c>
      <c r="O29" s="5">
        <v>5637291168</v>
      </c>
      <c r="P29" s="11" t="e">
        <f ca="1">_xll.AtlasFormulas.AtlasFunctions.AtlasBalance("UAT",DataAreaId,"T.MarkupTrans","Sum|Posted|0","","","","","","","TransRecId|TransTableId|MarkupCode",$O29,"492","TPP")</f>
        <v>#NAME?</v>
      </c>
    </row>
    <row r="30" spans="1:16" x14ac:dyDescent="0.15">
      <c r="A30" s="4" t="s">
        <v>20</v>
      </c>
      <c r="B30" s="4" t="s">
        <v>747</v>
      </c>
      <c r="C30" s="4" t="s">
        <v>272</v>
      </c>
      <c r="D30" s="4" t="s">
        <v>748</v>
      </c>
      <c r="E30" s="4" t="s">
        <v>749</v>
      </c>
      <c r="F30" s="4" t="s">
        <v>728</v>
      </c>
      <c r="G30" s="4" t="s">
        <v>184</v>
      </c>
      <c r="H30" s="4" t="s">
        <v>185</v>
      </c>
      <c r="I30" s="9">
        <v>42800</v>
      </c>
      <c r="J30" s="11">
        <v>11640</v>
      </c>
      <c r="K30" s="4" t="s">
        <v>54</v>
      </c>
      <c r="L30" s="11">
        <v>1.6600000000000001</v>
      </c>
      <c r="M30" s="11">
        <v>19322.400000000001</v>
      </c>
      <c r="N30" s="4" t="s">
        <v>8</v>
      </c>
      <c r="O30" s="5">
        <v>5637291009</v>
      </c>
      <c r="P30" s="11" t="e">
        <f ca="1">_xll.AtlasFormulas.AtlasFunctions.AtlasBalance("UAT",DataAreaId,"T.MarkupTrans","Sum|Posted|0","","","","","","","TransRecId|TransTableId|MarkupCode",$O30,"492","TPP")</f>
        <v>#NAME?</v>
      </c>
    </row>
    <row r="31" spans="1:16" x14ac:dyDescent="0.15">
      <c r="A31" s="4" t="s">
        <v>227</v>
      </c>
      <c r="B31" s="4" t="s">
        <v>228</v>
      </c>
      <c r="C31" s="4" t="s">
        <v>82</v>
      </c>
      <c r="D31" s="4" t="s">
        <v>282</v>
      </c>
      <c r="E31" s="4" t="s">
        <v>283</v>
      </c>
      <c r="F31" s="4" t="s">
        <v>231</v>
      </c>
      <c r="G31" s="4" t="s">
        <v>184</v>
      </c>
      <c r="H31" s="4" t="s">
        <v>185</v>
      </c>
      <c r="I31" s="9">
        <v>42802</v>
      </c>
      <c r="J31" s="11">
        <v>11640</v>
      </c>
      <c r="K31" s="4" t="s">
        <v>54</v>
      </c>
      <c r="L31" s="11">
        <v>1.6600000000000001</v>
      </c>
      <c r="M31" s="11">
        <v>19322.400000000001</v>
      </c>
      <c r="N31" s="4" t="s">
        <v>8</v>
      </c>
      <c r="O31" s="5">
        <v>5637291025</v>
      </c>
      <c r="P31" s="11" t="e">
        <f ca="1">_xll.AtlasFormulas.AtlasFunctions.AtlasBalance("UAT",DataAreaId,"T.MarkupTrans","Sum|Posted|0","","","","","","","TransRecId|TransTableId|MarkupCode",$O31,"492","TPP")</f>
        <v>#NAME?</v>
      </c>
    </row>
    <row r="32" spans="1:16" x14ac:dyDescent="0.15">
      <c r="A32" s="4" t="s">
        <v>20</v>
      </c>
      <c r="B32" s="4" t="s">
        <v>747</v>
      </c>
      <c r="C32" s="4" t="s">
        <v>272</v>
      </c>
      <c r="D32" s="4" t="s">
        <v>750</v>
      </c>
      <c r="E32" s="4" t="s">
        <v>751</v>
      </c>
      <c r="F32" s="4" t="s">
        <v>728</v>
      </c>
      <c r="G32" s="4" t="s">
        <v>184</v>
      </c>
      <c r="H32" s="4" t="s">
        <v>185</v>
      </c>
      <c r="I32" s="9">
        <v>42829</v>
      </c>
      <c r="J32" s="11">
        <v>48.5</v>
      </c>
      <c r="K32" s="4" t="s">
        <v>54</v>
      </c>
      <c r="L32" s="11">
        <v>1.6600000000000001</v>
      </c>
      <c r="M32" s="11">
        <v>80.510000000000005</v>
      </c>
      <c r="N32" s="4" t="s">
        <v>8</v>
      </c>
      <c r="O32" s="5">
        <v>5637291371</v>
      </c>
      <c r="P32" s="11" t="e">
        <f ca="1">_xll.AtlasFormulas.AtlasFunctions.AtlasBalance("UAT",DataAreaId,"T.MarkupTrans","Sum|Posted|0","","","","","","","TransRecId|TransTableId|MarkupCode",$O32,"492","TPP")</f>
        <v>#NAME?</v>
      </c>
    </row>
    <row r="33" spans="1:16" x14ac:dyDescent="0.15">
      <c r="A33" s="4" t="s">
        <v>20</v>
      </c>
      <c r="B33" s="4" t="s">
        <v>752</v>
      </c>
      <c r="C33" s="4" t="s">
        <v>272</v>
      </c>
      <c r="D33" s="4" t="s">
        <v>753</v>
      </c>
      <c r="E33" s="4" t="s">
        <v>754</v>
      </c>
      <c r="F33" s="4" t="s">
        <v>728</v>
      </c>
      <c r="G33" s="4" t="s">
        <v>184</v>
      </c>
      <c r="H33" s="4" t="s">
        <v>185</v>
      </c>
      <c r="I33" s="9">
        <v>42843</v>
      </c>
      <c r="J33" s="11">
        <v>1067</v>
      </c>
      <c r="K33" s="4" t="s">
        <v>54</v>
      </c>
      <c r="L33" s="11">
        <v>1.6600000000000001</v>
      </c>
      <c r="M33" s="11">
        <v>1771.22</v>
      </c>
      <c r="N33" s="4" t="s">
        <v>8</v>
      </c>
      <c r="O33" s="5">
        <v>5637291716</v>
      </c>
      <c r="P33" s="11" t="e">
        <f ca="1">_xll.AtlasFormulas.AtlasFunctions.AtlasBalance("UAT",DataAreaId,"T.MarkupTrans","Sum|Posted|0","","","","","","","TransRecId|TransTableId|MarkupCode",$O33,"492","TPP")</f>
        <v>#NAME?</v>
      </c>
    </row>
    <row r="34" spans="1:16" x14ac:dyDescent="0.15">
      <c r="A34" s="4" t="s">
        <v>20</v>
      </c>
      <c r="B34" s="4" t="s">
        <v>747</v>
      </c>
      <c r="C34" s="4" t="s">
        <v>272</v>
      </c>
      <c r="D34" s="4" t="s">
        <v>755</v>
      </c>
      <c r="E34" s="4" t="s">
        <v>756</v>
      </c>
      <c r="F34" s="4" t="s">
        <v>728</v>
      </c>
      <c r="G34" s="4" t="s">
        <v>184</v>
      </c>
      <c r="H34" s="4" t="s">
        <v>185</v>
      </c>
      <c r="I34" s="9">
        <v>42846</v>
      </c>
      <c r="J34" s="11">
        <v>1940</v>
      </c>
      <c r="K34" s="4" t="s">
        <v>54</v>
      </c>
      <c r="L34" s="11">
        <v>1.6600000000000001</v>
      </c>
      <c r="M34" s="11">
        <v>3220.4</v>
      </c>
      <c r="N34" s="4" t="s">
        <v>8</v>
      </c>
      <c r="O34" s="5">
        <v>5637291764</v>
      </c>
      <c r="P34" s="11" t="e">
        <f ca="1">_xll.AtlasFormulas.AtlasFunctions.AtlasBalance("UAT",DataAreaId,"T.MarkupTrans","Sum|Posted|0","","","","","","","TransRecId|TransTableId|MarkupCode",$O34,"492","TPP")</f>
        <v>#NAME?</v>
      </c>
    </row>
    <row r="35" spans="1:16" x14ac:dyDescent="0.15">
      <c r="A35" s="4" t="s">
        <v>20</v>
      </c>
      <c r="B35" s="4" t="s">
        <v>752</v>
      </c>
      <c r="C35" s="4" t="s">
        <v>272</v>
      </c>
      <c r="D35" s="4" t="s">
        <v>757</v>
      </c>
      <c r="E35" s="4" t="s">
        <v>758</v>
      </c>
      <c r="F35" s="4" t="s">
        <v>728</v>
      </c>
      <c r="G35" s="4" t="s">
        <v>184</v>
      </c>
      <c r="H35" s="4" t="s">
        <v>185</v>
      </c>
      <c r="I35" s="9">
        <v>42846</v>
      </c>
      <c r="J35" s="11">
        <v>2134</v>
      </c>
      <c r="K35" s="4" t="s">
        <v>54</v>
      </c>
      <c r="L35" s="11">
        <v>1.6600000000000001</v>
      </c>
      <c r="M35" s="11">
        <v>3542.44</v>
      </c>
      <c r="N35" s="4" t="s">
        <v>8</v>
      </c>
      <c r="O35" s="5">
        <v>5637291769</v>
      </c>
      <c r="P35" s="11" t="e">
        <f ca="1">_xll.AtlasFormulas.AtlasFunctions.AtlasBalance("UAT",DataAreaId,"T.MarkupTrans","Sum|Posted|0","","","","","","","TransRecId|TransTableId|MarkupCode",$O35,"492","TPP")</f>
        <v>#NAME?</v>
      </c>
    </row>
    <row r="36" spans="1:16" x14ac:dyDescent="0.15">
      <c r="A36" s="4" t="s">
        <v>249</v>
      </c>
      <c r="B36" s="4" t="s">
        <v>83</v>
      </c>
      <c r="C36" s="4" t="s">
        <v>82</v>
      </c>
      <c r="D36" s="4" t="s">
        <v>284</v>
      </c>
      <c r="E36" s="4" t="s">
        <v>285</v>
      </c>
      <c r="F36" s="4" t="s">
        <v>80</v>
      </c>
      <c r="G36" s="4" t="s">
        <v>184</v>
      </c>
      <c r="H36" s="4" t="s">
        <v>185</v>
      </c>
      <c r="I36" s="9">
        <v>42849</v>
      </c>
      <c r="J36" s="11">
        <v>48.5</v>
      </c>
      <c r="K36" s="4" t="s">
        <v>54</v>
      </c>
      <c r="L36" s="11">
        <v>1.6600000000000001</v>
      </c>
      <c r="M36" s="11">
        <v>80.510000000000005</v>
      </c>
      <c r="N36" s="4" t="s">
        <v>8</v>
      </c>
      <c r="O36" s="5">
        <v>5637291688</v>
      </c>
      <c r="P36" s="11" t="e">
        <f ca="1">_xll.AtlasFormulas.AtlasFunctions.AtlasBalance("UAT",DataAreaId,"T.MarkupTrans","Sum|Posted|0","","","","","","","TransRecId|TransTableId|MarkupCode",$O36,"492","TPP")</f>
        <v>#NAME?</v>
      </c>
    </row>
    <row r="37" spans="1:16" x14ac:dyDescent="0.15">
      <c r="A37" s="4" t="s">
        <v>249</v>
      </c>
      <c r="B37" s="4" t="s">
        <v>83</v>
      </c>
      <c r="C37" s="4" t="s">
        <v>82</v>
      </c>
      <c r="D37" s="4" t="s">
        <v>286</v>
      </c>
      <c r="E37" s="4" t="s">
        <v>287</v>
      </c>
      <c r="F37" s="4" t="s">
        <v>80</v>
      </c>
      <c r="G37" s="4" t="s">
        <v>184</v>
      </c>
      <c r="H37" s="4" t="s">
        <v>185</v>
      </c>
      <c r="I37" s="9">
        <v>42851</v>
      </c>
      <c r="J37" s="11">
        <v>1940</v>
      </c>
      <c r="K37" s="4" t="s">
        <v>54</v>
      </c>
      <c r="L37" s="11">
        <v>1.6600000000000001</v>
      </c>
      <c r="M37" s="11">
        <v>3220.4</v>
      </c>
      <c r="N37" s="4" t="s">
        <v>8</v>
      </c>
      <c r="O37" s="5">
        <v>5637291741</v>
      </c>
      <c r="P37" s="11" t="e">
        <f ca="1">_xll.AtlasFormulas.AtlasFunctions.AtlasBalance("UAT",DataAreaId,"T.MarkupTrans","Sum|Posted|0","","","","","","","TransRecId|TransTableId|MarkupCode",$O37,"492","TPP")</f>
        <v>#NAME?</v>
      </c>
    </row>
    <row r="38" spans="1:16" x14ac:dyDescent="0.15">
      <c r="A38" s="4" t="s">
        <v>20</v>
      </c>
      <c r="B38" s="4" t="s">
        <v>747</v>
      </c>
      <c r="C38" s="4" t="s">
        <v>272</v>
      </c>
      <c r="D38" s="4" t="s">
        <v>759</v>
      </c>
      <c r="E38" s="4" t="s">
        <v>760</v>
      </c>
      <c r="F38" s="4" t="s">
        <v>728</v>
      </c>
      <c r="G38" s="4" t="s">
        <v>184</v>
      </c>
      <c r="H38" s="4" t="s">
        <v>185</v>
      </c>
      <c r="I38" s="9">
        <v>42880</v>
      </c>
      <c r="J38" s="11">
        <v>3880</v>
      </c>
      <c r="K38" s="4" t="s">
        <v>54</v>
      </c>
      <c r="L38" s="11">
        <v>1.6600000000000001</v>
      </c>
      <c r="M38" s="11">
        <v>6440.8</v>
      </c>
      <c r="N38" s="4" t="s">
        <v>8</v>
      </c>
      <c r="O38" s="5">
        <v>5637292233</v>
      </c>
      <c r="P38" s="11" t="e">
        <f ca="1">_xll.AtlasFormulas.AtlasFunctions.AtlasBalance("UAT",DataAreaId,"T.MarkupTrans","Sum|Posted|0","","","","","","","TransRecId|TransTableId|MarkupCode",$O38,"492","TPP")</f>
        <v>#NAME?</v>
      </c>
    </row>
    <row r="39" spans="1:16" x14ac:dyDescent="0.15">
      <c r="A39" s="4" t="s">
        <v>288</v>
      </c>
      <c r="B39" s="4" t="s">
        <v>289</v>
      </c>
      <c r="C39" s="4" t="s">
        <v>82</v>
      </c>
      <c r="D39" s="4" t="s">
        <v>290</v>
      </c>
      <c r="E39" s="4" t="s">
        <v>291</v>
      </c>
      <c r="F39" s="4" t="s">
        <v>292</v>
      </c>
      <c r="G39" s="4" t="s">
        <v>184</v>
      </c>
      <c r="H39" s="4" t="s">
        <v>185</v>
      </c>
      <c r="I39" s="9">
        <v>42885</v>
      </c>
      <c r="J39" s="11">
        <v>3880</v>
      </c>
      <c r="K39" s="4" t="s">
        <v>54</v>
      </c>
      <c r="L39" s="11">
        <v>1.6600000000000001</v>
      </c>
      <c r="M39" s="11">
        <v>6440.8</v>
      </c>
      <c r="N39" s="4" t="s">
        <v>8</v>
      </c>
      <c r="O39" s="5">
        <v>5637292267</v>
      </c>
      <c r="P39" s="11" t="e">
        <f ca="1">_xll.AtlasFormulas.AtlasFunctions.AtlasBalance("UAT",DataAreaId,"T.MarkupTrans","Sum|Posted|0","","","","","","","TransRecId|TransTableId|MarkupCode",$O39,"492","TPP")</f>
        <v>#NAME?</v>
      </c>
    </row>
    <row r="40" spans="1:16" x14ac:dyDescent="0.15">
      <c r="A40" s="4" t="s">
        <v>20</v>
      </c>
      <c r="B40" s="4" t="s">
        <v>752</v>
      </c>
      <c r="C40" s="4" t="s">
        <v>272</v>
      </c>
      <c r="D40" s="4" t="s">
        <v>761</v>
      </c>
      <c r="E40" s="4" t="s">
        <v>762</v>
      </c>
      <c r="F40" s="4" t="s">
        <v>728</v>
      </c>
      <c r="G40" s="4" t="s">
        <v>184</v>
      </c>
      <c r="H40" s="4" t="s">
        <v>185</v>
      </c>
      <c r="I40" s="9">
        <v>42891</v>
      </c>
      <c r="J40" s="11">
        <v>1600.5</v>
      </c>
      <c r="K40" s="4" t="s">
        <v>54</v>
      </c>
      <c r="L40" s="11">
        <v>1.6600000000000001</v>
      </c>
      <c r="M40" s="11">
        <v>2656.83</v>
      </c>
      <c r="N40" s="4" t="s">
        <v>8</v>
      </c>
      <c r="O40" s="5">
        <v>5637292357</v>
      </c>
      <c r="P40" s="11" t="e">
        <f ca="1">_xll.AtlasFormulas.AtlasFunctions.AtlasBalance("UAT",DataAreaId,"T.MarkupTrans","Sum|Posted|0","","","","","","","TransRecId|TransTableId|MarkupCode",$O40,"492","TPP")</f>
        <v>#NAME?</v>
      </c>
    </row>
    <row r="41" spans="1:16" x14ac:dyDescent="0.15">
      <c r="A41" s="4" t="s">
        <v>20</v>
      </c>
      <c r="B41" s="4" t="s">
        <v>747</v>
      </c>
      <c r="C41" s="4" t="s">
        <v>272</v>
      </c>
      <c r="D41" s="4" t="s">
        <v>763</v>
      </c>
      <c r="E41" s="4" t="s">
        <v>764</v>
      </c>
      <c r="F41" s="4" t="s">
        <v>728</v>
      </c>
      <c r="G41" s="4" t="s">
        <v>184</v>
      </c>
      <c r="H41" s="4" t="s">
        <v>185</v>
      </c>
      <c r="I41" s="9">
        <v>42899</v>
      </c>
      <c r="J41" s="11">
        <v>1940</v>
      </c>
      <c r="K41" s="4" t="s">
        <v>54</v>
      </c>
      <c r="L41" s="11">
        <v>1.6600000000000001</v>
      </c>
      <c r="M41" s="11">
        <v>3220.4</v>
      </c>
      <c r="N41" s="4" t="s">
        <v>8</v>
      </c>
      <c r="O41" s="5">
        <v>5637292368</v>
      </c>
      <c r="P41" s="11" t="e">
        <f ca="1">_xll.AtlasFormulas.AtlasFunctions.AtlasBalance("UAT",DataAreaId,"T.MarkupTrans","Sum|Posted|0","","","","","","","TransRecId|TransTableId|MarkupCode",$O41,"492","TPP")</f>
        <v>#NAME?</v>
      </c>
    </row>
    <row r="42" spans="1:16" x14ac:dyDescent="0.15">
      <c r="A42" s="4" t="s">
        <v>288</v>
      </c>
      <c r="B42" s="4" t="s">
        <v>289</v>
      </c>
      <c r="C42" s="4" t="s">
        <v>82</v>
      </c>
      <c r="D42" s="4" t="s">
        <v>293</v>
      </c>
      <c r="E42" s="4" t="s">
        <v>294</v>
      </c>
      <c r="F42" s="4" t="s">
        <v>292</v>
      </c>
      <c r="G42" s="4" t="s">
        <v>184</v>
      </c>
      <c r="H42" s="4" t="s">
        <v>185</v>
      </c>
      <c r="I42" s="9">
        <v>42899</v>
      </c>
      <c r="J42" s="11">
        <v>1940</v>
      </c>
      <c r="K42" s="4" t="s">
        <v>54</v>
      </c>
      <c r="L42" s="11">
        <v>1.6600000000000001</v>
      </c>
      <c r="M42" s="11">
        <v>3220.4</v>
      </c>
      <c r="N42" s="4" t="s">
        <v>8</v>
      </c>
      <c r="O42" s="5">
        <v>5637292991</v>
      </c>
      <c r="P42" s="11" t="e">
        <f ca="1">_xll.AtlasFormulas.AtlasFunctions.AtlasBalance("UAT",DataAreaId,"T.MarkupTrans","Sum|Posted|0","","","","","","","TransRecId|TransTableId|MarkupCode",$O42,"492","TPP")</f>
        <v>#NAME?</v>
      </c>
    </row>
    <row r="43" spans="1:16" x14ac:dyDescent="0.15">
      <c r="A43" s="4" t="s">
        <v>20</v>
      </c>
      <c r="B43" s="4" t="s">
        <v>747</v>
      </c>
      <c r="C43" s="4" t="s">
        <v>272</v>
      </c>
      <c r="D43" s="4" t="s">
        <v>765</v>
      </c>
      <c r="E43" s="4" t="s">
        <v>766</v>
      </c>
      <c r="F43" s="4" t="s">
        <v>728</v>
      </c>
      <c r="G43" s="4" t="s">
        <v>184</v>
      </c>
      <c r="H43" s="4" t="s">
        <v>185</v>
      </c>
      <c r="I43" s="9">
        <v>42900</v>
      </c>
      <c r="J43" s="11">
        <v>-970</v>
      </c>
      <c r="K43" s="4" t="s">
        <v>54</v>
      </c>
      <c r="L43" s="11">
        <v>1.6600000000000001</v>
      </c>
      <c r="M43" s="11">
        <v>-1610.2</v>
      </c>
      <c r="N43" s="4" t="s">
        <v>8</v>
      </c>
      <c r="O43" s="5">
        <v>5637292658</v>
      </c>
      <c r="P43" s="11" t="e">
        <f ca="1">_xll.AtlasFormulas.AtlasFunctions.AtlasBalance("UAT",DataAreaId,"T.MarkupTrans","Sum|Posted|0","","","","","","","TransRecId|TransTableId|MarkupCode",$O43,"492","TPP")</f>
        <v>#NAME?</v>
      </c>
    </row>
    <row r="44" spans="1:16" x14ac:dyDescent="0.15">
      <c r="A44" s="4" t="s">
        <v>20</v>
      </c>
      <c r="B44" s="4" t="s">
        <v>747</v>
      </c>
      <c r="C44" s="4" t="s">
        <v>272</v>
      </c>
      <c r="D44" s="4" t="s">
        <v>767</v>
      </c>
      <c r="E44" s="4" t="s">
        <v>768</v>
      </c>
      <c r="F44" s="4" t="s">
        <v>728</v>
      </c>
      <c r="G44" s="4" t="s">
        <v>184</v>
      </c>
      <c r="H44" s="4" t="s">
        <v>185</v>
      </c>
      <c r="I44" s="9">
        <v>42907</v>
      </c>
      <c r="J44" s="11">
        <v>-970</v>
      </c>
      <c r="K44" s="4" t="s">
        <v>54</v>
      </c>
      <c r="L44" s="11">
        <v>1.6600000000000001</v>
      </c>
      <c r="M44" s="11">
        <v>-1610.2</v>
      </c>
      <c r="N44" s="4" t="s">
        <v>8</v>
      </c>
      <c r="O44" s="5">
        <v>5637292939</v>
      </c>
      <c r="P44" s="11" t="e">
        <f ca="1">_xll.AtlasFormulas.AtlasFunctions.AtlasBalance("UAT",DataAreaId,"T.MarkupTrans","Sum|Posted|0","","","","","","","TransRecId|TransTableId|MarkupCode",$O44,"492","TPP")</f>
        <v>#NAME?</v>
      </c>
    </row>
    <row r="45" spans="1:16" x14ac:dyDescent="0.15">
      <c r="A45" s="4" t="s">
        <v>20</v>
      </c>
      <c r="B45" s="4" t="s">
        <v>747</v>
      </c>
      <c r="C45" s="4" t="s">
        <v>272</v>
      </c>
      <c r="D45" s="4" t="s">
        <v>769</v>
      </c>
      <c r="E45" s="4" t="s">
        <v>770</v>
      </c>
      <c r="F45" s="4" t="s">
        <v>728</v>
      </c>
      <c r="G45" s="4" t="s">
        <v>184</v>
      </c>
      <c r="H45" s="4" t="s">
        <v>185</v>
      </c>
      <c r="I45" s="9">
        <v>42907</v>
      </c>
      <c r="J45" s="11">
        <v>970</v>
      </c>
      <c r="K45" s="4" t="s">
        <v>54</v>
      </c>
      <c r="L45" s="11">
        <v>1.6600000000000001</v>
      </c>
      <c r="M45" s="11">
        <v>1610.2</v>
      </c>
      <c r="N45" s="4" t="s">
        <v>8</v>
      </c>
      <c r="O45" s="5">
        <v>5637292943</v>
      </c>
      <c r="P45" s="11" t="e">
        <f ca="1">_xll.AtlasFormulas.AtlasFunctions.AtlasBalance("UAT",DataAreaId,"T.MarkupTrans","Sum|Posted|0","","","","","","","TransRecId|TransTableId|MarkupCode",$O45,"492","TPP")</f>
        <v>#NAME?</v>
      </c>
    </row>
    <row r="46" spans="1:16" x14ac:dyDescent="0.15">
      <c r="A46" s="4" t="s">
        <v>20</v>
      </c>
      <c r="B46" s="4" t="s">
        <v>747</v>
      </c>
      <c r="C46" s="4" t="s">
        <v>272</v>
      </c>
      <c r="D46" s="4" t="s">
        <v>771</v>
      </c>
      <c r="E46" s="4" t="s">
        <v>772</v>
      </c>
      <c r="F46" s="4" t="s">
        <v>728</v>
      </c>
      <c r="G46" s="4" t="s">
        <v>184</v>
      </c>
      <c r="H46" s="4" t="s">
        <v>185</v>
      </c>
      <c r="I46" s="9">
        <v>42909</v>
      </c>
      <c r="J46" s="11">
        <v>970</v>
      </c>
      <c r="K46" s="4" t="s">
        <v>54</v>
      </c>
      <c r="L46" s="11">
        <v>1.6600000000000001</v>
      </c>
      <c r="M46" s="11">
        <v>1610.2</v>
      </c>
      <c r="N46" s="4" t="s">
        <v>8</v>
      </c>
      <c r="O46" s="5">
        <v>5637292933</v>
      </c>
      <c r="P46" s="11" t="e">
        <f ca="1">_xll.AtlasFormulas.AtlasFunctions.AtlasBalance("UAT",DataAreaId,"T.MarkupTrans","Sum|Posted|0","","","","","","","TransRecId|TransTableId|MarkupCode",$O46,"492","TPP")</f>
        <v>#NAME?</v>
      </c>
    </row>
    <row r="47" spans="1:16" x14ac:dyDescent="0.15">
      <c r="A47" s="4" t="s">
        <v>20</v>
      </c>
      <c r="B47" s="4" t="s">
        <v>747</v>
      </c>
      <c r="C47" s="4" t="s">
        <v>272</v>
      </c>
      <c r="D47" s="4" t="s">
        <v>771</v>
      </c>
      <c r="E47" s="4" t="s">
        <v>772</v>
      </c>
      <c r="F47" s="4" t="s">
        <v>728</v>
      </c>
      <c r="G47" s="4" t="s">
        <v>184</v>
      </c>
      <c r="H47" s="4" t="s">
        <v>185</v>
      </c>
      <c r="I47" s="9">
        <v>42909</v>
      </c>
      <c r="J47" s="11">
        <v>-1940</v>
      </c>
      <c r="K47" s="4" t="s">
        <v>54</v>
      </c>
      <c r="L47" s="11">
        <v>1.6600000000000001</v>
      </c>
      <c r="M47" s="11">
        <v>-3220.4</v>
      </c>
      <c r="N47" s="4" t="s">
        <v>8</v>
      </c>
      <c r="O47" s="5">
        <v>5637292935</v>
      </c>
      <c r="P47" s="11" t="e">
        <f ca="1">_xll.AtlasFormulas.AtlasFunctions.AtlasBalance("UAT",DataAreaId,"T.MarkupTrans","Sum|Posted|0","","","","","","","TransRecId|TransTableId|MarkupCode",$O47,"492","TPP")</f>
        <v>#NAME?</v>
      </c>
    </row>
    <row r="48" spans="1:16" x14ac:dyDescent="0.15">
      <c r="A48" s="4" t="s">
        <v>20</v>
      </c>
      <c r="B48" s="4" t="s">
        <v>747</v>
      </c>
      <c r="C48" s="4" t="s">
        <v>272</v>
      </c>
      <c r="D48" s="4" t="s">
        <v>773</v>
      </c>
      <c r="E48" s="4" t="s">
        <v>774</v>
      </c>
      <c r="F48" s="4" t="s">
        <v>728</v>
      </c>
      <c r="G48" s="4" t="s">
        <v>184</v>
      </c>
      <c r="H48" s="4" t="s">
        <v>185</v>
      </c>
      <c r="I48" s="9">
        <v>42915</v>
      </c>
      <c r="J48" s="11">
        <v>970</v>
      </c>
      <c r="K48" s="4" t="s">
        <v>54</v>
      </c>
      <c r="L48" s="11">
        <v>1.6600000000000001</v>
      </c>
      <c r="M48" s="11">
        <v>1610.2</v>
      </c>
      <c r="N48" s="4" t="s">
        <v>8</v>
      </c>
      <c r="O48" s="5">
        <v>5637292917</v>
      </c>
      <c r="P48" s="11" t="e">
        <f ca="1">_xll.AtlasFormulas.AtlasFunctions.AtlasBalance("UAT",DataAreaId,"T.MarkupTrans","Sum|Posted|0","","","","","","","TransRecId|TransTableId|MarkupCode",$O48,"492","TPP")</f>
        <v>#NAME?</v>
      </c>
    </row>
    <row r="49" spans="1:16" x14ac:dyDescent="0.15">
      <c r="A49" s="4" t="s">
        <v>288</v>
      </c>
      <c r="B49" s="4" t="s">
        <v>289</v>
      </c>
      <c r="C49" s="4" t="s">
        <v>82</v>
      </c>
      <c r="D49" s="4" t="s">
        <v>295</v>
      </c>
      <c r="E49" s="4" t="s">
        <v>296</v>
      </c>
      <c r="F49" s="4" t="s">
        <v>292</v>
      </c>
      <c r="G49" s="4" t="s">
        <v>184</v>
      </c>
      <c r="H49" s="4" t="s">
        <v>185</v>
      </c>
      <c r="I49" s="9">
        <v>42915</v>
      </c>
      <c r="J49" s="11">
        <v>-1940</v>
      </c>
      <c r="K49" s="4" t="s">
        <v>54</v>
      </c>
      <c r="L49" s="11">
        <v>1.6600000000000001</v>
      </c>
      <c r="M49" s="11">
        <v>-3220.4</v>
      </c>
      <c r="N49" s="4" t="s">
        <v>8</v>
      </c>
      <c r="O49" s="5">
        <v>5637293002</v>
      </c>
      <c r="P49" s="11" t="e">
        <f ca="1">_xll.AtlasFormulas.AtlasFunctions.AtlasBalance("UAT",DataAreaId,"T.MarkupTrans","Sum|Posted|0","","","","","","","TransRecId|TransTableId|MarkupCode",$O49,"492","TPP")</f>
        <v>#NAME?</v>
      </c>
    </row>
    <row r="50" spans="1:16" x14ac:dyDescent="0.15">
      <c r="A50" s="4" t="s">
        <v>288</v>
      </c>
      <c r="B50" s="4" t="s">
        <v>289</v>
      </c>
      <c r="C50" s="4" t="s">
        <v>82</v>
      </c>
      <c r="D50" s="4" t="s">
        <v>232</v>
      </c>
      <c r="E50" s="4" t="s">
        <v>297</v>
      </c>
      <c r="F50" s="4" t="s">
        <v>292</v>
      </c>
      <c r="G50" s="4" t="s">
        <v>184</v>
      </c>
      <c r="H50" s="4" t="s">
        <v>185</v>
      </c>
      <c r="I50" s="9">
        <v>42916</v>
      </c>
      <c r="J50" s="11">
        <v>970</v>
      </c>
      <c r="K50" s="4" t="s">
        <v>54</v>
      </c>
      <c r="L50" s="11">
        <v>1.6600000000000001</v>
      </c>
      <c r="M50" s="11">
        <v>1610.2</v>
      </c>
      <c r="N50" s="4" t="s">
        <v>8</v>
      </c>
      <c r="O50" s="5">
        <v>5637293004</v>
      </c>
      <c r="P50" s="11" t="e">
        <f ca="1">_xll.AtlasFormulas.AtlasFunctions.AtlasBalance("UAT",DataAreaId,"T.MarkupTrans","Sum|Posted|0","","","","","","","TransRecId|TransTableId|MarkupCode",$O50,"492","TPP")</f>
        <v>#NAME?</v>
      </c>
    </row>
    <row r="51" spans="1:16" x14ac:dyDescent="0.15">
      <c r="A51" s="4" t="s">
        <v>20</v>
      </c>
      <c r="B51" s="4" t="s">
        <v>747</v>
      </c>
      <c r="C51" s="4" t="s">
        <v>272</v>
      </c>
      <c r="D51" s="4" t="s">
        <v>775</v>
      </c>
      <c r="E51" s="4" t="s">
        <v>776</v>
      </c>
      <c r="F51" s="4" t="s">
        <v>728</v>
      </c>
      <c r="G51" s="4" t="s">
        <v>184</v>
      </c>
      <c r="H51" s="4" t="s">
        <v>185</v>
      </c>
      <c r="I51" s="9">
        <v>42916</v>
      </c>
      <c r="J51" s="11">
        <v>970</v>
      </c>
      <c r="K51" s="4" t="s">
        <v>54</v>
      </c>
      <c r="L51" s="11">
        <v>1.6600000000000001</v>
      </c>
      <c r="M51" s="11">
        <v>1610.2</v>
      </c>
      <c r="N51" s="4" t="s">
        <v>8</v>
      </c>
      <c r="O51" s="5">
        <v>5637293008</v>
      </c>
      <c r="P51" s="11" t="e">
        <f ca="1">_xll.AtlasFormulas.AtlasFunctions.AtlasBalance("UAT",DataAreaId,"T.MarkupTrans","Sum|Posted|0","","","","","","","TransRecId|TransTableId|MarkupCode",$O51,"492","TPP")</f>
        <v>#NAME?</v>
      </c>
    </row>
    <row r="52" spans="1:16" x14ac:dyDescent="0.15">
      <c r="A52" s="4" t="s">
        <v>20</v>
      </c>
      <c r="B52" s="4" t="s">
        <v>747</v>
      </c>
      <c r="C52" s="4" t="s">
        <v>272</v>
      </c>
      <c r="D52" s="4" t="s">
        <v>777</v>
      </c>
      <c r="E52" s="4" t="s">
        <v>778</v>
      </c>
      <c r="F52" s="4" t="s">
        <v>728</v>
      </c>
      <c r="G52" s="4" t="s">
        <v>184</v>
      </c>
      <c r="H52" s="4" t="s">
        <v>185</v>
      </c>
      <c r="I52" s="9">
        <v>42928</v>
      </c>
      <c r="J52" s="11">
        <v>5820</v>
      </c>
      <c r="K52" s="4" t="s">
        <v>54</v>
      </c>
      <c r="L52" s="11">
        <v>1.7100000000000002</v>
      </c>
      <c r="M52" s="11">
        <v>9952.2000000000007</v>
      </c>
      <c r="N52" s="4" t="s">
        <v>8</v>
      </c>
      <c r="O52" s="5">
        <v>5637293445</v>
      </c>
      <c r="P52" s="11" t="e">
        <f ca="1">_xll.AtlasFormulas.AtlasFunctions.AtlasBalance("UAT",DataAreaId,"T.MarkupTrans","Sum|Posted|0","","","","","","","TransRecId|TransTableId|MarkupCode",$O52,"492","TPP")</f>
        <v>#NAME?</v>
      </c>
    </row>
    <row r="53" spans="1:16" x14ac:dyDescent="0.15">
      <c r="A53" s="4" t="s">
        <v>227</v>
      </c>
      <c r="B53" s="4" t="s">
        <v>228</v>
      </c>
      <c r="C53" s="4" t="s">
        <v>82</v>
      </c>
      <c r="D53" s="4" t="s">
        <v>298</v>
      </c>
      <c r="E53" s="4" t="s">
        <v>299</v>
      </c>
      <c r="F53" s="4" t="s">
        <v>231</v>
      </c>
      <c r="G53" s="4" t="s">
        <v>184</v>
      </c>
      <c r="H53" s="4" t="s">
        <v>185</v>
      </c>
      <c r="I53" s="9">
        <v>42929</v>
      </c>
      <c r="J53" s="11">
        <v>5820</v>
      </c>
      <c r="K53" s="4" t="s">
        <v>54</v>
      </c>
      <c r="L53" s="11">
        <v>1.7100000000000002</v>
      </c>
      <c r="M53" s="11">
        <v>9952.2000000000007</v>
      </c>
      <c r="N53" s="4" t="s">
        <v>8</v>
      </c>
      <c r="O53" s="5">
        <v>5637293472</v>
      </c>
      <c r="P53" s="11" t="e">
        <f ca="1">_xll.AtlasFormulas.AtlasFunctions.AtlasBalance("UAT",DataAreaId,"T.MarkupTrans","Sum|Posted|0","","","","","","","TransRecId|TransTableId|MarkupCode",$O53,"492","TPP")</f>
        <v>#NAME?</v>
      </c>
    </row>
    <row r="54" spans="1:16" x14ac:dyDescent="0.15">
      <c r="A54" s="4" t="s">
        <v>227</v>
      </c>
      <c r="B54" s="4" t="s">
        <v>228</v>
      </c>
      <c r="C54" s="4" t="s">
        <v>82</v>
      </c>
      <c r="D54" s="4" t="s">
        <v>300</v>
      </c>
      <c r="E54" s="4" t="s">
        <v>301</v>
      </c>
      <c r="F54" s="4" t="s">
        <v>231</v>
      </c>
      <c r="G54" s="4" t="s">
        <v>184</v>
      </c>
      <c r="H54" s="4" t="s">
        <v>185</v>
      </c>
      <c r="I54" s="9">
        <v>42930</v>
      </c>
      <c r="J54" s="11">
        <v>5820</v>
      </c>
      <c r="K54" s="4" t="s">
        <v>54</v>
      </c>
      <c r="L54" s="11">
        <v>1.7100000000000002</v>
      </c>
      <c r="M54" s="11">
        <v>9952.2000000000007</v>
      </c>
      <c r="N54" s="4" t="s">
        <v>8</v>
      </c>
      <c r="O54" s="5">
        <v>5637293492</v>
      </c>
      <c r="P54" s="11" t="e">
        <f ca="1">_xll.AtlasFormulas.AtlasFunctions.AtlasBalance("UAT",DataAreaId,"T.MarkupTrans","Sum|Posted|0","","","","","","","TransRecId|TransTableId|MarkupCode",$O54,"492","TPP")</f>
        <v>#NAME?</v>
      </c>
    </row>
    <row r="55" spans="1:16" x14ac:dyDescent="0.15">
      <c r="A55" s="4" t="s">
        <v>20</v>
      </c>
      <c r="B55" s="4" t="s">
        <v>747</v>
      </c>
      <c r="C55" s="4" t="s">
        <v>272</v>
      </c>
      <c r="D55" s="4" t="s">
        <v>779</v>
      </c>
      <c r="E55" s="4" t="s">
        <v>780</v>
      </c>
      <c r="F55" s="4" t="s">
        <v>728</v>
      </c>
      <c r="G55" s="4" t="s">
        <v>184</v>
      </c>
      <c r="H55" s="4" t="s">
        <v>185</v>
      </c>
      <c r="I55" s="9">
        <v>42930</v>
      </c>
      <c r="J55" s="11">
        <v>5820</v>
      </c>
      <c r="K55" s="4" t="s">
        <v>54</v>
      </c>
      <c r="L55" s="11">
        <v>1.7100000000000002</v>
      </c>
      <c r="M55" s="11">
        <v>9952.2000000000007</v>
      </c>
      <c r="N55" s="4" t="s">
        <v>8</v>
      </c>
      <c r="O55" s="5">
        <v>5637293468</v>
      </c>
      <c r="P55" s="11" t="e">
        <f ca="1">_xll.AtlasFormulas.AtlasFunctions.AtlasBalance("UAT",DataAreaId,"T.MarkupTrans","Sum|Posted|0","","","","","","","TransRecId|TransTableId|MarkupCode",$O55,"492","TPP")</f>
        <v>#NAME?</v>
      </c>
    </row>
    <row r="56" spans="1:16" x14ac:dyDescent="0.15">
      <c r="A56" s="4" t="s">
        <v>20</v>
      </c>
      <c r="B56" s="4" t="s">
        <v>752</v>
      </c>
      <c r="C56" s="4" t="s">
        <v>272</v>
      </c>
      <c r="D56" s="4" t="s">
        <v>781</v>
      </c>
      <c r="E56" s="4" t="s">
        <v>182</v>
      </c>
      <c r="F56" s="4" t="s">
        <v>728</v>
      </c>
      <c r="G56" s="4" t="s">
        <v>184</v>
      </c>
      <c r="H56" s="4" t="s">
        <v>185</v>
      </c>
      <c r="I56" s="9">
        <v>42949</v>
      </c>
      <c r="J56" s="11">
        <v>5335</v>
      </c>
      <c r="K56" s="4" t="s">
        <v>54</v>
      </c>
      <c r="L56" s="11">
        <v>1.7100000000000002</v>
      </c>
      <c r="M56" s="11">
        <v>9122.85</v>
      </c>
      <c r="N56" s="4" t="s">
        <v>8</v>
      </c>
      <c r="O56" s="5">
        <v>5637294469</v>
      </c>
      <c r="P56" s="11" t="e">
        <f ca="1">_xll.AtlasFormulas.AtlasFunctions.AtlasBalance("UAT",DataAreaId,"T.MarkupTrans","Sum|Posted|0","","","","","","","TransRecId|TransTableId|MarkupCode",$O56,"492","TPP")</f>
        <v>#NAME?</v>
      </c>
    </row>
    <row r="57" spans="1:16" x14ac:dyDescent="0.15">
      <c r="A57" s="4" t="s">
        <v>249</v>
      </c>
      <c r="B57" s="4" t="s">
        <v>83</v>
      </c>
      <c r="C57" s="4" t="s">
        <v>82</v>
      </c>
      <c r="D57" s="4" t="s">
        <v>278</v>
      </c>
      <c r="E57" s="4" t="s">
        <v>302</v>
      </c>
      <c r="F57" s="4" t="s">
        <v>80</v>
      </c>
      <c r="G57" s="4" t="s">
        <v>184</v>
      </c>
      <c r="H57" s="4" t="s">
        <v>185</v>
      </c>
      <c r="I57" s="9">
        <v>42954</v>
      </c>
      <c r="J57" s="11">
        <v>3880</v>
      </c>
      <c r="K57" s="4" t="s">
        <v>54</v>
      </c>
      <c r="L57" s="11">
        <v>1.7100000000000002</v>
      </c>
      <c r="M57" s="11">
        <v>6634.8</v>
      </c>
      <c r="N57" s="4" t="s">
        <v>8</v>
      </c>
      <c r="O57" s="5">
        <v>5637294445</v>
      </c>
      <c r="P57" s="11" t="e">
        <f ca="1">_xll.AtlasFormulas.AtlasFunctions.AtlasBalance("UAT",DataAreaId,"T.MarkupTrans","Sum|Posted|0","","","","","","","TransRecId|TransTableId|MarkupCode",$O57,"492","TPP")</f>
        <v>#NAME?</v>
      </c>
    </row>
    <row r="58" spans="1:16" x14ac:dyDescent="0.15">
      <c r="A58" s="4" t="s">
        <v>249</v>
      </c>
      <c r="B58" s="4" t="s">
        <v>83</v>
      </c>
      <c r="C58" s="4" t="s">
        <v>82</v>
      </c>
      <c r="D58" s="4" t="s">
        <v>303</v>
      </c>
      <c r="E58" s="4" t="s">
        <v>304</v>
      </c>
      <c r="F58" s="4" t="s">
        <v>80</v>
      </c>
      <c r="G58" s="4" t="s">
        <v>184</v>
      </c>
      <c r="H58" s="4" t="s">
        <v>185</v>
      </c>
      <c r="I58" s="9">
        <v>42956</v>
      </c>
      <c r="J58" s="11">
        <v>-3880</v>
      </c>
      <c r="K58" s="4" t="s">
        <v>54</v>
      </c>
      <c r="L58" s="11">
        <v>1.7100000000000002</v>
      </c>
      <c r="M58" s="11">
        <v>-6634.8</v>
      </c>
      <c r="N58" s="4" t="s">
        <v>8</v>
      </c>
      <c r="O58" s="5">
        <v>5637294450</v>
      </c>
      <c r="P58" s="11" t="e">
        <f ca="1">_xll.AtlasFormulas.AtlasFunctions.AtlasBalance("UAT",DataAreaId,"T.MarkupTrans","Sum|Posted|0","","","","","","","TransRecId|TransTableId|MarkupCode",$O58,"492","TPP")</f>
        <v>#NAME?</v>
      </c>
    </row>
    <row r="59" spans="1:16" x14ac:dyDescent="0.15">
      <c r="A59" s="4" t="s">
        <v>249</v>
      </c>
      <c r="B59" s="4" t="s">
        <v>83</v>
      </c>
      <c r="C59" s="4" t="s">
        <v>82</v>
      </c>
      <c r="D59" s="4" t="s">
        <v>305</v>
      </c>
      <c r="E59" s="4" t="s">
        <v>306</v>
      </c>
      <c r="F59" s="4" t="s">
        <v>80</v>
      </c>
      <c r="G59" s="4" t="s">
        <v>184</v>
      </c>
      <c r="H59" s="4" t="s">
        <v>185</v>
      </c>
      <c r="I59" s="9">
        <v>42956</v>
      </c>
      <c r="J59" s="11">
        <v>3880</v>
      </c>
      <c r="K59" s="4" t="s">
        <v>54</v>
      </c>
      <c r="L59" s="11">
        <v>1.7100000000000002</v>
      </c>
      <c r="M59" s="11">
        <v>6634.8</v>
      </c>
      <c r="N59" s="4" t="s">
        <v>8</v>
      </c>
      <c r="O59" s="5">
        <v>5637294458</v>
      </c>
      <c r="P59" s="11" t="e">
        <f ca="1">_xll.AtlasFormulas.AtlasFunctions.AtlasBalance("UAT",DataAreaId,"T.MarkupTrans","Sum|Posted|0","","","","","","","TransRecId|TransTableId|MarkupCode",$O59,"492","TPP")</f>
        <v>#NAME?</v>
      </c>
    </row>
    <row r="60" spans="1:16" x14ac:dyDescent="0.15">
      <c r="A60" s="4" t="s">
        <v>249</v>
      </c>
      <c r="B60" s="4" t="s">
        <v>83</v>
      </c>
      <c r="C60" s="4" t="s">
        <v>82</v>
      </c>
      <c r="D60" s="4" t="s">
        <v>163</v>
      </c>
      <c r="E60" s="4" t="s">
        <v>307</v>
      </c>
      <c r="F60" s="4" t="s">
        <v>80</v>
      </c>
      <c r="G60" s="4" t="s">
        <v>184</v>
      </c>
      <c r="H60" s="4" t="s">
        <v>185</v>
      </c>
      <c r="I60" s="9">
        <v>42971</v>
      </c>
      <c r="J60" s="11">
        <v>3880</v>
      </c>
      <c r="K60" s="4" t="s">
        <v>54</v>
      </c>
      <c r="L60" s="11">
        <v>1.7100000000000002</v>
      </c>
      <c r="M60" s="11">
        <v>6634.8</v>
      </c>
      <c r="N60" s="4" t="s">
        <v>8</v>
      </c>
      <c r="O60" s="5">
        <v>5637294659</v>
      </c>
      <c r="P60" s="11" t="e">
        <f ca="1">_xll.AtlasFormulas.AtlasFunctions.AtlasBalance("UAT",DataAreaId,"T.MarkupTrans","Sum|Posted|0","","","","","","","TransRecId|TransTableId|MarkupCode",$O60,"492","TPP")</f>
        <v>#NAME?</v>
      </c>
    </row>
    <row r="61" spans="1:16" x14ac:dyDescent="0.15">
      <c r="A61" s="4" t="s">
        <v>20</v>
      </c>
      <c r="B61" s="4" t="s">
        <v>747</v>
      </c>
      <c r="C61" s="4" t="s">
        <v>272</v>
      </c>
      <c r="D61" s="4" t="s">
        <v>782</v>
      </c>
      <c r="E61" s="4" t="s">
        <v>783</v>
      </c>
      <c r="F61" s="4" t="s">
        <v>728</v>
      </c>
      <c r="G61" s="4" t="s">
        <v>312</v>
      </c>
      <c r="H61" s="4" t="s">
        <v>313</v>
      </c>
      <c r="I61" s="9">
        <v>42815</v>
      </c>
      <c r="J61" s="11">
        <v>3880</v>
      </c>
      <c r="K61" s="4" t="s">
        <v>54</v>
      </c>
      <c r="L61" s="11">
        <v>3.7299999999999995</v>
      </c>
      <c r="M61" s="11">
        <v>14472.4</v>
      </c>
      <c r="N61" s="4" t="s">
        <v>8</v>
      </c>
      <c r="O61" s="5">
        <v>5637291337</v>
      </c>
      <c r="P61" s="11" t="e">
        <f ca="1">_xll.AtlasFormulas.AtlasFunctions.AtlasBalance("UAT",DataAreaId,"T.MarkupTrans","Sum|Posted|0","","","","","","","TransRecId|TransTableId|MarkupCode",$O61,"492","TPP")</f>
        <v>#NAME?</v>
      </c>
    </row>
    <row r="62" spans="1:16" x14ac:dyDescent="0.15">
      <c r="A62" s="4" t="s">
        <v>288</v>
      </c>
      <c r="B62" s="4" t="s">
        <v>308</v>
      </c>
      <c r="C62" s="4" t="s">
        <v>82</v>
      </c>
      <c r="D62" s="4" t="s">
        <v>309</v>
      </c>
      <c r="E62" s="4" t="s">
        <v>310</v>
      </c>
      <c r="F62" s="4" t="s">
        <v>311</v>
      </c>
      <c r="G62" s="4" t="s">
        <v>312</v>
      </c>
      <c r="H62" s="4" t="s">
        <v>313</v>
      </c>
      <c r="I62" s="9">
        <v>42825</v>
      </c>
      <c r="J62" s="11">
        <v>3880</v>
      </c>
      <c r="K62" s="4" t="s">
        <v>54</v>
      </c>
      <c r="L62" s="11">
        <v>3.7299999999999995</v>
      </c>
      <c r="M62" s="11">
        <v>14472.4</v>
      </c>
      <c r="N62" s="4" t="s">
        <v>8</v>
      </c>
      <c r="O62" s="5">
        <v>5637291314</v>
      </c>
      <c r="P62" s="11" t="e">
        <f ca="1">_xll.AtlasFormulas.AtlasFunctions.AtlasBalance("UAT",DataAreaId,"T.MarkupTrans","Sum|Posted|0","","","","","","","TransRecId|TransTableId|MarkupCode",$O62,"492","TPP")</f>
        <v>#NAME?</v>
      </c>
    </row>
    <row r="63" spans="1:16" x14ac:dyDescent="0.15">
      <c r="A63" s="4" t="s">
        <v>20</v>
      </c>
      <c r="B63" s="4" t="s">
        <v>747</v>
      </c>
      <c r="C63" s="4" t="s">
        <v>272</v>
      </c>
      <c r="D63" s="4" t="s">
        <v>784</v>
      </c>
      <c r="E63" s="4" t="s">
        <v>785</v>
      </c>
      <c r="F63" s="4" t="s">
        <v>728</v>
      </c>
      <c r="G63" s="4" t="s">
        <v>312</v>
      </c>
      <c r="H63" s="4" t="s">
        <v>313</v>
      </c>
      <c r="I63" s="9">
        <v>42846</v>
      </c>
      <c r="J63" s="11">
        <v>3880</v>
      </c>
      <c r="K63" s="4" t="s">
        <v>54</v>
      </c>
      <c r="L63" s="11">
        <v>3.7299999999999995</v>
      </c>
      <c r="M63" s="11">
        <v>14472.4</v>
      </c>
      <c r="N63" s="4" t="s">
        <v>8</v>
      </c>
      <c r="O63" s="5">
        <v>5637291708</v>
      </c>
      <c r="P63" s="11" t="e">
        <f ca="1">_xll.AtlasFormulas.AtlasFunctions.AtlasBalance("UAT",DataAreaId,"T.MarkupTrans","Sum|Posted|0","","","","","","","TransRecId|TransTableId|MarkupCode",$O63,"492","TPP")</f>
        <v>#NAME?</v>
      </c>
    </row>
    <row r="64" spans="1:16" x14ac:dyDescent="0.15">
      <c r="A64" s="4" t="s">
        <v>288</v>
      </c>
      <c r="B64" s="4" t="s">
        <v>308</v>
      </c>
      <c r="C64" s="4" t="s">
        <v>82</v>
      </c>
      <c r="D64" s="4" t="s">
        <v>314</v>
      </c>
      <c r="E64" s="4" t="s">
        <v>315</v>
      </c>
      <c r="F64" s="4" t="s">
        <v>311</v>
      </c>
      <c r="G64" s="4" t="s">
        <v>312</v>
      </c>
      <c r="H64" s="4" t="s">
        <v>313</v>
      </c>
      <c r="I64" s="9">
        <v>42855</v>
      </c>
      <c r="J64" s="11">
        <v>3880</v>
      </c>
      <c r="K64" s="4" t="s">
        <v>54</v>
      </c>
      <c r="L64" s="11">
        <v>3.7299999999999995</v>
      </c>
      <c r="M64" s="11">
        <v>14472.4</v>
      </c>
      <c r="N64" s="4" t="s">
        <v>8</v>
      </c>
      <c r="O64" s="5">
        <v>5637291772</v>
      </c>
      <c r="P64" s="11" t="e">
        <f ca="1">_xll.AtlasFormulas.AtlasFunctions.AtlasBalance("UAT",DataAreaId,"T.MarkupTrans","Sum|Posted|0","","","","","","","TransRecId|TransTableId|MarkupCode",$O64,"492","TPP")</f>
        <v>#NAME?</v>
      </c>
    </row>
    <row r="65" spans="1:16" x14ac:dyDescent="0.15">
      <c r="A65" s="4" t="s">
        <v>20</v>
      </c>
      <c r="B65" s="4" t="s">
        <v>747</v>
      </c>
      <c r="C65" s="4" t="s">
        <v>272</v>
      </c>
      <c r="D65" s="4" t="s">
        <v>786</v>
      </c>
      <c r="E65" s="4" t="s">
        <v>787</v>
      </c>
      <c r="F65" s="4" t="s">
        <v>728</v>
      </c>
      <c r="G65" s="4" t="s">
        <v>312</v>
      </c>
      <c r="H65" s="4" t="s">
        <v>313</v>
      </c>
      <c r="I65" s="9">
        <v>42905</v>
      </c>
      <c r="J65" s="11">
        <v>1940</v>
      </c>
      <c r="K65" s="4" t="s">
        <v>54</v>
      </c>
      <c r="L65" s="11">
        <v>3.59</v>
      </c>
      <c r="M65" s="11">
        <v>6964.6</v>
      </c>
      <c r="N65" s="4" t="s">
        <v>8</v>
      </c>
      <c r="O65" s="5">
        <v>5637292957</v>
      </c>
      <c r="P65" s="11" t="e">
        <f ca="1">_xll.AtlasFormulas.AtlasFunctions.AtlasBalance("UAT",DataAreaId,"T.MarkupTrans","Sum|Posted|0","","","","","","","TransRecId|TransTableId|MarkupCode",$O65,"492","TPP")</f>
        <v>#NAME?</v>
      </c>
    </row>
    <row r="66" spans="1:16" x14ac:dyDescent="0.15">
      <c r="A66" s="4" t="s">
        <v>288</v>
      </c>
      <c r="B66" s="4" t="s">
        <v>308</v>
      </c>
      <c r="C66" s="4" t="s">
        <v>82</v>
      </c>
      <c r="D66" s="4" t="s">
        <v>316</v>
      </c>
      <c r="E66" s="4" t="s">
        <v>317</v>
      </c>
      <c r="F66" s="4" t="s">
        <v>311</v>
      </c>
      <c r="G66" s="4" t="s">
        <v>312</v>
      </c>
      <c r="H66" s="4" t="s">
        <v>313</v>
      </c>
      <c r="I66" s="9">
        <v>42915</v>
      </c>
      <c r="J66" s="11">
        <v>1940</v>
      </c>
      <c r="K66" s="4" t="s">
        <v>54</v>
      </c>
      <c r="L66" s="11">
        <v>3.59</v>
      </c>
      <c r="M66" s="11">
        <v>6964.6</v>
      </c>
      <c r="N66" s="4" t="s">
        <v>8</v>
      </c>
      <c r="O66" s="5">
        <v>5637292994</v>
      </c>
      <c r="P66" s="11" t="e">
        <f ca="1">_xll.AtlasFormulas.AtlasFunctions.AtlasBalance("UAT",DataAreaId,"T.MarkupTrans","Sum|Posted|0","","","","","","","TransRecId|TransTableId|MarkupCode",$O66,"492","TPP")</f>
        <v>#NAME?</v>
      </c>
    </row>
    <row r="67" spans="1:16" x14ac:dyDescent="0.15">
      <c r="A67" s="4" t="s">
        <v>20</v>
      </c>
      <c r="B67" s="4" t="s">
        <v>747</v>
      </c>
      <c r="C67" s="4" t="s">
        <v>272</v>
      </c>
      <c r="D67" s="4" t="s">
        <v>788</v>
      </c>
      <c r="E67" s="4" t="s">
        <v>789</v>
      </c>
      <c r="F67" s="4" t="s">
        <v>728</v>
      </c>
      <c r="G67" s="4" t="s">
        <v>320</v>
      </c>
      <c r="H67" s="4" t="s">
        <v>321</v>
      </c>
      <c r="I67" s="9">
        <v>42765</v>
      </c>
      <c r="J67" s="11">
        <v>1940</v>
      </c>
      <c r="K67" s="4" t="s">
        <v>54</v>
      </c>
      <c r="L67" s="11">
        <v>1.65</v>
      </c>
      <c r="M67" s="11">
        <v>3201</v>
      </c>
      <c r="N67" s="4" t="s">
        <v>8</v>
      </c>
      <c r="O67" s="5">
        <v>5637289700</v>
      </c>
      <c r="P67" s="11" t="e">
        <f ca="1">_xll.AtlasFormulas.AtlasFunctions.AtlasBalance("UAT",DataAreaId,"T.MarkupTrans","Sum|Posted|0","","","","","","","TransRecId|TransTableId|MarkupCode",$O67,"492","TPP")</f>
        <v>#NAME?</v>
      </c>
    </row>
    <row r="68" spans="1:16" x14ac:dyDescent="0.15">
      <c r="A68" s="4" t="s">
        <v>227</v>
      </c>
      <c r="B68" s="4" t="s">
        <v>228</v>
      </c>
      <c r="C68" s="4" t="s">
        <v>82</v>
      </c>
      <c r="D68" s="4" t="s">
        <v>318</v>
      </c>
      <c r="E68" s="4" t="s">
        <v>319</v>
      </c>
      <c r="F68" s="4" t="s">
        <v>231</v>
      </c>
      <c r="G68" s="4" t="s">
        <v>320</v>
      </c>
      <c r="H68" s="4" t="s">
        <v>321</v>
      </c>
      <c r="I68" s="9">
        <v>42774</v>
      </c>
      <c r="J68" s="11">
        <v>1940</v>
      </c>
      <c r="K68" s="4" t="s">
        <v>54</v>
      </c>
      <c r="L68" s="11">
        <v>1.65</v>
      </c>
      <c r="M68" s="11">
        <v>3201</v>
      </c>
      <c r="N68" s="4" t="s">
        <v>8</v>
      </c>
      <c r="O68" s="5">
        <v>5637289770</v>
      </c>
      <c r="P68" s="11" t="e">
        <f ca="1">_xll.AtlasFormulas.AtlasFunctions.AtlasBalance("UAT",DataAreaId,"T.MarkupTrans","Sum|Posted|0","","","","","","","TransRecId|TransTableId|MarkupCode",$O68,"492","TPP")</f>
        <v>#NAME?</v>
      </c>
    </row>
    <row r="69" spans="1:16" x14ac:dyDescent="0.15">
      <c r="A69" s="4" t="s">
        <v>20</v>
      </c>
      <c r="B69" s="4" t="s">
        <v>747</v>
      </c>
      <c r="C69" s="4" t="s">
        <v>272</v>
      </c>
      <c r="D69" s="4" t="s">
        <v>790</v>
      </c>
      <c r="E69" s="4" t="s">
        <v>791</v>
      </c>
      <c r="F69" s="4" t="s">
        <v>728</v>
      </c>
      <c r="G69" s="4" t="s">
        <v>320</v>
      </c>
      <c r="H69" s="4" t="s">
        <v>321</v>
      </c>
      <c r="I69" s="9">
        <v>42795</v>
      </c>
      <c r="J69" s="11">
        <v>11640</v>
      </c>
      <c r="K69" s="4" t="s">
        <v>54</v>
      </c>
      <c r="L69" s="11">
        <v>1.67</v>
      </c>
      <c r="M69" s="11">
        <v>19438.8</v>
      </c>
      <c r="N69" s="4" t="s">
        <v>8</v>
      </c>
      <c r="O69" s="5">
        <v>5637290992</v>
      </c>
      <c r="P69" s="11" t="e">
        <f ca="1">_xll.AtlasFormulas.AtlasFunctions.AtlasBalance("UAT",DataAreaId,"T.MarkupTrans","Sum|Posted|0","","","","","","","TransRecId|TransTableId|MarkupCode",$O69,"492","TPP")</f>
        <v>#NAME?</v>
      </c>
    </row>
    <row r="70" spans="1:16" x14ac:dyDescent="0.15">
      <c r="A70" s="4" t="s">
        <v>227</v>
      </c>
      <c r="B70" s="4" t="s">
        <v>228</v>
      </c>
      <c r="C70" s="4" t="s">
        <v>82</v>
      </c>
      <c r="D70" s="4" t="s">
        <v>322</v>
      </c>
      <c r="E70" s="4" t="s">
        <v>323</v>
      </c>
      <c r="F70" s="4" t="s">
        <v>231</v>
      </c>
      <c r="G70" s="4" t="s">
        <v>320</v>
      </c>
      <c r="H70" s="4" t="s">
        <v>321</v>
      </c>
      <c r="I70" s="9">
        <v>42800</v>
      </c>
      <c r="J70" s="11">
        <v>11640</v>
      </c>
      <c r="K70" s="4" t="s">
        <v>54</v>
      </c>
      <c r="L70" s="11">
        <v>1.67</v>
      </c>
      <c r="M70" s="11">
        <v>19438.8</v>
      </c>
      <c r="N70" s="4" t="s">
        <v>8</v>
      </c>
      <c r="O70" s="5">
        <v>5637291015</v>
      </c>
      <c r="P70" s="11" t="e">
        <f ca="1">_xll.AtlasFormulas.AtlasFunctions.AtlasBalance("UAT",DataAreaId,"T.MarkupTrans","Sum|Posted|0","","","","","","","TransRecId|TransTableId|MarkupCode",$O70,"492","TPP")</f>
        <v>#NAME?</v>
      </c>
    </row>
    <row r="71" spans="1:16" x14ac:dyDescent="0.15">
      <c r="A71" s="4" t="s">
        <v>227</v>
      </c>
      <c r="B71" s="4" t="s">
        <v>228</v>
      </c>
      <c r="C71" s="4" t="s">
        <v>82</v>
      </c>
      <c r="D71" s="4" t="s">
        <v>324</v>
      </c>
      <c r="E71" s="4" t="s">
        <v>325</v>
      </c>
      <c r="F71" s="4" t="s">
        <v>231</v>
      </c>
      <c r="G71" s="4" t="s">
        <v>320</v>
      </c>
      <c r="H71" s="4" t="s">
        <v>321</v>
      </c>
      <c r="I71" s="9">
        <v>42817</v>
      </c>
      <c r="J71" s="11">
        <v>1940</v>
      </c>
      <c r="K71" s="4" t="s">
        <v>54</v>
      </c>
      <c r="L71" s="11">
        <v>1.65</v>
      </c>
      <c r="M71" s="11">
        <v>3201</v>
      </c>
      <c r="N71" s="4" t="s">
        <v>8</v>
      </c>
      <c r="O71" s="5">
        <v>5637291185</v>
      </c>
      <c r="P71" s="11" t="e">
        <f ca="1">_xll.AtlasFormulas.AtlasFunctions.AtlasBalance("UAT",DataAreaId,"T.MarkupTrans","Sum|Posted|0","","","","","","","TransRecId|TransTableId|MarkupCode",$O71,"492","TPP")</f>
        <v>#NAME?</v>
      </c>
    </row>
    <row r="72" spans="1:16" x14ac:dyDescent="0.15">
      <c r="A72" s="4" t="s">
        <v>227</v>
      </c>
      <c r="B72" s="4" t="s">
        <v>228</v>
      </c>
      <c r="C72" s="4" t="s">
        <v>82</v>
      </c>
      <c r="D72" s="4" t="s">
        <v>85</v>
      </c>
      <c r="E72" s="4" t="s">
        <v>326</v>
      </c>
      <c r="F72" s="4" t="s">
        <v>231</v>
      </c>
      <c r="G72" s="4" t="s">
        <v>320</v>
      </c>
      <c r="H72" s="4" t="s">
        <v>321</v>
      </c>
      <c r="I72" s="9">
        <v>42817</v>
      </c>
      <c r="J72" s="11">
        <v>-1940</v>
      </c>
      <c r="K72" s="4" t="s">
        <v>54</v>
      </c>
      <c r="L72" s="11">
        <v>0</v>
      </c>
      <c r="M72" s="11">
        <v>0</v>
      </c>
      <c r="N72" s="4" t="s">
        <v>8</v>
      </c>
      <c r="O72" s="5">
        <v>5637291252</v>
      </c>
      <c r="P72" s="11" t="e">
        <f ca="1">_xll.AtlasFormulas.AtlasFunctions.AtlasBalance("UAT",DataAreaId,"T.MarkupTrans","Sum|Posted|0","","","","","","","TransRecId|TransTableId|MarkupCode",$O72,"492","TPP")</f>
        <v>#NAME?</v>
      </c>
    </row>
    <row r="73" spans="1:16" x14ac:dyDescent="0.15">
      <c r="A73" s="4" t="s">
        <v>227</v>
      </c>
      <c r="B73" s="4" t="s">
        <v>228</v>
      </c>
      <c r="C73" s="4" t="s">
        <v>82</v>
      </c>
      <c r="D73" s="4" t="s">
        <v>327</v>
      </c>
      <c r="E73" s="4" t="s">
        <v>328</v>
      </c>
      <c r="F73" s="4" t="s">
        <v>231</v>
      </c>
      <c r="G73" s="4" t="s">
        <v>320</v>
      </c>
      <c r="H73" s="4" t="s">
        <v>321</v>
      </c>
      <c r="I73" s="9">
        <v>42817</v>
      </c>
      <c r="J73" s="11">
        <v>1940</v>
      </c>
      <c r="K73" s="4" t="s">
        <v>54</v>
      </c>
      <c r="L73" s="11">
        <v>0</v>
      </c>
      <c r="M73" s="11">
        <v>0</v>
      </c>
      <c r="N73" s="4" t="s">
        <v>8</v>
      </c>
      <c r="O73" s="5">
        <v>5637291239</v>
      </c>
      <c r="P73" s="11" t="e">
        <f ca="1">_xll.AtlasFormulas.AtlasFunctions.AtlasBalance("UAT",DataAreaId,"T.MarkupTrans","Sum|Posted|0","","","","","","","TransRecId|TransTableId|MarkupCode",$O73,"492","TPP")</f>
        <v>#NAME?</v>
      </c>
    </row>
    <row r="74" spans="1:16" x14ac:dyDescent="0.15">
      <c r="A74" s="4" t="s">
        <v>227</v>
      </c>
      <c r="B74" s="4" t="s">
        <v>228</v>
      </c>
      <c r="C74" s="4" t="s">
        <v>82</v>
      </c>
      <c r="D74" s="4" t="s">
        <v>329</v>
      </c>
      <c r="E74" s="4" t="s">
        <v>330</v>
      </c>
      <c r="F74" s="4" t="s">
        <v>231</v>
      </c>
      <c r="G74" s="4" t="s">
        <v>320</v>
      </c>
      <c r="H74" s="4" t="s">
        <v>321</v>
      </c>
      <c r="I74" s="9">
        <v>42817</v>
      </c>
      <c r="J74" s="11">
        <v>-1940</v>
      </c>
      <c r="K74" s="4" t="s">
        <v>54</v>
      </c>
      <c r="L74" s="11">
        <v>1.65</v>
      </c>
      <c r="M74" s="11">
        <v>-3201</v>
      </c>
      <c r="N74" s="4" t="s">
        <v>8</v>
      </c>
      <c r="O74" s="5">
        <v>5637291212</v>
      </c>
      <c r="P74" s="11" t="e">
        <f ca="1">_xll.AtlasFormulas.AtlasFunctions.AtlasBalance("UAT",DataAreaId,"T.MarkupTrans","Sum|Posted|0","","","","","","","TransRecId|TransTableId|MarkupCode",$O74,"492","TPP")</f>
        <v>#NAME?</v>
      </c>
    </row>
    <row r="75" spans="1:16" x14ac:dyDescent="0.15">
      <c r="A75" s="4" t="s">
        <v>20</v>
      </c>
      <c r="B75" s="4" t="s">
        <v>747</v>
      </c>
      <c r="C75" s="4" t="s">
        <v>272</v>
      </c>
      <c r="D75" s="4" t="s">
        <v>748</v>
      </c>
      <c r="E75" s="4" t="s">
        <v>749</v>
      </c>
      <c r="F75" s="4" t="s">
        <v>728</v>
      </c>
      <c r="G75" s="4" t="s">
        <v>331</v>
      </c>
      <c r="H75" s="4" t="s">
        <v>185</v>
      </c>
      <c r="I75" s="9">
        <v>42800</v>
      </c>
      <c r="J75" s="11">
        <v>9000</v>
      </c>
      <c r="K75" s="4" t="s">
        <v>54</v>
      </c>
      <c r="L75" s="11">
        <v>1.6600000000000001</v>
      </c>
      <c r="M75" s="11">
        <v>14940</v>
      </c>
      <c r="N75" s="4" t="s">
        <v>8</v>
      </c>
      <c r="O75" s="5">
        <v>5637291010</v>
      </c>
      <c r="P75" s="11" t="e">
        <f ca="1">_xll.AtlasFormulas.AtlasFunctions.AtlasBalance("UAT",DataAreaId,"T.MarkupTrans","Sum|Posted|0","","","","","","","TransRecId|TransTableId|MarkupCode",$O75,"492","TPP")</f>
        <v>#NAME?</v>
      </c>
    </row>
    <row r="76" spans="1:16" x14ac:dyDescent="0.15">
      <c r="A76" s="4" t="s">
        <v>227</v>
      </c>
      <c r="B76" s="4" t="s">
        <v>228</v>
      </c>
      <c r="C76" s="4" t="s">
        <v>82</v>
      </c>
      <c r="D76" s="4" t="s">
        <v>282</v>
      </c>
      <c r="E76" s="4" t="s">
        <v>283</v>
      </c>
      <c r="F76" s="4" t="s">
        <v>231</v>
      </c>
      <c r="G76" s="4" t="s">
        <v>331</v>
      </c>
      <c r="H76" s="4" t="s">
        <v>185</v>
      </c>
      <c r="I76" s="9">
        <v>42802</v>
      </c>
      <c r="J76" s="11">
        <v>9000</v>
      </c>
      <c r="K76" s="4" t="s">
        <v>54</v>
      </c>
      <c r="L76" s="11">
        <v>1.6600000000000001</v>
      </c>
      <c r="M76" s="11">
        <v>14940</v>
      </c>
      <c r="N76" s="4" t="s">
        <v>8</v>
      </c>
      <c r="O76" s="5">
        <v>5637291026</v>
      </c>
      <c r="P76" s="11" t="e">
        <f ca="1">_xll.AtlasFormulas.AtlasFunctions.AtlasBalance("UAT",DataAreaId,"T.MarkupTrans","Sum|Posted|0","","","","","","","TransRecId|TransTableId|MarkupCode",$O76,"492","TPP")</f>
        <v>#NAME?</v>
      </c>
    </row>
    <row r="77" spans="1:16" x14ac:dyDescent="0.15">
      <c r="A77" s="4" t="s">
        <v>20</v>
      </c>
      <c r="B77" s="4" t="s">
        <v>752</v>
      </c>
      <c r="C77" s="4" t="s">
        <v>272</v>
      </c>
      <c r="D77" s="4" t="s">
        <v>792</v>
      </c>
      <c r="E77" s="4" t="s">
        <v>793</v>
      </c>
      <c r="F77" s="4" t="s">
        <v>728</v>
      </c>
      <c r="G77" s="4" t="s">
        <v>331</v>
      </c>
      <c r="H77" s="4" t="s">
        <v>185</v>
      </c>
      <c r="I77" s="9">
        <v>42879</v>
      </c>
      <c r="J77" s="11">
        <v>7500</v>
      </c>
      <c r="K77" s="4" t="s">
        <v>54</v>
      </c>
      <c r="L77" s="11">
        <v>1.6600000000000001</v>
      </c>
      <c r="M77" s="11">
        <v>12450</v>
      </c>
      <c r="N77" s="4" t="s">
        <v>8</v>
      </c>
      <c r="O77" s="5">
        <v>5637292227</v>
      </c>
      <c r="P77" s="11" t="e">
        <f ca="1">_xll.AtlasFormulas.AtlasFunctions.AtlasBalance("UAT",DataAreaId,"T.MarkupTrans","Sum|Posted|0","","","","","","","TransRecId|TransTableId|MarkupCode",$O77,"492","TPP")</f>
        <v>#NAME?</v>
      </c>
    </row>
    <row r="78" spans="1:16" x14ac:dyDescent="0.15">
      <c r="A78" s="4" t="s">
        <v>20</v>
      </c>
      <c r="B78" s="4" t="s">
        <v>747</v>
      </c>
      <c r="C78" s="4" t="s">
        <v>272</v>
      </c>
      <c r="D78" s="4" t="s">
        <v>794</v>
      </c>
      <c r="E78" s="4" t="s">
        <v>795</v>
      </c>
      <c r="F78" s="4" t="s">
        <v>728</v>
      </c>
      <c r="G78" s="4" t="s">
        <v>331</v>
      </c>
      <c r="H78" s="4" t="s">
        <v>185</v>
      </c>
      <c r="I78" s="9">
        <v>42888</v>
      </c>
      <c r="J78" s="11">
        <v>7500</v>
      </c>
      <c r="K78" s="4" t="s">
        <v>54</v>
      </c>
      <c r="L78" s="11">
        <v>1.6600000000000001</v>
      </c>
      <c r="M78" s="11">
        <v>12450</v>
      </c>
      <c r="N78" s="4" t="s">
        <v>8</v>
      </c>
      <c r="O78" s="5">
        <v>5637292313</v>
      </c>
      <c r="P78" s="11" t="e">
        <f ca="1">_xll.AtlasFormulas.AtlasFunctions.AtlasBalance("UAT",DataAreaId,"T.MarkupTrans","Sum|Posted|0","","","","","","","TransRecId|TransTableId|MarkupCode",$O78,"492","TPP")</f>
        <v>#NAME?</v>
      </c>
    </row>
    <row r="79" spans="1:16" x14ac:dyDescent="0.15">
      <c r="A79" s="4" t="s">
        <v>227</v>
      </c>
      <c r="B79" s="4" t="s">
        <v>228</v>
      </c>
      <c r="C79" s="4" t="s">
        <v>82</v>
      </c>
      <c r="D79" s="4" t="s">
        <v>290</v>
      </c>
      <c r="E79" s="4" t="s">
        <v>332</v>
      </c>
      <c r="F79" s="4" t="s">
        <v>231</v>
      </c>
      <c r="G79" s="4" t="s">
        <v>331</v>
      </c>
      <c r="H79" s="4" t="s">
        <v>185</v>
      </c>
      <c r="I79" s="9">
        <v>42888</v>
      </c>
      <c r="J79" s="11">
        <v>7500</v>
      </c>
      <c r="K79" s="4" t="s">
        <v>54</v>
      </c>
      <c r="L79" s="11">
        <v>1.6600000000000001</v>
      </c>
      <c r="M79" s="11">
        <v>12450</v>
      </c>
      <c r="N79" s="4" t="s">
        <v>8</v>
      </c>
      <c r="O79" s="5">
        <v>5637292317</v>
      </c>
      <c r="P79" s="11" t="e">
        <f ca="1">_xll.AtlasFormulas.AtlasFunctions.AtlasBalance("UAT",DataAreaId,"T.MarkupTrans","Sum|Posted|0","","","","","","","TransRecId|TransTableId|MarkupCode",$O79,"492","TPP")</f>
        <v>#NAME?</v>
      </c>
    </row>
    <row r="80" spans="1:16" x14ac:dyDescent="0.15">
      <c r="A80" s="4" t="s">
        <v>20</v>
      </c>
      <c r="B80" s="4" t="s">
        <v>747</v>
      </c>
      <c r="C80" s="4" t="s">
        <v>272</v>
      </c>
      <c r="D80" s="4" t="s">
        <v>796</v>
      </c>
      <c r="E80" s="4" t="s">
        <v>797</v>
      </c>
      <c r="F80" s="4" t="s">
        <v>728</v>
      </c>
      <c r="G80" s="4" t="s">
        <v>335</v>
      </c>
      <c r="H80" s="4" t="s">
        <v>321</v>
      </c>
      <c r="I80" s="9">
        <v>42755</v>
      </c>
      <c r="J80" s="11">
        <v>9000</v>
      </c>
      <c r="K80" s="4" t="s">
        <v>54</v>
      </c>
      <c r="L80" s="11">
        <v>1.65</v>
      </c>
      <c r="M80" s="11">
        <v>14850</v>
      </c>
      <c r="N80" s="4" t="s">
        <v>8</v>
      </c>
      <c r="O80" s="5">
        <v>5637289690</v>
      </c>
      <c r="P80" s="11" t="e">
        <f ca="1">_xll.AtlasFormulas.AtlasFunctions.AtlasBalance("UAT",DataAreaId,"T.MarkupTrans","Sum|Posted|0","","","","","","","TransRecId|TransTableId|MarkupCode",$O80,"492","TPP")</f>
        <v>#NAME?</v>
      </c>
    </row>
    <row r="81" spans="1:16" x14ac:dyDescent="0.15">
      <c r="A81" s="4" t="s">
        <v>227</v>
      </c>
      <c r="B81" s="4" t="s">
        <v>228</v>
      </c>
      <c r="C81" s="4" t="s">
        <v>82</v>
      </c>
      <c r="D81" s="4" t="s">
        <v>333</v>
      </c>
      <c r="E81" s="4" t="s">
        <v>334</v>
      </c>
      <c r="F81" s="4" t="s">
        <v>231</v>
      </c>
      <c r="G81" s="4" t="s">
        <v>335</v>
      </c>
      <c r="H81" s="4" t="s">
        <v>321</v>
      </c>
      <c r="I81" s="9">
        <v>42765</v>
      </c>
      <c r="J81" s="11">
        <v>9000</v>
      </c>
      <c r="K81" s="4" t="s">
        <v>54</v>
      </c>
      <c r="L81" s="11">
        <v>1.65</v>
      </c>
      <c r="M81" s="11">
        <v>14850</v>
      </c>
      <c r="N81" s="4" t="s">
        <v>8</v>
      </c>
      <c r="O81" s="5">
        <v>5637289695</v>
      </c>
      <c r="P81" s="11" t="e">
        <f ca="1">_xll.AtlasFormulas.AtlasFunctions.AtlasBalance("UAT",DataAreaId,"T.MarkupTrans","Sum|Posted|0","","","","","","","TransRecId|TransTableId|MarkupCode",$O81,"492","TPP")</f>
        <v>#NAME?</v>
      </c>
    </row>
    <row r="82" spans="1:16" x14ac:dyDescent="0.15">
      <c r="A82" s="4" t="s">
        <v>20</v>
      </c>
      <c r="B82" s="4" t="s">
        <v>747</v>
      </c>
      <c r="C82" s="4" t="s">
        <v>272</v>
      </c>
      <c r="D82" s="4" t="s">
        <v>790</v>
      </c>
      <c r="E82" s="4" t="s">
        <v>791</v>
      </c>
      <c r="F82" s="4" t="s">
        <v>728</v>
      </c>
      <c r="G82" s="4" t="s">
        <v>335</v>
      </c>
      <c r="H82" s="4" t="s">
        <v>321</v>
      </c>
      <c r="I82" s="9">
        <v>42795</v>
      </c>
      <c r="J82" s="11">
        <v>1500</v>
      </c>
      <c r="K82" s="4" t="s">
        <v>54</v>
      </c>
      <c r="L82" s="11">
        <v>1.67</v>
      </c>
      <c r="M82" s="11">
        <v>2505</v>
      </c>
      <c r="N82" s="4" t="s">
        <v>8</v>
      </c>
      <c r="O82" s="5">
        <v>5637290993</v>
      </c>
      <c r="P82" s="11" t="e">
        <f ca="1">_xll.AtlasFormulas.AtlasFunctions.AtlasBalance("UAT",DataAreaId,"T.MarkupTrans","Sum|Posted|0","","","","","","","TransRecId|TransTableId|MarkupCode",$O82,"492","TPP")</f>
        <v>#NAME?</v>
      </c>
    </row>
    <row r="83" spans="1:16" x14ac:dyDescent="0.15">
      <c r="A83" s="4" t="s">
        <v>227</v>
      </c>
      <c r="B83" s="4" t="s">
        <v>228</v>
      </c>
      <c r="C83" s="4" t="s">
        <v>82</v>
      </c>
      <c r="D83" s="4" t="s">
        <v>322</v>
      </c>
      <c r="E83" s="4" t="s">
        <v>323</v>
      </c>
      <c r="F83" s="4" t="s">
        <v>231</v>
      </c>
      <c r="G83" s="4" t="s">
        <v>335</v>
      </c>
      <c r="H83" s="4" t="s">
        <v>321</v>
      </c>
      <c r="I83" s="9">
        <v>42800</v>
      </c>
      <c r="J83" s="11">
        <v>1500</v>
      </c>
      <c r="K83" s="4" t="s">
        <v>54</v>
      </c>
      <c r="L83" s="11">
        <v>1.67</v>
      </c>
      <c r="M83" s="11">
        <v>2505</v>
      </c>
      <c r="N83" s="4" t="s">
        <v>8</v>
      </c>
      <c r="O83" s="5">
        <v>5637291016</v>
      </c>
      <c r="P83" s="11" t="e">
        <f ca="1">_xll.AtlasFormulas.AtlasFunctions.AtlasBalance("UAT",DataAreaId,"T.MarkupTrans","Sum|Posted|0","","","","","","","TransRecId|TransTableId|MarkupCode",$O83,"492","TPP")</f>
        <v>#NAME?</v>
      </c>
    </row>
    <row r="84" spans="1:16" x14ac:dyDescent="0.15">
      <c r="A84" s="4" t="s">
        <v>227</v>
      </c>
      <c r="B84" s="4" t="s">
        <v>228</v>
      </c>
      <c r="C84" s="4" t="s">
        <v>82</v>
      </c>
      <c r="D84" s="4" t="s">
        <v>269</v>
      </c>
      <c r="E84" s="4" t="s">
        <v>336</v>
      </c>
      <c r="F84" s="4" t="s">
        <v>231</v>
      </c>
      <c r="G84" s="4" t="s">
        <v>335</v>
      </c>
      <c r="H84" s="4" t="s">
        <v>321</v>
      </c>
      <c r="I84" s="9">
        <v>42817</v>
      </c>
      <c r="J84" s="11">
        <v>9000</v>
      </c>
      <c r="K84" s="4" t="s">
        <v>54</v>
      </c>
      <c r="L84" s="11">
        <v>1.65</v>
      </c>
      <c r="M84" s="11">
        <v>14850</v>
      </c>
      <c r="N84" s="4" t="s">
        <v>8</v>
      </c>
      <c r="O84" s="5">
        <v>5637291182</v>
      </c>
      <c r="P84" s="11" t="e">
        <f ca="1">_xll.AtlasFormulas.AtlasFunctions.AtlasBalance("UAT",DataAreaId,"T.MarkupTrans","Sum|Posted|0","","","","","","","TransRecId|TransTableId|MarkupCode",$O84,"492","TPP")</f>
        <v>#NAME?</v>
      </c>
    </row>
    <row r="85" spans="1:16" x14ac:dyDescent="0.15">
      <c r="A85" s="4" t="s">
        <v>227</v>
      </c>
      <c r="B85" s="4" t="s">
        <v>228</v>
      </c>
      <c r="C85" s="4" t="s">
        <v>82</v>
      </c>
      <c r="D85" s="4" t="s">
        <v>121</v>
      </c>
      <c r="E85" s="4" t="s">
        <v>337</v>
      </c>
      <c r="F85" s="4" t="s">
        <v>231</v>
      </c>
      <c r="G85" s="4" t="s">
        <v>335</v>
      </c>
      <c r="H85" s="4" t="s">
        <v>321</v>
      </c>
      <c r="I85" s="9">
        <v>42817</v>
      </c>
      <c r="J85" s="11">
        <v>-9000</v>
      </c>
      <c r="K85" s="4" t="s">
        <v>54</v>
      </c>
      <c r="L85" s="11">
        <v>1.65</v>
      </c>
      <c r="M85" s="11">
        <v>-14850</v>
      </c>
      <c r="N85" s="4" t="s">
        <v>8</v>
      </c>
      <c r="O85" s="5">
        <v>5637291209</v>
      </c>
      <c r="P85" s="11" t="e">
        <f ca="1">_xll.AtlasFormulas.AtlasFunctions.AtlasBalance("UAT",DataAreaId,"T.MarkupTrans","Sum|Posted|0","","","","","","","TransRecId|TransTableId|MarkupCode",$O85,"492","TPP")</f>
        <v>#NAME?</v>
      </c>
    </row>
    <row r="86" spans="1:16" x14ac:dyDescent="0.15">
      <c r="A86" s="4" t="s">
        <v>227</v>
      </c>
      <c r="B86" s="4" t="s">
        <v>228</v>
      </c>
      <c r="C86" s="4" t="s">
        <v>82</v>
      </c>
      <c r="D86" s="4" t="s">
        <v>115</v>
      </c>
      <c r="E86" s="4" t="s">
        <v>338</v>
      </c>
      <c r="F86" s="4" t="s">
        <v>231</v>
      </c>
      <c r="G86" s="4" t="s">
        <v>335</v>
      </c>
      <c r="H86" s="4" t="s">
        <v>321</v>
      </c>
      <c r="I86" s="9">
        <v>42817</v>
      </c>
      <c r="J86" s="11">
        <v>9000</v>
      </c>
      <c r="K86" s="4" t="s">
        <v>54</v>
      </c>
      <c r="L86" s="11">
        <v>0</v>
      </c>
      <c r="M86" s="11">
        <v>0</v>
      </c>
      <c r="N86" s="4" t="s">
        <v>8</v>
      </c>
      <c r="O86" s="5">
        <v>5637291236</v>
      </c>
      <c r="P86" s="11" t="e">
        <f ca="1">_xll.AtlasFormulas.AtlasFunctions.AtlasBalance("UAT",DataAreaId,"T.MarkupTrans","Sum|Posted|0","","","","","","","TransRecId|TransTableId|MarkupCode",$O86,"492","TPP")</f>
        <v>#NAME?</v>
      </c>
    </row>
    <row r="87" spans="1:16" x14ac:dyDescent="0.15">
      <c r="A87" s="4" t="s">
        <v>227</v>
      </c>
      <c r="B87" s="4" t="s">
        <v>228</v>
      </c>
      <c r="C87" s="4" t="s">
        <v>82</v>
      </c>
      <c r="D87" s="4" t="s">
        <v>339</v>
      </c>
      <c r="E87" s="4" t="s">
        <v>340</v>
      </c>
      <c r="F87" s="4" t="s">
        <v>231</v>
      </c>
      <c r="G87" s="4" t="s">
        <v>335</v>
      </c>
      <c r="H87" s="4" t="s">
        <v>321</v>
      </c>
      <c r="I87" s="9">
        <v>42817</v>
      </c>
      <c r="J87" s="11">
        <v>-9000</v>
      </c>
      <c r="K87" s="4" t="s">
        <v>54</v>
      </c>
      <c r="L87" s="11">
        <v>0</v>
      </c>
      <c r="M87" s="11">
        <v>0</v>
      </c>
      <c r="N87" s="4" t="s">
        <v>8</v>
      </c>
      <c r="O87" s="5">
        <v>5637291249</v>
      </c>
      <c r="P87" s="11" t="e">
        <f ca="1">_xll.AtlasFormulas.AtlasFunctions.AtlasBalance("UAT",DataAreaId,"T.MarkupTrans","Sum|Posted|0","","","","","","","TransRecId|TransTableId|MarkupCode",$O87,"492","TPP")</f>
        <v>#NAME?</v>
      </c>
    </row>
    <row r="88" spans="1:16" x14ac:dyDescent="0.15">
      <c r="A88" s="4" t="s">
        <v>20</v>
      </c>
      <c r="B88" s="4" t="s">
        <v>747</v>
      </c>
      <c r="C88" s="4" t="s">
        <v>272</v>
      </c>
      <c r="D88" s="4" t="s">
        <v>798</v>
      </c>
      <c r="E88" s="4" t="s">
        <v>799</v>
      </c>
      <c r="F88" s="4" t="s">
        <v>728</v>
      </c>
      <c r="G88" s="4" t="s">
        <v>193</v>
      </c>
      <c r="H88" s="4" t="s">
        <v>185</v>
      </c>
      <c r="I88" s="9">
        <v>42738</v>
      </c>
      <c r="J88" s="11">
        <v>18427.5</v>
      </c>
      <c r="K88" s="4" t="s">
        <v>54</v>
      </c>
      <c r="L88" s="11">
        <v>1.67</v>
      </c>
      <c r="M88" s="11">
        <v>30773.93</v>
      </c>
      <c r="N88" s="4" t="s">
        <v>8</v>
      </c>
      <c r="O88" s="5">
        <v>5637289651</v>
      </c>
      <c r="P88" s="11" t="e">
        <f ca="1">_xll.AtlasFormulas.AtlasFunctions.AtlasBalance("UAT",DataAreaId,"T.MarkupTrans","Sum|Posted|0","","","","","","","TransRecId|TransTableId|MarkupCode",$O88,"492","TPP")</f>
        <v>#NAME?</v>
      </c>
    </row>
    <row r="89" spans="1:16" x14ac:dyDescent="0.15">
      <c r="A89" s="4" t="s">
        <v>20</v>
      </c>
      <c r="B89" s="4" t="s">
        <v>747</v>
      </c>
      <c r="C89" s="4" t="s">
        <v>272</v>
      </c>
      <c r="D89" s="4" t="s">
        <v>800</v>
      </c>
      <c r="E89" s="4" t="s">
        <v>801</v>
      </c>
      <c r="F89" s="4" t="s">
        <v>728</v>
      </c>
      <c r="G89" s="4" t="s">
        <v>193</v>
      </c>
      <c r="H89" s="4" t="s">
        <v>185</v>
      </c>
      <c r="I89" s="9">
        <v>42745</v>
      </c>
      <c r="J89" s="11">
        <v>25350</v>
      </c>
      <c r="K89" s="4" t="s">
        <v>54</v>
      </c>
      <c r="L89" s="11">
        <v>1.67</v>
      </c>
      <c r="M89" s="11">
        <v>42334.5</v>
      </c>
      <c r="N89" s="4" t="s">
        <v>8</v>
      </c>
      <c r="O89" s="5">
        <v>5637289682</v>
      </c>
      <c r="P89" s="11" t="e">
        <f ca="1">_xll.AtlasFormulas.AtlasFunctions.AtlasBalance("UAT",DataAreaId,"T.MarkupTrans","Sum|Posted|0","","","","","","","TransRecId|TransTableId|MarkupCode",$O89,"492","TPP")</f>
        <v>#NAME?</v>
      </c>
    </row>
    <row r="90" spans="1:16" x14ac:dyDescent="0.15">
      <c r="A90" s="4" t="s">
        <v>212</v>
      </c>
      <c r="B90" s="4" t="s">
        <v>213</v>
      </c>
      <c r="C90" s="4" t="s">
        <v>214</v>
      </c>
      <c r="D90" s="4" t="s">
        <v>341</v>
      </c>
      <c r="E90" s="4" t="s">
        <v>342</v>
      </c>
      <c r="F90" s="4" t="s">
        <v>217</v>
      </c>
      <c r="G90" s="4" t="s">
        <v>193</v>
      </c>
      <c r="H90" s="4" t="s">
        <v>185</v>
      </c>
      <c r="I90" s="9">
        <v>42758</v>
      </c>
      <c r="J90" s="11">
        <v>18427.5</v>
      </c>
      <c r="K90" s="4" t="s">
        <v>54</v>
      </c>
      <c r="L90" s="11">
        <v>1.67</v>
      </c>
      <c r="M90" s="11">
        <v>30773.93</v>
      </c>
      <c r="N90" s="4" t="s">
        <v>8</v>
      </c>
      <c r="O90" s="5">
        <v>5637289399</v>
      </c>
      <c r="P90" s="11" t="e">
        <f ca="1">_xll.AtlasFormulas.AtlasFunctions.AtlasBalance("UAT",DataAreaId,"T.MarkupTrans","Sum|Posted|0","","","","","","","TransRecId|TransTableId|MarkupCode",$O90,"492","TPP")</f>
        <v>#NAME?</v>
      </c>
    </row>
    <row r="91" spans="1:16" x14ac:dyDescent="0.15">
      <c r="A91" s="4" t="s">
        <v>227</v>
      </c>
      <c r="B91" s="4" t="s">
        <v>228</v>
      </c>
      <c r="C91" s="4" t="s">
        <v>82</v>
      </c>
      <c r="D91" s="4" t="s">
        <v>343</v>
      </c>
      <c r="E91" s="4" t="s">
        <v>344</v>
      </c>
      <c r="F91" s="4" t="s">
        <v>231</v>
      </c>
      <c r="G91" s="4" t="s">
        <v>193</v>
      </c>
      <c r="H91" s="4" t="s">
        <v>185</v>
      </c>
      <c r="I91" s="9">
        <v>42766</v>
      </c>
      <c r="J91" s="11">
        <v>25350</v>
      </c>
      <c r="K91" s="4" t="s">
        <v>54</v>
      </c>
      <c r="L91" s="11">
        <v>1.67</v>
      </c>
      <c r="M91" s="11">
        <v>42334.5</v>
      </c>
      <c r="N91" s="4" t="s">
        <v>8</v>
      </c>
      <c r="O91" s="5">
        <v>5637289710</v>
      </c>
      <c r="P91" s="11" t="e">
        <f ca="1">_xll.AtlasFormulas.AtlasFunctions.AtlasBalance("UAT",DataAreaId,"T.MarkupTrans","Sum|Posted|0","","","","","","","TransRecId|TransTableId|MarkupCode",$O91,"492","TPP")</f>
        <v>#NAME?</v>
      </c>
    </row>
    <row r="92" spans="1:16" x14ac:dyDescent="0.15">
      <c r="A92" s="4" t="s">
        <v>227</v>
      </c>
      <c r="B92" s="4" t="s">
        <v>228</v>
      </c>
      <c r="C92" s="4" t="s">
        <v>82</v>
      </c>
      <c r="D92" s="4" t="s">
        <v>345</v>
      </c>
      <c r="E92" s="4" t="s">
        <v>346</v>
      </c>
      <c r="F92" s="4" t="s">
        <v>231</v>
      </c>
      <c r="G92" s="4" t="s">
        <v>193</v>
      </c>
      <c r="H92" s="4" t="s">
        <v>185</v>
      </c>
      <c r="I92" s="9">
        <v>42817</v>
      </c>
      <c r="J92" s="11">
        <v>25350</v>
      </c>
      <c r="K92" s="4" t="s">
        <v>54</v>
      </c>
      <c r="L92" s="11">
        <v>1.67</v>
      </c>
      <c r="M92" s="11">
        <v>42334.5</v>
      </c>
      <c r="N92" s="4" t="s">
        <v>8</v>
      </c>
      <c r="O92" s="5">
        <v>5637291176</v>
      </c>
      <c r="P92" s="11" t="e">
        <f ca="1">_xll.AtlasFormulas.AtlasFunctions.AtlasBalance("UAT",DataAreaId,"T.MarkupTrans","Sum|Posted|0","","","","","","","TransRecId|TransTableId|MarkupCode",$O92,"492","TPP")</f>
        <v>#NAME?</v>
      </c>
    </row>
    <row r="93" spans="1:16" x14ac:dyDescent="0.15">
      <c r="A93" s="4" t="s">
        <v>227</v>
      </c>
      <c r="B93" s="4" t="s">
        <v>228</v>
      </c>
      <c r="C93" s="4" t="s">
        <v>82</v>
      </c>
      <c r="D93" s="4" t="s">
        <v>84</v>
      </c>
      <c r="E93" s="4" t="s">
        <v>347</v>
      </c>
      <c r="F93" s="4" t="s">
        <v>231</v>
      </c>
      <c r="G93" s="4" t="s">
        <v>193</v>
      </c>
      <c r="H93" s="4" t="s">
        <v>185</v>
      </c>
      <c r="I93" s="9">
        <v>42817</v>
      </c>
      <c r="J93" s="11">
        <v>-25350</v>
      </c>
      <c r="K93" s="4" t="s">
        <v>54</v>
      </c>
      <c r="L93" s="11">
        <v>2.0830799999999998</v>
      </c>
      <c r="M93" s="11">
        <v>-52806.080000000002</v>
      </c>
      <c r="N93" s="4" t="s">
        <v>8</v>
      </c>
      <c r="O93" s="5">
        <v>5637291246</v>
      </c>
      <c r="P93" s="11" t="e">
        <f ca="1">_xll.AtlasFormulas.AtlasFunctions.AtlasBalance("UAT",DataAreaId,"T.MarkupTrans","Sum|Posted|0","","","","","","","TransRecId|TransTableId|MarkupCode",$O93,"492","TPP")</f>
        <v>#NAME?</v>
      </c>
    </row>
    <row r="94" spans="1:16" x14ac:dyDescent="0.15">
      <c r="A94" s="4" t="s">
        <v>227</v>
      </c>
      <c r="B94" s="4" t="s">
        <v>228</v>
      </c>
      <c r="C94" s="4" t="s">
        <v>82</v>
      </c>
      <c r="D94" s="4" t="s">
        <v>348</v>
      </c>
      <c r="E94" s="4" t="s">
        <v>349</v>
      </c>
      <c r="F94" s="4" t="s">
        <v>231</v>
      </c>
      <c r="G94" s="4" t="s">
        <v>193</v>
      </c>
      <c r="H94" s="4" t="s">
        <v>185</v>
      </c>
      <c r="I94" s="9">
        <v>42817</v>
      </c>
      <c r="J94" s="11">
        <v>25350</v>
      </c>
      <c r="K94" s="4" t="s">
        <v>54</v>
      </c>
      <c r="L94" s="11">
        <v>2.0830799999999998</v>
      </c>
      <c r="M94" s="11">
        <v>52806.080000000002</v>
      </c>
      <c r="N94" s="4" t="s">
        <v>8</v>
      </c>
      <c r="O94" s="5">
        <v>5637291230</v>
      </c>
      <c r="P94" s="11" t="e">
        <f ca="1">_xll.AtlasFormulas.AtlasFunctions.AtlasBalance("UAT",DataAreaId,"T.MarkupTrans","Sum|Posted|0","","","","","","","TransRecId|TransTableId|MarkupCode",$O94,"492","TPP")</f>
        <v>#NAME?</v>
      </c>
    </row>
    <row r="95" spans="1:16" x14ac:dyDescent="0.15">
      <c r="A95" s="4" t="s">
        <v>227</v>
      </c>
      <c r="B95" s="4" t="s">
        <v>228</v>
      </c>
      <c r="C95" s="4" t="s">
        <v>82</v>
      </c>
      <c r="D95" s="4" t="s">
        <v>350</v>
      </c>
      <c r="E95" s="4" t="s">
        <v>351</v>
      </c>
      <c r="F95" s="4" t="s">
        <v>231</v>
      </c>
      <c r="G95" s="4" t="s">
        <v>193</v>
      </c>
      <c r="H95" s="4" t="s">
        <v>185</v>
      </c>
      <c r="I95" s="9">
        <v>42817</v>
      </c>
      <c r="J95" s="11">
        <v>-25350</v>
      </c>
      <c r="K95" s="4" t="s">
        <v>54</v>
      </c>
      <c r="L95" s="11">
        <v>1.67</v>
      </c>
      <c r="M95" s="11">
        <v>-42334.5</v>
      </c>
      <c r="N95" s="4" t="s">
        <v>8</v>
      </c>
      <c r="O95" s="5">
        <v>5637291203</v>
      </c>
      <c r="P95" s="11" t="e">
        <f ca="1">_xll.AtlasFormulas.AtlasFunctions.AtlasBalance("UAT",DataAreaId,"T.MarkupTrans","Sum|Posted|0","","","","","","","TransRecId|TransTableId|MarkupCode",$O95,"492","TPP")</f>
        <v>#NAME?</v>
      </c>
    </row>
    <row r="96" spans="1:16" x14ac:dyDescent="0.15">
      <c r="A96" s="4" t="s">
        <v>20</v>
      </c>
      <c r="B96" s="4" t="s">
        <v>752</v>
      </c>
      <c r="C96" s="4" t="s">
        <v>272</v>
      </c>
      <c r="D96" s="4" t="s">
        <v>753</v>
      </c>
      <c r="E96" s="4" t="s">
        <v>754</v>
      </c>
      <c r="F96" s="4" t="s">
        <v>728</v>
      </c>
      <c r="G96" s="4" t="s">
        <v>193</v>
      </c>
      <c r="H96" s="4" t="s">
        <v>185</v>
      </c>
      <c r="I96" s="9">
        <v>42843</v>
      </c>
      <c r="J96" s="11">
        <v>9750</v>
      </c>
      <c r="K96" s="4" t="s">
        <v>54</v>
      </c>
      <c r="L96" s="11">
        <v>1.6800000000000002</v>
      </c>
      <c r="M96" s="11">
        <v>16380</v>
      </c>
      <c r="N96" s="4" t="s">
        <v>8</v>
      </c>
      <c r="O96" s="5">
        <v>5637291717</v>
      </c>
      <c r="P96" s="11" t="e">
        <f ca="1">_xll.AtlasFormulas.AtlasFunctions.AtlasBalance("UAT",DataAreaId,"T.MarkupTrans","Sum|Posted|0","","","","","","","TransRecId|TransTableId|MarkupCode",$O96,"492","TPP")</f>
        <v>#NAME?</v>
      </c>
    </row>
    <row r="97" spans="1:16" x14ac:dyDescent="0.15">
      <c r="A97" s="4" t="s">
        <v>20</v>
      </c>
      <c r="B97" s="4" t="s">
        <v>747</v>
      </c>
      <c r="C97" s="4" t="s">
        <v>272</v>
      </c>
      <c r="D97" s="4" t="s">
        <v>802</v>
      </c>
      <c r="E97" s="4" t="s">
        <v>803</v>
      </c>
      <c r="F97" s="4" t="s">
        <v>728</v>
      </c>
      <c r="G97" s="4" t="s">
        <v>193</v>
      </c>
      <c r="H97" s="4" t="s">
        <v>185</v>
      </c>
      <c r="I97" s="9">
        <v>42845</v>
      </c>
      <c r="J97" s="11">
        <v>1950</v>
      </c>
      <c r="K97" s="4" t="s">
        <v>54</v>
      </c>
      <c r="L97" s="11">
        <v>1.6800000000000002</v>
      </c>
      <c r="M97" s="11">
        <v>3276</v>
      </c>
      <c r="N97" s="4" t="s">
        <v>8</v>
      </c>
      <c r="O97" s="5">
        <v>5637291724</v>
      </c>
      <c r="P97" s="11" t="e">
        <f ca="1">_xll.AtlasFormulas.AtlasFunctions.AtlasBalance("UAT",DataAreaId,"T.MarkupTrans","Sum|Posted|0","","","","","","","TransRecId|TransTableId|MarkupCode",$O97,"492","TPP")</f>
        <v>#NAME?</v>
      </c>
    </row>
    <row r="98" spans="1:16" x14ac:dyDescent="0.15">
      <c r="A98" s="4" t="s">
        <v>20</v>
      </c>
      <c r="B98" s="4" t="s">
        <v>747</v>
      </c>
      <c r="C98" s="4" t="s">
        <v>272</v>
      </c>
      <c r="D98" s="4" t="s">
        <v>755</v>
      </c>
      <c r="E98" s="4" t="s">
        <v>756</v>
      </c>
      <c r="F98" s="4" t="s">
        <v>728</v>
      </c>
      <c r="G98" s="4" t="s">
        <v>193</v>
      </c>
      <c r="H98" s="4" t="s">
        <v>185</v>
      </c>
      <c r="I98" s="9">
        <v>42846</v>
      </c>
      <c r="J98" s="11">
        <v>1950</v>
      </c>
      <c r="K98" s="4" t="s">
        <v>54</v>
      </c>
      <c r="L98" s="11">
        <v>1.6800000000000002</v>
      </c>
      <c r="M98" s="11">
        <v>3276</v>
      </c>
      <c r="N98" s="4" t="s">
        <v>8</v>
      </c>
      <c r="O98" s="5">
        <v>5637291765</v>
      </c>
      <c r="P98" s="11" t="e">
        <f ca="1">_xll.AtlasFormulas.AtlasFunctions.AtlasBalance("UAT",DataAreaId,"T.MarkupTrans","Sum|Posted|0","","","","","","","TransRecId|TransTableId|MarkupCode",$O98,"492","TPP")</f>
        <v>#NAME?</v>
      </c>
    </row>
    <row r="99" spans="1:16" x14ac:dyDescent="0.15">
      <c r="A99" s="4" t="s">
        <v>20</v>
      </c>
      <c r="B99" s="4" t="s">
        <v>747</v>
      </c>
      <c r="C99" s="4" t="s">
        <v>272</v>
      </c>
      <c r="D99" s="4" t="s">
        <v>804</v>
      </c>
      <c r="E99" s="4" t="s">
        <v>805</v>
      </c>
      <c r="F99" s="4" t="s">
        <v>728</v>
      </c>
      <c r="G99" s="4" t="s">
        <v>193</v>
      </c>
      <c r="H99" s="4" t="s">
        <v>185</v>
      </c>
      <c r="I99" s="9">
        <v>42846</v>
      </c>
      <c r="J99" s="11">
        <v>9750</v>
      </c>
      <c r="K99" s="4" t="s">
        <v>54</v>
      </c>
      <c r="L99" s="11">
        <v>1.6800000000000002</v>
      </c>
      <c r="M99" s="11">
        <v>16380</v>
      </c>
      <c r="N99" s="4" t="s">
        <v>8</v>
      </c>
      <c r="O99" s="5">
        <v>5637291760</v>
      </c>
      <c r="P99" s="11" t="e">
        <f ca="1">_xll.AtlasFormulas.AtlasFunctions.AtlasBalance("UAT",DataAreaId,"T.MarkupTrans","Sum|Posted|0","","","","","","","TransRecId|TransTableId|MarkupCode",$O99,"492","TPP")</f>
        <v>#NAME?</v>
      </c>
    </row>
    <row r="100" spans="1:16" x14ac:dyDescent="0.15">
      <c r="A100" s="4" t="s">
        <v>20</v>
      </c>
      <c r="B100" s="4" t="s">
        <v>747</v>
      </c>
      <c r="C100" s="4" t="s">
        <v>272</v>
      </c>
      <c r="D100" s="4" t="s">
        <v>806</v>
      </c>
      <c r="E100" s="4" t="s">
        <v>807</v>
      </c>
      <c r="F100" s="4" t="s">
        <v>728</v>
      </c>
      <c r="G100" s="4" t="s">
        <v>193</v>
      </c>
      <c r="H100" s="4" t="s">
        <v>185</v>
      </c>
      <c r="I100" s="9">
        <v>42846</v>
      </c>
      <c r="J100" s="11">
        <v>9750</v>
      </c>
      <c r="K100" s="4" t="s">
        <v>54</v>
      </c>
      <c r="L100" s="11">
        <v>0</v>
      </c>
      <c r="M100" s="11">
        <v>0</v>
      </c>
      <c r="N100" s="4" t="s">
        <v>8</v>
      </c>
      <c r="O100" s="5">
        <v>5637291706</v>
      </c>
      <c r="P100" s="11" t="e">
        <f ca="1">_xll.AtlasFormulas.AtlasFunctions.AtlasBalance("UAT",DataAreaId,"T.MarkupTrans","Sum|Posted|0","","","","","","","TransRecId|TransTableId|MarkupCode",$O100,"492","TPP")</f>
        <v>#NAME?</v>
      </c>
    </row>
    <row r="101" spans="1:16" x14ac:dyDescent="0.15">
      <c r="A101" s="4" t="s">
        <v>249</v>
      </c>
      <c r="B101" s="4" t="s">
        <v>83</v>
      </c>
      <c r="C101" s="4" t="s">
        <v>82</v>
      </c>
      <c r="D101" s="4" t="s">
        <v>327</v>
      </c>
      <c r="E101" s="4" t="s">
        <v>352</v>
      </c>
      <c r="F101" s="4" t="s">
        <v>80</v>
      </c>
      <c r="G101" s="4" t="s">
        <v>193</v>
      </c>
      <c r="H101" s="4" t="s">
        <v>185</v>
      </c>
      <c r="I101" s="9">
        <v>42849</v>
      </c>
      <c r="J101" s="11">
        <v>1950</v>
      </c>
      <c r="K101" s="4" t="s">
        <v>54</v>
      </c>
      <c r="L101" s="11">
        <v>1.6800000000000002</v>
      </c>
      <c r="M101" s="11">
        <v>3276</v>
      </c>
      <c r="N101" s="4" t="s">
        <v>8</v>
      </c>
      <c r="O101" s="5">
        <v>5637291696</v>
      </c>
      <c r="P101" s="11" t="e">
        <f ca="1">_xll.AtlasFormulas.AtlasFunctions.AtlasBalance("UAT",DataAreaId,"T.MarkupTrans","Sum|Posted|0","","","","","","","TransRecId|TransTableId|MarkupCode",$O101,"492","TPP")</f>
        <v>#NAME?</v>
      </c>
    </row>
    <row r="102" spans="1:16" x14ac:dyDescent="0.15">
      <c r="A102" s="4" t="s">
        <v>249</v>
      </c>
      <c r="B102" s="4" t="s">
        <v>83</v>
      </c>
      <c r="C102" s="4" t="s">
        <v>82</v>
      </c>
      <c r="D102" s="4" t="s">
        <v>286</v>
      </c>
      <c r="E102" s="4" t="s">
        <v>287</v>
      </c>
      <c r="F102" s="4" t="s">
        <v>80</v>
      </c>
      <c r="G102" s="4" t="s">
        <v>193</v>
      </c>
      <c r="H102" s="4" t="s">
        <v>185</v>
      </c>
      <c r="I102" s="9">
        <v>42851</v>
      </c>
      <c r="J102" s="11">
        <v>1950</v>
      </c>
      <c r="K102" s="4" t="s">
        <v>54</v>
      </c>
      <c r="L102" s="11">
        <v>1.6800000000000002</v>
      </c>
      <c r="M102" s="11">
        <v>3276</v>
      </c>
      <c r="N102" s="4" t="s">
        <v>8</v>
      </c>
      <c r="O102" s="5">
        <v>5637291742</v>
      </c>
      <c r="P102" s="11" t="e">
        <f ca="1">_xll.AtlasFormulas.AtlasFunctions.AtlasBalance("UAT",DataAreaId,"T.MarkupTrans","Sum|Posted|0","","","","","","","TransRecId|TransTableId|MarkupCode",$O102,"492","TPP")</f>
        <v>#NAME?</v>
      </c>
    </row>
    <row r="103" spans="1:16" x14ac:dyDescent="0.15">
      <c r="A103" s="4" t="s">
        <v>288</v>
      </c>
      <c r="B103" s="4" t="s">
        <v>308</v>
      </c>
      <c r="C103" s="4" t="s">
        <v>82</v>
      </c>
      <c r="D103" s="4" t="s">
        <v>353</v>
      </c>
      <c r="E103" s="4" t="s">
        <v>354</v>
      </c>
      <c r="F103" s="4" t="s">
        <v>311</v>
      </c>
      <c r="G103" s="4" t="s">
        <v>193</v>
      </c>
      <c r="H103" s="4" t="s">
        <v>185</v>
      </c>
      <c r="I103" s="9">
        <v>42855</v>
      </c>
      <c r="J103" s="11">
        <v>9750</v>
      </c>
      <c r="K103" s="4" t="s">
        <v>54</v>
      </c>
      <c r="L103" s="11">
        <v>1.6800000000000002</v>
      </c>
      <c r="M103" s="11">
        <v>16380</v>
      </c>
      <c r="N103" s="4" t="s">
        <v>8</v>
      </c>
      <c r="O103" s="5">
        <v>5637291775</v>
      </c>
      <c r="P103" s="11" t="e">
        <f ca="1">_xll.AtlasFormulas.AtlasFunctions.AtlasBalance("UAT",DataAreaId,"T.MarkupTrans","Sum|Posted|0","","","","","","","TransRecId|TransTableId|MarkupCode",$O103,"492","TPP")</f>
        <v>#NAME?</v>
      </c>
    </row>
    <row r="104" spans="1:16" x14ac:dyDescent="0.15">
      <c r="A104" s="4" t="s">
        <v>288</v>
      </c>
      <c r="B104" s="4" t="s">
        <v>308</v>
      </c>
      <c r="C104" s="4" t="s">
        <v>82</v>
      </c>
      <c r="D104" s="4" t="s">
        <v>355</v>
      </c>
      <c r="E104" s="4" t="s">
        <v>356</v>
      </c>
      <c r="F104" s="4" t="s">
        <v>311</v>
      </c>
      <c r="G104" s="4" t="s">
        <v>193</v>
      </c>
      <c r="H104" s="4" t="s">
        <v>185</v>
      </c>
      <c r="I104" s="9">
        <v>42855</v>
      </c>
      <c r="J104" s="11">
        <v>9750</v>
      </c>
      <c r="K104" s="4" t="s">
        <v>54</v>
      </c>
      <c r="L104" s="11">
        <v>0</v>
      </c>
      <c r="M104" s="11">
        <v>0</v>
      </c>
      <c r="N104" s="4" t="s">
        <v>8</v>
      </c>
      <c r="O104" s="5">
        <v>5637291776</v>
      </c>
      <c r="P104" s="11" t="e">
        <f ca="1">_xll.AtlasFormulas.AtlasFunctions.AtlasBalance("UAT",DataAreaId,"T.MarkupTrans","Sum|Posted|0","","","","","","","TransRecId|TransTableId|MarkupCode",$O104,"492","TPP")</f>
        <v>#NAME?</v>
      </c>
    </row>
    <row r="105" spans="1:16" x14ac:dyDescent="0.15">
      <c r="A105" s="4" t="s">
        <v>288</v>
      </c>
      <c r="B105" s="4" t="s">
        <v>308</v>
      </c>
      <c r="C105" s="4" t="s">
        <v>82</v>
      </c>
      <c r="D105" s="4" t="s">
        <v>357</v>
      </c>
      <c r="E105" s="4" t="s">
        <v>358</v>
      </c>
      <c r="F105" s="4" t="s">
        <v>311</v>
      </c>
      <c r="G105" s="4" t="s">
        <v>193</v>
      </c>
      <c r="H105" s="4" t="s">
        <v>185</v>
      </c>
      <c r="I105" s="9">
        <v>42855</v>
      </c>
      <c r="J105" s="11">
        <v>-9750</v>
      </c>
      <c r="K105" s="4" t="s">
        <v>54</v>
      </c>
      <c r="L105" s="11">
        <v>0</v>
      </c>
      <c r="M105" s="11">
        <v>0</v>
      </c>
      <c r="N105" s="4" t="s">
        <v>8</v>
      </c>
      <c r="O105" s="5">
        <v>5637291777</v>
      </c>
      <c r="P105" s="11" t="e">
        <f ca="1">_xll.AtlasFormulas.AtlasFunctions.AtlasBalance("UAT",DataAreaId,"T.MarkupTrans","Sum|Posted|0","","","","","","","TransRecId|TransTableId|MarkupCode",$O105,"492","TPP")</f>
        <v>#NAME?</v>
      </c>
    </row>
    <row r="106" spans="1:16" x14ac:dyDescent="0.15">
      <c r="A106" s="4" t="s">
        <v>20</v>
      </c>
      <c r="B106" s="4" t="s">
        <v>747</v>
      </c>
      <c r="C106" s="4" t="s">
        <v>272</v>
      </c>
      <c r="D106" s="4" t="s">
        <v>808</v>
      </c>
      <c r="E106" s="4" t="s">
        <v>809</v>
      </c>
      <c r="F106" s="4" t="s">
        <v>728</v>
      </c>
      <c r="G106" s="4" t="s">
        <v>193</v>
      </c>
      <c r="H106" s="4" t="s">
        <v>185</v>
      </c>
      <c r="I106" s="9">
        <v>42856</v>
      </c>
      <c r="J106" s="11">
        <v>-9750</v>
      </c>
      <c r="K106" s="4" t="s">
        <v>54</v>
      </c>
      <c r="L106" s="11">
        <v>0</v>
      </c>
      <c r="M106" s="11">
        <v>0</v>
      </c>
      <c r="N106" s="4" t="s">
        <v>8</v>
      </c>
      <c r="O106" s="5">
        <v>5637291841</v>
      </c>
      <c r="P106" s="11" t="e">
        <f ca="1">_xll.AtlasFormulas.AtlasFunctions.AtlasBalance("UAT",DataAreaId,"T.MarkupTrans","Sum|Posted|0","","","","","","","TransRecId|TransTableId|MarkupCode",$O106,"492","TPP")</f>
        <v>#NAME?</v>
      </c>
    </row>
    <row r="107" spans="1:16" x14ac:dyDescent="0.15">
      <c r="A107" s="4" t="s">
        <v>20</v>
      </c>
      <c r="B107" s="4" t="s">
        <v>747</v>
      </c>
      <c r="C107" s="4" t="s">
        <v>272</v>
      </c>
      <c r="D107" s="4" t="s">
        <v>810</v>
      </c>
      <c r="E107" s="4" t="s">
        <v>811</v>
      </c>
      <c r="F107" s="4" t="s">
        <v>728</v>
      </c>
      <c r="G107" s="4" t="s">
        <v>193</v>
      </c>
      <c r="H107" s="4" t="s">
        <v>185</v>
      </c>
      <c r="I107" s="9">
        <v>42860</v>
      </c>
      <c r="J107" s="11">
        <v>3900</v>
      </c>
      <c r="K107" s="4" t="s">
        <v>54</v>
      </c>
      <c r="L107" s="11">
        <v>1.6800000000000002</v>
      </c>
      <c r="M107" s="11">
        <v>6552</v>
      </c>
      <c r="N107" s="4" t="s">
        <v>8</v>
      </c>
      <c r="O107" s="5">
        <v>5637291828</v>
      </c>
      <c r="P107" s="11" t="e">
        <f ca="1">_xll.AtlasFormulas.AtlasFunctions.AtlasBalance("UAT",DataAreaId,"T.MarkupTrans","Sum|Posted|0","","","","","","","TransRecId|TransTableId|MarkupCode",$O107,"492","TPP")</f>
        <v>#NAME?</v>
      </c>
    </row>
    <row r="108" spans="1:16" x14ac:dyDescent="0.15">
      <c r="A108" s="4" t="s">
        <v>20</v>
      </c>
      <c r="B108" s="4" t="s">
        <v>747</v>
      </c>
      <c r="C108" s="4" t="s">
        <v>272</v>
      </c>
      <c r="D108" s="4" t="s">
        <v>812</v>
      </c>
      <c r="E108" s="4" t="s">
        <v>813</v>
      </c>
      <c r="F108" s="4" t="s">
        <v>728</v>
      </c>
      <c r="G108" s="4" t="s">
        <v>193</v>
      </c>
      <c r="H108" s="4" t="s">
        <v>185</v>
      </c>
      <c r="I108" s="9">
        <v>42863</v>
      </c>
      <c r="J108" s="11">
        <v>8190</v>
      </c>
      <c r="K108" s="4" t="s">
        <v>54</v>
      </c>
      <c r="L108" s="11">
        <v>1.6800000000000002</v>
      </c>
      <c r="M108" s="11">
        <v>13759.2</v>
      </c>
      <c r="N108" s="4" t="s">
        <v>8</v>
      </c>
      <c r="O108" s="5">
        <v>5637291873</v>
      </c>
      <c r="P108" s="11" t="e">
        <f ca="1">_xll.AtlasFormulas.AtlasFunctions.AtlasBalance("UAT",DataAreaId,"T.MarkupTrans","Sum|Posted|0","","","","","","","TransRecId|TransTableId|MarkupCode",$O108,"492","TPP")</f>
        <v>#NAME?</v>
      </c>
    </row>
    <row r="109" spans="1:16" x14ac:dyDescent="0.15">
      <c r="A109" s="4" t="s">
        <v>288</v>
      </c>
      <c r="B109" s="4" t="s">
        <v>308</v>
      </c>
      <c r="C109" s="4" t="s">
        <v>82</v>
      </c>
      <c r="D109" s="4" t="s">
        <v>359</v>
      </c>
      <c r="E109" s="4" t="s">
        <v>360</v>
      </c>
      <c r="F109" s="4" t="s">
        <v>311</v>
      </c>
      <c r="G109" s="4" t="s">
        <v>193</v>
      </c>
      <c r="H109" s="4" t="s">
        <v>185</v>
      </c>
      <c r="I109" s="9">
        <v>42864</v>
      </c>
      <c r="J109" s="11">
        <v>3900</v>
      </c>
      <c r="K109" s="4" t="s">
        <v>54</v>
      </c>
      <c r="L109" s="11">
        <v>1.6800000000000002</v>
      </c>
      <c r="M109" s="11">
        <v>6552</v>
      </c>
      <c r="N109" s="4" t="s">
        <v>8</v>
      </c>
      <c r="O109" s="5">
        <v>5637291807</v>
      </c>
      <c r="P109" s="11" t="e">
        <f ca="1">_xll.AtlasFormulas.AtlasFunctions.AtlasBalance("UAT",DataAreaId,"T.MarkupTrans","Sum|Posted|0","","","","","","","TransRecId|TransTableId|MarkupCode",$O109,"492","TPP")</f>
        <v>#NAME?</v>
      </c>
    </row>
    <row r="110" spans="1:16" x14ac:dyDescent="0.15">
      <c r="A110" s="4" t="s">
        <v>288</v>
      </c>
      <c r="B110" s="4" t="s">
        <v>361</v>
      </c>
      <c r="C110" s="4" t="s">
        <v>50</v>
      </c>
      <c r="D110" s="4" t="s">
        <v>362</v>
      </c>
      <c r="E110" s="4" t="s">
        <v>363</v>
      </c>
      <c r="F110" s="4" t="s">
        <v>311</v>
      </c>
      <c r="G110" s="4" t="s">
        <v>193</v>
      </c>
      <c r="H110" s="4" t="s">
        <v>185</v>
      </c>
      <c r="I110" s="9">
        <v>42864</v>
      </c>
      <c r="J110" s="11">
        <v>3802.5</v>
      </c>
      <c r="K110" s="4" t="s">
        <v>54</v>
      </c>
      <c r="L110" s="11">
        <v>18.899999999999999</v>
      </c>
      <c r="M110" s="11">
        <v>71867.25</v>
      </c>
      <c r="N110" s="4" t="s">
        <v>364</v>
      </c>
      <c r="O110" s="5">
        <v>5637291890</v>
      </c>
      <c r="P110" s="11" t="e">
        <f ca="1">_xll.AtlasFormulas.AtlasFunctions.AtlasBalance("UAT",DataAreaId,"T.MarkupTrans","Sum|Posted|0","","","","","","","TransRecId|TransTableId|MarkupCode",$O110,"492","TPP")</f>
        <v>#NAME?</v>
      </c>
    </row>
    <row r="111" spans="1:16" x14ac:dyDescent="0.15">
      <c r="A111" s="4" t="s">
        <v>212</v>
      </c>
      <c r="B111" s="4" t="s">
        <v>213</v>
      </c>
      <c r="C111" s="4" t="s">
        <v>214</v>
      </c>
      <c r="D111" s="4" t="s">
        <v>365</v>
      </c>
      <c r="E111" s="4" t="s">
        <v>366</v>
      </c>
      <c r="F111" s="4" t="s">
        <v>217</v>
      </c>
      <c r="G111" s="4" t="s">
        <v>193</v>
      </c>
      <c r="H111" s="4" t="s">
        <v>185</v>
      </c>
      <c r="I111" s="9">
        <v>42871</v>
      </c>
      <c r="J111" s="11">
        <v>8190</v>
      </c>
      <c r="K111" s="4" t="s">
        <v>54</v>
      </c>
      <c r="L111" s="11">
        <v>1.6800000000000002</v>
      </c>
      <c r="M111" s="11">
        <v>13759.2</v>
      </c>
      <c r="N111" s="4" t="s">
        <v>8</v>
      </c>
      <c r="O111" s="5">
        <v>5637291474</v>
      </c>
      <c r="P111" s="11" t="e">
        <f ca="1">_xll.AtlasFormulas.AtlasFunctions.AtlasBalance("UAT",DataAreaId,"T.MarkupTrans","Sum|Posted|0","","","","","","","TransRecId|TransTableId|MarkupCode",$O111,"492","TPP")</f>
        <v>#NAME?</v>
      </c>
    </row>
    <row r="112" spans="1:16" x14ac:dyDescent="0.15">
      <c r="A112" s="4" t="s">
        <v>20</v>
      </c>
      <c r="B112" s="4" t="s">
        <v>747</v>
      </c>
      <c r="C112" s="4" t="s">
        <v>272</v>
      </c>
      <c r="D112" s="4" t="s">
        <v>814</v>
      </c>
      <c r="E112" s="4" t="s">
        <v>815</v>
      </c>
      <c r="F112" s="4" t="s">
        <v>728</v>
      </c>
      <c r="G112" s="4" t="s">
        <v>193</v>
      </c>
      <c r="H112" s="4" t="s">
        <v>185</v>
      </c>
      <c r="I112" s="9">
        <v>42877</v>
      </c>
      <c r="J112" s="11">
        <v>25350</v>
      </c>
      <c r="K112" s="4" t="s">
        <v>54</v>
      </c>
      <c r="L112" s="11">
        <v>1.67</v>
      </c>
      <c r="M112" s="11">
        <v>42334.5</v>
      </c>
      <c r="N112" s="4" t="s">
        <v>8</v>
      </c>
      <c r="O112" s="5">
        <v>5637292257</v>
      </c>
      <c r="P112" s="11" t="e">
        <f ca="1">_xll.AtlasFormulas.AtlasFunctions.AtlasBalance("UAT",DataAreaId,"T.MarkupTrans","Sum|Posted|0","","","","","","","TransRecId|TransTableId|MarkupCode",$O112,"492","TPP")</f>
        <v>#NAME?</v>
      </c>
    </row>
    <row r="113" spans="1:16" x14ac:dyDescent="0.15">
      <c r="A113" s="4" t="s">
        <v>227</v>
      </c>
      <c r="B113" s="4" t="s">
        <v>228</v>
      </c>
      <c r="C113" s="4" t="s">
        <v>82</v>
      </c>
      <c r="D113" s="4" t="s">
        <v>353</v>
      </c>
      <c r="E113" s="4" t="s">
        <v>367</v>
      </c>
      <c r="F113" s="4" t="s">
        <v>231</v>
      </c>
      <c r="G113" s="4" t="s">
        <v>193</v>
      </c>
      <c r="H113" s="4" t="s">
        <v>185</v>
      </c>
      <c r="I113" s="9">
        <v>42878</v>
      </c>
      <c r="J113" s="11">
        <v>25350</v>
      </c>
      <c r="K113" s="4" t="s">
        <v>54</v>
      </c>
      <c r="L113" s="11">
        <v>1.67</v>
      </c>
      <c r="M113" s="11">
        <v>42334.5</v>
      </c>
      <c r="N113" s="4" t="s">
        <v>8</v>
      </c>
      <c r="O113" s="5">
        <v>5637292195</v>
      </c>
      <c r="P113" s="11" t="e">
        <f ca="1">_xll.AtlasFormulas.AtlasFunctions.AtlasBalance("UAT",DataAreaId,"T.MarkupTrans","Sum|Posted|0","","","","","","","TransRecId|TransTableId|MarkupCode",$O113,"492","TPP")</f>
        <v>#NAME?</v>
      </c>
    </row>
    <row r="114" spans="1:16" x14ac:dyDescent="0.15">
      <c r="A114" s="4" t="s">
        <v>20</v>
      </c>
      <c r="B114" s="4" t="s">
        <v>747</v>
      </c>
      <c r="C114" s="4" t="s">
        <v>272</v>
      </c>
      <c r="D114" s="4" t="s">
        <v>816</v>
      </c>
      <c r="E114" s="4" t="s">
        <v>817</v>
      </c>
      <c r="F114" s="4" t="s">
        <v>728</v>
      </c>
      <c r="G114" s="4" t="s">
        <v>193</v>
      </c>
      <c r="H114" s="4" t="s">
        <v>185</v>
      </c>
      <c r="I114" s="9">
        <v>42884</v>
      </c>
      <c r="J114" s="11">
        <v>1950</v>
      </c>
      <c r="K114" s="4" t="s">
        <v>54</v>
      </c>
      <c r="L114" s="11">
        <v>1.6800000000000002</v>
      </c>
      <c r="M114" s="11">
        <v>3276</v>
      </c>
      <c r="N114" s="4" t="s">
        <v>8</v>
      </c>
      <c r="O114" s="5">
        <v>5637292236</v>
      </c>
      <c r="P114" s="11" t="e">
        <f ca="1">_xll.AtlasFormulas.AtlasFunctions.AtlasBalance("UAT",DataAreaId,"T.MarkupTrans","Sum|Posted|0","","","","","","","TransRecId|TransTableId|MarkupCode",$O114,"492","TPP")</f>
        <v>#NAME?</v>
      </c>
    </row>
    <row r="115" spans="1:16" x14ac:dyDescent="0.15">
      <c r="A115" s="4" t="s">
        <v>249</v>
      </c>
      <c r="B115" s="4" t="s">
        <v>83</v>
      </c>
      <c r="C115" s="4" t="s">
        <v>82</v>
      </c>
      <c r="D115" s="4" t="s">
        <v>368</v>
      </c>
      <c r="E115" s="4" t="s">
        <v>369</v>
      </c>
      <c r="F115" s="4" t="s">
        <v>80</v>
      </c>
      <c r="G115" s="4" t="s">
        <v>193</v>
      </c>
      <c r="H115" s="4" t="s">
        <v>185</v>
      </c>
      <c r="I115" s="9">
        <v>42886</v>
      </c>
      <c r="J115" s="11">
        <v>1950</v>
      </c>
      <c r="K115" s="4" t="s">
        <v>54</v>
      </c>
      <c r="L115" s="11">
        <v>1.6800000000000002</v>
      </c>
      <c r="M115" s="11">
        <v>3276</v>
      </c>
      <c r="N115" s="4" t="s">
        <v>8</v>
      </c>
      <c r="O115" s="5">
        <v>5637292299</v>
      </c>
      <c r="P115" s="11" t="e">
        <f ca="1">_xll.AtlasFormulas.AtlasFunctions.AtlasBalance("UAT",DataAreaId,"T.MarkupTrans","Sum|Posted|0","","","","","","","TransRecId|TransTableId|MarkupCode",$O115,"492","TPP")</f>
        <v>#NAME?</v>
      </c>
    </row>
    <row r="116" spans="1:16" x14ac:dyDescent="0.15">
      <c r="A116" s="4" t="s">
        <v>227</v>
      </c>
      <c r="B116" s="4" t="s">
        <v>228</v>
      </c>
      <c r="C116" s="4" t="s">
        <v>82</v>
      </c>
      <c r="D116" s="4" t="s">
        <v>290</v>
      </c>
      <c r="E116" s="4" t="s">
        <v>332</v>
      </c>
      <c r="F116" s="4" t="s">
        <v>231</v>
      </c>
      <c r="G116" s="4" t="s">
        <v>193</v>
      </c>
      <c r="H116" s="4" t="s">
        <v>185</v>
      </c>
      <c r="I116" s="9">
        <v>42888</v>
      </c>
      <c r="J116" s="11">
        <v>15600</v>
      </c>
      <c r="K116" s="4" t="s">
        <v>54</v>
      </c>
      <c r="L116" s="11">
        <v>1.6800000000000002</v>
      </c>
      <c r="M116" s="11">
        <v>26208</v>
      </c>
      <c r="N116" s="4" t="s">
        <v>8</v>
      </c>
      <c r="O116" s="5">
        <v>5637292318</v>
      </c>
      <c r="P116" s="11" t="e">
        <f ca="1">_xll.AtlasFormulas.AtlasFunctions.AtlasBalance("UAT",DataAreaId,"T.MarkupTrans","Sum|Posted|0","","","","","","","TransRecId|TransTableId|MarkupCode",$O116,"492","TPP")</f>
        <v>#NAME?</v>
      </c>
    </row>
    <row r="117" spans="1:16" x14ac:dyDescent="0.15">
      <c r="A117" s="4" t="s">
        <v>20</v>
      </c>
      <c r="B117" s="4" t="s">
        <v>747</v>
      </c>
      <c r="C117" s="4" t="s">
        <v>272</v>
      </c>
      <c r="D117" s="4" t="s">
        <v>794</v>
      </c>
      <c r="E117" s="4" t="s">
        <v>795</v>
      </c>
      <c r="F117" s="4" t="s">
        <v>728</v>
      </c>
      <c r="G117" s="4" t="s">
        <v>193</v>
      </c>
      <c r="H117" s="4" t="s">
        <v>185</v>
      </c>
      <c r="I117" s="9">
        <v>42888</v>
      </c>
      <c r="J117" s="11">
        <v>15600</v>
      </c>
      <c r="K117" s="4" t="s">
        <v>54</v>
      </c>
      <c r="L117" s="11">
        <v>1.6800000000000002</v>
      </c>
      <c r="M117" s="11">
        <v>26208</v>
      </c>
      <c r="N117" s="4" t="s">
        <v>8</v>
      </c>
      <c r="O117" s="5">
        <v>5637292314</v>
      </c>
      <c r="P117" s="11" t="e">
        <f ca="1">_xll.AtlasFormulas.AtlasFunctions.AtlasBalance("UAT",DataAreaId,"T.MarkupTrans","Sum|Posted|0","","","","","","","TransRecId|TransTableId|MarkupCode",$O117,"492","TPP")</f>
        <v>#NAME?</v>
      </c>
    </row>
    <row r="118" spans="1:16" x14ac:dyDescent="0.15">
      <c r="A118" s="4" t="s">
        <v>20</v>
      </c>
      <c r="B118" s="4" t="s">
        <v>752</v>
      </c>
      <c r="C118" s="4" t="s">
        <v>272</v>
      </c>
      <c r="D118" s="4" t="s">
        <v>761</v>
      </c>
      <c r="E118" s="4" t="s">
        <v>762</v>
      </c>
      <c r="F118" s="4" t="s">
        <v>728</v>
      </c>
      <c r="G118" s="4" t="s">
        <v>193</v>
      </c>
      <c r="H118" s="4" t="s">
        <v>185</v>
      </c>
      <c r="I118" s="9">
        <v>42891</v>
      </c>
      <c r="J118" s="11">
        <v>9750</v>
      </c>
      <c r="K118" s="4" t="s">
        <v>54</v>
      </c>
      <c r="L118" s="11">
        <v>1.6800000000000002</v>
      </c>
      <c r="M118" s="11">
        <v>16380</v>
      </c>
      <c r="N118" s="4" t="s">
        <v>8</v>
      </c>
      <c r="O118" s="5">
        <v>5637292359</v>
      </c>
      <c r="P118" s="11" t="e">
        <f ca="1">_xll.AtlasFormulas.AtlasFunctions.AtlasBalance("UAT",DataAreaId,"T.MarkupTrans","Sum|Posted|0","","","","","","","TransRecId|TransTableId|MarkupCode",$O118,"492","TPP")</f>
        <v>#NAME?</v>
      </c>
    </row>
    <row r="119" spans="1:16" x14ac:dyDescent="0.15">
      <c r="A119" s="4" t="s">
        <v>20</v>
      </c>
      <c r="B119" s="4" t="s">
        <v>747</v>
      </c>
      <c r="C119" s="4" t="s">
        <v>272</v>
      </c>
      <c r="D119" s="4" t="s">
        <v>818</v>
      </c>
      <c r="E119" s="4" t="s">
        <v>819</v>
      </c>
      <c r="F119" s="4" t="s">
        <v>728</v>
      </c>
      <c r="G119" s="4" t="s">
        <v>193</v>
      </c>
      <c r="H119" s="4" t="s">
        <v>185</v>
      </c>
      <c r="I119" s="9">
        <v>42891</v>
      </c>
      <c r="J119" s="11">
        <v>5850</v>
      </c>
      <c r="K119" s="4" t="s">
        <v>54</v>
      </c>
      <c r="L119" s="11">
        <v>1.6800000000000002</v>
      </c>
      <c r="M119" s="11">
        <v>9828</v>
      </c>
      <c r="N119" s="4" t="s">
        <v>8</v>
      </c>
      <c r="O119" s="5">
        <v>5637292364</v>
      </c>
      <c r="P119" s="11" t="e">
        <f ca="1">_xll.AtlasFormulas.AtlasFunctions.AtlasBalance("UAT",DataAreaId,"T.MarkupTrans","Sum|Posted|0","","","","","","","TransRecId|TransTableId|MarkupCode",$O119,"492","TPP")</f>
        <v>#NAME?</v>
      </c>
    </row>
    <row r="120" spans="1:16" x14ac:dyDescent="0.15">
      <c r="A120" s="4" t="s">
        <v>288</v>
      </c>
      <c r="B120" s="4" t="s">
        <v>308</v>
      </c>
      <c r="C120" s="4" t="s">
        <v>82</v>
      </c>
      <c r="D120" s="4" t="s">
        <v>370</v>
      </c>
      <c r="E120" s="4" t="s">
        <v>371</v>
      </c>
      <c r="F120" s="4" t="s">
        <v>311</v>
      </c>
      <c r="G120" s="4" t="s">
        <v>193</v>
      </c>
      <c r="H120" s="4" t="s">
        <v>185</v>
      </c>
      <c r="I120" s="9">
        <v>42892</v>
      </c>
      <c r="J120" s="11">
        <v>5850</v>
      </c>
      <c r="K120" s="4" t="s">
        <v>54</v>
      </c>
      <c r="L120" s="11">
        <v>1.6800000000000002</v>
      </c>
      <c r="M120" s="11">
        <v>9828</v>
      </c>
      <c r="N120" s="4" t="s">
        <v>8</v>
      </c>
      <c r="O120" s="5">
        <v>5637292338</v>
      </c>
      <c r="P120" s="11" t="e">
        <f ca="1">_xll.AtlasFormulas.AtlasFunctions.AtlasBalance("UAT",DataAreaId,"T.MarkupTrans","Sum|Posted|0","","","","","","","TransRecId|TransTableId|MarkupCode",$O120,"492","TPP")</f>
        <v>#NAME?</v>
      </c>
    </row>
    <row r="121" spans="1:16" x14ac:dyDescent="0.15">
      <c r="A121" s="4" t="s">
        <v>288</v>
      </c>
      <c r="B121" s="4" t="s">
        <v>289</v>
      </c>
      <c r="C121" s="4" t="s">
        <v>82</v>
      </c>
      <c r="D121" s="4" t="s">
        <v>293</v>
      </c>
      <c r="E121" s="4" t="s">
        <v>294</v>
      </c>
      <c r="F121" s="4" t="s">
        <v>292</v>
      </c>
      <c r="G121" s="4" t="s">
        <v>193</v>
      </c>
      <c r="H121" s="4" t="s">
        <v>185</v>
      </c>
      <c r="I121" s="9">
        <v>42899</v>
      </c>
      <c r="J121" s="11">
        <v>3900</v>
      </c>
      <c r="K121" s="4" t="s">
        <v>54</v>
      </c>
      <c r="L121" s="11">
        <v>1.6800000000000002</v>
      </c>
      <c r="M121" s="11">
        <v>6552</v>
      </c>
      <c r="N121" s="4" t="s">
        <v>8</v>
      </c>
      <c r="O121" s="5">
        <v>5637292990</v>
      </c>
      <c r="P121" s="11" t="e">
        <f ca="1">_xll.AtlasFormulas.AtlasFunctions.AtlasBalance("UAT",DataAreaId,"T.MarkupTrans","Sum|Posted|0","","","","","","","TransRecId|TransTableId|MarkupCode",$O121,"492","TPP")</f>
        <v>#NAME?</v>
      </c>
    </row>
    <row r="122" spans="1:16" x14ac:dyDescent="0.15">
      <c r="A122" s="4" t="s">
        <v>20</v>
      </c>
      <c r="B122" s="4" t="s">
        <v>747</v>
      </c>
      <c r="C122" s="4" t="s">
        <v>272</v>
      </c>
      <c r="D122" s="4" t="s">
        <v>763</v>
      </c>
      <c r="E122" s="4" t="s">
        <v>764</v>
      </c>
      <c r="F122" s="4" t="s">
        <v>728</v>
      </c>
      <c r="G122" s="4" t="s">
        <v>193</v>
      </c>
      <c r="H122" s="4" t="s">
        <v>185</v>
      </c>
      <c r="I122" s="9">
        <v>42899</v>
      </c>
      <c r="J122" s="11">
        <v>3900</v>
      </c>
      <c r="K122" s="4" t="s">
        <v>54</v>
      </c>
      <c r="L122" s="11">
        <v>1.6800000000000002</v>
      </c>
      <c r="M122" s="11">
        <v>6552</v>
      </c>
      <c r="N122" s="4" t="s">
        <v>8</v>
      </c>
      <c r="O122" s="5">
        <v>5637292367</v>
      </c>
      <c r="P122" s="11" t="e">
        <f ca="1">_xll.AtlasFormulas.AtlasFunctions.AtlasBalance("UAT",DataAreaId,"T.MarkupTrans","Sum|Posted|0","","","","","","","TransRecId|TransTableId|MarkupCode",$O122,"492","TPP")</f>
        <v>#NAME?</v>
      </c>
    </row>
    <row r="123" spans="1:16" x14ac:dyDescent="0.15">
      <c r="A123" s="4" t="s">
        <v>20</v>
      </c>
      <c r="B123" s="4" t="s">
        <v>747</v>
      </c>
      <c r="C123" s="4" t="s">
        <v>272</v>
      </c>
      <c r="D123" s="4" t="s">
        <v>765</v>
      </c>
      <c r="E123" s="4" t="s">
        <v>766</v>
      </c>
      <c r="F123" s="4" t="s">
        <v>728</v>
      </c>
      <c r="G123" s="4" t="s">
        <v>193</v>
      </c>
      <c r="H123" s="4" t="s">
        <v>185</v>
      </c>
      <c r="I123" s="9">
        <v>42900</v>
      </c>
      <c r="J123" s="11">
        <v>-3900</v>
      </c>
      <c r="K123" s="4" t="s">
        <v>54</v>
      </c>
      <c r="L123" s="11">
        <v>1.6800000000000002</v>
      </c>
      <c r="M123" s="11">
        <v>-6552</v>
      </c>
      <c r="N123" s="4" t="s">
        <v>8</v>
      </c>
      <c r="O123" s="5">
        <v>5637292657</v>
      </c>
      <c r="P123" s="11" t="e">
        <f ca="1">_xll.AtlasFormulas.AtlasFunctions.AtlasBalance("UAT",DataAreaId,"T.MarkupTrans","Sum|Posted|0","","","","","","","TransRecId|TransTableId|MarkupCode",$O123,"492","TPP")</f>
        <v>#NAME?</v>
      </c>
    </row>
    <row r="124" spans="1:16" x14ac:dyDescent="0.15">
      <c r="A124" s="4" t="s">
        <v>20</v>
      </c>
      <c r="B124" s="4" t="s">
        <v>747</v>
      </c>
      <c r="C124" s="4" t="s">
        <v>272</v>
      </c>
      <c r="D124" s="4" t="s">
        <v>767</v>
      </c>
      <c r="E124" s="4" t="s">
        <v>768</v>
      </c>
      <c r="F124" s="4" t="s">
        <v>728</v>
      </c>
      <c r="G124" s="4" t="s">
        <v>193</v>
      </c>
      <c r="H124" s="4" t="s">
        <v>185</v>
      </c>
      <c r="I124" s="9">
        <v>42907</v>
      </c>
      <c r="J124" s="11">
        <v>-3900</v>
      </c>
      <c r="K124" s="4" t="s">
        <v>54</v>
      </c>
      <c r="L124" s="11">
        <v>1.6800000000000002</v>
      </c>
      <c r="M124" s="11">
        <v>-6552</v>
      </c>
      <c r="N124" s="4" t="s">
        <v>8</v>
      </c>
      <c r="O124" s="5">
        <v>5637292938</v>
      </c>
      <c r="P124" s="11" t="e">
        <f ca="1">_xll.AtlasFormulas.AtlasFunctions.AtlasBalance("UAT",DataAreaId,"T.MarkupTrans","Sum|Posted|0","","","","","","","TransRecId|TransTableId|MarkupCode",$O124,"492","TPP")</f>
        <v>#NAME?</v>
      </c>
    </row>
    <row r="125" spans="1:16" x14ac:dyDescent="0.15">
      <c r="A125" s="4" t="s">
        <v>20</v>
      </c>
      <c r="B125" s="4" t="s">
        <v>747</v>
      </c>
      <c r="C125" s="4" t="s">
        <v>272</v>
      </c>
      <c r="D125" s="4" t="s">
        <v>769</v>
      </c>
      <c r="E125" s="4" t="s">
        <v>770</v>
      </c>
      <c r="F125" s="4" t="s">
        <v>728</v>
      </c>
      <c r="G125" s="4" t="s">
        <v>193</v>
      </c>
      <c r="H125" s="4" t="s">
        <v>185</v>
      </c>
      <c r="I125" s="9">
        <v>42907</v>
      </c>
      <c r="J125" s="11">
        <v>3900</v>
      </c>
      <c r="K125" s="4" t="s">
        <v>54</v>
      </c>
      <c r="L125" s="11">
        <v>1.6800000000000002</v>
      </c>
      <c r="M125" s="11">
        <v>6552</v>
      </c>
      <c r="N125" s="4" t="s">
        <v>8</v>
      </c>
      <c r="O125" s="5">
        <v>5637292942</v>
      </c>
      <c r="P125" s="11" t="e">
        <f ca="1">_xll.AtlasFormulas.AtlasFunctions.AtlasBalance("UAT",DataAreaId,"T.MarkupTrans","Sum|Posted|0","","","","","","","TransRecId|TransTableId|MarkupCode",$O125,"492","TPP")</f>
        <v>#NAME?</v>
      </c>
    </row>
    <row r="126" spans="1:16" x14ac:dyDescent="0.15">
      <c r="A126" s="4" t="s">
        <v>20</v>
      </c>
      <c r="B126" s="4" t="s">
        <v>747</v>
      </c>
      <c r="C126" s="4" t="s">
        <v>272</v>
      </c>
      <c r="D126" s="4" t="s">
        <v>771</v>
      </c>
      <c r="E126" s="4" t="s">
        <v>772</v>
      </c>
      <c r="F126" s="4" t="s">
        <v>728</v>
      </c>
      <c r="G126" s="4" t="s">
        <v>193</v>
      </c>
      <c r="H126" s="4" t="s">
        <v>185</v>
      </c>
      <c r="I126" s="9">
        <v>42909</v>
      </c>
      <c r="J126" s="11">
        <v>-3900</v>
      </c>
      <c r="K126" s="4" t="s">
        <v>54</v>
      </c>
      <c r="L126" s="11">
        <v>1.6800000000000002</v>
      </c>
      <c r="M126" s="11">
        <v>-6552</v>
      </c>
      <c r="N126" s="4" t="s">
        <v>8</v>
      </c>
      <c r="O126" s="5">
        <v>5637292934</v>
      </c>
      <c r="P126" s="11" t="e">
        <f ca="1">_xll.AtlasFormulas.AtlasFunctions.AtlasBalance("UAT",DataAreaId,"T.MarkupTrans","Sum|Posted|0","","","","","","","TransRecId|TransTableId|MarkupCode",$O126,"492","TPP")</f>
        <v>#NAME?</v>
      </c>
    </row>
    <row r="127" spans="1:16" x14ac:dyDescent="0.15">
      <c r="A127" s="4" t="s">
        <v>20</v>
      </c>
      <c r="B127" s="4" t="s">
        <v>747</v>
      </c>
      <c r="C127" s="4" t="s">
        <v>272</v>
      </c>
      <c r="D127" s="4" t="s">
        <v>771</v>
      </c>
      <c r="E127" s="4" t="s">
        <v>772</v>
      </c>
      <c r="F127" s="4" t="s">
        <v>728</v>
      </c>
      <c r="G127" s="4" t="s">
        <v>193</v>
      </c>
      <c r="H127" s="4" t="s">
        <v>185</v>
      </c>
      <c r="I127" s="9">
        <v>42909</v>
      </c>
      <c r="J127" s="11">
        <v>3900</v>
      </c>
      <c r="K127" s="4" t="s">
        <v>54</v>
      </c>
      <c r="L127" s="11">
        <v>1.6800000000000002</v>
      </c>
      <c r="M127" s="11">
        <v>6552</v>
      </c>
      <c r="N127" s="4" t="s">
        <v>8</v>
      </c>
      <c r="O127" s="5">
        <v>5637292932</v>
      </c>
      <c r="P127" s="11" t="e">
        <f ca="1">_xll.AtlasFormulas.AtlasFunctions.AtlasBalance("UAT",DataAreaId,"T.MarkupTrans","Sum|Posted|0","","","","","","","TransRecId|TransTableId|MarkupCode",$O127,"492","TPP")</f>
        <v>#NAME?</v>
      </c>
    </row>
    <row r="128" spans="1:16" x14ac:dyDescent="0.15">
      <c r="A128" s="4" t="s">
        <v>288</v>
      </c>
      <c r="B128" s="4" t="s">
        <v>289</v>
      </c>
      <c r="C128" s="4" t="s">
        <v>82</v>
      </c>
      <c r="D128" s="4" t="s">
        <v>295</v>
      </c>
      <c r="E128" s="4" t="s">
        <v>296</v>
      </c>
      <c r="F128" s="4" t="s">
        <v>292</v>
      </c>
      <c r="G128" s="4" t="s">
        <v>193</v>
      </c>
      <c r="H128" s="4" t="s">
        <v>185</v>
      </c>
      <c r="I128" s="9">
        <v>42915</v>
      </c>
      <c r="J128" s="11">
        <v>-3900</v>
      </c>
      <c r="K128" s="4" t="s">
        <v>54</v>
      </c>
      <c r="L128" s="11">
        <v>1.6800000000000002</v>
      </c>
      <c r="M128" s="11">
        <v>-6552</v>
      </c>
      <c r="N128" s="4" t="s">
        <v>8</v>
      </c>
      <c r="O128" s="5">
        <v>5637293001</v>
      </c>
      <c r="P128" s="11" t="e">
        <f ca="1">_xll.AtlasFormulas.AtlasFunctions.AtlasBalance("UAT",DataAreaId,"T.MarkupTrans","Sum|Posted|0","","","","","","","TransRecId|TransTableId|MarkupCode",$O128,"492","TPP")</f>
        <v>#NAME?</v>
      </c>
    </row>
    <row r="129" spans="1:16" x14ac:dyDescent="0.15">
      <c r="A129" s="4" t="s">
        <v>288</v>
      </c>
      <c r="B129" s="4" t="s">
        <v>289</v>
      </c>
      <c r="C129" s="4" t="s">
        <v>82</v>
      </c>
      <c r="D129" s="4" t="s">
        <v>232</v>
      </c>
      <c r="E129" s="4" t="s">
        <v>297</v>
      </c>
      <c r="F129" s="4" t="s">
        <v>292</v>
      </c>
      <c r="G129" s="4" t="s">
        <v>193</v>
      </c>
      <c r="H129" s="4" t="s">
        <v>185</v>
      </c>
      <c r="I129" s="9">
        <v>42916</v>
      </c>
      <c r="J129" s="11">
        <v>3900</v>
      </c>
      <c r="K129" s="4" t="s">
        <v>54</v>
      </c>
      <c r="L129" s="11">
        <v>1.6800000000000002</v>
      </c>
      <c r="M129" s="11">
        <v>6552</v>
      </c>
      <c r="N129" s="4" t="s">
        <v>8</v>
      </c>
      <c r="O129" s="5">
        <v>5637293003</v>
      </c>
      <c r="P129" s="11" t="e">
        <f ca="1">_xll.AtlasFormulas.AtlasFunctions.AtlasBalance("UAT",DataAreaId,"T.MarkupTrans","Sum|Posted|0","","","","","","","TransRecId|TransTableId|MarkupCode",$O129,"492","TPP")</f>
        <v>#NAME?</v>
      </c>
    </row>
    <row r="130" spans="1:16" x14ac:dyDescent="0.15">
      <c r="A130" s="4" t="s">
        <v>20</v>
      </c>
      <c r="B130" s="4" t="s">
        <v>747</v>
      </c>
      <c r="C130" s="4" t="s">
        <v>272</v>
      </c>
      <c r="D130" s="4" t="s">
        <v>775</v>
      </c>
      <c r="E130" s="4" t="s">
        <v>776</v>
      </c>
      <c r="F130" s="4" t="s">
        <v>728</v>
      </c>
      <c r="G130" s="4" t="s">
        <v>193</v>
      </c>
      <c r="H130" s="4" t="s">
        <v>185</v>
      </c>
      <c r="I130" s="9">
        <v>42916</v>
      </c>
      <c r="J130" s="11">
        <v>3900</v>
      </c>
      <c r="K130" s="4" t="s">
        <v>54</v>
      </c>
      <c r="L130" s="11">
        <v>1.6800000000000002</v>
      </c>
      <c r="M130" s="11">
        <v>6552</v>
      </c>
      <c r="N130" s="4" t="s">
        <v>8</v>
      </c>
      <c r="O130" s="5">
        <v>5637293007</v>
      </c>
      <c r="P130" s="11" t="e">
        <f ca="1">_xll.AtlasFormulas.AtlasFunctions.AtlasBalance("UAT",DataAreaId,"T.MarkupTrans","Sum|Posted|0","","","","","","","TransRecId|TransTableId|MarkupCode",$O130,"492","TPP")</f>
        <v>#NAME?</v>
      </c>
    </row>
    <row r="131" spans="1:16" x14ac:dyDescent="0.15">
      <c r="A131" s="4" t="s">
        <v>20</v>
      </c>
      <c r="B131" s="4" t="s">
        <v>747</v>
      </c>
      <c r="C131" s="4" t="s">
        <v>272</v>
      </c>
      <c r="D131" s="4" t="s">
        <v>777</v>
      </c>
      <c r="E131" s="4" t="s">
        <v>778</v>
      </c>
      <c r="F131" s="4" t="s">
        <v>728</v>
      </c>
      <c r="G131" s="4" t="s">
        <v>193</v>
      </c>
      <c r="H131" s="4" t="s">
        <v>185</v>
      </c>
      <c r="I131" s="9">
        <v>42928</v>
      </c>
      <c r="J131" s="11">
        <v>19500</v>
      </c>
      <c r="K131" s="4" t="s">
        <v>54</v>
      </c>
      <c r="L131" s="11">
        <v>1.7399999999999998</v>
      </c>
      <c r="M131" s="11">
        <v>33930</v>
      </c>
      <c r="N131" s="4" t="s">
        <v>8</v>
      </c>
      <c r="O131" s="5">
        <v>5637293444</v>
      </c>
      <c r="P131" s="11" t="e">
        <f ca="1">_xll.AtlasFormulas.AtlasFunctions.AtlasBalance("UAT",DataAreaId,"T.MarkupTrans","Sum|Posted|0","","","","","","","TransRecId|TransTableId|MarkupCode",$O131,"492","TPP")</f>
        <v>#NAME?</v>
      </c>
    </row>
    <row r="132" spans="1:16" x14ac:dyDescent="0.15">
      <c r="A132" s="4" t="s">
        <v>227</v>
      </c>
      <c r="B132" s="4" t="s">
        <v>228</v>
      </c>
      <c r="C132" s="4" t="s">
        <v>82</v>
      </c>
      <c r="D132" s="4" t="s">
        <v>298</v>
      </c>
      <c r="E132" s="4" t="s">
        <v>299</v>
      </c>
      <c r="F132" s="4" t="s">
        <v>231</v>
      </c>
      <c r="G132" s="4" t="s">
        <v>193</v>
      </c>
      <c r="H132" s="4" t="s">
        <v>185</v>
      </c>
      <c r="I132" s="9">
        <v>42929</v>
      </c>
      <c r="J132" s="11">
        <v>19500</v>
      </c>
      <c r="K132" s="4" t="s">
        <v>54</v>
      </c>
      <c r="L132" s="11">
        <v>1.7399999999999998</v>
      </c>
      <c r="M132" s="11">
        <v>33930</v>
      </c>
      <c r="N132" s="4" t="s">
        <v>8</v>
      </c>
      <c r="O132" s="5">
        <v>5637293471</v>
      </c>
      <c r="P132" s="11" t="e">
        <f ca="1">_xll.AtlasFormulas.AtlasFunctions.AtlasBalance("UAT",DataAreaId,"T.MarkupTrans","Sum|Posted|0","","","","","","","TransRecId|TransTableId|MarkupCode",$O132,"492","TPP")</f>
        <v>#NAME?</v>
      </c>
    </row>
    <row r="133" spans="1:16" x14ac:dyDescent="0.15">
      <c r="A133" s="4" t="s">
        <v>20</v>
      </c>
      <c r="B133" s="4" t="s">
        <v>747</v>
      </c>
      <c r="C133" s="4" t="s">
        <v>272</v>
      </c>
      <c r="D133" s="4" t="s">
        <v>820</v>
      </c>
      <c r="E133" s="4" t="s">
        <v>821</v>
      </c>
      <c r="F133" s="4" t="s">
        <v>728</v>
      </c>
      <c r="G133" s="4" t="s">
        <v>193</v>
      </c>
      <c r="H133" s="4" t="s">
        <v>185</v>
      </c>
      <c r="I133" s="9">
        <v>42940</v>
      </c>
      <c r="J133" s="11">
        <v>25350</v>
      </c>
      <c r="K133" s="4" t="s">
        <v>54</v>
      </c>
      <c r="L133" s="11">
        <v>1.7399999999999998</v>
      </c>
      <c r="M133" s="11">
        <v>44109</v>
      </c>
      <c r="N133" s="4" t="s">
        <v>8</v>
      </c>
      <c r="O133" s="5">
        <v>5637293515</v>
      </c>
      <c r="P133" s="11" t="e">
        <f ca="1">_xll.AtlasFormulas.AtlasFunctions.AtlasBalance("UAT",DataAreaId,"T.MarkupTrans","Sum|Posted|0","","","","","","","TransRecId|TransTableId|MarkupCode",$O133,"492","TPP")</f>
        <v>#NAME?</v>
      </c>
    </row>
    <row r="134" spans="1:16" x14ac:dyDescent="0.15">
      <c r="A134" s="4" t="s">
        <v>227</v>
      </c>
      <c r="B134" s="4" t="s">
        <v>228</v>
      </c>
      <c r="C134" s="4" t="s">
        <v>82</v>
      </c>
      <c r="D134" s="4" t="s">
        <v>372</v>
      </c>
      <c r="E134" s="4" t="s">
        <v>373</v>
      </c>
      <c r="F134" s="4" t="s">
        <v>231</v>
      </c>
      <c r="G134" s="4" t="s">
        <v>193</v>
      </c>
      <c r="H134" s="4" t="s">
        <v>185</v>
      </c>
      <c r="I134" s="9">
        <v>42942</v>
      </c>
      <c r="J134" s="11">
        <v>25350</v>
      </c>
      <c r="K134" s="4" t="s">
        <v>54</v>
      </c>
      <c r="L134" s="11">
        <v>1.7399999999999998</v>
      </c>
      <c r="M134" s="11">
        <v>44109</v>
      </c>
      <c r="N134" s="4" t="s">
        <v>8</v>
      </c>
      <c r="O134" s="5">
        <v>5637293529</v>
      </c>
      <c r="P134" s="11" t="e">
        <f ca="1">_xll.AtlasFormulas.AtlasFunctions.AtlasBalance("UAT",DataAreaId,"T.MarkupTrans","Sum|Posted|0","","","","","","","TransRecId|TransTableId|MarkupCode",$O134,"492","TPP")</f>
        <v>#NAME?</v>
      </c>
    </row>
    <row r="135" spans="1:16" x14ac:dyDescent="0.15">
      <c r="A135" s="4" t="s">
        <v>20</v>
      </c>
      <c r="B135" s="4" t="s">
        <v>747</v>
      </c>
      <c r="C135" s="4" t="s">
        <v>272</v>
      </c>
      <c r="D135" s="4" t="s">
        <v>822</v>
      </c>
      <c r="E135" s="4" t="s">
        <v>195</v>
      </c>
      <c r="F135" s="4" t="s">
        <v>728</v>
      </c>
      <c r="G135" s="4" t="s">
        <v>193</v>
      </c>
      <c r="H135" s="4" t="s">
        <v>185</v>
      </c>
      <c r="I135" s="9">
        <v>42951</v>
      </c>
      <c r="J135" s="11">
        <v>25350</v>
      </c>
      <c r="K135" s="4" t="s">
        <v>54</v>
      </c>
      <c r="L135" s="11">
        <v>1.7399999999999998</v>
      </c>
      <c r="M135" s="11">
        <v>44109</v>
      </c>
      <c r="N135" s="4" t="s">
        <v>8</v>
      </c>
      <c r="O135" s="5">
        <v>5637294422</v>
      </c>
      <c r="P135" s="11" t="e">
        <f ca="1">_xll.AtlasFormulas.AtlasFunctions.AtlasBalance("UAT",DataAreaId,"T.MarkupTrans","Sum|Posted|0","","","","","","","TransRecId|TransTableId|MarkupCode",$O135,"492","TPP")</f>
        <v>#NAME?</v>
      </c>
    </row>
    <row r="136" spans="1:16" x14ac:dyDescent="0.15">
      <c r="A136" s="4" t="s">
        <v>249</v>
      </c>
      <c r="B136" s="4" t="s">
        <v>83</v>
      </c>
      <c r="C136" s="4" t="s">
        <v>82</v>
      </c>
      <c r="D136" s="4" t="s">
        <v>374</v>
      </c>
      <c r="E136" s="4" t="s">
        <v>375</v>
      </c>
      <c r="F136" s="4" t="s">
        <v>80</v>
      </c>
      <c r="G136" s="4" t="s">
        <v>193</v>
      </c>
      <c r="H136" s="4" t="s">
        <v>185</v>
      </c>
      <c r="I136" s="9">
        <v>42956</v>
      </c>
      <c r="J136" s="11">
        <v>9750</v>
      </c>
      <c r="K136" s="4" t="s">
        <v>54</v>
      </c>
      <c r="L136" s="11">
        <v>1.7399999999999998</v>
      </c>
      <c r="M136" s="11">
        <v>16965</v>
      </c>
      <c r="N136" s="4" t="s">
        <v>8</v>
      </c>
      <c r="O136" s="5">
        <v>5637294437</v>
      </c>
      <c r="P136" s="11" t="e">
        <f ca="1">_xll.AtlasFormulas.AtlasFunctions.AtlasBalance("UAT",DataAreaId,"T.MarkupTrans","Sum|Posted|0","","","","","","","TransRecId|TransTableId|MarkupCode",$O136,"492","TPP")</f>
        <v>#NAME?</v>
      </c>
    </row>
    <row r="137" spans="1:16" x14ac:dyDescent="0.15">
      <c r="A137" s="4" t="s">
        <v>249</v>
      </c>
      <c r="B137" s="4" t="s">
        <v>83</v>
      </c>
      <c r="C137" s="4" t="s">
        <v>82</v>
      </c>
      <c r="D137" s="4" t="s">
        <v>155</v>
      </c>
      <c r="E137" s="4" t="s">
        <v>376</v>
      </c>
      <c r="F137" s="4" t="s">
        <v>80</v>
      </c>
      <c r="G137" s="4" t="s">
        <v>193</v>
      </c>
      <c r="H137" s="4" t="s">
        <v>185</v>
      </c>
      <c r="I137" s="9">
        <v>42956</v>
      </c>
      <c r="J137" s="11">
        <v>-9750</v>
      </c>
      <c r="K137" s="4" t="s">
        <v>54</v>
      </c>
      <c r="L137" s="11">
        <v>1.7399999999999998</v>
      </c>
      <c r="M137" s="11">
        <v>-16965</v>
      </c>
      <c r="N137" s="4" t="s">
        <v>8</v>
      </c>
      <c r="O137" s="5">
        <v>5637294453</v>
      </c>
      <c r="P137" s="11" t="e">
        <f ca="1">_xll.AtlasFormulas.AtlasFunctions.AtlasBalance("UAT",DataAreaId,"T.MarkupTrans","Sum|Posted|0","","","","","","","TransRecId|TransTableId|MarkupCode",$O137,"492","TPP")</f>
        <v>#NAME?</v>
      </c>
    </row>
    <row r="138" spans="1:16" x14ac:dyDescent="0.15">
      <c r="A138" s="4" t="s">
        <v>249</v>
      </c>
      <c r="B138" s="4" t="s">
        <v>83</v>
      </c>
      <c r="C138" s="4" t="s">
        <v>82</v>
      </c>
      <c r="D138" s="4" t="s">
        <v>177</v>
      </c>
      <c r="E138" s="4" t="s">
        <v>377</v>
      </c>
      <c r="F138" s="4" t="s">
        <v>80</v>
      </c>
      <c r="G138" s="4" t="s">
        <v>193</v>
      </c>
      <c r="H138" s="4" t="s">
        <v>185</v>
      </c>
      <c r="I138" s="9">
        <v>42956</v>
      </c>
      <c r="J138" s="11">
        <v>9750</v>
      </c>
      <c r="K138" s="4" t="s">
        <v>54</v>
      </c>
      <c r="L138" s="11">
        <v>1.7399999999999998</v>
      </c>
      <c r="M138" s="11">
        <v>16965</v>
      </c>
      <c r="N138" s="4" t="s">
        <v>8</v>
      </c>
      <c r="O138" s="5">
        <v>5637294454</v>
      </c>
      <c r="P138" s="11" t="e">
        <f ca="1">_xll.AtlasFormulas.AtlasFunctions.AtlasBalance("UAT",DataAreaId,"T.MarkupTrans","Sum|Posted|0","","","","","","","TransRecId|TransTableId|MarkupCode",$O138,"492","TPP")</f>
        <v>#NAME?</v>
      </c>
    </row>
    <row r="139" spans="1:16" x14ac:dyDescent="0.15">
      <c r="A139" s="4" t="s">
        <v>20</v>
      </c>
      <c r="B139" s="4" t="s">
        <v>747</v>
      </c>
      <c r="C139" s="4" t="s">
        <v>272</v>
      </c>
      <c r="D139" s="4" t="s">
        <v>823</v>
      </c>
      <c r="E139" s="4" t="s">
        <v>824</v>
      </c>
      <c r="F139" s="4" t="s">
        <v>728</v>
      </c>
      <c r="G139" s="4" t="s">
        <v>378</v>
      </c>
      <c r="H139" s="4" t="s">
        <v>321</v>
      </c>
      <c r="I139" s="9">
        <v>42752</v>
      </c>
      <c r="J139" s="11">
        <v>3900</v>
      </c>
      <c r="K139" s="4" t="s">
        <v>54</v>
      </c>
      <c r="L139" s="11">
        <v>1.65</v>
      </c>
      <c r="M139" s="11">
        <v>6435</v>
      </c>
      <c r="N139" s="4" t="s">
        <v>8</v>
      </c>
      <c r="O139" s="5">
        <v>5637289686</v>
      </c>
      <c r="P139" s="11" t="e">
        <f ca="1">_xll.AtlasFormulas.AtlasFunctions.AtlasBalance("UAT",DataAreaId,"T.MarkupTrans","Sum|Posted|0","","","","","","","TransRecId|TransTableId|MarkupCode",$O139,"492","TPP")</f>
        <v>#NAME?</v>
      </c>
    </row>
    <row r="140" spans="1:16" x14ac:dyDescent="0.15">
      <c r="A140" s="4" t="s">
        <v>20</v>
      </c>
      <c r="B140" s="4" t="s">
        <v>747</v>
      </c>
      <c r="C140" s="4" t="s">
        <v>272</v>
      </c>
      <c r="D140" s="4" t="s">
        <v>796</v>
      </c>
      <c r="E140" s="4" t="s">
        <v>797</v>
      </c>
      <c r="F140" s="4" t="s">
        <v>728</v>
      </c>
      <c r="G140" s="4" t="s">
        <v>378</v>
      </c>
      <c r="H140" s="4" t="s">
        <v>321</v>
      </c>
      <c r="I140" s="9">
        <v>42755</v>
      </c>
      <c r="J140" s="11">
        <v>5850</v>
      </c>
      <c r="K140" s="4" t="s">
        <v>54</v>
      </c>
      <c r="L140" s="11">
        <v>1.65</v>
      </c>
      <c r="M140" s="11">
        <v>9652.5</v>
      </c>
      <c r="N140" s="4" t="s">
        <v>8</v>
      </c>
      <c r="O140" s="5">
        <v>5637289688</v>
      </c>
      <c r="P140" s="11" t="e">
        <f ca="1">_xll.AtlasFormulas.AtlasFunctions.AtlasBalance("UAT",DataAreaId,"T.MarkupTrans","Sum|Posted|0","","","","","","","TransRecId|TransTableId|MarkupCode",$O140,"492","TPP")</f>
        <v>#NAME?</v>
      </c>
    </row>
    <row r="141" spans="1:16" x14ac:dyDescent="0.15">
      <c r="A141" s="4" t="s">
        <v>20</v>
      </c>
      <c r="B141" s="4" t="s">
        <v>747</v>
      </c>
      <c r="C141" s="4" t="s">
        <v>272</v>
      </c>
      <c r="D141" s="4" t="s">
        <v>825</v>
      </c>
      <c r="E141" s="4" t="s">
        <v>826</v>
      </c>
      <c r="F141" s="4" t="s">
        <v>728</v>
      </c>
      <c r="G141" s="4" t="s">
        <v>378</v>
      </c>
      <c r="H141" s="4" t="s">
        <v>321</v>
      </c>
      <c r="I141" s="9">
        <v>42758</v>
      </c>
      <c r="J141" s="11">
        <v>7800</v>
      </c>
      <c r="K141" s="4" t="s">
        <v>54</v>
      </c>
      <c r="L141" s="11">
        <v>1.65</v>
      </c>
      <c r="M141" s="11">
        <v>12870</v>
      </c>
      <c r="N141" s="4" t="s">
        <v>8</v>
      </c>
      <c r="O141" s="5">
        <v>5637289675</v>
      </c>
      <c r="P141" s="11" t="e">
        <f ca="1">_xll.AtlasFormulas.AtlasFunctions.AtlasBalance("UAT",DataAreaId,"T.MarkupTrans","Sum|Posted|0","","","","","","","TransRecId|TransTableId|MarkupCode",$O141,"492","TPP")</f>
        <v>#NAME?</v>
      </c>
    </row>
    <row r="142" spans="1:16" x14ac:dyDescent="0.15">
      <c r="A142" s="4" t="s">
        <v>20</v>
      </c>
      <c r="B142" s="4" t="s">
        <v>747</v>
      </c>
      <c r="C142" s="4" t="s">
        <v>272</v>
      </c>
      <c r="D142" s="4" t="s">
        <v>788</v>
      </c>
      <c r="E142" s="4" t="s">
        <v>789</v>
      </c>
      <c r="F142" s="4" t="s">
        <v>728</v>
      </c>
      <c r="G142" s="4" t="s">
        <v>378</v>
      </c>
      <c r="H142" s="4" t="s">
        <v>321</v>
      </c>
      <c r="I142" s="9">
        <v>42765</v>
      </c>
      <c r="J142" s="11">
        <v>5850</v>
      </c>
      <c r="K142" s="4" t="s">
        <v>54</v>
      </c>
      <c r="L142" s="11">
        <v>1.65</v>
      </c>
      <c r="M142" s="11">
        <v>9652.5</v>
      </c>
      <c r="N142" s="4" t="s">
        <v>8</v>
      </c>
      <c r="O142" s="5">
        <v>5637289699</v>
      </c>
      <c r="P142" s="11" t="e">
        <f ca="1">_xll.AtlasFormulas.AtlasFunctions.AtlasBalance("UAT",DataAreaId,"T.MarkupTrans","Sum|Posted|0","","","","","","","TransRecId|TransTableId|MarkupCode",$O142,"492","TPP")</f>
        <v>#NAME?</v>
      </c>
    </row>
    <row r="143" spans="1:16" x14ac:dyDescent="0.15">
      <c r="A143" s="4" t="s">
        <v>227</v>
      </c>
      <c r="B143" s="4" t="s">
        <v>228</v>
      </c>
      <c r="C143" s="4" t="s">
        <v>82</v>
      </c>
      <c r="D143" s="4" t="s">
        <v>333</v>
      </c>
      <c r="E143" s="4" t="s">
        <v>334</v>
      </c>
      <c r="F143" s="4" t="s">
        <v>231</v>
      </c>
      <c r="G143" s="4" t="s">
        <v>378</v>
      </c>
      <c r="H143" s="4" t="s">
        <v>321</v>
      </c>
      <c r="I143" s="9">
        <v>42765</v>
      </c>
      <c r="J143" s="11">
        <v>5850</v>
      </c>
      <c r="K143" s="4" t="s">
        <v>54</v>
      </c>
      <c r="L143" s="11">
        <v>1.65</v>
      </c>
      <c r="M143" s="11">
        <v>9652.5</v>
      </c>
      <c r="N143" s="4" t="s">
        <v>8</v>
      </c>
      <c r="O143" s="5">
        <v>5637289693</v>
      </c>
      <c r="P143" s="11" t="e">
        <f ca="1">_xll.AtlasFormulas.AtlasFunctions.AtlasBalance("UAT",DataAreaId,"T.MarkupTrans","Sum|Posted|0","","","","","","","TransRecId|TransTableId|MarkupCode",$O143,"492","TPP")</f>
        <v>#NAME?</v>
      </c>
    </row>
    <row r="144" spans="1:16" x14ac:dyDescent="0.15">
      <c r="A144" s="4" t="s">
        <v>227</v>
      </c>
      <c r="B144" s="4" t="s">
        <v>228</v>
      </c>
      <c r="C144" s="4" t="s">
        <v>82</v>
      </c>
      <c r="D144" s="4" t="s">
        <v>379</v>
      </c>
      <c r="E144" s="4" t="s">
        <v>380</v>
      </c>
      <c r="F144" s="4" t="s">
        <v>231</v>
      </c>
      <c r="G144" s="4" t="s">
        <v>378</v>
      </c>
      <c r="H144" s="4" t="s">
        <v>321</v>
      </c>
      <c r="I144" s="9">
        <v>42765</v>
      </c>
      <c r="J144" s="11">
        <v>7800</v>
      </c>
      <c r="K144" s="4" t="s">
        <v>54</v>
      </c>
      <c r="L144" s="11">
        <v>1.65</v>
      </c>
      <c r="M144" s="11">
        <v>12870</v>
      </c>
      <c r="N144" s="4" t="s">
        <v>8</v>
      </c>
      <c r="O144" s="5">
        <v>5637289703</v>
      </c>
      <c r="P144" s="11" t="e">
        <f ca="1">_xll.AtlasFormulas.AtlasFunctions.AtlasBalance("UAT",DataAreaId,"T.MarkupTrans","Sum|Posted|0","","","","","","","TransRecId|TransTableId|MarkupCode",$O144,"492","TPP")</f>
        <v>#NAME?</v>
      </c>
    </row>
    <row r="145" spans="1:16" x14ac:dyDescent="0.15">
      <c r="A145" s="4" t="s">
        <v>227</v>
      </c>
      <c r="B145" s="4" t="s">
        <v>228</v>
      </c>
      <c r="C145" s="4" t="s">
        <v>82</v>
      </c>
      <c r="D145" s="4" t="s">
        <v>381</v>
      </c>
      <c r="E145" s="4" t="s">
        <v>382</v>
      </c>
      <c r="F145" s="4" t="s">
        <v>231</v>
      </c>
      <c r="G145" s="4" t="s">
        <v>378</v>
      </c>
      <c r="H145" s="4" t="s">
        <v>321</v>
      </c>
      <c r="I145" s="9">
        <v>42766</v>
      </c>
      <c r="J145" s="11">
        <v>3900</v>
      </c>
      <c r="K145" s="4" t="s">
        <v>54</v>
      </c>
      <c r="L145" s="11">
        <v>1.65</v>
      </c>
      <c r="M145" s="11">
        <v>6435</v>
      </c>
      <c r="N145" s="4" t="s">
        <v>8</v>
      </c>
      <c r="O145" s="5">
        <v>5637289714</v>
      </c>
      <c r="P145" s="11" t="e">
        <f ca="1">_xll.AtlasFormulas.AtlasFunctions.AtlasBalance("UAT",DataAreaId,"T.MarkupTrans","Sum|Posted|0","","","","","","","TransRecId|TransTableId|MarkupCode",$O145,"492","TPP")</f>
        <v>#NAME?</v>
      </c>
    </row>
    <row r="146" spans="1:16" x14ac:dyDescent="0.15">
      <c r="A146" s="4" t="s">
        <v>227</v>
      </c>
      <c r="B146" s="4" t="s">
        <v>228</v>
      </c>
      <c r="C146" s="4" t="s">
        <v>82</v>
      </c>
      <c r="D146" s="4" t="s">
        <v>318</v>
      </c>
      <c r="E146" s="4" t="s">
        <v>319</v>
      </c>
      <c r="F146" s="4" t="s">
        <v>231</v>
      </c>
      <c r="G146" s="4" t="s">
        <v>378</v>
      </c>
      <c r="H146" s="4" t="s">
        <v>321</v>
      </c>
      <c r="I146" s="9">
        <v>42774</v>
      </c>
      <c r="J146" s="11">
        <v>5850</v>
      </c>
      <c r="K146" s="4" t="s">
        <v>54</v>
      </c>
      <c r="L146" s="11">
        <v>1.65</v>
      </c>
      <c r="M146" s="11">
        <v>9652.5</v>
      </c>
      <c r="N146" s="4" t="s">
        <v>8</v>
      </c>
      <c r="O146" s="5">
        <v>5637289769</v>
      </c>
      <c r="P146" s="11" t="e">
        <f ca="1">_xll.AtlasFormulas.AtlasFunctions.AtlasBalance("UAT",DataAreaId,"T.MarkupTrans","Sum|Posted|0","","","","","","","TransRecId|TransTableId|MarkupCode",$O146,"492","TPP")</f>
        <v>#NAME?</v>
      </c>
    </row>
    <row r="147" spans="1:16" x14ac:dyDescent="0.15">
      <c r="A147" s="4" t="s">
        <v>20</v>
      </c>
      <c r="B147" s="4" t="s">
        <v>747</v>
      </c>
      <c r="C147" s="4" t="s">
        <v>272</v>
      </c>
      <c r="D147" s="4" t="s">
        <v>790</v>
      </c>
      <c r="E147" s="4" t="s">
        <v>791</v>
      </c>
      <c r="F147" s="4" t="s">
        <v>728</v>
      </c>
      <c r="G147" s="4" t="s">
        <v>378</v>
      </c>
      <c r="H147" s="4" t="s">
        <v>321</v>
      </c>
      <c r="I147" s="9">
        <v>42795</v>
      </c>
      <c r="J147" s="11">
        <v>1950</v>
      </c>
      <c r="K147" s="4" t="s">
        <v>54</v>
      </c>
      <c r="L147" s="11">
        <v>1.67</v>
      </c>
      <c r="M147" s="11">
        <v>3256.5</v>
      </c>
      <c r="N147" s="4" t="s">
        <v>8</v>
      </c>
      <c r="O147" s="5">
        <v>5637290991</v>
      </c>
      <c r="P147" s="11" t="e">
        <f ca="1">_xll.AtlasFormulas.AtlasFunctions.AtlasBalance("UAT",DataAreaId,"T.MarkupTrans","Sum|Posted|0","","","","","","","TransRecId|TransTableId|MarkupCode",$O147,"492","TPP")</f>
        <v>#NAME?</v>
      </c>
    </row>
    <row r="148" spans="1:16" x14ac:dyDescent="0.15">
      <c r="A148" s="4" t="s">
        <v>227</v>
      </c>
      <c r="B148" s="4" t="s">
        <v>228</v>
      </c>
      <c r="C148" s="4" t="s">
        <v>82</v>
      </c>
      <c r="D148" s="4" t="s">
        <v>322</v>
      </c>
      <c r="E148" s="4" t="s">
        <v>323</v>
      </c>
      <c r="F148" s="4" t="s">
        <v>231</v>
      </c>
      <c r="G148" s="4" t="s">
        <v>378</v>
      </c>
      <c r="H148" s="4" t="s">
        <v>321</v>
      </c>
      <c r="I148" s="9">
        <v>42800</v>
      </c>
      <c r="J148" s="11">
        <v>1950</v>
      </c>
      <c r="K148" s="4" t="s">
        <v>54</v>
      </c>
      <c r="L148" s="11">
        <v>1.67</v>
      </c>
      <c r="M148" s="11">
        <v>3256.5</v>
      </c>
      <c r="N148" s="4" t="s">
        <v>8</v>
      </c>
      <c r="O148" s="5">
        <v>5637291014</v>
      </c>
      <c r="P148" s="11" t="e">
        <f ca="1">_xll.AtlasFormulas.AtlasFunctions.AtlasBalance("UAT",DataAreaId,"T.MarkupTrans","Sum|Posted|0","","","","","","","TransRecId|TransTableId|MarkupCode",$O148,"492","TPP")</f>
        <v>#NAME?</v>
      </c>
    </row>
    <row r="149" spans="1:16" x14ac:dyDescent="0.15">
      <c r="A149" s="4" t="s">
        <v>227</v>
      </c>
      <c r="B149" s="4" t="s">
        <v>228</v>
      </c>
      <c r="C149" s="4" t="s">
        <v>82</v>
      </c>
      <c r="D149" s="4" t="s">
        <v>86</v>
      </c>
      <c r="E149" s="4" t="s">
        <v>383</v>
      </c>
      <c r="F149" s="4" t="s">
        <v>231</v>
      </c>
      <c r="G149" s="4" t="s">
        <v>378</v>
      </c>
      <c r="H149" s="4" t="s">
        <v>321</v>
      </c>
      <c r="I149" s="9">
        <v>42817</v>
      </c>
      <c r="J149" s="11">
        <v>7800</v>
      </c>
      <c r="K149" s="4" t="s">
        <v>54</v>
      </c>
      <c r="L149" s="11">
        <v>1.65</v>
      </c>
      <c r="M149" s="11">
        <v>12870</v>
      </c>
      <c r="N149" s="4" t="s">
        <v>8</v>
      </c>
      <c r="O149" s="5">
        <v>5637291171</v>
      </c>
      <c r="P149" s="11" t="e">
        <f ca="1">_xll.AtlasFormulas.AtlasFunctions.AtlasBalance("UAT",DataAreaId,"T.MarkupTrans","Sum|Posted|0","","","","","","","TransRecId|TransTableId|MarkupCode",$O149,"492","TPP")</f>
        <v>#NAME?</v>
      </c>
    </row>
    <row r="150" spans="1:16" x14ac:dyDescent="0.15">
      <c r="A150" s="4" t="s">
        <v>227</v>
      </c>
      <c r="B150" s="4" t="s">
        <v>228</v>
      </c>
      <c r="C150" s="4" t="s">
        <v>82</v>
      </c>
      <c r="D150" s="4" t="s">
        <v>384</v>
      </c>
      <c r="E150" s="4" t="s">
        <v>385</v>
      </c>
      <c r="F150" s="4" t="s">
        <v>231</v>
      </c>
      <c r="G150" s="4" t="s">
        <v>378</v>
      </c>
      <c r="H150" s="4" t="s">
        <v>321</v>
      </c>
      <c r="I150" s="9">
        <v>42817</v>
      </c>
      <c r="J150" s="11">
        <v>3900</v>
      </c>
      <c r="K150" s="4" t="s">
        <v>54</v>
      </c>
      <c r="L150" s="11">
        <v>1.65</v>
      </c>
      <c r="M150" s="11">
        <v>6435</v>
      </c>
      <c r="N150" s="4" t="s">
        <v>8</v>
      </c>
      <c r="O150" s="5">
        <v>5637291179</v>
      </c>
      <c r="P150" s="11" t="e">
        <f ca="1">_xll.AtlasFormulas.AtlasFunctions.AtlasBalance("UAT",DataAreaId,"T.MarkupTrans","Sum|Posted|0","","","","","","","TransRecId|TransTableId|MarkupCode",$O150,"492","TPP")</f>
        <v>#NAME?</v>
      </c>
    </row>
    <row r="151" spans="1:16" x14ac:dyDescent="0.15">
      <c r="A151" s="4" t="s">
        <v>227</v>
      </c>
      <c r="B151" s="4" t="s">
        <v>228</v>
      </c>
      <c r="C151" s="4" t="s">
        <v>82</v>
      </c>
      <c r="D151" s="4" t="s">
        <v>269</v>
      </c>
      <c r="E151" s="4" t="s">
        <v>336</v>
      </c>
      <c r="F151" s="4" t="s">
        <v>231</v>
      </c>
      <c r="G151" s="4" t="s">
        <v>378</v>
      </c>
      <c r="H151" s="4" t="s">
        <v>321</v>
      </c>
      <c r="I151" s="9">
        <v>42817</v>
      </c>
      <c r="J151" s="11">
        <v>5850</v>
      </c>
      <c r="K151" s="4" t="s">
        <v>54</v>
      </c>
      <c r="L151" s="11">
        <v>1.65</v>
      </c>
      <c r="M151" s="11">
        <v>9652.5</v>
      </c>
      <c r="N151" s="4" t="s">
        <v>8</v>
      </c>
      <c r="O151" s="5">
        <v>5637291180</v>
      </c>
      <c r="P151" s="11" t="e">
        <f ca="1">_xll.AtlasFormulas.AtlasFunctions.AtlasBalance("UAT",DataAreaId,"T.MarkupTrans","Sum|Posted|0","","","","","","","TransRecId|TransTableId|MarkupCode",$O151,"492","TPP")</f>
        <v>#NAME?</v>
      </c>
    </row>
    <row r="152" spans="1:16" x14ac:dyDescent="0.15">
      <c r="A152" s="4" t="s">
        <v>227</v>
      </c>
      <c r="B152" s="4" t="s">
        <v>228</v>
      </c>
      <c r="C152" s="4" t="s">
        <v>82</v>
      </c>
      <c r="D152" s="4" t="s">
        <v>324</v>
      </c>
      <c r="E152" s="4" t="s">
        <v>325</v>
      </c>
      <c r="F152" s="4" t="s">
        <v>231</v>
      </c>
      <c r="G152" s="4" t="s">
        <v>378</v>
      </c>
      <c r="H152" s="4" t="s">
        <v>321</v>
      </c>
      <c r="I152" s="9">
        <v>42817</v>
      </c>
      <c r="J152" s="11">
        <v>5850</v>
      </c>
      <c r="K152" s="4" t="s">
        <v>54</v>
      </c>
      <c r="L152" s="11">
        <v>1.65</v>
      </c>
      <c r="M152" s="11">
        <v>9652.5</v>
      </c>
      <c r="N152" s="4" t="s">
        <v>8</v>
      </c>
      <c r="O152" s="5">
        <v>5637291184</v>
      </c>
      <c r="P152" s="11" t="e">
        <f ca="1">_xll.AtlasFormulas.AtlasFunctions.AtlasBalance("UAT",DataAreaId,"T.MarkupTrans","Sum|Posted|0","","","","","","","TransRecId|TransTableId|MarkupCode",$O152,"492","TPP")</f>
        <v>#NAME?</v>
      </c>
    </row>
    <row r="153" spans="1:16" x14ac:dyDescent="0.15">
      <c r="A153" s="4" t="s">
        <v>227</v>
      </c>
      <c r="B153" s="4" t="s">
        <v>228</v>
      </c>
      <c r="C153" s="4" t="s">
        <v>82</v>
      </c>
      <c r="D153" s="4" t="s">
        <v>284</v>
      </c>
      <c r="E153" s="4" t="s">
        <v>386</v>
      </c>
      <c r="F153" s="4" t="s">
        <v>231</v>
      </c>
      <c r="G153" s="4" t="s">
        <v>378</v>
      </c>
      <c r="H153" s="4" t="s">
        <v>321</v>
      </c>
      <c r="I153" s="9">
        <v>42817</v>
      </c>
      <c r="J153" s="11">
        <v>-3900</v>
      </c>
      <c r="K153" s="4" t="s">
        <v>54</v>
      </c>
      <c r="L153" s="11">
        <v>1.65</v>
      </c>
      <c r="M153" s="11">
        <v>-6435</v>
      </c>
      <c r="N153" s="4" t="s">
        <v>8</v>
      </c>
      <c r="O153" s="5">
        <v>5637291206</v>
      </c>
      <c r="P153" s="11" t="e">
        <f ca="1">_xll.AtlasFormulas.AtlasFunctions.AtlasBalance("UAT",DataAreaId,"T.MarkupTrans","Sum|Posted|0","","","","","","","TransRecId|TransTableId|MarkupCode",$O153,"492","TPP")</f>
        <v>#NAME?</v>
      </c>
    </row>
    <row r="154" spans="1:16" x14ac:dyDescent="0.15">
      <c r="A154" s="4" t="s">
        <v>227</v>
      </c>
      <c r="B154" s="4" t="s">
        <v>228</v>
      </c>
      <c r="C154" s="4" t="s">
        <v>82</v>
      </c>
      <c r="D154" s="4" t="s">
        <v>121</v>
      </c>
      <c r="E154" s="4" t="s">
        <v>337</v>
      </c>
      <c r="F154" s="4" t="s">
        <v>231</v>
      </c>
      <c r="G154" s="4" t="s">
        <v>378</v>
      </c>
      <c r="H154" s="4" t="s">
        <v>321</v>
      </c>
      <c r="I154" s="9">
        <v>42817</v>
      </c>
      <c r="J154" s="11">
        <v>-5850</v>
      </c>
      <c r="K154" s="4" t="s">
        <v>54</v>
      </c>
      <c r="L154" s="11">
        <v>1.65</v>
      </c>
      <c r="M154" s="11">
        <v>-9652.5</v>
      </c>
      <c r="N154" s="4" t="s">
        <v>8</v>
      </c>
      <c r="O154" s="5">
        <v>5637291207</v>
      </c>
      <c r="P154" s="11" t="e">
        <f ca="1">_xll.AtlasFormulas.AtlasFunctions.AtlasBalance("UAT",DataAreaId,"T.MarkupTrans","Sum|Posted|0","","","","","","","TransRecId|TransTableId|MarkupCode",$O154,"492","TPP")</f>
        <v>#NAME?</v>
      </c>
    </row>
    <row r="155" spans="1:16" x14ac:dyDescent="0.15">
      <c r="A155" s="4" t="s">
        <v>227</v>
      </c>
      <c r="B155" s="4" t="s">
        <v>228</v>
      </c>
      <c r="C155" s="4" t="s">
        <v>82</v>
      </c>
      <c r="D155" s="4" t="s">
        <v>387</v>
      </c>
      <c r="E155" s="4" t="s">
        <v>388</v>
      </c>
      <c r="F155" s="4" t="s">
        <v>231</v>
      </c>
      <c r="G155" s="4" t="s">
        <v>378</v>
      </c>
      <c r="H155" s="4" t="s">
        <v>321</v>
      </c>
      <c r="I155" s="9">
        <v>42817</v>
      </c>
      <c r="J155" s="11">
        <v>-7800</v>
      </c>
      <c r="K155" s="4" t="s">
        <v>54</v>
      </c>
      <c r="L155" s="11">
        <v>1.65</v>
      </c>
      <c r="M155" s="11">
        <v>-12870</v>
      </c>
      <c r="N155" s="4" t="s">
        <v>8</v>
      </c>
      <c r="O155" s="5">
        <v>5637291198</v>
      </c>
      <c r="P155" s="11" t="e">
        <f ca="1">_xll.AtlasFormulas.AtlasFunctions.AtlasBalance("UAT",DataAreaId,"T.MarkupTrans","Sum|Posted|0","","","","","","","TransRecId|TransTableId|MarkupCode",$O155,"492","TPP")</f>
        <v>#NAME?</v>
      </c>
    </row>
    <row r="156" spans="1:16" x14ac:dyDescent="0.15">
      <c r="A156" s="4" t="s">
        <v>227</v>
      </c>
      <c r="B156" s="4" t="s">
        <v>228</v>
      </c>
      <c r="C156" s="4" t="s">
        <v>82</v>
      </c>
      <c r="D156" s="4" t="s">
        <v>329</v>
      </c>
      <c r="E156" s="4" t="s">
        <v>330</v>
      </c>
      <c r="F156" s="4" t="s">
        <v>231</v>
      </c>
      <c r="G156" s="4" t="s">
        <v>378</v>
      </c>
      <c r="H156" s="4" t="s">
        <v>321</v>
      </c>
      <c r="I156" s="9">
        <v>42817</v>
      </c>
      <c r="J156" s="11">
        <v>-5850</v>
      </c>
      <c r="K156" s="4" t="s">
        <v>54</v>
      </c>
      <c r="L156" s="11">
        <v>1.65</v>
      </c>
      <c r="M156" s="11">
        <v>-9652.5</v>
      </c>
      <c r="N156" s="4" t="s">
        <v>8</v>
      </c>
      <c r="O156" s="5">
        <v>5637291211</v>
      </c>
      <c r="P156" s="11" t="e">
        <f ca="1">_xll.AtlasFormulas.AtlasFunctions.AtlasBalance("UAT",DataAreaId,"T.MarkupTrans","Sum|Posted|0","","","","","","","TransRecId|TransTableId|MarkupCode",$O156,"492","TPP")</f>
        <v>#NAME?</v>
      </c>
    </row>
    <row r="157" spans="1:16" x14ac:dyDescent="0.15">
      <c r="A157" s="4" t="s">
        <v>227</v>
      </c>
      <c r="B157" s="4" t="s">
        <v>228</v>
      </c>
      <c r="C157" s="4" t="s">
        <v>82</v>
      </c>
      <c r="D157" s="4" t="s">
        <v>389</v>
      </c>
      <c r="E157" s="4" t="s">
        <v>390</v>
      </c>
      <c r="F157" s="4" t="s">
        <v>231</v>
      </c>
      <c r="G157" s="4" t="s">
        <v>378</v>
      </c>
      <c r="H157" s="4" t="s">
        <v>321</v>
      </c>
      <c r="I157" s="9">
        <v>42817</v>
      </c>
      <c r="J157" s="11">
        <v>7800</v>
      </c>
      <c r="K157" s="4" t="s">
        <v>54</v>
      </c>
      <c r="L157" s="11">
        <v>0</v>
      </c>
      <c r="M157" s="11">
        <v>0</v>
      </c>
      <c r="N157" s="4" t="s">
        <v>8</v>
      </c>
      <c r="O157" s="5">
        <v>5637291225</v>
      </c>
      <c r="P157" s="11" t="e">
        <f ca="1">_xll.AtlasFormulas.AtlasFunctions.AtlasBalance("UAT",DataAreaId,"T.MarkupTrans","Sum|Posted|0","","","","","","","TransRecId|TransTableId|MarkupCode",$O157,"492","TPP")</f>
        <v>#NAME?</v>
      </c>
    </row>
    <row r="158" spans="1:16" x14ac:dyDescent="0.15">
      <c r="A158" s="4" t="s">
        <v>227</v>
      </c>
      <c r="B158" s="4" t="s">
        <v>228</v>
      </c>
      <c r="C158" s="4" t="s">
        <v>82</v>
      </c>
      <c r="D158" s="4" t="s">
        <v>251</v>
      </c>
      <c r="E158" s="4" t="s">
        <v>391</v>
      </c>
      <c r="F158" s="4" t="s">
        <v>231</v>
      </c>
      <c r="G158" s="4" t="s">
        <v>378</v>
      </c>
      <c r="H158" s="4" t="s">
        <v>321</v>
      </c>
      <c r="I158" s="9">
        <v>42817</v>
      </c>
      <c r="J158" s="11">
        <v>3900</v>
      </c>
      <c r="K158" s="4" t="s">
        <v>54</v>
      </c>
      <c r="L158" s="11">
        <v>0</v>
      </c>
      <c r="M158" s="11">
        <v>0</v>
      </c>
      <c r="N158" s="4" t="s">
        <v>8</v>
      </c>
      <c r="O158" s="5">
        <v>5637291233</v>
      </c>
      <c r="P158" s="11" t="e">
        <f ca="1">_xll.AtlasFormulas.AtlasFunctions.AtlasBalance("UAT",DataAreaId,"T.MarkupTrans","Sum|Posted|0","","","","","","","TransRecId|TransTableId|MarkupCode",$O158,"492","TPP")</f>
        <v>#NAME?</v>
      </c>
    </row>
    <row r="159" spans="1:16" x14ac:dyDescent="0.15">
      <c r="A159" s="4" t="s">
        <v>227</v>
      </c>
      <c r="B159" s="4" t="s">
        <v>228</v>
      </c>
      <c r="C159" s="4" t="s">
        <v>82</v>
      </c>
      <c r="D159" s="4" t="s">
        <v>115</v>
      </c>
      <c r="E159" s="4" t="s">
        <v>338</v>
      </c>
      <c r="F159" s="4" t="s">
        <v>231</v>
      </c>
      <c r="G159" s="4" t="s">
        <v>378</v>
      </c>
      <c r="H159" s="4" t="s">
        <v>321</v>
      </c>
      <c r="I159" s="9">
        <v>42817</v>
      </c>
      <c r="J159" s="11">
        <v>5850</v>
      </c>
      <c r="K159" s="4" t="s">
        <v>54</v>
      </c>
      <c r="L159" s="11">
        <v>0</v>
      </c>
      <c r="M159" s="11">
        <v>0</v>
      </c>
      <c r="N159" s="4" t="s">
        <v>8</v>
      </c>
      <c r="O159" s="5">
        <v>5637291234</v>
      </c>
      <c r="P159" s="11" t="e">
        <f ca="1">_xll.AtlasFormulas.AtlasFunctions.AtlasBalance("UAT",DataAreaId,"T.MarkupTrans","Sum|Posted|0","","","","","","","TransRecId|TransTableId|MarkupCode",$O159,"492","TPP")</f>
        <v>#NAME?</v>
      </c>
    </row>
    <row r="160" spans="1:16" x14ac:dyDescent="0.15">
      <c r="A160" s="4" t="s">
        <v>227</v>
      </c>
      <c r="B160" s="4" t="s">
        <v>228</v>
      </c>
      <c r="C160" s="4" t="s">
        <v>82</v>
      </c>
      <c r="D160" s="4" t="s">
        <v>159</v>
      </c>
      <c r="E160" s="4" t="s">
        <v>392</v>
      </c>
      <c r="F160" s="4" t="s">
        <v>231</v>
      </c>
      <c r="G160" s="4" t="s">
        <v>378</v>
      </c>
      <c r="H160" s="4" t="s">
        <v>321</v>
      </c>
      <c r="I160" s="9">
        <v>42817</v>
      </c>
      <c r="J160" s="11">
        <v>-7800</v>
      </c>
      <c r="K160" s="4" t="s">
        <v>54</v>
      </c>
      <c r="L160" s="11">
        <v>0</v>
      </c>
      <c r="M160" s="11">
        <v>0</v>
      </c>
      <c r="N160" s="4" t="s">
        <v>8</v>
      </c>
      <c r="O160" s="5">
        <v>5637291241</v>
      </c>
      <c r="P160" s="11" t="e">
        <f ca="1">_xll.AtlasFormulas.AtlasFunctions.AtlasBalance("UAT",DataAreaId,"T.MarkupTrans","Sum|Posted|0","","","","","","","TransRecId|TransTableId|MarkupCode",$O160,"492","TPP")</f>
        <v>#NAME?</v>
      </c>
    </row>
    <row r="161" spans="1:16" x14ac:dyDescent="0.15">
      <c r="A161" s="4" t="s">
        <v>227</v>
      </c>
      <c r="B161" s="4" t="s">
        <v>228</v>
      </c>
      <c r="C161" s="4" t="s">
        <v>82</v>
      </c>
      <c r="D161" s="4" t="s">
        <v>339</v>
      </c>
      <c r="E161" s="4" t="s">
        <v>340</v>
      </c>
      <c r="F161" s="4" t="s">
        <v>231</v>
      </c>
      <c r="G161" s="4" t="s">
        <v>378</v>
      </c>
      <c r="H161" s="4" t="s">
        <v>321</v>
      </c>
      <c r="I161" s="9">
        <v>42817</v>
      </c>
      <c r="J161" s="11">
        <v>-5850</v>
      </c>
      <c r="K161" s="4" t="s">
        <v>54</v>
      </c>
      <c r="L161" s="11">
        <v>0</v>
      </c>
      <c r="M161" s="11">
        <v>0</v>
      </c>
      <c r="N161" s="4" t="s">
        <v>8</v>
      </c>
      <c r="O161" s="5">
        <v>5637291247</v>
      </c>
      <c r="P161" s="11" t="e">
        <f ca="1">_xll.AtlasFormulas.AtlasFunctions.AtlasBalance("UAT",DataAreaId,"T.MarkupTrans","Sum|Posted|0","","","","","","","TransRecId|TransTableId|MarkupCode",$O161,"492","TPP")</f>
        <v>#NAME?</v>
      </c>
    </row>
    <row r="162" spans="1:16" x14ac:dyDescent="0.15">
      <c r="A162" s="4" t="s">
        <v>227</v>
      </c>
      <c r="B162" s="4" t="s">
        <v>228</v>
      </c>
      <c r="C162" s="4" t="s">
        <v>82</v>
      </c>
      <c r="D162" s="4" t="s">
        <v>327</v>
      </c>
      <c r="E162" s="4" t="s">
        <v>328</v>
      </c>
      <c r="F162" s="4" t="s">
        <v>231</v>
      </c>
      <c r="G162" s="4" t="s">
        <v>378</v>
      </c>
      <c r="H162" s="4" t="s">
        <v>321</v>
      </c>
      <c r="I162" s="9">
        <v>42817</v>
      </c>
      <c r="J162" s="11">
        <v>5850</v>
      </c>
      <c r="K162" s="4" t="s">
        <v>54</v>
      </c>
      <c r="L162" s="11">
        <v>0</v>
      </c>
      <c r="M162" s="11">
        <v>0</v>
      </c>
      <c r="N162" s="4" t="s">
        <v>8</v>
      </c>
      <c r="O162" s="5">
        <v>5637291238</v>
      </c>
      <c r="P162" s="11" t="e">
        <f ca="1">_xll.AtlasFormulas.AtlasFunctions.AtlasBalance("UAT",DataAreaId,"T.MarkupTrans","Sum|Posted|0","","","","","","","TransRecId|TransTableId|MarkupCode",$O162,"492","TPP")</f>
        <v>#NAME?</v>
      </c>
    </row>
    <row r="163" spans="1:16" x14ac:dyDescent="0.15">
      <c r="A163" s="4" t="s">
        <v>227</v>
      </c>
      <c r="B163" s="4" t="s">
        <v>228</v>
      </c>
      <c r="C163" s="4" t="s">
        <v>82</v>
      </c>
      <c r="D163" s="4" t="s">
        <v>85</v>
      </c>
      <c r="E163" s="4" t="s">
        <v>326</v>
      </c>
      <c r="F163" s="4" t="s">
        <v>231</v>
      </c>
      <c r="G163" s="4" t="s">
        <v>378</v>
      </c>
      <c r="H163" s="4" t="s">
        <v>321</v>
      </c>
      <c r="I163" s="9">
        <v>42817</v>
      </c>
      <c r="J163" s="11">
        <v>-5850</v>
      </c>
      <c r="K163" s="4" t="s">
        <v>54</v>
      </c>
      <c r="L163" s="11">
        <v>0</v>
      </c>
      <c r="M163" s="11">
        <v>0</v>
      </c>
      <c r="N163" s="4" t="s">
        <v>8</v>
      </c>
      <c r="O163" s="5">
        <v>5637291251</v>
      </c>
      <c r="P163" s="11" t="e">
        <f ca="1">_xll.AtlasFormulas.AtlasFunctions.AtlasBalance("UAT",DataAreaId,"T.MarkupTrans","Sum|Posted|0","","","","","","","TransRecId|TransTableId|MarkupCode",$O163,"492","TPP")</f>
        <v>#NAME?</v>
      </c>
    </row>
    <row r="164" spans="1:16" x14ac:dyDescent="0.15">
      <c r="A164" s="4" t="s">
        <v>227</v>
      </c>
      <c r="B164" s="4" t="s">
        <v>228</v>
      </c>
      <c r="C164" s="4" t="s">
        <v>82</v>
      </c>
      <c r="D164" s="4" t="s">
        <v>368</v>
      </c>
      <c r="E164" s="4" t="s">
        <v>393</v>
      </c>
      <c r="F164" s="4" t="s">
        <v>231</v>
      </c>
      <c r="G164" s="4" t="s">
        <v>378</v>
      </c>
      <c r="H164" s="4" t="s">
        <v>321</v>
      </c>
      <c r="I164" s="9">
        <v>42817</v>
      </c>
      <c r="J164" s="11">
        <v>-3900</v>
      </c>
      <c r="K164" s="4" t="s">
        <v>54</v>
      </c>
      <c r="L164" s="11">
        <v>0</v>
      </c>
      <c r="M164" s="11">
        <v>0</v>
      </c>
      <c r="N164" s="4" t="s">
        <v>8</v>
      </c>
      <c r="O164" s="5">
        <v>5637291256</v>
      </c>
      <c r="P164" s="11" t="e">
        <f ca="1">_xll.AtlasFormulas.AtlasFunctions.AtlasBalance("UAT",DataAreaId,"T.MarkupTrans","Sum|Posted|0","","","","","","","TransRecId|TransTableId|MarkupCode",$O164,"492","TPP")</f>
        <v>#NAME?</v>
      </c>
    </row>
    <row r="165" spans="1:16" x14ac:dyDescent="0.15">
      <c r="A165" s="4" t="s">
        <v>20</v>
      </c>
      <c r="B165" s="4" t="s">
        <v>747</v>
      </c>
      <c r="C165" s="4" t="s">
        <v>272</v>
      </c>
      <c r="D165" s="4" t="s">
        <v>812</v>
      </c>
      <c r="E165" s="4" t="s">
        <v>813</v>
      </c>
      <c r="F165" s="4" t="s">
        <v>728</v>
      </c>
      <c r="G165" s="4" t="s">
        <v>378</v>
      </c>
      <c r="H165" s="4" t="s">
        <v>321</v>
      </c>
      <c r="I165" s="9">
        <v>42863</v>
      </c>
      <c r="J165" s="11">
        <v>6142.5</v>
      </c>
      <c r="K165" s="4" t="s">
        <v>54</v>
      </c>
      <c r="L165" s="11">
        <v>1.67</v>
      </c>
      <c r="M165" s="11">
        <v>10257.98</v>
      </c>
      <c r="N165" s="4" t="s">
        <v>8</v>
      </c>
      <c r="O165" s="5">
        <v>5637291874</v>
      </c>
      <c r="P165" s="11" t="e">
        <f ca="1">_xll.AtlasFormulas.AtlasFunctions.AtlasBalance("UAT",DataAreaId,"T.MarkupTrans","Sum|Posted|0","","","","","","","TransRecId|TransTableId|MarkupCode",$O165,"492","TPP")</f>
        <v>#NAME?</v>
      </c>
    </row>
    <row r="166" spans="1:16" x14ac:dyDescent="0.15">
      <c r="A166" s="4" t="s">
        <v>212</v>
      </c>
      <c r="B166" s="4" t="s">
        <v>213</v>
      </c>
      <c r="C166" s="4" t="s">
        <v>214</v>
      </c>
      <c r="D166" s="4" t="s">
        <v>365</v>
      </c>
      <c r="E166" s="4" t="s">
        <v>366</v>
      </c>
      <c r="F166" s="4" t="s">
        <v>217</v>
      </c>
      <c r="G166" s="4" t="s">
        <v>378</v>
      </c>
      <c r="H166" s="4" t="s">
        <v>321</v>
      </c>
      <c r="I166" s="9">
        <v>42871</v>
      </c>
      <c r="J166" s="11">
        <v>6142.5</v>
      </c>
      <c r="K166" s="4" t="s">
        <v>54</v>
      </c>
      <c r="L166" s="11">
        <v>1.67</v>
      </c>
      <c r="M166" s="11">
        <v>10257.98</v>
      </c>
      <c r="N166" s="4" t="s">
        <v>8</v>
      </c>
      <c r="O166" s="5">
        <v>5637291475</v>
      </c>
      <c r="P166" s="11" t="e">
        <f ca="1">_xll.AtlasFormulas.AtlasFunctions.AtlasBalance("UAT",DataAreaId,"T.MarkupTrans","Sum|Posted|0","","","","","","","TransRecId|TransTableId|MarkupCode",$O166,"492","TPP")</f>
        <v>#NAME?</v>
      </c>
    </row>
    <row r="167" spans="1:16" x14ac:dyDescent="0.15">
      <c r="A167" s="4" t="s">
        <v>227</v>
      </c>
      <c r="B167" s="4" t="s">
        <v>228</v>
      </c>
      <c r="C167" s="4" t="s">
        <v>82</v>
      </c>
      <c r="D167" s="4" t="s">
        <v>394</v>
      </c>
      <c r="E167" s="4" t="s">
        <v>395</v>
      </c>
      <c r="F167" s="4" t="s">
        <v>231</v>
      </c>
      <c r="G167" s="4" t="s">
        <v>378</v>
      </c>
      <c r="H167" s="4" t="s">
        <v>321</v>
      </c>
      <c r="I167" s="9">
        <v>42898</v>
      </c>
      <c r="J167" s="11">
        <v>25350</v>
      </c>
      <c r="K167" s="4" t="s">
        <v>54</v>
      </c>
      <c r="L167" s="11">
        <v>1.67</v>
      </c>
      <c r="M167" s="11">
        <v>42334.5</v>
      </c>
      <c r="N167" s="4" t="s">
        <v>8</v>
      </c>
      <c r="O167" s="5">
        <v>5637292350</v>
      </c>
      <c r="P167" s="11" t="e">
        <f ca="1">_xll.AtlasFormulas.AtlasFunctions.AtlasBalance("UAT",DataAreaId,"T.MarkupTrans","Sum|Posted|0","","","","","","","TransRecId|TransTableId|MarkupCode",$O167,"492","TPP")</f>
        <v>#NAME?</v>
      </c>
    </row>
    <row r="168" spans="1:16" x14ac:dyDescent="0.15">
      <c r="A168" s="4" t="s">
        <v>20</v>
      </c>
      <c r="B168" s="4" t="s">
        <v>747</v>
      </c>
      <c r="C168" s="4" t="s">
        <v>272</v>
      </c>
      <c r="D168" s="4" t="s">
        <v>827</v>
      </c>
      <c r="E168" s="4" t="s">
        <v>828</v>
      </c>
      <c r="F168" s="4" t="s">
        <v>728</v>
      </c>
      <c r="G168" s="4" t="s">
        <v>378</v>
      </c>
      <c r="H168" s="4" t="s">
        <v>321</v>
      </c>
      <c r="I168" s="9">
        <v>42898</v>
      </c>
      <c r="J168" s="11">
        <v>25350</v>
      </c>
      <c r="K168" s="4" t="s">
        <v>54</v>
      </c>
      <c r="L168" s="11">
        <v>1.67</v>
      </c>
      <c r="M168" s="11">
        <v>42334.5</v>
      </c>
      <c r="N168" s="4" t="s">
        <v>8</v>
      </c>
      <c r="O168" s="5">
        <v>5637292366</v>
      </c>
      <c r="P168" s="11" t="e">
        <f ca="1">_xll.AtlasFormulas.AtlasFunctions.AtlasBalance("UAT",DataAreaId,"T.MarkupTrans","Sum|Posted|0","","","","","","","TransRecId|TransTableId|MarkupCode",$O168,"492","TPP")</f>
        <v>#NAME?</v>
      </c>
    </row>
    <row r="169" spans="1:16" x14ac:dyDescent="0.15">
      <c r="A169" s="4" t="s">
        <v>20</v>
      </c>
      <c r="B169" s="4" t="s">
        <v>747</v>
      </c>
      <c r="C169" s="4" t="s">
        <v>272</v>
      </c>
      <c r="D169" s="4" t="s">
        <v>825</v>
      </c>
      <c r="E169" s="4" t="s">
        <v>826</v>
      </c>
      <c r="F169" s="4" t="s">
        <v>728</v>
      </c>
      <c r="G169" s="4" t="s">
        <v>396</v>
      </c>
      <c r="H169" s="4" t="s">
        <v>313</v>
      </c>
      <c r="I169" s="9">
        <v>42758</v>
      </c>
      <c r="J169" s="11">
        <v>9750</v>
      </c>
      <c r="K169" s="4" t="s">
        <v>54</v>
      </c>
      <c r="L169" s="11">
        <v>3.56</v>
      </c>
      <c r="M169" s="11">
        <v>34710</v>
      </c>
      <c r="N169" s="4" t="s">
        <v>8</v>
      </c>
      <c r="O169" s="5">
        <v>5637289678</v>
      </c>
      <c r="P169" s="11" t="e">
        <f ca="1">_xll.AtlasFormulas.AtlasFunctions.AtlasBalance("UAT",DataAreaId,"T.MarkupTrans","Sum|Posted|0","","","","","","","TransRecId|TransTableId|MarkupCode",$O169,"492","TPP")</f>
        <v>#NAME?</v>
      </c>
    </row>
    <row r="170" spans="1:16" x14ac:dyDescent="0.15">
      <c r="A170" s="4" t="s">
        <v>20</v>
      </c>
      <c r="B170" s="4" t="s">
        <v>747</v>
      </c>
      <c r="C170" s="4" t="s">
        <v>272</v>
      </c>
      <c r="D170" s="4" t="s">
        <v>788</v>
      </c>
      <c r="E170" s="4" t="s">
        <v>789</v>
      </c>
      <c r="F170" s="4" t="s">
        <v>728</v>
      </c>
      <c r="G170" s="4" t="s">
        <v>396</v>
      </c>
      <c r="H170" s="4" t="s">
        <v>313</v>
      </c>
      <c r="I170" s="9">
        <v>42765</v>
      </c>
      <c r="J170" s="11">
        <v>7800</v>
      </c>
      <c r="K170" s="4" t="s">
        <v>54</v>
      </c>
      <c r="L170" s="11">
        <v>3.56</v>
      </c>
      <c r="M170" s="11">
        <v>27768</v>
      </c>
      <c r="N170" s="4" t="s">
        <v>8</v>
      </c>
      <c r="O170" s="5">
        <v>5637289701</v>
      </c>
      <c r="P170" s="11" t="e">
        <f ca="1">_xll.AtlasFormulas.AtlasFunctions.AtlasBalance("UAT",DataAreaId,"T.MarkupTrans","Sum|Posted|0","","","","","","","TransRecId|TransTableId|MarkupCode",$O170,"492","TPP")</f>
        <v>#NAME?</v>
      </c>
    </row>
    <row r="171" spans="1:16" x14ac:dyDescent="0.15">
      <c r="A171" s="4" t="s">
        <v>227</v>
      </c>
      <c r="B171" s="4" t="s">
        <v>228</v>
      </c>
      <c r="C171" s="4" t="s">
        <v>82</v>
      </c>
      <c r="D171" s="4" t="s">
        <v>379</v>
      </c>
      <c r="E171" s="4" t="s">
        <v>380</v>
      </c>
      <c r="F171" s="4" t="s">
        <v>231</v>
      </c>
      <c r="G171" s="4" t="s">
        <v>396</v>
      </c>
      <c r="H171" s="4" t="s">
        <v>313</v>
      </c>
      <c r="I171" s="9">
        <v>42765</v>
      </c>
      <c r="J171" s="11">
        <v>9750</v>
      </c>
      <c r="K171" s="4" t="s">
        <v>54</v>
      </c>
      <c r="L171" s="11">
        <v>3.56</v>
      </c>
      <c r="M171" s="11">
        <v>34710</v>
      </c>
      <c r="N171" s="4" t="s">
        <v>8</v>
      </c>
      <c r="O171" s="5">
        <v>5637289706</v>
      </c>
      <c r="P171" s="11" t="e">
        <f ca="1">_xll.AtlasFormulas.AtlasFunctions.AtlasBalance("UAT",DataAreaId,"T.MarkupTrans","Sum|Posted|0","","","","","","","TransRecId|TransTableId|MarkupCode",$O171,"492","TPP")</f>
        <v>#NAME?</v>
      </c>
    </row>
    <row r="172" spans="1:16" x14ac:dyDescent="0.15">
      <c r="A172" s="4" t="s">
        <v>227</v>
      </c>
      <c r="B172" s="4" t="s">
        <v>228</v>
      </c>
      <c r="C172" s="4" t="s">
        <v>82</v>
      </c>
      <c r="D172" s="4" t="s">
        <v>318</v>
      </c>
      <c r="E172" s="4" t="s">
        <v>319</v>
      </c>
      <c r="F172" s="4" t="s">
        <v>231</v>
      </c>
      <c r="G172" s="4" t="s">
        <v>396</v>
      </c>
      <c r="H172" s="4" t="s">
        <v>313</v>
      </c>
      <c r="I172" s="9">
        <v>42774</v>
      </c>
      <c r="J172" s="11">
        <v>7800</v>
      </c>
      <c r="K172" s="4" t="s">
        <v>54</v>
      </c>
      <c r="L172" s="11">
        <v>3.56</v>
      </c>
      <c r="M172" s="11">
        <v>27768</v>
      </c>
      <c r="N172" s="4" t="s">
        <v>8</v>
      </c>
      <c r="O172" s="5">
        <v>5637289771</v>
      </c>
      <c r="P172" s="11" t="e">
        <f ca="1">_xll.AtlasFormulas.AtlasFunctions.AtlasBalance("UAT",DataAreaId,"T.MarkupTrans","Sum|Posted|0","","","","","","","TransRecId|TransTableId|MarkupCode",$O172,"492","TPP")</f>
        <v>#NAME?</v>
      </c>
    </row>
    <row r="173" spans="1:16" x14ac:dyDescent="0.15">
      <c r="A173" s="4" t="s">
        <v>20</v>
      </c>
      <c r="B173" s="4" t="s">
        <v>747</v>
      </c>
      <c r="C173" s="4" t="s">
        <v>272</v>
      </c>
      <c r="D173" s="4" t="s">
        <v>829</v>
      </c>
      <c r="E173" s="4" t="s">
        <v>830</v>
      </c>
      <c r="F173" s="4" t="s">
        <v>728</v>
      </c>
      <c r="G173" s="4" t="s">
        <v>396</v>
      </c>
      <c r="H173" s="4" t="s">
        <v>313</v>
      </c>
      <c r="I173" s="9">
        <v>42803</v>
      </c>
      <c r="J173" s="11">
        <v>7800</v>
      </c>
      <c r="K173" s="4" t="s">
        <v>54</v>
      </c>
      <c r="L173" s="11">
        <v>3.59</v>
      </c>
      <c r="M173" s="11">
        <v>28002</v>
      </c>
      <c r="N173" s="4" t="s">
        <v>8</v>
      </c>
      <c r="O173" s="5">
        <v>5637291332</v>
      </c>
      <c r="P173" s="11" t="e">
        <f ca="1">_xll.AtlasFormulas.AtlasFunctions.AtlasBalance("UAT",DataAreaId,"T.MarkupTrans","Sum|Posted|0","","","","","","","TransRecId|TransTableId|MarkupCode",$O173,"492","TPP")</f>
        <v>#NAME?</v>
      </c>
    </row>
    <row r="174" spans="1:16" x14ac:dyDescent="0.15">
      <c r="A174" s="4" t="s">
        <v>20</v>
      </c>
      <c r="B174" s="4" t="s">
        <v>747</v>
      </c>
      <c r="C174" s="4" t="s">
        <v>272</v>
      </c>
      <c r="D174" s="4" t="s">
        <v>782</v>
      </c>
      <c r="E174" s="4" t="s">
        <v>783</v>
      </c>
      <c r="F174" s="4" t="s">
        <v>728</v>
      </c>
      <c r="G174" s="4" t="s">
        <v>396</v>
      </c>
      <c r="H174" s="4" t="s">
        <v>313</v>
      </c>
      <c r="I174" s="9">
        <v>42815</v>
      </c>
      <c r="J174" s="11">
        <v>7800</v>
      </c>
      <c r="K174" s="4" t="s">
        <v>54</v>
      </c>
      <c r="L174" s="11">
        <v>3.59</v>
      </c>
      <c r="M174" s="11">
        <v>28002</v>
      </c>
      <c r="N174" s="4" t="s">
        <v>8</v>
      </c>
      <c r="O174" s="5">
        <v>5637291336</v>
      </c>
      <c r="P174" s="11" t="e">
        <f ca="1">_xll.AtlasFormulas.AtlasFunctions.AtlasBalance("UAT",DataAreaId,"T.MarkupTrans","Sum|Posted|0","","","","","","","TransRecId|TransTableId|MarkupCode",$O174,"492","TPP")</f>
        <v>#NAME?</v>
      </c>
    </row>
    <row r="175" spans="1:16" x14ac:dyDescent="0.15">
      <c r="A175" s="4" t="s">
        <v>227</v>
      </c>
      <c r="B175" s="4" t="s">
        <v>228</v>
      </c>
      <c r="C175" s="4" t="s">
        <v>82</v>
      </c>
      <c r="D175" s="4" t="s">
        <v>324</v>
      </c>
      <c r="E175" s="4" t="s">
        <v>325</v>
      </c>
      <c r="F175" s="4" t="s">
        <v>231</v>
      </c>
      <c r="G175" s="4" t="s">
        <v>396</v>
      </c>
      <c r="H175" s="4" t="s">
        <v>313</v>
      </c>
      <c r="I175" s="9">
        <v>42817</v>
      </c>
      <c r="J175" s="11">
        <v>7800</v>
      </c>
      <c r="K175" s="4" t="s">
        <v>54</v>
      </c>
      <c r="L175" s="11">
        <v>3.56</v>
      </c>
      <c r="M175" s="11">
        <v>27768</v>
      </c>
      <c r="N175" s="4" t="s">
        <v>8</v>
      </c>
      <c r="O175" s="5">
        <v>5637291186</v>
      </c>
      <c r="P175" s="11" t="e">
        <f ca="1">_xll.AtlasFormulas.AtlasFunctions.AtlasBalance("UAT",DataAreaId,"T.MarkupTrans","Sum|Posted|0","","","","","","","TransRecId|TransTableId|MarkupCode",$O175,"492","TPP")</f>
        <v>#NAME?</v>
      </c>
    </row>
    <row r="176" spans="1:16" x14ac:dyDescent="0.15">
      <c r="A176" s="4" t="s">
        <v>227</v>
      </c>
      <c r="B176" s="4" t="s">
        <v>228</v>
      </c>
      <c r="C176" s="4" t="s">
        <v>82</v>
      </c>
      <c r="D176" s="4" t="s">
        <v>86</v>
      </c>
      <c r="E176" s="4" t="s">
        <v>383</v>
      </c>
      <c r="F176" s="4" t="s">
        <v>231</v>
      </c>
      <c r="G176" s="4" t="s">
        <v>396</v>
      </c>
      <c r="H176" s="4" t="s">
        <v>313</v>
      </c>
      <c r="I176" s="9">
        <v>42817</v>
      </c>
      <c r="J176" s="11">
        <v>9750</v>
      </c>
      <c r="K176" s="4" t="s">
        <v>54</v>
      </c>
      <c r="L176" s="11">
        <v>3.56</v>
      </c>
      <c r="M176" s="11">
        <v>34710</v>
      </c>
      <c r="N176" s="4" t="s">
        <v>8</v>
      </c>
      <c r="O176" s="5">
        <v>5637291174</v>
      </c>
      <c r="P176" s="11" t="e">
        <f ca="1">_xll.AtlasFormulas.AtlasFunctions.AtlasBalance("UAT",DataAreaId,"T.MarkupTrans","Sum|Posted|0","","","","","","","TransRecId|TransTableId|MarkupCode",$O176,"492","TPP")</f>
        <v>#NAME?</v>
      </c>
    </row>
    <row r="177" spans="1:16" x14ac:dyDescent="0.15">
      <c r="A177" s="4" t="s">
        <v>227</v>
      </c>
      <c r="B177" s="4" t="s">
        <v>228</v>
      </c>
      <c r="C177" s="4" t="s">
        <v>82</v>
      </c>
      <c r="D177" s="4" t="s">
        <v>85</v>
      </c>
      <c r="E177" s="4" t="s">
        <v>326</v>
      </c>
      <c r="F177" s="4" t="s">
        <v>231</v>
      </c>
      <c r="G177" s="4" t="s">
        <v>396</v>
      </c>
      <c r="H177" s="4" t="s">
        <v>313</v>
      </c>
      <c r="I177" s="9">
        <v>42817</v>
      </c>
      <c r="J177" s="11">
        <v>-7800</v>
      </c>
      <c r="K177" s="4" t="s">
        <v>54</v>
      </c>
      <c r="L177" s="11">
        <v>0</v>
      </c>
      <c r="M177" s="11">
        <v>0</v>
      </c>
      <c r="N177" s="4" t="s">
        <v>8</v>
      </c>
      <c r="O177" s="5">
        <v>5637291253</v>
      </c>
      <c r="P177" s="11" t="e">
        <f ca="1">_xll.AtlasFormulas.AtlasFunctions.AtlasBalance("UAT",DataAreaId,"T.MarkupTrans","Sum|Posted|0","","","","","","","TransRecId|TransTableId|MarkupCode",$O177,"492","TPP")</f>
        <v>#NAME?</v>
      </c>
    </row>
    <row r="178" spans="1:16" x14ac:dyDescent="0.15">
      <c r="A178" s="4" t="s">
        <v>227</v>
      </c>
      <c r="B178" s="4" t="s">
        <v>228</v>
      </c>
      <c r="C178" s="4" t="s">
        <v>82</v>
      </c>
      <c r="D178" s="4" t="s">
        <v>159</v>
      </c>
      <c r="E178" s="4" t="s">
        <v>392</v>
      </c>
      <c r="F178" s="4" t="s">
        <v>231</v>
      </c>
      <c r="G178" s="4" t="s">
        <v>396</v>
      </c>
      <c r="H178" s="4" t="s">
        <v>313</v>
      </c>
      <c r="I178" s="9">
        <v>42817</v>
      </c>
      <c r="J178" s="11">
        <v>-9750</v>
      </c>
      <c r="K178" s="4" t="s">
        <v>54</v>
      </c>
      <c r="L178" s="11">
        <v>0</v>
      </c>
      <c r="M178" s="11">
        <v>0</v>
      </c>
      <c r="N178" s="4" t="s">
        <v>8</v>
      </c>
      <c r="O178" s="5">
        <v>5637291244</v>
      </c>
      <c r="P178" s="11" t="e">
        <f ca="1">_xll.AtlasFormulas.AtlasFunctions.AtlasBalance("UAT",DataAreaId,"T.MarkupTrans","Sum|Posted|0","","","","","","","TransRecId|TransTableId|MarkupCode",$O178,"492","TPP")</f>
        <v>#NAME?</v>
      </c>
    </row>
    <row r="179" spans="1:16" x14ac:dyDescent="0.15">
      <c r="A179" s="4" t="s">
        <v>227</v>
      </c>
      <c r="B179" s="4" t="s">
        <v>228</v>
      </c>
      <c r="C179" s="4" t="s">
        <v>82</v>
      </c>
      <c r="D179" s="4" t="s">
        <v>327</v>
      </c>
      <c r="E179" s="4" t="s">
        <v>328</v>
      </c>
      <c r="F179" s="4" t="s">
        <v>231</v>
      </c>
      <c r="G179" s="4" t="s">
        <v>396</v>
      </c>
      <c r="H179" s="4" t="s">
        <v>313</v>
      </c>
      <c r="I179" s="9">
        <v>42817</v>
      </c>
      <c r="J179" s="11">
        <v>7800</v>
      </c>
      <c r="K179" s="4" t="s">
        <v>54</v>
      </c>
      <c r="L179" s="11">
        <v>0</v>
      </c>
      <c r="M179" s="11">
        <v>0</v>
      </c>
      <c r="N179" s="4" t="s">
        <v>8</v>
      </c>
      <c r="O179" s="5">
        <v>5637291240</v>
      </c>
      <c r="P179" s="11" t="e">
        <f ca="1">_xll.AtlasFormulas.AtlasFunctions.AtlasBalance("UAT",DataAreaId,"T.MarkupTrans","Sum|Posted|0","","","","","","","TransRecId|TransTableId|MarkupCode",$O179,"492","TPP")</f>
        <v>#NAME?</v>
      </c>
    </row>
    <row r="180" spans="1:16" x14ac:dyDescent="0.15">
      <c r="A180" s="4" t="s">
        <v>227</v>
      </c>
      <c r="B180" s="4" t="s">
        <v>228</v>
      </c>
      <c r="C180" s="4" t="s">
        <v>82</v>
      </c>
      <c r="D180" s="4" t="s">
        <v>389</v>
      </c>
      <c r="E180" s="4" t="s">
        <v>390</v>
      </c>
      <c r="F180" s="4" t="s">
        <v>231</v>
      </c>
      <c r="G180" s="4" t="s">
        <v>396</v>
      </c>
      <c r="H180" s="4" t="s">
        <v>313</v>
      </c>
      <c r="I180" s="9">
        <v>42817</v>
      </c>
      <c r="J180" s="11">
        <v>9750</v>
      </c>
      <c r="K180" s="4" t="s">
        <v>54</v>
      </c>
      <c r="L180" s="11">
        <v>0</v>
      </c>
      <c r="M180" s="11">
        <v>0</v>
      </c>
      <c r="N180" s="4" t="s">
        <v>8</v>
      </c>
      <c r="O180" s="5">
        <v>5637291228</v>
      </c>
      <c r="P180" s="11" t="e">
        <f ca="1">_xll.AtlasFormulas.AtlasFunctions.AtlasBalance("UAT",DataAreaId,"T.MarkupTrans","Sum|Posted|0","","","","","","","TransRecId|TransTableId|MarkupCode",$O180,"492","TPP")</f>
        <v>#NAME?</v>
      </c>
    </row>
    <row r="181" spans="1:16" x14ac:dyDescent="0.15">
      <c r="A181" s="4" t="s">
        <v>227</v>
      </c>
      <c r="B181" s="4" t="s">
        <v>228</v>
      </c>
      <c r="C181" s="4" t="s">
        <v>82</v>
      </c>
      <c r="D181" s="4" t="s">
        <v>329</v>
      </c>
      <c r="E181" s="4" t="s">
        <v>330</v>
      </c>
      <c r="F181" s="4" t="s">
        <v>231</v>
      </c>
      <c r="G181" s="4" t="s">
        <v>396</v>
      </c>
      <c r="H181" s="4" t="s">
        <v>313</v>
      </c>
      <c r="I181" s="9">
        <v>42817</v>
      </c>
      <c r="J181" s="11">
        <v>-7800</v>
      </c>
      <c r="K181" s="4" t="s">
        <v>54</v>
      </c>
      <c r="L181" s="11">
        <v>3.56</v>
      </c>
      <c r="M181" s="11">
        <v>-27768</v>
      </c>
      <c r="N181" s="4" t="s">
        <v>8</v>
      </c>
      <c r="O181" s="5">
        <v>5637291213</v>
      </c>
      <c r="P181" s="11" t="e">
        <f ca="1">_xll.AtlasFormulas.AtlasFunctions.AtlasBalance("UAT",DataAreaId,"T.MarkupTrans","Sum|Posted|0","","","","","","","TransRecId|TransTableId|MarkupCode",$O181,"492","TPP")</f>
        <v>#NAME?</v>
      </c>
    </row>
    <row r="182" spans="1:16" x14ac:dyDescent="0.15">
      <c r="A182" s="4" t="s">
        <v>227</v>
      </c>
      <c r="B182" s="4" t="s">
        <v>228</v>
      </c>
      <c r="C182" s="4" t="s">
        <v>82</v>
      </c>
      <c r="D182" s="4" t="s">
        <v>387</v>
      </c>
      <c r="E182" s="4" t="s">
        <v>388</v>
      </c>
      <c r="F182" s="4" t="s">
        <v>231</v>
      </c>
      <c r="G182" s="4" t="s">
        <v>396</v>
      </c>
      <c r="H182" s="4" t="s">
        <v>313</v>
      </c>
      <c r="I182" s="9">
        <v>42817</v>
      </c>
      <c r="J182" s="11">
        <v>-9750</v>
      </c>
      <c r="K182" s="4" t="s">
        <v>54</v>
      </c>
      <c r="L182" s="11">
        <v>3.56</v>
      </c>
      <c r="M182" s="11">
        <v>-34710</v>
      </c>
      <c r="N182" s="4" t="s">
        <v>8</v>
      </c>
      <c r="O182" s="5">
        <v>5637291201</v>
      </c>
      <c r="P182" s="11" t="e">
        <f ca="1">_xll.AtlasFormulas.AtlasFunctions.AtlasBalance("UAT",DataAreaId,"T.MarkupTrans","Sum|Posted|0","","","","","","","TransRecId|TransTableId|MarkupCode",$O182,"492","TPP")</f>
        <v>#NAME?</v>
      </c>
    </row>
    <row r="183" spans="1:16" x14ac:dyDescent="0.15">
      <c r="A183" s="4" t="s">
        <v>227</v>
      </c>
      <c r="B183" s="4" t="s">
        <v>228</v>
      </c>
      <c r="C183" s="4" t="s">
        <v>82</v>
      </c>
      <c r="D183" s="4" t="s">
        <v>397</v>
      </c>
      <c r="E183" s="4" t="s">
        <v>398</v>
      </c>
      <c r="F183" s="4" t="s">
        <v>231</v>
      </c>
      <c r="G183" s="4" t="s">
        <v>396</v>
      </c>
      <c r="H183" s="4" t="s">
        <v>313</v>
      </c>
      <c r="I183" s="9">
        <v>42825</v>
      </c>
      <c r="J183" s="11">
        <v>7800</v>
      </c>
      <c r="K183" s="4" t="s">
        <v>54</v>
      </c>
      <c r="L183" s="11">
        <v>3.59</v>
      </c>
      <c r="M183" s="11">
        <v>28002</v>
      </c>
      <c r="N183" s="4" t="s">
        <v>8</v>
      </c>
      <c r="O183" s="5">
        <v>5637291320</v>
      </c>
      <c r="P183" s="11" t="e">
        <f ca="1">_xll.AtlasFormulas.AtlasFunctions.AtlasBalance("UAT",DataAreaId,"T.MarkupTrans","Sum|Posted|0","","","","","","","TransRecId|TransTableId|MarkupCode",$O183,"492","TPP")</f>
        <v>#NAME?</v>
      </c>
    </row>
    <row r="184" spans="1:16" x14ac:dyDescent="0.15">
      <c r="A184" s="4" t="s">
        <v>288</v>
      </c>
      <c r="B184" s="4" t="s">
        <v>308</v>
      </c>
      <c r="C184" s="4" t="s">
        <v>82</v>
      </c>
      <c r="D184" s="4" t="s">
        <v>309</v>
      </c>
      <c r="E184" s="4" t="s">
        <v>310</v>
      </c>
      <c r="F184" s="4" t="s">
        <v>311</v>
      </c>
      <c r="G184" s="4" t="s">
        <v>396</v>
      </c>
      <c r="H184" s="4" t="s">
        <v>313</v>
      </c>
      <c r="I184" s="9">
        <v>42825</v>
      </c>
      <c r="J184" s="11">
        <v>7800</v>
      </c>
      <c r="K184" s="4" t="s">
        <v>54</v>
      </c>
      <c r="L184" s="11">
        <v>3.59</v>
      </c>
      <c r="M184" s="11">
        <v>28002</v>
      </c>
      <c r="N184" s="4" t="s">
        <v>8</v>
      </c>
      <c r="O184" s="5">
        <v>5637291313</v>
      </c>
      <c r="P184" s="11" t="e">
        <f ca="1">_xll.AtlasFormulas.AtlasFunctions.AtlasBalance("UAT",DataAreaId,"T.MarkupTrans","Sum|Posted|0","","","","","","","TransRecId|TransTableId|MarkupCode",$O184,"492","TPP")</f>
        <v>#NAME?</v>
      </c>
    </row>
    <row r="185" spans="1:16" x14ac:dyDescent="0.15">
      <c r="A185" s="4" t="s">
        <v>20</v>
      </c>
      <c r="B185" s="4" t="s">
        <v>747</v>
      </c>
      <c r="C185" s="4" t="s">
        <v>272</v>
      </c>
      <c r="D185" s="4" t="s">
        <v>784</v>
      </c>
      <c r="E185" s="4" t="s">
        <v>785</v>
      </c>
      <c r="F185" s="4" t="s">
        <v>728</v>
      </c>
      <c r="G185" s="4" t="s">
        <v>396</v>
      </c>
      <c r="H185" s="4" t="s">
        <v>313</v>
      </c>
      <c r="I185" s="9">
        <v>42846</v>
      </c>
      <c r="J185" s="11">
        <v>7800</v>
      </c>
      <c r="K185" s="4" t="s">
        <v>54</v>
      </c>
      <c r="L185" s="11">
        <v>3.59</v>
      </c>
      <c r="M185" s="11">
        <v>28002</v>
      </c>
      <c r="N185" s="4" t="s">
        <v>8</v>
      </c>
      <c r="O185" s="5">
        <v>5637291707</v>
      </c>
      <c r="P185" s="11" t="e">
        <f ca="1">_xll.AtlasFormulas.AtlasFunctions.AtlasBalance("UAT",DataAreaId,"T.MarkupTrans","Sum|Posted|0","","","","","","","TransRecId|TransTableId|MarkupCode",$O185,"492","TPP")</f>
        <v>#NAME?</v>
      </c>
    </row>
    <row r="186" spans="1:16" x14ac:dyDescent="0.15">
      <c r="A186" s="4" t="s">
        <v>288</v>
      </c>
      <c r="B186" s="4" t="s">
        <v>308</v>
      </c>
      <c r="C186" s="4" t="s">
        <v>82</v>
      </c>
      <c r="D186" s="4" t="s">
        <v>314</v>
      </c>
      <c r="E186" s="4" t="s">
        <v>315</v>
      </c>
      <c r="F186" s="4" t="s">
        <v>311</v>
      </c>
      <c r="G186" s="4" t="s">
        <v>396</v>
      </c>
      <c r="H186" s="4" t="s">
        <v>313</v>
      </c>
      <c r="I186" s="9">
        <v>42855</v>
      </c>
      <c r="J186" s="11">
        <v>7800</v>
      </c>
      <c r="K186" s="4" t="s">
        <v>54</v>
      </c>
      <c r="L186" s="11">
        <v>3.59</v>
      </c>
      <c r="M186" s="11">
        <v>28002</v>
      </c>
      <c r="N186" s="4" t="s">
        <v>8</v>
      </c>
      <c r="O186" s="5">
        <v>5637291771</v>
      </c>
      <c r="P186" s="11" t="e">
        <f ca="1">_xll.AtlasFormulas.AtlasFunctions.AtlasBalance("UAT",DataAreaId,"T.MarkupTrans","Sum|Posted|0","","","","","","","TransRecId|TransTableId|MarkupCode",$O186,"492","TPP")</f>
        <v>#NAME?</v>
      </c>
    </row>
    <row r="187" spans="1:16" x14ac:dyDescent="0.15">
      <c r="A187" s="4" t="s">
        <v>20</v>
      </c>
      <c r="B187" s="4" t="s">
        <v>747</v>
      </c>
      <c r="C187" s="4" t="s">
        <v>272</v>
      </c>
      <c r="D187" s="4" t="s">
        <v>810</v>
      </c>
      <c r="E187" s="4" t="s">
        <v>811</v>
      </c>
      <c r="F187" s="4" t="s">
        <v>728</v>
      </c>
      <c r="G187" s="4" t="s">
        <v>396</v>
      </c>
      <c r="H187" s="4" t="s">
        <v>313</v>
      </c>
      <c r="I187" s="9">
        <v>42860</v>
      </c>
      <c r="J187" s="11">
        <v>15600</v>
      </c>
      <c r="K187" s="4" t="s">
        <v>54</v>
      </c>
      <c r="L187" s="11">
        <v>3.59</v>
      </c>
      <c r="M187" s="11">
        <v>56004</v>
      </c>
      <c r="N187" s="4" t="s">
        <v>8</v>
      </c>
      <c r="O187" s="5">
        <v>5637291827</v>
      </c>
      <c r="P187" s="11" t="e">
        <f ca="1">_xll.AtlasFormulas.AtlasFunctions.AtlasBalance("UAT",DataAreaId,"T.MarkupTrans","Sum|Posted|0","","","","","","","TransRecId|TransTableId|MarkupCode",$O187,"492","TPP")</f>
        <v>#NAME?</v>
      </c>
    </row>
    <row r="188" spans="1:16" x14ac:dyDescent="0.15">
      <c r="A188" s="4" t="s">
        <v>288</v>
      </c>
      <c r="B188" s="4" t="s">
        <v>308</v>
      </c>
      <c r="C188" s="4" t="s">
        <v>82</v>
      </c>
      <c r="D188" s="4" t="s">
        <v>359</v>
      </c>
      <c r="E188" s="4" t="s">
        <v>360</v>
      </c>
      <c r="F188" s="4" t="s">
        <v>311</v>
      </c>
      <c r="G188" s="4" t="s">
        <v>396</v>
      </c>
      <c r="H188" s="4" t="s">
        <v>313</v>
      </c>
      <c r="I188" s="9">
        <v>42864</v>
      </c>
      <c r="J188" s="11">
        <v>15600</v>
      </c>
      <c r="K188" s="4" t="s">
        <v>54</v>
      </c>
      <c r="L188" s="11">
        <v>3.59</v>
      </c>
      <c r="M188" s="11">
        <v>56004</v>
      </c>
      <c r="N188" s="4" t="s">
        <v>8</v>
      </c>
      <c r="O188" s="5">
        <v>5637291806</v>
      </c>
      <c r="P188" s="11" t="e">
        <f ca="1">_xll.AtlasFormulas.AtlasFunctions.AtlasBalance("UAT",DataAreaId,"T.MarkupTrans","Sum|Posted|0","","","","","","","TransRecId|TransTableId|MarkupCode",$O188,"492","TPP")</f>
        <v>#NAME?</v>
      </c>
    </row>
    <row r="189" spans="1:16" x14ac:dyDescent="0.15">
      <c r="A189" s="4" t="s">
        <v>288</v>
      </c>
      <c r="B189" s="4" t="s">
        <v>308</v>
      </c>
      <c r="C189" s="4" t="s">
        <v>82</v>
      </c>
      <c r="D189" s="4" t="s">
        <v>399</v>
      </c>
      <c r="E189" s="4" t="s">
        <v>400</v>
      </c>
      <c r="F189" s="4" t="s">
        <v>311</v>
      </c>
      <c r="G189" s="4" t="s">
        <v>396</v>
      </c>
      <c r="H189" s="4" t="s">
        <v>313</v>
      </c>
      <c r="I189" s="9">
        <v>42871</v>
      </c>
      <c r="J189" s="11">
        <v>25350</v>
      </c>
      <c r="K189" s="4" t="s">
        <v>54</v>
      </c>
      <c r="L189" s="11">
        <v>3.59</v>
      </c>
      <c r="M189" s="11">
        <v>91006.5</v>
      </c>
      <c r="N189" s="4" t="s">
        <v>8</v>
      </c>
      <c r="O189" s="5">
        <v>5637292182</v>
      </c>
      <c r="P189" s="11" t="e">
        <f ca="1">_xll.AtlasFormulas.AtlasFunctions.AtlasBalance("UAT",DataAreaId,"T.MarkupTrans","Sum|Posted|0","","","","","","","TransRecId|TransTableId|MarkupCode",$O189,"492","TPP")</f>
        <v>#NAME?</v>
      </c>
    </row>
    <row r="190" spans="1:16" x14ac:dyDescent="0.15">
      <c r="A190" s="4" t="s">
        <v>20</v>
      </c>
      <c r="B190" s="4" t="s">
        <v>747</v>
      </c>
      <c r="C190" s="4" t="s">
        <v>272</v>
      </c>
      <c r="D190" s="4" t="s">
        <v>831</v>
      </c>
      <c r="E190" s="4" t="s">
        <v>832</v>
      </c>
      <c r="F190" s="4" t="s">
        <v>728</v>
      </c>
      <c r="G190" s="4" t="s">
        <v>396</v>
      </c>
      <c r="H190" s="4" t="s">
        <v>313</v>
      </c>
      <c r="I190" s="9">
        <v>42871</v>
      </c>
      <c r="J190" s="11">
        <v>25350</v>
      </c>
      <c r="K190" s="4" t="s">
        <v>54</v>
      </c>
      <c r="L190" s="11">
        <v>3.59</v>
      </c>
      <c r="M190" s="11">
        <v>91006.5</v>
      </c>
      <c r="N190" s="4" t="s">
        <v>8</v>
      </c>
      <c r="O190" s="5">
        <v>5637292169</v>
      </c>
      <c r="P190" s="11" t="e">
        <f ca="1">_xll.AtlasFormulas.AtlasFunctions.AtlasBalance("UAT",DataAreaId,"T.MarkupTrans","Sum|Posted|0","","","","","","","TransRecId|TransTableId|MarkupCode",$O190,"492","TPP")</f>
        <v>#NAME?</v>
      </c>
    </row>
    <row r="191" spans="1:16" x14ac:dyDescent="0.15">
      <c r="A191" s="4" t="s">
        <v>20</v>
      </c>
      <c r="B191" s="4" t="s">
        <v>747</v>
      </c>
      <c r="C191" s="4" t="s">
        <v>272</v>
      </c>
      <c r="D191" s="4" t="s">
        <v>833</v>
      </c>
      <c r="E191" s="4" t="s">
        <v>834</v>
      </c>
      <c r="F191" s="4" t="s">
        <v>728</v>
      </c>
      <c r="G191" s="4" t="s">
        <v>396</v>
      </c>
      <c r="H191" s="4" t="s">
        <v>313</v>
      </c>
      <c r="I191" s="9">
        <v>42877</v>
      </c>
      <c r="J191" s="11">
        <v>25350</v>
      </c>
      <c r="K191" s="4" t="s">
        <v>54</v>
      </c>
      <c r="L191" s="11">
        <v>3.59</v>
      </c>
      <c r="M191" s="11">
        <v>91006.5</v>
      </c>
      <c r="N191" s="4" t="s">
        <v>8</v>
      </c>
      <c r="O191" s="5">
        <v>5637292249</v>
      </c>
      <c r="P191" s="11" t="e">
        <f ca="1">_xll.AtlasFormulas.AtlasFunctions.AtlasBalance("UAT",DataAreaId,"T.MarkupTrans","Sum|Posted|0","","","","","","","TransRecId|TransTableId|MarkupCode",$O191,"492","TPP")</f>
        <v>#NAME?</v>
      </c>
    </row>
    <row r="192" spans="1:16" x14ac:dyDescent="0.15">
      <c r="A192" s="4" t="s">
        <v>20</v>
      </c>
      <c r="B192" s="4" t="s">
        <v>747</v>
      </c>
      <c r="C192" s="4" t="s">
        <v>272</v>
      </c>
      <c r="D192" s="4" t="s">
        <v>759</v>
      </c>
      <c r="E192" s="4" t="s">
        <v>760</v>
      </c>
      <c r="F192" s="4" t="s">
        <v>728</v>
      </c>
      <c r="G192" s="4" t="s">
        <v>396</v>
      </c>
      <c r="H192" s="4" t="s">
        <v>313</v>
      </c>
      <c r="I192" s="9">
        <v>42880</v>
      </c>
      <c r="J192" s="11">
        <v>9750</v>
      </c>
      <c r="K192" s="4" t="s">
        <v>54</v>
      </c>
      <c r="L192" s="11">
        <v>3.59</v>
      </c>
      <c r="M192" s="11">
        <v>35002.5</v>
      </c>
      <c r="N192" s="4" t="s">
        <v>8</v>
      </c>
      <c r="O192" s="5">
        <v>5637292232</v>
      </c>
      <c r="P192" s="11" t="e">
        <f ca="1">_xll.AtlasFormulas.AtlasFunctions.AtlasBalance("UAT",DataAreaId,"T.MarkupTrans","Sum|Posted|0","","","","","","","TransRecId|TransTableId|MarkupCode",$O192,"492","TPP")</f>
        <v>#NAME?</v>
      </c>
    </row>
    <row r="193" spans="1:16" x14ac:dyDescent="0.15">
      <c r="A193" s="4" t="s">
        <v>288</v>
      </c>
      <c r="B193" s="4" t="s">
        <v>289</v>
      </c>
      <c r="C193" s="4" t="s">
        <v>82</v>
      </c>
      <c r="D193" s="4" t="s">
        <v>290</v>
      </c>
      <c r="E193" s="4" t="s">
        <v>291</v>
      </c>
      <c r="F193" s="4" t="s">
        <v>292</v>
      </c>
      <c r="G193" s="4" t="s">
        <v>396</v>
      </c>
      <c r="H193" s="4" t="s">
        <v>313</v>
      </c>
      <c r="I193" s="9">
        <v>42885</v>
      </c>
      <c r="J193" s="11">
        <v>9750</v>
      </c>
      <c r="K193" s="4" t="s">
        <v>54</v>
      </c>
      <c r="L193" s="11">
        <v>3.59</v>
      </c>
      <c r="M193" s="11">
        <v>35002.5</v>
      </c>
      <c r="N193" s="4" t="s">
        <v>8</v>
      </c>
      <c r="O193" s="5">
        <v>5637292266</v>
      </c>
      <c r="P193" s="11" t="e">
        <f ca="1">_xll.AtlasFormulas.AtlasFunctions.AtlasBalance("UAT",DataAreaId,"T.MarkupTrans","Sum|Posted|0","","","","","","","TransRecId|TransTableId|MarkupCode",$O193,"492","TPP")</f>
        <v>#NAME?</v>
      </c>
    </row>
    <row r="194" spans="1:16" x14ac:dyDescent="0.15">
      <c r="A194" s="4" t="s">
        <v>288</v>
      </c>
      <c r="B194" s="4" t="s">
        <v>308</v>
      </c>
      <c r="C194" s="4" t="s">
        <v>82</v>
      </c>
      <c r="D194" s="4" t="s">
        <v>401</v>
      </c>
      <c r="E194" s="4" t="s">
        <v>402</v>
      </c>
      <c r="F194" s="4" t="s">
        <v>311</v>
      </c>
      <c r="G194" s="4" t="s">
        <v>396</v>
      </c>
      <c r="H194" s="4" t="s">
        <v>313</v>
      </c>
      <c r="I194" s="9">
        <v>42885</v>
      </c>
      <c r="J194" s="11">
        <v>25350</v>
      </c>
      <c r="K194" s="4" t="s">
        <v>54</v>
      </c>
      <c r="L194" s="11">
        <v>3.59</v>
      </c>
      <c r="M194" s="11">
        <v>91006.5</v>
      </c>
      <c r="N194" s="4" t="s">
        <v>8</v>
      </c>
      <c r="O194" s="5">
        <v>5637292269</v>
      </c>
      <c r="P194" s="11" t="e">
        <f ca="1">_xll.AtlasFormulas.AtlasFunctions.AtlasBalance("UAT",DataAreaId,"T.MarkupTrans","Sum|Posted|0","","","","","","","TransRecId|TransTableId|MarkupCode",$O194,"492","TPP")</f>
        <v>#NAME?</v>
      </c>
    </row>
    <row r="195" spans="1:16" x14ac:dyDescent="0.15">
      <c r="A195" s="4" t="s">
        <v>20</v>
      </c>
      <c r="B195" s="4" t="s">
        <v>747</v>
      </c>
      <c r="C195" s="4" t="s">
        <v>272</v>
      </c>
      <c r="D195" s="4" t="s">
        <v>786</v>
      </c>
      <c r="E195" s="4" t="s">
        <v>787</v>
      </c>
      <c r="F195" s="4" t="s">
        <v>728</v>
      </c>
      <c r="G195" s="4" t="s">
        <v>396</v>
      </c>
      <c r="H195" s="4" t="s">
        <v>313</v>
      </c>
      <c r="I195" s="9">
        <v>42905</v>
      </c>
      <c r="J195" s="11">
        <v>9750</v>
      </c>
      <c r="K195" s="4" t="s">
        <v>54</v>
      </c>
      <c r="L195" s="11">
        <v>3.59</v>
      </c>
      <c r="M195" s="11">
        <v>35002.5</v>
      </c>
      <c r="N195" s="4" t="s">
        <v>8</v>
      </c>
      <c r="O195" s="5">
        <v>5637292956</v>
      </c>
      <c r="P195" s="11" t="e">
        <f ca="1">_xll.AtlasFormulas.AtlasFunctions.AtlasBalance("UAT",DataAreaId,"T.MarkupTrans","Sum|Posted|0","","","","","","","TransRecId|TransTableId|MarkupCode",$O195,"492","TPP")</f>
        <v>#NAME?</v>
      </c>
    </row>
    <row r="196" spans="1:16" x14ac:dyDescent="0.15">
      <c r="A196" s="4" t="s">
        <v>288</v>
      </c>
      <c r="B196" s="4" t="s">
        <v>308</v>
      </c>
      <c r="C196" s="4" t="s">
        <v>82</v>
      </c>
      <c r="D196" s="4" t="s">
        <v>316</v>
      </c>
      <c r="E196" s="4" t="s">
        <v>317</v>
      </c>
      <c r="F196" s="4" t="s">
        <v>311</v>
      </c>
      <c r="G196" s="4" t="s">
        <v>396</v>
      </c>
      <c r="H196" s="4" t="s">
        <v>313</v>
      </c>
      <c r="I196" s="9">
        <v>42915</v>
      </c>
      <c r="J196" s="11">
        <v>9750</v>
      </c>
      <c r="K196" s="4" t="s">
        <v>54</v>
      </c>
      <c r="L196" s="11">
        <v>3.59</v>
      </c>
      <c r="M196" s="11">
        <v>35002.5</v>
      </c>
      <c r="N196" s="4" t="s">
        <v>8</v>
      </c>
      <c r="O196" s="5">
        <v>5637292993</v>
      </c>
      <c r="P196" s="11" t="e">
        <f ca="1">_xll.AtlasFormulas.AtlasFunctions.AtlasBalance("UAT",DataAreaId,"T.MarkupTrans","Sum|Posted|0","","","","","","","TransRecId|TransTableId|MarkupCode",$O196,"492","TPP")</f>
        <v>#NAME?</v>
      </c>
    </row>
    <row r="197" spans="1:16" x14ac:dyDescent="0.15">
      <c r="A197" s="4" t="s">
        <v>20</v>
      </c>
      <c r="B197" s="4" t="s">
        <v>747</v>
      </c>
      <c r="C197" s="4" t="s">
        <v>272</v>
      </c>
      <c r="D197" s="4" t="s">
        <v>835</v>
      </c>
      <c r="E197" s="4" t="s">
        <v>836</v>
      </c>
      <c r="F197" s="4" t="s">
        <v>728</v>
      </c>
      <c r="G197" s="4" t="s">
        <v>396</v>
      </c>
      <c r="H197" s="4" t="s">
        <v>313</v>
      </c>
      <c r="I197" s="9">
        <v>42916</v>
      </c>
      <c r="J197" s="11">
        <v>9750</v>
      </c>
      <c r="K197" s="4" t="s">
        <v>54</v>
      </c>
      <c r="L197" s="11">
        <v>3.59</v>
      </c>
      <c r="M197" s="11">
        <v>35002.5</v>
      </c>
      <c r="N197" s="4" t="s">
        <v>8</v>
      </c>
      <c r="O197" s="5">
        <v>5637292987</v>
      </c>
      <c r="P197" s="11" t="e">
        <f ca="1">_xll.AtlasFormulas.AtlasFunctions.AtlasBalance("UAT",DataAreaId,"T.MarkupTrans","Sum|Posted|0","","","","","","","TransRecId|TransTableId|MarkupCode",$O197,"492","TPP")</f>
        <v>#NAME?</v>
      </c>
    </row>
    <row r="198" spans="1:16" x14ac:dyDescent="0.15">
      <c r="A198" s="4" t="s">
        <v>20</v>
      </c>
      <c r="B198" s="4" t="s">
        <v>747</v>
      </c>
      <c r="C198" s="4" t="s">
        <v>272</v>
      </c>
      <c r="D198" s="4" t="s">
        <v>837</v>
      </c>
      <c r="E198" s="4" t="s">
        <v>838</v>
      </c>
      <c r="F198" s="4" t="s">
        <v>728</v>
      </c>
      <c r="G198" s="4" t="s">
        <v>396</v>
      </c>
      <c r="H198" s="4" t="s">
        <v>313</v>
      </c>
      <c r="I198" s="9">
        <v>42922</v>
      </c>
      <c r="J198" s="11">
        <v>19500</v>
      </c>
      <c r="K198" s="4" t="s">
        <v>54</v>
      </c>
      <c r="L198" s="11">
        <v>3.7</v>
      </c>
      <c r="M198" s="11">
        <v>72150</v>
      </c>
      <c r="N198" s="4" t="s">
        <v>8</v>
      </c>
      <c r="O198" s="5">
        <v>5637293440</v>
      </c>
      <c r="P198" s="11" t="e">
        <f ca="1">_xll.AtlasFormulas.AtlasFunctions.AtlasBalance("UAT",DataAreaId,"T.MarkupTrans","Sum|Posted|0","","","","","","","TransRecId|TransTableId|MarkupCode",$O198,"492","TPP")</f>
        <v>#NAME?</v>
      </c>
    </row>
    <row r="199" spans="1:16" x14ac:dyDescent="0.15">
      <c r="A199" s="4" t="s">
        <v>20</v>
      </c>
      <c r="B199" s="4" t="s">
        <v>747</v>
      </c>
      <c r="C199" s="4" t="s">
        <v>272</v>
      </c>
      <c r="D199" s="4" t="s">
        <v>839</v>
      </c>
      <c r="E199" s="4" t="s">
        <v>840</v>
      </c>
      <c r="F199" s="4" t="s">
        <v>728</v>
      </c>
      <c r="G199" s="4" t="s">
        <v>396</v>
      </c>
      <c r="H199" s="4" t="s">
        <v>313</v>
      </c>
      <c r="I199" s="9">
        <v>42927</v>
      </c>
      <c r="J199" s="11">
        <v>17550</v>
      </c>
      <c r="K199" s="4" t="s">
        <v>54</v>
      </c>
      <c r="L199" s="11">
        <v>3.7</v>
      </c>
      <c r="M199" s="11">
        <v>64935</v>
      </c>
      <c r="N199" s="4" t="s">
        <v>8</v>
      </c>
      <c r="O199" s="5">
        <v>5637293438</v>
      </c>
      <c r="P199" s="11" t="e">
        <f ca="1">_xll.AtlasFormulas.AtlasFunctions.AtlasBalance("UAT",DataAreaId,"T.MarkupTrans","Sum|Posted|0","","","","","","","TransRecId|TransTableId|MarkupCode",$O199,"492","TPP")</f>
        <v>#NAME?</v>
      </c>
    </row>
    <row r="200" spans="1:16" x14ac:dyDescent="0.15">
      <c r="A200" s="4" t="s">
        <v>288</v>
      </c>
      <c r="B200" s="4" t="s">
        <v>308</v>
      </c>
      <c r="C200" s="4" t="s">
        <v>82</v>
      </c>
      <c r="D200" s="4" t="s">
        <v>403</v>
      </c>
      <c r="E200" s="4" t="s">
        <v>404</v>
      </c>
      <c r="F200" s="4" t="s">
        <v>311</v>
      </c>
      <c r="G200" s="4" t="s">
        <v>396</v>
      </c>
      <c r="H200" s="4" t="s">
        <v>313</v>
      </c>
      <c r="I200" s="9">
        <v>42929</v>
      </c>
      <c r="J200" s="11">
        <v>19500</v>
      </c>
      <c r="K200" s="4" t="s">
        <v>54</v>
      </c>
      <c r="L200" s="11">
        <v>3.7</v>
      </c>
      <c r="M200" s="11">
        <v>72150</v>
      </c>
      <c r="N200" s="4" t="s">
        <v>8</v>
      </c>
      <c r="O200" s="5">
        <v>5637294179</v>
      </c>
      <c r="P200" s="11" t="e">
        <f ca="1">_xll.AtlasFormulas.AtlasFunctions.AtlasBalance("UAT",DataAreaId,"T.MarkupTrans","Sum|Posted|0","","","","","","","TransRecId|TransTableId|MarkupCode",$O200,"492","TPP")</f>
        <v>#NAME?</v>
      </c>
    </row>
    <row r="201" spans="1:16" x14ac:dyDescent="0.15">
      <c r="A201" s="4" t="s">
        <v>288</v>
      </c>
      <c r="B201" s="4" t="s">
        <v>308</v>
      </c>
      <c r="C201" s="4" t="s">
        <v>82</v>
      </c>
      <c r="D201" s="4" t="s">
        <v>405</v>
      </c>
      <c r="E201" s="4" t="s">
        <v>406</v>
      </c>
      <c r="F201" s="4" t="s">
        <v>311</v>
      </c>
      <c r="G201" s="4" t="s">
        <v>396</v>
      </c>
      <c r="H201" s="4" t="s">
        <v>313</v>
      </c>
      <c r="I201" s="9">
        <v>42929</v>
      </c>
      <c r="J201" s="11">
        <v>17550</v>
      </c>
      <c r="K201" s="4" t="s">
        <v>54</v>
      </c>
      <c r="L201" s="11">
        <v>3.7</v>
      </c>
      <c r="M201" s="11">
        <v>64935</v>
      </c>
      <c r="N201" s="4" t="s">
        <v>8</v>
      </c>
      <c r="O201" s="5">
        <v>5637294181</v>
      </c>
      <c r="P201" s="11" t="e">
        <f ca="1">_xll.AtlasFormulas.AtlasFunctions.AtlasBalance("UAT",DataAreaId,"T.MarkupTrans","Sum|Posted|0","","","","","","","TransRecId|TransTableId|MarkupCode",$O201,"492","TPP")</f>
        <v>#NAME?</v>
      </c>
    </row>
    <row r="202" spans="1:16" x14ac:dyDescent="0.15">
      <c r="A202" s="4" t="s">
        <v>20</v>
      </c>
      <c r="B202" s="4" t="s">
        <v>747</v>
      </c>
      <c r="C202" s="4" t="s">
        <v>272</v>
      </c>
      <c r="D202" s="4" t="s">
        <v>841</v>
      </c>
      <c r="E202" s="4" t="s">
        <v>842</v>
      </c>
      <c r="F202" s="4" t="s">
        <v>728</v>
      </c>
      <c r="G202" s="4" t="s">
        <v>396</v>
      </c>
      <c r="H202" s="4" t="s">
        <v>313</v>
      </c>
      <c r="I202" s="9">
        <v>42930</v>
      </c>
      <c r="J202" s="11">
        <v>10042.5</v>
      </c>
      <c r="K202" s="4" t="s">
        <v>54</v>
      </c>
      <c r="L202" s="11">
        <v>3.7</v>
      </c>
      <c r="M202" s="11">
        <v>37157.25</v>
      </c>
      <c r="N202" s="4" t="s">
        <v>8</v>
      </c>
      <c r="O202" s="5">
        <v>5637293463</v>
      </c>
      <c r="P202" s="11" t="e">
        <f ca="1">_xll.AtlasFormulas.AtlasFunctions.AtlasBalance("UAT",DataAreaId,"T.MarkupTrans","Sum|Posted|0","","","","","","","TransRecId|TransTableId|MarkupCode",$O202,"492","TPP")</f>
        <v>#NAME?</v>
      </c>
    </row>
    <row r="203" spans="1:16" x14ac:dyDescent="0.15">
      <c r="A203" s="4" t="s">
        <v>288</v>
      </c>
      <c r="B203" s="4" t="s">
        <v>308</v>
      </c>
      <c r="C203" s="4" t="s">
        <v>82</v>
      </c>
      <c r="D203" s="4" t="s">
        <v>407</v>
      </c>
      <c r="E203" s="4" t="s">
        <v>408</v>
      </c>
      <c r="F203" s="4" t="s">
        <v>311</v>
      </c>
      <c r="G203" s="4" t="s">
        <v>396</v>
      </c>
      <c r="H203" s="4" t="s">
        <v>313</v>
      </c>
      <c r="I203" s="9">
        <v>42947</v>
      </c>
      <c r="J203" s="11">
        <v>10042.5</v>
      </c>
      <c r="K203" s="4" t="s">
        <v>54</v>
      </c>
      <c r="L203" s="11">
        <v>3.7</v>
      </c>
      <c r="M203" s="11">
        <v>37157.25</v>
      </c>
      <c r="N203" s="4" t="s">
        <v>8</v>
      </c>
      <c r="O203" s="5">
        <v>5637294187</v>
      </c>
      <c r="P203" s="11" t="e">
        <f ca="1">_xll.AtlasFormulas.AtlasFunctions.AtlasBalance("UAT",DataAreaId,"T.MarkupTrans","Sum|Posted|0","","","","","","","TransRecId|TransTableId|MarkupCode",$O203,"492","TPP")</f>
        <v>#NAME?</v>
      </c>
    </row>
    <row r="204" spans="1:16" x14ac:dyDescent="0.15">
      <c r="A204" s="4" t="s">
        <v>288</v>
      </c>
      <c r="B204" s="4" t="s">
        <v>308</v>
      </c>
      <c r="C204" s="4" t="s">
        <v>82</v>
      </c>
      <c r="D204" s="4" t="s">
        <v>409</v>
      </c>
      <c r="E204" s="4" t="s">
        <v>410</v>
      </c>
      <c r="F204" s="4" t="s">
        <v>311</v>
      </c>
      <c r="G204" s="4" t="s">
        <v>396</v>
      </c>
      <c r="H204" s="4" t="s">
        <v>313</v>
      </c>
      <c r="I204" s="9">
        <v>42947</v>
      </c>
      <c r="J204" s="11">
        <v>9750</v>
      </c>
      <c r="K204" s="4" t="s">
        <v>54</v>
      </c>
      <c r="L204" s="11">
        <v>3.59</v>
      </c>
      <c r="M204" s="11">
        <v>35002.5</v>
      </c>
      <c r="N204" s="4" t="s">
        <v>8</v>
      </c>
      <c r="O204" s="5">
        <v>5637294175</v>
      </c>
      <c r="P204" s="11" t="e">
        <f ca="1">_xll.AtlasFormulas.AtlasFunctions.AtlasBalance("UAT",DataAreaId,"T.MarkupTrans","Sum|Posted|0","","","","","","","TransRecId|TransTableId|MarkupCode",$O204,"492","TPP")</f>
        <v>#NAME?</v>
      </c>
    </row>
    <row r="205" spans="1:16" x14ac:dyDescent="0.15">
      <c r="A205" s="4" t="s">
        <v>20</v>
      </c>
      <c r="B205" s="4" t="s">
        <v>747</v>
      </c>
      <c r="C205" s="4" t="s">
        <v>272</v>
      </c>
      <c r="D205" s="4" t="s">
        <v>843</v>
      </c>
      <c r="E205" s="4" t="s">
        <v>844</v>
      </c>
      <c r="F205" s="4" t="s">
        <v>728</v>
      </c>
      <c r="G205" s="4" t="s">
        <v>413</v>
      </c>
      <c r="H205" s="4" t="s">
        <v>414</v>
      </c>
      <c r="I205" s="9">
        <v>42773</v>
      </c>
      <c r="J205" s="11">
        <v>330</v>
      </c>
      <c r="K205" s="4" t="s">
        <v>54</v>
      </c>
      <c r="L205" s="11">
        <v>5.7</v>
      </c>
      <c r="M205" s="11">
        <v>1881</v>
      </c>
      <c r="N205" s="4" t="s">
        <v>8</v>
      </c>
      <c r="O205" s="5">
        <v>5637289798</v>
      </c>
      <c r="P205" s="11" t="e">
        <f ca="1">_xll.AtlasFormulas.AtlasFunctions.AtlasBalance("UAT",DataAreaId,"T.MarkupTrans","Sum|Posted|0","","","","","","","TransRecId|TransTableId|MarkupCode",$O205,"492","TPP")</f>
        <v>#NAME?</v>
      </c>
    </row>
    <row r="206" spans="1:16" x14ac:dyDescent="0.15">
      <c r="A206" s="4" t="s">
        <v>212</v>
      </c>
      <c r="B206" s="4" t="s">
        <v>213</v>
      </c>
      <c r="C206" s="4" t="s">
        <v>214</v>
      </c>
      <c r="D206" s="4" t="s">
        <v>411</v>
      </c>
      <c r="E206" s="4" t="s">
        <v>412</v>
      </c>
      <c r="F206" s="4" t="s">
        <v>217</v>
      </c>
      <c r="G206" s="4" t="s">
        <v>413</v>
      </c>
      <c r="H206" s="4" t="s">
        <v>414</v>
      </c>
      <c r="I206" s="9">
        <v>42788</v>
      </c>
      <c r="J206" s="11">
        <v>330</v>
      </c>
      <c r="K206" s="4" t="s">
        <v>54</v>
      </c>
      <c r="L206" s="11">
        <v>5.7</v>
      </c>
      <c r="M206" s="11">
        <v>1881</v>
      </c>
      <c r="N206" s="4" t="s">
        <v>8</v>
      </c>
      <c r="O206" s="5">
        <v>5637290148</v>
      </c>
      <c r="P206" s="11" t="e">
        <f ca="1">_xll.AtlasFormulas.AtlasFunctions.AtlasBalance("UAT",DataAreaId,"T.MarkupTrans","Sum|Posted|0","","","","","","","TransRecId|TransTableId|MarkupCode",$O206,"492","TPP")</f>
        <v>#NAME?</v>
      </c>
    </row>
    <row r="207" spans="1:16" x14ac:dyDescent="0.15">
      <c r="A207" s="4" t="s">
        <v>20</v>
      </c>
      <c r="B207" s="4" t="s">
        <v>747</v>
      </c>
      <c r="C207" s="4" t="s">
        <v>272</v>
      </c>
      <c r="D207" s="4" t="s">
        <v>843</v>
      </c>
      <c r="E207" s="4" t="s">
        <v>844</v>
      </c>
      <c r="F207" s="4" t="s">
        <v>728</v>
      </c>
      <c r="G207" s="4" t="s">
        <v>415</v>
      </c>
      <c r="H207" s="4" t="s">
        <v>414</v>
      </c>
      <c r="I207" s="9">
        <v>42773</v>
      </c>
      <c r="J207" s="11">
        <v>480</v>
      </c>
      <c r="K207" s="4" t="s">
        <v>54</v>
      </c>
      <c r="L207" s="11">
        <v>5.39</v>
      </c>
      <c r="M207" s="11">
        <v>2587.1999999999998</v>
      </c>
      <c r="N207" s="4" t="s">
        <v>8</v>
      </c>
      <c r="O207" s="5">
        <v>5637289799</v>
      </c>
      <c r="P207" s="11" t="e">
        <f ca="1">_xll.AtlasFormulas.AtlasFunctions.AtlasBalance("UAT",DataAreaId,"T.MarkupTrans","Sum|Posted|0","","","","","","","TransRecId|TransTableId|MarkupCode",$O207,"492","TPP")</f>
        <v>#NAME?</v>
      </c>
    </row>
    <row r="208" spans="1:16" x14ac:dyDescent="0.15">
      <c r="A208" s="4" t="s">
        <v>212</v>
      </c>
      <c r="B208" s="4" t="s">
        <v>213</v>
      </c>
      <c r="C208" s="4" t="s">
        <v>214</v>
      </c>
      <c r="D208" s="4" t="s">
        <v>411</v>
      </c>
      <c r="E208" s="4" t="s">
        <v>412</v>
      </c>
      <c r="F208" s="4" t="s">
        <v>217</v>
      </c>
      <c r="G208" s="4" t="s">
        <v>415</v>
      </c>
      <c r="H208" s="4" t="s">
        <v>414</v>
      </c>
      <c r="I208" s="9">
        <v>42788</v>
      </c>
      <c r="J208" s="11">
        <v>480</v>
      </c>
      <c r="K208" s="4" t="s">
        <v>54</v>
      </c>
      <c r="L208" s="11">
        <v>5.39</v>
      </c>
      <c r="M208" s="11">
        <v>2587.1999999999998</v>
      </c>
      <c r="N208" s="4" t="s">
        <v>8</v>
      </c>
      <c r="O208" s="5">
        <v>5637290149</v>
      </c>
      <c r="P208" s="11" t="e">
        <f ca="1">_xll.AtlasFormulas.AtlasFunctions.AtlasBalance("UAT",DataAreaId,"T.MarkupTrans","Sum|Posted|0","","","","","","","TransRecId|TransTableId|MarkupCode",$O208,"492","TPP")</f>
        <v>#NAME?</v>
      </c>
    </row>
    <row r="209" spans="1:16" x14ac:dyDescent="0.15">
      <c r="A209" s="4" t="s">
        <v>20</v>
      </c>
      <c r="B209" s="4" t="s">
        <v>747</v>
      </c>
      <c r="C209" s="4" t="s">
        <v>272</v>
      </c>
      <c r="D209" s="4" t="s">
        <v>843</v>
      </c>
      <c r="E209" s="4" t="s">
        <v>844</v>
      </c>
      <c r="F209" s="4" t="s">
        <v>728</v>
      </c>
      <c r="G209" s="4" t="s">
        <v>12</v>
      </c>
      <c r="H209" s="4" t="s">
        <v>23</v>
      </c>
      <c r="I209" s="9">
        <v>42773</v>
      </c>
      <c r="J209" s="11">
        <v>300</v>
      </c>
      <c r="K209" s="4" t="s">
        <v>54</v>
      </c>
      <c r="L209" s="11">
        <v>6.6400000000000006</v>
      </c>
      <c r="M209" s="11">
        <v>1992</v>
      </c>
      <c r="N209" s="4" t="s">
        <v>8</v>
      </c>
      <c r="O209" s="5">
        <v>5637289800</v>
      </c>
      <c r="P209" s="11" t="e">
        <f ca="1">_xll.AtlasFormulas.AtlasFunctions.AtlasBalance("UAT",DataAreaId,"T.MarkupTrans","Sum|Posted|0","","","","","","","TransRecId|TransTableId|MarkupCode",$O209,"492","TPP")</f>
        <v>#NAME?</v>
      </c>
    </row>
    <row r="210" spans="1:16" x14ac:dyDescent="0.15">
      <c r="A210" s="4" t="s">
        <v>212</v>
      </c>
      <c r="B210" s="4" t="s">
        <v>213</v>
      </c>
      <c r="C210" s="4" t="s">
        <v>214</v>
      </c>
      <c r="D210" s="4" t="s">
        <v>411</v>
      </c>
      <c r="E210" s="4" t="s">
        <v>412</v>
      </c>
      <c r="F210" s="4" t="s">
        <v>217</v>
      </c>
      <c r="G210" s="4" t="s">
        <v>12</v>
      </c>
      <c r="H210" s="4" t="s">
        <v>23</v>
      </c>
      <c r="I210" s="9">
        <v>42788</v>
      </c>
      <c r="J210" s="11">
        <v>300</v>
      </c>
      <c r="K210" s="4" t="s">
        <v>54</v>
      </c>
      <c r="L210" s="11">
        <v>6.6400000000000006</v>
      </c>
      <c r="M210" s="11">
        <v>1992</v>
      </c>
      <c r="N210" s="4" t="s">
        <v>8</v>
      </c>
      <c r="O210" s="5">
        <v>5637290150</v>
      </c>
      <c r="P210" s="11" t="e">
        <f ca="1">_xll.AtlasFormulas.AtlasFunctions.AtlasBalance("UAT",DataAreaId,"T.MarkupTrans","Sum|Posted|0","","","","","","","TransRecId|TransTableId|MarkupCode",$O210,"492","TPP")</f>
        <v>#NAME?</v>
      </c>
    </row>
    <row r="211" spans="1:16" x14ac:dyDescent="0.15">
      <c r="A211" s="4" t="s">
        <v>20</v>
      </c>
      <c r="B211" s="4" t="s">
        <v>747</v>
      </c>
      <c r="C211" s="4" t="s">
        <v>272</v>
      </c>
      <c r="D211" s="4" t="s">
        <v>790</v>
      </c>
      <c r="E211" s="4" t="s">
        <v>791</v>
      </c>
      <c r="F211" s="4" t="s">
        <v>728</v>
      </c>
      <c r="G211" s="4" t="s">
        <v>12</v>
      </c>
      <c r="H211" s="4" t="s">
        <v>23</v>
      </c>
      <c r="I211" s="9">
        <v>42795</v>
      </c>
      <c r="J211" s="11">
        <v>90</v>
      </c>
      <c r="K211" s="4" t="s">
        <v>54</v>
      </c>
      <c r="L211" s="11">
        <v>6.56</v>
      </c>
      <c r="M211" s="11">
        <v>590.4</v>
      </c>
      <c r="N211" s="4" t="s">
        <v>8</v>
      </c>
      <c r="O211" s="5">
        <v>5637290996</v>
      </c>
      <c r="P211" s="11" t="e">
        <f ca="1">_xll.AtlasFormulas.AtlasFunctions.AtlasBalance("UAT",DataAreaId,"T.MarkupTrans","Sum|Posted|0","","","","","","","TransRecId|TransTableId|MarkupCode",$O211,"492","TPP")</f>
        <v>#NAME?</v>
      </c>
    </row>
    <row r="212" spans="1:16" x14ac:dyDescent="0.15">
      <c r="A212" s="4" t="s">
        <v>227</v>
      </c>
      <c r="B212" s="4" t="s">
        <v>228</v>
      </c>
      <c r="C212" s="4" t="s">
        <v>82</v>
      </c>
      <c r="D212" s="4" t="s">
        <v>322</v>
      </c>
      <c r="E212" s="4" t="s">
        <v>323</v>
      </c>
      <c r="F212" s="4" t="s">
        <v>231</v>
      </c>
      <c r="G212" s="4" t="s">
        <v>12</v>
      </c>
      <c r="H212" s="4" t="s">
        <v>23</v>
      </c>
      <c r="I212" s="9">
        <v>42800</v>
      </c>
      <c r="J212" s="11">
        <v>90</v>
      </c>
      <c r="K212" s="4" t="s">
        <v>54</v>
      </c>
      <c r="L212" s="11">
        <v>6.56</v>
      </c>
      <c r="M212" s="11">
        <v>590.4</v>
      </c>
      <c r="N212" s="4" t="s">
        <v>8</v>
      </c>
      <c r="O212" s="5">
        <v>5637291019</v>
      </c>
      <c r="P212" s="11" t="e">
        <f ca="1">_xll.AtlasFormulas.AtlasFunctions.AtlasBalance("UAT",DataAreaId,"T.MarkupTrans","Sum|Posted|0","","","","","","","TransRecId|TransTableId|MarkupCode",$O212,"492","TPP")</f>
        <v>#NAME?</v>
      </c>
    </row>
    <row r="213" spans="1:16" x14ac:dyDescent="0.15">
      <c r="A213" s="4" t="s">
        <v>110</v>
      </c>
      <c r="B213" s="4" t="s">
        <v>111</v>
      </c>
      <c r="C213" s="4" t="s">
        <v>82</v>
      </c>
      <c r="D213" s="4" t="s">
        <v>112</v>
      </c>
      <c r="E213" s="4" t="s">
        <v>113</v>
      </c>
      <c r="F213" s="4" t="s">
        <v>114</v>
      </c>
      <c r="G213" s="4" t="s">
        <v>12</v>
      </c>
      <c r="H213" s="4" t="s">
        <v>23</v>
      </c>
      <c r="I213" s="9">
        <v>42809</v>
      </c>
      <c r="J213" s="11">
        <v>210</v>
      </c>
      <c r="K213" s="4" t="s">
        <v>54</v>
      </c>
      <c r="L213" s="11">
        <v>6.56</v>
      </c>
      <c r="M213" s="11">
        <v>1377.6</v>
      </c>
      <c r="N213" s="4" t="s">
        <v>8</v>
      </c>
      <c r="O213" s="5">
        <v>5637291049</v>
      </c>
      <c r="P213" s="11" t="e">
        <f ca="1">_xll.AtlasFormulas.AtlasFunctions.AtlasBalance("UAT",DataAreaId,"T.MarkupTrans","Sum|Posted|0","","","","","","","TransRecId|TransTableId|MarkupCode",$O213,"492","TPP")</f>
        <v>#NAME?</v>
      </c>
    </row>
    <row r="214" spans="1:16" x14ac:dyDescent="0.15">
      <c r="A214" s="4" t="s">
        <v>20</v>
      </c>
      <c r="B214" s="4" t="s">
        <v>747</v>
      </c>
      <c r="C214" s="4" t="s">
        <v>272</v>
      </c>
      <c r="D214" s="4" t="s">
        <v>845</v>
      </c>
      <c r="E214" s="4" t="s">
        <v>846</v>
      </c>
      <c r="F214" s="4" t="s">
        <v>728</v>
      </c>
      <c r="G214" s="4" t="s">
        <v>12</v>
      </c>
      <c r="H214" s="4" t="s">
        <v>23</v>
      </c>
      <c r="I214" s="9">
        <v>42821</v>
      </c>
      <c r="J214" s="11">
        <v>210</v>
      </c>
      <c r="K214" s="4" t="s">
        <v>54</v>
      </c>
      <c r="L214" s="11">
        <v>6.56</v>
      </c>
      <c r="M214" s="11">
        <v>1377.6</v>
      </c>
      <c r="N214" s="4" t="s">
        <v>8</v>
      </c>
      <c r="O214" s="5">
        <v>5637291275</v>
      </c>
      <c r="P214" s="11" t="e">
        <f ca="1">_xll.AtlasFormulas.AtlasFunctions.AtlasBalance("UAT",DataAreaId,"T.MarkupTrans","Sum|Posted|0","","","","","","","TransRecId|TransTableId|MarkupCode",$O214,"492","TPP")</f>
        <v>#NAME?</v>
      </c>
    </row>
    <row r="215" spans="1:16" x14ac:dyDescent="0.15">
      <c r="A215" s="4" t="s">
        <v>20</v>
      </c>
      <c r="B215" s="4" t="s">
        <v>747</v>
      </c>
      <c r="C215" s="4" t="s">
        <v>272</v>
      </c>
      <c r="D215" s="4" t="s">
        <v>847</v>
      </c>
      <c r="E215" s="4" t="s">
        <v>848</v>
      </c>
      <c r="F215" s="4" t="s">
        <v>728</v>
      </c>
      <c r="G215" s="4" t="s">
        <v>12</v>
      </c>
      <c r="H215" s="4" t="s">
        <v>23</v>
      </c>
      <c r="I215" s="9">
        <v>42824</v>
      </c>
      <c r="J215" s="11">
        <v>120</v>
      </c>
      <c r="K215" s="4" t="s">
        <v>54</v>
      </c>
      <c r="L215" s="11">
        <v>6.56</v>
      </c>
      <c r="M215" s="11">
        <v>787.2</v>
      </c>
      <c r="N215" s="4" t="s">
        <v>8</v>
      </c>
      <c r="O215" s="5">
        <v>5637291288</v>
      </c>
      <c r="P215" s="11" t="e">
        <f ca="1">_xll.AtlasFormulas.AtlasFunctions.AtlasBalance("UAT",DataAreaId,"T.MarkupTrans","Sum|Posted|0","","","","","","","TransRecId|TransTableId|MarkupCode",$O215,"492","TPP")</f>
        <v>#NAME?</v>
      </c>
    </row>
    <row r="216" spans="1:16" x14ac:dyDescent="0.15">
      <c r="A216" s="4" t="s">
        <v>110</v>
      </c>
      <c r="B216" s="4" t="s">
        <v>111</v>
      </c>
      <c r="C216" s="4" t="s">
        <v>82</v>
      </c>
      <c r="D216" s="4" t="s">
        <v>115</v>
      </c>
      <c r="E216" s="4" t="s">
        <v>116</v>
      </c>
      <c r="F216" s="4" t="s">
        <v>114</v>
      </c>
      <c r="G216" s="4" t="s">
        <v>12</v>
      </c>
      <c r="H216" s="4" t="s">
        <v>23</v>
      </c>
      <c r="I216" s="9">
        <v>42824</v>
      </c>
      <c r="J216" s="11">
        <v>120</v>
      </c>
      <c r="K216" s="4" t="s">
        <v>54</v>
      </c>
      <c r="L216" s="11">
        <v>6.56</v>
      </c>
      <c r="M216" s="11">
        <v>787.2</v>
      </c>
      <c r="N216" s="4" t="s">
        <v>8</v>
      </c>
      <c r="O216" s="5">
        <v>5637291299</v>
      </c>
      <c r="P216" s="11" t="e">
        <f ca="1">_xll.AtlasFormulas.AtlasFunctions.AtlasBalance("UAT",DataAreaId,"T.MarkupTrans","Sum|Posted|0","","","","","","","TransRecId|TransTableId|MarkupCode",$O216,"492","TPP")</f>
        <v>#NAME?</v>
      </c>
    </row>
    <row r="217" spans="1:16" x14ac:dyDescent="0.15">
      <c r="A217" s="4" t="s">
        <v>288</v>
      </c>
      <c r="B217" s="4" t="s">
        <v>308</v>
      </c>
      <c r="C217" s="4" t="s">
        <v>82</v>
      </c>
      <c r="D217" s="4" t="s">
        <v>163</v>
      </c>
      <c r="E217" s="4" t="s">
        <v>416</v>
      </c>
      <c r="F217" s="4" t="s">
        <v>311</v>
      </c>
      <c r="G217" s="4" t="s">
        <v>12</v>
      </c>
      <c r="H217" s="4" t="s">
        <v>23</v>
      </c>
      <c r="I217" s="9">
        <v>42825</v>
      </c>
      <c r="J217" s="11">
        <v>210</v>
      </c>
      <c r="K217" s="4" t="s">
        <v>54</v>
      </c>
      <c r="L217" s="11">
        <v>6.56</v>
      </c>
      <c r="M217" s="11">
        <v>1377.6</v>
      </c>
      <c r="N217" s="4" t="s">
        <v>8</v>
      </c>
      <c r="O217" s="5">
        <v>5637291309</v>
      </c>
      <c r="P217" s="11" t="e">
        <f ca="1">_xll.AtlasFormulas.AtlasFunctions.AtlasBalance("UAT",DataAreaId,"T.MarkupTrans","Sum|Posted|0","","","","","","","TransRecId|TransTableId|MarkupCode",$O217,"492","TPP")</f>
        <v>#NAME?</v>
      </c>
    </row>
    <row r="218" spans="1:16" x14ac:dyDescent="0.15">
      <c r="A218" s="4" t="s">
        <v>20</v>
      </c>
      <c r="B218" s="4" t="s">
        <v>849</v>
      </c>
      <c r="C218" s="4" t="s">
        <v>272</v>
      </c>
      <c r="D218" s="4" t="s">
        <v>850</v>
      </c>
      <c r="E218" s="4" t="s">
        <v>851</v>
      </c>
      <c r="F218" s="4" t="s">
        <v>728</v>
      </c>
      <c r="G218" s="4" t="s">
        <v>12</v>
      </c>
      <c r="H218" s="4" t="s">
        <v>23</v>
      </c>
      <c r="I218" s="9">
        <v>42873</v>
      </c>
      <c r="J218" s="11">
        <v>600</v>
      </c>
      <c r="K218" s="4" t="s">
        <v>54</v>
      </c>
      <c r="L218" s="11">
        <v>6.56</v>
      </c>
      <c r="M218" s="11">
        <v>3936</v>
      </c>
      <c r="N218" s="4" t="s">
        <v>8</v>
      </c>
      <c r="O218" s="5">
        <v>5637291927</v>
      </c>
      <c r="P218" s="11" t="e">
        <f ca="1">_xll.AtlasFormulas.AtlasFunctions.AtlasBalance("UAT",DataAreaId,"T.MarkupTrans","Sum|Posted|0","","","","","","","TransRecId|TransTableId|MarkupCode",$O218,"492","TPP")</f>
        <v>#NAME?</v>
      </c>
    </row>
    <row r="219" spans="1:16" x14ac:dyDescent="0.15">
      <c r="A219" s="4" t="s">
        <v>20</v>
      </c>
      <c r="B219" s="4" t="s">
        <v>849</v>
      </c>
      <c r="C219" s="4" t="s">
        <v>272</v>
      </c>
      <c r="D219" s="4" t="s">
        <v>852</v>
      </c>
      <c r="E219" s="4" t="s">
        <v>853</v>
      </c>
      <c r="F219" s="4" t="s">
        <v>728</v>
      </c>
      <c r="G219" s="4" t="s">
        <v>12</v>
      </c>
      <c r="H219" s="4" t="s">
        <v>23</v>
      </c>
      <c r="I219" s="9">
        <v>42873</v>
      </c>
      <c r="J219" s="11">
        <v>150</v>
      </c>
      <c r="K219" s="4" t="s">
        <v>54</v>
      </c>
      <c r="L219" s="11">
        <v>6.56</v>
      </c>
      <c r="M219" s="11">
        <v>984</v>
      </c>
      <c r="N219" s="4" t="s">
        <v>8</v>
      </c>
      <c r="O219" s="5">
        <v>5637291928</v>
      </c>
      <c r="P219" s="11" t="e">
        <f ca="1">_xll.AtlasFormulas.AtlasFunctions.AtlasBalance("UAT",DataAreaId,"T.MarkupTrans","Sum|Posted|0","","","","","","","TransRecId|TransTableId|MarkupCode",$O219,"492","TPP")</f>
        <v>#NAME?</v>
      </c>
    </row>
    <row r="220" spans="1:16" x14ac:dyDescent="0.15">
      <c r="A220" s="4" t="s">
        <v>220</v>
      </c>
      <c r="B220" s="4" t="s">
        <v>417</v>
      </c>
      <c r="C220" s="4" t="s">
        <v>82</v>
      </c>
      <c r="D220" s="4" t="s">
        <v>300</v>
      </c>
      <c r="E220" s="4" t="s">
        <v>418</v>
      </c>
      <c r="F220" s="4" t="s">
        <v>224</v>
      </c>
      <c r="G220" s="4" t="s">
        <v>12</v>
      </c>
      <c r="H220" s="4" t="s">
        <v>23</v>
      </c>
      <c r="I220" s="9">
        <v>42873</v>
      </c>
      <c r="J220" s="11">
        <v>600</v>
      </c>
      <c r="K220" s="4" t="s">
        <v>54</v>
      </c>
      <c r="L220" s="11">
        <v>6.56</v>
      </c>
      <c r="M220" s="11">
        <v>3936</v>
      </c>
      <c r="N220" s="4" t="s">
        <v>8</v>
      </c>
      <c r="O220" s="5">
        <v>5637292200</v>
      </c>
      <c r="P220" s="11" t="e">
        <f ca="1">_xll.AtlasFormulas.AtlasFunctions.AtlasBalance("UAT",DataAreaId,"T.MarkupTrans","Sum|Posted|0","","","","","","","TransRecId|TransTableId|MarkupCode",$O220,"492","TPP")</f>
        <v>#NAME?</v>
      </c>
    </row>
    <row r="221" spans="1:16" x14ac:dyDescent="0.15">
      <c r="A221" s="4" t="s">
        <v>220</v>
      </c>
      <c r="B221" s="4" t="s">
        <v>417</v>
      </c>
      <c r="C221" s="4" t="s">
        <v>82</v>
      </c>
      <c r="D221" s="4" t="s">
        <v>419</v>
      </c>
      <c r="E221" s="4" t="s">
        <v>420</v>
      </c>
      <c r="F221" s="4" t="s">
        <v>224</v>
      </c>
      <c r="G221" s="4" t="s">
        <v>12</v>
      </c>
      <c r="H221" s="4" t="s">
        <v>23</v>
      </c>
      <c r="I221" s="9">
        <v>42873</v>
      </c>
      <c r="J221" s="11">
        <v>150</v>
      </c>
      <c r="K221" s="4" t="s">
        <v>54</v>
      </c>
      <c r="L221" s="11">
        <v>6.56</v>
      </c>
      <c r="M221" s="11">
        <v>984</v>
      </c>
      <c r="N221" s="4" t="s">
        <v>8</v>
      </c>
      <c r="O221" s="5">
        <v>5637292202</v>
      </c>
      <c r="P221" s="11" t="e">
        <f ca="1">_xll.AtlasFormulas.AtlasFunctions.AtlasBalance("UAT",DataAreaId,"T.MarkupTrans","Sum|Posted|0","","","","","","","TransRecId|TransTableId|MarkupCode",$O221,"492","TPP")</f>
        <v>#NAME?</v>
      </c>
    </row>
    <row r="222" spans="1:16" x14ac:dyDescent="0.15">
      <c r="A222" s="4" t="s">
        <v>227</v>
      </c>
      <c r="B222" s="4" t="s">
        <v>228</v>
      </c>
      <c r="C222" s="4" t="s">
        <v>82</v>
      </c>
      <c r="D222" s="4" t="s">
        <v>229</v>
      </c>
      <c r="E222" s="4" t="s">
        <v>230</v>
      </c>
      <c r="F222" s="4" t="s">
        <v>231</v>
      </c>
      <c r="G222" s="4" t="s">
        <v>12</v>
      </c>
      <c r="H222" s="4" t="s">
        <v>23</v>
      </c>
      <c r="I222" s="9">
        <v>42878</v>
      </c>
      <c r="J222" s="11">
        <v>1050</v>
      </c>
      <c r="K222" s="4" t="s">
        <v>54</v>
      </c>
      <c r="L222" s="11">
        <v>6.56</v>
      </c>
      <c r="M222" s="11">
        <v>6888</v>
      </c>
      <c r="N222" s="4" t="s">
        <v>8</v>
      </c>
      <c r="O222" s="5">
        <v>5637292208</v>
      </c>
      <c r="P222" s="11" t="e">
        <f ca="1">_xll.AtlasFormulas.AtlasFunctions.AtlasBalance("UAT",DataAreaId,"T.MarkupTrans","Sum|Posted|0","","","","","","","TransRecId|TransTableId|MarkupCode",$O222,"492","TPP")</f>
        <v>#NAME?</v>
      </c>
    </row>
    <row r="223" spans="1:16" x14ac:dyDescent="0.15">
      <c r="A223" s="4" t="s">
        <v>20</v>
      </c>
      <c r="B223" s="4" t="s">
        <v>747</v>
      </c>
      <c r="C223" s="4" t="s">
        <v>272</v>
      </c>
      <c r="D223" s="4" t="s">
        <v>854</v>
      </c>
      <c r="E223" s="4" t="s">
        <v>855</v>
      </c>
      <c r="F223" s="4" t="s">
        <v>728</v>
      </c>
      <c r="G223" s="4" t="s">
        <v>12</v>
      </c>
      <c r="H223" s="4" t="s">
        <v>23</v>
      </c>
      <c r="I223" s="9">
        <v>42891</v>
      </c>
      <c r="J223" s="11">
        <v>300</v>
      </c>
      <c r="K223" s="4" t="s">
        <v>54</v>
      </c>
      <c r="L223" s="11">
        <v>6.56</v>
      </c>
      <c r="M223" s="11">
        <v>1968</v>
      </c>
      <c r="N223" s="4" t="s">
        <v>8</v>
      </c>
      <c r="O223" s="5">
        <v>5637292353</v>
      </c>
      <c r="P223" s="11" t="e">
        <f ca="1">_xll.AtlasFormulas.AtlasFunctions.AtlasBalance("UAT",DataAreaId,"T.MarkupTrans","Sum|Posted|0","","","","","","","TransRecId|TransTableId|MarkupCode",$O223,"492","TPP")</f>
        <v>#NAME?</v>
      </c>
    </row>
    <row r="224" spans="1:16" x14ac:dyDescent="0.15">
      <c r="A224" s="4" t="s">
        <v>212</v>
      </c>
      <c r="B224" s="4" t="s">
        <v>213</v>
      </c>
      <c r="C224" s="4" t="s">
        <v>214</v>
      </c>
      <c r="D224" s="4" t="s">
        <v>421</v>
      </c>
      <c r="E224" s="4" t="s">
        <v>422</v>
      </c>
      <c r="F224" s="4" t="s">
        <v>217</v>
      </c>
      <c r="G224" s="4" t="s">
        <v>12</v>
      </c>
      <c r="H224" s="4" t="s">
        <v>23</v>
      </c>
      <c r="I224" s="9">
        <v>42898</v>
      </c>
      <c r="J224" s="11">
        <v>300</v>
      </c>
      <c r="K224" s="4" t="s">
        <v>54</v>
      </c>
      <c r="L224" s="11">
        <v>6.56</v>
      </c>
      <c r="M224" s="11">
        <v>1968</v>
      </c>
      <c r="N224" s="4" t="s">
        <v>8</v>
      </c>
      <c r="O224" s="5">
        <v>5637292414</v>
      </c>
      <c r="P224" s="11" t="e">
        <f ca="1">_xll.AtlasFormulas.AtlasFunctions.AtlasBalance("UAT",DataAreaId,"T.MarkupTrans","Sum|Posted|0","","","","","","","TransRecId|TransTableId|MarkupCode",$O224,"492","TPP")</f>
        <v>#NAME?</v>
      </c>
    </row>
    <row r="225" spans="1:16" x14ac:dyDescent="0.15">
      <c r="A225" s="4" t="s">
        <v>227</v>
      </c>
      <c r="B225" s="4" t="s">
        <v>228</v>
      </c>
      <c r="C225" s="4" t="s">
        <v>82</v>
      </c>
      <c r="D225" s="4" t="s">
        <v>242</v>
      </c>
      <c r="E225" s="4" t="s">
        <v>423</v>
      </c>
      <c r="F225" s="4" t="s">
        <v>231</v>
      </c>
      <c r="G225" s="4" t="s">
        <v>13</v>
      </c>
      <c r="H225" s="4" t="s">
        <v>23</v>
      </c>
      <c r="I225" s="9">
        <v>42887</v>
      </c>
      <c r="J225" s="11">
        <v>120</v>
      </c>
      <c r="K225" s="4" t="s">
        <v>54</v>
      </c>
      <c r="L225" s="11">
        <v>6.25</v>
      </c>
      <c r="M225" s="11">
        <v>750</v>
      </c>
      <c r="N225" s="4" t="s">
        <v>8</v>
      </c>
      <c r="O225" s="5">
        <v>5637292348</v>
      </c>
      <c r="P225" s="11" t="e">
        <f ca="1">_xll.AtlasFormulas.AtlasFunctions.AtlasBalance("UAT",DataAreaId,"T.MarkupTrans","Sum|Posted|0","","","","","","","TransRecId|TransTableId|MarkupCode",$O225,"492","TPP")</f>
        <v>#NAME?</v>
      </c>
    </row>
    <row r="226" spans="1:16" x14ac:dyDescent="0.15">
      <c r="A226" s="4" t="s">
        <v>20</v>
      </c>
      <c r="B226" s="4" t="s">
        <v>747</v>
      </c>
      <c r="C226" s="4" t="s">
        <v>272</v>
      </c>
      <c r="D226" s="4" t="s">
        <v>843</v>
      </c>
      <c r="E226" s="4" t="s">
        <v>844</v>
      </c>
      <c r="F226" s="4" t="s">
        <v>728</v>
      </c>
      <c r="G226" s="4" t="s">
        <v>117</v>
      </c>
      <c r="H226" s="4" t="s">
        <v>118</v>
      </c>
      <c r="I226" s="9">
        <v>42773</v>
      </c>
      <c r="J226" s="11">
        <v>300</v>
      </c>
      <c r="K226" s="4" t="s">
        <v>54</v>
      </c>
      <c r="L226" s="11">
        <v>8.1</v>
      </c>
      <c r="M226" s="11">
        <v>2430</v>
      </c>
      <c r="N226" s="4" t="s">
        <v>8</v>
      </c>
      <c r="O226" s="5">
        <v>5637289801</v>
      </c>
      <c r="P226" s="11" t="e">
        <f ca="1">_xll.AtlasFormulas.AtlasFunctions.AtlasBalance("UAT",DataAreaId,"T.MarkupTrans","Sum|Posted|0","","","","","","","TransRecId|TransTableId|MarkupCode",$O226,"492","TPP")</f>
        <v>#NAME?</v>
      </c>
    </row>
    <row r="227" spans="1:16" x14ac:dyDescent="0.15">
      <c r="A227" s="4" t="s">
        <v>212</v>
      </c>
      <c r="B227" s="4" t="s">
        <v>213</v>
      </c>
      <c r="C227" s="4" t="s">
        <v>214</v>
      </c>
      <c r="D227" s="4" t="s">
        <v>411</v>
      </c>
      <c r="E227" s="4" t="s">
        <v>412</v>
      </c>
      <c r="F227" s="4" t="s">
        <v>217</v>
      </c>
      <c r="G227" s="4" t="s">
        <v>117</v>
      </c>
      <c r="H227" s="4" t="s">
        <v>118</v>
      </c>
      <c r="I227" s="9">
        <v>42788</v>
      </c>
      <c r="J227" s="11">
        <v>300</v>
      </c>
      <c r="K227" s="4" t="s">
        <v>54</v>
      </c>
      <c r="L227" s="11">
        <v>8.1</v>
      </c>
      <c r="M227" s="11">
        <v>2430</v>
      </c>
      <c r="N227" s="4" t="s">
        <v>8</v>
      </c>
      <c r="O227" s="5">
        <v>5637290151</v>
      </c>
      <c r="P227" s="11" t="e">
        <f ca="1">_xll.AtlasFormulas.AtlasFunctions.AtlasBalance("UAT",DataAreaId,"T.MarkupTrans","Sum|Posted|0","","","","","","","TransRecId|TransTableId|MarkupCode",$O227,"492","TPP")</f>
        <v>#NAME?</v>
      </c>
    </row>
    <row r="228" spans="1:16" x14ac:dyDescent="0.15">
      <c r="A228" s="4" t="s">
        <v>20</v>
      </c>
      <c r="B228" s="4" t="s">
        <v>747</v>
      </c>
      <c r="C228" s="4" t="s">
        <v>272</v>
      </c>
      <c r="D228" s="4" t="s">
        <v>790</v>
      </c>
      <c r="E228" s="4" t="s">
        <v>791</v>
      </c>
      <c r="F228" s="4" t="s">
        <v>728</v>
      </c>
      <c r="G228" s="4" t="s">
        <v>117</v>
      </c>
      <c r="H228" s="4" t="s">
        <v>118</v>
      </c>
      <c r="I228" s="9">
        <v>42795</v>
      </c>
      <c r="J228" s="11">
        <v>90</v>
      </c>
      <c r="K228" s="4" t="s">
        <v>54</v>
      </c>
      <c r="L228" s="11">
        <v>8.01</v>
      </c>
      <c r="M228" s="11">
        <v>720.9</v>
      </c>
      <c r="N228" s="4" t="s">
        <v>8</v>
      </c>
      <c r="O228" s="5">
        <v>5637290997</v>
      </c>
      <c r="P228" s="11" t="e">
        <f ca="1">_xll.AtlasFormulas.AtlasFunctions.AtlasBalance("UAT",DataAreaId,"T.MarkupTrans","Sum|Posted|0","","","","","","","TransRecId|TransTableId|MarkupCode",$O228,"492","TPP")</f>
        <v>#NAME?</v>
      </c>
    </row>
    <row r="229" spans="1:16" x14ac:dyDescent="0.15">
      <c r="A229" s="4" t="s">
        <v>227</v>
      </c>
      <c r="B229" s="4" t="s">
        <v>228</v>
      </c>
      <c r="C229" s="4" t="s">
        <v>82</v>
      </c>
      <c r="D229" s="4" t="s">
        <v>322</v>
      </c>
      <c r="E229" s="4" t="s">
        <v>323</v>
      </c>
      <c r="F229" s="4" t="s">
        <v>231</v>
      </c>
      <c r="G229" s="4" t="s">
        <v>117</v>
      </c>
      <c r="H229" s="4" t="s">
        <v>118</v>
      </c>
      <c r="I229" s="9">
        <v>42800</v>
      </c>
      <c r="J229" s="11">
        <v>90</v>
      </c>
      <c r="K229" s="4" t="s">
        <v>54</v>
      </c>
      <c r="L229" s="11">
        <v>8.01</v>
      </c>
      <c r="M229" s="11">
        <v>720.9</v>
      </c>
      <c r="N229" s="4" t="s">
        <v>8</v>
      </c>
      <c r="O229" s="5">
        <v>5637291020</v>
      </c>
      <c r="P229" s="11" t="e">
        <f ca="1">_xll.AtlasFormulas.AtlasFunctions.AtlasBalance("UAT",DataAreaId,"T.MarkupTrans","Sum|Posted|0","","","","","","","TransRecId|TransTableId|MarkupCode",$O229,"492","TPP")</f>
        <v>#NAME?</v>
      </c>
    </row>
    <row r="230" spans="1:16" x14ac:dyDescent="0.15">
      <c r="A230" s="4" t="s">
        <v>110</v>
      </c>
      <c r="B230" s="4" t="s">
        <v>111</v>
      </c>
      <c r="C230" s="4" t="s">
        <v>82</v>
      </c>
      <c r="D230" s="4" t="s">
        <v>115</v>
      </c>
      <c r="E230" s="4" t="s">
        <v>116</v>
      </c>
      <c r="F230" s="4" t="s">
        <v>114</v>
      </c>
      <c r="G230" s="4" t="s">
        <v>117</v>
      </c>
      <c r="H230" s="4" t="s">
        <v>118</v>
      </c>
      <c r="I230" s="9">
        <v>42824</v>
      </c>
      <c r="J230" s="11">
        <v>600</v>
      </c>
      <c r="K230" s="4" t="s">
        <v>54</v>
      </c>
      <c r="L230" s="11">
        <v>8.01</v>
      </c>
      <c r="M230" s="11">
        <v>4806</v>
      </c>
      <c r="N230" s="4" t="s">
        <v>8</v>
      </c>
      <c r="O230" s="5">
        <v>5637291298</v>
      </c>
      <c r="P230" s="11" t="e">
        <f ca="1">_xll.AtlasFormulas.AtlasFunctions.AtlasBalance("UAT",DataAreaId,"T.MarkupTrans","Sum|Posted|0","","","","","","","TransRecId|TransTableId|MarkupCode",$O230,"492","TPP")</f>
        <v>#NAME?</v>
      </c>
    </row>
    <row r="231" spans="1:16" x14ac:dyDescent="0.15">
      <c r="A231" s="4" t="s">
        <v>20</v>
      </c>
      <c r="B231" s="4" t="s">
        <v>747</v>
      </c>
      <c r="C231" s="4" t="s">
        <v>272</v>
      </c>
      <c r="D231" s="4" t="s">
        <v>847</v>
      </c>
      <c r="E231" s="4" t="s">
        <v>848</v>
      </c>
      <c r="F231" s="4" t="s">
        <v>728</v>
      </c>
      <c r="G231" s="4" t="s">
        <v>117</v>
      </c>
      <c r="H231" s="4" t="s">
        <v>118</v>
      </c>
      <c r="I231" s="9">
        <v>42824</v>
      </c>
      <c r="J231" s="11">
        <v>600</v>
      </c>
      <c r="K231" s="4" t="s">
        <v>54</v>
      </c>
      <c r="L231" s="11">
        <v>8.01</v>
      </c>
      <c r="M231" s="11">
        <v>4806</v>
      </c>
      <c r="N231" s="4" t="s">
        <v>8</v>
      </c>
      <c r="O231" s="5">
        <v>5637291287</v>
      </c>
      <c r="P231" s="11" t="e">
        <f ca="1">_xll.AtlasFormulas.AtlasFunctions.AtlasBalance("UAT",DataAreaId,"T.MarkupTrans","Sum|Posted|0","","","","","","","TransRecId|TransTableId|MarkupCode",$O231,"492","TPP")</f>
        <v>#NAME?</v>
      </c>
    </row>
    <row r="232" spans="1:16" x14ac:dyDescent="0.15">
      <c r="A232" s="4" t="s">
        <v>20</v>
      </c>
      <c r="B232" s="4" t="s">
        <v>747</v>
      </c>
      <c r="C232" s="4" t="s">
        <v>272</v>
      </c>
      <c r="D232" s="4" t="s">
        <v>856</v>
      </c>
      <c r="E232" s="4" t="s">
        <v>857</v>
      </c>
      <c r="F232" s="4" t="s">
        <v>728</v>
      </c>
      <c r="G232" s="4" t="s">
        <v>117</v>
      </c>
      <c r="H232" s="4" t="s">
        <v>118</v>
      </c>
      <c r="I232" s="9">
        <v>42837</v>
      </c>
      <c r="J232" s="11">
        <v>90</v>
      </c>
      <c r="K232" s="4" t="s">
        <v>54</v>
      </c>
      <c r="L232" s="11">
        <v>8.01</v>
      </c>
      <c r="M232" s="11">
        <v>720.9</v>
      </c>
      <c r="N232" s="4" t="s">
        <v>8</v>
      </c>
      <c r="O232" s="5">
        <v>5637291392</v>
      </c>
      <c r="P232" s="11" t="e">
        <f ca="1">_xll.AtlasFormulas.AtlasFunctions.AtlasBalance("UAT",DataAreaId,"T.MarkupTrans","Sum|Posted|0","","","","","","","TransRecId|TransTableId|MarkupCode",$O232,"492","TPP")</f>
        <v>#NAME?</v>
      </c>
    </row>
    <row r="233" spans="1:16" x14ac:dyDescent="0.15">
      <c r="A233" s="4" t="s">
        <v>20</v>
      </c>
      <c r="B233" s="4" t="s">
        <v>752</v>
      </c>
      <c r="C233" s="4" t="s">
        <v>272</v>
      </c>
      <c r="D233" s="4" t="s">
        <v>753</v>
      </c>
      <c r="E233" s="4" t="s">
        <v>754</v>
      </c>
      <c r="F233" s="4" t="s">
        <v>728</v>
      </c>
      <c r="G233" s="4" t="s">
        <v>117</v>
      </c>
      <c r="H233" s="4" t="s">
        <v>118</v>
      </c>
      <c r="I233" s="9">
        <v>42843</v>
      </c>
      <c r="J233" s="11">
        <v>3240</v>
      </c>
      <c r="K233" s="4" t="s">
        <v>54</v>
      </c>
      <c r="L233" s="11">
        <v>8.01</v>
      </c>
      <c r="M233" s="11">
        <v>25952.400000000001</v>
      </c>
      <c r="N233" s="4" t="s">
        <v>8</v>
      </c>
      <c r="O233" s="5">
        <v>5637291719</v>
      </c>
      <c r="P233" s="11" t="e">
        <f ca="1">_xll.AtlasFormulas.AtlasFunctions.AtlasBalance("UAT",DataAreaId,"T.MarkupTrans","Sum|Posted|0","","","","","","","TransRecId|TransTableId|MarkupCode",$O233,"492","TPP")</f>
        <v>#NAME?</v>
      </c>
    </row>
    <row r="234" spans="1:16" x14ac:dyDescent="0.15">
      <c r="A234" s="4" t="s">
        <v>20</v>
      </c>
      <c r="B234" s="4" t="s">
        <v>849</v>
      </c>
      <c r="C234" s="4" t="s">
        <v>272</v>
      </c>
      <c r="D234" s="4" t="s">
        <v>858</v>
      </c>
      <c r="E234" s="4" t="s">
        <v>859</v>
      </c>
      <c r="F234" s="4" t="s">
        <v>728</v>
      </c>
      <c r="G234" s="4" t="s">
        <v>117</v>
      </c>
      <c r="H234" s="4" t="s">
        <v>118</v>
      </c>
      <c r="I234" s="9">
        <v>42843</v>
      </c>
      <c r="J234" s="11">
        <v>300</v>
      </c>
      <c r="K234" s="4" t="s">
        <v>54</v>
      </c>
      <c r="L234" s="11">
        <v>8.01</v>
      </c>
      <c r="M234" s="11">
        <v>2403</v>
      </c>
      <c r="N234" s="4" t="s">
        <v>8</v>
      </c>
      <c r="O234" s="5">
        <v>5637291728</v>
      </c>
      <c r="P234" s="11" t="e">
        <f ca="1">_xll.AtlasFormulas.AtlasFunctions.AtlasBalance("UAT",DataAreaId,"T.MarkupTrans","Sum|Posted|0","","","","","","","TransRecId|TransTableId|MarkupCode",$O234,"492","TPP")</f>
        <v>#NAME?</v>
      </c>
    </row>
    <row r="235" spans="1:16" x14ac:dyDescent="0.15">
      <c r="A235" s="4" t="s">
        <v>220</v>
      </c>
      <c r="B235" s="4" t="s">
        <v>417</v>
      </c>
      <c r="C235" s="4" t="s">
        <v>82</v>
      </c>
      <c r="D235" s="4" t="s">
        <v>424</v>
      </c>
      <c r="E235" s="4" t="s">
        <v>425</v>
      </c>
      <c r="F235" s="4" t="s">
        <v>224</v>
      </c>
      <c r="G235" s="4" t="s">
        <v>117</v>
      </c>
      <c r="H235" s="4" t="s">
        <v>118</v>
      </c>
      <c r="I235" s="9">
        <v>42843</v>
      </c>
      <c r="J235" s="11">
        <v>300</v>
      </c>
      <c r="K235" s="4" t="s">
        <v>54</v>
      </c>
      <c r="L235" s="11">
        <v>8.01</v>
      </c>
      <c r="M235" s="11">
        <v>2403</v>
      </c>
      <c r="N235" s="4" t="s">
        <v>8</v>
      </c>
      <c r="O235" s="5">
        <v>5637291668</v>
      </c>
      <c r="P235" s="11" t="e">
        <f ca="1">_xll.AtlasFormulas.AtlasFunctions.AtlasBalance("UAT",DataAreaId,"T.MarkupTrans","Sum|Posted|0","","","","","","","TransRecId|TransTableId|MarkupCode",$O235,"492","TPP")</f>
        <v>#NAME?</v>
      </c>
    </row>
    <row r="236" spans="1:16" x14ac:dyDescent="0.15">
      <c r="A236" s="4" t="s">
        <v>212</v>
      </c>
      <c r="B236" s="4" t="s">
        <v>213</v>
      </c>
      <c r="C236" s="4" t="s">
        <v>214</v>
      </c>
      <c r="D236" s="4" t="s">
        <v>426</v>
      </c>
      <c r="E236" s="4" t="s">
        <v>427</v>
      </c>
      <c r="F236" s="4" t="s">
        <v>217</v>
      </c>
      <c r="G236" s="4" t="s">
        <v>117</v>
      </c>
      <c r="H236" s="4" t="s">
        <v>118</v>
      </c>
      <c r="I236" s="9">
        <v>42853</v>
      </c>
      <c r="J236" s="11">
        <v>90</v>
      </c>
      <c r="K236" s="4" t="s">
        <v>54</v>
      </c>
      <c r="L236" s="11">
        <v>8.01</v>
      </c>
      <c r="M236" s="11">
        <v>720.9</v>
      </c>
      <c r="N236" s="4" t="s">
        <v>8</v>
      </c>
      <c r="O236" s="5">
        <v>5637291456</v>
      </c>
      <c r="P236" s="11" t="e">
        <f ca="1">_xll.AtlasFormulas.AtlasFunctions.AtlasBalance("UAT",DataAreaId,"T.MarkupTrans","Sum|Posted|0","","","","","","","TransRecId|TransTableId|MarkupCode",$O236,"492","TPP")</f>
        <v>#NAME?</v>
      </c>
    </row>
    <row r="237" spans="1:16" x14ac:dyDescent="0.15">
      <c r="A237" s="4" t="s">
        <v>20</v>
      </c>
      <c r="B237" s="4" t="s">
        <v>747</v>
      </c>
      <c r="C237" s="4" t="s">
        <v>272</v>
      </c>
      <c r="D237" s="4" t="s">
        <v>860</v>
      </c>
      <c r="E237" s="4" t="s">
        <v>861</v>
      </c>
      <c r="F237" s="4" t="s">
        <v>728</v>
      </c>
      <c r="G237" s="4" t="s">
        <v>117</v>
      </c>
      <c r="H237" s="4" t="s">
        <v>118</v>
      </c>
      <c r="I237" s="9">
        <v>42930</v>
      </c>
      <c r="J237" s="11">
        <v>600</v>
      </c>
      <c r="K237" s="4" t="s">
        <v>54</v>
      </c>
      <c r="L237" s="11">
        <v>8.23</v>
      </c>
      <c r="M237" s="11">
        <v>4938</v>
      </c>
      <c r="N237" s="4" t="s">
        <v>8</v>
      </c>
      <c r="O237" s="5">
        <v>5637293464</v>
      </c>
      <c r="P237" s="11" t="e">
        <f ca="1">_xll.AtlasFormulas.AtlasFunctions.AtlasBalance("UAT",DataAreaId,"T.MarkupTrans","Sum|Posted|0","","","","","","","TransRecId|TransTableId|MarkupCode",$O237,"492","TPP")</f>
        <v>#NAME?</v>
      </c>
    </row>
    <row r="238" spans="1:16" x14ac:dyDescent="0.15">
      <c r="A238" s="4" t="s">
        <v>20</v>
      </c>
      <c r="B238" s="4" t="s">
        <v>747</v>
      </c>
      <c r="C238" s="4" t="s">
        <v>272</v>
      </c>
      <c r="D238" s="4" t="s">
        <v>862</v>
      </c>
      <c r="E238" s="4" t="s">
        <v>863</v>
      </c>
      <c r="F238" s="4" t="s">
        <v>728</v>
      </c>
      <c r="G238" s="4" t="s">
        <v>117</v>
      </c>
      <c r="H238" s="4" t="s">
        <v>118</v>
      </c>
      <c r="I238" s="9">
        <v>42937</v>
      </c>
      <c r="J238" s="11">
        <v>480</v>
      </c>
      <c r="K238" s="4" t="s">
        <v>54</v>
      </c>
      <c r="L238" s="11">
        <v>8.23</v>
      </c>
      <c r="M238" s="11">
        <v>3950.4</v>
      </c>
      <c r="N238" s="4" t="s">
        <v>8</v>
      </c>
      <c r="O238" s="5">
        <v>5637293513</v>
      </c>
      <c r="P238" s="11" t="e">
        <f ca="1">_xll.AtlasFormulas.AtlasFunctions.AtlasBalance("UAT",DataAreaId,"T.MarkupTrans","Sum|Posted|0","","","","","","","TransRecId|TransTableId|MarkupCode",$O238,"492","TPP")</f>
        <v>#NAME?</v>
      </c>
    </row>
    <row r="239" spans="1:16" x14ac:dyDescent="0.15">
      <c r="A239" s="4" t="s">
        <v>212</v>
      </c>
      <c r="B239" s="4" t="s">
        <v>213</v>
      </c>
      <c r="C239" s="4" t="s">
        <v>214</v>
      </c>
      <c r="D239" s="4" t="s">
        <v>428</v>
      </c>
      <c r="E239" s="4" t="s">
        <v>429</v>
      </c>
      <c r="F239" s="4" t="s">
        <v>217</v>
      </c>
      <c r="G239" s="4" t="s">
        <v>117</v>
      </c>
      <c r="H239" s="4" t="s">
        <v>118</v>
      </c>
      <c r="I239" s="9">
        <v>42947</v>
      </c>
      <c r="J239" s="11">
        <v>480</v>
      </c>
      <c r="K239" s="4" t="s">
        <v>54</v>
      </c>
      <c r="L239" s="11">
        <v>8.23</v>
      </c>
      <c r="M239" s="11">
        <v>3950.4</v>
      </c>
      <c r="N239" s="4" t="s">
        <v>8</v>
      </c>
      <c r="O239" s="5">
        <v>5637293911</v>
      </c>
      <c r="P239" s="11" t="e">
        <f ca="1">_xll.AtlasFormulas.AtlasFunctions.AtlasBalance("UAT",DataAreaId,"T.MarkupTrans","Sum|Posted|0","","","","","","","TransRecId|TransTableId|MarkupCode",$O239,"492","TPP")</f>
        <v>#NAME?</v>
      </c>
    </row>
    <row r="240" spans="1:16" x14ac:dyDescent="0.15">
      <c r="A240" s="4" t="s">
        <v>288</v>
      </c>
      <c r="B240" s="4" t="s">
        <v>289</v>
      </c>
      <c r="C240" s="4" t="s">
        <v>82</v>
      </c>
      <c r="D240" s="4" t="s">
        <v>430</v>
      </c>
      <c r="E240" s="4" t="s">
        <v>431</v>
      </c>
      <c r="F240" s="4" t="s">
        <v>292</v>
      </c>
      <c r="G240" s="4" t="s">
        <v>117</v>
      </c>
      <c r="H240" s="4" t="s">
        <v>118</v>
      </c>
      <c r="I240" s="9">
        <v>42947</v>
      </c>
      <c r="J240" s="11">
        <v>600</v>
      </c>
      <c r="K240" s="4" t="s">
        <v>54</v>
      </c>
      <c r="L240" s="11">
        <v>8.23</v>
      </c>
      <c r="M240" s="11">
        <v>4938</v>
      </c>
      <c r="N240" s="4" t="s">
        <v>8</v>
      </c>
      <c r="O240" s="5">
        <v>5637294409</v>
      </c>
      <c r="P240" s="11" t="e">
        <f ca="1">_xll.AtlasFormulas.AtlasFunctions.AtlasBalance("UAT",DataAreaId,"T.MarkupTrans","Sum|Posted|0","","","","","","","TransRecId|TransTableId|MarkupCode",$O240,"492","TPP")</f>
        <v>#NAME?</v>
      </c>
    </row>
    <row r="241" spans="1:16" x14ac:dyDescent="0.15">
      <c r="A241" s="4" t="s">
        <v>20</v>
      </c>
      <c r="B241" s="4" t="s">
        <v>747</v>
      </c>
      <c r="C241" s="4" t="s">
        <v>272</v>
      </c>
      <c r="D241" s="4" t="s">
        <v>864</v>
      </c>
      <c r="E241" s="4" t="s">
        <v>203</v>
      </c>
      <c r="F241" s="4" t="s">
        <v>728</v>
      </c>
      <c r="G241" s="4" t="s">
        <v>117</v>
      </c>
      <c r="H241" s="4" t="s">
        <v>118</v>
      </c>
      <c r="I241" s="9">
        <v>42949</v>
      </c>
      <c r="J241" s="11">
        <v>600</v>
      </c>
      <c r="K241" s="4" t="s">
        <v>54</v>
      </c>
      <c r="L241" s="11">
        <v>8.23</v>
      </c>
      <c r="M241" s="11">
        <v>4938</v>
      </c>
      <c r="N241" s="4" t="s">
        <v>8</v>
      </c>
      <c r="O241" s="5">
        <v>5637294428</v>
      </c>
      <c r="P241" s="11" t="e">
        <f ca="1">_xll.AtlasFormulas.AtlasFunctions.AtlasBalance("UAT",DataAreaId,"T.MarkupTrans","Sum|Posted|0","","","","","","","TransRecId|TransTableId|MarkupCode",$O241,"492","TPP")</f>
        <v>#NAME?</v>
      </c>
    </row>
    <row r="242" spans="1:16" x14ac:dyDescent="0.15">
      <c r="A242" s="4" t="s">
        <v>20</v>
      </c>
      <c r="B242" s="4" t="s">
        <v>752</v>
      </c>
      <c r="C242" s="4" t="s">
        <v>272</v>
      </c>
      <c r="D242" s="4" t="s">
        <v>753</v>
      </c>
      <c r="E242" s="4" t="s">
        <v>754</v>
      </c>
      <c r="F242" s="4" t="s">
        <v>728</v>
      </c>
      <c r="G242" s="4" t="s">
        <v>865</v>
      </c>
      <c r="H242" s="4" t="s">
        <v>118</v>
      </c>
      <c r="I242" s="9">
        <v>42843</v>
      </c>
      <c r="J242" s="11">
        <v>1320</v>
      </c>
      <c r="K242" s="4" t="s">
        <v>54</v>
      </c>
      <c r="L242" s="11">
        <v>7.62</v>
      </c>
      <c r="M242" s="11">
        <v>10058.4</v>
      </c>
      <c r="N242" s="4" t="s">
        <v>8</v>
      </c>
      <c r="O242" s="5">
        <v>5637291720</v>
      </c>
      <c r="P242" s="11" t="e">
        <f ca="1">_xll.AtlasFormulas.AtlasFunctions.AtlasBalance("UAT",DataAreaId,"T.MarkupTrans","Sum|Posted|0","","","","","","","TransRecId|TransTableId|MarkupCode",$O242,"492","TPP")</f>
        <v>#NAME?</v>
      </c>
    </row>
    <row r="243" spans="1:16" x14ac:dyDescent="0.15">
      <c r="A243" s="4" t="s">
        <v>20</v>
      </c>
      <c r="B243" s="4" t="s">
        <v>849</v>
      </c>
      <c r="C243" s="4" t="s">
        <v>272</v>
      </c>
      <c r="D243" s="4" t="s">
        <v>858</v>
      </c>
      <c r="E243" s="4" t="s">
        <v>859</v>
      </c>
      <c r="F243" s="4" t="s">
        <v>728</v>
      </c>
      <c r="G243" s="4" t="s">
        <v>432</v>
      </c>
      <c r="H243" s="4" t="s">
        <v>433</v>
      </c>
      <c r="I243" s="9">
        <v>42843</v>
      </c>
      <c r="J243" s="11">
        <v>360</v>
      </c>
      <c r="K243" s="4" t="s">
        <v>54</v>
      </c>
      <c r="L243" s="11">
        <v>10.91</v>
      </c>
      <c r="M243" s="11">
        <v>3927.6</v>
      </c>
      <c r="N243" s="4" t="s">
        <v>8</v>
      </c>
      <c r="O243" s="5">
        <v>5637291729</v>
      </c>
      <c r="P243" s="11" t="e">
        <f ca="1">_xll.AtlasFormulas.AtlasFunctions.AtlasBalance("UAT",DataAreaId,"T.MarkupTrans","Sum|Posted|0","","","","","","","TransRecId|TransTableId|MarkupCode",$O243,"492","TPP")</f>
        <v>#NAME?</v>
      </c>
    </row>
    <row r="244" spans="1:16" x14ac:dyDescent="0.15">
      <c r="A244" s="4" t="s">
        <v>20</v>
      </c>
      <c r="B244" s="4" t="s">
        <v>849</v>
      </c>
      <c r="C244" s="4" t="s">
        <v>272</v>
      </c>
      <c r="D244" s="4" t="s">
        <v>858</v>
      </c>
      <c r="E244" s="4" t="s">
        <v>859</v>
      </c>
      <c r="F244" s="4" t="s">
        <v>728</v>
      </c>
      <c r="G244" s="4" t="s">
        <v>432</v>
      </c>
      <c r="H244" s="4" t="s">
        <v>433</v>
      </c>
      <c r="I244" s="9">
        <v>42843</v>
      </c>
      <c r="J244" s="11">
        <v>20.100000000000001</v>
      </c>
      <c r="K244" s="4" t="s">
        <v>54</v>
      </c>
      <c r="L244" s="11">
        <v>10.91</v>
      </c>
      <c r="M244" s="11">
        <v>219.29000000000002</v>
      </c>
      <c r="N244" s="4" t="s">
        <v>8</v>
      </c>
      <c r="O244" s="5">
        <v>5637291730</v>
      </c>
      <c r="P244" s="11" t="e">
        <f ca="1">_xll.AtlasFormulas.AtlasFunctions.AtlasBalance("UAT",DataAreaId,"T.MarkupTrans","Sum|Posted|0","","","","","","","TransRecId|TransTableId|MarkupCode",$O244,"492","TPP")</f>
        <v>#NAME?</v>
      </c>
    </row>
    <row r="245" spans="1:16" x14ac:dyDescent="0.15">
      <c r="A245" s="4" t="s">
        <v>220</v>
      </c>
      <c r="B245" s="4" t="s">
        <v>417</v>
      </c>
      <c r="C245" s="4" t="s">
        <v>82</v>
      </c>
      <c r="D245" s="4" t="s">
        <v>424</v>
      </c>
      <c r="E245" s="4" t="s">
        <v>425</v>
      </c>
      <c r="F245" s="4" t="s">
        <v>224</v>
      </c>
      <c r="G245" s="4" t="s">
        <v>432</v>
      </c>
      <c r="H245" s="4" t="s">
        <v>433</v>
      </c>
      <c r="I245" s="9">
        <v>42843</v>
      </c>
      <c r="J245" s="11">
        <v>360</v>
      </c>
      <c r="K245" s="4" t="s">
        <v>54</v>
      </c>
      <c r="L245" s="11">
        <v>10.91</v>
      </c>
      <c r="M245" s="11">
        <v>3927.6</v>
      </c>
      <c r="N245" s="4" t="s">
        <v>8</v>
      </c>
      <c r="O245" s="5">
        <v>5637291669</v>
      </c>
      <c r="P245" s="11" t="e">
        <f ca="1">_xll.AtlasFormulas.AtlasFunctions.AtlasBalance("UAT",DataAreaId,"T.MarkupTrans","Sum|Posted|0","","","","","","","TransRecId|TransTableId|MarkupCode",$O245,"492","TPP")</f>
        <v>#NAME?</v>
      </c>
    </row>
    <row r="246" spans="1:16" x14ac:dyDescent="0.15">
      <c r="A246" s="4" t="s">
        <v>220</v>
      </c>
      <c r="B246" s="4" t="s">
        <v>417</v>
      </c>
      <c r="C246" s="4" t="s">
        <v>82</v>
      </c>
      <c r="D246" s="4" t="s">
        <v>424</v>
      </c>
      <c r="E246" s="4" t="s">
        <v>425</v>
      </c>
      <c r="F246" s="4" t="s">
        <v>224</v>
      </c>
      <c r="G246" s="4" t="s">
        <v>432</v>
      </c>
      <c r="H246" s="4" t="s">
        <v>433</v>
      </c>
      <c r="I246" s="9">
        <v>42843</v>
      </c>
      <c r="J246" s="11">
        <v>20.100000000000001</v>
      </c>
      <c r="K246" s="4" t="s">
        <v>54</v>
      </c>
      <c r="L246" s="11">
        <v>10.91</v>
      </c>
      <c r="M246" s="11">
        <v>219.29000000000002</v>
      </c>
      <c r="N246" s="4" t="s">
        <v>8</v>
      </c>
      <c r="O246" s="5">
        <v>5637291670</v>
      </c>
      <c r="P246" s="11" t="e">
        <f ca="1">_xll.AtlasFormulas.AtlasFunctions.AtlasBalance("UAT",DataAreaId,"T.MarkupTrans","Sum|Posted|0","","","","","","","TransRecId|TransTableId|MarkupCode",$O246,"492","TPP")</f>
        <v>#NAME?</v>
      </c>
    </row>
    <row r="247" spans="1:16" x14ac:dyDescent="0.15">
      <c r="A247" s="4" t="s">
        <v>20</v>
      </c>
      <c r="B247" s="4" t="s">
        <v>849</v>
      </c>
      <c r="C247" s="4" t="s">
        <v>272</v>
      </c>
      <c r="D247" s="4" t="s">
        <v>866</v>
      </c>
      <c r="E247" s="4" t="s">
        <v>867</v>
      </c>
      <c r="F247" s="4" t="s">
        <v>728</v>
      </c>
      <c r="G247" s="4" t="s">
        <v>432</v>
      </c>
      <c r="H247" s="4" t="s">
        <v>433</v>
      </c>
      <c r="I247" s="9">
        <v>42922</v>
      </c>
      <c r="J247" s="11">
        <v>1410</v>
      </c>
      <c r="K247" s="4" t="s">
        <v>54</v>
      </c>
      <c r="L247" s="11">
        <v>11.21</v>
      </c>
      <c r="M247" s="11">
        <v>15806.1</v>
      </c>
      <c r="N247" s="4" t="s">
        <v>8</v>
      </c>
      <c r="O247" s="5">
        <v>5637293435</v>
      </c>
      <c r="P247" s="11" t="e">
        <f ca="1">_xll.AtlasFormulas.AtlasFunctions.AtlasBalance("UAT",DataAreaId,"T.MarkupTrans","Sum|Posted|0","","","","","","","TransRecId|TransTableId|MarkupCode",$O247,"492","TPP")</f>
        <v>#NAME?</v>
      </c>
    </row>
    <row r="248" spans="1:16" x14ac:dyDescent="0.15">
      <c r="A248" s="4" t="s">
        <v>220</v>
      </c>
      <c r="B248" s="4" t="s">
        <v>417</v>
      </c>
      <c r="C248" s="4" t="s">
        <v>82</v>
      </c>
      <c r="D248" s="4" t="s">
        <v>434</v>
      </c>
      <c r="E248" s="4" t="s">
        <v>435</v>
      </c>
      <c r="F248" s="4" t="s">
        <v>224</v>
      </c>
      <c r="G248" s="4" t="s">
        <v>432</v>
      </c>
      <c r="H248" s="4" t="s">
        <v>433</v>
      </c>
      <c r="I248" s="9">
        <v>42929</v>
      </c>
      <c r="J248" s="11">
        <v>1410</v>
      </c>
      <c r="K248" s="4" t="s">
        <v>54</v>
      </c>
      <c r="L248" s="11">
        <v>11.21</v>
      </c>
      <c r="M248" s="11">
        <v>15806.1</v>
      </c>
      <c r="N248" s="4" t="s">
        <v>8</v>
      </c>
      <c r="O248" s="5">
        <v>5637293476</v>
      </c>
      <c r="P248" s="11" t="e">
        <f ca="1">_xll.AtlasFormulas.AtlasFunctions.AtlasBalance("UAT",DataAreaId,"T.MarkupTrans","Sum|Posted|0","","","","","","","TransRecId|TransTableId|MarkupCode",$O248,"492","TPP")</f>
        <v>#NAME?</v>
      </c>
    </row>
    <row r="249" spans="1:16" x14ac:dyDescent="0.15">
      <c r="A249" s="4" t="s">
        <v>220</v>
      </c>
      <c r="B249" s="4" t="s">
        <v>417</v>
      </c>
      <c r="C249" s="4" t="s">
        <v>82</v>
      </c>
      <c r="D249" s="4" t="s">
        <v>436</v>
      </c>
      <c r="E249" s="4" t="s">
        <v>437</v>
      </c>
      <c r="F249" s="4" t="s">
        <v>224</v>
      </c>
      <c r="G249" s="4" t="s">
        <v>432</v>
      </c>
      <c r="H249" s="4" t="s">
        <v>433</v>
      </c>
      <c r="I249" s="9">
        <v>42940</v>
      </c>
      <c r="J249" s="11">
        <v>-60</v>
      </c>
      <c r="K249" s="4" t="s">
        <v>54</v>
      </c>
      <c r="L249" s="11">
        <v>11.21</v>
      </c>
      <c r="M249" s="11">
        <v>-672.6</v>
      </c>
      <c r="N249" s="4" t="s">
        <v>8</v>
      </c>
      <c r="O249" s="5">
        <v>5637293504</v>
      </c>
      <c r="P249" s="11" t="e">
        <f ca="1">_xll.AtlasFormulas.AtlasFunctions.AtlasBalance("UAT",DataAreaId,"T.MarkupTrans","Sum|Posted|0","","","","","","","TransRecId|TransTableId|MarkupCode",$O249,"492","TPP")</f>
        <v>#NAME?</v>
      </c>
    </row>
    <row r="250" spans="1:16" x14ac:dyDescent="0.15">
      <c r="A250" s="4" t="s">
        <v>220</v>
      </c>
      <c r="B250" s="4" t="s">
        <v>417</v>
      </c>
      <c r="C250" s="4" t="s">
        <v>82</v>
      </c>
      <c r="D250" s="4" t="s">
        <v>438</v>
      </c>
      <c r="E250" s="4" t="s">
        <v>439</v>
      </c>
      <c r="F250" s="4" t="s">
        <v>224</v>
      </c>
      <c r="G250" s="4" t="s">
        <v>432</v>
      </c>
      <c r="H250" s="4" t="s">
        <v>433</v>
      </c>
      <c r="I250" s="9">
        <v>42940</v>
      </c>
      <c r="J250" s="11">
        <v>60</v>
      </c>
      <c r="K250" s="4" t="s">
        <v>54</v>
      </c>
      <c r="L250" s="11">
        <v>11.21</v>
      </c>
      <c r="M250" s="11">
        <v>672.6</v>
      </c>
      <c r="N250" s="4" t="s">
        <v>8</v>
      </c>
      <c r="O250" s="5">
        <v>5637293506</v>
      </c>
      <c r="P250" s="11" t="e">
        <f ca="1">_xll.AtlasFormulas.AtlasFunctions.AtlasBalance("UAT",DataAreaId,"T.MarkupTrans","Sum|Posted|0","","","","","","","TransRecId|TransTableId|MarkupCode",$O250,"492","TPP")</f>
        <v>#NAME?</v>
      </c>
    </row>
    <row r="251" spans="1:16" x14ac:dyDescent="0.15">
      <c r="A251" s="4" t="s">
        <v>20</v>
      </c>
      <c r="B251" s="4" t="s">
        <v>849</v>
      </c>
      <c r="C251" s="4" t="s">
        <v>272</v>
      </c>
      <c r="D251" s="4" t="s">
        <v>868</v>
      </c>
      <c r="E251" s="4" t="s">
        <v>869</v>
      </c>
      <c r="F251" s="4" t="s">
        <v>728</v>
      </c>
      <c r="G251" s="4" t="s">
        <v>432</v>
      </c>
      <c r="H251" s="4" t="s">
        <v>433</v>
      </c>
      <c r="I251" s="9">
        <v>42940</v>
      </c>
      <c r="J251" s="11">
        <v>60</v>
      </c>
      <c r="K251" s="4" t="s">
        <v>54</v>
      </c>
      <c r="L251" s="11">
        <v>11.21</v>
      </c>
      <c r="M251" s="11">
        <v>672.6</v>
      </c>
      <c r="N251" s="4" t="s">
        <v>8</v>
      </c>
      <c r="O251" s="5">
        <v>5637293523</v>
      </c>
      <c r="P251" s="11" t="e">
        <f ca="1">_xll.AtlasFormulas.AtlasFunctions.AtlasBalance("UAT",DataAreaId,"T.MarkupTrans","Sum|Posted|0","","","","","","","TransRecId|TransTableId|MarkupCode",$O251,"492","TPP")</f>
        <v>#NAME?</v>
      </c>
    </row>
    <row r="252" spans="1:16" x14ac:dyDescent="0.15">
      <c r="A252" s="4" t="s">
        <v>20</v>
      </c>
      <c r="B252" s="4" t="s">
        <v>849</v>
      </c>
      <c r="C252" s="4" t="s">
        <v>272</v>
      </c>
      <c r="D252" s="4" t="s">
        <v>870</v>
      </c>
      <c r="E252" s="4" t="s">
        <v>871</v>
      </c>
      <c r="F252" s="4" t="s">
        <v>728</v>
      </c>
      <c r="G252" s="4" t="s">
        <v>432</v>
      </c>
      <c r="H252" s="4" t="s">
        <v>433</v>
      </c>
      <c r="I252" s="9">
        <v>42940</v>
      </c>
      <c r="J252" s="11">
        <v>-60</v>
      </c>
      <c r="K252" s="4" t="s">
        <v>54</v>
      </c>
      <c r="L252" s="11">
        <v>11.21</v>
      </c>
      <c r="M252" s="11">
        <v>-672.6</v>
      </c>
      <c r="N252" s="4" t="s">
        <v>8</v>
      </c>
      <c r="O252" s="5">
        <v>5637293524</v>
      </c>
      <c r="P252" s="11" t="e">
        <f ca="1">_xll.AtlasFormulas.AtlasFunctions.AtlasBalance("UAT",DataAreaId,"T.MarkupTrans","Sum|Posted|0","","","","","","","TransRecId|TransTableId|MarkupCode",$O252,"492","TPP")</f>
        <v>#NAME?</v>
      </c>
    </row>
    <row r="253" spans="1:16" x14ac:dyDescent="0.15">
      <c r="A253" s="4" t="s">
        <v>20</v>
      </c>
      <c r="B253" s="4" t="s">
        <v>747</v>
      </c>
      <c r="C253" s="4" t="s">
        <v>272</v>
      </c>
      <c r="D253" s="4" t="s">
        <v>847</v>
      </c>
      <c r="E253" s="4" t="s">
        <v>848</v>
      </c>
      <c r="F253" s="4" t="s">
        <v>728</v>
      </c>
      <c r="G253" s="4" t="s">
        <v>119</v>
      </c>
      <c r="H253" s="4" t="s">
        <v>120</v>
      </c>
      <c r="I253" s="9">
        <v>42824</v>
      </c>
      <c r="J253" s="11">
        <v>30</v>
      </c>
      <c r="K253" s="4" t="s">
        <v>54</v>
      </c>
      <c r="L253" s="11">
        <v>29.75</v>
      </c>
      <c r="M253" s="11">
        <v>892.5</v>
      </c>
      <c r="N253" s="4" t="s">
        <v>8</v>
      </c>
      <c r="O253" s="5">
        <v>5637291289</v>
      </c>
      <c r="P253" s="11" t="e">
        <f ca="1">_xll.AtlasFormulas.AtlasFunctions.AtlasBalance("UAT",DataAreaId,"T.MarkupTrans","Sum|Posted|0","","","","","","","TransRecId|TransTableId|MarkupCode",$O253,"492","TPP")</f>
        <v>#NAME?</v>
      </c>
    </row>
    <row r="254" spans="1:16" x14ac:dyDescent="0.15">
      <c r="A254" s="4" t="s">
        <v>110</v>
      </c>
      <c r="B254" s="4" t="s">
        <v>111</v>
      </c>
      <c r="C254" s="4" t="s">
        <v>82</v>
      </c>
      <c r="D254" s="4" t="s">
        <v>115</v>
      </c>
      <c r="E254" s="4" t="s">
        <v>116</v>
      </c>
      <c r="F254" s="4" t="s">
        <v>114</v>
      </c>
      <c r="G254" s="4" t="s">
        <v>119</v>
      </c>
      <c r="H254" s="4" t="s">
        <v>120</v>
      </c>
      <c r="I254" s="9">
        <v>42824</v>
      </c>
      <c r="J254" s="11">
        <v>30</v>
      </c>
      <c r="K254" s="4" t="s">
        <v>54</v>
      </c>
      <c r="L254" s="11">
        <v>29.75</v>
      </c>
      <c r="M254" s="11">
        <v>892.5</v>
      </c>
      <c r="N254" s="4" t="s">
        <v>8</v>
      </c>
      <c r="O254" s="5">
        <v>5637291300</v>
      </c>
      <c r="P254" s="11" t="e">
        <f ca="1">_xll.AtlasFormulas.AtlasFunctions.AtlasBalance("UAT",DataAreaId,"T.MarkupTrans","Sum|Posted|0","","","","","","","TransRecId|TransTableId|MarkupCode",$O254,"492","TPP")</f>
        <v>#NAME?</v>
      </c>
    </row>
    <row r="255" spans="1:16" x14ac:dyDescent="0.15">
      <c r="A255" s="4" t="s">
        <v>249</v>
      </c>
      <c r="B255" s="4" t="s">
        <v>250</v>
      </c>
      <c r="C255" s="4" t="s">
        <v>82</v>
      </c>
      <c r="D255" s="4" t="s">
        <v>440</v>
      </c>
      <c r="E255" s="4" t="s">
        <v>441</v>
      </c>
      <c r="F255" s="4" t="s">
        <v>80</v>
      </c>
      <c r="G255" s="4" t="s">
        <v>119</v>
      </c>
      <c r="H255" s="4" t="s">
        <v>120</v>
      </c>
      <c r="I255" s="9">
        <v>42828</v>
      </c>
      <c r="J255" s="11">
        <v>30</v>
      </c>
      <c r="K255" s="4" t="s">
        <v>54</v>
      </c>
      <c r="L255" s="11">
        <v>29.75</v>
      </c>
      <c r="M255" s="11">
        <v>892.5</v>
      </c>
      <c r="N255" s="4" t="s">
        <v>8</v>
      </c>
      <c r="O255" s="5">
        <v>5637291800</v>
      </c>
      <c r="P255" s="11" t="e">
        <f ca="1">_xll.AtlasFormulas.AtlasFunctions.AtlasBalance("UAT",DataAreaId,"T.MarkupTrans","Sum|Posted|0","","","","","","","TransRecId|TransTableId|MarkupCode",$O255,"492","TPP")</f>
        <v>#NAME?</v>
      </c>
    </row>
    <row r="256" spans="1:16" x14ac:dyDescent="0.15">
      <c r="A256" s="4" t="s">
        <v>20</v>
      </c>
      <c r="B256" s="4" t="s">
        <v>752</v>
      </c>
      <c r="C256" s="4" t="s">
        <v>272</v>
      </c>
      <c r="D256" s="4" t="s">
        <v>753</v>
      </c>
      <c r="E256" s="4" t="s">
        <v>754</v>
      </c>
      <c r="F256" s="4" t="s">
        <v>728</v>
      </c>
      <c r="G256" s="4" t="s">
        <v>119</v>
      </c>
      <c r="H256" s="4" t="s">
        <v>120</v>
      </c>
      <c r="I256" s="9">
        <v>42843</v>
      </c>
      <c r="J256" s="11">
        <v>1350</v>
      </c>
      <c r="K256" s="4" t="s">
        <v>54</v>
      </c>
      <c r="L256" s="11">
        <v>29.75</v>
      </c>
      <c r="M256" s="11">
        <v>40162.5</v>
      </c>
      <c r="N256" s="4" t="s">
        <v>8</v>
      </c>
      <c r="O256" s="5">
        <v>5637291721</v>
      </c>
      <c r="P256" s="11" t="e">
        <f ca="1">_xll.AtlasFormulas.AtlasFunctions.AtlasBalance("UAT",DataAreaId,"T.MarkupTrans","Sum|Posted|0","","","","","","","TransRecId|TransTableId|MarkupCode",$O256,"492","TPP")</f>
        <v>#NAME?</v>
      </c>
    </row>
    <row r="257" spans="1:16" x14ac:dyDescent="0.15">
      <c r="A257" s="4" t="s">
        <v>20</v>
      </c>
      <c r="B257" s="4" t="s">
        <v>747</v>
      </c>
      <c r="C257" s="4" t="s">
        <v>272</v>
      </c>
      <c r="D257" s="4" t="s">
        <v>854</v>
      </c>
      <c r="E257" s="4" t="s">
        <v>855</v>
      </c>
      <c r="F257" s="4" t="s">
        <v>728</v>
      </c>
      <c r="G257" s="4" t="s">
        <v>119</v>
      </c>
      <c r="H257" s="4" t="s">
        <v>120</v>
      </c>
      <c r="I257" s="9">
        <v>42891</v>
      </c>
      <c r="J257" s="11">
        <v>75</v>
      </c>
      <c r="K257" s="4" t="s">
        <v>54</v>
      </c>
      <c r="L257" s="11">
        <v>29.75</v>
      </c>
      <c r="M257" s="11">
        <v>2231.25</v>
      </c>
      <c r="N257" s="4" t="s">
        <v>8</v>
      </c>
      <c r="O257" s="5">
        <v>5637292352</v>
      </c>
      <c r="P257" s="11" t="e">
        <f ca="1">_xll.AtlasFormulas.AtlasFunctions.AtlasBalance("UAT",DataAreaId,"T.MarkupTrans","Sum|Posted|0","","","","","","","TransRecId|TransTableId|MarkupCode",$O257,"492","TPP")</f>
        <v>#NAME?</v>
      </c>
    </row>
    <row r="258" spans="1:16" x14ac:dyDescent="0.15">
      <c r="A258" s="4" t="s">
        <v>212</v>
      </c>
      <c r="B258" s="4" t="s">
        <v>213</v>
      </c>
      <c r="C258" s="4" t="s">
        <v>214</v>
      </c>
      <c r="D258" s="4" t="s">
        <v>421</v>
      </c>
      <c r="E258" s="4" t="s">
        <v>422</v>
      </c>
      <c r="F258" s="4" t="s">
        <v>217</v>
      </c>
      <c r="G258" s="4" t="s">
        <v>119</v>
      </c>
      <c r="H258" s="4" t="s">
        <v>120</v>
      </c>
      <c r="I258" s="9">
        <v>42898</v>
      </c>
      <c r="J258" s="11">
        <v>75</v>
      </c>
      <c r="K258" s="4" t="s">
        <v>54</v>
      </c>
      <c r="L258" s="11">
        <v>29.75</v>
      </c>
      <c r="M258" s="11">
        <v>2231.25</v>
      </c>
      <c r="N258" s="4" t="s">
        <v>8</v>
      </c>
      <c r="O258" s="5">
        <v>5637292413</v>
      </c>
      <c r="P258" s="11" t="e">
        <f ca="1">_xll.AtlasFormulas.AtlasFunctions.AtlasBalance("UAT",DataAreaId,"T.MarkupTrans","Sum|Posted|0","","","","","","","TransRecId|TransTableId|MarkupCode",$O258,"492","TPP")</f>
        <v>#NAME?</v>
      </c>
    </row>
    <row r="259" spans="1:16" x14ac:dyDescent="0.15">
      <c r="A259" s="4" t="s">
        <v>20</v>
      </c>
      <c r="B259" s="4" t="s">
        <v>747</v>
      </c>
      <c r="C259" s="4" t="s">
        <v>272</v>
      </c>
      <c r="D259" s="4" t="s">
        <v>860</v>
      </c>
      <c r="E259" s="4" t="s">
        <v>861</v>
      </c>
      <c r="F259" s="4" t="s">
        <v>728</v>
      </c>
      <c r="G259" s="4" t="s">
        <v>119</v>
      </c>
      <c r="H259" s="4" t="s">
        <v>120</v>
      </c>
      <c r="I259" s="9">
        <v>42930</v>
      </c>
      <c r="J259" s="11">
        <v>150</v>
      </c>
      <c r="K259" s="4" t="s">
        <v>54</v>
      </c>
      <c r="L259" s="11">
        <v>30.58</v>
      </c>
      <c r="M259" s="11">
        <v>4587</v>
      </c>
      <c r="N259" s="4" t="s">
        <v>8</v>
      </c>
      <c r="O259" s="5">
        <v>5637293465</v>
      </c>
      <c r="P259" s="11" t="e">
        <f ca="1">_xll.AtlasFormulas.AtlasFunctions.AtlasBalance("UAT",DataAreaId,"T.MarkupTrans","Sum|Posted|0","","","","","","","TransRecId|TransTableId|MarkupCode",$O259,"492","TPP")</f>
        <v>#NAME?</v>
      </c>
    </row>
    <row r="260" spans="1:16" x14ac:dyDescent="0.15">
      <c r="A260" s="4" t="s">
        <v>288</v>
      </c>
      <c r="B260" s="4" t="s">
        <v>289</v>
      </c>
      <c r="C260" s="4" t="s">
        <v>82</v>
      </c>
      <c r="D260" s="4" t="s">
        <v>430</v>
      </c>
      <c r="E260" s="4" t="s">
        <v>431</v>
      </c>
      <c r="F260" s="4" t="s">
        <v>292</v>
      </c>
      <c r="G260" s="4" t="s">
        <v>119</v>
      </c>
      <c r="H260" s="4" t="s">
        <v>120</v>
      </c>
      <c r="I260" s="9">
        <v>42947</v>
      </c>
      <c r="J260" s="11">
        <v>150</v>
      </c>
      <c r="K260" s="4" t="s">
        <v>54</v>
      </c>
      <c r="L260" s="11">
        <v>30.58</v>
      </c>
      <c r="M260" s="11">
        <v>4587</v>
      </c>
      <c r="N260" s="4" t="s">
        <v>8</v>
      </c>
      <c r="O260" s="5">
        <v>5637294410</v>
      </c>
      <c r="P260" s="11" t="e">
        <f ca="1">_xll.AtlasFormulas.AtlasFunctions.AtlasBalance("UAT",DataAreaId,"T.MarkupTrans","Sum|Posted|0","","","","","","","TransRecId|TransTableId|MarkupCode",$O260,"492","TPP")</f>
        <v>#NAME?</v>
      </c>
    </row>
    <row r="261" spans="1:16" x14ac:dyDescent="0.15">
      <c r="A261" s="4" t="s">
        <v>212</v>
      </c>
      <c r="B261" s="4" t="s">
        <v>442</v>
      </c>
      <c r="C261" s="4" t="s">
        <v>443</v>
      </c>
      <c r="D261" s="4" t="s">
        <v>229</v>
      </c>
      <c r="E261" s="4" t="s">
        <v>444</v>
      </c>
      <c r="F261" s="4" t="s">
        <v>217</v>
      </c>
      <c r="G261" s="4" t="s">
        <v>445</v>
      </c>
      <c r="H261" s="4" t="s">
        <v>446</v>
      </c>
      <c r="I261" s="9">
        <v>42855</v>
      </c>
      <c r="J261" s="11">
        <v>200</v>
      </c>
      <c r="K261" s="4" t="s">
        <v>55</v>
      </c>
      <c r="L261" s="11">
        <v>94.931600000000003</v>
      </c>
      <c r="M261" s="11">
        <v>18986.32</v>
      </c>
      <c r="N261" s="4" t="s">
        <v>8</v>
      </c>
      <c r="O261" s="5">
        <v>5637291464</v>
      </c>
      <c r="P261" s="11" t="e">
        <f ca="1">_xll.AtlasFormulas.AtlasFunctions.AtlasBalance("UAT",DataAreaId,"T.MarkupTrans","Sum|Posted|0","","","","","","","TransRecId|TransTableId|MarkupCode",$O261,"492","TPP")</f>
        <v>#NAME?</v>
      </c>
    </row>
    <row r="262" spans="1:16" x14ac:dyDescent="0.15">
      <c r="A262" s="4" t="s">
        <v>212</v>
      </c>
      <c r="B262" s="4" t="s">
        <v>442</v>
      </c>
      <c r="C262" s="4" t="s">
        <v>443</v>
      </c>
      <c r="D262" s="4" t="s">
        <v>447</v>
      </c>
      <c r="E262" s="4" t="s">
        <v>448</v>
      </c>
      <c r="F262" s="4" t="s">
        <v>217</v>
      </c>
      <c r="G262" s="4" t="s">
        <v>445</v>
      </c>
      <c r="H262" s="4" t="s">
        <v>446</v>
      </c>
      <c r="I262" s="9">
        <v>42870</v>
      </c>
      <c r="J262" s="11">
        <v>-33</v>
      </c>
      <c r="K262" s="4" t="s">
        <v>55</v>
      </c>
      <c r="L262" s="11">
        <v>110.57570000000001</v>
      </c>
      <c r="M262" s="11">
        <v>-3649</v>
      </c>
      <c r="N262" s="4" t="s">
        <v>8</v>
      </c>
      <c r="O262" s="5">
        <v>5637291472</v>
      </c>
      <c r="P262" s="11" t="e">
        <f ca="1">_xll.AtlasFormulas.AtlasFunctions.AtlasBalance("UAT",DataAreaId,"T.MarkupTrans","Sum|Posted|0","","","","","","","TransRecId|TransTableId|MarkupCode",$O262,"492","TPP")</f>
        <v>#NAME?</v>
      </c>
    </row>
    <row r="263" spans="1:16" x14ac:dyDescent="0.15">
      <c r="A263" s="4" t="s">
        <v>249</v>
      </c>
      <c r="B263" s="4" t="s">
        <v>449</v>
      </c>
      <c r="C263" s="4" t="s">
        <v>450</v>
      </c>
      <c r="D263" s="4" t="s">
        <v>451</v>
      </c>
      <c r="E263" s="4" t="s">
        <v>452</v>
      </c>
      <c r="F263" s="4" t="s">
        <v>80</v>
      </c>
      <c r="G263" s="4" t="s">
        <v>453</v>
      </c>
      <c r="H263" s="4" t="s">
        <v>454</v>
      </c>
      <c r="I263" s="9">
        <v>42879</v>
      </c>
      <c r="J263" s="11">
        <v>70</v>
      </c>
      <c r="K263" s="4" t="s">
        <v>55</v>
      </c>
      <c r="L263" s="11">
        <v>0</v>
      </c>
      <c r="M263" s="11">
        <v>7394.48</v>
      </c>
      <c r="N263" s="4" t="s">
        <v>8</v>
      </c>
      <c r="O263" s="5">
        <v>5637292186</v>
      </c>
      <c r="P263" s="11" t="e">
        <f ca="1">_xll.AtlasFormulas.AtlasFunctions.AtlasBalance("UAT",DataAreaId,"T.MarkupTrans","Sum|Posted|0","","","","","","","TransRecId|TransTableId|MarkupCode",$O263,"492","TPP")</f>
        <v>#NAME?</v>
      </c>
    </row>
    <row r="264" spans="1:16" x14ac:dyDescent="0.15">
      <c r="A264" s="4" t="s">
        <v>249</v>
      </c>
      <c r="B264" s="4" t="s">
        <v>449</v>
      </c>
      <c r="C264" s="4" t="s">
        <v>450</v>
      </c>
      <c r="D264" s="4" t="s">
        <v>455</v>
      </c>
      <c r="E264" s="4" t="s">
        <v>456</v>
      </c>
      <c r="F264" s="4" t="s">
        <v>80</v>
      </c>
      <c r="G264" s="4" t="s">
        <v>453</v>
      </c>
      <c r="H264" s="4" t="s">
        <v>454</v>
      </c>
      <c r="I264" s="9">
        <v>42879</v>
      </c>
      <c r="J264" s="11">
        <v>-70</v>
      </c>
      <c r="K264" s="4" t="s">
        <v>55</v>
      </c>
      <c r="L264" s="11">
        <v>0</v>
      </c>
      <c r="M264" s="11">
        <v>-7394.48</v>
      </c>
      <c r="N264" s="4" t="s">
        <v>8</v>
      </c>
      <c r="O264" s="5">
        <v>5637292189</v>
      </c>
      <c r="P264" s="11" t="e">
        <f ca="1">_xll.AtlasFormulas.AtlasFunctions.AtlasBalance("UAT",DataAreaId,"T.MarkupTrans","Sum|Posted|0","","","","","","","TransRecId|TransTableId|MarkupCode",$O264,"492","TPP")</f>
        <v>#NAME?</v>
      </c>
    </row>
    <row r="265" spans="1:16" x14ac:dyDescent="0.15">
      <c r="A265" s="4" t="s">
        <v>249</v>
      </c>
      <c r="B265" s="4" t="s">
        <v>449</v>
      </c>
      <c r="C265" s="4" t="s">
        <v>450</v>
      </c>
      <c r="D265" s="4" t="s">
        <v>345</v>
      </c>
      <c r="E265" s="4" t="s">
        <v>457</v>
      </c>
      <c r="F265" s="4" t="s">
        <v>80</v>
      </c>
      <c r="G265" s="4" t="s">
        <v>453</v>
      </c>
      <c r="H265" s="4" t="s">
        <v>454</v>
      </c>
      <c r="I265" s="9">
        <v>42879</v>
      </c>
      <c r="J265" s="11">
        <v>70</v>
      </c>
      <c r="K265" s="4" t="s">
        <v>55</v>
      </c>
      <c r="L265" s="11">
        <v>0</v>
      </c>
      <c r="M265" s="11">
        <v>6614.91</v>
      </c>
      <c r="N265" s="4" t="s">
        <v>8</v>
      </c>
      <c r="O265" s="5">
        <v>5637292192</v>
      </c>
      <c r="P265" s="11" t="e">
        <f ca="1">_xll.AtlasFormulas.AtlasFunctions.AtlasBalance("UAT",DataAreaId,"T.MarkupTrans","Sum|Posted|0","","","","","","","TransRecId|TransTableId|MarkupCode",$O265,"492","TPP")</f>
        <v>#NAME?</v>
      </c>
    </row>
    <row r="266" spans="1:16" x14ac:dyDescent="0.15">
      <c r="A266" s="4" t="s">
        <v>212</v>
      </c>
      <c r="B266" s="4" t="s">
        <v>442</v>
      </c>
      <c r="C266" s="4" t="s">
        <v>443</v>
      </c>
      <c r="D266" s="4" t="s">
        <v>394</v>
      </c>
      <c r="E266" s="4" t="s">
        <v>458</v>
      </c>
      <c r="F266" s="4" t="s">
        <v>217</v>
      </c>
      <c r="G266" s="4" t="s">
        <v>459</v>
      </c>
      <c r="H266" s="4" t="s">
        <v>460</v>
      </c>
      <c r="I266" s="9">
        <v>42870</v>
      </c>
      <c r="J266" s="11">
        <v>70</v>
      </c>
      <c r="K266" s="4" t="s">
        <v>55</v>
      </c>
      <c r="L266" s="11">
        <v>111.40150000000001</v>
      </c>
      <c r="M266" s="11">
        <v>7798.11</v>
      </c>
      <c r="N266" s="4" t="s">
        <v>8</v>
      </c>
      <c r="O266" s="5">
        <v>5637291469</v>
      </c>
      <c r="P266" s="11" t="e">
        <f ca="1">_xll.AtlasFormulas.AtlasFunctions.AtlasBalance("UAT",DataAreaId,"T.MarkupTrans","Sum|Posted|0","","","","","","","TransRecId|TransTableId|MarkupCode",$O266,"492","TPP")</f>
        <v>#NAME?</v>
      </c>
    </row>
    <row r="267" spans="1:16" x14ac:dyDescent="0.15">
      <c r="A267" s="4" t="s">
        <v>249</v>
      </c>
      <c r="B267" s="4" t="s">
        <v>449</v>
      </c>
      <c r="C267" s="4" t="s">
        <v>450</v>
      </c>
      <c r="D267" s="4" t="s">
        <v>345</v>
      </c>
      <c r="E267" s="4" t="s">
        <v>457</v>
      </c>
      <c r="F267" s="4" t="s">
        <v>80</v>
      </c>
      <c r="G267" s="4" t="s">
        <v>461</v>
      </c>
      <c r="H267" s="4" t="s">
        <v>462</v>
      </c>
      <c r="I267" s="9">
        <v>42879</v>
      </c>
      <c r="J267" s="11">
        <v>35</v>
      </c>
      <c r="K267" s="4" t="s">
        <v>55</v>
      </c>
      <c r="L267" s="11">
        <v>0</v>
      </c>
      <c r="M267" s="11">
        <v>4785.84</v>
      </c>
      <c r="N267" s="4" t="s">
        <v>8</v>
      </c>
      <c r="O267" s="5">
        <v>5637292193</v>
      </c>
      <c r="P267" s="11" t="e">
        <f ca="1">_xll.AtlasFormulas.AtlasFunctions.AtlasBalance("UAT",DataAreaId,"T.MarkupTrans","Sum|Posted|0","","","","","","","TransRecId|TransTableId|MarkupCode",$O267,"492","TPP")</f>
        <v>#NAME?</v>
      </c>
    </row>
    <row r="268" spans="1:16" x14ac:dyDescent="0.15">
      <c r="A268" s="4" t="s">
        <v>249</v>
      </c>
      <c r="B268" s="4" t="s">
        <v>449</v>
      </c>
      <c r="C268" s="4" t="s">
        <v>450</v>
      </c>
      <c r="D268" s="4" t="s">
        <v>455</v>
      </c>
      <c r="E268" s="4" t="s">
        <v>456</v>
      </c>
      <c r="F268" s="4" t="s">
        <v>80</v>
      </c>
      <c r="G268" s="4" t="s">
        <v>461</v>
      </c>
      <c r="H268" s="4" t="s">
        <v>462</v>
      </c>
      <c r="I268" s="9">
        <v>42879</v>
      </c>
      <c r="J268" s="11">
        <v>-35</v>
      </c>
      <c r="K268" s="4" t="s">
        <v>55</v>
      </c>
      <c r="L268" s="11">
        <v>0</v>
      </c>
      <c r="M268" s="11">
        <v>-5349.85</v>
      </c>
      <c r="N268" s="4" t="s">
        <v>8</v>
      </c>
      <c r="O268" s="5">
        <v>5637292190</v>
      </c>
      <c r="P268" s="11" t="e">
        <f ca="1">_xll.AtlasFormulas.AtlasFunctions.AtlasBalance("UAT",DataAreaId,"T.MarkupTrans","Sum|Posted|0","","","","","","","TransRecId|TransTableId|MarkupCode",$O268,"492","TPP")</f>
        <v>#NAME?</v>
      </c>
    </row>
    <row r="269" spans="1:16" x14ac:dyDescent="0.15">
      <c r="A269" s="4" t="s">
        <v>249</v>
      </c>
      <c r="B269" s="4" t="s">
        <v>449</v>
      </c>
      <c r="C269" s="4" t="s">
        <v>450</v>
      </c>
      <c r="D269" s="4" t="s">
        <v>451</v>
      </c>
      <c r="E269" s="4" t="s">
        <v>452</v>
      </c>
      <c r="F269" s="4" t="s">
        <v>80</v>
      </c>
      <c r="G269" s="4" t="s">
        <v>461</v>
      </c>
      <c r="H269" s="4" t="s">
        <v>462</v>
      </c>
      <c r="I269" s="9">
        <v>42879</v>
      </c>
      <c r="J269" s="11">
        <v>35</v>
      </c>
      <c r="K269" s="4" t="s">
        <v>55</v>
      </c>
      <c r="L269" s="11">
        <v>0</v>
      </c>
      <c r="M269" s="11">
        <v>5349.85</v>
      </c>
      <c r="N269" s="4" t="s">
        <v>8</v>
      </c>
      <c r="O269" s="5">
        <v>5637292187</v>
      </c>
      <c r="P269" s="11" t="e">
        <f ca="1">_xll.AtlasFormulas.AtlasFunctions.AtlasBalance("UAT",DataAreaId,"T.MarkupTrans","Sum|Posted|0","","","","","","","TransRecId|TransTableId|MarkupCode",$O269,"492","TPP")</f>
        <v>#NAME?</v>
      </c>
    </row>
    <row r="270" spans="1:16" x14ac:dyDescent="0.15">
      <c r="A270" s="4" t="s">
        <v>212</v>
      </c>
      <c r="B270" s="4" t="s">
        <v>442</v>
      </c>
      <c r="C270" s="4" t="s">
        <v>443</v>
      </c>
      <c r="D270" s="4" t="s">
        <v>394</v>
      </c>
      <c r="E270" s="4" t="s">
        <v>458</v>
      </c>
      <c r="F270" s="4" t="s">
        <v>217</v>
      </c>
      <c r="G270" s="4" t="s">
        <v>463</v>
      </c>
      <c r="H270" s="4" t="s">
        <v>464</v>
      </c>
      <c r="I270" s="9">
        <v>42870</v>
      </c>
      <c r="J270" s="11">
        <v>35</v>
      </c>
      <c r="K270" s="4" t="s">
        <v>55</v>
      </c>
      <c r="L270" s="11">
        <v>151.9254</v>
      </c>
      <c r="M270" s="11">
        <v>5317.39</v>
      </c>
      <c r="N270" s="4" t="s">
        <v>8</v>
      </c>
      <c r="O270" s="5">
        <v>5637291470</v>
      </c>
      <c r="P270" s="11" t="e">
        <f ca="1">_xll.AtlasFormulas.AtlasFunctions.AtlasBalance("UAT",DataAreaId,"T.MarkupTrans","Sum|Posted|0","","","","","","","TransRecId|TransTableId|MarkupCode",$O270,"492","TPP")</f>
        <v>#NAME?</v>
      </c>
    </row>
    <row r="271" spans="1:16" x14ac:dyDescent="0.15">
      <c r="A271" s="4" t="s">
        <v>249</v>
      </c>
      <c r="B271" s="4" t="s">
        <v>449</v>
      </c>
      <c r="C271" s="4" t="s">
        <v>450</v>
      </c>
      <c r="D271" s="4" t="s">
        <v>451</v>
      </c>
      <c r="E271" s="4" t="s">
        <v>452</v>
      </c>
      <c r="F271" s="4" t="s">
        <v>80</v>
      </c>
      <c r="G271" s="4" t="s">
        <v>465</v>
      </c>
      <c r="H271" s="4" t="s">
        <v>466</v>
      </c>
      <c r="I271" s="9">
        <v>42879</v>
      </c>
      <c r="J271" s="11">
        <v>521</v>
      </c>
      <c r="K271" s="4" t="s">
        <v>55</v>
      </c>
      <c r="L271" s="11">
        <v>0</v>
      </c>
      <c r="M271" s="11">
        <v>4138.3</v>
      </c>
      <c r="N271" s="4" t="s">
        <v>8</v>
      </c>
      <c r="O271" s="5">
        <v>5637292188</v>
      </c>
      <c r="P271" s="11" t="e">
        <f ca="1">_xll.AtlasFormulas.AtlasFunctions.AtlasBalance("UAT",DataAreaId,"T.MarkupTrans","Sum|Posted|0","","","","","","","TransRecId|TransTableId|MarkupCode",$O271,"492","TPP")</f>
        <v>#NAME?</v>
      </c>
    </row>
    <row r="272" spans="1:16" x14ac:dyDescent="0.15">
      <c r="A272" s="4" t="s">
        <v>249</v>
      </c>
      <c r="B272" s="4" t="s">
        <v>449</v>
      </c>
      <c r="C272" s="4" t="s">
        <v>450</v>
      </c>
      <c r="D272" s="4" t="s">
        <v>455</v>
      </c>
      <c r="E272" s="4" t="s">
        <v>456</v>
      </c>
      <c r="F272" s="4" t="s">
        <v>80</v>
      </c>
      <c r="G272" s="4" t="s">
        <v>465</v>
      </c>
      <c r="H272" s="4" t="s">
        <v>466</v>
      </c>
      <c r="I272" s="9">
        <v>42879</v>
      </c>
      <c r="J272" s="11">
        <v>-521</v>
      </c>
      <c r="K272" s="4" t="s">
        <v>55</v>
      </c>
      <c r="L272" s="11">
        <v>0</v>
      </c>
      <c r="M272" s="11">
        <v>-4138.3</v>
      </c>
      <c r="N272" s="4" t="s">
        <v>8</v>
      </c>
      <c r="O272" s="5">
        <v>5637292191</v>
      </c>
      <c r="P272" s="11" t="e">
        <f ca="1">_xll.AtlasFormulas.AtlasFunctions.AtlasBalance("UAT",DataAreaId,"T.MarkupTrans","Sum|Posted|0","","","","","","","TransRecId|TransTableId|MarkupCode",$O272,"492","TPP")</f>
        <v>#NAME?</v>
      </c>
    </row>
    <row r="273" spans="1:16" x14ac:dyDescent="0.15">
      <c r="A273" s="4" t="s">
        <v>249</v>
      </c>
      <c r="B273" s="4" t="s">
        <v>449</v>
      </c>
      <c r="C273" s="4" t="s">
        <v>450</v>
      </c>
      <c r="D273" s="4" t="s">
        <v>345</v>
      </c>
      <c r="E273" s="4" t="s">
        <v>457</v>
      </c>
      <c r="F273" s="4" t="s">
        <v>80</v>
      </c>
      <c r="G273" s="4" t="s">
        <v>465</v>
      </c>
      <c r="H273" s="4" t="s">
        <v>466</v>
      </c>
      <c r="I273" s="9">
        <v>42879</v>
      </c>
      <c r="J273" s="11">
        <v>521</v>
      </c>
      <c r="K273" s="4" t="s">
        <v>55</v>
      </c>
      <c r="L273" s="11">
        <v>0</v>
      </c>
      <c r="M273" s="11">
        <v>3702.02</v>
      </c>
      <c r="N273" s="4" t="s">
        <v>8</v>
      </c>
      <c r="O273" s="5">
        <v>5637292194</v>
      </c>
      <c r="P273" s="11" t="e">
        <f ca="1">_xll.AtlasFormulas.AtlasFunctions.AtlasBalance("UAT",DataAreaId,"T.MarkupTrans","Sum|Posted|0","","","","","","","TransRecId|TransTableId|MarkupCode",$O273,"492","TPP")</f>
        <v>#NAME?</v>
      </c>
    </row>
    <row r="274" spans="1:16" x14ac:dyDescent="0.15">
      <c r="A274" s="4" t="s">
        <v>212</v>
      </c>
      <c r="B274" s="4" t="s">
        <v>442</v>
      </c>
      <c r="C274" s="4" t="s">
        <v>443</v>
      </c>
      <c r="D274" s="4" t="s">
        <v>394</v>
      </c>
      <c r="E274" s="4" t="s">
        <v>458</v>
      </c>
      <c r="F274" s="4" t="s">
        <v>217</v>
      </c>
      <c r="G274" s="4" t="s">
        <v>467</v>
      </c>
      <c r="H274" s="4" t="s">
        <v>468</v>
      </c>
      <c r="I274" s="9">
        <v>42870</v>
      </c>
      <c r="J274" s="11">
        <v>525</v>
      </c>
      <c r="K274" s="4" t="s">
        <v>55</v>
      </c>
      <c r="L274" s="11">
        <v>11.177059999999999</v>
      </c>
      <c r="M274" s="11">
        <v>5867.96</v>
      </c>
      <c r="N274" s="4" t="s">
        <v>8</v>
      </c>
      <c r="O274" s="5">
        <v>5637291471</v>
      </c>
      <c r="P274" s="11" t="e">
        <f ca="1">_xll.AtlasFormulas.AtlasFunctions.AtlasBalance("UAT",DataAreaId,"T.MarkupTrans","Sum|Posted|0","","","","","","","TransRecId|TransTableId|MarkupCode",$O274,"492","TPP")</f>
        <v>#NAME?</v>
      </c>
    </row>
    <row r="275" spans="1:16" x14ac:dyDescent="0.15">
      <c r="A275" s="4" t="s">
        <v>20</v>
      </c>
      <c r="B275" s="4" t="s">
        <v>747</v>
      </c>
      <c r="C275" s="4" t="s">
        <v>272</v>
      </c>
      <c r="D275" s="4" t="s">
        <v>872</v>
      </c>
      <c r="E275" s="4" t="s">
        <v>873</v>
      </c>
      <c r="F275" s="4" t="s">
        <v>728</v>
      </c>
      <c r="G275" s="4" t="s">
        <v>123</v>
      </c>
      <c r="H275" s="4" t="s">
        <v>124</v>
      </c>
      <c r="I275" s="9">
        <v>42782</v>
      </c>
      <c r="J275" s="11">
        <v>3880</v>
      </c>
      <c r="K275" s="4" t="s">
        <v>54</v>
      </c>
      <c r="L275" s="11">
        <v>0.57999999999999996</v>
      </c>
      <c r="M275" s="11">
        <v>2250.4</v>
      </c>
      <c r="N275" s="4" t="s">
        <v>8</v>
      </c>
      <c r="O275" s="5">
        <v>5637289898</v>
      </c>
      <c r="P275" s="11" t="e">
        <f ca="1">_xll.AtlasFormulas.AtlasFunctions.AtlasBalance("UAT",DataAreaId,"T.MarkupTrans","Sum|Posted|0","","","","","","","TransRecId|TransTableId|MarkupCode",$O275,"492","TPP")</f>
        <v>#NAME?</v>
      </c>
    </row>
    <row r="276" spans="1:16" x14ac:dyDescent="0.15">
      <c r="A276" s="4" t="s">
        <v>110</v>
      </c>
      <c r="B276" s="4" t="s">
        <v>111</v>
      </c>
      <c r="C276" s="4" t="s">
        <v>82</v>
      </c>
      <c r="D276" s="4" t="s">
        <v>121</v>
      </c>
      <c r="E276" s="4" t="s">
        <v>122</v>
      </c>
      <c r="F276" s="4" t="s">
        <v>114</v>
      </c>
      <c r="G276" s="4" t="s">
        <v>123</v>
      </c>
      <c r="H276" s="4" t="s">
        <v>124</v>
      </c>
      <c r="I276" s="9">
        <v>42789</v>
      </c>
      <c r="J276" s="11">
        <v>3880</v>
      </c>
      <c r="K276" s="4" t="s">
        <v>54</v>
      </c>
      <c r="L276" s="11">
        <v>0.57999999999999996</v>
      </c>
      <c r="M276" s="11">
        <v>2250.4</v>
      </c>
      <c r="N276" s="4" t="s">
        <v>8</v>
      </c>
      <c r="O276" s="5">
        <v>5637289918</v>
      </c>
      <c r="P276" s="11" t="e">
        <f ca="1">_xll.AtlasFormulas.AtlasFunctions.AtlasBalance("UAT",DataAreaId,"T.MarkupTrans","Sum|Posted|0","","","","","","","TransRecId|TransTableId|MarkupCode",$O276,"492","TPP")</f>
        <v>#NAME?</v>
      </c>
    </row>
    <row r="277" spans="1:16" x14ac:dyDescent="0.15">
      <c r="A277" s="4" t="s">
        <v>20</v>
      </c>
      <c r="B277" s="4" t="s">
        <v>747</v>
      </c>
      <c r="C277" s="4" t="s">
        <v>272</v>
      </c>
      <c r="D277" s="4" t="s">
        <v>790</v>
      </c>
      <c r="E277" s="4" t="s">
        <v>791</v>
      </c>
      <c r="F277" s="4" t="s">
        <v>728</v>
      </c>
      <c r="G277" s="4" t="s">
        <v>123</v>
      </c>
      <c r="H277" s="4" t="s">
        <v>124</v>
      </c>
      <c r="I277" s="9">
        <v>42795</v>
      </c>
      <c r="J277" s="11">
        <v>7760</v>
      </c>
      <c r="K277" s="4" t="s">
        <v>54</v>
      </c>
      <c r="L277" s="11">
        <v>0.6</v>
      </c>
      <c r="M277" s="11">
        <v>4656</v>
      </c>
      <c r="N277" s="4" t="s">
        <v>8</v>
      </c>
      <c r="O277" s="5">
        <v>5637290994</v>
      </c>
      <c r="P277" s="11" t="e">
        <f ca="1">_xll.AtlasFormulas.AtlasFunctions.AtlasBalance("UAT",DataAreaId,"T.MarkupTrans","Sum|Posted|0","","","","","","","TransRecId|TransTableId|MarkupCode",$O277,"492","TPP")</f>
        <v>#NAME?</v>
      </c>
    </row>
    <row r="278" spans="1:16" x14ac:dyDescent="0.15">
      <c r="A278" s="4" t="s">
        <v>20</v>
      </c>
      <c r="B278" s="4" t="s">
        <v>747</v>
      </c>
      <c r="C278" s="4" t="s">
        <v>272</v>
      </c>
      <c r="D278" s="4" t="s">
        <v>748</v>
      </c>
      <c r="E278" s="4" t="s">
        <v>749</v>
      </c>
      <c r="F278" s="4" t="s">
        <v>728</v>
      </c>
      <c r="G278" s="4" t="s">
        <v>123</v>
      </c>
      <c r="H278" s="4" t="s">
        <v>124</v>
      </c>
      <c r="I278" s="9">
        <v>42800</v>
      </c>
      <c r="J278" s="11">
        <v>1940</v>
      </c>
      <c r="K278" s="4" t="s">
        <v>54</v>
      </c>
      <c r="L278" s="11">
        <v>0.6</v>
      </c>
      <c r="M278" s="11">
        <v>1164</v>
      </c>
      <c r="N278" s="4" t="s">
        <v>8</v>
      </c>
      <c r="O278" s="5">
        <v>5637291008</v>
      </c>
      <c r="P278" s="11" t="e">
        <f ca="1">_xll.AtlasFormulas.AtlasFunctions.AtlasBalance("UAT",DataAreaId,"T.MarkupTrans","Sum|Posted|0","","","","","","","TransRecId|TransTableId|MarkupCode",$O278,"492","TPP")</f>
        <v>#NAME?</v>
      </c>
    </row>
    <row r="279" spans="1:16" x14ac:dyDescent="0.15">
      <c r="A279" s="4" t="s">
        <v>227</v>
      </c>
      <c r="B279" s="4" t="s">
        <v>228</v>
      </c>
      <c r="C279" s="4" t="s">
        <v>82</v>
      </c>
      <c r="D279" s="4" t="s">
        <v>322</v>
      </c>
      <c r="E279" s="4" t="s">
        <v>323</v>
      </c>
      <c r="F279" s="4" t="s">
        <v>231</v>
      </c>
      <c r="G279" s="4" t="s">
        <v>123</v>
      </c>
      <c r="H279" s="4" t="s">
        <v>124</v>
      </c>
      <c r="I279" s="9">
        <v>42800</v>
      </c>
      <c r="J279" s="11">
        <v>7760</v>
      </c>
      <c r="K279" s="4" t="s">
        <v>54</v>
      </c>
      <c r="L279" s="11">
        <v>0.6</v>
      </c>
      <c r="M279" s="11">
        <v>4656</v>
      </c>
      <c r="N279" s="4" t="s">
        <v>8</v>
      </c>
      <c r="O279" s="5">
        <v>5637291017</v>
      </c>
      <c r="P279" s="11" t="e">
        <f ca="1">_xll.AtlasFormulas.AtlasFunctions.AtlasBalance("UAT",DataAreaId,"T.MarkupTrans","Sum|Posted|0","","","","","","","TransRecId|TransTableId|MarkupCode",$O279,"492","TPP")</f>
        <v>#NAME?</v>
      </c>
    </row>
    <row r="280" spans="1:16" x14ac:dyDescent="0.15">
      <c r="A280" s="4" t="s">
        <v>227</v>
      </c>
      <c r="B280" s="4" t="s">
        <v>228</v>
      </c>
      <c r="C280" s="4" t="s">
        <v>82</v>
      </c>
      <c r="D280" s="4" t="s">
        <v>282</v>
      </c>
      <c r="E280" s="4" t="s">
        <v>283</v>
      </c>
      <c r="F280" s="4" t="s">
        <v>231</v>
      </c>
      <c r="G280" s="4" t="s">
        <v>123</v>
      </c>
      <c r="H280" s="4" t="s">
        <v>124</v>
      </c>
      <c r="I280" s="9">
        <v>42802</v>
      </c>
      <c r="J280" s="11">
        <v>1940</v>
      </c>
      <c r="K280" s="4" t="s">
        <v>54</v>
      </c>
      <c r="L280" s="11">
        <v>0.6</v>
      </c>
      <c r="M280" s="11">
        <v>1164</v>
      </c>
      <c r="N280" s="4" t="s">
        <v>8</v>
      </c>
      <c r="O280" s="5">
        <v>5637291024</v>
      </c>
      <c r="P280" s="11" t="e">
        <f ca="1">_xll.AtlasFormulas.AtlasFunctions.AtlasBalance("UAT",DataAreaId,"T.MarkupTrans","Sum|Posted|0","","","","","","","TransRecId|TransTableId|MarkupCode",$O280,"492","TPP")</f>
        <v>#NAME?</v>
      </c>
    </row>
    <row r="281" spans="1:16" x14ac:dyDescent="0.15">
      <c r="A281" s="4" t="s">
        <v>20</v>
      </c>
      <c r="B281" s="4" t="s">
        <v>747</v>
      </c>
      <c r="C281" s="4" t="s">
        <v>272</v>
      </c>
      <c r="D281" s="4" t="s">
        <v>874</v>
      </c>
      <c r="E281" s="4" t="s">
        <v>875</v>
      </c>
      <c r="F281" s="4" t="s">
        <v>728</v>
      </c>
      <c r="G281" s="4" t="s">
        <v>123</v>
      </c>
      <c r="H281" s="4" t="s">
        <v>124</v>
      </c>
      <c r="I281" s="9">
        <v>42802</v>
      </c>
      <c r="J281" s="11">
        <v>5820</v>
      </c>
      <c r="K281" s="4" t="s">
        <v>54</v>
      </c>
      <c r="L281" s="11">
        <v>0.6</v>
      </c>
      <c r="M281" s="11">
        <v>3492</v>
      </c>
      <c r="N281" s="4" t="s">
        <v>8</v>
      </c>
      <c r="O281" s="5">
        <v>5637291035</v>
      </c>
      <c r="P281" s="11" t="e">
        <f ca="1">_xll.AtlasFormulas.AtlasFunctions.AtlasBalance("UAT",DataAreaId,"T.MarkupTrans","Sum|Posted|0","","","","","","","TransRecId|TransTableId|MarkupCode",$O281,"492","TPP")</f>
        <v>#NAME?</v>
      </c>
    </row>
    <row r="282" spans="1:16" x14ac:dyDescent="0.15">
      <c r="A282" s="4" t="s">
        <v>20</v>
      </c>
      <c r="B282" s="4" t="s">
        <v>747</v>
      </c>
      <c r="C282" s="4" t="s">
        <v>272</v>
      </c>
      <c r="D282" s="4" t="s">
        <v>829</v>
      </c>
      <c r="E282" s="4" t="s">
        <v>830</v>
      </c>
      <c r="F282" s="4" t="s">
        <v>728</v>
      </c>
      <c r="G282" s="4" t="s">
        <v>123</v>
      </c>
      <c r="H282" s="4" t="s">
        <v>124</v>
      </c>
      <c r="I282" s="9">
        <v>42803</v>
      </c>
      <c r="J282" s="11">
        <v>1940</v>
      </c>
      <c r="K282" s="4" t="s">
        <v>54</v>
      </c>
      <c r="L282" s="11">
        <v>0.6</v>
      </c>
      <c r="M282" s="11">
        <v>1164</v>
      </c>
      <c r="N282" s="4" t="s">
        <v>8</v>
      </c>
      <c r="O282" s="5">
        <v>5637291331</v>
      </c>
      <c r="P282" s="11" t="e">
        <f ca="1">_xll.AtlasFormulas.AtlasFunctions.AtlasBalance("UAT",DataAreaId,"T.MarkupTrans","Sum|Posted|0","","","","","","","TransRecId|TransTableId|MarkupCode",$O282,"492","TPP")</f>
        <v>#NAME?</v>
      </c>
    </row>
    <row r="283" spans="1:16" x14ac:dyDescent="0.15">
      <c r="A283" s="4" t="s">
        <v>20</v>
      </c>
      <c r="B283" s="4" t="s">
        <v>747</v>
      </c>
      <c r="C283" s="4" t="s">
        <v>272</v>
      </c>
      <c r="D283" s="4" t="s">
        <v>782</v>
      </c>
      <c r="E283" s="4" t="s">
        <v>783</v>
      </c>
      <c r="F283" s="4" t="s">
        <v>728</v>
      </c>
      <c r="G283" s="4" t="s">
        <v>123</v>
      </c>
      <c r="H283" s="4" t="s">
        <v>124</v>
      </c>
      <c r="I283" s="9">
        <v>42815</v>
      </c>
      <c r="J283" s="11">
        <v>3880</v>
      </c>
      <c r="K283" s="4" t="s">
        <v>54</v>
      </c>
      <c r="L283" s="11">
        <v>0.6</v>
      </c>
      <c r="M283" s="11">
        <v>2328</v>
      </c>
      <c r="N283" s="4" t="s">
        <v>8</v>
      </c>
      <c r="O283" s="5">
        <v>5637291334</v>
      </c>
      <c r="P283" s="11" t="e">
        <f ca="1">_xll.AtlasFormulas.AtlasFunctions.AtlasBalance("UAT",DataAreaId,"T.MarkupTrans","Sum|Posted|0","","","","","","","TransRecId|TransTableId|MarkupCode",$O283,"492","TPP")</f>
        <v>#NAME?</v>
      </c>
    </row>
    <row r="284" spans="1:16" x14ac:dyDescent="0.15">
      <c r="A284" s="4" t="s">
        <v>249</v>
      </c>
      <c r="B284" s="4" t="s">
        <v>83</v>
      </c>
      <c r="C284" s="4" t="s">
        <v>82</v>
      </c>
      <c r="D284" s="4" t="s">
        <v>469</v>
      </c>
      <c r="E284" s="4" t="s">
        <v>470</v>
      </c>
      <c r="F284" s="4" t="s">
        <v>80</v>
      </c>
      <c r="G284" s="4" t="s">
        <v>123</v>
      </c>
      <c r="H284" s="4" t="s">
        <v>124</v>
      </c>
      <c r="I284" s="9">
        <v>42821</v>
      </c>
      <c r="J284" s="11">
        <v>5820</v>
      </c>
      <c r="K284" s="4" t="s">
        <v>54</v>
      </c>
      <c r="L284" s="11">
        <v>0.6</v>
      </c>
      <c r="M284" s="11">
        <v>3492</v>
      </c>
      <c r="N284" s="4" t="s">
        <v>8</v>
      </c>
      <c r="O284" s="5">
        <v>5637291260</v>
      </c>
      <c r="P284" s="11" t="e">
        <f ca="1">_xll.AtlasFormulas.AtlasFunctions.AtlasBalance("UAT",DataAreaId,"T.MarkupTrans","Sum|Posted|0","","","","","","","TransRecId|TransTableId|MarkupCode",$O284,"492","TPP")</f>
        <v>#NAME?</v>
      </c>
    </row>
    <row r="285" spans="1:16" x14ac:dyDescent="0.15">
      <c r="A285" s="4" t="s">
        <v>288</v>
      </c>
      <c r="B285" s="4" t="s">
        <v>308</v>
      </c>
      <c r="C285" s="4" t="s">
        <v>82</v>
      </c>
      <c r="D285" s="4" t="s">
        <v>309</v>
      </c>
      <c r="E285" s="4" t="s">
        <v>310</v>
      </c>
      <c r="F285" s="4" t="s">
        <v>311</v>
      </c>
      <c r="G285" s="4" t="s">
        <v>123</v>
      </c>
      <c r="H285" s="4" t="s">
        <v>124</v>
      </c>
      <c r="I285" s="9">
        <v>42825</v>
      </c>
      <c r="J285" s="11">
        <v>3880</v>
      </c>
      <c r="K285" s="4" t="s">
        <v>54</v>
      </c>
      <c r="L285" s="11">
        <v>0.6</v>
      </c>
      <c r="M285" s="11">
        <v>2328</v>
      </c>
      <c r="N285" s="4" t="s">
        <v>8</v>
      </c>
      <c r="O285" s="5">
        <v>5637291311</v>
      </c>
      <c r="P285" s="11" t="e">
        <f ca="1">_xll.AtlasFormulas.AtlasFunctions.AtlasBalance("UAT",DataAreaId,"T.MarkupTrans","Sum|Posted|0","","","","","","","TransRecId|TransTableId|MarkupCode",$O285,"492","TPP")</f>
        <v>#NAME?</v>
      </c>
    </row>
    <row r="286" spans="1:16" x14ac:dyDescent="0.15">
      <c r="A286" s="4" t="s">
        <v>227</v>
      </c>
      <c r="B286" s="4" t="s">
        <v>228</v>
      </c>
      <c r="C286" s="4" t="s">
        <v>82</v>
      </c>
      <c r="D286" s="4" t="s">
        <v>397</v>
      </c>
      <c r="E286" s="4" t="s">
        <v>398</v>
      </c>
      <c r="F286" s="4" t="s">
        <v>231</v>
      </c>
      <c r="G286" s="4" t="s">
        <v>123</v>
      </c>
      <c r="H286" s="4" t="s">
        <v>124</v>
      </c>
      <c r="I286" s="9">
        <v>42825</v>
      </c>
      <c r="J286" s="11">
        <v>1940</v>
      </c>
      <c r="K286" s="4" t="s">
        <v>54</v>
      </c>
      <c r="L286" s="11">
        <v>0.6</v>
      </c>
      <c r="M286" s="11">
        <v>1164</v>
      </c>
      <c r="N286" s="4" t="s">
        <v>8</v>
      </c>
      <c r="O286" s="5">
        <v>5637291319</v>
      </c>
      <c r="P286" s="11" t="e">
        <f ca="1">_xll.AtlasFormulas.AtlasFunctions.AtlasBalance("UAT",DataAreaId,"T.MarkupTrans","Sum|Posted|0","","","","","","","TransRecId|TransTableId|MarkupCode",$O286,"492","TPP")</f>
        <v>#NAME?</v>
      </c>
    </row>
    <row r="287" spans="1:16" x14ac:dyDescent="0.15">
      <c r="A287" s="4" t="s">
        <v>20</v>
      </c>
      <c r="B287" s="4" t="s">
        <v>747</v>
      </c>
      <c r="C287" s="4" t="s">
        <v>272</v>
      </c>
      <c r="D287" s="4" t="s">
        <v>750</v>
      </c>
      <c r="E287" s="4" t="s">
        <v>751</v>
      </c>
      <c r="F287" s="4" t="s">
        <v>728</v>
      </c>
      <c r="G287" s="4" t="s">
        <v>123</v>
      </c>
      <c r="H287" s="4" t="s">
        <v>124</v>
      </c>
      <c r="I287" s="9">
        <v>42829</v>
      </c>
      <c r="J287" s="11">
        <v>9700</v>
      </c>
      <c r="K287" s="4" t="s">
        <v>54</v>
      </c>
      <c r="L287" s="11">
        <v>0.6</v>
      </c>
      <c r="M287" s="11">
        <v>5820</v>
      </c>
      <c r="N287" s="4" t="s">
        <v>8</v>
      </c>
      <c r="O287" s="5">
        <v>5637291369</v>
      </c>
      <c r="P287" s="11" t="e">
        <f ca="1">_xll.AtlasFormulas.AtlasFunctions.AtlasBalance("UAT",DataAreaId,"T.MarkupTrans","Sum|Posted|0","","","","","","","TransRecId|TransTableId|MarkupCode",$O287,"492","TPP")</f>
        <v>#NAME?</v>
      </c>
    </row>
    <row r="288" spans="1:16" x14ac:dyDescent="0.15">
      <c r="A288" s="4" t="s">
        <v>20</v>
      </c>
      <c r="B288" s="4" t="s">
        <v>747</v>
      </c>
      <c r="C288" s="4" t="s">
        <v>272</v>
      </c>
      <c r="D288" s="4" t="s">
        <v>876</v>
      </c>
      <c r="E288" s="4" t="s">
        <v>877</v>
      </c>
      <c r="F288" s="4" t="s">
        <v>728</v>
      </c>
      <c r="G288" s="4" t="s">
        <v>123</v>
      </c>
      <c r="H288" s="4" t="s">
        <v>124</v>
      </c>
      <c r="I288" s="9">
        <v>42829</v>
      </c>
      <c r="J288" s="11">
        <v>3880</v>
      </c>
      <c r="K288" s="4" t="s">
        <v>54</v>
      </c>
      <c r="L288" s="11">
        <v>0.6</v>
      </c>
      <c r="M288" s="11">
        <v>2328</v>
      </c>
      <c r="N288" s="4" t="s">
        <v>8</v>
      </c>
      <c r="O288" s="5">
        <v>5637291372</v>
      </c>
      <c r="P288" s="11" t="e">
        <f ca="1">_xll.AtlasFormulas.AtlasFunctions.AtlasBalance("UAT",DataAreaId,"T.MarkupTrans","Sum|Posted|0","","","","","","","TransRecId|TransTableId|MarkupCode",$O288,"492","TPP")</f>
        <v>#NAME?</v>
      </c>
    </row>
    <row r="289" spans="1:16" x14ac:dyDescent="0.15">
      <c r="A289" s="4" t="s">
        <v>20</v>
      </c>
      <c r="B289" s="4" t="s">
        <v>849</v>
      </c>
      <c r="C289" s="4" t="s">
        <v>272</v>
      </c>
      <c r="D289" s="4" t="s">
        <v>858</v>
      </c>
      <c r="E289" s="4" t="s">
        <v>859</v>
      </c>
      <c r="F289" s="4" t="s">
        <v>728</v>
      </c>
      <c r="G289" s="4" t="s">
        <v>123</v>
      </c>
      <c r="H289" s="4" t="s">
        <v>124</v>
      </c>
      <c r="I289" s="9">
        <v>42843</v>
      </c>
      <c r="J289" s="11">
        <v>2667.5</v>
      </c>
      <c r="K289" s="4" t="s">
        <v>54</v>
      </c>
      <c r="L289" s="11">
        <v>0.6</v>
      </c>
      <c r="M289" s="11">
        <v>1600.5</v>
      </c>
      <c r="N289" s="4" t="s">
        <v>8</v>
      </c>
      <c r="O289" s="5">
        <v>5637291732</v>
      </c>
      <c r="P289" s="11" t="e">
        <f ca="1">_xll.AtlasFormulas.AtlasFunctions.AtlasBalance("UAT",DataAreaId,"T.MarkupTrans","Sum|Posted|0","","","","","","","TransRecId|TransTableId|MarkupCode",$O289,"492","TPP")</f>
        <v>#NAME?</v>
      </c>
    </row>
    <row r="290" spans="1:16" x14ac:dyDescent="0.15">
      <c r="A290" s="4" t="s">
        <v>220</v>
      </c>
      <c r="B290" s="4" t="s">
        <v>417</v>
      </c>
      <c r="C290" s="4" t="s">
        <v>82</v>
      </c>
      <c r="D290" s="4" t="s">
        <v>424</v>
      </c>
      <c r="E290" s="4" t="s">
        <v>425</v>
      </c>
      <c r="F290" s="4" t="s">
        <v>224</v>
      </c>
      <c r="G290" s="4" t="s">
        <v>123</v>
      </c>
      <c r="H290" s="4" t="s">
        <v>124</v>
      </c>
      <c r="I290" s="9">
        <v>42843</v>
      </c>
      <c r="J290" s="11">
        <v>2667.5</v>
      </c>
      <c r="K290" s="4" t="s">
        <v>54</v>
      </c>
      <c r="L290" s="11">
        <v>0.6</v>
      </c>
      <c r="M290" s="11">
        <v>1600.5</v>
      </c>
      <c r="N290" s="4" t="s">
        <v>8</v>
      </c>
      <c r="O290" s="5">
        <v>5637291672</v>
      </c>
      <c r="P290" s="11" t="e">
        <f ca="1">_xll.AtlasFormulas.AtlasFunctions.AtlasBalance("UAT",DataAreaId,"T.MarkupTrans","Sum|Posted|0","","","","","","","TransRecId|TransTableId|MarkupCode",$O290,"492","TPP")</f>
        <v>#NAME?</v>
      </c>
    </row>
    <row r="291" spans="1:16" x14ac:dyDescent="0.15">
      <c r="A291" s="4" t="s">
        <v>20</v>
      </c>
      <c r="B291" s="4" t="s">
        <v>747</v>
      </c>
      <c r="C291" s="4" t="s">
        <v>272</v>
      </c>
      <c r="D291" s="4" t="s">
        <v>802</v>
      </c>
      <c r="E291" s="4" t="s">
        <v>803</v>
      </c>
      <c r="F291" s="4" t="s">
        <v>728</v>
      </c>
      <c r="G291" s="4" t="s">
        <v>123</v>
      </c>
      <c r="H291" s="4" t="s">
        <v>124</v>
      </c>
      <c r="I291" s="9">
        <v>42845</v>
      </c>
      <c r="J291" s="11">
        <v>3880</v>
      </c>
      <c r="K291" s="4" t="s">
        <v>54</v>
      </c>
      <c r="L291" s="11">
        <v>0.6</v>
      </c>
      <c r="M291" s="11">
        <v>2328</v>
      </c>
      <c r="N291" s="4" t="s">
        <v>8</v>
      </c>
      <c r="O291" s="5">
        <v>5637291725</v>
      </c>
      <c r="P291" s="11" t="e">
        <f ca="1">_xll.AtlasFormulas.AtlasFunctions.AtlasBalance("UAT",DataAreaId,"T.MarkupTrans","Sum|Posted|0","","","","","","","TransRecId|TransTableId|MarkupCode",$O291,"492","TPP")</f>
        <v>#NAME?</v>
      </c>
    </row>
    <row r="292" spans="1:16" x14ac:dyDescent="0.15">
      <c r="A292" s="4" t="s">
        <v>20</v>
      </c>
      <c r="B292" s="4" t="s">
        <v>747</v>
      </c>
      <c r="C292" s="4" t="s">
        <v>272</v>
      </c>
      <c r="D292" s="4" t="s">
        <v>755</v>
      </c>
      <c r="E292" s="4" t="s">
        <v>756</v>
      </c>
      <c r="F292" s="4" t="s">
        <v>728</v>
      </c>
      <c r="G292" s="4" t="s">
        <v>123</v>
      </c>
      <c r="H292" s="4" t="s">
        <v>124</v>
      </c>
      <c r="I292" s="9">
        <v>42846</v>
      </c>
      <c r="J292" s="11">
        <v>5820</v>
      </c>
      <c r="K292" s="4" t="s">
        <v>54</v>
      </c>
      <c r="L292" s="11">
        <v>0.6</v>
      </c>
      <c r="M292" s="11">
        <v>3492</v>
      </c>
      <c r="N292" s="4" t="s">
        <v>8</v>
      </c>
      <c r="O292" s="5">
        <v>5637291762</v>
      </c>
      <c r="P292" s="11" t="e">
        <f ca="1">_xll.AtlasFormulas.AtlasFunctions.AtlasBalance("UAT",DataAreaId,"T.MarkupTrans","Sum|Posted|0","","","","","","","TransRecId|TransTableId|MarkupCode",$O292,"492","TPP")</f>
        <v>#NAME?</v>
      </c>
    </row>
    <row r="293" spans="1:16" x14ac:dyDescent="0.15">
      <c r="A293" s="4" t="s">
        <v>20</v>
      </c>
      <c r="B293" s="4" t="s">
        <v>752</v>
      </c>
      <c r="C293" s="4" t="s">
        <v>272</v>
      </c>
      <c r="D293" s="4" t="s">
        <v>757</v>
      </c>
      <c r="E293" s="4" t="s">
        <v>758</v>
      </c>
      <c r="F293" s="4" t="s">
        <v>728</v>
      </c>
      <c r="G293" s="4" t="s">
        <v>123</v>
      </c>
      <c r="H293" s="4" t="s">
        <v>124</v>
      </c>
      <c r="I293" s="9">
        <v>42846</v>
      </c>
      <c r="J293" s="11">
        <v>16005</v>
      </c>
      <c r="K293" s="4" t="s">
        <v>54</v>
      </c>
      <c r="L293" s="11">
        <v>0.6</v>
      </c>
      <c r="M293" s="11">
        <v>9603</v>
      </c>
      <c r="N293" s="4" t="s">
        <v>8</v>
      </c>
      <c r="O293" s="5">
        <v>5637291770</v>
      </c>
      <c r="P293" s="11" t="e">
        <f ca="1">_xll.AtlasFormulas.AtlasFunctions.AtlasBalance("UAT",DataAreaId,"T.MarkupTrans","Sum|Posted|0","","","","","","","TransRecId|TransTableId|MarkupCode",$O293,"492","TPP")</f>
        <v>#NAME?</v>
      </c>
    </row>
    <row r="294" spans="1:16" x14ac:dyDescent="0.15">
      <c r="A294" s="4" t="s">
        <v>249</v>
      </c>
      <c r="B294" s="4" t="s">
        <v>83</v>
      </c>
      <c r="C294" s="4" t="s">
        <v>82</v>
      </c>
      <c r="D294" s="4" t="s">
        <v>327</v>
      </c>
      <c r="E294" s="4" t="s">
        <v>352</v>
      </c>
      <c r="F294" s="4" t="s">
        <v>80</v>
      </c>
      <c r="G294" s="4" t="s">
        <v>123</v>
      </c>
      <c r="H294" s="4" t="s">
        <v>124</v>
      </c>
      <c r="I294" s="9">
        <v>42849</v>
      </c>
      <c r="J294" s="11">
        <v>3880</v>
      </c>
      <c r="K294" s="4" t="s">
        <v>54</v>
      </c>
      <c r="L294" s="11">
        <v>0.6</v>
      </c>
      <c r="M294" s="11">
        <v>2328</v>
      </c>
      <c r="N294" s="4" t="s">
        <v>8</v>
      </c>
      <c r="O294" s="5">
        <v>5637291697</v>
      </c>
      <c r="P294" s="11" t="e">
        <f ca="1">_xll.AtlasFormulas.AtlasFunctions.AtlasBalance("UAT",DataAreaId,"T.MarkupTrans","Sum|Posted|0","","","","","","","TransRecId|TransTableId|MarkupCode",$O294,"492","TPP")</f>
        <v>#NAME?</v>
      </c>
    </row>
    <row r="295" spans="1:16" x14ac:dyDescent="0.15">
      <c r="A295" s="4" t="s">
        <v>249</v>
      </c>
      <c r="B295" s="4" t="s">
        <v>83</v>
      </c>
      <c r="C295" s="4" t="s">
        <v>82</v>
      </c>
      <c r="D295" s="4" t="s">
        <v>284</v>
      </c>
      <c r="E295" s="4" t="s">
        <v>285</v>
      </c>
      <c r="F295" s="4" t="s">
        <v>80</v>
      </c>
      <c r="G295" s="4" t="s">
        <v>123</v>
      </c>
      <c r="H295" s="4" t="s">
        <v>124</v>
      </c>
      <c r="I295" s="9">
        <v>42849</v>
      </c>
      <c r="J295" s="11">
        <v>9700</v>
      </c>
      <c r="K295" s="4" t="s">
        <v>54</v>
      </c>
      <c r="L295" s="11">
        <v>0.6</v>
      </c>
      <c r="M295" s="11">
        <v>5820</v>
      </c>
      <c r="N295" s="4" t="s">
        <v>8</v>
      </c>
      <c r="O295" s="5">
        <v>5637291686</v>
      </c>
      <c r="P295" s="11" t="e">
        <f ca="1">_xll.AtlasFormulas.AtlasFunctions.AtlasBalance("UAT",DataAreaId,"T.MarkupTrans","Sum|Posted|0","","","","","","","TransRecId|TransTableId|MarkupCode",$O295,"492","TPP")</f>
        <v>#NAME?</v>
      </c>
    </row>
    <row r="296" spans="1:16" x14ac:dyDescent="0.15">
      <c r="A296" s="4" t="s">
        <v>249</v>
      </c>
      <c r="B296" s="4" t="s">
        <v>83</v>
      </c>
      <c r="C296" s="4" t="s">
        <v>82</v>
      </c>
      <c r="D296" s="4" t="s">
        <v>329</v>
      </c>
      <c r="E296" s="4" t="s">
        <v>471</v>
      </c>
      <c r="F296" s="4" t="s">
        <v>80</v>
      </c>
      <c r="G296" s="4" t="s">
        <v>123</v>
      </c>
      <c r="H296" s="4" t="s">
        <v>124</v>
      </c>
      <c r="I296" s="9">
        <v>42849</v>
      </c>
      <c r="J296" s="11">
        <v>3880</v>
      </c>
      <c r="K296" s="4" t="s">
        <v>54</v>
      </c>
      <c r="L296" s="11">
        <v>0.6</v>
      </c>
      <c r="M296" s="11">
        <v>2328</v>
      </c>
      <c r="N296" s="4" t="s">
        <v>8</v>
      </c>
      <c r="O296" s="5">
        <v>5637291690</v>
      </c>
      <c r="P296" s="11" t="e">
        <f ca="1">_xll.AtlasFormulas.AtlasFunctions.AtlasBalance("UAT",DataAreaId,"T.MarkupTrans","Sum|Posted|0","","","","","","","TransRecId|TransTableId|MarkupCode",$O296,"492","TPP")</f>
        <v>#NAME?</v>
      </c>
    </row>
    <row r="297" spans="1:16" x14ac:dyDescent="0.15">
      <c r="A297" s="4" t="s">
        <v>249</v>
      </c>
      <c r="B297" s="4" t="s">
        <v>83</v>
      </c>
      <c r="C297" s="4" t="s">
        <v>82</v>
      </c>
      <c r="D297" s="4" t="s">
        <v>286</v>
      </c>
      <c r="E297" s="4" t="s">
        <v>287</v>
      </c>
      <c r="F297" s="4" t="s">
        <v>80</v>
      </c>
      <c r="G297" s="4" t="s">
        <v>123</v>
      </c>
      <c r="H297" s="4" t="s">
        <v>124</v>
      </c>
      <c r="I297" s="9">
        <v>42851</v>
      </c>
      <c r="J297" s="11">
        <v>5820</v>
      </c>
      <c r="K297" s="4" t="s">
        <v>54</v>
      </c>
      <c r="L297" s="11">
        <v>0.6</v>
      </c>
      <c r="M297" s="11">
        <v>3492</v>
      </c>
      <c r="N297" s="4" t="s">
        <v>8</v>
      </c>
      <c r="O297" s="5">
        <v>5637291739</v>
      </c>
      <c r="P297" s="11" t="e">
        <f ca="1">_xll.AtlasFormulas.AtlasFunctions.AtlasBalance("UAT",DataAreaId,"T.MarkupTrans","Sum|Posted|0","","","","","","","TransRecId|TransTableId|MarkupCode",$O297,"492","TPP")</f>
        <v>#NAME?</v>
      </c>
    </row>
    <row r="298" spans="1:16" x14ac:dyDescent="0.15">
      <c r="A298" s="4" t="s">
        <v>249</v>
      </c>
      <c r="B298" s="4" t="s">
        <v>83</v>
      </c>
      <c r="C298" s="4" t="s">
        <v>82</v>
      </c>
      <c r="D298" s="4" t="s">
        <v>472</v>
      </c>
      <c r="E298" s="4" t="s">
        <v>473</v>
      </c>
      <c r="F298" s="4" t="s">
        <v>80</v>
      </c>
      <c r="G298" s="4" t="s">
        <v>123</v>
      </c>
      <c r="H298" s="4" t="s">
        <v>124</v>
      </c>
      <c r="I298" s="9">
        <v>42860</v>
      </c>
      <c r="J298" s="11">
        <v>5820</v>
      </c>
      <c r="K298" s="4" t="s">
        <v>54</v>
      </c>
      <c r="L298" s="11">
        <v>0.6</v>
      </c>
      <c r="M298" s="11">
        <v>3492</v>
      </c>
      <c r="N298" s="4" t="s">
        <v>8</v>
      </c>
      <c r="O298" s="5">
        <v>5637292157</v>
      </c>
      <c r="P298" s="11" t="e">
        <f ca="1">_xll.AtlasFormulas.AtlasFunctions.AtlasBalance("UAT",DataAreaId,"T.MarkupTrans","Sum|Posted|0","","","","","","","TransRecId|TransTableId|MarkupCode",$O298,"492","TPP")</f>
        <v>#NAME?</v>
      </c>
    </row>
    <row r="299" spans="1:16" x14ac:dyDescent="0.15">
      <c r="A299" s="4" t="s">
        <v>20</v>
      </c>
      <c r="B299" s="4" t="s">
        <v>747</v>
      </c>
      <c r="C299" s="4" t="s">
        <v>272</v>
      </c>
      <c r="D299" s="4" t="s">
        <v>878</v>
      </c>
      <c r="E299" s="4" t="s">
        <v>879</v>
      </c>
      <c r="F299" s="4" t="s">
        <v>728</v>
      </c>
      <c r="G299" s="4" t="s">
        <v>123</v>
      </c>
      <c r="H299" s="4" t="s">
        <v>124</v>
      </c>
      <c r="I299" s="9">
        <v>42860</v>
      </c>
      <c r="J299" s="11">
        <v>5820</v>
      </c>
      <c r="K299" s="4" t="s">
        <v>54</v>
      </c>
      <c r="L299" s="11">
        <v>0.6</v>
      </c>
      <c r="M299" s="11">
        <v>3492</v>
      </c>
      <c r="N299" s="4" t="s">
        <v>8</v>
      </c>
      <c r="O299" s="5">
        <v>5637291816</v>
      </c>
      <c r="P299" s="11" t="e">
        <f ca="1">_xll.AtlasFormulas.AtlasFunctions.AtlasBalance("UAT",DataAreaId,"T.MarkupTrans","Sum|Posted|0","","","","","","","TransRecId|TransTableId|MarkupCode",$O299,"492","TPP")</f>
        <v>#NAME?</v>
      </c>
    </row>
    <row r="300" spans="1:16" x14ac:dyDescent="0.15">
      <c r="A300" s="4" t="s">
        <v>20</v>
      </c>
      <c r="B300" s="4" t="s">
        <v>747</v>
      </c>
      <c r="C300" s="4" t="s">
        <v>272</v>
      </c>
      <c r="D300" s="4" t="s">
        <v>810</v>
      </c>
      <c r="E300" s="4" t="s">
        <v>811</v>
      </c>
      <c r="F300" s="4" t="s">
        <v>728</v>
      </c>
      <c r="G300" s="4" t="s">
        <v>123</v>
      </c>
      <c r="H300" s="4" t="s">
        <v>124</v>
      </c>
      <c r="I300" s="9">
        <v>42860</v>
      </c>
      <c r="J300" s="11">
        <v>1940</v>
      </c>
      <c r="K300" s="4" t="s">
        <v>54</v>
      </c>
      <c r="L300" s="11">
        <v>0.6</v>
      </c>
      <c r="M300" s="11">
        <v>1164</v>
      </c>
      <c r="N300" s="4" t="s">
        <v>8</v>
      </c>
      <c r="O300" s="5">
        <v>5637291829</v>
      </c>
      <c r="P300" s="11" t="e">
        <f ca="1">_xll.AtlasFormulas.AtlasFunctions.AtlasBalance("UAT",DataAreaId,"T.MarkupTrans","Sum|Posted|0","","","","","","","TransRecId|TransTableId|MarkupCode",$O300,"492","TPP")</f>
        <v>#NAME?</v>
      </c>
    </row>
    <row r="301" spans="1:16" x14ac:dyDescent="0.15">
      <c r="A301" s="4" t="s">
        <v>288</v>
      </c>
      <c r="B301" s="4" t="s">
        <v>308</v>
      </c>
      <c r="C301" s="4" t="s">
        <v>82</v>
      </c>
      <c r="D301" s="4" t="s">
        <v>359</v>
      </c>
      <c r="E301" s="4" t="s">
        <v>360</v>
      </c>
      <c r="F301" s="4" t="s">
        <v>311</v>
      </c>
      <c r="G301" s="4" t="s">
        <v>123</v>
      </c>
      <c r="H301" s="4" t="s">
        <v>124</v>
      </c>
      <c r="I301" s="9">
        <v>42864</v>
      </c>
      <c r="J301" s="11">
        <v>1940</v>
      </c>
      <c r="K301" s="4" t="s">
        <v>54</v>
      </c>
      <c r="L301" s="11">
        <v>0.6</v>
      </c>
      <c r="M301" s="11">
        <v>1164</v>
      </c>
      <c r="N301" s="4" t="s">
        <v>8</v>
      </c>
      <c r="O301" s="5">
        <v>5637291808</v>
      </c>
      <c r="P301" s="11" t="e">
        <f ca="1">_xll.AtlasFormulas.AtlasFunctions.AtlasBalance("UAT",DataAreaId,"T.MarkupTrans","Sum|Posted|0","","","","","","","TransRecId|TransTableId|MarkupCode",$O301,"492","TPP")</f>
        <v>#NAME?</v>
      </c>
    </row>
    <row r="302" spans="1:16" x14ac:dyDescent="0.15">
      <c r="A302" s="4" t="s">
        <v>20</v>
      </c>
      <c r="B302" s="4" t="s">
        <v>747</v>
      </c>
      <c r="C302" s="4" t="s">
        <v>272</v>
      </c>
      <c r="D302" s="4" t="s">
        <v>880</v>
      </c>
      <c r="E302" s="4" t="s">
        <v>881</v>
      </c>
      <c r="F302" s="4" t="s">
        <v>728</v>
      </c>
      <c r="G302" s="4" t="s">
        <v>123</v>
      </c>
      <c r="H302" s="4" t="s">
        <v>124</v>
      </c>
      <c r="I302" s="9">
        <v>42877</v>
      </c>
      <c r="J302" s="11">
        <v>9700</v>
      </c>
      <c r="K302" s="4" t="s">
        <v>54</v>
      </c>
      <c r="L302" s="11">
        <v>0.6</v>
      </c>
      <c r="M302" s="11">
        <v>5820</v>
      </c>
      <c r="N302" s="4" t="s">
        <v>8</v>
      </c>
      <c r="O302" s="5">
        <v>5637292253</v>
      </c>
      <c r="P302" s="11" t="e">
        <f ca="1">_xll.AtlasFormulas.AtlasFunctions.AtlasBalance("UAT",DataAreaId,"T.MarkupTrans","Sum|Posted|0","","","","","","","TransRecId|TransTableId|MarkupCode",$O302,"492","TPP")</f>
        <v>#NAME?</v>
      </c>
    </row>
    <row r="303" spans="1:16" x14ac:dyDescent="0.15">
      <c r="A303" s="4" t="s">
        <v>249</v>
      </c>
      <c r="B303" s="4" t="s">
        <v>83</v>
      </c>
      <c r="C303" s="4" t="s">
        <v>82</v>
      </c>
      <c r="D303" s="4" t="s">
        <v>339</v>
      </c>
      <c r="E303" s="4" t="s">
        <v>474</v>
      </c>
      <c r="F303" s="4" t="s">
        <v>80</v>
      </c>
      <c r="G303" s="4" t="s">
        <v>123</v>
      </c>
      <c r="H303" s="4" t="s">
        <v>124</v>
      </c>
      <c r="I303" s="9">
        <v>42878</v>
      </c>
      <c r="J303" s="11">
        <v>9700</v>
      </c>
      <c r="K303" s="4" t="s">
        <v>54</v>
      </c>
      <c r="L303" s="11">
        <v>0.6</v>
      </c>
      <c r="M303" s="11">
        <v>5820</v>
      </c>
      <c r="N303" s="4" t="s">
        <v>8</v>
      </c>
      <c r="O303" s="5">
        <v>5637292184</v>
      </c>
      <c r="P303" s="11" t="e">
        <f ca="1">_xll.AtlasFormulas.AtlasFunctions.AtlasBalance("UAT",DataAreaId,"T.MarkupTrans","Sum|Posted|0","","","","","","","TransRecId|TransTableId|MarkupCode",$O303,"492","TPP")</f>
        <v>#NAME?</v>
      </c>
    </row>
    <row r="304" spans="1:16" x14ac:dyDescent="0.15">
      <c r="A304" s="4" t="s">
        <v>20</v>
      </c>
      <c r="B304" s="4" t="s">
        <v>747</v>
      </c>
      <c r="C304" s="4" t="s">
        <v>272</v>
      </c>
      <c r="D304" s="4" t="s">
        <v>816</v>
      </c>
      <c r="E304" s="4" t="s">
        <v>817</v>
      </c>
      <c r="F304" s="4" t="s">
        <v>728</v>
      </c>
      <c r="G304" s="4" t="s">
        <v>123</v>
      </c>
      <c r="H304" s="4" t="s">
        <v>124</v>
      </c>
      <c r="I304" s="9">
        <v>42884</v>
      </c>
      <c r="J304" s="11">
        <v>3880</v>
      </c>
      <c r="K304" s="4" t="s">
        <v>54</v>
      </c>
      <c r="L304" s="11">
        <v>0.6</v>
      </c>
      <c r="M304" s="11">
        <v>2328</v>
      </c>
      <c r="N304" s="4" t="s">
        <v>8</v>
      </c>
      <c r="O304" s="5">
        <v>5637292235</v>
      </c>
      <c r="P304" s="11" t="e">
        <f ca="1">_xll.AtlasFormulas.AtlasFunctions.AtlasBalance("UAT",DataAreaId,"T.MarkupTrans","Sum|Posted|0","","","","","","","TransRecId|TransTableId|MarkupCode",$O304,"492","TPP")</f>
        <v>#NAME?</v>
      </c>
    </row>
    <row r="305" spans="1:16" x14ac:dyDescent="0.15">
      <c r="A305" s="4" t="s">
        <v>249</v>
      </c>
      <c r="B305" s="4" t="s">
        <v>83</v>
      </c>
      <c r="C305" s="4" t="s">
        <v>82</v>
      </c>
      <c r="D305" s="4" t="s">
        <v>368</v>
      </c>
      <c r="E305" s="4" t="s">
        <v>369</v>
      </c>
      <c r="F305" s="4" t="s">
        <v>80</v>
      </c>
      <c r="G305" s="4" t="s">
        <v>123</v>
      </c>
      <c r="H305" s="4" t="s">
        <v>124</v>
      </c>
      <c r="I305" s="9">
        <v>42886</v>
      </c>
      <c r="J305" s="11">
        <v>3880</v>
      </c>
      <c r="K305" s="4" t="s">
        <v>54</v>
      </c>
      <c r="L305" s="11">
        <v>0.6</v>
      </c>
      <c r="M305" s="11">
        <v>2328</v>
      </c>
      <c r="N305" s="4" t="s">
        <v>8</v>
      </c>
      <c r="O305" s="5">
        <v>5637292298</v>
      </c>
      <c r="P305" s="11" t="e">
        <f ca="1">_xll.AtlasFormulas.AtlasFunctions.AtlasBalance("UAT",DataAreaId,"T.MarkupTrans","Sum|Posted|0","","","","","","","TransRecId|TransTableId|MarkupCode",$O305,"492","TPP")</f>
        <v>#NAME?</v>
      </c>
    </row>
    <row r="306" spans="1:16" x14ac:dyDescent="0.15">
      <c r="A306" s="4" t="s">
        <v>20</v>
      </c>
      <c r="B306" s="4" t="s">
        <v>747</v>
      </c>
      <c r="C306" s="4" t="s">
        <v>272</v>
      </c>
      <c r="D306" s="4" t="s">
        <v>818</v>
      </c>
      <c r="E306" s="4" t="s">
        <v>819</v>
      </c>
      <c r="F306" s="4" t="s">
        <v>728</v>
      </c>
      <c r="G306" s="4" t="s">
        <v>123</v>
      </c>
      <c r="H306" s="4" t="s">
        <v>124</v>
      </c>
      <c r="I306" s="9">
        <v>42891</v>
      </c>
      <c r="J306" s="11">
        <v>5820</v>
      </c>
      <c r="K306" s="4" t="s">
        <v>54</v>
      </c>
      <c r="L306" s="11">
        <v>0.6</v>
      </c>
      <c r="M306" s="11">
        <v>3492</v>
      </c>
      <c r="N306" s="4" t="s">
        <v>8</v>
      </c>
      <c r="O306" s="5">
        <v>5637292362</v>
      </c>
      <c r="P306" s="11" t="e">
        <f ca="1">_xll.AtlasFormulas.AtlasFunctions.AtlasBalance("UAT",DataAreaId,"T.MarkupTrans","Sum|Posted|0","","","","","","","TransRecId|TransTableId|MarkupCode",$O306,"492","TPP")</f>
        <v>#NAME?</v>
      </c>
    </row>
    <row r="307" spans="1:16" x14ac:dyDescent="0.15">
      <c r="A307" s="4" t="s">
        <v>20</v>
      </c>
      <c r="B307" s="4" t="s">
        <v>752</v>
      </c>
      <c r="C307" s="4" t="s">
        <v>272</v>
      </c>
      <c r="D307" s="4" t="s">
        <v>761</v>
      </c>
      <c r="E307" s="4" t="s">
        <v>762</v>
      </c>
      <c r="F307" s="4" t="s">
        <v>728</v>
      </c>
      <c r="G307" s="4" t="s">
        <v>123</v>
      </c>
      <c r="H307" s="4" t="s">
        <v>124</v>
      </c>
      <c r="I307" s="9">
        <v>42891</v>
      </c>
      <c r="J307" s="11">
        <v>10670</v>
      </c>
      <c r="K307" s="4" t="s">
        <v>54</v>
      </c>
      <c r="L307" s="11">
        <v>0.6</v>
      </c>
      <c r="M307" s="11">
        <v>6402</v>
      </c>
      <c r="N307" s="4" t="s">
        <v>8</v>
      </c>
      <c r="O307" s="5">
        <v>5637292358</v>
      </c>
      <c r="P307" s="11" t="e">
        <f ca="1">_xll.AtlasFormulas.AtlasFunctions.AtlasBalance("UAT",DataAreaId,"T.MarkupTrans","Sum|Posted|0","","","","","","","TransRecId|TransTableId|MarkupCode",$O307,"492","TPP")</f>
        <v>#NAME?</v>
      </c>
    </row>
    <row r="308" spans="1:16" x14ac:dyDescent="0.15">
      <c r="A308" s="4" t="s">
        <v>288</v>
      </c>
      <c r="B308" s="4" t="s">
        <v>308</v>
      </c>
      <c r="C308" s="4" t="s">
        <v>82</v>
      </c>
      <c r="D308" s="4" t="s">
        <v>370</v>
      </c>
      <c r="E308" s="4" t="s">
        <v>371</v>
      </c>
      <c r="F308" s="4" t="s">
        <v>311</v>
      </c>
      <c r="G308" s="4" t="s">
        <v>123</v>
      </c>
      <c r="H308" s="4" t="s">
        <v>124</v>
      </c>
      <c r="I308" s="9">
        <v>42892</v>
      </c>
      <c r="J308" s="11">
        <v>5820</v>
      </c>
      <c r="K308" s="4" t="s">
        <v>54</v>
      </c>
      <c r="L308" s="11">
        <v>0.6</v>
      </c>
      <c r="M308" s="11">
        <v>3492</v>
      </c>
      <c r="N308" s="4" t="s">
        <v>8</v>
      </c>
      <c r="O308" s="5">
        <v>5637292336</v>
      </c>
      <c r="P308" s="11" t="e">
        <f ca="1">_xll.AtlasFormulas.AtlasFunctions.AtlasBalance("UAT",DataAreaId,"T.MarkupTrans","Sum|Posted|0","","","","","","","TransRecId|TransTableId|MarkupCode",$O308,"492","TPP")</f>
        <v>#NAME?</v>
      </c>
    </row>
    <row r="309" spans="1:16" x14ac:dyDescent="0.15">
      <c r="A309" s="4" t="s">
        <v>20</v>
      </c>
      <c r="B309" s="4" t="s">
        <v>747</v>
      </c>
      <c r="C309" s="4" t="s">
        <v>272</v>
      </c>
      <c r="D309" s="4" t="s">
        <v>882</v>
      </c>
      <c r="E309" s="4" t="s">
        <v>883</v>
      </c>
      <c r="F309" s="4" t="s">
        <v>728</v>
      </c>
      <c r="G309" s="4" t="s">
        <v>123</v>
      </c>
      <c r="H309" s="4" t="s">
        <v>124</v>
      </c>
      <c r="I309" s="9">
        <v>42899</v>
      </c>
      <c r="J309" s="11">
        <v>7000</v>
      </c>
      <c r="K309" s="4" t="s">
        <v>54</v>
      </c>
      <c r="L309" s="11">
        <v>0.6</v>
      </c>
      <c r="M309" s="11">
        <v>4200</v>
      </c>
      <c r="N309" s="4" t="s">
        <v>8</v>
      </c>
      <c r="O309" s="5">
        <v>5637292369</v>
      </c>
      <c r="P309" s="11" t="e">
        <f ca="1">_xll.AtlasFormulas.AtlasFunctions.AtlasBalance("UAT",DataAreaId,"T.MarkupTrans","Sum|Posted|0","","","","","","","TransRecId|TransTableId|MarkupCode",$O309,"492","TPP")</f>
        <v>#NAME?</v>
      </c>
    </row>
    <row r="310" spans="1:16" x14ac:dyDescent="0.15">
      <c r="A310" s="4" t="s">
        <v>20</v>
      </c>
      <c r="B310" s="4" t="s">
        <v>747</v>
      </c>
      <c r="C310" s="4" t="s">
        <v>272</v>
      </c>
      <c r="D310" s="4" t="s">
        <v>786</v>
      </c>
      <c r="E310" s="4" t="s">
        <v>787</v>
      </c>
      <c r="F310" s="4" t="s">
        <v>728</v>
      </c>
      <c r="G310" s="4" t="s">
        <v>123</v>
      </c>
      <c r="H310" s="4" t="s">
        <v>124</v>
      </c>
      <c r="I310" s="9">
        <v>42905</v>
      </c>
      <c r="J310" s="11">
        <v>5820</v>
      </c>
      <c r="K310" s="4" t="s">
        <v>54</v>
      </c>
      <c r="L310" s="11">
        <v>0.6</v>
      </c>
      <c r="M310" s="11">
        <v>3492</v>
      </c>
      <c r="N310" s="4" t="s">
        <v>8</v>
      </c>
      <c r="O310" s="5">
        <v>5637292959</v>
      </c>
      <c r="P310" s="11" t="e">
        <f ca="1">_xll.AtlasFormulas.AtlasFunctions.AtlasBalance("UAT",DataAreaId,"T.MarkupTrans","Sum|Posted|0","","","","","","","TransRecId|TransTableId|MarkupCode",$O310,"492","TPP")</f>
        <v>#NAME?</v>
      </c>
    </row>
    <row r="311" spans="1:16" x14ac:dyDescent="0.15">
      <c r="A311" s="4" t="s">
        <v>20</v>
      </c>
      <c r="B311" s="4" t="s">
        <v>849</v>
      </c>
      <c r="C311" s="4" t="s">
        <v>272</v>
      </c>
      <c r="D311" s="4" t="s">
        <v>884</v>
      </c>
      <c r="E311" s="4" t="s">
        <v>885</v>
      </c>
      <c r="F311" s="4" t="s">
        <v>728</v>
      </c>
      <c r="G311" s="4" t="s">
        <v>123</v>
      </c>
      <c r="H311" s="4" t="s">
        <v>124</v>
      </c>
      <c r="I311" s="9">
        <v>42906</v>
      </c>
      <c r="J311" s="11">
        <v>1067</v>
      </c>
      <c r="K311" s="4" t="s">
        <v>54</v>
      </c>
      <c r="L311" s="11">
        <v>0.6</v>
      </c>
      <c r="M311" s="11">
        <v>640.20000000000005</v>
      </c>
      <c r="N311" s="4" t="s">
        <v>8</v>
      </c>
      <c r="O311" s="5">
        <v>5637292394</v>
      </c>
      <c r="P311" s="11" t="e">
        <f ca="1">_xll.AtlasFormulas.AtlasFunctions.AtlasBalance("UAT",DataAreaId,"T.MarkupTrans","Sum|Posted|0","","","","","","","TransRecId|TransTableId|MarkupCode",$O311,"492","TPP")</f>
        <v>#NAME?</v>
      </c>
    </row>
    <row r="312" spans="1:16" x14ac:dyDescent="0.15">
      <c r="A312" s="4" t="s">
        <v>288</v>
      </c>
      <c r="B312" s="4" t="s">
        <v>289</v>
      </c>
      <c r="C312" s="4" t="s">
        <v>82</v>
      </c>
      <c r="D312" s="4" t="s">
        <v>475</v>
      </c>
      <c r="E312" s="4" t="s">
        <v>476</v>
      </c>
      <c r="F312" s="4" t="s">
        <v>292</v>
      </c>
      <c r="G312" s="4" t="s">
        <v>123</v>
      </c>
      <c r="H312" s="4" t="s">
        <v>124</v>
      </c>
      <c r="I312" s="9">
        <v>42906</v>
      </c>
      <c r="J312" s="11">
        <v>7000</v>
      </c>
      <c r="K312" s="4" t="s">
        <v>54</v>
      </c>
      <c r="L312" s="11">
        <v>0.6</v>
      </c>
      <c r="M312" s="11">
        <v>4200</v>
      </c>
      <c r="N312" s="4" t="s">
        <v>8</v>
      </c>
      <c r="O312" s="5">
        <v>5637292381</v>
      </c>
      <c r="P312" s="11" t="e">
        <f ca="1">_xll.AtlasFormulas.AtlasFunctions.AtlasBalance("UAT",DataAreaId,"T.MarkupTrans","Sum|Posted|0","","","","","","","TransRecId|TransTableId|MarkupCode",$O312,"492","TPP")</f>
        <v>#NAME?</v>
      </c>
    </row>
    <row r="313" spans="1:16" x14ac:dyDescent="0.15">
      <c r="A313" s="4" t="s">
        <v>220</v>
      </c>
      <c r="B313" s="4" t="s">
        <v>417</v>
      </c>
      <c r="C313" s="4" t="s">
        <v>82</v>
      </c>
      <c r="D313" s="4" t="s">
        <v>477</v>
      </c>
      <c r="E313" s="4" t="s">
        <v>478</v>
      </c>
      <c r="F313" s="4" t="s">
        <v>224</v>
      </c>
      <c r="G313" s="4" t="s">
        <v>123</v>
      </c>
      <c r="H313" s="4" t="s">
        <v>124</v>
      </c>
      <c r="I313" s="9">
        <v>42907</v>
      </c>
      <c r="J313" s="11">
        <v>1067</v>
      </c>
      <c r="K313" s="4" t="s">
        <v>54</v>
      </c>
      <c r="L313" s="11">
        <v>0.6</v>
      </c>
      <c r="M313" s="11">
        <v>640.20000000000005</v>
      </c>
      <c r="N313" s="4" t="s">
        <v>8</v>
      </c>
      <c r="O313" s="5">
        <v>5637292660</v>
      </c>
      <c r="P313" s="11" t="e">
        <f ca="1">_xll.AtlasFormulas.AtlasFunctions.AtlasBalance("UAT",DataAreaId,"T.MarkupTrans","Sum|Posted|0","","","","","","","TransRecId|TransTableId|MarkupCode",$O313,"492","TPP")</f>
        <v>#NAME?</v>
      </c>
    </row>
    <row r="314" spans="1:16" x14ac:dyDescent="0.15">
      <c r="A314" s="4" t="s">
        <v>20</v>
      </c>
      <c r="B314" s="4" t="s">
        <v>849</v>
      </c>
      <c r="C314" s="4" t="s">
        <v>272</v>
      </c>
      <c r="D314" s="4" t="s">
        <v>886</v>
      </c>
      <c r="E314" s="4" t="s">
        <v>887</v>
      </c>
      <c r="F314" s="4" t="s">
        <v>728</v>
      </c>
      <c r="G314" s="4" t="s">
        <v>123</v>
      </c>
      <c r="H314" s="4" t="s">
        <v>124</v>
      </c>
      <c r="I314" s="9">
        <v>42912</v>
      </c>
      <c r="J314" s="11">
        <v>3201</v>
      </c>
      <c r="K314" s="4" t="s">
        <v>54</v>
      </c>
      <c r="L314" s="11">
        <v>0.6</v>
      </c>
      <c r="M314" s="11">
        <v>1920.6</v>
      </c>
      <c r="N314" s="4" t="s">
        <v>8</v>
      </c>
      <c r="O314" s="5">
        <v>5637292960</v>
      </c>
      <c r="P314" s="11" t="e">
        <f ca="1">_xll.AtlasFormulas.AtlasFunctions.AtlasBalance("UAT",DataAreaId,"T.MarkupTrans","Sum|Posted|0","","","","","","","TransRecId|TransTableId|MarkupCode",$O314,"492","TPP")</f>
        <v>#NAME?</v>
      </c>
    </row>
    <row r="315" spans="1:16" x14ac:dyDescent="0.15">
      <c r="A315" s="4" t="s">
        <v>20</v>
      </c>
      <c r="B315" s="4" t="s">
        <v>747</v>
      </c>
      <c r="C315" s="4" t="s">
        <v>272</v>
      </c>
      <c r="D315" s="4" t="s">
        <v>888</v>
      </c>
      <c r="E315" s="4" t="s">
        <v>889</v>
      </c>
      <c r="F315" s="4" t="s">
        <v>728</v>
      </c>
      <c r="G315" s="4" t="s">
        <v>123</v>
      </c>
      <c r="H315" s="4" t="s">
        <v>124</v>
      </c>
      <c r="I315" s="9">
        <v>42915</v>
      </c>
      <c r="J315" s="11">
        <v>8000</v>
      </c>
      <c r="K315" s="4" t="s">
        <v>54</v>
      </c>
      <c r="L315" s="11">
        <v>0.6</v>
      </c>
      <c r="M315" s="11">
        <v>4800</v>
      </c>
      <c r="N315" s="4" t="s">
        <v>8</v>
      </c>
      <c r="O315" s="5">
        <v>5637292947</v>
      </c>
      <c r="P315" s="11" t="e">
        <f ca="1">_xll.AtlasFormulas.AtlasFunctions.AtlasBalance("UAT",DataAreaId,"T.MarkupTrans","Sum|Posted|0","","","","","","","TransRecId|TransTableId|MarkupCode",$O315,"492","TPP")</f>
        <v>#NAME?</v>
      </c>
    </row>
    <row r="316" spans="1:16" x14ac:dyDescent="0.15">
      <c r="A316" s="4" t="s">
        <v>220</v>
      </c>
      <c r="B316" s="4" t="s">
        <v>417</v>
      </c>
      <c r="C316" s="4" t="s">
        <v>82</v>
      </c>
      <c r="D316" s="4" t="s">
        <v>479</v>
      </c>
      <c r="E316" s="4" t="s">
        <v>480</v>
      </c>
      <c r="F316" s="4" t="s">
        <v>224</v>
      </c>
      <c r="G316" s="4" t="s">
        <v>123</v>
      </c>
      <c r="H316" s="4" t="s">
        <v>124</v>
      </c>
      <c r="I316" s="9">
        <v>42915</v>
      </c>
      <c r="J316" s="11">
        <v>3201</v>
      </c>
      <c r="K316" s="4" t="s">
        <v>54</v>
      </c>
      <c r="L316" s="11">
        <v>0.6</v>
      </c>
      <c r="M316" s="11">
        <v>1920.6</v>
      </c>
      <c r="N316" s="4" t="s">
        <v>8</v>
      </c>
      <c r="O316" s="5">
        <v>5637292969</v>
      </c>
      <c r="P316" s="11" t="e">
        <f ca="1">_xll.AtlasFormulas.AtlasFunctions.AtlasBalance("UAT",DataAreaId,"T.MarkupTrans","Sum|Posted|0","","","","","","","TransRecId|TransTableId|MarkupCode",$O316,"492","TPP")</f>
        <v>#NAME?</v>
      </c>
    </row>
    <row r="317" spans="1:16" x14ac:dyDescent="0.15">
      <c r="A317" s="4" t="s">
        <v>288</v>
      </c>
      <c r="B317" s="4" t="s">
        <v>308</v>
      </c>
      <c r="C317" s="4" t="s">
        <v>82</v>
      </c>
      <c r="D317" s="4" t="s">
        <v>316</v>
      </c>
      <c r="E317" s="4" t="s">
        <v>317</v>
      </c>
      <c r="F317" s="4" t="s">
        <v>311</v>
      </c>
      <c r="G317" s="4" t="s">
        <v>123</v>
      </c>
      <c r="H317" s="4" t="s">
        <v>124</v>
      </c>
      <c r="I317" s="9">
        <v>42915</v>
      </c>
      <c r="J317" s="11">
        <v>5820</v>
      </c>
      <c r="K317" s="4" t="s">
        <v>54</v>
      </c>
      <c r="L317" s="11">
        <v>0.6</v>
      </c>
      <c r="M317" s="11">
        <v>3492</v>
      </c>
      <c r="N317" s="4" t="s">
        <v>8</v>
      </c>
      <c r="O317" s="5">
        <v>5637292996</v>
      </c>
      <c r="P317" s="11" t="e">
        <f ca="1">_xll.AtlasFormulas.AtlasFunctions.AtlasBalance("UAT",DataAreaId,"T.MarkupTrans","Sum|Posted|0","","","","","","","TransRecId|TransTableId|MarkupCode",$O317,"492","TPP")</f>
        <v>#NAME?</v>
      </c>
    </row>
    <row r="318" spans="1:16" x14ac:dyDescent="0.15">
      <c r="A318" s="4" t="s">
        <v>288</v>
      </c>
      <c r="B318" s="4" t="s">
        <v>289</v>
      </c>
      <c r="C318" s="4" t="s">
        <v>82</v>
      </c>
      <c r="D318" s="4" t="s">
        <v>481</v>
      </c>
      <c r="E318" s="4" t="s">
        <v>482</v>
      </c>
      <c r="F318" s="4" t="s">
        <v>292</v>
      </c>
      <c r="G318" s="4" t="s">
        <v>123</v>
      </c>
      <c r="H318" s="4" t="s">
        <v>124</v>
      </c>
      <c r="I318" s="9">
        <v>42919</v>
      </c>
      <c r="J318" s="11">
        <v>8000</v>
      </c>
      <c r="K318" s="4" t="s">
        <v>54</v>
      </c>
      <c r="L318" s="11">
        <v>0.6</v>
      </c>
      <c r="M318" s="11">
        <v>4800</v>
      </c>
      <c r="N318" s="4" t="s">
        <v>8</v>
      </c>
      <c r="O318" s="5">
        <v>5637293011</v>
      </c>
      <c r="P318" s="11" t="e">
        <f ca="1">_xll.AtlasFormulas.AtlasFunctions.AtlasBalance("UAT",DataAreaId,"T.MarkupTrans","Sum|Posted|0","","","","","","","TransRecId|TransTableId|MarkupCode",$O318,"492","TPP")</f>
        <v>#NAME?</v>
      </c>
    </row>
    <row r="319" spans="1:16" x14ac:dyDescent="0.15">
      <c r="A319" s="4" t="s">
        <v>20</v>
      </c>
      <c r="B319" s="4" t="s">
        <v>747</v>
      </c>
      <c r="C319" s="4" t="s">
        <v>272</v>
      </c>
      <c r="D319" s="4" t="s">
        <v>890</v>
      </c>
      <c r="E319" s="4" t="s">
        <v>891</v>
      </c>
      <c r="F319" s="4" t="s">
        <v>728</v>
      </c>
      <c r="G319" s="4" t="s">
        <v>123</v>
      </c>
      <c r="H319" s="4" t="s">
        <v>124</v>
      </c>
      <c r="I319" s="9">
        <v>42924</v>
      </c>
      <c r="J319" s="11">
        <v>9700</v>
      </c>
      <c r="K319" s="4" t="s">
        <v>54</v>
      </c>
      <c r="L319" s="11">
        <v>0.62</v>
      </c>
      <c r="M319" s="11">
        <v>6014</v>
      </c>
      <c r="N319" s="4" t="s">
        <v>8</v>
      </c>
      <c r="O319" s="5">
        <v>5637293452</v>
      </c>
      <c r="P319" s="11" t="e">
        <f ca="1">_xll.AtlasFormulas.AtlasFunctions.AtlasBalance("UAT",DataAreaId,"T.MarkupTrans","Sum|Posted|0","","","","","","","TransRecId|TransTableId|MarkupCode",$O319,"492","TPP")</f>
        <v>#NAME?</v>
      </c>
    </row>
    <row r="320" spans="1:16" x14ac:dyDescent="0.15">
      <c r="A320" s="4" t="s">
        <v>20</v>
      </c>
      <c r="B320" s="4" t="s">
        <v>747</v>
      </c>
      <c r="C320" s="4" t="s">
        <v>272</v>
      </c>
      <c r="D320" s="4" t="s">
        <v>892</v>
      </c>
      <c r="E320" s="4" t="s">
        <v>893</v>
      </c>
      <c r="F320" s="4" t="s">
        <v>728</v>
      </c>
      <c r="G320" s="4" t="s">
        <v>123</v>
      </c>
      <c r="H320" s="4" t="s">
        <v>124</v>
      </c>
      <c r="I320" s="9">
        <v>42927</v>
      </c>
      <c r="J320" s="11">
        <v>3880</v>
      </c>
      <c r="K320" s="4" t="s">
        <v>54</v>
      </c>
      <c r="L320" s="11">
        <v>0.62</v>
      </c>
      <c r="M320" s="11">
        <v>2405.6</v>
      </c>
      <c r="N320" s="4" t="s">
        <v>8</v>
      </c>
      <c r="O320" s="5">
        <v>5637293450</v>
      </c>
      <c r="P320" s="11" t="e">
        <f ca="1">_xll.AtlasFormulas.AtlasFunctions.AtlasBalance("UAT",DataAreaId,"T.MarkupTrans","Sum|Posted|0","","","","","","","TransRecId|TransTableId|MarkupCode",$O320,"492","TPP")</f>
        <v>#NAME?</v>
      </c>
    </row>
    <row r="321" spans="1:16" x14ac:dyDescent="0.15">
      <c r="A321" s="4" t="s">
        <v>20</v>
      </c>
      <c r="B321" s="4" t="s">
        <v>747</v>
      </c>
      <c r="C321" s="4" t="s">
        <v>272</v>
      </c>
      <c r="D321" s="4" t="s">
        <v>894</v>
      </c>
      <c r="E321" s="4" t="s">
        <v>895</v>
      </c>
      <c r="F321" s="4" t="s">
        <v>728</v>
      </c>
      <c r="G321" s="4" t="s">
        <v>123</v>
      </c>
      <c r="H321" s="4" t="s">
        <v>124</v>
      </c>
      <c r="I321" s="9">
        <v>42928</v>
      </c>
      <c r="J321" s="11">
        <v>15000</v>
      </c>
      <c r="K321" s="4" t="s">
        <v>54</v>
      </c>
      <c r="L321" s="11">
        <v>0.62</v>
      </c>
      <c r="M321" s="11">
        <v>9300</v>
      </c>
      <c r="N321" s="4" t="s">
        <v>8</v>
      </c>
      <c r="O321" s="5">
        <v>5637293540</v>
      </c>
      <c r="P321" s="11" t="e">
        <f ca="1">_xll.AtlasFormulas.AtlasFunctions.AtlasBalance("UAT",DataAreaId,"T.MarkupTrans","Sum|Posted|0","","","","","","","TransRecId|TransTableId|MarkupCode",$O321,"492","TPP")</f>
        <v>#NAME?</v>
      </c>
    </row>
    <row r="322" spans="1:16" x14ac:dyDescent="0.15">
      <c r="A322" s="4" t="s">
        <v>249</v>
      </c>
      <c r="B322" s="4" t="s">
        <v>83</v>
      </c>
      <c r="C322" s="4" t="s">
        <v>82</v>
      </c>
      <c r="D322" s="4" t="s">
        <v>483</v>
      </c>
      <c r="E322" s="4" t="s">
        <v>484</v>
      </c>
      <c r="F322" s="4" t="s">
        <v>80</v>
      </c>
      <c r="G322" s="4" t="s">
        <v>123</v>
      </c>
      <c r="H322" s="4" t="s">
        <v>124</v>
      </c>
      <c r="I322" s="9">
        <v>42928</v>
      </c>
      <c r="J322" s="11">
        <v>9700</v>
      </c>
      <c r="K322" s="4" t="s">
        <v>54</v>
      </c>
      <c r="L322" s="11">
        <v>0.62</v>
      </c>
      <c r="M322" s="11">
        <v>6014</v>
      </c>
      <c r="N322" s="4" t="s">
        <v>8</v>
      </c>
      <c r="O322" s="5">
        <v>5637294155</v>
      </c>
      <c r="P322" s="11" t="e">
        <f ca="1">_xll.AtlasFormulas.AtlasFunctions.AtlasBalance("UAT",DataAreaId,"T.MarkupTrans","Sum|Posted|0","","","","","","","TransRecId|TransTableId|MarkupCode",$O322,"492","TPP")</f>
        <v>#NAME?</v>
      </c>
    </row>
    <row r="323" spans="1:16" x14ac:dyDescent="0.15">
      <c r="A323" s="4" t="s">
        <v>288</v>
      </c>
      <c r="B323" s="4" t="s">
        <v>289</v>
      </c>
      <c r="C323" s="4" t="s">
        <v>82</v>
      </c>
      <c r="D323" s="4" t="s">
        <v>485</v>
      </c>
      <c r="E323" s="4" t="s">
        <v>486</v>
      </c>
      <c r="F323" s="4" t="s">
        <v>292</v>
      </c>
      <c r="G323" s="4" t="s">
        <v>123</v>
      </c>
      <c r="H323" s="4" t="s">
        <v>124</v>
      </c>
      <c r="I323" s="9">
        <v>42942</v>
      </c>
      <c r="J323" s="11">
        <v>15000</v>
      </c>
      <c r="K323" s="4" t="s">
        <v>54</v>
      </c>
      <c r="L323" s="11">
        <v>0.62</v>
      </c>
      <c r="M323" s="11">
        <v>9300</v>
      </c>
      <c r="N323" s="4" t="s">
        <v>8</v>
      </c>
      <c r="O323" s="5">
        <v>5637294185</v>
      </c>
      <c r="P323" s="11" t="e">
        <f ca="1">_xll.AtlasFormulas.AtlasFunctions.AtlasBalance("UAT",DataAreaId,"T.MarkupTrans","Sum|Posted|0","","","","","","","TransRecId|TransTableId|MarkupCode",$O323,"492","TPP")</f>
        <v>#NAME?</v>
      </c>
    </row>
    <row r="324" spans="1:16" x14ac:dyDescent="0.15">
      <c r="A324" s="4" t="s">
        <v>20</v>
      </c>
      <c r="B324" s="4" t="s">
        <v>752</v>
      </c>
      <c r="C324" s="4" t="s">
        <v>272</v>
      </c>
      <c r="D324" s="4" t="s">
        <v>896</v>
      </c>
      <c r="E324" s="4" t="s">
        <v>897</v>
      </c>
      <c r="F324" s="4" t="s">
        <v>728</v>
      </c>
      <c r="G324" s="4" t="s">
        <v>123</v>
      </c>
      <c r="H324" s="4" t="s">
        <v>124</v>
      </c>
      <c r="I324" s="9">
        <v>42942</v>
      </c>
      <c r="J324" s="11">
        <v>9603</v>
      </c>
      <c r="K324" s="4" t="s">
        <v>54</v>
      </c>
      <c r="L324" s="11">
        <v>0.62</v>
      </c>
      <c r="M324" s="11">
        <v>5953.86</v>
      </c>
      <c r="N324" s="4" t="s">
        <v>8</v>
      </c>
      <c r="O324" s="5">
        <v>5637294418</v>
      </c>
      <c r="P324" s="11" t="e">
        <f ca="1">_xll.AtlasFormulas.AtlasFunctions.AtlasBalance("UAT",DataAreaId,"T.MarkupTrans","Sum|Posted|0","","","","","","","TransRecId|TransTableId|MarkupCode",$O324,"492","TPP")</f>
        <v>#NAME?</v>
      </c>
    </row>
    <row r="325" spans="1:16" x14ac:dyDescent="0.15">
      <c r="A325" s="4" t="s">
        <v>249</v>
      </c>
      <c r="B325" s="4" t="s">
        <v>83</v>
      </c>
      <c r="C325" s="4" t="s">
        <v>82</v>
      </c>
      <c r="D325" s="4" t="s">
        <v>487</v>
      </c>
      <c r="E325" s="4" t="s">
        <v>488</v>
      </c>
      <c r="F325" s="4" t="s">
        <v>80</v>
      </c>
      <c r="G325" s="4" t="s">
        <v>123</v>
      </c>
      <c r="H325" s="4" t="s">
        <v>124</v>
      </c>
      <c r="I325" s="9">
        <v>42947</v>
      </c>
      <c r="J325" s="11">
        <v>3880</v>
      </c>
      <c r="K325" s="4" t="s">
        <v>54</v>
      </c>
      <c r="L325" s="11">
        <v>0.62</v>
      </c>
      <c r="M325" s="11">
        <v>2405.6</v>
      </c>
      <c r="N325" s="4" t="s">
        <v>8</v>
      </c>
      <c r="O325" s="5">
        <v>5637294152</v>
      </c>
      <c r="P325" s="11" t="e">
        <f ca="1">_xll.AtlasFormulas.AtlasFunctions.AtlasBalance("UAT",DataAreaId,"T.MarkupTrans","Sum|Posted|0","","","","","","","TransRecId|TransTableId|MarkupCode",$O325,"492","TPP")</f>
        <v>#NAME?</v>
      </c>
    </row>
    <row r="326" spans="1:16" x14ac:dyDescent="0.15">
      <c r="A326" s="4" t="s">
        <v>20</v>
      </c>
      <c r="B326" s="4" t="s">
        <v>747</v>
      </c>
      <c r="C326" s="4" t="s">
        <v>272</v>
      </c>
      <c r="D326" s="4" t="s">
        <v>898</v>
      </c>
      <c r="E326" s="4" t="s">
        <v>205</v>
      </c>
      <c r="F326" s="4" t="s">
        <v>728</v>
      </c>
      <c r="G326" s="4" t="s">
        <v>123</v>
      </c>
      <c r="H326" s="4" t="s">
        <v>124</v>
      </c>
      <c r="I326" s="9">
        <v>42948</v>
      </c>
      <c r="J326" s="11">
        <v>5820</v>
      </c>
      <c r="K326" s="4" t="s">
        <v>54</v>
      </c>
      <c r="L326" s="11">
        <v>0.62</v>
      </c>
      <c r="M326" s="11">
        <v>3608.4</v>
      </c>
      <c r="N326" s="4" t="s">
        <v>8</v>
      </c>
      <c r="O326" s="5">
        <v>5637294433</v>
      </c>
      <c r="P326" s="11" t="e">
        <f ca="1">_xll.AtlasFormulas.AtlasFunctions.AtlasBalance("UAT",DataAreaId,"T.MarkupTrans","Sum|Posted|0","","","","","","","TransRecId|TransTableId|MarkupCode",$O326,"492","TPP")</f>
        <v>#NAME?</v>
      </c>
    </row>
    <row r="327" spans="1:16" x14ac:dyDescent="0.15">
      <c r="A327" s="4" t="s">
        <v>249</v>
      </c>
      <c r="B327" s="4" t="s">
        <v>83</v>
      </c>
      <c r="C327" s="4" t="s">
        <v>82</v>
      </c>
      <c r="D327" s="4" t="s">
        <v>129</v>
      </c>
      <c r="E327" s="4" t="s">
        <v>489</v>
      </c>
      <c r="F327" s="4" t="s">
        <v>80</v>
      </c>
      <c r="G327" s="4" t="s">
        <v>123</v>
      </c>
      <c r="H327" s="4" t="s">
        <v>124</v>
      </c>
      <c r="I327" s="9">
        <v>42950</v>
      </c>
      <c r="J327" s="11">
        <v>5820</v>
      </c>
      <c r="K327" s="4" t="s">
        <v>54</v>
      </c>
      <c r="L327" s="11">
        <v>0.62</v>
      </c>
      <c r="M327" s="11">
        <v>3608.4</v>
      </c>
      <c r="N327" s="4" t="s">
        <v>8</v>
      </c>
      <c r="O327" s="5">
        <v>5637294441</v>
      </c>
      <c r="P327" s="11" t="e">
        <f ca="1">_xll.AtlasFormulas.AtlasFunctions.AtlasBalance("UAT",DataAreaId,"T.MarkupTrans","Sum|Posted|0","","","","","","","TransRecId|TransTableId|MarkupCode",$O327,"492","TPP")</f>
        <v>#NAME?</v>
      </c>
    </row>
    <row r="328" spans="1:16" x14ac:dyDescent="0.15">
      <c r="A328" s="4" t="s">
        <v>249</v>
      </c>
      <c r="B328" s="4" t="s">
        <v>83</v>
      </c>
      <c r="C328" s="4" t="s">
        <v>82</v>
      </c>
      <c r="D328" s="4" t="s">
        <v>171</v>
      </c>
      <c r="E328" s="4" t="s">
        <v>490</v>
      </c>
      <c r="F328" s="4" t="s">
        <v>80</v>
      </c>
      <c r="G328" s="4" t="s">
        <v>123</v>
      </c>
      <c r="H328" s="4" t="s">
        <v>124</v>
      </c>
      <c r="I328" s="9">
        <v>42954</v>
      </c>
      <c r="J328" s="11">
        <v>3880</v>
      </c>
      <c r="K328" s="4" t="s">
        <v>54</v>
      </c>
      <c r="L328" s="11">
        <v>0.62</v>
      </c>
      <c r="M328" s="11">
        <v>2405.6</v>
      </c>
      <c r="N328" s="4" t="s">
        <v>8</v>
      </c>
      <c r="O328" s="5">
        <v>5637294438</v>
      </c>
      <c r="P328" s="11" t="e">
        <f ca="1">_xll.AtlasFormulas.AtlasFunctions.AtlasBalance("UAT",DataAreaId,"T.MarkupTrans","Sum|Posted|0","","","","","","","TransRecId|TransTableId|MarkupCode",$O328,"492","TPP")</f>
        <v>#NAME?</v>
      </c>
    </row>
    <row r="329" spans="1:16" x14ac:dyDescent="0.15">
      <c r="A329" s="4" t="s">
        <v>249</v>
      </c>
      <c r="B329" s="4" t="s">
        <v>83</v>
      </c>
      <c r="C329" s="4" t="s">
        <v>82</v>
      </c>
      <c r="D329" s="4" t="s">
        <v>278</v>
      </c>
      <c r="E329" s="4" t="s">
        <v>302</v>
      </c>
      <c r="F329" s="4" t="s">
        <v>80</v>
      </c>
      <c r="G329" s="4" t="s">
        <v>123</v>
      </c>
      <c r="H329" s="4" t="s">
        <v>124</v>
      </c>
      <c r="I329" s="9">
        <v>42954</v>
      </c>
      <c r="J329" s="11">
        <v>3880</v>
      </c>
      <c r="K329" s="4" t="s">
        <v>54</v>
      </c>
      <c r="L329" s="11">
        <v>0.62</v>
      </c>
      <c r="M329" s="11">
        <v>2405.6</v>
      </c>
      <c r="N329" s="4" t="s">
        <v>8</v>
      </c>
      <c r="O329" s="5">
        <v>5637294444</v>
      </c>
      <c r="P329" s="11" t="e">
        <f ca="1">_xll.AtlasFormulas.AtlasFunctions.AtlasBalance("UAT",DataAreaId,"T.MarkupTrans","Sum|Posted|0","","","","","","","TransRecId|TransTableId|MarkupCode",$O329,"492","TPP")</f>
        <v>#NAME?</v>
      </c>
    </row>
    <row r="330" spans="1:16" x14ac:dyDescent="0.15">
      <c r="A330" s="4" t="s">
        <v>20</v>
      </c>
      <c r="B330" s="4" t="s">
        <v>747</v>
      </c>
      <c r="C330" s="4" t="s">
        <v>272</v>
      </c>
      <c r="D330" s="4" t="s">
        <v>899</v>
      </c>
      <c r="E330" s="4" t="s">
        <v>207</v>
      </c>
      <c r="F330" s="4" t="s">
        <v>728</v>
      </c>
      <c r="G330" s="4" t="s">
        <v>123</v>
      </c>
      <c r="H330" s="4" t="s">
        <v>124</v>
      </c>
      <c r="I330" s="9">
        <v>42954</v>
      </c>
      <c r="J330" s="11">
        <v>3880</v>
      </c>
      <c r="K330" s="4" t="s">
        <v>54</v>
      </c>
      <c r="L330" s="11">
        <v>0.62</v>
      </c>
      <c r="M330" s="11">
        <v>2405.6</v>
      </c>
      <c r="N330" s="4" t="s">
        <v>8</v>
      </c>
      <c r="O330" s="5">
        <v>5637294467</v>
      </c>
      <c r="P330" s="11" t="e">
        <f ca="1">_xll.AtlasFormulas.AtlasFunctions.AtlasBalance("UAT",DataAreaId,"T.MarkupTrans","Sum|Posted|0","","","","","","","TransRecId|TransTableId|MarkupCode",$O330,"492","TPP")</f>
        <v>#NAME?</v>
      </c>
    </row>
    <row r="331" spans="1:16" x14ac:dyDescent="0.15">
      <c r="A331" s="4" t="s">
        <v>249</v>
      </c>
      <c r="B331" s="4" t="s">
        <v>83</v>
      </c>
      <c r="C331" s="4" t="s">
        <v>82</v>
      </c>
      <c r="D331" s="4" t="s">
        <v>303</v>
      </c>
      <c r="E331" s="4" t="s">
        <v>304</v>
      </c>
      <c r="F331" s="4" t="s">
        <v>80</v>
      </c>
      <c r="G331" s="4" t="s">
        <v>123</v>
      </c>
      <c r="H331" s="4" t="s">
        <v>124</v>
      </c>
      <c r="I331" s="9">
        <v>42956</v>
      </c>
      <c r="J331" s="11">
        <v>-3880</v>
      </c>
      <c r="K331" s="4" t="s">
        <v>54</v>
      </c>
      <c r="L331" s="11">
        <v>0.62</v>
      </c>
      <c r="M331" s="11">
        <v>-2405.6</v>
      </c>
      <c r="N331" s="4" t="s">
        <v>8</v>
      </c>
      <c r="O331" s="5">
        <v>5637294449</v>
      </c>
      <c r="P331" s="11" t="e">
        <f ca="1">_xll.AtlasFormulas.AtlasFunctions.AtlasBalance("UAT",DataAreaId,"T.MarkupTrans","Sum|Posted|0","","","","","","","TransRecId|TransTableId|MarkupCode",$O331,"492","TPP")</f>
        <v>#NAME?</v>
      </c>
    </row>
    <row r="332" spans="1:16" x14ac:dyDescent="0.15">
      <c r="A332" s="4" t="s">
        <v>249</v>
      </c>
      <c r="B332" s="4" t="s">
        <v>83</v>
      </c>
      <c r="C332" s="4" t="s">
        <v>82</v>
      </c>
      <c r="D332" s="4" t="s">
        <v>491</v>
      </c>
      <c r="E332" s="4" t="s">
        <v>492</v>
      </c>
      <c r="F332" s="4" t="s">
        <v>80</v>
      </c>
      <c r="G332" s="4" t="s">
        <v>123</v>
      </c>
      <c r="H332" s="4" t="s">
        <v>124</v>
      </c>
      <c r="I332" s="9">
        <v>42956</v>
      </c>
      <c r="J332" s="11">
        <v>-3880</v>
      </c>
      <c r="K332" s="4" t="s">
        <v>54</v>
      </c>
      <c r="L332" s="11">
        <v>0.62</v>
      </c>
      <c r="M332" s="11">
        <v>-2405.6</v>
      </c>
      <c r="N332" s="4" t="s">
        <v>8</v>
      </c>
      <c r="O332" s="5">
        <v>5637294447</v>
      </c>
      <c r="P332" s="11" t="e">
        <f ca="1">_xll.AtlasFormulas.AtlasFunctions.AtlasBalance("UAT",DataAreaId,"T.MarkupTrans","Sum|Posted|0","","","","","","","TransRecId|TransTableId|MarkupCode",$O332,"492","TPP")</f>
        <v>#NAME?</v>
      </c>
    </row>
    <row r="333" spans="1:16" x14ac:dyDescent="0.15">
      <c r="A333" s="4" t="s">
        <v>249</v>
      </c>
      <c r="B333" s="4" t="s">
        <v>83</v>
      </c>
      <c r="C333" s="4" t="s">
        <v>82</v>
      </c>
      <c r="D333" s="4" t="s">
        <v>175</v>
      </c>
      <c r="E333" s="4" t="s">
        <v>493</v>
      </c>
      <c r="F333" s="4" t="s">
        <v>80</v>
      </c>
      <c r="G333" s="4" t="s">
        <v>123</v>
      </c>
      <c r="H333" s="4" t="s">
        <v>124</v>
      </c>
      <c r="I333" s="9">
        <v>42956</v>
      </c>
      <c r="J333" s="11">
        <v>3880</v>
      </c>
      <c r="K333" s="4" t="s">
        <v>54</v>
      </c>
      <c r="L333" s="11">
        <v>0.62</v>
      </c>
      <c r="M333" s="11">
        <v>2405.6</v>
      </c>
      <c r="N333" s="4" t="s">
        <v>8</v>
      </c>
      <c r="O333" s="5">
        <v>5637294455</v>
      </c>
      <c r="P333" s="11" t="e">
        <f ca="1">_xll.AtlasFormulas.AtlasFunctions.AtlasBalance("UAT",DataAreaId,"T.MarkupTrans","Sum|Posted|0","","","","","","","TransRecId|TransTableId|MarkupCode",$O333,"492","TPP")</f>
        <v>#NAME?</v>
      </c>
    </row>
    <row r="334" spans="1:16" x14ac:dyDescent="0.15">
      <c r="A334" s="4" t="s">
        <v>249</v>
      </c>
      <c r="B334" s="4" t="s">
        <v>83</v>
      </c>
      <c r="C334" s="4" t="s">
        <v>82</v>
      </c>
      <c r="D334" s="4" t="s">
        <v>305</v>
      </c>
      <c r="E334" s="4" t="s">
        <v>306</v>
      </c>
      <c r="F334" s="4" t="s">
        <v>80</v>
      </c>
      <c r="G334" s="4" t="s">
        <v>123</v>
      </c>
      <c r="H334" s="4" t="s">
        <v>124</v>
      </c>
      <c r="I334" s="9">
        <v>42956</v>
      </c>
      <c r="J334" s="11">
        <v>3880</v>
      </c>
      <c r="K334" s="4" t="s">
        <v>54</v>
      </c>
      <c r="L334" s="11">
        <v>0.62</v>
      </c>
      <c r="M334" s="11">
        <v>2405.6</v>
      </c>
      <c r="N334" s="4" t="s">
        <v>8</v>
      </c>
      <c r="O334" s="5">
        <v>5637294457</v>
      </c>
      <c r="P334" s="11" t="e">
        <f ca="1">_xll.AtlasFormulas.AtlasFunctions.AtlasBalance("UAT",DataAreaId,"T.MarkupTrans","Sum|Posted|0","","","","","","","TransRecId|TransTableId|MarkupCode",$O334,"492","TPP")</f>
        <v>#NAME?</v>
      </c>
    </row>
    <row r="335" spans="1:16" x14ac:dyDescent="0.15">
      <c r="A335" s="4" t="s">
        <v>249</v>
      </c>
      <c r="B335" s="4" t="s">
        <v>83</v>
      </c>
      <c r="C335" s="4" t="s">
        <v>82</v>
      </c>
      <c r="D335" s="4" t="s">
        <v>494</v>
      </c>
      <c r="E335" s="4" t="s">
        <v>495</v>
      </c>
      <c r="F335" s="4" t="s">
        <v>80</v>
      </c>
      <c r="G335" s="4" t="s">
        <v>123</v>
      </c>
      <c r="H335" s="4" t="s">
        <v>124</v>
      </c>
      <c r="I335" s="9">
        <v>42956</v>
      </c>
      <c r="J335" s="11">
        <v>5820</v>
      </c>
      <c r="K335" s="4" t="s">
        <v>54</v>
      </c>
      <c r="L335" s="11">
        <v>0.62</v>
      </c>
      <c r="M335" s="11">
        <v>3608.4</v>
      </c>
      <c r="N335" s="4" t="s">
        <v>8</v>
      </c>
      <c r="O335" s="5">
        <v>5637294459</v>
      </c>
      <c r="P335" s="11" t="e">
        <f ca="1">_xll.AtlasFormulas.AtlasFunctions.AtlasBalance("UAT",DataAreaId,"T.MarkupTrans","Sum|Posted|0","","","","","","","TransRecId|TransTableId|MarkupCode",$O335,"492","TPP")</f>
        <v>#NAME?</v>
      </c>
    </row>
    <row r="336" spans="1:16" x14ac:dyDescent="0.15">
      <c r="A336" s="4" t="s">
        <v>249</v>
      </c>
      <c r="B336" s="4" t="s">
        <v>83</v>
      </c>
      <c r="C336" s="4" t="s">
        <v>82</v>
      </c>
      <c r="D336" s="4" t="s">
        <v>496</v>
      </c>
      <c r="E336" s="4" t="s">
        <v>497</v>
      </c>
      <c r="F336" s="4" t="s">
        <v>80</v>
      </c>
      <c r="G336" s="4" t="s">
        <v>123</v>
      </c>
      <c r="H336" s="4" t="s">
        <v>124</v>
      </c>
      <c r="I336" s="9">
        <v>42956</v>
      </c>
      <c r="J336" s="11">
        <v>-5820</v>
      </c>
      <c r="K336" s="4" t="s">
        <v>54</v>
      </c>
      <c r="L336" s="11">
        <v>0.62</v>
      </c>
      <c r="M336" s="11">
        <v>-3608.4</v>
      </c>
      <c r="N336" s="4" t="s">
        <v>8</v>
      </c>
      <c r="O336" s="5">
        <v>5637294451</v>
      </c>
      <c r="P336" s="11" t="e">
        <f ca="1">_xll.AtlasFormulas.AtlasFunctions.AtlasBalance("UAT",DataAreaId,"T.MarkupTrans","Sum|Posted|0","","","","","","","TransRecId|TransTableId|MarkupCode",$O336,"492","TPP")</f>
        <v>#NAME?</v>
      </c>
    </row>
    <row r="337" spans="1:16" x14ac:dyDescent="0.15">
      <c r="A337" s="4" t="s">
        <v>249</v>
      </c>
      <c r="B337" s="4" t="s">
        <v>83</v>
      </c>
      <c r="C337" s="4" t="s">
        <v>82</v>
      </c>
      <c r="D337" s="4" t="s">
        <v>163</v>
      </c>
      <c r="E337" s="4" t="s">
        <v>307</v>
      </c>
      <c r="F337" s="4" t="s">
        <v>80</v>
      </c>
      <c r="G337" s="4" t="s">
        <v>123</v>
      </c>
      <c r="H337" s="4" t="s">
        <v>124</v>
      </c>
      <c r="I337" s="9">
        <v>42971</v>
      </c>
      <c r="J337" s="11">
        <v>7760</v>
      </c>
      <c r="K337" s="4" t="s">
        <v>54</v>
      </c>
      <c r="L337" s="11">
        <v>0.62</v>
      </c>
      <c r="M337" s="11">
        <v>4811.2</v>
      </c>
      <c r="N337" s="4" t="s">
        <v>8</v>
      </c>
      <c r="O337" s="5">
        <v>5637294658</v>
      </c>
      <c r="P337" s="11" t="e">
        <f ca="1">_xll.AtlasFormulas.AtlasFunctions.AtlasBalance("UAT",DataAreaId,"T.MarkupTrans","Sum|Posted|0","","","","","","","TransRecId|TransTableId|MarkupCode",$O337,"492","TPP")</f>
        <v>#NAME?</v>
      </c>
    </row>
    <row r="338" spans="1:16" x14ac:dyDescent="0.15">
      <c r="A338" s="4" t="s">
        <v>20</v>
      </c>
      <c r="B338" s="4" t="s">
        <v>747</v>
      </c>
      <c r="C338" s="4" t="s">
        <v>272</v>
      </c>
      <c r="D338" s="4" t="s">
        <v>900</v>
      </c>
      <c r="E338" s="4" t="s">
        <v>208</v>
      </c>
      <c r="F338" s="4" t="s">
        <v>728</v>
      </c>
      <c r="G338" s="4" t="s">
        <v>123</v>
      </c>
      <c r="H338" s="4" t="s">
        <v>124</v>
      </c>
      <c r="I338" s="9">
        <v>42971</v>
      </c>
      <c r="J338" s="11">
        <v>3880</v>
      </c>
      <c r="K338" s="4" t="s">
        <v>54</v>
      </c>
      <c r="L338" s="11">
        <v>0.62</v>
      </c>
      <c r="M338" s="11">
        <v>2405.6</v>
      </c>
      <c r="N338" s="4" t="s">
        <v>8</v>
      </c>
      <c r="O338" s="5">
        <v>5637294657</v>
      </c>
      <c r="P338" s="11" t="e">
        <f ca="1">_xll.AtlasFormulas.AtlasFunctions.AtlasBalance("UAT",DataAreaId,"T.MarkupTrans","Sum|Posted|0","","","","","","","TransRecId|TransTableId|MarkupCode",$O338,"492","TPP")</f>
        <v>#NAME?</v>
      </c>
    </row>
    <row r="339" spans="1:16" x14ac:dyDescent="0.15">
      <c r="A339" s="4" t="s">
        <v>20</v>
      </c>
      <c r="B339" s="4" t="s">
        <v>747</v>
      </c>
      <c r="C339" s="4" t="s">
        <v>272</v>
      </c>
      <c r="D339" s="4" t="s">
        <v>796</v>
      </c>
      <c r="E339" s="4" t="s">
        <v>797</v>
      </c>
      <c r="F339" s="4" t="s">
        <v>728</v>
      </c>
      <c r="G339" s="4" t="s">
        <v>498</v>
      </c>
      <c r="H339" s="4" t="s">
        <v>499</v>
      </c>
      <c r="I339" s="9">
        <v>42755</v>
      </c>
      <c r="J339" s="11">
        <v>7760</v>
      </c>
      <c r="K339" s="4" t="s">
        <v>54</v>
      </c>
      <c r="L339" s="11">
        <v>0.59</v>
      </c>
      <c r="M339" s="11">
        <v>4578.3999999999996</v>
      </c>
      <c r="N339" s="4" t="s">
        <v>8</v>
      </c>
      <c r="O339" s="5">
        <v>5637289689</v>
      </c>
      <c r="P339" s="11" t="e">
        <f ca="1">_xll.AtlasFormulas.AtlasFunctions.AtlasBalance("UAT",DataAreaId,"T.MarkupTrans","Sum|Posted|0","","","","","","","TransRecId|TransTableId|MarkupCode",$O339,"492","TPP")</f>
        <v>#NAME?</v>
      </c>
    </row>
    <row r="340" spans="1:16" x14ac:dyDescent="0.15">
      <c r="A340" s="4" t="s">
        <v>20</v>
      </c>
      <c r="B340" s="4" t="s">
        <v>747</v>
      </c>
      <c r="C340" s="4" t="s">
        <v>272</v>
      </c>
      <c r="D340" s="4" t="s">
        <v>825</v>
      </c>
      <c r="E340" s="4" t="s">
        <v>826</v>
      </c>
      <c r="F340" s="4" t="s">
        <v>728</v>
      </c>
      <c r="G340" s="4" t="s">
        <v>498</v>
      </c>
      <c r="H340" s="4" t="s">
        <v>499</v>
      </c>
      <c r="I340" s="9">
        <v>42758</v>
      </c>
      <c r="J340" s="11">
        <v>5820</v>
      </c>
      <c r="K340" s="4" t="s">
        <v>54</v>
      </c>
      <c r="L340" s="11">
        <v>0.59</v>
      </c>
      <c r="M340" s="11">
        <v>3433.8</v>
      </c>
      <c r="N340" s="4" t="s">
        <v>8</v>
      </c>
      <c r="O340" s="5">
        <v>5637289676</v>
      </c>
      <c r="P340" s="11" t="e">
        <f ca="1">_xll.AtlasFormulas.AtlasFunctions.AtlasBalance("UAT",DataAreaId,"T.MarkupTrans","Sum|Posted|0","","","","","","","TransRecId|TransTableId|MarkupCode",$O340,"492","TPP")</f>
        <v>#NAME?</v>
      </c>
    </row>
    <row r="341" spans="1:16" x14ac:dyDescent="0.15">
      <c r="A341" s="4" t="s">
        <v>227</v>
      </c>
      <c r="B341" s="4" t="s">
        <v>228</v>
      </c>
      <c r="C341" s="4" t="s">
        <v>82</v>
      </c>
      <c r="D341" s="4" t="s">
        <v>333</v>
      </c>
      <c r="E341" s="4" t="s">
        <v>334</v>
      </c>
      <c r="F341" s="4" t="s">
        <v>231</v>
      </c>
      <c r="G341" s="4" t="s">
        <v>498</v>
      </c>
      <c r="H341" s="4" t="s">
        <v>499</v>
      </c>
      <c r="I341" s="9">
        <v>42765</v>
      </c>
      <c r="J341" s="11">
        <v>7760</v>
      </c>
      <c r="K341" s="4" t="s">
        <v>54</v>
      </c>
      <c r="L341" s="11">
        <v>0.59</v>
      </c>
      <c r="M341" s="11">
        <v>4578.3999999999996</v>
      </c>
      <c r="N341" s="4" t="s">
        <v>8</v>
      </c>
      <c r="O341" s="5">
        <v>5637289694</v>
      </c>
      <c r="P341" s="11" t="e">
        <f ca="1">_xll.AtlasFormulas.AtlasFunctions.AtlasBalance("UAT",DataAreaId,"T.MarkupTrans","Sum|Posted|0","","","","","","","TransRecId|TransTableId|MarkupCode",$O341,"492","TPP")</f>
        <v>#NAME?</v>
      </c>
    </row>
    <row r="342" spans="1:16" x14ac:dyDescent="0.15">
      <c r="A342" s="4" t="s">
        <v>227</v>
      </c>
      <c r="B342" s="4" t="s">
        <v>228</v>
      </c>
      <c r="C342" s="4" t="s">
        <v>82</v>
      </c>
      <c r="D342" s="4" t="s">
        <v>379</v>
      </c>
      <c r="E342" s="4" t="s">
        <v>380</v>
      </c>
      <c r="F342" s="4" t="s">
        <v>231</v>
      </c>
      <c r="G342" s="4" t="s">
        <v>498</v>
      </c>
      <c r="H342" s="4" t="s">
        <v>499</v>
      </c>
      <c r="I342" s="9">
        <v>42765</v>
      </c>
      <c r="J342" s="11">
        <v>5820</v>
      </c>
      <c r="K342" s="4" t="s">
        <v>54</v>
      </c>
      <c r="L342" s="11">
        <v>0.59</v>
      </c>
      <c r="M342" s="11">
        <v>3433.8</v>
      </c>
      <c r="N342" s="4" t="s">
        <v>8</v>
      </c>
      <c r="O342" s="5">
        <v>5637289704</v>
      </c>
      <c r="P342" s="11" t="e">
        <f ca="1">_xll.AtlasFormulas.AtlasFunctions.AtlasBalance("UAT",DataAreaId,"T.MarkupTrans","Sum|Posted|0","","","","","","","TransRecId|TransTableId|MarkupCode",$O342,"492","TPP")</f>
        <v>#NAME?</v>
      </c>
    </row>
    <row r="343" spans="1:16" x14ac:dyDescent="0.15">
      <c r="A343" s="4" t="s">
        <v>227</v>
      </c>
      <c r="B343" s="4" t="s">
        <v>228</v>
      </c>
      <c r="C343" s="4" t="s">
        <v>82</v>
      </c>
      <c r="D343" s="4" t="s">
        <v>86</v>
      </c>
      <c r="E343" s="4" t="s">
        <v>383</v>
      </c>
      <c r="F343" s="4" t="s">
        <v>231</v>
      </c>
      <c r="G343" s="4" t="s">
        <v>498</v>
      </c>
      <c r="H343" s="4" t="s">
        <v>499</v>
      </c>
      <c r="I343" s="9">
        <v>42817</v>
      </c>
      <c r="J343" s="11">
        <v>5820</v>
      </c>
      <c r="K343" s="4" t="s">
        <v>54</v>
      </c>
      <c r="L343" s="11">
        <v>0.59</v>
      </c>
      <c r="M343" s="11">
        <v>3433.8</v>
      </c>
      <c r="N343" s="4" t="s">
        <v>8</v>
      </c>
      <c r="O343" s="5">
        <v>5637291172</v>
      </c>
      <c r="P343" s="11" t="e">
        <f ca="1">_xll.AtlasFormulas.AtlasFunctions.AtlasBalance("UAT",DataAreaId,"T.MarkupTrans","Sum|Posted|0","","","","","","","TransRecId|TransTableId|MarkupCode",$O343,"492","TPP")</f>
        <v>#NAME?</v>
      </c>
    </row>
    <row r="344" spans="1:16" x14ac:dyDescent="0.15">
      <c r="A344" s="4" t="s">
        <v>227</v>
      </c>
      <c r="B344" s="4" t="s">
        <v>228</v>
      </c>
      <c r="C344" s="4" t="s">
        <v>82</v>
      </c>
      <c r="D344" s="4" t="s">
        <v>269</v>
      </c>
      <c r="E344" s="4" t="s">
        <v>336</v>
      </c>
      <c r="F344" s="4" t="s">
        <v>231</v>
      </c>
      <c r="G344" s="4" t="s">
        <v>498</v>
      </c>
      <c r="H344" s="4" t="s">
        <v>499</v>
      </c>
      <c r="I344" s="9">
        <v>42817</v>
      </c>
      <c r="J344" s="11">
        <v>7760</v>
      </c>
      <c r="K344" s="4" t="s">
        <v>54</v>
      </c>
      <c r="L344" s="11">
        <v>0.59</v>
      </c>
      <c r="M344" s="11">
        <v>4578.3999999999996</v>
      </c>
      <c r="N344" s="4" t="s">
        <v>8</v>
      </c>
      <c r="O344" s="5">
        <v>5637291181</v>
      </c>
      <c r="P344" s="11" t="e">
        <f ca="1">_xll.AtlasFormulas.AtlasFunctions.AtlasBalance("UAT",DataAreaId,"T.MarkupTrans","Sum|Posted|0","","","","","","","TransRecId|TransTableId|MarkupCode",$O344,"492","TPP")</f>
        <v>#NAME?</v>
      </c>
    </row>
    <row r="345" spans="1:16" x14ac:dyDescent="0.15">
      <c r="A345" s="4" t="s">
        <v>227</v>
      </c>
      <c r="B345" s="4" t="s">
        <v>228</v>
      </c>
      <c r="C345" s="4" t="s">
        <v>82</v>
      </c>
      <c r="D345" s="4" t="s">
        <v>387</v>
      </c>
      <c r="E345" s="4" t="s">
        <v>388</v>
      </c>
      <c r="F345" s="4" t="s">
        <v>231</v>
      </c>
      <c r="G345" s="4" t="s">
        <v>498</v>
      </c>
      <c r="H345" s="4" t="s">
        <v>499</v>
      </c>
      <c r="I345" s="9">
        <v>42817</v>
      </c>
      <c r="J345" s="11">
        <v>-5820</v>
      </c>
      <c r="K345" s="4" t="s">
        <v>54</v>
      </c>
      <c r="L345" s="11">
        <v>0.59</v>
      </c>
      <c r="M345" s="11">
        <v>-3433.8</v>
      </c>
      <c r="N345" s="4" t="s">
        <v>8</v>
      </c>
      <c r="O345" s="5">
        <v>5637291199</v>
      </c>
      <c r="P345" s="11" t="e">
        <f ca="1">_xll.AtlasFormulas.AtlasFunctions.AtlasBalance("UAT",DataAreaId,"T.MarkupTrans","Sum|Posted|0","","","","","","","TransRecId|TransTableId|MarkupCode",$O345,"492","TPP")</f>
        <v>#NAME?</v>
      </c>
    </row>
    <row r="346" spans="1:16" x14ac:dyDescent="0.15">
      <c r="A346" s="4" t="s">
        <v>227</v>
      </c>
      <c r="B346" s="4" t="s">
        <v>228</v>
      </c>
      <c r="C346" s="4" t="s">
        <v>82</v>
      </c>
      <c r="D346" s="4" t="s">
        <v>121</v>
      </c>
      <c r="E346" s="4" t="s">
        <v>337</v>
      </c>
      <c r="F346" s="4" t="s">
        <v>231</v>
      </c>
      <c r="G346" s="4" t="s">
        <v>498</v>
      </c>
      <c r="H346" s="4" t="s">
        <v>499</v>
      </c>
      <c r="I346" s="9">
        <v>42817</v>
      </c>
      <c r="J346" s="11">
        <v>-7760</v>
      </c>
      <c r="K346" s="4" t="s">
        <v>54</v>
      </c>
      <c r="L346" s="11">
        <v>0.59</v>
      </c>
      <c r="M346" s="11">
        <v>-4578.3999999999996</v>
      </c>
      <c r="N346" s="4" t="s">
        <v>8</v>
      </c>
      <c r="O346" s="5">
        <v>5637291208</v>
      </c>
      <c r="P346" s="11" t="e">
        <f ca="1">_xll.AtlasFormulas.AtlasFunctions.AtlasBalance("UAT",DataAreaId,"T.MarkupTrans","Sum|Posted|0","","","","","","","TransRecId|TransTableId|MarkupCode",$O346,"492","TPP")</f>
        <v>#NAME?</v>
      </c>
    </row>
    <row r="347" spans="1:16" x14ac:dyDescent="0.15">
      <c r="A347" s="4" t="s">
        <v>227</v>
      </c>
      <c r="B347" s="4" t="s">
        <v>228</v>
      </c>
      <c r="C347" s="4" t="s">
        <v>82</v>
      </c>
      <c r="D347" s="4" t="s">
        <v>389</v>
      </c>
      <c r="E347" s="4" t="s">
        <v>390</v>
      </c>
      <c r="F347" s="4" t="s">
        <v>231</v>
      </c>
      <c r="G347" s="4" t="s">
        <v>498</v>
      </c>
      <c r="H347" s="4" t="s">
        <v>499</v>
      </c>
      <c r="I347" s="9">
        <v>42817</v>
      </c>
      <c r="J347" s="11">
        <v>5820</v>
      </c>
      <c r="K347" s="4" t="s">
        <v>54</v>
      </c>
      <c r="L347" s="11">
        <v>0</v>
      </c>
      <c r="M347" s="11">
        <v>0</v>
      </c>
      <c r="N347" s="4" t="s">
        <v>8</v>
      </c>
      <c r="O347" s="5">
        <v>5637291226</v>
      </c>
      <c r="P347" s="11" t="e">
        <f ca="1">_xll.AtlasFormulas.AtlasFunctions.AtlasBalance("UAT",DataAreaId,"T.MarkupTrans","Sum|Posted|0","","","","","","","TransRecId|TransTableId|MarkupCode",$O347,"492","TPP")</f>
        <v>#NAME?</v>
      </c>
    </row>
    <row r="348" spans="1:16" x14ac:dyDescent="0.15">
      <c r="A348" s="4" t="s">
        <v>227</v>
      </c>
      <c r="B348" s="4" t="s">
        <v>228</v>
      </c>
      <c r="C348" s="4" t="s">
        <v>82</v>
      </c>
      <c r="D348" s="4" t="s">
        <v>159</v>
      </c>
      <c r="E348" s="4" t="s">
        <v>392</v>
      </c>
      <c r="F348" s="4" t="s">
        <v>231</v>
      </c>
      <c r="G348" s="4" t="s">
        <v>498</v>
      </c>
      <c r="H348" s="4" t="s">
        <v>499</v>
      </c>
      <c r="I348" s="9">
        <v>42817</v>
      </c>
      <c r="J348" s="11">
        <v>-5820</v>
      </c>
      <c r="K348" s="4" t="s">
        <v>54</v>
      </c>
      <c r="L348" s="11">
        <v>0</v>
      </c>
      <c r="M348" s="11">
        <v>0</v>
      </c>
      <c r="N348" s="4" t="s">
        <v>8</v>
      </c>
      <c r="O348" s="5">
        <v>5637291242</v>
      </c>
      <c r="P348" s="11" t="e">
        <f ca="1">_xll.AtlasFormulas.AtlasFunctions.AtlasBalance("UAT",DataAreaId,"T.MarkupTrans","Sum|Posted|0","","","","","","","TransRecId|TransTableId|MarkupCode",$O348,"492","TPP")</f>
        <v>#NAME?</v>
      </c>
    </row>
    <row r="349" spans="1:16" x14ac:dyDescent="0.15">
      <c r="A349" s="4" t="s">
        <v>227</v>
      </c>
      <c r="B349" s="4" t="s">
        <v>228</v>
      </c>
      <c r="C349" s="4" t="s">
        <v>82</v>
      </c>
      <c r="D349" s="4" t="s">
        <v>115</v>
      </c>
      <c r="E349" s="4" t="s">
        <v>338</v>
      </c>
      <c r="F349" s="4" t="s">
        <v>231</v>
      </c>
      <c r="G349" s="4" t="s">
        <v>498</v>
      </c>
      <c r="H349" s="4" t="s">
        <v>499</v>
      </c>
      <c r="I349" s="9">
        <v>42817</v>
      </c>
      <c r="J349" s="11">
        <v>7760</v>
      </c>
      <c r="K349" s="4" t="s">
        <v>54</v>
      </c>
      <c r="L349" s="11">
        <v>0</v>
      </c>
      <c r="M349" s="11">
        <v>0</v>
      </c>
      <c r="N349" s="4" t="s">
        <v>8</v>
      </c>
      <c r="O349" s="5">
        <v>5637291235</v>
      </c>
      <c r="P349" s="11" t="e">
        <f ca="1">_xll.AtlasFormulas.AtlasFunctions.AtlasBalance("UAT",DataAreaId,"T.MarkupTrans","Sum|Posted|0","","","","","","","TransRecId|TransTableId|MarkupCode",$O349,"492","TPP")</f>
        <v>#NAME?</v>
      </c>
    </row>
    <row r="350" spans="1:16" x14ac:dyDescent="0.15">
      <c r="A350" s="4" t="s">
        <v>227</v>
      </c>
      <c r="B350" s="4" t="s">
        <v>228</v>
      </c>
      <c r="C350" s="4" t="s">
        <v>82</v>
      </c>
      <c r="D350" s="4" t="s">
        <v>339</v>
      </c>
      <c r="E350" s="4" t="s">
        <v>340</v>
      </c>
      <c r="F350" s="4" t="s">
        <v>231</v>
      </c>
      <c r="G350" s="4" t="s">
        <v>498</v>
      </c>
      <c r="H350" s="4" t="s">
        <v>499</v>
      </c>
      <c r="I350" s="9">
        <v>42817</v>
      </c>
      <c r="J350" s="11">
        <v>-7760</v>
      </c>
      <c r="K350" s="4" t="s">
        <v>54</v>
      </c>
      <c r="L350" s="11">
        <v>0</v>
      </c>
      <c r="M350" s="11">
        <v>0</v>
      </c>
      <c r="N350" s="4" t="s">
        <v>8</v>
      </c>
      <c r="O350" s="5">
        <v>5637291248</v>
      </c>
      <c r="P350" s="11" t="e">
        <f ca="1">_xll.AtlasFormulas.AtlasFunctions.AtlasBalance("UAT",DataAreaId,"T.MarkupTrans","Sum|Posted|0","","","","","","","TransRecId|TransTableId|MarkupCode",$O350,"492","TPP")</f>
        <v>#NAME?</v>
      </c>
    </row>
    <row r="351" spans="1:16" x14ac:dyDescent="0.15">
      <c r="A351" s="4" t="s">
        <v>227</v>
      </c>
      <c r="B351" s="4" t="s">
        <v>228</v>
      </c>
      <c r="C351" s="4" t="s">
        <v>82</v>
      </c>
      <c r="D351" s="4" t="s">
        <v>500</v>
      </c>
      <c r="E351" s="4" t="s">
        <v>501</v>
      </c>
      <c r="F351" s="4" t="s">
        <v>231</v>
      </c>
      <c r="G351" s="4" t="s">
        <v>502</v>
      </c>
      <c r="H351" s="4" t="s">
        <v>503</v>
      </c>
      <c r="I351" s="9">
        <v>42800</v>
      </c>
      <c r="J351" s="11">
        <v>18915</v>
      </c>
      <c r="K351" s="4" t="s">
        <v>54</v>
      </c>
      <c r="L351" s="11">
        <v>0.74</v>
      </c>
      <c r="M351" s="11">
        <v>13997.1</v>
      </c>
      <c r="N351" s="4" t="s">
        <v>8</v>
      </c>
      <c r="O351" s="5">
        <v>5637291012</v>
      </c>
      <c r="P351" s="11" t="e">
        <f ca="1">_xll.AtlasFormulas.AtlasFunctions.AtlasBalance("UAT",DataAreaId,"T.MarkupTrans","Sum|Posted|0","","","","","","","TransRecId|TransTableId|MarkupCode",$O351,"492","TPP")</f>
        <v>#NAME?</v>
      </c>
    </row>
    <row r="352" spans="1:16" x14ac:dyDescent="0.15">
      <c r="A352" s="4" t="s">
        <v>20</v>
      </c>
      <c r="B352" s="4" t="s">
        <v>747</v>
      </c>
      <c r="C352" s="4" t="s">
        <v>272</v>
      </c>
      <c r="D352" s="4" t="s">
        <v>901</v>
      </c>
      <c r="E352" s="4" t="s">
        <v>902</v>
      </c>
      <c r="F352" s="4" t="s">
        <v>728</v>
      </c>
      <c r="G352" s="4" t="s">
        <v>502</v>
      </c>
      <c r="H352" s="4" t="s">
        <v>503</v>
      </c>
      <c r="I352" s="9">
        <v>42800</v>
      </c>
      <c r="J352" s="11">
        <v>18915</v>
      </c>
      <c r="K352" s="4" t="s">
        <v>54</v>
      </c>
      <c r="L352" s="11">
        <v>0.74</v>
      </c>
      <c r="M352" s="11">
        <v>13997.1</v>
      </c>
      <c r="N352" s="4" t="s">
        <v>8</v>
      </c>
      <c r="O352" s="5">
        <v>5637290989</v>
      </c>
      <c r="P352" s="11" t="e">
        <f ca="1">_xll.AtlasFormulas.AtlasFunctions.AtlasBalance("UAT",DataAreaId,"T.MarkupTrans","Sum|Posted|0","","","","","","","TransRecId|TransTableId|MarkupCode",$O352,"492","TPP")</f>
        <v>#NAME?</v>
      </c>
    </row>
    <row r="353" spans="1:16" x14ac:dyDescent="0.15">
      <c r="A353" s="4" t="s">
        <v>20</v>
      </c>
      <c r="B353" s="4" t="s">
        <v>747</v>
      </c>
      <c r="C353" s="4" t="s">
        <v>272</v>
      </c>
      <c r="D353" s="4" t="s">
        <v>903</v>
      </c>
      <c r="E353" s="4" t="s">
        <v>904</v>
      </c>
      <c r="F353" s="4" t="s">
        <v>728</v>
      </c>
      <c r="G353" s="4" t="s">
        <v>502</v>
      </c>
      <c r="H353" s="4" t="s">
        <v>503</v>
      </c>
      <c r="I353" s="9">
        <v>42801</v>
      </c>
      <c r="J353" s="11">
        <v>18915</v>
      </c>
      <c r="K353" s="4" t="s">
        <v>54</v>
      </c>
      <c r="L353" s="11">
        <v>0.74</v>
      </c>
      <c r="M353" s="11">
        <v>13997.1</v>
      </c>
      <c r="N353" s="4" t="s">
        <v>8</v>
      </c>
      <c r="O353" s="5">
        <v>5637291006</v>
      </c>
      <c r="P353" s="11" t="e">
        <f ca="1">_xll.AtlasFormulas.AtlasFunctions.AtlasBalance("UAT",DataAreaId,"T.MarkupTrans","Sum|Posted|0","","","","","","","TransRecId|TransTableId|MarkupCode",$O353,"492","TPP")</f>
        <v>#NAME?</v>
      </c>
    </row>
    <row r="354" spans="1:16" x14ac:dyDescent="0.15">
      <c r="A354" s="4" t="s">
        <v>227</v>
      </c>
      <c r="B354" s="4" t="s">
        <v>228</v>
      </c>
      <c r="C354" s="4" t="s">
        <v>82</v>
      </c>
      <c r="D354" s="4" t="s">
        <v>265</v>
      </c>
      <c r="E354" s="4" t="s">
        <v>504</v>
      </c>
      <c r="F354" s="4" t="s">
        <v>231</v>
      </c>
      <c r="G354" s="4" t="s">
        <v>502</v>
      </c>
      <c r="H354" s="4" t="s">
        <v>503</v>
      </c>
      <c r="I354" s="9">
        <v>42802</v>
      </c>
      <c r="J354" s="11">
        <v>18915</v>
      </c>
      <c r="K354" s="4" t="s">
        <v>54</v>
      </c>
      <c r="L354" s="11">
        <v>0.74</v>
      </c>
      <c r="M354" s="11">
        <v>13997.1</v>
      </c>
      <c r="N354" s="4" t="s">
        <v>8</v>
      </c>
      <c r="O354" s="5">
        <v>5637291022</v>
      </c>
      <c r="P354" s="11" t="e">
        <f ca="1">_xll.AtlasFormulas.AtlasFunctions.AtlasBalance("UAT",DataAreaId,"T.MarkupTrans","Sum|Posted|0","","","","","","","TransRecId|TransTableId|MarkupCode",$O354,"492","TPP")</f>
        <v>#NAME?</v>
      </c>
    </row>
    <row r="355" spans="1:16" x14ac:dyDescent="0.15">
      <c r="A355" s="4" t="s">
        <v>227</v>
      </c>
      <c r="B355" s="4" t="s">
        <v>228</v>
      </c>
      <c r="C355" s="4" t="s">
        <v>82</v>
      </c>
      <c r="D355" s="4" t="s">
        <v>505</v>
      </c>
      <c r="E355" s="4" t="s">
        <v>506</v>
      </c>
      <c r="F355" s="4" t="s">
        <v>231</v>
      </c>
      <c r="G355" s="4" t="s">
        <v>502</v>
      </c>
      <c r="H355" s="4" t="s">
        <v>503</v>
      </c>
      <c r="I355" s="9">
        <v>42817</v>
      </c>
      <c r="J355" s="11">
        <v>18915</v>
      </c>
      <c r="K355" s="4" t="s">
        <v>54</v>
      </c>
      <c r="L355" s="11">
        <v>0.74</v>
      </c>
      <c r="M355" s="11">
        <v>13997.1</v>
      </c>
      <c r="N355" s="4" t="s">
        <v>8</v>
      </c>
      <c r="O355" s="5">
        <v>5637291194</v>
      </c>
      <c r="P355" s="11" t="e">
        <f ca="1">_xll.AtlasFormulas.AtlasFunctions.AtlasBalance("UAT",DataAreaId,"T.MarkupTrans","Sum|Posted|0","","","","","","","TransRecId|TransTableId|MarkupCode",$O355,"492","TPP")</f>
        <v>#NAME?</v>
      </c>
    </row>
    <row r="356" spans="1:16" x14ac:dyDescent="0.15">
      <c r="A356" s="4" t="s">
        <v>227</v>
      </c>
      <c r="B356" s="4" t="s">
        <v>228</v>
      </c>
      <c r="C356" s="4" t="s">
        <v>82</v>
      </c>
      <c r="D356" s="4" t="s">
        <v>507</v>
      </c>
      <c r="E356" s="4" t="s">
        <v>508</v>
      </c>
      <c r="F356" s="4" t="s">
        <v>231</v>
      </c>
      <c r="G356" s="4" t="s">
        <v>502</v>
      </c>
      <c r="H356" s="4" t="s">
        <v>503</v>
      </c>
      <c r="I356" s="9">
        <v>42817</v>
      </c>
      <c r="J356" s="11">
        <v>-18915</v>
      </c>
      <c r="K356" s="4" t="s">
        <v>54</v>
      </c>
      <c r="L356" s="11">
        <v>0.74</v>
      </c>
      <c r="M356" s="11">
        <v>-13997.1</v>
      </c>
      <c r="N356" s="4" t="s">
        <v>8</v>
      </c>
      <c r="O356" s="5">
        <v>5637291221</v>
      </c>
      <c r="P356" s="11" t="e">
        <f ca="1">_xll.AtlasFormulas.AtlasFunctions.AtlasBalance("UAT",DataAreaId,"T.MarkupTrans","Sum|Posted|0","","","","","","","TransRecId|TransTableId|MarkupCode",$O356,"492","TPP")</f>
        <v>#NAME?</v>
      </c>
    </row>
    <row r="357" spans="1:16" x14ac:dyDescent="0.15">
      <c r="A357" s="4" t="s">
        <v>20</v>
      </c>
      <c r="B357" s="4" t="s">
        <v>747</v>
      </c>
      <c r="C357" s="4" t="s">
        <v>272</v>
      </c>
      <c r="D357" s="4" t="s">
        <v>790</v>
      </c>
      <c r="E357" s="4" t="s">
        <v>791</v>
      </c>
      <c r="F357" s="4" t="s">
        <v>728</v>
      </c>
      <c r="G357" s="4" t="s">
        <v>210</v>
      </c>
      <c r="H357" s="4" t="s">
        <v>124</v>
      </c>
      <c r="I357" s="9">
        <v>42795</v>
      </c>
      <c r="J357" s="11">
        <v>1500</v>
      </c>
      <c r="K357" s="4" t="s">
        <v>54</v>
      </c>
      <c r="L357" s="11">
        <v>0.63</v>
      </c>
      <c r="M357" s="11">
        <v>945</v>
      </c>
      <c r="N357" s="4" t="s">
        <v>8</v>
      </c>
      <c r="O357" s="5">
        <v>5637290995</v>
      </c>
      <c r="P357" s="11" t="e">
        <f ca="1">_xll.AtlasFormulas.AtlasFunctions.AtlasBalance("UAT",DataAreaId,"T.MarkupTrans","Sum|Posted|0","","","","","","","TransRecId|TransTableId|MarkupCode",$O357,"492","TPP")</f>
        <v>#NAME?</v>
      </c>
    </row>
    <row r="358" spans="1:16" x14ac:dyDescent="0.15">
      <c r="A358" s="4" t="s">
        <v>227</v>
      </c>
      <c r="B358" s="4" t="s">
        <v>228</v>
      </c>
      <c r="C358" s="4" t="s">
        <v>82</v>
      </c>
      <c r="D358" s="4" t="s">
        <v>322</v>
      </c>
      <c r="E358" s="4" t="s">
        <v>323</v>
      </c>
      <c r="F358" s="4" t="s">
        <v>231</v>
      </c>
      <c r="G358" s="4" t="s">
        <v>210</v>
      </c>
      <c r="H358" s="4" t="s">
        <v>124</v>
      </c>
      <c r="I358" s="9">
        <v>42800</v>
      </c>
      <c r="J358" s="11">
        <v>1500</v>
      </c>
      <c r="K358" s="4" t="s">
        <v>54</v>
      </c>
      <c r="L358" s="11">
        <v>0.63</v>
      </c>
      <c r="M358" s="11">
        <v>945</v>
      </c>
      <c r="N358" s="4" t="s">
        <v>8</v>
      </c>
      <c r="O358" s="5">
        <v>5637291018</v>
      </c>
      <c r="P358" s="11" t="e">
        <f ca="1">_xll.AtlasFormulas.AtlasFunctions.AtlasBalance("UAT",DataAreaId,"T.MarkupTrans","Sum|Posted|0","","","","","","","TransRecId|TransTableId|MarkupCode",$O358,"492","TPP")</f>
        <v>#NAME?</v>
      </c>
    </row>
    <row r="359" spans="1:16" x14ac:dyDescent="0.15">
      <c r="A359" s="4" t="s">
        <v>20</v>
      </c>
      <c r="B359" s="4" t="s">
        <v>747</v>
      </c>
      <c r="C359" s="4" t="s">
        <v>272</v>
      </c>
      <c r="D359" s="4" t="s">
        <v>829</v>
      </c>
      <c r="E359" s="4" t="s">
        <v>830</v>
      </c>
      <c r="F359" s="4" t="s">
        <v>728</v>
      </c>
      <c r="G359" s="4" t="s">
        <v>210</v>
      </c>
      <c r="H359" s="4" t="s">
        <v>124</v>
      </c>
      <c r="I359" s="9">
        <v>42803</v>
      </c>
      <c r="J359" s="11">
        <v>7500</v>
      </c>
      <c r="K359" s="4" t="s">
        <v>54</v>
      </c>
      <c r="L359" s="11">
        <v>0.63</v>
      </c>
      <c r="M359" s="11">
        <v>4725</v>
      </c>
      <c r="N359" s="4" t="s">
        <v>8</v>
      </c>
      <c r="O359" s="5">
        <v>5637291329</v>
      </c>
      <c r="P359" s="11" t="e">
        <f ca="1">_xll.AtlasFormulas.AtlasFunctions.AtlasBalance("UAT",DataAreaId,"T.MarkupTrans","Sum|Posted|0","","","","","","","TransRecId|TransTableId|MarkupCode",$O359,"492","TPP")</f>
        <v>#NAME?</v>
      </c>
    </row>
    <row r="360" spans="1:16" x14ac:dyDescent="0.15">
      <c r="A360" s="4" t="s">
        <v>227</v>
      </c>
      <c r="B360" s="4" t="s">
        <v>228</v>
      </c>
      <c r="C360" s="4" t="s">
        <v>82</v>
      </c>
      <c r="D360" s="4" t="s">
        <v>397</v>
      </c>
      <c r="E360" s="4" t="s">
        <v>398</v>
      </c>
      <c r="F360" s="4" t="s">
        <v>231</v>
      </c>
      <c r="G360" s="4" t="s">
        <v>210</v>
      </c>
      <c r="H360" s="4" t="s">
        <v>124</v>
      </c>
      <c r="I360" s="9">
        <v>42825</v>
      </c>
      <c r="J360" s="11">
        <v>7500</v>
      </c>
      <c r="K360" s="4" t="s">
        <v>54</v>
      </c>
      <c r="L360" s="11">
        <v>0.63</v>
      </c>
      <c r="M360" s="11">
        <v>4725</v>
      </c>
      <c r="N360" s="4" t="s">
        <v>8</v>
      </c>
      <c r="O360" s="5">
        <v>5637291317</v>
      </c>
      <c r="P360" s="11" t="e">
        <f ca="1">_xll.AtlasFormulas.AtlasFunctions.AtlasBalance("UAT",DataAreaId,"T.MarkupTrans","Sum|Posted|0","","","","","","","TransRecId|TransTableId|MarkupCode",$O360,"492","TPP")</f>
        <v>#NAME?</v>
      </c>
    </row>
    <row r="361" spans="1:16" x14ac:dyDescent="0.15">
      <c r="A361" s="4" t="s">
        <v>20</v>
      </c>
      <c r="B361" s="4" t="s">
        <v>752</v>
      </c>
      <c r="C361" s="4" t="s">
        <v>272</v>
      </c>
      <c r="D361" s="4" t="s">
        <v>753</v>
      </c>
      <c r="E361" s="4" t="s">
        <v>754</v>
      </c>
      <c r="F361" s="4" t="s">
        <v>728</v>
      </c>
      <c r="G361" s="4" t="s">
        <v>210</v>
      </c>
      <c r="H361" s="4" t="s">
        <v>124</v>
      </c>
      <c r="I361" s="9">
        <v>42843</v>
      </c>
      <c r="J361" s="11">
        <v>3000</v>
      </c>
      <c r="K361" s="4" t="s">
        <v>54</v>
      </c>
      <c r="L361" s="11">
        <v>0.63</v>
      </c>
      <c r="M361" s="11">
        <v>1890</v>
      </c>
      <c r="N361" s="4" t="s">
        <v>8</v>
      </c>
      <c r="O361" s="5">
        <v>5637291718</v>
      </c>
      <c r="P361" s="11" t="e">
        <f ca="1">_xll.AtlasFormulas.AtlasFunctions.AtlasBalance("UAT",DataAreaId,"T.MarkupTrans","Sum|Posted|0","","","","","","","TransRecId|TransTableId|MarkupCode",$O361,"492","TPP")</f>
        <v>#NAME?</v>
      </c>
    </row>
    <row r="362" spans="1:16" x14ac:dyDescent="0.15">
      <c r="A362" s="4" t="s">
        <v>20</v>
      </c>
      <c r="B362" s="4" t="s">
        <v>747</v>
      </c>
      <c r="C362" s="4" t="s">
        <v>272</v>
      </c>
      <c r="D362" s="4" t="s">
        <v>810</v>
      </c>
      <c r="E362" s="4" t="s">
        <v>811</v>
      </c>
      <c r="F362" s="4" t="s">
        <v>728</v>
      </c>
      <c r="G362" s="4" t="s">
        <v>210</v>
      </c>
      <c r="H362" s="4" t="s">
        <v>124</v>
      </c>
      <c r="I362" s="9">
        <v>42860</v>
      </c>
      <c r="J362" s="11">
        <v>1500</v>
      </c>
      <c r="K362" s="4" t="s">
        <v>54</v>
      </c>
      <c r="L362" s="11">
        <v>0.63</v>
      </c>
      <c r="M362" s="11">
        <v>945</v>
      </c>
      <c r="N362" s="4" t="s">
        <v>8</v>
      </c>
      <c r="O362" s="5">
        <v>5637291830</v>
      </c>
      <c r="P362" s="11" t="e">
        <f ca="1">_xll.AtlasFormulas.AtlasFunctions.AtlasBalance("UAT",DataAreaId,"T.MarkupTrans","Sum|Posted|0","","","","","","","TransRecId|TransTableId|MarkupCode",$O362,"492","TPP")</f>
        <v>#NAME?</v>
      </c>
    </row>
    <row r="363" spans="1:16" x14ac:dyDescent="0.15">
      <c r="A363" s="4" t="s">
        <v>288</v>
      </c>
      <c r="B363" s="4" t="s">
        <v>308</v>
      </c>
      <c r="C363" s="4" t="s">
        <v>82</v>
      </c>
      <c r="D363" s="4" t="s">
        <v>359</v>
      </c>
      <c r="E363" s="4" t="s">
        <v>360</v>
      </c>
      <c r="F363" s="4" t="s">
        <v>311</v>
      </c>
      <c r="G363" s="4" t="s">
        <v>210</v>
      </c>
      <c r="H363" s="4" t="s">
        <v>124</v>
      </c>
      <c r="I363" s="9">
        <v>42864</v>
      </c>
      <c r="J363" s="11">
        <v>1500</v>
      </c>
      <c r="K363" s="4" t="s">
        <v>54</v>
      </c>
      <c r="L363" s="11">
        <v>0.63</v>
      </c>
      <c r="M363" s="11">
        <v>945</v>
      </c>
      <c r="N363" s="4" t="s">
        <v>8</v>
      </c>
      <c r="O363" s="5">
        <v>5637291809</v>
      </c>
      <c r="P363" s="11" t="e">
        <f ca="1">_xll.AtlasFormulas.AtlasFunctions.AtlasBalance("UAT",DataAreaId,"T.MarkupTrans","Sum|Posted|0","","","","","","","TransRecId|TransTableId|MarkupCode",$O363,"492","TPP")</f>
        <v>#NAME?</v>
      </c>
    </row>
    <row r="364" spans="1:16" x14ac:dyDescent="0.15">
      <c r="A364" s="4" t="s">
        <v>20</v>
      </c>
      <c r="B364" s="4" t="s">
        <v>849</v>
      </c>
      <c r="C364" s="4" t="s">
        <v>272</v>
      </c>
      <c r="D364" s="4" t="s">
        <v>884</v>
      </c>
      <c r="E364" s="4" t="s">
        <v>885</v>
      </c>
      <c r="F364" s="4" t="s">
        <v>728</v>
      </c>
      <c r="G364" s="4" t="s">
        <v>210</v>
      </c>
      <c r="H364" s="4" t="s">
        <v>124</v>
      </c>
      <c r="I364" s="9">
        <v>42906</v>
      </c>
      <c r="J364" s="11">
        <v>6000</v>
      </c>
      <c r="K364" s="4" t="s">
        <v>54</v>
      </c>
      <c r="L364" s="11">
        <v>0.6</v>
      </c>
      <c r="M364" s="11">
        <v>3600</v>
      </c>
      <c r="N364" s="4" t="s">
        <v>8</v>
      </c>
      <c r="O364" s="5">
        <v>5637292393</v>
      </c>
      <c r="P364" s="11" t="e">
        <f ca="1">_xll.AtlasFormulas.AtlasFunctions.AtlasBalance("UAT",DataAreaId,"T.MarkupTrans","Sum|Posted|0","","","","","","","TransRecId|TransTableId|MarkupCode",$O364,"492","TPP")</f>
        <v>#NAME?</v>
      </c>
    </row>
    <row r="365" spans="1:16" x14ac:dyDescent="0.15">
      <c r="A365" s="4" t="s">
        <v>220</v>
      </c>
      <c r="B365" s="4" t="s">
        <v>417</v>
      </c>
      <c r="C365" s="4" t="s">
        <v>82</v>
      </c>
      <c r="D365" s="4" t="s">
        <v>477</v>
      </c>
      <c r="E365" s="4" t="s">
        <v>478</v>
      </c>
      <c r="F365" s="4" t="s">
        <v>224</v>
      </c>
      <c r="G365" s="4" t="s">
        <v>210</v>
      </c>
      <c r="H365" s="4" t="s">
        <v>124</v>
      </c>
      <c r="I365" s="9">
        <v>42907</v>
      </c>
      <c r="J365" s="11">
        <v>6000</v>
      </c>
      <c r="K365" s="4" t="s">
        <v>54</v>
      </c>
      <c r="L365" s="11">
        <v>0.6</v>
      </c>
      <c r="M365" s="11">
        <v>3600</v>
      </c>
      <c r="N365" s="4" t="s">
        <v>8</v>
      </c>
      <c r="O365" s="5">
        <v>5637292659</v>
      </c>
      <c r="P365" s="11" t="e">
        <f ca="1">_xll.AtlasFormulas.AtlasFunctions.AtlasBalance("UAT",DataAreaId,"T.MarkupTrans","Sum|Posted|0","","","","","","","TransRecId|TransTableId|MarkupCode",$O365,"492","TPP")</f>
        <v>#NAME?</v>
      </c>
    </row>
    <row r="366" spans="1:16" x14ac:dyDescent="0.15">
      <c r="A366" s="4" t="s">
        <v>20</v>
      </c>
      <c r="B366" s="4" t="s">
        <v>747</v>
      </c>
      <c r="C366" s="4" t="s">
        <v>272</v>
      </c>
      <c r="D366" s="4" t="s">
        <v>905</v>
      </c>
      <c r="E366" s="4" t="s">
        <v>906</v>
      </c>
      <c r="F366" s="4" t="s">
        <v>728</v>
      </c>
      <c r="G366" s="4" t="s">
        <v>510</v>
      </c>
      <c r="H366" s="4" t="s">
        <v>499</v>
      </c>
      <c r="I366" s="9">
        <v>42751</v>
      </c>
      <c r="J366" s="11">
        <v>15525</v>
      </c>
      <c r="K366" s="4" t="s">
        <v>54</v>
      </c>
      <c r="L366" s="11">
        <v>0.61</v>
      </c>
      <c r="M366" s="11">
        <v>9470.25</v>
      </c>
      <c r="N366" s="4" t="s">
        <v>8</v>
      </c>
      <c r="O366" s="5">
        <v>5637289660</v>
      </c>
      <c r="P366" s="11" t="e">
        <f ca="1">_xll.AtlasFormulas.AtlasFunctions.AtlasBalance("UAT",DataAreaId,"T.MarkupTrans","Sum|Posted|0","","","","","","","TransRecId|TransTableId|MarkupCode",$O366,"492","TPP")</f>
        <v>#NAME?</v>
      </c>
    </row>
    <row r="367" spans="1:16" x14ac:dyDescent="0.15">
      <c r="A367" s="4" t="s">
        <v>20</v>
      </c>
      <c r="B367" s="4" t="s">
        <v>747</v>
      </c>
      <c r="C367" s="4" t="s">
        <v>272</v>
      </c>
      <c r="D367" s="4" t="s">
        <v>823</v>
      </c>
      <c r="E367" s="4" t="s">
        <v>824</v>
      </c>
      <c r="F367" s="4" t="s">
        <v>728</v>
      </c>
      <c r="G367" s="4" t="s">
        <v>510</v>
      </c>
      <c r="H367" s="4" t="s">
        <v>499</v>
      </c>
      <c r="I367" s="9">
        <v>42752</v>
      </c>
      <c r="J367" s="11">
        <v>6000</v>
      </c>
      <c r="K367" s="4" t="s">
        <v>54</v>
      </c>
      <c r="L367" s="11">
        <v>0.61</v>
      </c>
      <c r="M367" s="11">
        <v>3660</v>
      </c>
      <c r="N367" s="4" t="s">
        <v>8</v>
      </c>
      <c r="O367" s="5">
        <v>5637289685</v>
      </c>
      <c r="P367" s="11" t="e">
        <f ca="1">_xll.AtlasFormulas.AtlasFunctions.AtlasBalance("UAT",DataAreaId,"T.MarkupTrans","Sum|Posted|0","","","","","","","TransRecId|TransTableId|MarkupCode",$O367,"492","TPP")</f>
        <v>#NAME?</v>
      </c>
    </row>
    <row r="368" spans="1:16" x14ac:dyDescent="0.15">
      <c r="A368" s="4" t="s">
        <v>212</v>
      </c>
      <c r="B368" s="4" t="s">
        <v>213</v>
      </c>
      <c r="C368" s="4" t="s">
        <v>214</v>
      </c>
      <c r="D368" s="4" t="s">
        <v>242</v>
      </c>
      <c r="E368" s="4" t="s">
        <v>509</v>
      </c>
      <c r="F368" s="4" t="s">
        <v>217</v>
      </c>
      <c r="G368" s="4" t="s">
        <v>510</v>
      </c>
      <c r="H368" s="4" t="s">
        <v>499</v>
      </c>
      <c r="I368" s="9">
        <v>42758</v>
      </c>
      <c r="J368" s="11">
        <v>15525</v>
      </c>
      <c r="K368" s="4" t="s">
        <v>54</v>
      </c>
      <c r="L368" s="11">
        <v>0.61</v>
      </c>
      <c r="M368" s="11">
        <v>9470.25</v>
      </c>
      <c r="N368" s="4" t="s">
        <v>8</v>
      </c>
      <c r="O368" s="5">
        <v>5637289402</v>
      </c>
      <c r="P368" s="11" t="e">
        <f ca="1">_xll.AtlasFormulas.AtlasFunctions.AtlasBalance("UAT",DataAreaId,"T.MarkupTrans","Sum|Posted|0","","","","","","","TransRecId|TransTableId|MarkupCode",$O368,"492","TPP")</f>
        <v>#NAME?</v>
      </c>
    </row>
    <row r="369" spans="1:16" x14ac:dyDescent="0.15">
      <c r="A369" s="4" t="s">
        <v>227</v>
      </c>
      <c r="B369" s="4" t="s">
        <v>228</v>
      </c>
      <c r="C369" s="4" t="s">
        <v>82</v>
      </c>
      <c r="D369" s="4" t="s">
        <v>381</v>
      </c>
      <c r="E369" s="4" t="s">
        <v>382</v>
      </c>
      <c r="F369" s="4" t="s">
        <v>231</v>
      </c>
      <c r="G369" s="4" t="s">
        <v>510</v>
      </c>
      <c r="H369" s="4" t="s">
        <v>499</v>
      </c>
      <c r="I369" s="9">
        <v>42766</v>
      </c>
      <c r="J369" s="11">
        <v>6000</v>
      </c>
      <c r="K369" s="4" t="s">
        <v>54</v>
      </c>
      <c r="L369" s="11">
        <v>0.61</v>
      </c>
      <c r="M369" s="11">
        <v>3660</v>
      </c>
      <c r="N369" s="4" t="s">
        <v>8</v>
      </c>
      <c r="O369" s="5">
        <v>5637289713</v>
      </c>
      <c r="P369" s="11" t="e">
        <f ca="1">_xll.AtlasFormulas.AtlasFunctions.AtlasBalance("UAT",DataAreaId,"T.MarkupTrans","Sum|Posted|0","","","","","","","TransRecId|TransTableId|MarkupCode",$O369,"492","TPP")</f>
        <v>#NAME?</v>
      </c>
    </row>
    <row r="370" spans="1:16" x14ac:dyDescent="0.15">
      <c r="A370" s="4" t="s">
        <v>20</v>
      </c>
      <c r="B370" s="4" t="s">
        <v>747</v>
      </c>
      <c r="C370" s="4" t="s">
        <v>272</v>
      </c>
      <c r="D370" s="4" t="s">
        <v>829</v>
      </c>
      <c r="E370" s="4" t="s">
        <v>830</v>
      </c>
      <c r="F370" s="4" t="s">
        <v>728</v>
      </c>
      <c r="G370" s="4" t="s">
        <v>510</v>
      </c>
      <c r="H370" s="4" t="s">
        <v>499</v>
      </c>
      <c r="I370" s="9">
        <v>42803</v>
      </c>
      <c r="J370" s="11">
        <v>4500</v>
      </c>
      <c r="K370" s="4" t="s">
        <v>54</v>
      </c>
      <c r="L370" s="11">
        <v>0.64</v>
      </c>
      <c r="M370" s="11">
        <v>2880</v>
      </c>
      <c r="N370" s="4" t="s">
        <v>8</v>
      </c>
      <c r="O370" s="5">
        <v>5637291330</v>
      </c>
      <c r="P370" s="11" t="e">
        <f ca="1">_xll.AtlasFormulas.AtlasFunctions.AtlasBalance("UAT",DataAreaId,"T.MarkupTrans","Sum|Posted|0","","","","","","","TransRecId|TransTableId|MarkupCode",$O370,"492","TPP")</f>
        <v>#NAME?</v>
      </c>
    </row>
    <row r="371" spans="1:16" x14ac:dyDescent="0.15">
      <c r="A371" s="4" t="s">
        <v>227</v>
      </c>
      <c r="B371" s="4" t="s">
        <v>228</v>
      </c>
      <c r="C371" s="4" t="s">
        <v>82</v>
      </c>
      <c r="D371" s="4" t="s">
        <v>384</v>
      </c>
      <c r="E371" s="4" t="s">
        <v>385</v>
      </c>
      <c r="F371" s="4" t="s">
        <v>231</v>
      </c>
      <c r="G371" s="4" t="s">
        <v>510</v>
      </c>
      <c r="H371" s="4" t="s">
        <v>499</v>
      </c>
      <c r="I371" s="9">
        <v>42817</v>
      </c>
      <c r="J371" s="11">
        <v>6000</v>
      </c>
      <c r="K371" s="4" t="s">
        <v>54</v>
      </c>
      <c r="L371" s="11">
        <v>0.61</v>
      </c>
      <c r="M371" s="11">
        <v>3660</v>
      </c>
      <c r="N371" s="4" t="s">
        <v>8</v>
      </c>
      <c r="O371" s="5">
        <v>5637291178</v>
      </c>
      <c r="P371" s="11" t="e">
        <f ca="1">_xll.AtlasFormulas.AtlasFunctions.AtlasBalance("UAT",DataAreaId,"T.MarkupTrans","Sum|Posted|0","","","","","","","TransRecId|TransTableId|MarkupCode",$O371,"492","TPP")</f>
        <v>#NAME?</v>
      </c>
    </row>
    <row r="372" spans="1:16" x14ac:dyDescent="0.15">
      <c r="A372" s="4" t="s">
        <v>227</v>
      </c>
      <c r="B372" s="4" t="s">
        <v>228</v>
      </c>
      <c r="C372" s="4" t="s">
        <v>82</v>
      </c>
      <c r="D372" s="4" t="s">
        <v>251</v>
      </c>
      <c r="E372" s="4" t="s">
        <v>391</v>
      </c>
      <c r="F372" s="4" t="s">
        <v>231</v>
      </c>
      <c r="G372" s="4" t="s">
        <v>510</v>
      </c>
      <c r="H372" s="4" t="s">
        <v>499</v>
      </c>
      <c r="I372" s="9">
        <v>42817</v>
      </c>
      <c r="J372" s="11">
        <v>6000</v>
      </c>
      <c r="K372" s="4" t="s">
        <v>54</v>
      </c>
      <c r="L372" s="11">
        <v>0</v>
      </c>
      <c r="M372" s="11">
        <v>0</v>
      </c>
      <c r="N372" s="4" t="s">
        <v>8</v>
      </c>
      <c r="O372" s="5">
        <v>5637291232</v>
      </c>
      <c r="P372" s="11" t="e">
        <f ca="1">_xll.AtlasFormulas.AtlasFunctions.AtlasBalance("UAT",DataAreaId,"T.MarkupTrans","Sum|Posted|0","","","","","","","TransRecId|TransTableId|MarkupCode",$O372,"492","TPP")</f>
        <v>#NAME?</v>
      </c>
    </row>
    <row r="373" spans="1:16" x14ac:dyDescent="0.15">
      <c r="A373" s="4" t="s">
        <v>227</v>
      </c>
      <c r="B373" s="4" t="s">
        <v>228</v>
      </c>
      <c r="C373" s="4" t="s">
        <v>82</v>
      </c>
      <c r="D373" s="4" t="s">
        <v>284</v>
      </c>
      <c r="E373" s="4" t="s">
        <v>386</v>
      </c>
      <c r="F373" s="4" t="s">
        <v>231</v>
      </c>
      <c r="G373" s="4" t="s">
        <v>510</v>
      </c>
      <c r="H373" s="4" t="s">
        <v>499</v>
      </c>
      <c r="I373" s="9">
        <v>42817</v>
      </c>
      <c r="J373" s="11">
        <v>-6000</v>
      </c>
      <c r="K373" s="4" t="s">
        <v>54</v>
      </c>
      <c r="L373" s="11">
        <v>0.61</v>
      </c>
      <c r="M373" s="11">
        <v>-3660</v>
      </c>
      <c r="N373" s="4" t="s">
        <v>8</v>
      </c>
      <c r="O373" s="5">
        <v>5637291205</v>
      </c>
      <c r="P373" s="11" t="e">
        <f ca="1">_xll.AtlasFormulas.AtlasFunctions.AtlasBalance("UAT",DataAreaId,"T.MarkupTrans","Sum|Posted|0","","","","","","","TransRecId|TransTableId|MarkupCode",$O373,"492","TPP")</f>
        <v>#NAME?</v>
      </c>
    </row>
    <row r="374" spans="1:16" x14ac:dyDescent="0.15">
      <c r="A374" s="4" t="s">
        <v>227</v>
      </c>
      <c r="B374" s="4" t="s">
        <v>228</v>
      </c>
      <c r="C374" s="4" t="s">
        <v>82</v>
      </c>
      <c r="D374" s="4" t="s">
        <v>368</v>
      </c>
      <c r="E374" s="4" t="s">
        <v>393</v>
      </c>
      <c r="F374" s="4" t="s">
        <v>231</v>
      </c>
      <c r="G374" s="4" t="s">
        <v>510</v>
      </c>
      <c r="H374" s="4" t="s">
        <v>499</v>
      </c>
      <c r="I374" s="9">
        <v>42817</v>
      </c>
      <c r="J374" s="11">
        <v>-6000</v>
      </c>
      <c r="K374" s="4" t="s">
        <v>54</v>
      </c>
      <c r="L374" s="11">
        <v>0</v>
      </c>
      <c r="M374" s="11">
        <v>0</v>
      </c>
      <c r="N374" s="4" t="s">
        <v>8</v>
      </c>
      <c r="O374" s="5">
        <v>5637291255</v>
      </c>
      <c r="P374" s="11" t="e">
        <f ca="1">_xll.AtlasFormulas.AtlasFunctions.AtlasBalance("UAT",DataAreaId,"T.MarkupTrans","Sum|Posted|0","","","","","","","TransRecId|TransTableId|MarkupCode",$O374,"492","TPP")</f>
        <v>#NAME?</v>
      </c>
    </row>
    <row r="375" spans="1:16" x14ac:dyDescent="0.15">
      <c r="A375" s="4" t="s">
        <v>227</v>
      </c>
      <c r="B375" s="4" t="s">
        <v>228</v>
      </c>
      <c r="C375" s="4" t="s">
        <v>82</v>
      </c>
      <c r="D375" s="4" t="s">
        <v>397</v>
      </c>
      <c r="E375" s="4" t="s">
        <v>398</v>
      </c>
      <c r="F375" s="4" t="s">
        <v>231</v>
      </c>
      <c r="G375" s="4" t="s">
        <v>510</v>
      </c>
      <c r="H375" s="4" t="s">
        <v>499</v>
      </c>
      <c r="I375" s="9">
        <v>42825</v>
      </c>
      <c r="J375" s="11">
        <v>4500</v>
      </c>
      <c r="K375" s="4" t="s">
        <v>54</v>
      </c>
      <c r="L375" s="11">
        <v>0.64</v>
      </c>
      <c r="M375" s="11">
        <v>2880</v>
      </c>
      <c r="N375" s="4" t="s">
        <v>8</v>
      </c>
      <c r="O375" s="5">
        <v>5637291318</v>
      </c>
      <c r="P375" s="11" t="e">
        <f ca="1">_xll.AtlasFormulas.AtlasFunctions.AtlasBalance("UAT",DataAreaId,"T.MarkupTrans","Sum|Posted|0","","","","","","","TransRecId|TransTableId|MarkupCode",$O375,"492","TPP")</f>
        <v>#NAME?</v>
      </c>
    </row>
    <row r="376" spans="1:16" x14ac:dyDescent="0.15">
      <c r="A376" s="4" t="s">
        <v>20</v>
      </c>
      <c r="B376" s="4" t="s">
        <v>747</v>
      </c>
      <c r="C376" s="4" t="s">
        <v>272</v>
      </c>
      <c r="D376" s="4" t="s">
        <v>907</v>
      </c>
      <c r="E376" s="4" t="s">
        <v>908</v>
      </c>
      <c r="F376" s="4" t="s">
        <v>728</v>
      </c>
      <c r="G376" s="4" t="s">
        <v>510</v>
      </c>
      <c r="H376" s="4" t="s">
        <v>499</v>
      </c>
      <c r="I376" s="9">
        <v>42838</v>
      </c>
      <c r="J376" s="11">
        <v>5400</v>
      </c>
      <c r="K376" s="4" t="s">
        <v>54</v>
      </c>
      <c r="L376" s="11">
        <v>0.64</v>
      </c>
      <c r="M376" s="11">
        <v>3456</v>
      </c>
      <c r="N376" s="4" t="s">
        <v>8</v>
      </c>
      <c r="O376" s="5">
        <v>5637291395</v>
      </c>
      <c r="P376" s="11" t="e">
        <f ca="1">_xll.AtlasFormulas.AtlasFunctions.AtlasBalance("UAT",DataAreaId,"T.MarkupTrans","Sum|Posted|0","","","","","","","TransRecId|TransTableId|MarkupCode",$O376,"492","TPP")</f>
        <v>#NAME?</v>
      </c>
    </row>
    <row r="377" spans="1:16" x14ac:dyDescent="0.15">
      <c r="A377" s="4" t="s">
        <v>212</v>
      </c>
      <c r="B377" s="4" t="s">
        <v>213</v>
      </c>
      <c r="C377" s="4" t="s">
        <v>214</v>
      </c>
      <c r="D377" s="4" t="s">
        <v>511</v>
      </c>
      <c r="E377" s="4" t="s">
        <v>512</v>
      </c>
      <c r="F377" s="4" t="s">
        <v>217</v>
      </c>
      <c r="G377" s="4" t="s">
        <v>510</v>
      </c>
      <c r="H377" s="4" t="s">
        <v>499</v>
      </c>
      <c r="I377" s="9">
        <v>42846</v>
      </c>
      <c r="J377" s="11">
        <v>5400</v>
      </c>
      <c r="K377" s="4" t="s">
        <v>54</v>
      </c>
      <c r="L377" s="11">
        <v>0.64</v>
      </c>
      <c r="M377" s="11">
        <v>3456</v>
      </c>
      <c r="N377" s="4" t="s">
        <v>8</v>
      </c>
      <c r="O377" s="5">
        <v>5637291451</v>
      </c>
      <c r="P377" s="11" t="e">
        <f ca="1">_xll.AtlasFormulas.AtlasFunctions.AtlasBalance("UAT",DataAreaId,"T.MarkupTrans","Sum|Posted|0","","","","","","","TransRecId|TransTableId|MarkupCode",$O377,"492","TPP")</f>
        <v>#NAME?</v>
      </c>
    </row>
    <row r="378" spans="1:16" x14ac:dyDescent="0.15">
      <c r="A378" s="4" t="s">
        <v>227</v>
      </c>
      <c r="B378" s="4" t="s">
        <v>228</v>
      </c>
      <c r="C378" s="4" t="s">
        <v>82</v>
      </c>
      <c r="D378" s="4" t="s">
        <v>303</v>
      </c>
      <c r="E378" s="4" t="s">
        <v>513</v>
      </c>
      <c r="F378" s="4" t="s">
        <v>231</v>
      </c>
      <c r="G378" s="4" t="s">
        <v>514</v>
      </c>
      <c r="H378" s="4" t="s">
        <v>503</v>
      </c>
      <c r="I378" s="9">
        <v>42870</v>
      </c>
      <c r="J378" s="11">
        <v>14625</v>
      </c>
      <c r="K378" s="4" t="s">
        <v>54</v>
      </c>
      <c r="L378" s="11">
        <v>0.74</v>
      </c>
      <c r="M378" s="11">
        <v>10822.5</v>
      </c>
      <c r="N378" s="4" t="s">
        <v>8</v>
      </c>
      <c r="O378" s="5">
        <v>5637291911</v>
      </c>
      <c r="P378" s="11" t="e">
        <f ca="1">_xll.AtlasFormulas.AtlasFunctions.AtlasBalance("UAT",DataAreaId,"T.MarkupTrans","Sum|Posted|0","","","","","","","TransRecId|TransTableId|MarkupCode",$O378,"492","TPP")</f>
        <v>#NAME?</v>
      </c>
    </row>
    <row r="379" spans="1:16" x14ac:dyDescent="0.15">
      <c r="A379" s="4" t="s">
        <v>227</v>
      </c>
      <c r="B379" s="4" t="s">
        <v>228</v>
      </c>
      <c r="C379" s="4" t="s">
        <v>82</v>
      </c>
      <c r="D379" s="4" t="s">
        <v>515</v>
      </c>
      <c r="E379" s="4" t="s">
        <v>516</v>
      </c>
      <c r="F379" s="4" t="s">
        <v>231</v>
      </c>
      <c r="G379" s="4" t="s">
        <v>514</v>
      </c>
      <c r="H379" s="4" t="s">
        <v>503</v>
      </c>
      <c r="I379" s="9">
        <v>42870</v>
      </c>
      <c r="J379" s="11">
        <v>675</v>
      </c>
      <c r="K379" s="4" t="s">
        <v>54</v>
      </c>
      <c r="L379" s="11">
        <v>0.74</v>
      </c>
      <c r="M379" s="11">
        <v>499.5</v>
      </c>
      <c r="N379" s="4" t="s">
        <v>8</v>
      </c>
      <c r="O379" s="5">
        <v>5637291913</v>
      </c>
      <c r="P379" s="11" t="e">
        <f ca="1">_xll.AtlasFormulas.AtlasFunctions.AtlasBalance("UAT",DataAreaId,"T.MarkupTrans","Sum|Posted|0","","","","","","","TransRecId|TransTableId|MarkupCode",$O379,"492","TPP")</f>
        <v>#NAME?</v>
      </c>
    </row>
    <row r="380" spans="1:16" x14ac:dyDescent="0.15">
      <c r="A380" s="4" t="s">
        <v>20</v>
      </c>
      <c r="B380" s="4" t="s">
        <v>747</v>
      </c>
      <c r="C380" s="4" t="s">
        <v>272</v>
      </c>
      <c r="D380" s="4" t="s">
        <v>909</v>
      </c>
      <c r="E380" s="4" t="s">
        <v>910</v>
      </c>
      <c r="F380" s="4" t="s">
        <v>728</v>
      </c>
      <c r="G380" s="4" t="s">
        <v>514</v>
      </c>
      <c r="H380" s="4" t="s">
        <v>503</v>
      </c>
      <c r="I380" s="9">
        <v>42870</v>
      </c>
      <c r="J380" s="11">
        <v>14625</v>
      </c>
      <c r="K380" s="4" t="s">
        <v>54</v>
      </c>
      <c r="L380" s="11">
        <v>0.74</v>
      </c>
      <c r="M380" s="11">
        <v>10822.5</v>
      </c>
      <c r="N380" s="4" t="s">
        <v>8</v>
      </c>
      <c r="O380" s="5">
        <v>5637291886</v>
      </c>
      <c r="P380" s="11" t="e">
        <f ca="1">_xll.AtlasFormulas.AtlasFunctions.AtlasBalance("UAT",DataAreaId,"T.MarkupTrans","Sum|Posted|0","","","","","","","TransRecId|TransTableId|MarkupCode",$O380,"492","TPP")</f>
        <v>#NAME?</v>
      </c>
    </row>
    <row r="381" spans="1:16" x14ac:dyDescent="0.15">
      <c r="A381" s="4" t="s">
        <v>20</v>
      </c>
      <c r="B381" s="4" t="s">
        <v>747</v>
      </c>
      <c r="C381" s="4" t="s">
        <v>272</v>
      </c>
      <c r="D381" s="4" t="s">
        <v>911</v>
      </c>
      <c r="E381" s="4" t="s">
        <v>912</v>
      </c>
      <c r="F381" s="4" t="s">
        <v>728</v>
      </c>
      <c r="G381" s="4" t="s">
        <v>514</v>
      </c>
      <c r="H381" s="4" t="s">
        <v>503</v>
      </c>
      <c r="I381" s="9">
        <v>42870</v>
      </c>
      <c r="J381" s="11">
        <v>675</v>
      </c>
      <c r="K381" s="4" t="s">
        <v>54</v>
      </c>
      <c r="L381" s="11">
        <v>0.74</v>
      </c>
      <c r="M381" s="11">
        <v>499.5</v>
      </c>
      <c r="N381" s="4" t="s">
        <v>8</v>
      </c>
      <c r="O381" s="5">
        <v>5637291888</v>
      </c>
      <c r="P381" s="11" t="e">
        <f ca="1">_xll.AtlasFormulas.AtlasFunctions.AtlasBalance("UAT",DataAreaId,"T.MarkupTrans","Sum|Posted|0","","","","","","","TransRecId|TransTableId|MarkupCode",$O381,"492","TPP")</f>
        <v>#NAME?</v>
      </c>
    </row>
    <row r="382" spans="1:16" x14ac:dyDescent="0.15">
      <c r="A382" s="4" t="s">
        <v>20</v>
      </c>
      <c r="B382" s="4" t="s">
        <v>747</v>
      </c>
      <c r="C382" s="4" t="s">
        <v>272</v>
      </c>
      <c r="D382" s="4" t="s">
        <v>913</v>
      </c>
      <c r="E382" s="4" t="s">
        <v>914</v>
      </c>
      <c r="F382" s="4" t="s">
        <v>728</v>
      </c>
      <c r="G382" s="4" t="s">
        <v>211</v>
      </c>
      <c r="H382" s="4" t="s">
        <v>124</v>
      </c>
      <c r="I382" s="9">
        <v>42744</v>
      </c>
      <c r="J382" s="11">
        <v>93600</v>
      </c>
      <c r="K382" s="4" t="s">
        <v>54</v>
      </c>
      <c r="L382" s="11">
        <v>0.57999999999999996</v>
      </c>
      <c r="M382" s="11">
        <v>54288</v>
      </c>
      <c r="N382" s="4" t="s">
        <v>8</v>
      </c>
      <c r="O382" s="5">
        <v>5637289653</v>
      </c>
      <c r="P382" s="11" t="e">
        <f ca="1">_xll.AtlasFormulas.AtlasFunctions.AtlasBalance("UAT",DataAreaId,"T.MarkupTrans","Sum|Posted|0","","","","","","","TransRecId|TransTableId|MarkupCode",$O382,"492","TPP")</f>
        <v>#NAME?</v>
      </c>
    </row>
    <row r="383" spans="1:16" x14ac:dyDescent="0.15">
      <c r="A383" s="4" t="s">
        <v>20</v>
      </c>
      <c r="B383" s="4" t="s">
        <v>747</v>
      </c>
      <c r="C383" s="4" t="s">
        <v>272</v>
      </c>
      <c r="D383" s="4" t="s">
        <v>915</v>
      </c>
      <c r="E383" s="4" t="s">
        <v>916</v>
      </c>
      <c r="F383" s="4" t="s">
        <v>728</v>
      </c>
      <c r="G383" s="4" t="s">
        <v>211</v>
      </c>
      <c r="H383" s="4" t="s">
        <v>124</v>
      </c>
      <c r="I383" s="9">
        <v>42745</v>
      </c>
      <c r="J383" s="11">
        <v>25350</v>
      </c>
      <c r="K383" s="4" t="s">
        <v>54</v>
      </c>
      <c r="L383" s="11">
        <v>0.57999999999999996</v>
      </c>
      <c r="M383" s="11">
        <v>14703</v>
      </c>
      <c r="N383" s="4" t="s">
        <v>8</v>
      </c>
      <c r="O383" s="5">
        <v>5637289680</v>
      </c>
      <c r="P383" s="11" t="e">
        <f ca="1">_xll.AtlasFormulas.AtlasFunctions.AtlasBalance("UAT",DataAreaId,"T.MarkupTrans","Sum|Posted|0","","","","","","","TransRecId|TransTableId|MarkupCode",$O383,"492","TPP")</f>
        <v>#NAME?</v>
      </c>
    </row>
    <row r="384" spans="1:16" x14ac:dyDescent="0.15">
      <c r="A384" s="4" t="s">
        <v>249</v>
      </c>
      <c r="B384" s="4" t="s">
        <v>83</v>
      </c>
      <c r="C384" s="4" t="s">
        <v>82</v>
      </c>
      <c r="D384" s="4" t="s">
        <v>517</v>
      </c>
      <c r="E384" s="4" t="s">
        <v>518</v>
      </c>
      <c r="F384" s="4" t="s">
        <v>80</v>
      </c>
      <c r="G384" s="4" t="s">
        <v>211</v>
      </c>
      <c r="H384" s="4" t="s">
        <v>124</v>
      </c>
      <c r="I384" s="9">
        <v>42760</v>
      </c>
      <c r="J384" s="11">
        <v>93600</v>
      </c>
      <c r="K384" s="4" t="s">
        <v>54</v>
      </c>
      <c r="L384" s="11">
        <v>0.57999999999999996</v>
      </c>
      <c r="M384" s="11">
        <v>54288</v>
      </c>
      <c r="N384" s="4" t="s">
        <v>8</v>
      </c>
      <c r="O384" s="5">
        <v>5637289662</v>
      </c>
      <c r="P384" s="11" t="e">
        <f ca="1">_xll.AtlasFormulas.AtlasFunctions.AtlasBalance("UAT",DataAreaId,"T.MarkupTrans","Sum|Posted|0","","","","","","","TransRecId|TransTableId|MarkupCode",$O384,"492","TPP")</f>
        <v>#NAME?</v>
      </c>
    </row>
    <row r="385" spans="1:16" x14ac:dyDescent="0.15">
      <c r="A385" s="4" t="s">
        <v>227</v>
      </c>
      <c r="B385" s="4" t="s">
        <v>228</v>
      </c>
      <c r="C385" s="4" t="s">
        <v>82</v>
      </c>
      <c r="D385" s="4" t="s">
        <v>519</v>
      </c>
      <c r="E385" s="4" t="s">
        <v>520</v>
      </c>
      <c r="F385" s="4" t="s">
        <v>231</v>
      </c>
      <c r="G385" s="4" t="s">
        <v>211</v>
      </c>
      <c r="H385" s="4" t="s">
        <v>124</v>
      </c>
      <c r="I385" s="9">
        <v>42765</v>
      </c>
      <c r="J385" s="11">
        <v>25350</v>
      </c>
      <c r="K385" s="4" t="s">
        <v>54</v>
      </c>
      <c r="L385" s="11">
        <v>0.57999999999999996</v>
      </c>
      <c r="M385" s="11">
        <v>14703</v>
      </c>
      <c r="N385" s="4" t="s">
        <v>8</v>
      </c>
      <c r="O385" s="5">
        <v>5637289708</v>
      </c>
      <c r="P385" s="11" t="e">
        <f ca="1">_xll.AtlasFormulas.AtlasFunctions.AtlasBalance("UAT",DataAreaId,"T.MarkupTrans","Sum|Posted|0","","","","","","","TransRecId|TransTableId|MarkupCode",$O385,"492","TPP")</f>
        <v>#NAME?</v>
      </c>
    </row>
    <row r="386" spans="1:16" x14ac:dyDescent="0.15">
      <c r="A386" s="4" t="s">
        <v>20</v>
      </c>
      <c r="B386" s="4" t="s">
        <v>747</v>
      </c>
      <c r="C386" s="4" t="s">
        <v>272</v>
      </c>
      <c r="D386" s="4" t="s">
        <v>917</v>
      </c>
      <c r="E386" s="4" t="s">
        <v>918</v>
      </c>
      <c r="F386" s="4" t="s">
        <v>728</v>
      </c>
      <c r="G386" s="4" t="s">
        <v>211</v>
      </c>
      <c r="H386" s="4" t="s">
        <v>124</v>
      </c>
      <c r="I386" s="9">
        <v>42788</v>
      </c>
      <c r="J386" s="11">
        <v>26617.5</v>
      </c>
      <c r="K386" s="4" t="s">
        <v>54</v>
      </c>
      <c r="L386" s="11">
        <v>0.6</v>
      </c>
      <c r="M386" s="11">
        <v>15970.5</v>
      </c>
      <c r="N386" s="4" t="s">
        <v>8</v>
      </c>
      <c r="O386" s="5">
        <v>5637289933</v>
      </c>
      <c r="P386" s="11" t="e">
        <f ca="1">_xll.AtlasFormulas.AtlasFunctions.AtlasBalance("UAT",DataAreaId,"T.MarkupTrans","Sum|Posted|0","","","","","","","TransRecId|TransTableId|MarkupCode",$O386,"492","TPP")</f>
        <v>#NAME?</v>
      </c>
    </row>
    <row r="387" spans="1:16" x14ac:dyDescent="0.15">
      <c r="A387" s="4" t="s">
        <v>212</v>
      </c>
      <c r="B387" s="4" t="s">
        <v>213</v>
      </c>
      <c r="C387" s="4" t="s">
        <v>214</v>
      </c>
      <c r="D387" s="4" t="s">
        <v>521</v>
      </c>
      <c r="E387" s="4" t="s">
        <v>522</v>
      </c>
      <c r="F387" s="4" t="s">
        <v>217</v>
      </c>
      <c r="G387" s="4" t="s">
        <v>211</v>
      </c>
      <c r="H387" s="4" t="s">
        <v>124</v>
      </c>
      <c r="I387" s="9">
        <v>42789</v>
      </c>
      <c r="J387" s="11">
        <v>26617.5</v>
      </c>
      <c r="K387" s="4" t="s">
        <v>54</v>
      </c>
      <c r="L387" s="11">
        <v>0.6</v>
      </c>
      <c r="M387" s="11">
        <v>15970.5</v>
      </c>
      <c r="N387" s="4" t="s">
        <v>8</v>
      </c>
      <c r="O387" s="5">
        <v>5637290651</v>
      </c>
      <c r="P387" s="11" t="e">
        <f ca="1">_xll.AtlasFormulas.AtlasFunctions.AtlasBalance("UAT",DataAreaId,"T.MarkupTrans","Sum|Posted|0","","","","","","","TransRecId|TransTableId|MarkupCode",$O387,"492","TPP")</f>
        <v>#NAME?</v>
      </c>
    </row>
    <row r="388" spans="1:16" x14ac:dyDescent="0.15">
      <c r="A388" s="4" t="s">
        <v>20</v>
      </c>
      <c r="B388" s="4" t="s">
        <v>747</v>
      </c>
      <c r="C388" s="4" t="s">
        <v>272</v>
      </c>
      <c r="D388" s="4" t="s">
        <v>874</v>
      </c>
      <c r="E388" s="4" t="s">
        <v>875</v>
      </c>
      <c r="F388" s="4" t="s">
        <v>728</v>
      </c>
      <c r="G388" s="4" t="s">
        <v>211</v>
      </c>
      <c r="H388" s="4" t="s">
        <v>124</v>
      </c>
      <c r="I388" s="9">
        <v>42802</v>
      </c>
      <c r="J388" s="11">
        <v>3900</v>
      </c>
      <c r="K388" s="4" t="s">
        <v>54</v>
      </c>
      <c r="L388" s="11">
        <v>0.6</v>
      </c>
      <c r="M388" s="11">
        <v>2340</v>
      </c>
      <c r="N388" s="4" t="s">
        <v>8</v>
      </c>
      <c r="O388" s="5">
        <v>5637291036</v>
      </c>
      <c r="P388" s="11" t="e">
        <f ca="1">_xll.AtlasFormulas.AtlasFunctions.AtlasBalance("UAT",DataAreaId,"T.MarkupTrans","Sum|Posted|0","","","","","","","TransRecId|TransTableId|MarkupCode",$O388,"492","TPP")</f>
        <v>#NAME?</v>
      </c>
    </row>
    <row r="389" spans="1:16" x14ac:dyDescent="0.15">
      <c r="A389" s="4" t="s">
        <v>20</v>
      </c>
      <c r="B389" s="4" t="s">
        <v>752</v>
      </c>
      <c r="C389" s="4" t="s">
        <v>272</v>
      </c>
      <c r="D389" s="4" t="s">
        <v>919</v>
      </c>
      <c r="E389" s="4" t="s">
        <v>920</v>
      </c>
      <c r="F389" s="4" t="s">
        <v>728</v>
      </c>
      <c r="G389" s="4" t="s">
        <v>211</v>
      </c>
      <c r="H389" s="4" t="s">
        <v>124</v>
      </c>
      <c r="I389" s="9">
        <v>42808</v>
      </c>
      <c r="J389" s="11">
        <v>25740</v>
      </c>
      <c r="K389" s="4" t="s">
        <v>54</v>
      </c>
      <c r="L389" s="11">
        <v>0.6</v>
      </c>
      <c r="M389" s="11">
        <v>15444</v>
      </c>
      <c r="N389" s="4" t="s">
        <v>8</v>
      </c>
      <c r="O389" s="5">
        <v>5637291043</v>
      </c>
      <c r="P389" s="11" t="e">
        <f ca="1">_xll.AtlasFormulas.AtlasFunctions.AtlasBalance("UAT",DataAreaId,"T.MarkupTrans","Sum|Posted|0","","","","","","","TransRecId|TransTableId|MarkupCode",$O389,"492","TPP")</f>
        <v>#NAME?</v>
      </c>
    </row>
    <row r="390" spans="1:16" x14ac:dyDescent="0.15">
      <c r="A390" s="4" t="s">
        <v>20</v>
      </c>
      <c r="B390" s="4" t="s">
        <v>747</v>
      </c>
      <c r="C390" s="4" t="s">
        <v>272</v>
      </c>
      <c r="D390" s="4" t="s">
        <v>782</v>
      </c>
      <c r="E390" s="4" t="s">
        <v>783</v>
      </c>
      <c r="F390" s="4" t="s">
        <v>728</v>
      </c>
      <c r="G390" s="4" t="s">
        <v>211</v>
      </c>
      <c r="H390" s="4" t="s">
        <v>124</v>
      </c>
      <c r="I390" s="9">
        <v>42815</v>
      </c>
      <c r="J390" s="11">
        <v>9750</v>
      </c>
      <c r="K390" s="4" t="s">
        <v>54</v>
      </c>
      <c r="L390" s="11">
        <v>0.6</v>
      </c>
      <c r="M390" s="11">
        <v>5850</v>
      </c>
      <c r="N390" s="4" t="s">
        <v>8</v>
      </c>
      <c r="O390" s="5">
        <v>5637291335</v>
      </c>
      <c r="P390" s="11" t="e">
        <f ca="1">_xll.AtlasFormulas.AtlasFunctions.AtlasBalance("UAT",DataAreaId,"T.MarkupTrans","Sum|Posted|0","","","","","","","TransRecId|TransTableId|MarkupCode",$O390,"492","TPP")</f>
        <v>#NAME?</v>
      </c>
    </row>
    <row r="391" spans="1:16" x14ac:dyDescent="0.15">
      <c r="A391" s="4" t="s">
        <v>227</v>
      </c>
      <c r="B391" s="4" t="s">
        <v>228</v>
      </c>
      <c r="C391" s="4" t="s">
        <v>82</v>
      </c>
      <c r="D391" s="4" t="s">
        <v>455</v>
      </c>
      <c r="E391" s="4" t="s">
        <v>523</v>
      </c>
      <c r="F391" s="4" t="s">
        <v>231</v>
      </c>
      <c r="G391" s="4" t="s">
        <v>211</v>
      </c>
      <c r="H391" s="4" t="s">
        <v>124</v>
      </c>
      <c r="I391" s="9">
        <v>42817</v>
      </c>
      <c r="J391" s="11">
        <v>25350</v>
      </c>
      <c r="K391" s="4" t="s">
        <v>54</v>
      </c>
      <c r="L391" s="11">
        <v>0.57999999999999996</v>
      </c>
      <c r="M391" s="11">
        <v>14703</v>
      </c>
      <c r="N391" s="4" t="s">
        <v>8</v>
      </c>
      <c r="O391" s="5">
        <v>5637291175</v>
      </c>
      <c r="P391" s="11" t="e">
        <f ca="1">_xll.AtlasFormulas.AtlasFunctions.AtlasBalance("UAT",DataAreaId,"T.MarkupTrans","Sum|Posted|0","","","","","","","TransRecId|TransTableId|MarkupCode",$O391,"492","TPP")</f>
        <v>#NAME?</v>
      </c>
    </row>
    <row r="392" spans="1:16" x14ac:dyDescent="0.15">
      <c r="A392" s="4" t="s">
        <v>227</v>
      </c>
      <c r="B392" s="4" t="s">
        <v>228</v>
      </c>
      <c r="C392" s="4" t="s">
        <v>82</v>
      </c>
      <c r="D392" s="4" t="s">
        <v>472</v>
      </c>
      <c r="E392" s="4" t="s">
        <v>524</v>
      </c>
      <c r="F392" s="4" t="s">
        <v>231</v>
      </c>
      <c r="G392" s="4" t="s">
        <v>211</v>
      </c>
      <c r="H392" s="4" t="s">
        <v>124</v>
      </c>
      <c r="I392" s="9">
        <v>42817</v>
      </c>
      <c r="J392" s="11">
        <v>-25350</v>
      </c>
      <c r="K392" s="4" t="s">
        <v>54</v>
      </c>
      <c r="L392" s="11">
        <v>0.59348000000000001</v>
      </c>
      <c r="M392" s="11">
        <v>-15044.720000000001</v>
      </c>
      <c r="N392" s="4" t="s">
        <v>8</v>
      </c>
      <c r="O392" s="5">
        <v>5637291245</v>
      </c>
      <c r="P392" s="11" t="e">
        <f ca="1">_xll.AtlasFormulas.AtlasFunctions.AtlasBalance("UAT",DataAreaId,"T.MarkupTrans","Sum|Posted|0","","","","","","","TransRecId|TransTableId|MarkupCode",$O392,"492","TPP")</f>
        <v>#NAME?</v>
      </c>
    </row>
    <row r="393" spans="1:16" x14ac:dyDescent="0.15">
      <c r="A393" s="4" t="s">
        <v>227</v>
      </c>
      <c r="B393" s="4" t="s">
        <v>228</v>
      </c>
      <c r="C393" s="4" t="s">
        <v>82</v>
      </c>
      <c r="D393" s="4" t="s">
        <v>131</v>
      </c>
      <c r="E393" s="4" t="s">
        <v>525</v>
      </c>
      <c r="F393" s="4" t="s">
        <v>231</v>
      </c>
      <c r="G393" s="4" t="s">
        <v>211</v>
      </c>
      <c r="H393" s="4" t="s">
        <v>124</v>
      </c>
      <c r="I393" s="9">
        <v>42817</v>
      </c>
      <c r="J393" s="11">
        <v>25350</v>
      </c>
      <c r="K393" s="4" t="s">
        <v>54</v>
      </c>
      <c r="L393" s="11">
        <v>0.59348000000000001</v>
      </c>
      <c r="M393" s="11">
        <v>15044.720000000001</v>
      </c>
      <c r="N393" s="4" t="s">
        <v>8</v>
      </c>
      <c r="O393" s="5">
        <v>5637291229</v>
      </c>
      <c r="P393" s="11" t="e">
        <f ca="1">_xll.AtlasFormulas.AtlasFunctions.AtlasBalance("UAT",DataAreaId,"T.MarkupTrans","Sum|Posted|0","","","","","","","TransRecId|TransTableId|MarkupCode",$O393,"492","TPP")</f>
        <v>#NAME?</v>
      </c>
    </row>
    <row r="394" spans="1:16" x14ac:dyDescent="0.15">
      <c r="A394" s="4" t="s">
        <v>227</v>
      </c>
      <c r="B394" s="4" t="s">
        <v>228</v>
      </c>
      <c r="C394" s="4" t="s">
        <v>82</v>
      </c>
      <c r="D394" s="4" t="s">
        <v>469</v>
      </c>
      <c r="E394" s="4" t="s">
        <v>526</v>
      </c>
      <c r="F394" s="4" t="s">
        <v>231</v>
      </c>
      <c r="G394" s="4" t="s">
        <v>211</v>
      </c>
      <c r="H394" s="4" t="s">
        <v>124</v>
      </c>
      <c r="I394" s="9">
        <v>42817</v>
      </c>
      <c r="J394" s="11">
        <v>-25350</v>
      </c>
      <c r="K394" s="4" t="s">
        <v>54</v>
      </c>
      <c r="L394" s="11">
        <v>0.57999999999999996</v>
      </c>
      <c r="M394" s="11">
        <v>-14703</v>
      </c>
      <c r="N394" s="4" t="s">
        <v>8</v>
      </c>
      <c r="O394" s="5">
        <v>5637291202</v>
      </c>
      <c r="P394" s="11" t="e">
        <f ca="1">_xll.AtlasFormulas.AtlasFunctions.AtlasBalance("UAT",DataAreaId,"T.MarkupTrans","Sum|Posted|0","","","","","","","TransRecId|TransTableId|MarkupCode",$O394,"492","TPP")</f>
        <v>#NAME?</v>
      </c>
    </row>
    <row r="395" spans="1:16" x14ac:dyDescent="0.15">
      <c r="A395" s="4" t="s">
        <v>249</v>
      </c>
      <c r="B395" s="4" t="s">
        <v>83</v>
      </c>
      <c r="C395" s="4" t="s">
        <v>82</v>
      </c>
      <c r="D395" s="4" t="s">
        <v>469</v>
      </c>
      <c r="E395" s="4" t="s">
        <v>470</v>
      </c>
      <c r="F395" s="4" t="s">
        <v>80</v>
      </c>
      <c r="G395" s="4" t="s">
        <v>211</v>
      </c>
      <c r="H395" s="4" t="s">
        <v>124</v>
      </c>
      <c r="I395" s="9">
        <v>42821</v>
      </c>
      <c r="J395" s="11">
        <v>3900</v>
      </c>
      <c r="K395" s="4" t="s">
        <v>54</v>
      </c>
      <c r="L395" s="11">
        <v>0.6</v>
      </c>
      <c r="M395" s="11">
        <v>2340</v>
      </c>
      <c r="N395" s="4" t="s">
        <v>8</v>
      </c>
      <c r="O395" s="5">
        <v>5637291261</v>
      </c>
      <c r="P395" s="11" t="e">
        <f ca="1">_xll.AtlasFormulas.AtlasFunctions.AtlasBalance("UAT",DataAreaId,"T.MarkupTrans","Sum|Posted|0","","","","","","","TransRecId|TransTableId|MarkupCode",$O395,"492","TPP")</f>
        <v>#NAME?</v>
      </c>
    </row>
    <row r="396" spans="1:16" x14ac:dyDescent="0.15">
      <c r="A396" s="4" t="s">
        <v>288</v>
      </c>
      <c r="B396" s="4" t="s">
        <v>308</v>
      </c>
      <c r="C396" s="4" t="s">
        <v>82</v>
      </c>
      <c r="D396" s="4" t="s">
        <v>309</v>
      </c>
      <c r="E396" s="4" t="s">
        <v>310</v>
      </c>
      <c r="F396" s="4" t="s">
        <v>311</v>
      </c>
      <c r="G396" s="4" t="s">
        <v>211</v>
      </c>
      <c r="H396" s="4" t="s">
        <v>124</v>
      </c>
      <c r="I396" s="9">
        <v>42825</v>
      </c>
      <c r="J396" s="11">
        <v>9750</v>
      </c>
      <c r="K396" s="4" t="s">
        <v>54</v>
      </c>
      <c r="L396" s="11">
        <v>0.6</v>
      </c>
      <c r="M396" s="11">
        <v>5850</v>
      </c>
      <c r="N396" s="4" t="s">
        <v>8</v>
      </c>
      <c r="O396" s="5">
        <v>5637291312</v>
      </c>
      <c r="P396" s="11" t="e">
        <f ca="1">_xll.AtlasFormulas.AtlasFunctions.AtlasBalance("UAT",DataAreaId,"T.MarkupTrans","Sum|Posted|0","","","","","","","TransRecId|TransTableId|MarkupCode",$O396,"492","TPP")</f>
        <v>#NAME?</v>
      </c>
    </row>
    <row r="397" spans="1:16" x14ac:dyDescent="0.15">
      <c r="A397" s="4" t="s">
        <v>20</v>
      </c>
      <c r="B397" s="4" t="s">
        <v>747</v>
      </c>
      <c r="C397" s="4" t="s">
        <v>272</v>
      </c>
      <c r="D397" s="4" t="s">
        <v>921</v>
      </c>
      <c r="E397" s="4" t="s">
        <v>922</v>
      </c>
      <c r="F397" s="4" t="s">
        <v>728</v>
      </c>
      <c r="G397" s="4" t="s">
        <v>211</v>
      </c>
      <c r="H397" s="4" t="s">
        <v>124</v>
      </c>
      <c r="I397" s="9">
        <v>42828</v>
      </c>
      <c r="J397" s="11">
        <v>26325</v>
      </c>
      <c r="K397" s="4" t="s">
        <v>54</v>
      </c>
      <c r="L397" s="11">
        <v>0.6</v>
      </c>
      <c r="M397" s="11">
        <v>15795</v>
      </c>
      <c r="N397" s="4" t="s">
        <v>8</v>
      </c>
      <c r="O397" s="5">
        <v>5637291374</v>
      </c>
      <c r="P397" s="11" t="e">
        <f ca="1">_xll.AtlasFormulas.AtlasFunctions.AtlasBalance("UAT",DataAreaId,"T.MarkupTrans","Sum|Posted|0","","","","","","","TransRecId|TransTableId|MarkupCode",$O397,"492","TPP")</f>
        <v>#NAME?</v>
      </c>
    </row>
    <row r="398" spans="1:16" x14ac:dyDescent="0.15">
      <c r="A398" s="4" t="s">
        <v>20</v>
      </c>
      <c r="B398" s="4" t="s">
        <v>747</v>
      </c>
      <c r="C398" s="4" t="s">
        <v>272</v>
      </c>
      <c r="D398" s="4" t="s">
        <v>876</v>
      </c>
      <c r="E398" s="4" t="s">
        <v>877</v>
      </c>
      <c r="F398" s="4" t="s">
        <v>728</v>
      </c>
      <c r="G398" s="4" t="s">
        <v>211</v>
      </c>
      <c r="H398" s="4" t="s">
        <v>124</v>
      </c>
      <c r="I398" s="9">
        <v>42829</v>
      </c>
      <c r="J398" s="11">
        <v>3900</v>
      </c>
      <c r="K398" s="4" t="s">
        <v>54</v>
      </c>
      <c r="L398" s="11">
        <v>0.6</v>
      </c>
      <c r="M398" s="11">
        <v>2340</v>
      </c>
      <c r="N398" s="4" t="s">
        <v>8</v>
      </c>
      <c r="O398" s="5">
        <v>5637291373</v>
      </c>
      <c r="P398" s="11" t="e">
        <f ca="1">_xll.AtlasFormulas.AtlasFunctions.AtlasBalance("UAT",DataAreaId,"T.MarkupTrans","Sum|Posted|0","","","","","","","TransRecId|TransTableId|MarkupCode",$O398,"492","TPP")</f>
        <v>#NAME?</v>
      </c>
    </row>
    <row r="399" spans="1:16" x14ac:dyDescent="0.15">
      <c r="A399" s="4" t="s">
        <v>20</v>
      </c>
      <c r="B399" s="4" t="s">
        <v>747</v>
      </c>
      <c r="C399" s="4" t="s">
        <v>272</v>
      </c>
      <c r="D399" s="4" t="s">
        <v>750</v>
      </c>
      <c r="E399" s="4" t="s">
        <v>751</v>
      </c>
      <c r="F399" s="4" t="s">
        <v>728</v>
      </c>
      <c r="G399" s="4" t="s">
        <v>211</v>
      </c>
      <c r="H399" s="4" t="s">
        <v>124</v>
      </c>
      <c r="I399" s="9">
        <v>42829</v>
      </c>
      <c r="J399" s="11">
        <v>1950</v>
      </c>
      <c r="K399" s="4" t="s">
        <v>54</v>
      </c>
      <c r="L399" s="11">
        <v>0.6</v>
      </c>
      <c r="M399" s="11">
        <v>1170</v>
      </c>
      <c r="N399" s="4" t="s">
        <v>8</v>
      </c>
      <c r="O399" s="5">
        <v>5637291370</v>
      </c>
      <c r="P399" s="11" t="e">
        <f ca="1">_xll.AtlasFormulas.AtlasFunctions.AtlasBalance("UAT",DataAreaId,"T.MarkupTrans","Sum|Posted|0","","","","","","","TransRecId|TransTableId|MarkupCode",$O399,"492","TPP")</f>
        <v>#NAME?</v>
      </c>
    </row>
    <row r="400" spans="1:16" x14ac:dyDescent="0.15">
      <c r="A400" s="4" t="s">
        <v>212</v>
      </c>
      <c r="B400" s="4" t="s">
        <v>213</v>
      </c>
      <c r="C400" s="4" t="s">
        <v>214</v>
      </c>
      <c r="D400" s="4" t="s">
        <v>372</v>
      </c>
      <c r="E400" s="4" t="s">
        <v>527</v>
      </c>
      <c r="F400" s="4" t="s">
        <v>217</v>
      </c>
      <c r="G400" s="4" t="s">
        <v>211</v>
      </c>
      <c r="H400" s="4" t="s">
        <v>124</v>
      </c>
      <c r="I400" s="9">
        <v>42837</v>
      </c>
      <c r="J400" s="11">
        <v>26325</v>
      </c>
      <c r="K400" s="4" t="s">
        <v>54</v>
      </c>
      <c r="L400" s="11">
        <v>0.6</v>
      </c>
      <c r="M400" s="11">
        <v>15795</v>
      </c>
      <c r="N400" s="4" t="s">
        <v>8</v>
      </c>
      <c r="O400" s="5">
        <v>5637291405</v>
      </c>
      <c r="P400" s="11" t="e">
        <f ca="1">_xll.AtlasFormulas.AtlasFunctions.AtlasBalance("UAT",DataAreaId,"T.MarkupTrans","Sum|Posted|0","","","","","","","TransRecId|TransTableId|MarkupCode",$O400,"492","TPP")</f>
        <v>#NAME?</v>
      </c>
    </row>
    <row r="401" spans="1:16" x14ac:dyDescent="0.15">
      <c r="A401" s="4" t="s">
        <v>20</v>
      </c>
      <c r="B401" s="4" t="s">
        <v>849</v>
      </c>
      <c r="C401" s="4" t="s">
        <v>272</v>
      </c>
      <c r="D401" s="4" t="s">
        <v>858</v>
      </c>
      <c r="E401" s="4" t="s">
        <v>859</v>
      </c>
      <c r="F401" s="4" t="s">
        <v>728</v>
      </c>
      <c r="G401" s="4" t="s">
        <v>211</v>
      </c>
      <c r="H401" s="4" t="s">
        <v>124</v>
      </c>
      <c r="I401" s="9">
        <v>42843</v>
      </c>
      <c r="J401" s="11">
        <v>6045</v>
      </c>
      <c r="K401" s="4" t="s">
        <v>54</v>
      </c>
      <c r="L401" s="11">
        <v>0.6</v>
      </c>
      <c r="M401" s="11">
        <v>3627</v>
      </c>
      <c r="N401" s="4" t="s">
        <v>8</v>
      </c>
      <c r="O401" s="5">
        <v>5637291731</v>
      </c>
      <c r="P401" s="11" t="e">
        <f ca="1">_xll.AtlasFormulas.AtlasFunctions.AtlasBalance("UAT",DataAreaId,"T.MarkupTrans","Sum|Posted|0","","","","","","","TransRecId|TransTableId|MarkupCode",$O401,"492","TPP")</f>
        <v>#NAME?</v>
      </c>
    </row>
    <row r="402" spans="1:16" x14ac:dyDescent="0.15">
      <c r="A402" s="4" t="s">
        <v>220</v>
      </c>
      <c r="B402" s="4" t="s">
        <v>417</v>
      </c>
      <c r="C402" s="4" t="s">
        <v>82</v>
      </c>
      <c r="D402" s="4" t="s">
        <v>424</v>
      </c>
      <c r="E402" s="4" t="s">
        <v>425</v>
      </c>
      <c r="F402" s="4" t="s">
        <v>224</v>
      </c>
      <c r="G402" s="4" t="s">
        <v>211</v>
      </c>
      <c r="H402" s="4" t="s">
        <v>124</v>
      </c>
      <c r="I402" s="9">
        <v>42843</v>
      </c>
      <c r="J402" s="11">
        <v>6045</v>
      </c>
      <c r="K402" s="4" t="s">
        <v>54</v>
      </c>
      <c r="L402" s="11">
        <v>0.6</v>
      </c>
      <c r="M402" s="11">
        <v>3627</v>
      </c>
      <c r="N402" s="4" t="s">
        <v>8</v>
      </c>
      <c r="O402" s="5">
        <v>5637291671</v>
      </c>
      <c r="P402" s="11" t="e">
        <f ca="1">_xll.AtlasFormulas.AtlasFunctions.AtlasBalance("UAT",DataAreaId,"T.MarkupTrans","Sum|Posted|0","","","","","","","TransRecId|TransTableId|MarkupCode",$O402,"492","TPP")</f>
        <v>#NAME?</v>
      </c>
    </row>
    <row r="403" spans="1:16" x14ac:dyDescent="0.15">
      <c r="A403" s="4" t="s">
        <v>20</v>
      </c>
      <c r="B403" s="4" t="s">
        <v>747</v>
      </c>
      <c r="C403" s="4" t="s">
        <v>272</v>
      </c>
      <c r="D403" s="4" t="s">
        <v>802</v>
      </c>
      <c r="E403" s="4" t="s">
        <v>803</v>
      </c>
      <c r="F403" s="4" t="s">
        <v>728</v>
      </c>
      <c r="G403" s="4" t="s">
        <v>211</v>
      </c>
      <c r="H403" s="4" t="s">
        <v>124</v>
      </c>
      <c r="I403" s="9">
        <v>42845</v>
      </c>
      <c r="J403" s="11">
        <v>5850</v>
      </c>
      <c r="K403" s="4" t="s">
        <v>54</v>
      </c>
      <c r="L403" s="11">
        <v>0.6</v>
      </c>
      <c r="M403" s="11">
        <v>3510</v>
      </c>
      <c r="N403" s="4" t="s">
        <v>8</v>
      </c>
      <c r="O403" s="5">
        <v>5637291726</v>
      </c>
      <c r="P403" s="11" t="e">
        <f ca="1">_xll.AtlasFormulas.AtlasFunctions.AtlasBalance("UAT",DataAreaId,"T.MarkupTrans","Sum|Posted|0","","","","","","","TransRecId|TransTableId|MarkupCode",$O403,"492","TPP")</f>
        <v>#NAME?</v>
      </c>
    </row>
    <row r="404" spans="1:16" x14ac:dyDescent="0.15">
      <c r="A404" s="4" t="s">
        <v>20</v>
      </c>
      <c r="B404" s="4" t="s">
        <v>747</v>
      </c>
      <c r="C404" s="4" t="s">
        <v>272</v>
      </c>
      <c r="D404" s="4" t="s">
        <v>755</v>
      </c>
      <c r="E404" s="4" t="s">
        <v>756</v>
      </c>
      <c r="F404" s="4" t="s">
        <v>728</v>
      </c>
      <c r="G404" s="4" t="s">
        <v>211</v>
      </c>
      <c r="H404" s="4" t="s">
        <v>124</v>
      </c>
      <c r="I404" s="9">
        <v>42846</v>
      </c>
      <c r="J404" s="11">
        <v>3900</v>
      </c>
      <c r="K404" s="4" t="s">
        <v>54</v>
      </c>
      <c r="L404" s="11">
        <v>0.6</v>
      </c>
      <c r="M404" s="11">
        <v>2340</v>
      </c>
      <c r="N404" s="4" t="s">
        <v>8</v>
      </c>
      <c r="O404" s="5">
        <v>5637291763</v>
      </c>
      <c r="P404" s="11" t="e">
        <f ca="1">_xll.AtlasFormulas.AtlasFunctions.AtlasBalance("UAT",DataAreaId,"T.MarkupTrans","Sum|Posted|0","","","","","","","TransRecId|TransTableId|MarkupCode",$O404,"492","TPP")</f>
        <v>#NAME?</v>
      </c>
    </row>
    <row r="405" spans="1:16" x14ac:dyDescent="0.15">
      <c r="A405" s="4" t="s">
        <v>20</v>
      </c>
      <c r="B405" s="4" t="s">
        <v>747</v>
      </c>
      <c r="C405" s="4" t="s">
        <v>272</v>
      </c>
      <c r="D405" s="4" t="s">
        <v>784</v>
      </c>
      <c r="E405" s="4" t="s">
        <v>785</v>
      </c>
      <c r="F405" s="4" t="s">
        <v>728</v>
      </c>
      <c r="G405" s="4" t="s">
        <v>211</v>
      </c>
      <c r="H405" s="4" t="s">
        <v>124</v>
      </c>
      <c r="I405" s="9">
        <v>42846</v>
      </c>
      <c r="J405" s="11">
        <v>3900</v>
      </c>
      <c r="K405" s="4" t="s">
        <v>54</v>
      </c>
      <c r="L405" s="11">
        <v>0.6</v>
      </c>
      <c r="M405" s="11">
        <v>2340</v>
      </c>
      <c r="N405" s="4" t="s">
        <v>8</v>
      </c>
      <c r="O405" s="5">
        <v>5637291709</v>
      </c>
      <c r="P405" s="11" t="e">
        <f ca="1">_xll.AtlasFormulas.AtlasFunctions.AtlasBalance("UAT",DataAreaId,"T.MarkupTrans","Sum|Posted|0","","","","","","","TransRecId|TransTableId|MarkupCode",$O405,"492","TPP")</f>
        <v>#NAME?</v>
      </c>
    </row>
    <row r="406" spans="1:16" x14ac:dyDescent="0.15">
      <c r="A406" s="4" t="s">
        <v>249</v>
      </c>
      <c r="B406" s="4" t="s">
        <v>83</v>
      </c>
      <c r="C406" s="4" t="s">
        <v>82</v>
      </c>
      <c r="D406" s="4" t="s">
        <v>327</v>
      </c>
      <c r="E406" s="4" t="s">
        <v>352</v>
      </c>
      <c r="F406" s="4" t="s">
        <v>80</v>
      </c>
      <c r="G406" s="4" t="s">
        <v>211</v>
      </c>
      <c r="H406" s="4" t="s">
        <v>124</v>
      </c>
      <c r="I406" s="9">
        <v>42849</v>
      </c>
      <c r="J406" s="11">
        <v>5850</v>
      </c>
      <c r="K406" s="4" t="s">
        <v>54</v>
      </c>
      <c r="L406" s="11">
        <v>0.6</v>
      </c>
      <c r="M406" s="11">
        <v>3510</v>
      </c>
      <c r="N406" s="4" t="s">
        <v>8</v>
      </c>
      <c r="O406" s="5">
        <v>5637291698</v>
      </c>
      <c r="P406" s="11" t="e">
        <f ca="1">_xll.AtlasFormulas.AtlasFunctions.AtlasBalance("UAT",DataAreaId,"T.MarkupTrans","Sum|Posted|0","","","","","","","TransRecId|TransTableId|MarkupCode",$O406,"492","TPP")</f>
        <v>#NAME?</v>
      </c>
    </row>
    <row r="407" spans="1:16" x14ac:dyDescent="0.15">
      <c r="A407" s="4" t="s">
        <v>249</v>
      </c>
      <c r="B407" s="4" t="s">
        <v>83</v>
      </c>
      <c r="C407" s="4" t="s">
        <v>82</v>
      </c>
      <c r="D407" s="4" t="s">
        <v>329</v>
      </c>
      <c r="E407" s="4" t="s">
        <v>471</v>
      </c>
      <c r="F407" s="4" t="s">
        <v>80</v>
      </c>
      <c r="G407" s="4" t="s">
        <v>211</v>
      </c>
      <c r="H407" s="4" t="s">
        <v>124</v>
      </c>
      <c r="I407" s="9">
        <v>42849</v>
      </c>
      <c r="J407" s="11">
        <v>3900</v>
      </c>
      <c r="K407" s="4" t="s">
        <v>54</v>
      </c>
      <c r="L407" s="11">
        <v>0.6</v>
      </c>
      <c r="M407" s="11">
        <v>2340</v>
      </c>
      <c r="N407" s="4" t="s">
        <v>8</v>
      </c>
      <c r="O407" s="5">
        <v>5637291691</v>
      </c>
      <c r="P407" s="11" t="e">
        <f ca="1">_xll.AtlasFormulas.AtlasFunctions.AtlasBalance("UAT",DataAreaId,"T.MarkupTrans","Sum|Posted|0","","","","","","","TransRecId|TransTableId|MarkupCode",$O407,"492","TPP")</f>
        <v>#NAME?</v>
      </c>
    </row>
    <row r="408" spans="1:16" x14ac:dyDescent="0.15">
      <c r="A408" s="4" t="s">
        <v>249</v>
      </c>
      <c r="B408" s="4" t="s">
        <v>83</v>
      </c>
      <c r="C408" s="4" t="s">
        <v>82</v>
      </c>
      <c r="D408" s="4" t="s">
        <v>284</v>
      </c>
      <c r="E408" s="4" t="s">
        <v>285</v>
      </c>
      <c r="F408" s="4" t="s">
        <v>80</v>
      </c>
      <c r="G408" s="4" t="s">
        <v>211</v>
      </c>
      <c r="H408" s="4" t="s">
        <v>124</v>
      </c>
      <c r="I408" s="9">
        <v>42849</v>
      </c>
      <c r="J408" s="11">
        <v>1950</v>
      </c>
      <c r="K408" s="4" t="s">
        <v>54</v>
      </c>
      <c r="L408" s="11">
        <v>0.6</v>
      </c>
      <c r="M408" s="11">
        <v>1170</v>
      </c>
      <c r="N408" s="4" t="s">
        <v>8</v>
      </c>
      <c r="O408" s="5">
        <v>5637291687</v>
      </c>
      <c r="P408" s="11" t="e">
        <f ca="1">_xll.AtlasFormulas.AtlasFunctions.AtlasBalance("UAT",DataAreaId,"T.MarkupTrans","Sum|Posted|0","","","","","","","TransRecId|TransTableId|MarkupCode",$O408,"492","TPP")</f>
        <v>#NAME?</v>
      </c>
    </row>
    <row r="409" spans="1:16" x14ac:dyDescent="0.15">
      <c r="A409" s="4" t="s">
        <v>249</v>
      </c>
      <c r="B409" s="4" t="s">
        <v>83</v>
      </c>
      <c r="C409" s="4" t="s">
        <v>82</v>
      </c>
      <c r="D409" s="4" t="s">
        <v>286</v>
      </c>
      <c r="E409" s="4" t="s">
        <v>287</v>
      </c>
      <c r="F409" s="4" t="s">
        <v>80</v>
      </c>
      <c r="G409" s="4" t="s">
        <v>211</v>
      </c>
      <c r="H409" s="4" t="s">
        <v>124</v>
      </c>
      <c r="I409" s="9">
        <v>42851</v>
      </c>
      <c r="J409" s="11">
        <v>3900</v>
      </c>
      <c r="K409" s="4" t="s">
        <v>54</v>
      </c>
      <c r="L409" s="11">
        <v>0.6</v>
      </c>
      <c r="M409" s="11">
        <v>2340</v>
      </c>
      <c r="N409" s="4" t="s">
        <v>8</v>
      </c>
      <c r="O409" s="5">
        <v>5637291740</v>
      </c>
      <c r="P409" s="11" t="e">
        <f ca="1">_xll.AtlasFormulas.AtlasFunctions.AtlasBalance("UAT",DataAreaId,"T.MarkupTrans","Sum|Posted|0","","","","","","","TransRecId|TransTableId|MarkupCode",$O409,"492","TPP")</f>
        <v>#NAME?</v>
      </c>
    </row>
    <row r="410" spans="1:16" x14ac:dyDescent="0.15">
      <c r="A410" s="4" t="s">
        <v>288</v>
      </c>
      <c r="B410" s="4" t="s">
        <v>308</v>
      </c>
      <c r="C410" s="4" t="s">
        <v>82</v>
      </c>
      <c r="D410" s="4" t="s">
        <v>314</v>
      </c>
      <c r="E410" s="4" t="s">
        <v>315</v>
      </c>
      <c r="F410" s="4" t="s">
        <v>311</v>
      </c>
      <c r="G410" s="4" t="s">
        <v>211</v>
      </c>
      <c r="H410" s="4" t="s">
        <v>124</v>
      </c>
      <c r="I410" s="9">
        <v>42855</v>
      </c>
      <c r="J410" s="11">
        <v>3900</v>
      </c>
      <c r="K410" s="4" t="s">
        <v>54</v>
      </c>
      <c r="L410" s="11">
        <v>0.6</v>
      </c>
      <c r="M410" s="11">
        <v>2340</v>
      </c>
      <c r="N410" s="4" t="s">
        <v>8</v>
      </c>
      <c r="O410" s="5">
        <v>5637291773</v>
      </c>
      <c r="P410" s="11" t="e">
        <f ca="1">_xll.AtlasFormulas.AtlasFunctions.AtlasBalance("UAT",DataAreaId,"T.MarkupTrans","Sum|Posted|0","","","","","","","TransRecId|TransTableId|MarkupCode",$O410,"492","TPP")</f>
        <v>#NAME?</v>
      </c>
    </row>
    <row r="411" spans="1:16" x14ac:dyDescent="0.15">
      <c r="A411" s="4" t="s">
        <v>249</v>
      </c>
      <c r="B411" s="4" t="s">
        <v>83</v>
      </c>
      <c r="C411" s="4" t="s">
        <v>82</v>
      </c>
      <c r="D411" s="4" t="s">
        <v>472</v>
      </c>
      <c r="E411" s="4" t="s">
        <v>473</v>
      </c>
      <c r="F411" s="4" t="s">
        <v>80</v>
      </c>
      <c r="G411" s="4" t="s">
        <v>211</v>
      </c>
      <c r="H411" s="4" t="s">
        <v>124</v>
      </c>
      <c r="I411" s="9">
        <v>42860</v>
      </c>
      <c r="J411" s="11">
        <v>3900</v>
      </c>
      <c r="K411" s="4" t="s">
        <v>54</v>
      </c>
      <c r="L411" s="11">
        <v>0.6</v>
      </c>
      <c r="M411" s="11">
        <v>2340</v>
      </c>
      <c r="N411" s="4" t="s">
        <v>8</v>
      </c>
      <c r="O411" s="5">
        <v>5637292158</v>
      </c>
      <c r="P411" s="11" t="e">
        <f ca="1">_xll.AtlasFormulas.AtlasFunctions.AtlasBalance("UAT",DataAreaId,"T.MarkupTrans","Sum|Posted|0","","","","","","","TransRecId|TransTableId|MarkupCode",$O411,"492","TPP")</f>
        <v>#NAME?</v>
      </c>
    </row>
    <row r="412" spans="1:16" x14ac:dyDescent="0.15">
      <c r="A412" s="4" t="s">
        <v>20</v>
      </c>
      <c r="B412" s="4" t="s">
        <v>747</v>
      </c>
      <c r="C412" s="4" t="s">
        <v>272</v>
      </c>
      <c r="D412" s="4" t="s">
        <v>878</v>
      </c>
      <c r="E412" s="4" t="s">
        <v>879</v>
      </c>
      <c r="F412" s="4" t="s">
        <v>728</v>
      </c>
      <c r="G412" s="4" t="s">
        <v>211</v>
      </c>
      <c r="H412" s="4" t="s">
        <v>124</v>
      </c>
      <c r="I412" s="9">
        <v>42860</v>
      </c>
      <c r="J412" s="11">
        <v>3900</v>
      </c>
      <c r="K412" s="4" t="s">
        <v>54</v>
      </c>
      <c r="L412" s="11">
        <v>0.6</v>
      </c>
      <c r="M412" s="11">
        <v>2340</v>
      </c>
      <c r="N412" s="4" t="s">
        <v>8</v>
      </c>
      <c r="O412" s="5">
        <v>5637291817</v>
      </c>
      <c r="P412" s="11" t="e">
        <f ca="1">_xll.AtlasFormulas.AtlasFunctions.AtlasBalance("UAT",DataAreaId,"T.MarkupTrans","Sum|Posted|0","","","","","","","TransRecId|TransTableId|MarkupCode",$O412,"492","TPP")</f>
        <v>#NAME?</v>
      </c>
    </row>
    <row r="413" spans="1:16" x14ac:dyDescent="0.15">
      <c r="A413" s="4" t="s">
        <v>20</v>
      </c>
      <c r="B413" s="4" t="s">
        <v>747</v>
      </c>
      <c r="C413" s="4" t="s">
        <v>272</v>
      </c>
      <c r="D413" s="4" t="s">
        <v>812</v>
      </c>
      <c r="E413" s="4" t="s">
        <v>813</v>
      </c>
      <c r="F413" s="4" t="s">
        <v>728</v>
      </c>
      <c r="G413" s="4" t="s">
        <v>211</v>
      </c>
      <c r="H413" s="4" t="s">
        <v>124</v>
      </c>
      <c r="I413" s="9">
        <v>42863</v>
      </c>
      <c r="J413" s="11">
        <v>12285</v>
      </c>
      <c r="K413" s="4" t="s">
        <v>54</v>
      </c>
      <c r="L413" s="11">
        <v>0.6</v>
      </c>
      <c r="M413" s="11">
        <v>7371</v>
      </c>
      <c r="N413" s="4" t="s">
        <v>8</v>
      </c>
      <c r="O413" s="5">
        <v>5637291872</v>
      </c>
      <c r="P413" s="11" t="e">
        <f ca="1">_xll.AtlasFormulas.AtlasFunctions.AtlasBalance("UAT",DataAreaId,"T.MarkupTrans","Sum|Posted|0","","","","","","","TransRecId|TransTableId|MarkupCode",$O413,"492","TPP")</f>
        <v>#NAME?</v>
      </c>
    </row>
    <row r="414" spans="1:16" x14ac:dyDescent="0.15">
      <c r="A414" s="4" t="s">
        <v>212</v>
      </c>
      <c r="B414" s="4" t="s">
        <v>213</v>
      </c>
      <c r="C414" s="4" t="s">
        <v>214</v>
      </c>
      <c r="D414" s="4" t="s">
        <v>365</v>
      </c>
      <c r="E414" s="4" t="s">
        <v>366</v>
      </c>
      <c r="F414" s="4" t="s">
        <v>217</v>
      </c>
      <c r="G414" s="4" t="s">
        <v>211</v>
      </c>
      <c r="H414" s="4" t="s">
        <v>124</v>
      </c>
      <c r="I414" s="9">
        <v>42871</v>
      </c>
      <c r="J414" s="11">
        <v>12285</v>
      </c>
      <c r="K414" s="4" t="s">
        <v>54</v>
      </c>
      <c r="L414" s="11">
        <v>0.6</v>
      </c>
      <c r="M414" s="11">
        <v>7371</v>
      </c>
      <c r="N414" s="4" t="s">
        <v>8</v>
      </c>
      <c r="O414" s="5">
        <v>5637291473</v>
      </c>
      <c r="P414" s="11" t="e">
        <f ca="1">_xll.AtlasFormulas.AtlasFunctions.AtlasBalance("UAT",DataAreaId,"T.MarkupTrans","Sum|Posted|0","","","","","","","TransRecId|TransTableId|MarkupCode",$O414,"492","TPP")</f>
        <v>#NAME?</v>
      </c>
    </row>
    <row r="415" spans="1:16" x14ac:dyDescent="0.15">
      <c r="A415" s="4" t="s">
        <v>20</v>
      </c>
      <c r="B415" s="4" t="s">
        <v>747</v>
      </c>
      <c r="C415" s="4" t="s">
        <v>272</v>
      </c>
      <c r="D415" s="4" t="s">
        <v>923</v>
      </c>
      <c r="E415" s="4" t="s">
        <v>924</v>
      </c>
      <c r="F415" s="4" t="s">
        <v>728</v>
      </c>
      <c r="G415" s="4" t="s">
        <v>211</v>
      </c>
      <c r="H415" s="4" t="s">
        <v>124</v>
      </c>
      <c r="I415" s="9">
        <v>42884</v>
      </c>
      <c r="J415" s="11">
        <v>25350</v>
      </c>
      <c r="K415" s="4" t="s">
        <v>54</v>
      </c>
      <c r="L415" s="11">
        <v>0.6</v>
      </c>
      <c r="M415" s="11">
        <v>15210</v>
      </c>
      <c r="N415" s="4" t="s">
        <v>8</v>
      </c>
      <c r="O415" s="5">
        <v>5637292229</v>
      </c>
      <c r="P415" s="11" t="e">
        <f ca="1">_xll.AtlasFormulas.AtlasFunctions.AtlasBalance("UAT",DataAreaId,"T.MarkupTrans","Sum|Posted|0","","","","","","","TransRecId|TransTableId|MarkupCode",$O415,"492","TPP")</f>
        <v>#NAME?</v>
      </c>
    </row>
    <row r="416" spans="1:16" x14ac:dyDescent="0.15">
      <c r="A416" s="4" t="s">
        <v>20</v>
      </c>
      <c r="B416" s="4" t="s">
        <v>747</v>
      </c>
      <c r="C416" s="4" t="s">
        <v>272</v>
      </c>
      <c r="D416" s="4" t="s">
        <v>816</v>
      </c>
      <c r="E416" s="4" t="s">
        <v>817</v>
      </c>
      <c r="F416" s="4" t="s">
        <v>728</v>
      </c>
      <c r="G416" s="4" t="s">
        <v>211</v>
      </c>
      <c r="H416" s="4" t="s">
        <v>124</v>
      </c>
      <c r="I416" s="9">
        <v>42884</v>
      </c>
      <c r="J416" s="11">
        <v>9750</v>
      </c>
      <c r="K416" s="4" t="s">
        <v>54</v>
      </c>
      <c r="L416" s="11">
        <v>0.6</v>
      </c>
      <c r="M416" s="11">
        <v>5850</v>
      </c>
      <c r="N416" s="4" t="s">
        <v>8</v>
      </c>
      <c r="O416" s="5">
        <v>5637292234</v>
      </c>
      <c r="P416" s="11" t="e">
        <f ca="1">_xll.AtlasFormulas.AtlasFunctions.AtlasBalance("UAT",DataAreaId,"T.MarkupTrans","Sum|Posted|0","","","","","","","TransRecId|TransTableId|MarkupCode",$O416,"492","TPP")</f>
        <v>#NAME?</v>
      </c>
    </row>
    <row r="417" spans="1:16" x14ac:dyDescent="0.15">
      <c r="A417" s="4" t="s">
        <v>227</v>
      </c>
      <c r="B417" s="4" t="s">
        <v>228</v>
      </c>
      <c r="C417" s="4" t="s">
        <v>82</v>
      </c>
      <c r="D417" s="4" t="s">
        <v>401</v>
      </c>
      <c r="E417" s="4" t="s">
        <v>528</v>
      </c>
      <c r="F417" s="4" t="s">
        <v>231</v>
      </c>
      <c r="G417" s="4" t="s">
        <v>211</v>
      </c>
      <c r="H417" s="4" t="s">
        <v>124</v>
      </c>
      <c r="I417" s="9">
        <v>42886</v>
      </c>
      <c r="J417" s="11">
        <v>25350</v>
      </c>
      <c r="K417" s="4" t="s">
        <v>54</v>
      </c>
      <c r="L417" s="11">
        <v>0.6</v>
      </c>
      <c r="M417" s="11">
        <v>15210</v>
      </c>
      <c r="N417" s="4" t="s">
        <v>8</v>
      </c>
      <c r="O417" s="5">
        <v>5637292287</v>
      </c>
      <c r="P417" s="11" t="e">
        <f ca="1">_xll.AtlasFormulas.AtlasFunctions.AtlasBalance("UAT",DataAreaId,"T.MarkupTrans","Sum|Posted|0","","","","","","","TransRecId|TransTableId|MarkupCode",$O417,"492","TPP")</f>
        <v>#NAME?</v>
      </c>
    </row>
    <row r="418" spans="1:16" x14ac:dyDescent="0.15">
      <c r="A418" s="4" t="s">
        <v>249</v>
      </c>
      <c r="B418" s="4" t="s">
        <v>83</v>
      </c>
      <c r="C418" s="4" t="s">
        <v>82</v>
      </c>
      <c r="D418" s="4" t="s">
        <v>368</v>
      </c>
      <c r="E418" s="4" t="s">
        <v>369</v>
      </c>
      <c r="F418" s="4" t="s">
        <v>80</v>
      </c>
      <c r="G418" s="4" t="s">
        <v>211</v>
      </c>
      <c r="H418" s="4" t="s">
        <v>124</v>
      </c>
      <c r="I418" s="9">
        <v>42886</v>
      </c>
      <c r="J418" s="11">
        <v>9750</v>
      </c>
      <c r="K418" s="4" t="s">
        <v>54</v>
      </c>
      <c r="L418" s="11">
        <v>0.6</v>
      </c>
      <c r="M418" s="11">
        <v>5850</v>
      </c>
      <c r="N418" s="4" t="s">
        <v>8</v>
      </c>
      <c r="O418" s="5">
        <v>5637292297</v>
      </c>
      <c r="P418" s="11" t="e">
        <f ca="1">_xll.AtlasFormulas.AtlasFunctions.AtlasBalance("UAT",DataAreaId,"T.MarkupTrans","Sum|Posted|0","","","","","","","TransRecId|TransTableId|MarkupCode",$O418,"492","TPP")</f>
        <v>#NAME?</v>
      </c>
    </row>
    <row r="419" spans="1:16" x14ac:dyDescent="0.15">
      <c r="A419" s="4" t="s">
        <v>20</v>
      </c>
      <c r="B419" s="4" t="s">
        <v>747</v>
      </c>
      <c r="C419" s="4" t="s">
        <v>272</v>
      </c>
      <c r="D419" s="4" t="s">
        <v>818</v>
      </c>
      <c r="E419" s="4" t="s">
        <v>819</v>
      </c>
      <c r="F419" s="4" t="s">
        <v>728</v>
      </c>
      <c r="G419" s="4" t="s">
        <v>211</v>
      </c>
      <c r="H419" s="4" t="s">
        <v>124</v>
      </c>
      <c r="I419" s="9">
        <v>42891</v>
      </c>
      <c r="J419" s="11">
        <v>11700</v>
      </c>
      <c r="K419" s="4" t="s">
        <v>54</v>
      </c>
      <c r="L419" s="11">
        <v>0.6</v>
      </c>
      <c r="M419" s="11">
        <v>7020</v>
      </c>
      <c r="N419" s="4" t="s">
        <v>8</v>
      </c>
      <c r="O419" s="5">
        <v>5637292363</v>
      </c>
      <c r="P419" s="11" t="e">
        <f ca="1">_xll.AtlasFormulas.AtlasFunctions.AtlasBalance("UAT",DataAreaId,"T.MarkupTrans","Sum|Posted|0","","","","","","","TransRecId|TransTableId|MarkupCode",$O419,"492","TPP")</f>
        <v>#NAME?</v>
      </c>
    </row>
    <row r="420" spans="1:16" x14ac:dyDescent="0.15">
      <c r="A420" s="4" t="s">
        <v>20</v>
      </c>
      <c r="B420" s="4" t="s">
        <v>747</v>
      </c>
      <c r="C420" s="4" t="s">
        <v>272</v>
      </c>
      <c r="D420" s="4" t="s">
        <v>854</v>
      </c>
      <c r="E420" s="4" t="s">
        <v>855</v>
      </c>
      <c r="F420" s="4" t="s">
        <v>728</v>
      </c>
      <c r="G420" s="4" t="s">
        <v>211</v>
      </c>
      <c r="H420" s="4" t="s">
        <v>124</v>
      </c>
      <c r="I420" s="9">
        <v>42891</v>
      </c>
      <c r="J420" s="11">
        <v>24570</v>
      </c>
      <c r="K420" s="4" t="s">
        <v>54</v>
      </c>
      <c r="L420" s="11">
        <v>0.6</v>
      </c>
      <c r="M420" s="11">
        <v>14742</v>
      </c>
      <c r="N420" s="4" t="s">
        <v>8</v>
      </c>
      <c r="O420" s="5">
        <v>5637292354</v>
      </c>
      <c r="P420" s="11" t="e">
        <f ca="1">_xll.AtlasFormulas.AtlasFunctions.AtlasBalance("UAT",DataAreaId,"T.MarkupTrans","Sum|Posted|0","","","","","","","TransRecId|TransTableId|MarkupCode",$O420,"492","TPP")</f>
        <v>#NAME?</v>
      </c>
    </row>
    <row r="421" spans="1:16" x14ac:dyDescent="0.15">
      <c r="A421" s="4" t="s">
        <v>288</v>
      </c>
      <c r="B421" s="4" t="s">
        <v>308</v>
      </c>
      <c r="C421" s="4" t="s">
        <v>82</v>
      </c>
      <c r="D421" s="4" t="s">
        <v>370</v>
      </c>
      <c r="E421" s="4" t="s">
        <v>371</v>
      </c>
      <c r="F421" s="4" t="s">
        <v>311</v>
      </c>
      <c r="G421" s="4" t="s">
        <v>211</v>
      </c>
      <c r="H421" s="4" t="s">
        <v>124</v>
      </c>
      <c r="I421" s="9">
        <v>42892</v>
      </c>
      <c r="J421" s="11">
        <v>11700</v>
      </c>
      <c r="K421" s="4" t="s">
        <v>54</v>
      </c>
      <c r="L421" s="11">
        <v>0.6</v>
      </c>
      <c r="M421" s="11">
        <v>7020</v>
      </c>
      <c r="N421" s="4" t="s">
        <v>8</v>
      </c>
      <c r="O421" s="5">
        <v>5637292337</v>
      </c>
      <c r="P421" s="11" t="e">
        <f ca="1">_xll.AtlasFormulas.AtlasFunctions.AtlasBalance("UAT",DataAreaId,"T.MarkupTrans","Sum|Posted|0","","","","","","","TransRecId|TransTableId|MarkupCode",$O421,"492","TPP")</f>
        <v>#NAME?</v>
      </c>
    </row>
    <row r="422" spans="1:16" x14ac:dyDescent="0.15">
      <c r="A422" s="4" t="s">
        <v>212</v>
      </c>
      <c r="B422" s="4" t="s">
        <v>213</v>
      </c>
      <c r="C422" s="4" t="s">
        <v>214</v>
      </c>
      <c r="D422" s="4" t="s">
        <v>421</v>
      </c>
      <c r="E422" s="4" t="s">
        <v>422</v>
      </c>
      <c r="F422" s="4" t="s">
        <v>217</v>
      </c>
      <c r="G422" s="4" t="s">
        <v>211</v>
      </c>
      <c r="H422" s="4" t="s">
        <v>124</v>
      </c>
      <c r="I422" s="9">
        <v>42898</v>
      </c>
      <c r="J422" s="11">
        <v>24570</v>
      </c>
      <c r="K422" s="4" t="s">
        <v>54</v>
      </c>
      <c r="L422" s="11">
        <v>0.6</v>
      </c>
      <c r="M422" s="11">
        <v>14742</v>
      </c>
      <c r="N422" s="4" t="s">
        <v>8</v>
      </c>
      <c r="O422" s="5">
        <v>5637292415</v>
      </c>
      <c r="P422" s="11" t="e">
        <f ca="1">_xll.AtlasFormulas.AtlasFunctions.AtlasBalance("UAT",DataAreaId,"T.MarkupTrans","Sum|Posted|0","","","","","","","TransRecId|TransTableId|MarkupCode",$O422,"492","TPP")</f>
        <v>#NAME?</v>
      </c>
    </row>
    <row r="423" spans="1:16" x14ac:dyDescent="0.15">
      <c r="A423" s="4" t="s">
        <v>20</v>
      </c>
      <c r="B423" s="4" t="s">
        <v>747</v>
      </c>
      <c r="C423" s="4" t="s">
        <v>272</v>
      </c>
      <c r="D423" s="4" t="s">
        <v>786</v>
      </c>
      <c r="E423" s="4" t="s">
        <v>787</v>
      </c>
      <c r="F423" s="4" t="s">
        <v>728</v>
      </c>
      <c r="G423" s="4" t="s">
        <v>211</v>
      </c>
      <c r="H423" s="4" t="s">
        <v>124</v>
      </c>
      <c r="I423" s="9">
        <v>42905</v>
      </c>
      <c r="J423" s="11">
        <v>7800</v>
      </c>
      <c r="K423" s="4" t="s">
        <v>54</v>
      </c>
      <c r="L423" s="11">
        <v>0.6</v>
      </c>
      <c r="M423" s="11">
        <v>4680</v>
      </c>
      <c r="N423" s="4" t="s">
        <v>8</v>
      </c>
      <c r="O423" s="5">
        <v>5637292958</v>
      </c>
      <c r="P423" s="11" t="e">
        <f ca="1">_xll.AtlasFormulas.AtlasFunctions.AtlasBalance("UAT",DataAreaId,"T.MarkupTrans","Sum|Posted|0","","","","","","","TransRecId|TransTableId|MarkupCode",$O423,"492","TPP")</f>
        <v>#NAME?</v>
      </c>
    </row>
    <row r="424" spans="1:16" x14ac:dyDescent="0.15">
      <c r="A424" s="4" t="s">
        <v>288</v>
      </c>
      <c r="B424" s="4" t="s">
        <v>308</v>
      </c>
      <c r="C424" s="4" t="s">
        <v>82</v>
      </c>
      <c r="D424" s="4" t="s">
        <v>316</v>
      </c>
      <c r="E424" s="4" t="s">
        <v>317</v>
      </c>
      <c r="F424" s="4" t="s">
        <v>311</v>
      </c>
      <c r="G424" s="4" t="s">
        <v>211</v>
      </c>
      <c r="H424" s="4" t="s">
        <v>124</v>
      </c>
      <c r="I424" s="9">
        <v>42915</v>
      </c>
      <c r="J424" s="11">
        <v>7800</v>
      </c>
      <c r="K424" s="4" t="s">
        <v>54</v>
      </c>
      <c r="L424" s="11">
        <v>0.6</v>
      </c>
      <c r="M424" s="11">
        <v>4680</v>
      </c>
      <c r="N424" s="4" t="s">
        <v>8</v>
      </c>
      <c r="O424" s="5">
        <v>5637292995</v>
      </c>
      <c r="P424" s="11" t="e">
        <f ca="1">_xll.AtlasFormulas.AtlasFunctions.AtlasBalance("UAT",DataAreaId,"T.MarkupTrans","Sum|Posted|0","","","","","","","TransRecId|TransTableId|MarkupCode",$O424,"492","TPP")</f>
        <v>#NAME?</v>
      </c>
    </row>
    <row r="425" spans="1:16" x14ac:dyDescent="0.15">
      <c r="A425" s="4" t="s">
        <v>20</v>
      </c>
      <c r="B425" s="4" t="s">
        <v>747</v>
      </c>
      <c r="C425" s="4" t="s">
        <v>272</v>
      </c>
      <c r="D425" s="4" t="s">
        <v>925</v>
      </c>
      <c r="E425" s="4" t="s">
        <v>926</v>
      </c>
      <c r="F425" s="4" t="s">
        <v>728</v>
      </c>
      <c r="G425" s="4" t="s">
        <v>211</v>
      </c>
      <c r="H425" s="4" t="s">
        <v>124</v>
      </c>
      <c r="I425" s="9">
        <v>42916</v>
      </c>
      <c r="J425" s="11">
        <v>9750</v>
      </c>
      <c r="K425" s="4" t="s">
        <v>54</v>
      </c>
      <c r="L425" s="11">
        <v>0.6</v>
      </c>
      <c r="M425" s="11">
        <v>5850</v>
      </c>
      <c r="N425" s="4" t="s">
        <v>8</v>
      </c>
      <c r="O425" s="5">
        <v>5637292986</v>
      </c>
      <c r="P425" s="11" t="e">
        <f ca="1">_xll.AtlasFormulas.AtlasFunctions.AtlasBalance("UAT",DataAreaId,"T.MarkupTrans","Sum|Posted|0","","","","","","","TransRecId|TransTableId|MarkupCode",$O425,"492","TPP")</f>
        <v>#NAME?</v>
      </c>
    </row>
    <row r="426" spans="1:16" x14ac:dyDescent="0.15">
      <c r="A426" s="4" t="s">
        <v>20</v>
      </c>
      <c r="B426" s="4" t="s">
        <v>747</v>
      </c>
      <c r="C426" s="4" t="s">
        <v>272</v>
      </c>
      <c r="D426" s="4" t="s">
        <v>927</v>
      </c>
      <c r="E426" s="4" t="s">
        <v>928</v>
      </c>
      <c r="F426" s="4" t="s">
        <v>728</v>
      </c>
      <c r="G426" s="4" t="s">
        <v>211</v>
      </c>
      <c r="H426" s="4" t="s">
        <v>124</v>
      </c>
      <c r="I426" s="9">
        <v>42917</v>
      </c>
      <c r="J426" s="11">
        <v>25350</v>
      </c>
      <c r="K426" s="4" t="s">
        <v>54</v>
      </c>
      <c r="L426" s="11">
        <v>0.62</v>
      </c>
      <c r="M426" s="11">
        <v>15717</v>
      </c>
      <c r="N426" s="4" t="s">
        <v>8</v>
      </c>
      <c r="O426" s="5">
        <v>5637293442</v>
      </c>
      <c r="P426" s="11" t="e">
        <f ca="1">_xll.AtlasFormulas.AtlasFunctions.AtlasBalance("UAT",DataAreaId,"T.MarkupTrans","Sum|Posted|0","","","","","","","TransRecId|TransTableId|MarkupCode",$O426,"492","TPP")</f>
        <v>#NAME?</v>
      </c>
    </row>
    <row r="427" spans="1:16" x14ac:dyDescent="0.15">
      <c r="A427" s="4" t="s">
        <v>20</v>
      </c>
      <c r="B427" s="4" t="s">
        <v>747</v>
      </c>
      <c r="C427" s="4" t="s">
        <v>272</v>
      </c>
      <c r="D427" s="4" t="s">
        <v>892</v>
      </c>
      <c r="E427" s="4" t="s">
        <v>893</v>
      </c>
      <c r="F427" s="4" t="s">
        <v>728</v>
      </c>
      <c r="G427" s="4" t="s">
        <v>211</v>
      </c>
      <c r="H427" s="4" t="s">
        <v>124</v>
      </c>
      <c r="I427" s="9">
        <v>42927</v>
      </c>
      <c r="J427" s="11">
        <v>9750</v>
      </c>
      <c r="K427" s="4" t="s">
        <v>54</v>
      </c>
      <c r="L427" s="11">
        <v>0.62</v>
      </c>
      <c r="M427" s="11">
        <v>6045</v>
      </c>
      <c r="N427" s="4" t="s">
        <v>8</v>
      </c>
      <c r="O427" s="5">
        <v>5637293451</v>
      </c>
      <c r="P427" s="11" t="e">
        <f ca="1">_xll.AtlasFormulas.AtlasFunctions.AtlasBalance("UAT",DataAreaId,"T.MarkupTrans","Sum|Posted|0","","","","","","","TransRecId|TransTableId|MarkupCode",$O427,"492","TPP")</f>
        <v>#NAME?</v>
      </c>
    </row>
    <row r="428" spans="1:16" x14ac:dyDescent="0.15">
      <c r="A428" s="4" t="s">
        <v>288</v>
      </c>
      <c r="B428" s="4" t="s">
        <v>308</v>
      </c>
      <c r="C428" s="4" t="s">
        <v>82</v>
      </c>
      <c r="D428" s="4" t="s">
        <v>529</v>
      </c>
      <c r="E428" s="4" t="s">
        <v>530</v>
      </c>
      <c r="F428" s="4" t="s">
        <v>311</v>
      </c>
      <c r="G428" s="4" t="s">
        <v>211</v>
      </c>
      <c r="H428" s="4" t="s">
        <v>124</v>
      </c>
      <c r="I428" s="9">
        <v>42929</v>
      </c>
      <c r="J428" s="11">
        <v>25350</v>
      </c>
      <c r="K428" s="4" t="s">
        <v>54</v>
      </c>
      <c r="L428" s="11">
        <v>0.62</v>
      </c>
      <c r="M428" s="11">
        <v>15717</v>
      </c>
      <c r="N428" s="4" t="s">
        <v>8</v>
      </c>
      <c r="O428" s="5">
        <v>5637294183</v>
      </c>
      <c r="P428" s="11" t="e">
        <f ca="1">_xll.AtlasFormulas.AtlasFunctions.AtlasBalance("UAT",DataAreaId,"T.MarkupTrans","Sum|Posted|0","","","","","","","TransRecId|TransTableId|MarkupCode",$O428,"492","TPP")</f>
        <v>#NAME?</v>
      </c>
    </row>
    <row r="429" spans="1:16" x14ac:dyDescent="0.15">
      <c r="A429" s="4" t="s">
        <v>20</v>
      </c>
      <c r="B429" s="4" t="s">
        <v>752</v>
      </c>
      <c r="C429" s="4" t="s">
        <v>272</v>
      </c>
      <c r="D429" s="4" t="s">
        <v>929</v>
      </c>
      <c r="E429" s="4" t="s">
        <v>930</v>
      </c>
      <c r="F429" s="4" t="s">
        <v>728</v>
      </c>
      <c r="G429" s="4" t="s">
        <v>211</v>
      </c>
      <c r="H429" s="4" t="s">
        <v>124</v>
      </c>
      <c r="I429" s="9">
        <v>42942</v>
      </c>
      <c r="J429" s="11">
        <v>11700</v>
      </c>
      <c r="K429" s="4" t="s">
        <v>54</v>
      </c>
      <c r="L429" s="11">
        <v>0.62</v>
      </c>
      <c r="M429" s="11">
        <v>7254</v>
      </c>
      <c r="N429" s="4" t="s">
        <v>8</v>
      </c>
      <c r="O429" s="5">
        <v>5637294417</v>
      </c>
      <c r="P429" s="11" t="e">
        <f ca="1">_xll.AtlasFormulas.AtlasFunctions.AtlasBalance("UAT",DataAreaId,"T.MarkupTrans","Sum|Posted|0","","","","","","","TransRecId|TransTableId|MarkupCode",$O429,"492","TPP")</f>
        <v>#NAME?</v>
      </c>
    </row>
    <row r="430" spans="1:16" x14ac:dyDescent="0.15">
      <c r="A430" s="4" t="s">
        <v>288</v>
      </c>
      <c r="B430" s="4" t="s">
        <v>361</v>
      </c>
      <c r="C430" s="4" t="s">
        <v>50</v>
      </c>
      <c r="D430" s="4" t="s">
        <v>477</v>
      </c>
      <c r="E430" s="4" t="s">
        <v>531</v>
      </c>
      <c r="F430" s="4" t="s">
        <v>311</v>
      </c>
      <c r="G430" s="4" t="s">
        <v>211</v>
      </c>
      <c r="H430" s="4" t="s">
        <v>124</v>
      </c>
      <c r="I430" s="9">
        <v>42947</v>
      </c>
      <c r="J430" s="11">
        <v>9750</v>
      </c>
      <c r="K430" s="4" t="s">
        <v>54</v>
      </c>
      <c r="L430" s="11">
        <v>4.46</v>
      </c>
      <c r="M430" s="11">
        <v>43485</v>
      </c>
      <c r="N430" s="4" t="s">
        <v>364</v>
      </c>
      <c r="O430" s="5">
        <v>5637294398</v>
      </c>
      <c r="P430" s="11" t="e">
        <f ca="1">_xll.AtlasFormulas.AtlasFunctions.AtlasBalance("UAT",DataAreaId,"T.MarkupTrans","Sum|Posted|0","","","","","","","TransRecId|TransTableId|MarkupCode",$O430,"492","TPP")</f>
        <v>#NAME?</v>
      </c>
    </row>
    <row r="431" spans="1:16" x14ac:dyDescent="0.15">
      <c r="A431" s="4" t="s">
        <v>288</v>
      </c>
      <c r="B431" s="4" t="s">
        <v>308</v>
      </c>
      <c r="C431" s="4" t="s">
        <v>82</v>
      </c>
      <c r="D431" s="4" t="s">
        <v>532</v>
      </c>
      <c r="E431" s="4" t="s">
        <v>533</v>
      </c>
      <c r="F431" s="4" t="s">
        <v>311</v>
      </c>
      <c r="G431" s="4" t="s">
        <v>211</v>
      </c>
      <c r="H431" s="4" t="s">
        <v>124</v>
      </c>
      <c r="I431" s="9">
        <v>42947</v>
      </c>
      <c r="J431" s="11">
        <v>9750</v>
      </c>
      <c r="K431" s="4" t="s">
        <v>54</v>
      </c>
      <c r="L431" s="11">
        <v>0.6</v>
      </c>
      <c r="M431" s="11">
        <v>5850</v>
      </c>
      <c r="N431" s="4" t="s">
        <v>8</v>
      </c>
      <c r="O431" s="5">
        <v>5637294177</v>
      </c>
      <c r="P431" s="11" t="e">
        <f ca="1">_xll.AtlasFormulas.AtlasFunctions.AtlasBalance("UAT",DataAreaId,"T.MarkupTrans","Sum|Posted|0","","","","","","","TransRecId|TransTableId|MarkupCode",$O431,"492","TPP")</f>
        <v>#NAME?</v>
      </c>
    </row>
    <row r="432" spans="1:16" x14ac:dyDescent="0.15">
      <c r="A432" s="4" t="s">
        <v>249</v>
      </c>
      <c r="B432" s="4" t="s">
        <v>83</v>
      </c>
      <c r="C432" s="4" t="s">
        <v>82</v>
      </c>
      <c r="D432" s="4" t="s">
        <v>487</v>
      </c>
      <c r="E432" s="4" t="s">
        <v>488</v>
      </c>
      <c r="F432" s="4" t="s">
        <v>80</v>
      </c>
      <c r="G432" s="4" t="s">
        <v>211</v>
      </c>
      <c r="H432" s="4" t="s">
        <v>124</v>
      </c>
      <c r="I432" s="9">
        <v>42947</v>
      </c>
      <c r="J432" s="11">
        <v>9750</v>
      </c>
      <c r="K432" s="4" t="s">
        <v>54</v>
      </c>
      <c r="L432" s="11">
        <v>0.62</v>
      </c>
      <c r="M432" s="11">
        <v>6045</v>
      </c>
      <c r="N432" s="4" t="s">
        <v>8</v>
      </c>
      <c r="O432" s="5">
        <v>5637294153</v>
      </c>
      <c r="P432" s="11" t="e">
        <f ca="1">_xll.AtlasFormulas.AtlasFunctions.AtlasBalance("UAT",DataAreaId,"T.MarkupTrans","Sum|Posted|0","","","","","","","TransRecId|TransTableId|MarkupCode",$O432,"492","TPP")</f>
        <v>#NAME?</v>
      </c>
    </row>
    <row r="433" spans="1:16" x14ac:dyDescent="0.15">
      <c r="A433" s="4" t="s">
        <v>249</v>
      </c>
      <c r="B433" s="4" t="s">
        <v>89</v>
      </c>
      <c r="C433" s="4" t="s">
        <v>81</v>
      </c>
      <c r="D433" s="4" t="s">
        <v>125</v>
      </c>
      <c r="E433" s="4" t="s">
        <v>534</v>
      </c>
      <c r="F433" s="4" t="s">
        <v>80</v>
      </c>
      <c r="G433" s="4" t="s">
        <v>211</v>
      </c>
      <c r="H433" s="4" t="s">
        <v>124</v>
      </c>
      <c r="I433" s="9">
        <v>42947</v>
      </c>
      <c r="J433" s="11">
        <v>9750</v>
      </c>
      <c r="K433" s="4" t="s">
        <v>54</v>
      </c>
      <c r="L433" s="11">
        <v>0</v>
      </c>
      <c r="M433" s="11">
        <v>6017.99</v>
      </c>
      <c r="N433" s="4" t="s">
        <v>8</v>
      </c>
      <c r="O433" s="5">
        <v>5637294173</v>
      </c>
      <c r="P433" s="11" t="e">
        <f ca="1">_xll.AtlasFormulas.AtlasFunctions.AtlasBalance("UAT",DataAreaId,"T.MarkupTrans","Sum|Posted|0","","","","","","","TransRecId|TransTableId|MarkupCode",$O433,"492","TPP")</f>
        <v>#NAME?</v>
      </c>
    </row>
    <row r="434" spans="1:16" x14ac:dyDescent="0.15">
      <c r="A434" s="4" t="s">
        <v>20</v>
      </c>
      <c r="B434" s="4" t="s">
        <v>747</v>
      </c>
      <c r="C434" s="4" t="s">
        <v>272</v>
      </c>
      <c r="D434" s="4" t="s">
        <v>898</v>
      </c>
      <c r="E434" s="4" t="s">
        <v>205</v>
      </c>
      <c r="F434" s="4" t="s">
        <v>728</v>
      </c>
      <c r="G434" s="4" t="s">
        <v>211</v>
      </c>
      <c r="H434" s="4" t="s">
        <v>124</v>
      </c>
      <c r="I434" s="9">
        <v>42948</v>
      </c>
      <c r="J434" s="11">
        <v>3900</v>
      </c>
      <c r="K434" s="4" t="s">
        <v>54</v>
      </c>
      <c r="L434" s="11">
        <v>0.62</v>
      </c>
      <c r="M434" s="11">
        <v>2418</v>
      </c>
      <c r="N434" s="4" t="s">
        <v>8</v>
      </c>
      <c r="O434" s="5">
        <v>5637294434</v>
      </c>
      <c r="P434" s="11" t="e">
        <f ca="1">_xll.AtlasFormulas.AtlasFunctions.AtlasBalance("UAT",DataAreaId,"T.MarkupTrans","Sum|Posted|0","","","","","","","TransRecId|TransTableId|MarkupCode",$O434,"492","TPP")</f>
        <v>#NAME?</v>
      </c>
    </row>
    <row r="435" spans="1:16" x14ac:dyDescent="0.15">
      <c r="A435" s="4" t="s">
        <v>249</v>
      </c>
      <c r="B435" s="4" t="s">
        <v>83</v>
      </c>
      <c r="C435" s="4" t="s">
        <v>82</v>
      </c>
      <c r="D435" s="4" t="s">
        <v>129</v>
      </c>
      <c r="E435" s="4" t="s">
        <v>489</v>
      </c>
      <c r="F435" s="4" t="s">
        <v>80</v>
      </c>
      <c r="G435" s="4" t="s">
        <v>211</v>
      </c>
      <c r="H435" s="4" t="s">
        <v>124</v>
      </c>
      <c r="I435" s="9">
        <v>42950</v>
      </c>
      <c r="J435" s="11">
        <v>3900</v>
      </c>
      <c r="K435" s="4" t="s">
        <v>54</v>
      </c>
      <c r="L435" s="11">
        <v>0.62</v>
      </c>
      <c r="M435" s="11">
        <v>2418</v>
      </c>
      <c r="N435" s="4" t="s">
        <v>8</v>
      </c>
      <c r="O435" s="5">
        <v>5637294442</v>
      </c>
      <c r="P435" s="11" t="e">
        <f ca="1">_xll.AtlasFormulas.AtlasFunctions.AtlasBalance("UAT",DataAreaId,"T.MarkupTrans","Sum|Posted|0","","","","","","","TransRecId|TransTableId|MarkupCode",$O435,"492","TPP")</f>
        <v>#NAME?</v>
      </c>
    </row>
    <row r="436" spans="1:16" x14ac:dyDescent="0.15">
      <c r="A436" s="4" t="s">
        <v>249</v>
      </c>
      <c r="B436" s="4" t="s">
        <v>83</v>
      </c>
      <c r="C436" s="4" t="s">
        <v>82</v>
      </c>
      <c r="D436" s="4" t="s">
        <v>171</v>
      </c>
      <c r="E436" s="4" t="s">
        <v>490</v>
      </c>
      <c r="F436" s="4" t="s">
        <v>80</v>
      </c>
      <c r="G436" s="4" t="s">
        <v>211</v>
      </c>
      <c r="H436" s="4" t="s">
        <v>124</v>
      </c>
      <c r="I436" s="9">
        <v>42954</v>
      </c>
      <c r="J436" s="11">
        <v>13650</v>
      </c>
      <c r="K436" s="4" t="s">
        <v>54</v>
      </c>
      <c r="L436" s="11">
        <v>0.62</v>
      </c>
      <c r="M436" s="11">
        <v>8463</v>
      </c>
      <c r="N436" s="4" t="s">
        <v>8</v>
      </c>
      <c r="O436" s="5">
        <v>5637294439</v>
      </c>
      <c r="P436" s="11" t="e">
        <f ca="1">_xll.AtlasFormulas.AtlasFunctions.AtlasBalance("UAT",DataAreaId,"T.MarkupTrans","Sum|Posted|0","","","","","","","TransRecId|TransTableId|MarkupCode",$O436,"492","TPP")</f>
        <v>#NAME?</v>
      </c>
    </row>
    <row r="437" spans="1:16" x14ac:dyDescent="0.15">
      <c r="A437" s="4" t="s">
        <v>20</v>
      </c>
      <c r="B437" s="4" t="s">
        <v>747</v>
      </c>
      <c r="C437" s="4" t="s">
        <v>272</v>
      </c>
      <c r="D437" s="4" t="s">
        <v>899</v>
      </c>
      <c r="E437" s="4" t="s">
        <v>207</v>
      </c>
      <c r="F437" s="4" t="s">
        <v>728</v>
      </c>
      <c r="G437" s="4" t="s">
        <v>211</v>
      </c>
      <c r="H437" s="4" t="s">
        <v>124</v>
      </c>
      <c r="I437" s="9">
        <v>42954</v>
      </c>
      <c r="J437" s="11">
        <v>13650</v>
      </c>
      <c r="K437" s="4" t="s">
        <v>54</v>
      </c>
      <c r="L437" s="11">
        <v>0.62</v>
      </c>
      <c r="M437" s="11">
        <v>8463</v>
      </c>
      <c r="N437" s="4" t="s">
        <v>8</v>
      </c>
      <c r="O437" s="5">
        <v>5637294468</v>
      </c>
      <c r="P437" s="11" t="e">
        <f ca="1">_xll.AtlasFormulas.AtlasFunctions.AtlasBalance("UAT",DataAreaId,"T.MarkupTrans","Sum|Posted|0","","","","","","","TransRecId|TransTableId|MarkupCode",$O437,"492","TPP")</f>
        <v>#NAME?</v>
      </c>
    </row>
    <row r="438" spans="1:16" x14ac:dyDescent="0.15">
      <c r="A438" s="4" t="s">
        <v>249</v>
      </c>
      <c r="B438" s="4" t="s">
        <v>83</v>
      </c>
      <c r="C438" s="4" t="s">
        <v>82</v>
      </c>
      <c r="D438" s="4" t="s">
        <v>496</v>
      </c>
      <c r="E438" s="4" t="s">
        <v>497</v>
      </c>
      <c r="F438" s="4" t="s">
        <v>80</v>
      </c>
      <c r="G438" s="4" t="s">
        <v>211</v>
      </c>
      <c r="H438" s="4" t="s">
        <v>124</v>
      </c>
      <c r="I438" s="9">
        <v>42956</v>
      </c>
      <c r="J438" s="11">
        <v>-3900</v>
      </c>
      <c r="K438" s="4" t="s">
        <v>54</v>
      </c>
      <c r="L438" s="11">
        <v>0.62</v>
      </c>
      <c r="M438" s="11">
        <v>-2418</v>
      </c>
      <c r="N438" s="4" t="s">
        <v>8</v>
      </c>
      <c r="O438" s="5">
        <v>5637294452</v>
      </c>
      <c r="P438" s="11" t="e">
        <f ca="1">_xll.AtlasFormulas.AtlasFunctions.AtlasBalance("UAT",DataAreaId,"T.MarkupTrans","Sum|Posted|0","","","","","","","TransRecId|TransTableId|MarkupCode",$O438,"492","TPP")</f>
        <v>#NAME?</v>
      </c>
    </row>
    <row r="439" spans="1:16" x14ac:dyDescent="0.15">
      <c r="A439" s="4" t="s">
        <v>249</v>
      </c>
      <c r="B439" s="4" t="s">
        <v>83</v>
      </c>
      <c r="C439" s="4" t="s">
        <v>82</v>
      </c>
      <c r="D439" s="4" t="s">
        <v>494</v>
      </c>
      <c r="E439" s="4" t="s">
        <v>495</v>
      </c>
      <c r="F439" s="4" t="s">
        <v>80</v>
      </c>
      <c r="G439" s="4" t="s">
        <v>211</v>
      </c>
      <c r="H439" s="4" t="s">
        <v>124</v>
      </c>
      <c r="I439" s="9">
        <v>42956</v>
      </c>
      <c r="J439" s="11">
        <v>3900</v>
      </c>
      <c r="K439" s="4" t="s">
        <v>54</v>
      </c>
      <c r="L439" s="11">
        <v>0.62</v>
      </c>
      <c r="M439" s="11">
        <v>2418</v>
      </c>
      <c r="N439" s="4" t="s">
        <v>8</v>
      </c>
      <c r="O439" s="5">
        <v>5637294460</v>
      </c>
      <c r="P439" s="11" t="e">
        <f ca="1">_xll.AtlasFormulas.AtlasFunctions.AtlasBalance("UAT",DataAreaId,"T.MarkupTrans","Sum|Posted|0","","","","","","","TransRecId|TransTableId|MarkupCode",$O439,"492","TPP")</f>
        <v>#NAME?</v>
      </c>
    </row>
    <row r="440" spans="1:16" x14ac:dyDescent="0.15">
      <c r="A440" s="4" t="s">
        <v>249</v>
      </c>
      <c r="B440" s="4" t="s">
        <v>83</v>
      </c>
      <c r="C440" s="4" t="s">
        <v>82</v>
      </c>
      <c r="D440" s="4" t="s">
        <v>175</v>
      </c>
      <c r="E440" s="4" t="s">
        <v>493</v>
      </c>
      <c r="F440" s="4" t="s">
        <v>80</v>
      </c>
      <c r="G440" s="4" t="s">
        <v>211</v>
      </c>
      <c r="H440" s="4" t="s">
        <v>124</v>
      </c>
      <c r="I440" s="9">
        <v>42956</v>
      </c>
      <c r="J440" s="11">
        <v>13650</v>
      </c>
      <c r="K440" s="4" t="s">
        <v>54</v>
      </c>
      <c r="L440" s="11">
        <v>0.62</v>
      </c>
      <c r="M440" s="11">
        <v>8463</v>
      </c>
      <c r="N440" s="4" t="s">
        <v>8</v>
      </c>
      <c r="O440" s="5">
        <v>5637294456</v>
      </c>
      <c r="P440" s="11" t="e">
        <f ca="1">_xll.AtlasFormulas.AtlasFunctions.AtlasBalance("UAT",DataAreaId,"T.MarkupTrans","Sum|Posted|0","","","","","","","TransRecId|TransTableId|MarkupCode",$O440,"492","TPP")</f>
        <v>#NAME?</v>
      </c>
    </row>
    <row r="441" spans="1:16" x14ac:dyDescent="0.15">
      <c r="A441" s="4" t="s">
        <v>249</v>
      </c>
      <c r="B441" s="4" t="s">
        <v>83</v>
      </c>
      <c r="C441" s="4" t="s">
        <v>82</v>
      </c>
      <c r="D441" s="4" t="s">
        <v>491</v>
      </c>
      <c r="E441" s="4" t="s">
        <v>492</v>
      </c>
      <c r="F441" s="4" t="s">
        <v>80</v>
      </c>
      <c r="G441" s="4" t="s">
        <v>211</v>
      </c>
      <c r="H441" s="4" t="s">
        <v>124</v>
      </c>
      <c r="I441" s="9">
        <v>42956</v>
      </c>
      <c r="J441" s="11">
        <v>-13650</v>
      </c>
      <c r="K441" s="4" t="s">
        <v>54</v>
      </c>
      <c r="L441" s="11">
        <v>0.62</v>
      </c>
      <c r="M441" s="11">
        <v>-8463</v>
      </c>
      <c r="N441" s="4" t="s">
        <v>8</v>
      </c>
      <c r="O441" s="5">
        <v>5637294448</v>
      </c>
      <c r="P441" s="11" t="e">
        <f ca="1">_xll.AtlasFormulas.AtlasFunctions.AtlasBalance("UAT",DataAreaId,"T.MarkupTrans","Sum|Posted|0","","","","","","","TransRecId|TransTableId|MarkupCode",$O441,"492","TPP")</f>
        <v>#NAME?</v>
      </c>
    </row>
    <row r="442" spans="1:16" x14ac:dyDescent="0.15">
      <c r="A442" s="4" t="s">
        <v>20</v>
      </c>
      <c r="B442" s="4" t="s">
        <v>747</v>
      </c>
      <c r="C442" s="4" t="s">
        <v>272</v>
      </c>
      <c r="D442" s="4" t="s">
        <v>798</v>
      </c>
      <c r="E442" s="4" t="s">
        <v>799</v>
      </c>
      <c r="F442" s="4" t="s">
        <v>728</v>
      </c>
      <c r="G442" s="4" t="s">
        <v>535</v>
      </c>
      <c r="H442" s="4" t="s">
        <v>499</v>
      </c>
      <c r="I442" s="9">
        <v>42738</v>
      </c>
      <c r="J442" s="11">
        <v>7800</v>
      </c>
      <c r="K442" s="4" t="s">
        <v>54</v>
      </c>
      <c r="L442" s="11">
        <v>0.59</v>
      </c>
      <c r="M442" s="11">
        <v>4602</v>
      </c>
      <c r="N442" s="4" t="s">
        <v>8</v>
      </c>
      <c r="O442" s="5">
        <v>5637289650</v>
      </c>
      <c r="P442" s="11" t="e">
        <f ca="1">_xll.AtlasFormulas.AtlasFunctions.AtlasBalance("UAT",DataAreaId,"T.MarkupTrans","Sum|Posted|0","","","","","","","TransRecId|TransTableId|MarkupCode",$O442,"492","TPP")</f>
        <v>#NAME?</v>
      </c>
    </row>
    <row r="443" spans="1:16" x14ac:dyDescent="0.15">
      <c r="A443" s="4" t="s">
        <v>20</v>
      </c>
      <c r="B443" s="4" t="s">
        <v>747</v>
      </c>
      <c r="C443" s="4" t="s">
        <v>272</v>
      </c>
      <c r="D443" s="4" t="s">
        <v>905</v>
      </c>
      <c r="E443" s="4" t="s">
        <v>906</v>
      </c>
      <c r="F443" s="4" t="s">
        <v>728</v>
      </c>
      <c r="G443" s="4" t="s">
        <v>535</v>
      </c>
      <c r="H443" s="4" t="s">
        <v>499</v>
      </c>
      <c r="I443" s="9">
        <v>42751</v>
      </c>
      <c r="J443" s="11">
        <v>8970</v>
      </c>
      <c r="K443" s="4" t="s">
        <v>54</v>
      </c>
      <c r="L443" s="11">
        <v>0.59</v>
      </c>
      <c r="M443" s="11">
        <v>5292.3</v>
      </c>
      <c r="N443" s="4" t="s">
        <v>8</v>
      </c>
      <c r="O443" s="5">
        <v>5637289659</v>
      </c>
      <c r="P443" s="11" t="e">
        <f ca="1">_xll.AtlasFormulas.AtlasFunctions.AtlasBalance("UAT",DataAreaId,"T.MarkupTrans","Sum|Posted|0","","","","","","","TransRecId|TransTableId|MarkupCode",$O443,"492","TPP")</f>
        <v>#NAME?</v>
      </c>
    </row>
    <row r="444" spans="1:16" x14ac:dyDescent="0.15">
      <c r="A444" s="4" t="s">
        <v>20</v>
      </c>
      <c r="B444" s="4" t="s">
        <v>747</v>
      </c>
      <c r="C444" s="4" t="s">
        <v>272</v>
      </c>
      <c r="D444" s="4" t="s">
        <v>823</v>
      </c>
      <c r="E444" s="4" t="s">
        <v>824</v>
      </c>
      <c r="F444" s="4" t="s">
        <v>728</v>
      </c>
      <c r="G444" s="4" t="s">
        <v>535</v>
      </c>
      <c r="H444" s="4" t="s">
        <v>499</v>
      </c>
      <c r="I444" s="9">
        <v>42752</v>
      </c>
      <c r="J444" s="11">
        <v>13650</v>
      </c>
      <c r="K444" s="4" t="s">
        <v>54</v>
      </c>
      <c r="L444" s="11">
        <v>0.59</v>
      </c>
      <c r="M444" s="11">
        <v>8053.5</v>
      </c>
      <c r="N444" s="4" t="s">
        <v>8</v>
      </c>
      <c r="O444" s="5">
        <v>5637289684</v>
      </c>
      <c r="P444" s="11" t="e">
        <f ca="1">_xll.AtlasFormulas.AtlasFunctions.AtlasBalance("UAT",DataAreaId,"T.MarkupTrans","Sum|Posted|0","","","","","","","TransRecId|TransTableId|MarkupCode",$O444,"492","TPP")</f>
        <v>#NAME?</v>
      </c>
    </row>
    <row r="445" spans="1:16" x14ac:dyDescent="0.15">
      <c r="A445" s="4" t="s">
        <v>20</v>
      </c>
      <c r="B445" s="4" t="s">
        <v>747</v>
      </c>
      <c r="C445" s="4" t="s">
        <v>272</v>
      </c>
      <c r="D445" s="4" t="s">
        <v>825</v>
      </c>
      <c r="E445" s="4" t="s">
        <v>826</v>
      </c>
      <c r="F445" s="4" t="s">
        <v>728</v>
      </c>
      <c r="G445" s="4" t="s">
        <v>535</v>
      </c>
      <c r="H445" s="4" t="s">
        <v>499</v>
      </c>
      <c r="I445" s="9">
        <v>42758</v>
      </c>
      <c r="J445" s="11">
        <v>1950</v>
      </c>
      <c r="K445" s="4" t="s">
        <v>54</v>
      </c>
      <c r="L445" s="11">
        <v>0.59</v>
      </c>
      <c r="M445" s="11">
        <v>1150.5</v>
      </c>
      <c r="N445" s="4" t="s">
        <v>8</v>
      </c>
      <c r="O445" s="5">
        <v>5637289677</v>
      </c>
      <c r="P445" s="11" t="e">
        <f ca="1">_xll.AtlasFormulas.AtlasFunctions.AtlasBalance("UAT",DataAreaId,"T.MarkupTrans","Sum|Posted|0","","","","","","","TransRecId|TransTableId|MarkupCode",$O445,"492","TPP")</f>
        <v>#NAME?</v>
      </c>
    </row>
    <row r="446" spans="1:16" x14ac:dyDescent="0.15">
      <c r="A446" s="4" t="s">
        <v>20</v>
      </c>
      <c r="B446" s="4" t="s">
        <v>747</v>
      </c>
      <c r="C446" s="4" t="s">
        <v>272</v>
      </c>
      <c r="D446" s="4" t="s">
        <v>931</v>
      </c>
      <c r="E446" s="4" t="s">
        <v>932</v>
      </c>
      <c r="F446" s="4" t="s">
        <v>728</v>
      </c>
      <c r="G446" s="4" t="s">
        <v>535</v>
      </c>
      <c r="H446" s="4" t="s">
        <v>499</v>
      </c>
      <c r="I446" s="9">
        <v>42758</v>
      </c>
      <c r="J446" s="11">
        <v>10237.5</v>
      </c>
      <c r="K446" s="4" t="s">
        <v>54</v>
      </c>
      <c r="L446" s="11">
        <v>0.59</v>
      </c>
      <c r="M446" s="11">
        <v>6040.13</v>
      </c>
      <c r="N446" s="4" t="s">
        <v>8</v>
      </c>
      <c r="O446" s="5">
        <v>5637289657</v>
      </c>
      <c r="P446" s="11" t="e">
        <f ca="1">_xll.AtlasFormulas.AtlasFunctions.AtlasBalance("UAT",DataAreaId,"T.MarkupTrans","Sum|Posted|0","","","","","","","TransRecId|TransTableId|MarkupCode",$O446,"492","TPP")</f>
        <v>#NAME?</v>
      </c>
    </row>
    <row r="447" spans="1:16" x14ac:dyDescent="0.15">
      <c r="A447" s="4" t="s">
        <v>212</v>
      </c>
      <c r="B447" s="4" t="s">
        <v>213</v>
      </c>
      <c r="C447" s="4" t="s">
        <v>214</v>
      </c>
      <c r="D447" s="4" t="s">
        <v>242</v>
      </c>
      <c r="E447" s="4" t="s">
        <v>509</v>
      </c>
      <c r="F447" s="4" t="s">
        <v>217</v>
      </c>
      <c r="G447" s="4" t="s">
        <v>535</v>
      </c>
      <c r="H447" s="4" t="s">
        <v>499</v>
      </c>
      <c r="I447" s="9">
        <v>42758</v>
      </c>
      <c r="J447" s="11">
        <v>8970</v>
      </c>
      <c r="K447" s="4" t="s">
        <v>54</v>
      </c>
      <c r="L447" s="11">
        <v>0.59</v>
      </c>
      <c r="M447" s="11">
        <v>5292.3</v>
      </c>
      <c r="N447" s="4" t="s">
        <v>8</v>
      </c>
      <c r="O447" s="5">
        <v>5637289401</v>
      </c>
      <c r="P447" s="11" t="e">
        <f ca="1">_xll.AtlasFormulas.AtlasFunctions.AtlasBalance("UAT",DataAreaId,"T.MarkupTrans","Sum|Posted|0","","","","","","","TransRecId|TransTableId|MarkupCode",$O447,"492","TPP")</f>
        <v>#NAME?</v>
      </c>
    </row>
    <row r="448" spans="1:16" x14ac:dyDescent="0.15">
      <c r="A448" s="4" t="s">
        <v>212</v>
      </c>
      <c r="B448" s="4" t="s">
        <v>213</v>
      </c>
      <c r="C448" s="4" t="s">
        <v>214</v>
      </c>
      <c r="D448" s="4" t="s">
        <v>341</v>
      </c>
      <c r="E448" s="4" t="s">
        <v>342</v>
      </c>
      <c r="F448" s="4" t="s">
        <v>217</v>
      </c>
      <c r="G448" s="4" t="s">
        <v>535</v>
      </c>
      <c r="H448" s="4" t="s">
        <v>499</v>
      </c>
      <c r="I448" s="9">
        <v>42758</v>
      </c>
      <c r="J448" s="11">
        <v>7800</v>
      </c>
      <c r="K448" s="4" t="s">
        <v>54</v>
      </c>
      <c r="L448" s="11">
        <v>0.59</v>
      </c>
      <c r="M448" s="11">
        <v>4602</v>
      </c>
      <c r="N448" s="4" t="s">
        <v>8</v>
      </c>
      <c r="O448" s="5">
        <v>5637289398</v>
      </c>
      <c r="P448" s="11" t="e">
        <f ca="1">_xll.AtlasFormulas.AtlasFunctions.AtlasBalance("UAT",DataAreaId,"T.MarkupTrans","Sum|Posted|0","","","","","","","TransRecId|TransTableId|MarkupCode",$O448,"492","TPP")</f>
        <v>#NAME?</v>
      </c>
    </row>
    <row r="449" spans="1:16" x14ac:dyDescent="0.15">
      <c r="A449" s="4" t="s">
        <v>227</v>
      </c>
      <c r="B449" s="4" t="s">
        <v>228</v>
      </c>
      <c r="C449" s="4" t="s">
        <v>82</v>
      </c>
      <c r="D449" s="4" t="s">
        <v>379</v>
      </c>
      <c r="E449" s="4" t="s">
        <v>380</v>
      </c>
      <c r="F449" s="4" t="s">
        <v>231</v>
      </c>
      <c r="G449" s="4" t="s">
        <v>535</v>
      </c>
      <c r="H449" s="4" t="s">
        <v>499</v>
      </c>
      <c r="I449" s="9">
        <v>42765</v>
      </c>
      <c r="J449" s="11">
        <v>1950</v>
      </c>
      <c r="K449" s="4" t="s">
        <v>54</v>
      </c>
      <c r="L449" s="11">
        <v>0.59</v>
      </c>
      <c r="M449" s="11">
        <v>1150.5</v>
      </c>
      <c r="N449" s="4" t="s">
        <v>8</v>
      </c>
      <c r="O449" s="5">
        <v>5637289705</v>
      </c>
      <c r="P449" s="11" t="e">
        <f ca="1">_xll.AtlasFormulas.AtlasFunctions.AtlasBalance("UAT",DataAreaId,"T.MarkupTrans","Sum|Posted|0","","","","","","","TransRecId|TransTableId|MarkupCode",$O449,"492","TPP")</f>
        <v>#NAME?</v>
      </c>
    </row>
    <row r="450" spans="1:16" x14ac:dyDescent="0.15">
      <c r="A450" s="4" t="s">
        <v>20</v>
      </c>
      <c r="B450" s="4" t="s">
        <v>747</v>
      </c>
      <c r="C450" s="4" t="s">
        <v>272</v>
      </c>
      <c r="D450" s="4" t="s">
        <v>788</v>
      </c>
      <c r="E450" s="4" t="s">
        <v>789</v>
      </c>
      <c r="F450" s="4" t="s">
        <v>728</v>
      </c>
      <c r="G450" s="4" t="s">
        <v>535</v>
      </c>
      <c r="H450" s="4" t="s">
        <v>499</v>
      </c>
      <c r="I450" s="9">
        <v>42765</v>
      </c>
      <c r="J450" s="11">
        <v>9750</v>
      </c>
      <c r="K450" s="4" t="s">
        <v>54</v>
      </c>
      <c r="L450" s="11">
        <v>0.59</v>
      </c>
      <c r="M450" s="11">
        <v>5752.5</v>
      </c>
      <c r="N450" s="4" t="s">
        <v>8</v>
      </c>
      <c r="O450" s="5">
        <v>5637289698</v>
      </c>
      <c r="P450" s="11" t="e">
        <f ca="1">_xll.AtlasFormulas.AtlasFunctions.AtlasBalance("UAT",DataAreaId,"T.MarkupTrans","Sum|Posted|0","","","","","","","TransRecId|TransTableId|MarkupCode",$O450,"492","TPP")</f>
        <v>#NAME?</v>
      </c>
    </row>
    <row r="451" spans="1:16" x14ac:dyDescent="0.15">
      <c r="A451" s="4" t="s">
        <v>227</v>
      </c>
      <c r="B451" s="4" t="s">
        <v>228</v>
      </c>
      <c r="C451" s="4" t="s">
        <v>82</v>
      </c>
      <c r="D451" s="4" t="s">
        <v>381</v>
      </c>
      <c r="E451" s="4" t="s">
        <v>382</v>
      </c>
      <c r="F451" s="4" t="s">
        <v>231</v>
      </c>
      <c r="G451" s="4" t="s">
        <v>535</v>
      </c>
      <c r="H451" s="4" t="s">
        <v>499</v>
      </c>
      <c r="I451" s="9">
        <v>42766</v>
      </c>
      <c r="J451" s="11">
        <v>13650</v>
      </c>
      <c r="K451" s="4" t="s">
        <v>54</v>
      </c>
      <c r="L451" s="11">
        <v>0.59</v>
      </c>
      <c r="M451" s="11">
        <v>8053.5</v>
      </c>
      <c r="N451" s="4" t="s">
        <v>8</v>
      </c>
      <c r="O451" s="5">
        <v>5637289712</v>
      </c>
      <c r="P451" s="11" t="e">
        <f ca="1">_xll.AtlasFormulas.AtlasFunctions.AtlasBalance("UAT",DataAreaId,"T.MarkupTrans","Sum|Posted|0","","","","","","","TransRecId|TransTableId|MarkupCode",$O451,"492","TPP")</f>
        <v>#NAME?</v>
      </c>
    </row>
    <row r="452" spans="1:16" x14ac:dyDescent="0.15">
      <c r="A452" s="4" t="s">
        <v>212</v>
      </c>
      <c r="B452" s="4" t="s">
        <v>213</v>
      </c>
      <c r="C452" s="4" t="s">
        <v>214</v>
      </c>
      <c r="D452" s="4" t="s">
        <v>536</v>
      </c>
      <c r="E452" s="4" t="s">
        <v>537</v>
      </c>
      <c r="F452" s="4" t="s">
        <v>217</v>
      </c>
      <c r="G452" s="4" t="s">
        <v>535</v>
      </c>
      <c r="H452" s="4" t="s">
        <v>499</v>
      </c>
      <c r="I452" s="9">
        <v>42766</v>
      </c>
      <c r="J452" s="11">
        <v>10237.5</v>
      </c>
      <c r="K452" s="4" t="s">
        <v>54</v>
      </c>
      <c r="L452" s="11">
        <v>0.59</v>
      </c>
      <c r="M452" s="11">
        <v>6040.13</v>
      </c>
      <c r="N452" s="4" t="s">
        <v>8</v>
      </c>
      <c r="O452" s="5">
        <v>5637289408</v>
      </c>
      <c r="P452" s="11" t="e">
        <f ca="1">_xll.AtlasFormulas.AtlasFunctions.AtlasBalance("UAT",DataAreaId,"T.MarkupTrans","Sum|Posted|0","","","","","","","TransRecId|TransTableId|MarkupCode",$O452,"492","TPP")</f>
        <v>#NAME?</v>
      </c>
    </row>
    <row r="453" spans="1:16" x14ac:dyDescent="0.15">
      <c r="A453" s="4" t="s">
        <v>227</v>
      </c>
      <c r="B453" s="4" t="s">
        <v>228</v>
      </c>
      <c r="C453" s="4" t="s">
        <v>82</v>
      </c>
      <c r="D453" s="4" t="s">
        <v>318</v>
      </c>
      <c r="E453" s="4" t="s">
        <v>319</v>
      </c>
      <c r="F453" s="4" t="s">
        <v>231</v>
      </c>
      <c r="G453" s="4" t="s">
        <v>535</v>
      </c>
      <c r="H453" s="4" t="s">
        <v>499</v>
      </c>
      <c r="I453" s="9">
        <v>42774</v>
      </c>
      <c r="J453" s="11">
        <v>9750</v>
      </c>
      <c r="K453" s="4" t="s">
        <v>54</v>
      </c>
      <c r="L453" s="11">
        <v>0.59</v>
      </c>
      <c r="M453" s="11">
        <v>5752.5</v>
      </c>
      <c r="N453" s="4" t="s">
        <v>8</v>
      </c>
      <c r="O453" s="5">
        <v>5637289768</v>
      </c>
      <c r="P453" s="11" t="e">
        <f ca="1">_xll.AtlasFormulas.AtlasFunctions.AtlasBalance("UAT",DataAreaId,"T.MarkupTrans","Sum|Posted|0","","","","","","","TransRecId|TransTableId|MarkupCode",$O453,"492","TPP")</f>
        <v>#NAME?</v>
      </c>
    </row>
    <row r="454" spans="1:16" x14ac:dyDescent="0.15">
      <c r="A454" s="4" t="s">
        <v>227</v>
      </c>
      <c r="B454" s="4" t="s">
        <v>228</v>
      </c>
      <c r="C454" s="4" t="s">
        <v>82</v>
      </c>
      <c r="D454" s="4" t="s">
        <v>384</v>
      </c>
      <c r="E454" s="4" t="s">
        <v>385</v>
      </c>
      <c r="F454" s="4" t="s">
        <v>231</v>
      </c>
      <c r="G454" s="4" t="s">
        <v>535</v>
      </c>
      <c r="H454" s="4" t="s">
        <v>499</v>
      </c>
      <c r="I454" s="9">
        <v>42817</v>
      </c>
      <c r="J454" s="11">
        <v>13650</v>
      </c>
      <c r="K454" s="4" t="s">
        <v>54</v>
      </c>
      <c r="L454" s="11">
        <v>0.59</v>
      </c>
      <c r="M454" s="11">
        <v>8053.5</v>
      </c>
      <c r="N454" s="4" t="s">
        <v>8</v>
      </c>
      <c r="O454" s="5">
        <v>5637291177</v>
      </c>
      <c r="P454" s="11" t="e">
        <f ca="1">_xll.AtlasFormulas.AtlasFunctions.AtlasBalance("UAT",DataAreaId,"T.MarkupTrans","Sum|Posted|0","","","","","","","TransRecId|TransTableId|MarkupCode",$O454,"492","TPP")</f>
        <v>#NAME?</v>
      </c>
    </row>
    <row r="455" spans="1:16" x14ac:dyDescent="0.15">
      <c r="A455" s="4" t="s">
        <v>227</v>
      </c>
      <c r="B455" s="4" t="s">
        <v>228</v>
      </c>
      <c r="C455" s="4" t="s">
        <v>82</v>
      </c>
      <c r="D455" s="4" t="s">
        <v>324</v>
      </c>
      <c r="E455" s="4" t="s">
        <v>325</v>
      </c>
      <c r="F455" s="4" t="s">
        <v>231</v>
      </c>
      <c r="G455" s="4" t="s">
        <v>535</v>
      </c>
      <c r="H455" s="4" t="s">
        <v>499</v>
      </c>
      <c r="I455" s="9">
        <v>42817</v>
      </c>
      <c r="J455" s="11">
        <v>9750</v>
      </c>
      <c r="K455" s="4" t="s">
        <v>54</v>
      </c>
      <c r="L455" s="11">
        <v>0.59</v>
      </c>
      <c r="M455" s="11">
        <v>5752.5</v>
      </c>
      <c r="N455" s="4" t="s">
        <v>8</v>
      </c>
      <c r="O455" s="5">
        <v>5637291183</v>
      </c>
      <c r="P455" s="11" t="e">
        <f ca="1">_xll.AtlasFormulas.AtlasFunctions.AtlasBalance("UAT",DataAreaId,"T.MarkupTrans","Sum|Posted|0","","","","","","","TransRecId|TransTableId|MarkupCode",$O455,"492","TPP")</f>
        <v>#NAME?</v>
      </c>
    </row>
    <row r="456" spans="1:16" x14ac:dyDescent="0.15">
      <c r="A456" s="4" t="s">
        <v>227</v>
      </c>
      <c r="B456" s="4" t="s">
        <v>228</v>
      </c>
      <c r="C456" s="4" t="s">
        <v>82</v>
      </c>
      <c r="D456" s="4" t="s">
        <v>86</v>
      </c>
      <c r="E456" s="4" t="s">
        <v>383</v>
      </c>
      <c r="F456" s="4" t="s">
        <v>231</v>
      </c>
      <c r="G456" s="4" t="s">
        <v>535</v>
      </c>
      <c r="H456" s="4" t="s">
        <v>499</v>
      </c>
      <c r="I456" s="9">
        <v>42817</v>
      </c>
      <c r="J456" s="11">
        <v>1950</v>
      </c>
      <c r="K456" s="4" t="s">
        <v>54</v>
      </c>
      <c r="L456" s="11">
        <v>0.59</v>
      </c>
      <c r="M456" s="11">
        <v>1150.5</v>
      </c>
      <c r="N456" s="4" t="s">
        <v>8</v>
      </c>
      <c r="O456" s="5">
        <v>5637291173</v>
      </c>
      <c r="P456" s="11" t="e">
        <f ca="1">_xll.AtlasFormulas.AtlasFunctions.AtlasBalance("UAT",DataAreaId,"T.MarkupTrans","Sum|Posted|0","","","","","","","TransRecId|TransTableId|MarkupCode",$O456,"492","TPP")</f>
        <v>#NAME?</v>
      </c>
    </row>
    <row r="457" spans="1:16" x14ac:dyDescent="0.15">
      <c r="A457" s="4" t="s">
        <v>227</v>
      </c>
      <c r="B457" s="4" t="s">
        <v>228</v>
      </c>
      <c r="C457" s="4" t="s">
        <v>82</v>
      </c>
      <c r="D457" s="4" t="s">
        <v>387</v>
      </c>
      <c r="E457" s="4" t="s">
        <v>388</v>
      </c>
      <c r="F457" s="4" t="s">
        <v>231</v>
      </c>
      <c r="G457" s="4" t="s">
        <v>535</v>
      </c>
      <c r="H457" s="4" t="s">
        <v>499</v>
      </c>
      <c r="I457" s="9">
        <v>42817</v>
      </c>
      <c r="J457" s="11">
        <v>-1950</v>
      </c>
      <c r="K457" s="4" t="s">
        <v>54</v>
      </c>
      <c r="L457" s="11">
        <v>0.59</v>
      </c>
      <c r="M457" s="11">
        <v>-1150.5</v>
      </c>
      <c r="N457" s="4" t="s">
        <v>8</v>
      </c>
      <c r="O457" s="5">
        <v>5637291200</v>
      </c>
      <c r="P457" s="11" t="e">
        <f ca="1">_xll.AtlasFormulas.AtlasFunctions.AtlasBalance("UAT",DataAreaId,"T.MarkupTrans","Sum|Posted|0","","","","","","","TransRecId|TransTableId|MarkupCode",$O457,"492","TPP")</f>
        <v>#NAME?</v>
      </c>
    </row>
    <row r="458" spans="1:16" x14ac:dyDescent="0.15">
      <c r="A458" s="4" t="s">
        <v>227</v>
      </c>
      <c r="B458" s="4" t="s">
        <v>228</v>
      </c>
      <c r="C458" s="4" t="s">
        <v>82</v>
      </c>
      <c r="D458" s="4" t="s">
        <v>284</v>
      </c>
      <c r="E458" s="4" t="s">
        <v>386</v>
      </c>
      <c r="F458" s="4" t="s">
        <v>231</v>
      </c>
      <c r="G458" s="4" t="s">
        <v>535</v>
      </c>
      <c r="H458" s="4" t="s">
        <v>499</v>
      </c>
      <c r="I458" s="9">
        <v>42817</v>
      </c>
      <c r="J458" s="11">
        <v>-13650</v>
      </c>
      <c r="K458" s="4" t="s">
        <v>54</v>
      </c>
      <c r="L458" s="11">
        <v>0.59</v>
      </c>
      <c r="M458" s="11">
        <v>-8053.5</v>
      </c>
      <c r="N458" s="4" t="s">
        <v>8</v>
      </c>
      <c r="O458" s="5">
        <v>5637291204</v>
      </c>
      <c r="P458" s="11" t="e">
        <f ca="1">_xll.AtlasFormulas.AtlasFunctions.AtlasBalance("UAT",DataAreaId,"T.MarkupTrans","Sum|Posted|0","","","","","","","TransRecId|TransTableId|MarkupCode",$O458,"492","TPP")</f>
        <v>#NAME?</v>
      </c>
    </row>
    <row r="459" spans="1:16" x14ac:dyDescent="0.15">
      <c r="A459" s="4" t="s">
        <v>227</v>
      </c>
      <c r="B459" s="4" t="s">
        <v>228</v>
      </c>
      <c r="C459" s="4" t="s">
        <v>82</v>
      </c>
      <c r="D459" s="4" t="s">
        <v>329</v>
      </c>
      <c r="E459" s="4" t="s">
        <v>330</v>
      </c>
      <c r="F459" s="4" t="s">
        <v>231</v>
      </c>
      <c r="G459" s="4" t="s">
        <v>535</v>
      </c>
      <c r="H459" s="4" t="s">
        <v>499</v>
      </c>
      <c r="I459" s="9">
        <v>42817</v>
      </c>
      <c r="J459" s="11">
        <v>-9750</v>
      </c>
      <c r="K459" s="4" t="s">
        <v>54</v>
      </c>
      <c r="L459" s="11">
        <v>0.59</v>
      </c>
      <c r="M459" s="11">
        <v>-5752.5</v>
      </c>
      <c r="N459" s="4" t="s">
        <v>8</v>
      </c>
      <c r="O459" s="5">
        <v>5637291210</v>
      </c>
      <c r="P459" s="11" t="e">
        <f ca="1">_xll.AtlasFormulas.AtlasFunctions.AtlasBalance("UAT",DataAreaId,"T.MarkupTrans","Sum|Posted|0","","","","","","","TransRecId|TransTableId|MarkupCode",$O459,"492","TPP")</f>
        <v>#NAME?</v>
      </c>
    </row>
    <row r="460" spans="1:16" x14ac:dyDescent="0.15">
      <c r="A460" s="4" t="s">
        <v>227</v>
      </c>
      <c r="B460" s="4" t="s">
        <v>228</v>
      </c>
      <c r="C460" s="4" t="s">
        <v>82</v>
      </c>
      <c r="D460" s="4" t="s">
        <v>389</v>
      </c>
      <c r="E460" s="4" t="s">
        <v>390</v>
      </c>
      <c r="F460" s="4" t="s">
        <v>231</v>
      </c>
      <c r="G460" s="4" t="s">
        <v>535</v>
      </c>
      <c r="H460" s="4" t="s">
        <v>499</v>
      </c>
      <c r="I460" s="9">
        <v>42817</v>
      </c>
      <c r="J460" s="11">
        <v>1950</v>
      </c>
      <c r="K460" s="4" t="s">
        <v>54</v>
      </c>
      <c r="L460" s="11">
        <v>0</v>
      </c>
      <c r="M460" s="11">
        <v>0</v>
      </c>
      <c r="N460" s="4" t="s">
        <v>8</v>
      </c>
      <c r="O460" s="5">
        <v>5637291227</v>
      </c>
      <c r="P460" s="11" t="e">
        <f ca="1">_xll.AtlasFormulas.AtlasFunctions.AtlasBalance("UAT",DataAreaId,"T.MarkupTrans","Sum|Posted|0","","","","","","","TransRecId|TransTableId|MarkupCode",$O460,"492","TPP")</f>
        <v>#NAME?</v>
      </c>
    </row>
    <row r="461" spans="1:16" x14ac:dyDescent="0.15">
      <c r="A461" s="4" t="s">
        <v>227</v>
      </c>
      <c r="B461" s="4" t="s">
        <v>228</v>
      </c>
      <c r="C461" s="4" t="s">
        <v>82</v>
      </c>
      <c r="D461" s="4" t="s">
        <v>251</v>
      </c>
      <c r="E461" s="4" t="s">
        <v>391</v>
      </c>
      <c r="F461" s="4" t="s">
        <v>231</v>
      </c>
      <c r="G461" s="4" t="s">
        <v>535</v>
      </c>
      <c r="H461" s="4" t="s">
        <v>499</v>
      </c>
      <c r="I461" s="9">
        <v>42817</v>
      </c>
      <c r="J461" s="11">
        <v>13650</v>
      </c>
      <c r="K461" s="4" t="s">
        <v>54</v>
      </c>
      <c r="L461" s="11">
        <v>0</v>
      </c>
      <c r="M461" s="11">
        <v>0</v>
      </c>
      <c r="N461" s="4" t="s">
        <v>8</v>
      </c>
      <c r="O461" s="5">
        <v>5637291231</v>
      </c>
      <c r="P461" s="11" t="e">
        <f ca="1">_xll.AtlasFormulas.AtlasFunctions.AtlasBalance("UAT",DataAreaId,"T.MarkupTrans","Sum|Posted|0","","","","","","","TransRecId|TransTableId|MarkupCode",$O461,"492","TPP")</f>
        <v>#NAME?</v>
      </c>
    </row>
    <row r="462" spans="1:16" x14ac:dyDescent="0.15">
      <c r="A462" s="4" t="s">
        <v>227</v>
      </c>
      <c r="B462" s="4" t="s">
        <v>228</v>
      </c>
      <c r="C462" s="4" t="s">
        <v>82</v>
      </c>
      <c r="D462" s="4" t="s">
        <v>327</v>
      </c>
      <c r="E462" s="4" t="s">
        <v>328</v>
      </c>
      <c r="F462" s="4" t="s">
        <v>231</v>
      </c>
      <c r="G462" s="4" t="s">
        <v>535</v>
      </c>
      <c r="H462" s="4" t="s">
        <v>499</v>
      </c>
      <c r="I462" s="9">
        <v>42817</v>
      </c>
      <c r="J462" s="11">
        <v>9750</v>
      </c>
      <c r="K462" s="4" t="s">
        <v>54</v>
      </c>
      <c r="L462" s="11">
        <v>0</v>
      </c>
      <c r="M462" s="11">
        <v>0</v>
      </c>
      <c r="N462" s="4" t="s">
        <v>8</v>
      </c>
      <c r="O462" s="5">
        <v>5637291237</v>
      </c>
      <c r="P462" s="11" t="e">
        <f ca="1">_xll.AtlasFormulas.AtlasFunctions.AtlasBalance("UAT",DataAreaId,"T.MarkupTrans","Sum|Posted|0","","","","","","","TransRecId|TransTableId|MarkupCode",$O462,"492","TPP")</f>
        <v>#NAME?</v>
      </c>
    </row>
    <row r="463" spans="1:16" x14ac:dyDescent="0.15">
      <c r="A463" s="4" t="s">
        <v>227</v>
      </c>
      <c r="B463" s="4" t="s">
        <v>228</v>
      </c>
      <c r="C463" s="4" t="s">
        <v>82</v>
      </c>
      <c r="D463" s="4" t="s">
        <v>159</v>
      </c>
      <c r="E463" s="4" t="s">
        <v>392</v>
      </c>
      <c r="F463" s="4" t="s">
        <v>231</v>
      </c>
      <c r="G463" s="4" t="s">
        <v>535</v>
      </c>
      <c r="H463" s="4" t="s">
        <v>499</v>
      </c>
      <c r="I463" s="9">
        <v>42817</v>
      </c>
      <c r="J463" s="11">
        <v>-1950</v>
      </c>
      <c r="K463" s="4" t="s">
        <v>54</v>
      </c>
      <c r="L463" s="11">
        <v>0</v>
      </c>
      <c r="M463" s="11">
        <v>0</v>
      </c>
      <c r="N463" s="4" t="s">
        <v>8</v>
      </c>
      <c r="O463" s="5">
        <v>5637291243</v>
      </c>
      <c r="P463" s="11" t="e">
        <f ca="1">_xll.AtlasFormulas.AtlasFunctions.AtlasBalance("UAT",DataAreaId,"T.MarkupTrans","Sum|Posted|0","","","","","","","TransRecId|TransTableId|MarkupCode",$O463,"492","TPP")</f>
        <v>#NAME?</v>
      </c>
    </row>
    <row r="464" spans="1:16" x14ac:dyDescent="0.15">
      <c r="A464" s="4" t="s">
        <v>227</v>
      </c>
      <c r="B464" s="4" t="s">
        <v>228</v>
      </c>
      <c r="C464" s="4" t="s">
        <v>82</v>
      </c>
      <c r="D464" s="4" t="s">
        <v>85</v>
      </c>
      <c r="E464" s="4" t="s">
        <v>326</v>
      </c>
      <c r="F464" s="4" t="s">
        <v>231</v>
      </c>
      <c r="G464" s="4" t="s">
        <v>535</v>
      </c>
      <c r="H464" s="4" t="s">
        <v>499</v>
      </c>
      <c r="I464" s="9">
        <v>42817</v>
      </c>
      <c r="J464" s="11">
        <v>-9750</v>
      </c>
      <c r="K464" s="4" t="s">
        <v>54</v>
      </c>
      <c r="L464" s="11">
        <v>0</v>
      </c>
      <c r="M464" s="11">
        <v>0</v>
      </c>
      <c r="N464" s="4" t="s">
        <v>8</v>
      </c>
      <c r="O464" s="5">
        <v>5637291250</v>
      </c>
      <c r="P464" s="11" t="e">
        <f ca="1">_xll.AtlasFormulas.AtlasFunctions.AtlasBalance("UAT",DataAreaId,"T.MarkupTrans","Sum|Posted|0","","","","","","","TransRecId|TransTableId|MarkupCode",$O464,"492","TPP")</f>
        <v>#NAME?</v>
      </c>
    </row>
    <row r="465" spans="1:16" x14ac:dyDescent="0.15">
      <c r="A465" s="4" t="s">
        <v>227</v>
      </c>
      <c r="B465" s="4" t="s">
        <v>228</v>
      </c>
      <c r="C465" s="4" t="s">
        <v>82</v>
      </c>
      <c r="D465" s="4" t="s">
        <v>368</v>
      </c>
      <c r="E465" s="4" t="s">
        <v>393</v>
      </c>
      <c r="F465" s="4" t="s">
        <v>231</v>
      </c>
      <c r="G465" s="4" t="s">
        <v>535</v>
      </c>
      <c r="H465" s="4" t="s">
        <v>499</v>
      </c>
      <c r="I465" s="9">
        <v>42817</v>
      </c>
      <c r="J465" s="11">
        <v>-13650</v>
      </c>
      <c r="K465" s="4" t="s">
        <v>54</v>
      </c>
      <c r="L465" s="11">
        <v>0</v>
      </c>
      <c r="M465" s="11">
        <v>0</v>
      </c>
      <c r="N465" s="4" t="s">
        <v>8</v>
      </c>
      <c r="O465" s="5">
        <v>5637291254</v>
      </c>
      <c r="P465" s="11" t="e">
        <f ca="1">_xll.AtlasFormulas.AtlasFunctions.AtlasBalance("UAT",DataAreaId,"T.MarkupTrans","Sum|Posted|0","","","","","","","TransRecId|TransTableId|MarkupCode",$O465,"492","TPP")</f>
        <v>#NAME?</v>
      </c>
    </row>
    <row r="466" spans="1:16" x14ac:dyDescent="0.15">
      <c r="A466" s="4" t="s">
        <v>20</v>
      </c>
      <c r="B466" s="4" t="s">
        <v>747</v>
      </c>
      <c r="C466" s="4" t="s">
        <v>272</v>
      </c>
      <c r="D466" s="4" t="s">
        <v>907</v>
      </c>
      <c r="E466" s="4" t="s">
        <v>908</v>
      </c>
      <c r="F466" s="4" t="s">
        <v>728</v>
      </c>
      <c r="G466" s="4" t="s">
        <v>535</v>
      </c>
      <c r="H466" s="4" t="s">
        <v>499</v>
      </c>
      <c r="I466" s="9">
        <v>42838</v>
      </c>
      <c r="J466" s="11">
        <v>23400</v>
      </c>
      <c r="K466" s="4" t="s">
        <v>54</v>
      </c>
      <c r="L466" s="11">
        <v>0.61</v>
      </c>
      <c r="M466" s="11">
        <v>14274</v>
      </c>
      <c r="N466" s="4" t="s">
        <v>8</v>
      </c>
      <c r="O466" s="5">
        <v>5637291394</v>
      </c>
      <c r="P466" s="11" t="e">
        <f ca="1">_xll.AtlasFormulas.AtlasFunctions.AtlasBalance("UAT",DataAreaId,"T.MarkupTrans","Sum|Posted|0","","","","","","","TransRecId|TransTableId|MarkupCode",$O466,"492","TPP")</f>
        <v>#NAME?</v>
      </c>
    </row>
    <row r="467" spans="1:16" x14ac:dyDescent="0.15">
      <c r="A467" s="4" t="s">
        <v>212</v>
      </c>
      <c r="B467" s="4" t="s">
        <v>213</v>
      </c>
      <c r="C467" s="4" t="s">
        <v>214</v>
      </c>
      <c r="D467" s="4" t="s">
        <v>511</v>
      </c>
      <c r="E467" s="4" t="s">
        <v>512</v>
      </c>
      <c r="F467" s="4" t="s">
        <v>217</v>
      </c>
      <c r="G467" s="4" t="s">
        <v>535</v>
      </c>
      <c r="H467" s="4" t="s">
        <v>499</v>
      </c>
      <c r="I467" s="9">
        <v>42846</v>
      </c>
      <c r="J467" s="11">
        <v>23400</v>
      </c>
      <c r="K467" s="4" t="s">
        <v>54</v>
      </c>
      <c r="L467" s="11">
        <v>0.61</v>
      </c>
      <c r="M467" s="11">
        <v>14274</v>
      </c>
      <c r="N467" s="4" t="s">
        <v>8</v>
      </c>
      <c r="O467" s="5">
        <v>5637291450</v>
      </c>
      <c r="P467" s="11" t="e">
        <f ca="1">_xll.AtlasFormulas.AtlasFunctions.AtlasBalance("UAT",DataAreaId,"T.MarkupTrans","Sum|Posted|0","","","","","","","TransRecId|TransTableId|MarkupCode",$O467,"492","TPP")</f>
        <v>#NAME?</v>
      </c>
    </row>
    <row r="468" spans="1:16" x14ac:dyDescent="0.15">
      <c r="A468" s="4" t="s">
        <v>20</v>
      </c>
      <c r="B468" s="4" t="s">
        <v>747</v>
      </c>
      <c r="C468" s="4" t="s">
        <v>272</v>
      </c>
      <c r="D468" s="4" t="s">
        <v>854</v>
      </c>
      <c r="E468" s="4" t="s">
        <v>855</v>
      </c>
      <c r="F468" s="4" t="s">
        <v>728</v>
      </c>
      <c r="G468" s="4" t="s">
        <v>535</v>
      </c>
      <c r="H468" s="4" t="s">
        <v>499</v>
      </c>
      <c r="I468" s="9">
        <v>42891</v>
      </c>
      <c r="J468" s="11">
        <v>2047.5</v>
      </c>
      <c r="K468" s="4" t="s">
        <v>54</v>
      </c>
      <c r="L468" s="11">
        <v>0.61</v>
      </c>
      <c r="M468" s="11">
        <v>1248.98</v>
      </c>
      <c r="N468" s="4" t="s">
        <v>8</v>
      </c>
      <c r="O468" s="5">
        <v>5637292355</v>
      </c>
      <c r="P468" s="11" t="e">
        <f ca="1">_xll.AtlasFormulas.AtlasFunctions.AtlasBalance("UAT",DataAreaId,"T.MarkupTrans","Sum|Posted|0","","","","","","","TransRecId|TransTableId|MarkupCode",$O468,"492","TPP")</f>
        <v>#NAME?</v>
      </c>
    </row>
    <row r="469" spans="1:16" x14ac:dyDescent="0.15">
      <c r="A469" s="4" t="s">
        <v>212</v>
      </c>
      <c r="B469" s="4" t="s">
        <v>213</v>
      </c>
      <c r="C469" s="4" t="s">
        <v>214</v>
      </c>
      <c r="D469" s="4" t="s">
        <v>421</v>
      </c>
      <c r="E469" s="4" t="s">
        <v>422</v>
      </c>
      <c r="F469" s="4" t="s">
        <v>217</v>
      </c>
      <c r="G469" s="4" t="s">
        <v>535</v>
      </c>
      <c r="H469" s="4" t="s">
        <v>499</v>
      </c>
      <c r="I469" s="9">
        <v>42898</v>
      </c>
      <c r="J469" s="11">
        <v>2047.5</v>
      </c>
      <c r="K469" s="4" t="s">
        <v>54</v>
      </c>
      <c r="L469" s="11">
        <v>0.61</v>
      </c>
      <c r="M469" s="11">
        <v>1248.98</v>
      </c>
      <c r="N469" s="4" t="s">
        <v>8</v>
      </c>
      <c r="O469" s="5">
        <v>5637292416</v>
      </c>
      <c r="P469" s="11" t="e">
        <f ca="1">_xll.AtlasFormulas.AtlasFunctions.AtlasBalance("UAT",DataAreaId,"T.MarkupTrans","Sum|Posted|0","","","","","","","TransRecId|TransTableId|MarkupCode",$O469,"492","TPP")</f>
        <v>#NAME?</v>
      </c>
    </row>
    <row r="470" spans="1:16" x14ac:dyDescent="0.15">
      <c r="A470" s="4" t="s">
        <v>227</v>
      </c>
      <c r="B470" s="4" t="s">
        <v>228</v>
      </c>
      <c r="C470" s="4" t="s">
        <v>82</v>
      </c>
      <c r="D470" s="4" t="s">
        <v>300</v>
      </c>
      <c r="E470" s="4" t="s">
        <v>301</v>
      </c>
      <c r="F470" s="4" t="s">
        <v>231</v>
      </c>
      <c r="G470" s="4" t="s">
        <v>535</v>
      </c>
      <c r="H470" s="4" t="s">
        <v>499</v>
      </c>
      <c r="I470" s="9">
        <v>42930</v>
      </c>
      <c r="J470" s="11">
        <v>19500</v>
      </c>
      <c r="K470" s="4" t="s">
        <v>54</v>
      </c>
      <c r="L470" s="11">
        <v>0.62</v>
      </c>
      <c r="M470" s="11">
        <v>12090</v>
      </c>
      <c r="N470" s="4" t="s">
        <v>8</v>
      </c>
      <c r="O470" s="5">
        <v>5637293491</v>
      </c>
      <c r="P470" s="11" t="e">
        <f ca="1">_xll.AtlasFormulas.AtlasFunctions.AtlasBalance("UAT",DataAreaId,"T.MarkupTrans","Sum|Posted|0","","","","","","","TransRecId|TransTableId|MarkupCode",$O470,"492","TPP")</f>
        <v>#NAME?</v>
      </c>
    </row>
    <row r="471" spans="1:16" x14ac:dyDescent="0.15">
      <c r="A471" s="4" t="s">
        <v>20</v>
      </c>
      <c r="B471" s="4" t="s">
        <v>747</v>
      </c>
      <c r="C471" s="4" t="s">
        <v>272</v>
      </c>
      <c r="D471" s="4" t="s">
        <v>779</v>
      </c>
      <c r="E471" s="4" t="s">
        <v>780</v>
      </c>
      <c r="F471" s="4" t="s">
        <v>728</v>
      </c>
      <c r="G471" s="4" t="s">
        <v>535</v>
      </c>
      <c r="H471" s="4" t="s">
        <v>499</v>
      </c>
      <c r="I471" s="9">
        <v>42930</v>
      </c>
      <c r="J471" s="11">
        <v>19500</v>
      </c>
      <c r="K471" s="4" t="s">
        <v>54</v>
      </c>
      <c r="L471" s="11">
        <v>0.62</v>
      </c>
      <c r="M471" s="11">
        <v>12090</v>
      </c>
      <c r="N471" s="4" t="s">
        <v>8</v>
      </c>
      <c r="O471" s="5">
        <v>5637293467</v>
      </c>
      <c r="P471" s="11" t="e">
        <f ca="1">_xll.AtlasFormulas.AtlasFunctions.AtlasBalance("UAT",DataAreaId,"T.MarkupTrans","Sum|Posted|0","","","","","","","TransRecId|TransTableId|MarkupCode",$O471,"492","TPP")</f>
        <v>#NAME?</v>
      </c>
    </row>
    <row r="472" spans="1:16" x14ac:dyDescent="0.15">
      <c r="A472" s="4" t="s">
        <v>20</v>
      </c>
      <c r="B472" s="4" t="s">
        <v>747</v>
      </c>
      <c r="C472" s="4" t="s">
        <v>272</v>
      </c>
      <c r="D472" s="4" t="s">
        <v>933</v>
      </c>
      <c r="E472" s="4" t="s">
        <v>934</v>
      </c>
      <c r="F472" s="4" t="s">
        <v>728</v>
      </c>
      <c r="G472" s="4" t="s">
        <v>539</v>
      </c>
      <c r="H472" s="4" t="s">
        <v>540</v>
      </c>
      <c r="I472" s="9">
        <v>42920</v>
      </c>
      <c r="J472" s="11">
        <v>15210</v>
      </c>
      <c r="K472" s="4" t="s">
        <v>54</v>
      </c>
      <c r="L472" s="11">
        <v>0.76</v>
      </c>
      <c r="M472" s="11">
        <v>11559.6</v>
      </c>
      <c r="N472" s="4" t="s">
        <v>8</v>
      </c>
      <c r="O472" s="5">
        <v>5637293453</v>
      </c>
      <c r="P472" s="11" t="e">
        <f ca="1">_xll.AtlasFormulas.AtlasFunctions.AtlasBalance("UAT",DataAreaId,"T.MarkupTrans","Sum|Posted|0","","","","","","","TransRecId|TransTableId|MarkupCode",$O472,"492","TPP")</f>
        <v>#NAME?</v>
      </c>
    </row>
    <row r="473" spans="1:16" x14ac:dyDescent="0.15">
      <c r="A473" s="4" t="s">
        <v>227</v>
      </c>
      <c r="B473" s="4" t="s">
        <v>228</v>
      </c>
      <c r="C473" s="4" t="s">
        <v>82</v>
      </c>
      <c r="D473" s="4" t="s">
        <v>295</v>
      </c>
      <c r="E473" s="4" t="s">
        <v>538</v>
      </c>
      <c r="F473" s="4" t="s">
        <v>231</v>
      </c>
      <c r="G473" s="4" t="s">
        <v>539</v>
      </c>
      <c r="H473" s="4" t="s">
        <v>540</v>
      </c>
      <c r="I473" s="9">
        <v>42928</v>
      </c>
      <c r="J473" s="11">
        <v>15210</v>
      </c>
      <c r="K473" s="4" t="s">
        <v>54</v>
      </c>
      <c r="L473" s="11">
        <v>0.76</v>
      </c>
      <c r="M473" s="11">
        <v>11559.6</v>
      </c>
      <c r="N473" s="4" t="s">
        <v>8</v>
      </c>
      <c r="O473" s="5">
        <v>5637293473</v>
      </c>
      <c r="P473" s="11" t="e">
        <f ca="1">_xll.AtlasFormulas.AtlasFunctions.AtlasBalance("UAT",DataAreaId,"T.MarkupTrans","Sum|Posted|0","","","","","","","TransRecId|TransTableId|MarkupCode",$O473,"492","TPP")</f>
        <v>#NAME?</v>
      </c>
    </row>
    <row r="474" spans="1:16" x14ac:dyDescent="0.15">
      <c r="A474" s="4" t="s">
        <v>20</v>
      </c>
      <c r="B474" s="4" t="s">
        <v>747</v>
      </c>
      <c r="C474" s="4" t="s">
        <v>272</v>
      </c>
      <c r="D474" s="4" t="s">
        <v>935</v>
      </c>
      <c r="E474" s="4" t="s">
        <v>936</v>
      </c>
      <c r="F474" s="4" t="s">
        <v>728</v>
      </c>
      <c r="G474" s="4" t="s">
        <v>539</v>
      </c>
      <c r="H474" s="4" t="s">
        <v>540</v>
      </c>
      <c r="I474" s="9">
        <v>42933</v>
      </c>
      <c r="J474" s="11">
        <v>15210</v>
      </c>
      <c r="K474" s="4" t="s">
        <v>54</v>
      </c>
      <c r="L474" s="11">
        <v>0.76</v>
      </c>
      <c r="M474" s="11">
        <v>11559.6</v>
      </c>
      <c r="N474" s="4" t="s">
        <v>8</v>
      </c>
      <c r="O474" s="5">
        <v>5637293538</v>
      </c>
      <c r="P474" s="11" t="e">
        <f ca="1">_xll.AtlasFormulas.AtlasFunctions.AtlasBalance("UAT",DataAreaId,"T.MarkupTrans","Sum|Posted|0","","","","","","","TransRecId|TransTableId|MarkupCode",$O474,"492","TPP")</f>
        <v>#NAME?</v>
      </c>
    </row>
    <row r="475" spans="1:16" x14ac:dyDescent="0.15">
      <c r="A475" s="4" t="s">
        <v>227</v>
      </c>
      <c r="B475" s="4" t="s">
        <v>228</v>
      </c>
      <c r="C475" s="4" t="s">
        <v>82</v>
      </c>
      <c r="D475" s="4" t="s">
        <v>430</v>
      </c>
      <c r="E475" s="4" t="s">
        <v>541</v>
      </c>
      <c r="F475" s="4" t="s">
        <v>231</v>
      </c>
      <c r="G475" s="4" t="s">
        <v>539</v>
      </c>
      <c r="H475" s="4" t="s">
        <v>540</v>
      </c>
      <c r="I475" s="9">
        <v>42942</v>
      </c>
      <c r="J475" s="11">
        <v>15210</v>
      </c>
      <c r="K475" s="4" t="s">
        <v>54</v>
      </c>
      <c r="L475" s="11">
        <v>0.76</v>
      </c>
      <c r="M475" s="11">
        <v>11559.6</v>
      </c>
      <c r="N475" s="4" t="s">
        <v>8</v>
      </c>
      <c r="O475" s="5">
        <v>5637293527</v>
      </c>
      <c r="P475" s="11" t="e">
        <f ca="1">_xll.AtlasFormulas.AtlasFunctions.AtlasBalance("UAT",DataAreaId,"T.MarkupTrans","Sum|Posted|0","","","","","","","TransRecId|TransTableId|MarkupCode",$O475,"492","TPP")</f>
        <v>#NAME?</v>
      </c>
    </row>
    <row r="476" spans="1:16" x14ac:dyDescent="0.15">
      <c r="A476" s="4" t="s">
        <v>179</v>
      </c>
      <c r="B476" s="4" t="s">
        <v>542</v>
      </c>
      <c r="C476" s="4" t="s">
        <v>60</v>
      </c>
      <c r="D476" s="4" t="s">
        <v>447</v>
      </c>
      <c r="E476" s="4" t="s">
        <v>543</v>
      </c>
      <c r="F476" s="4" t="s">
        <v>183</v>
      </c>
      <c r="G476" s="4" t="s">
        <v>544</v>
      </c>
      <c r="H476" s="4" t="s">
        <v>545</v>
      </c>
      <c r="I476" s="9">
        <v>42871</v>
      </c>
      <c r="J476" s="11">
        <v>33.5</v>
      </c>
      <c r="K476" s="4" t="s">
        <v>54</v>
      </c>
      <c r="L476" s="11">
        <v>1.28</v>
      </c>
      <c r="M476" s="11">
        <v>42.88</v>
      </c>
      <c r="N476" s="4" t="s">
        <v>8</v>
      </c>
      <c r="O476" s="5">
        <v>5637292156</v>
      </c>
      <c r="P476" s="11" t="e">
        <f ca="1">_xll.AtlasFormulas.AtlasFunctions.AtlasBalance("UAT",DataAreaId,"T.MarkupTrans","Sum|Posted|0","","","","","","","TransRecId|TransTableId|MarkupCode",$O476,"492","TPP")</f>
        <v>#NAME?</v>
      </c>
    </row>
    <row r="477" spans="1:16" x14ac:dyDescent="0.15">
      <c r="A477" s="4" t="s">
        <v>20</v>
      </c>
      <c r="B477" s="4" t="s">
        <v>937</v>
      </c>
      <c r="C477" s="4" t="s">
        <v>938</v>
      </c>
      <c r="D477" s="4" t="s">
        <v>939</v>
      </c>
      <c r="E477" s="4" t="s">
        <v>940</v>
      </c>
      <c r="F477" s="4" t="s">
        <v>728</v>
      </c>
      <c r="G477" s="4" t="s">
        <v>127</v>
      </c>
      <c r="H477" s="4" t="s">
        <v>128</v>
      </c>
      <c r="I477" s="9">
        <v>42905</v>
      </c>
      <c r="J477" s="11">
        <v>4500</v>
      </c>
      <c r="K477" s="4" t="s">
        <v>62</v>
      </c>
      <c r="L477" s="11">
        <v>1.39408</v>
      </c>
      <c r="M477" s="11">
        <v>6273.36</v>
      </c>
      <c r="N477" s="4" t="s">
        <v>8</v>
      </c>
      <c r="O477" s="5">
        <v>5637292655</v>
      </c>
      <c r="P477" s="11" t="e">
        <f ca="1">_xll.AtlasFormulas.AtlasFunctions.AtlasBalance("UAT",DataAreaId,"T.MarkupTrans","Sum|Posted|0","","","","","","","TransRecId|TransTableId|MarkupCode",$O477,"492","TPP")</f>
        <v>#NAME?</v>
      </c>
    </row>
    <row r="478" spans="1:16" x14ac:dyDescent="0.15">
      <c r="A478" s="4" t="s">
        <v>20</v>
      </c>
      <c r="B478" s="4" t="s">
        <v>937</v>
      </c>
      <c r="C478" s="4" t="s">
        <v>938</v>
      </c>
      <c r="D478" s="4" t="s">
        <v>941</v>
      </c>
      <c r="E478" s="4" t="s">
        <v>942</v>
      </c>
      <c r="F478" s="4" t="s">
        <v>728</v>
      </c>
      <c r="G478" s="4" t="s">
        <v>127</v>
      </c>
      <c r="H478" s="4" t="s">
        <v>128</v>
      </c>
      <c r="I478" s="9">
        <v>42906</v>
      </c>
      <c r="J478" s="11">
        <v>3000</v>
      </c>
      <c r="K478" s="4" t="s">
        <v>62</v>
      </c>
      <c r="L478" s="11">
        <v>1.39408</v>
      </c>
      <c r="M478" s="11">
        <v>4182.24</v>
      </c>
      <c r="N478" s="4" t="s">
        <v>8</v>
      </c>
      <c r="O478" s="5">
        <v>5637292652</v>
      </c>
      <c r="P478" s="11" t="e">
        <f ca="1">_xll.AtlasFormulas.AtlasFunctions.AtlasBalance("UAT",DataAreaId,"T.MarkupTrans","Sum|Posted|0","","","","","","","TransRecId|TransTableId|MarkupCode",$O478,"492","TPP")</f>
        <v>#NAME?</v>
      </c>
    </row>
    <row r="479" spans="1:16" x14ac:dyDescent="0.15">
      <c r="A479" s="4" t="s">
        <v>110</v>
      </c>
      <c r="B479" s="4" t="s">
        <v>111</v>
      </c>
      <c r="C479" s="4" t="s">
        <v>82</v>
      </c>
      <c r="D479" s="4" t="s">
        <v>125</v>
      </c>
      <c r="E479" s="4" t="s">
        <v>126</v>
      </c>
      <c r="F479" s="4" t="s">
        <v>114</v>
      </c>
      <c r="G479" s="4" t="s">
        <v>127</v>
      </c>
      <c r="H479" s="4" t="s">
        <v>128</v>
      </c>
      <c r="I479" s="9">
        <v>42907</v>
      </c>
      <c r="J479" s="11">
        <v>4500</v>
      </c>
      <c r="K479" s="4" t="s">
        <v>62</v>
      </c>
      <c r="L479" s="11">
        <v>1.39408</v>
      </c>
      <c r="M479" s="11">
        <v>6273.36</v>
      </c>
      <c r="N479" s="4" t="s">
        <v>8</v>
      </c>
      <c r="O479" s="5">
        <v>5637292389</v>
      </c>
      <c r="P479" s="11" t="e">
        <f ca="1">_xll.AtlasFormulas.AtlasFunctions.AtlasBalance("UAT",DataAreaId,"T.MarkupTrans","Sum|Posted|0","","","","","","","TransRecId|TransTableId|MarkupCode",$O479,"492","TPP")</f>
        <v>#NAME?</v>
      </c>
    </row>
    <row r="480" spans="1:16" x14ac:dyDescent="0.15">
      <c r="A480" s="4" t="s">
        <v>110</v>
      </c>
      <c r="B480" s="4" t="s">
        <v>111</v>
      </c>
      <c r="C480" s="4" t="s">
        <v>82</v>
      </c>
      <c r="D480" s="4" t="s">
        <v>129</v>
      </c>
      <c r="E480" s="4" t="s">
        <v>130</v>
      </c>
      <c r="F480" s="4" t="s">
        <v>114</v>
      </c>
      <c r="G480" s="4" t="s">
        <v>127</v>
      </c>
      <c r="H480" s="4" t="s">
        <v>128</v>
      </c>
      <c r="I480" s="9">
        <v>42915</v>
      </c>
      <c r="J480" s="11">
        <v>3000</v>
      </c>
      <c r="K480" s="4" t="s">
        <v>62</v>
      </c>
      <c r="L480" s="11">
        <v>1.39408</v>
      </c>
      <c r="M480" s="11">
        <v>4182.24</v>
      </c>
      <c r="N480" s="4" t="s">
        <v>8</v>
      </c>
      <c r="O480" s="5">
        <v>5637292937</v>
      </c>
      <c r="P480" s="11" t="e">
        <f ca="1">_xll.AtlasFormulas.AtlasFunctions.AtlasBalance("UAT",DataAreaId,"T.MarkupTrans","Sum|Posted|0","","","","","","","TransRecId|TransTableId|MarkupCode",$O480,"492","TPP")</f>
        <v>#NAME?</v>
      </c>
    </row>
    <row r="481" spans="1:16" x14ac:dyDescent="0.15">
      <c r="A481" s="4" t="s">
        <v>20</v>
      </c>
      <c r="B481" s="4" t="s">
        <v>937</v>
      </c>
      <c r="C481" s="4" t="s">
        <v>938</v>
      </c>
      <c r="D481" s="4" t="s">
        <v>943</v>
      </c>
      <c r="E481" s="4" t="s">
        <v>944</v>
      </c>
      <c r="F481" s="4" t="s">
        <v>728</v>
      </c>
      <c r="G481" s="4" t="s">
        <v>133</v>
      </c>
      <c r="H481" s="4" t="s">
        <v>134</v>
      </c>
      <c r="I481" s="9">
        <v>42818</v>
      </c>
      <c r="J481" s="11">
        <v>4000</v>
      </c>
      <c r="K481" s="4" t="s">
        <v>62</v>
      </c>
      <c r="L481" s="11">
        <v>2.12</v>
      </c>
      <c r="M481" s="11">
        <v>8480</v>
      </c>
      <c r="N481" s="4" t="s">
        <v>8</v>
      </c>
      <c r="O481" s="5">
        <v>5637291268</v>
      </c>
      <c r="P481" s="11" t="e">
        <f ca="1">_xll.AtlasFormulas.AtlasFunctions.AtlasBalance("UAT",DataAreaId,"T.MarkupTrans","Sum|Posted|0","","","","","","","TransRecId|TransTableId|MarkupCode",$O481,"492","TPP")</f>
        <v>#NAME?</v>
      </c>
    </row>
    <row r="482" spans="1:16" x14ac:dyDescent="0.15">
      <c r="A482" s="4" t="s">
        <v>110</v>
      </c>
      <c r="B482" s="4" t="s">
        <v>111</v>
      </c>
      <c r="C482" s="4" t="s">
        <v>82</v>
      </c>
      <c r="D482" s="4" t="s">
        <v>131</v>
      </c>
      <c r="E482" s="4" t="s">
        <v>132</v>
      </c>
      <c r="F482" s="4" t="s">
        <v>114</v>
      </c>
      <c r="G482" s="4" t="s">
        <v>133</v>
      </c>
      <c r="H482" s="4" t="s">
        <v>134</v>
      </c>
      <c r="I482" s="9">
        <v>42824</v>
      </c>
      <c r="J482" s="11">
        <v>4000</v>
      </c>
      <c r="K482" s="4" t="s">
        <v>62</v>
      </c>
      <c r="L482" s="11">
        <v>2.12</v>
      </c>
      <c r="M482" s="11">
        <v>8480</v>
      </c>
      <c r="N482" s="4" t="s">
        <v>8</v>
      </c>
      <c r="O482" s="5">
        <v>5637291302</v>
      </c>
      <c r="P482" s="11" t="e">
        <f ca="1">_xll.AtlasFormulas.AtlasFunctions.AtlasBalance("UAT",DataAreaId,"T.MarkupTrans","Sum|Posted|0","","","","","","","TransRecId|TransTableId|MarkupCode",$O482,"492","TPP")</f>
        <v>#NAME?</v>
      </c>
    </row>
    <row r="483" spans="1:16" x14ac:dyDescent="0.15">
      <c r="A483" s="4" t="s">
        <v>20</v>
      </c>
      <c r="B483" s="4" t="s">
        <v>945</v>
      </c>
      <c r="C483" s="4" t="s">
        <v>946</v>
      </c>
      <c r="D483" s="4" t="s">
        <v>947</v>
      </c>
      <c r="E483" s="4" t="s">
        <v>948</v>
      </c>
      <c r="F483" s="4" t="s">
        <v>728</v>
      </c>
      <c r="G483" s="4" t="s">
        <v>133</v>
      </c>
      <c r="H483" s="4" t="s">
        <v>134</v>
      </c>
      <c r="I483" s="9">
        <v>42837</v>
      </c>
      <c r="J483" s="11">
        <v>300</v>
      </c>
      <c r="K483" s="4" t="s">
        <v>62</v>
      </c>
      <c r="L483" s="11">
        <v>2.12</v>
      </c>
      <c r="M483" s="11">
        <v>636</v>
      </c>
      <c r="N483" s="4" t="s">
        <v>8</v>
      </c>
      <c r="O483" s="5">
        <v>5637291397</v>
      </c>
      <c r="P483" s="11" t="e">
        <f ca="1">_xll.AtlasFormulas.AtlasFunctions.AtlasBalance("UAT",DataAreaId,"T.MarkupTrans","Sum|Posted|0","","","","","","","TransRecId|TransTableId|MarkupCode",$O483,"492","TPP")</f>
        <v>#NAME?</v>
      </c>
    </row>
    <row r="484" spans="1:16" x14ac:dyDescent="0.15">
      <c r="A484" s="4" t="s">
        <v>220</v>
      </c>
      <c r="B484" s="4" t="s">
        <v>417</v>
      </c>
      <c r="C484" s="4" t="s">
        <v>82</v>
      </c>
      <c r="D484" s="4" t="s">
        <v>229</v>
      </c>
      <c r="E484" s="4" t="s">
        <v>546</v>
      </c>
      <c r="F484" s="4" t="s">
        <v>224</v>
      </c>
      <c r="G484" s="4" t="s">
        <v>133</v>
      </c>
      <c r="H484" s="4" t="s">
        <v>134</v>
      </c>
      <c r="I484" s="9">
        <v>42843</v>
      </c>
      <c r="J484" s="11">
        <v>300</v>
      </c>
      <c r="K484" s="4" t="s">
        <v>62</v>
      </c>
      <c r="L484" s="11">
        <v>2.12</v>
      </c>
      <c r="M484" s="11">
        <v>636</v>
      </c>
      <c r="N484" s="4" t="s">
        <v>8</v>
      </c>
      <c r="O484" s="5">
        <v>5637291674</v>
      </c>
      <c r="P484" s="11" t="e">
        <f ca="1">_xll.AtlasFormulas.AtlasFunctions.AtlasBalance("UAT",DataAreaId,"T.MarkupTrans","Sum|Posted|0","","","","","","","TransRecId|TransTableId|MarkupCode",$O484,"492","TPP")</f>
        <v>#NAME?</v>
      </c>
    </row>
    <row r="485" spans="1:16" x14ac:dyDescent="0.15">
      <c r="A485" s="4" t="s">
        <v>20</v>
      </c>
      <c r="B485" s="4" t="s">
        <v>937</v>
      </c>
      <c r="C485" s="4" t="s">
        <v>938</v>
      </c>
      <c r="D485" s="4" t="s">
        <v>949</v>
      </c>
      <c r="E485" s="4" t="s">
        <v>950</v>
      </c>
      <c r="F485" s="4" t="s">
        <v>728</v>
      </c>
      <c r="G485" s="4" t="s">
        <v>133</v>
      </c>
      <c r="H485" s="4" t="s">
        <v>134</v>
      </c>
      <c r="I485" s="9">
        <v>42860</v>
      </c>
      <c r="J485" s="11">
        <v>1000</v>
      </c>
      <c r="K485" s="4" t="s">
        <v>62</v>
      </c>
      <c r="L485" s="11">
        <v>2.12</v>
      </c>
      <c r="M485" s="11">
        <v>2120</v>
      </c>
      <c r="N485" s="4" t="s">
        <v>8</v>
      </c>
      <c r="O485" s="5">
        <v>5637291819</v>
      </c>
      <c r="P485" s="11" t="e">
        <f ca="1">_xll.AtlasFormulas.AtlasFunctions.AtlasBalance("UAT",DataAreaId,"T.MarkupTrans","Sum|Posted|0","","","","","","","TransRecId|TransTableId|MarkupCode",$O485,"492","TPP")</f>
        <v>#NAME?</v>
      </c>
    </row>
    <row r="486" spans="1:16" x14ac:dyDescent="0.15">
      <c r="A486" s="4" t="s">
        <v>227</v>
      </c>
      <c r="B486" s="4" t="s">
        <v>228</v>
      </c>
      <c r="C486" s="4" t="s">
        <v>82</v>
      </c>
      <c r="D486" s="4" t="s">
        <v>547</v>
      </c>
      <c r="E486" s="4" t="s">
        <v>548</v>
      </c>
      <c r="F486" s="4" t="s">
        <v>231</v>
      </c>
      <c r="G486" s="4" t="s">
        <v>133</v>
      </c>
      <c r="H486" s="4" t="s">
        <v>134</v>
      </c>
      <c r="I486" s="9">
        <v>42860</v>
      </c>
      <c r="J486" s="11">
        <v>1000</v>
      </c>
      <c r="K486" s="4" t="s">
        <v>62</v>
      </c>
      <c r="L486" s="11">
        <v>2.12</v>
      </c>
      <c r="M486" s="11">
        <v>2120</v>
      </c>
      <c r="N486" s="4" t="s">
        <v>8</v>
      </c>
      <c r="O486" s="5">
        <v>5637291930</v>
      </c>
      <c r="P486" s="11" t="e">
        <f ca="1">_xll.AtlasFormulas.AtlasFunctions.AtlasBalance("UAT",DataAreaId,"T.MarkupTrans","Sum|Posted|0","","","","","","","TransRecId|TransTableId|MarkupCode",$O486,"492","TPP")</f>
        <v>#NAME?</v>
      </c>
    </row>
    <row r="487" spans="1:16" x14ac:dyDescent="0.15">
      <c r="A487" s="4" t="s">
        <v>20</v>
      </c>
      <c r="B487" s="4" t="s">
        <v>945</v>
      </c>
      <c r="C487" s="4" t="s">
        <v>946</v>
      </c>
      <c r="D487" s="4" t="s">
        <v>951</v>
      </c>
      <c r="E487" s="4" t="s">
        <v>952</v>
      </c>
      <c r="F487" s="4" t="s">
        <v>728</v>
      </c>
      <c r="G487" s="4" t="s">
        <v>133</v>
      </c>
      <c r="H487" s="4" t="s">
        <v>134</v>
      </c>
      <c r="I487" s="9">
        <v>42879</v>
      </c>
      <c r="J487" s="11">
        <v>570</v>
      </c>
      <c r="K487" s="4" t="s">
        <v>62</v>
      </c>
      <c r="L487" s="11">
        <v>2.1201700000000003</v>
      </c>
      <c r="M487" s="11">
        <v>1208.5</v>
      </c>
      <c r="N487" s="4" t="s">
        <v>8</v>
      </c>
      <c r="O487" s="5">
        <v>5637292230</v>
      </c>
      <c r="P487" s="11" t="e">
        <f ca="1">_xll.AtlasFormulas.AtlasFunctions.AtlasBalance("UAT",DataAreaId,"T.MarkupTrans","Sum|Posted|0","","","","","","","TransRecId|TransTableId|MarkupCode",$O487,"492","TPP")</f>
        <v>#NAME?</v>
      </c>
    </row>
    <row r="488" spans="1:16" x14ac:dyDescent="0.15">
      <c r="A488" s="4" t="s">
        <v>220</v>
      </c>
      <c r="B488" s="4" t="s">
        <v>417</v>
      </c>
      <c r="C488" s="4" t="s">
        <v>82</v>
      </c>
      <c r="D488" s="4" t="s">
        <v>481</v>
      </c>
      <c r="E488" s="4" t="s">
        <v>549</v>
      </c>
      <c r="F488" s="4" t="s">
        <v>224</v>
      </c>
      <c r="G488" s="4" t="s">
        <v>133</v>
      </c>
      <c r="H488" s="4" t="s">
        <v>134</v>
      </c>
      <c r="I488" s="9">
        <v>42884</v>
      </c>
      <c r="J488" s="11">
        <v>570</v>
      </c>
      <c r="K488" s="4" t="s">
        <v>62</v>
      </c>
      <c r="L488" s="11">
        <v>2.1201700000000003</v>
      </c>
      <c r="M488" s="11">
        <v>1208.5</v>
      </c>
      <c r="N488" s="4" t="s">
        <v>8</v>
      </c>
      <c r="O488" s="5">
        <v>5637292223</v>
      </c>
      <c r="P488" s="11" t="e">
        <f ca="1">_xll.AtlasFormulas.AtlasFunctions.AtlasBalance("UAT",DataAreaId,"T.MarkupTrans","Sum|Posted|0","","","","","","","TransRecId|TransTableId|MarkupCode",$O488,"492","TPP")</f>
        <v>#NAME?</v>
      </c>
    </row>
    <row r="489" spans="1:16" x14ac:dyDescent="0.15">
      <c r="A489" s="4" t="s">
        <v>20</v>
      </c>
      <c r="B489" s="4" t="s">
        <v>937</v>
      </c>
      <c r="C489" s="4" t="s">
        <v>938</v>
      </c>
      <c r="D489" s="4" t="s">
        <v>939</v>
      </c>
      <c r="E489" s="4" t="s">
        <v>940</v>
      </c>
      <c r="F489" s="4" t="s">
        <v>728</v>
      </c>
      <c r="G489" s="4" t="s">
        <v>133</v>
      </c>
      <c r="H489" s="4" t="s">
        <v>134</v>
      </c>
      <c r="I489" s="9">
        <v>42905</v>
      </c>
      <c r="J489" s="11">
        <v>5000</v>
      </c>
      <c r="K489" s="4" t="s">
        <v>62</v>
      </c>
      <c r="L489" s="11">
        <v>2.1201700000000003</v>
      </c>
      <c r="M489" s="11">
        <v>10600.85</v>
      </c>
      <c r="N489" s="4" t="s">
        <v>8</v>
      </c>
      <c r="O489" s="5">
        <v>5637292656</v>
      </c>
      <c r="P489" s="11" t="e">
        <f ca="1">_xll.AtlasFormulas.AtlasFunctions.AtlasBalance("UAT",DataAreaId,"T.MarkupTrans","Sum|Posted|0","","","","","","","TransRecId|TransTableId|MarkupCode",$O489,"492","TPP")</f>
        <v>#NAME?</v>
      </c>
    </row>
    <row r="490" spans="1:16" x14ac:dyDescent="0.15">
      <c r="A490" s="4" t="s">
        <v>110</v>
      </c>
      <c r="B490" s="4" t="s">
        <v>111</v>
      </c>
      <c r="C490" s="4" t="s">
        <v>82</v>
      </c>
      <c r="D490" s="4" t="s">
        <v>125</v>
      </c>
      <c r="E490" s="4" t="s">
        <v>126</v>
      </c>
      <c r="F490" s="4" t="s">
        <v>114</v>
      </c>
      <c r="G490" s="4" t="s">
        <v>133</v>
      </c>
      <c r="H490" s="4" t="s">
        <v>134</v>
      </c>
      <c r="I490" s="9">
        <v>42907</v>
      </c>
      <c r="J490" s="11">
        <v>5000</v>
      </c>
      <c r="K490" s="4" t="s">
        <v>62</v>
      </c>
      <c r="L490" s="11">
        <v>2.1201700000000003</v>
      </c>
      <c r="M490" s="11">
        <v>10600.85</v>
      </c>
      <c r="N490" s="4" t="s">
        <v>8</v>
      </c>
      <c r="O490" s="5">
        <v>5637292390</v>
      </c>
      <c r="P490" s="11" t="e">
        <f ca="1">_xll.AtlasFormulas.AtlasFunctions.AtlasBalance("UAT",DataAreaId,"T.MarkupTrans","Sum|Posted|0","","","","","","","TransRecId|TransTableId|MarkupCode",$O490,"492","TPP")</f>
        <v>#NAME?</v>
      </c>
    </row>
    <row r="491" spans="1:16" x14ac:dyDescent="0.15">
      <c r="A491" s="4" t="s">
        <v>20</v>
      </c>
      <c r="B491" s="4" t="s">
        <v>937</v>
      </c>
      <c r="C491" s="4" t="s">
        <v>938</v>
      </c>
      <c r="D491" s="4" t="s">
        <v>953</v>
      </c>
      <c r="E491" s="4" t="s">
        <v>954</v>
      </c>
      <c r="F491" s="4" t="s">
        <v>728</v>
      </c>
      <c r="G491" s="4" t="s">
        <v>133</v>
      </c>
      <c r="H491" s="4" t="s">
        <v>134</v>
      </c>
      <c r="I491" s="9">
        <v>42928</v>
      </c>
      <c r="J491" s="11">
        <v>5000</v>
      </c>
      <c r="K491" s="4" t="s">
        <v>62</v>
      </c>
      <c r="L491" s="11">
        <v>2.1201700000000003</v>
      </c>
      <c r="M491" s="11">
        <v>10600.85</v>
      </c>
      <c r="N491" s="4" t="s">
        <v>8</v>
      </c>
      <c r="O491" s="5">
        <v>5637293428</v>
      </c>
      <c r="P491" s="11" t="e">
        <f ca="1">_xll.AtlasFormulas.AtlasFunctions.AtlasBalance("UAT",DataAreaId,"T.MarkupTrans","Sum|Posted|0","","","","","","","TransRecId|TransTableId|MarkupCode",$O491,"492","TPP")</f>
        <v>#NAME?</v>
      </c>
    </row>
    <row r="492" spans="1:16" x14ac:dyDescent="0.15">
      <c r="A492" s="4" t="s">
        <v>110</v>
      </c>
      <c r="B492" s="4" t="s">
        <v>111</v>
      </c>
      <c r="C492" s="4" t="s">
        <v>82</v>
      </c>
      <c r="D492" s="4" t="s">
        <v>90</v>
      </c>
      <c r="E492" s="4" t="s">
        <v>135</v>
      </c>
      <c r="F492" s="4" t="s">
        <v>114</v>
      </c>
      <c r="G492" s="4" t="s">
        <v>133</v>
      </c>
      <c r="H492" s="4" t="s">
        <v>134</v>
      </c>
      <c r="I492" s="9">
        <v>42929</v>
      </c>
      <c r="J492" s="11">
        <v>5000</v>
      </c>
      <c r="K492" s="4" t="s">
        <v>62</v>
      </c>
      <c r="L492" s="11">
        <v>2.1201700000000003</v>
      </c>
      <c r="M492" s="11">
        <v>10600.85</v>
      </c>
      <c r="N492" s="4" t="s">
        <v>8</v>
      </c>
      <c r="O492" s="5">
        <v>5637293432</v>
      </c>
      <c r="P492" s="11" t="e">
        <f ca="1">_xll.AtlasFormulas.AtlasFunctions.AtlasBalance("UAT",DataAreaId,"T.MarkupTrans","Sum|Posted|0","","","","","","","TransRecId|TransTableId|MarkupCode",$O492,"492","TPP")</f>
        <v>#NAME?</v>
      </c>
    </row>
    <row r="493" spans="1:16" x14ac:dyDescent="0.15">
      <c r="A493" s="4" t="s">
        <v>227</v>
      </c>
      <c r="B493" s="4" t="s">
        <v>228</v>
      </c>
      <c r="C493" s="4" t="s">
        <v>82</v>
      </c>
      <c r="D493" s="4" t="s">
        <v>547</v>
      </c>
      <c r="E493" s="4" t="s">
        <v>548</v>
      </c>
      <c r="F493" s="4" t="s">
        <v>231</v>
      </c>
      <c r="G493" s="4" t="s">
        <v>550</v>
      </c>
      <c r="H493" s="4" t="s">
        <v>551</v>
      </c>
      <c r="I493" s="9">
        <v>42860</v>
      </c>
      <c r="J493" s="11">
        <v>400</v>
      </c>
      <c r="K493" s="4" t="s">
        <v>62</v>
      </c>
      <c r="L493" s="11">
        <v>3.1711900000000002</v>
      </c>
      <c r="M493" s="11">
        <v>1268.48</v>
      </c>
      <c r="N493" s="4" t="s">
        <v>8</v>
      </c>
      <c r="O493" s="5">
        <v>5637291931</v>
      </c>
      <c r="P493" s="11" t="e">
        <f ca="1">_xll.AtlasFormulas.AtlasFunctions.AtlasBalance("UAT",DataAreaId,"T.MarkupTrans","Sum|Posted|0","","","","","","","TransRecId|TransTableId|MarkupCode",$O493,"492","TPP")</f>
        <v>#NAME?</v>
      </c>
    </row>
    <row r="494" spans="1:16" x14ac:dyDescent="0.15">
      <c r="A494" s="4" t="s">
        <v>20</v>
      </c>
      <c r="B494" s="4" t="s">
        <v>937</v>
      </c>
      <c r="C494" s="4" t="s">
        <v>938</v>
      </c>
      <c r="D494" s="4" t="s">
        <v>949</v>
      </c>
      <c r="E494" s="4" t="s">
        <v>950</v>
      </c>
      <c r="F494" s="4" t="s">
        <v>728</v>
      </c>
      <c r="G494" s="4" t="s">
        <v>550</v>
      </c>
      <c r="H494" s="4" t="s">
        <v>551</v>
      </c>
      <c r="I494" s="9">
        <v>42860</v>
      </c>
      <c r="J494" s="11">
        <v>400</v>
      </c>
      <c r="K494" s="4" t="s">
        <v>62</v>
      </c>
      <c r="L494" s="11">
        <v>3.1711900000000002</v>
      </c>
      <c r="M494" s="11">
        <v>1268.48</v>
      </c>
      <c r="N494" s="4" t="s">
        <v>8</v>
      </c>
      <c r="O494" s="5">
        <v>5637291820</v>
      </c>
      <c r="P494" s="11" t="e">
        <f ca="1">_xll.AtlasFormulas.AtlasFunctions.AtlasBalance("UAT",DataAreaId,"T.MarkupTrans","Sum|Posted|0","","","","","","","TransRecId|TransTableId|MarkupCode",$O494,"492","TPP")</f>
        <v>#NAME?</v>
      </c>
    </row>
    <row r="495" spans="1:16" x14ac:dyDescent="0.15">
      <c r="A495" s="4" t="s">
        <v>20</v>
      </c>
      <c r="B495" s="4" t="s">
        <v>937</v>
      </c>
      <c r="C495" s="4" t="s">
        <v>938</v>
      </c>
      <c r="D495" s="4" t="s">
        <v>955</v>
      </c>
      <c r="E495" s="4" t="s">
        <v>956</v>
      </c>
      <c r="F495" s="4" t="s">
        <v>728</v>
      </c>
      <c r="G495" s="4" t="s">
        <v>137</v>
      </c>
      <c r="H495" s="4" t="s">
        <v>138</v>
      </c>
      <c r="I495" s="9">
        <v>42863</v>
      </c>
      <c r="J495" s="11">
        <v>500</v>
      </c>
      <c r="K495" s="4" t="s">
        <v>62</v>
      </c>
      <c r="L495" s="11">
        <v>1.98</v>
      </c>
      <c r="M495" s="11">
        <v>990</v>
      </c>
      <c r="N495" s="4" t="s">
        <v>8</v>
      </c>
      <c r="O495" s="5">
        <v>5637291867</v>
      </c>
      <c r="P495" s="11" t="e">
        <f ca="1">_xll.AtlasFormulas.AtlasFunctions.AtlasBalance("UAT",DataAreaId,"T.MarkupTrans","Sum|Posted|0","","","","","","","TransRecId|TransTableId|MarkupCode",$O495,"492","TPP")</f>
        <v>#NAME?</v>
      </c>
    </row>
    <row r="496" spans="1:16" x14ac:dyDescent="0.15">
      <c r="A496" s="4" t="s">
        <v>110</v>
      </c>
      <c r="B496" s="4" t="s">
        <v>111</v>
      </c>
      <c r="C496" s="4" t="s">
        <v>82</v>
      </c>
      <c r="D496" s="4" t="s">
        <v>87</v>
      </c>
      <c r="E496" s="4" t="s">
        <v>136</v>
      </c>
      <c r="F496" s="4" t="s">
        <v>114</v>
      </c>
      <c r="G496" s="4" t="s">
        <v>137</v>
      </c>
      <c r="H496" s="4" t="s">
        <v>138</v>
      </c>
      <c r="I496" s="9">
        <v>42866</v>
      </c>
      <c r="J496" s="11">
        <v>500</v>
      </c>
      <c r="K496" s="4" t="s">
        <v>62</v>
      </c>
      <c r="L496" s="11">
        <v>1.98</v>
      </c>
      <c r="M496" s="11">
        <v>990</v>
      </c>
      <c r="N496" s="4" t="s">
        <v>8</v>
      </c>
      <c r="O496" s="5">
        <v>5637291876</v>
      </c>
      <c r="P496" s="11" t="e">
        <f ca="1">_xll.AtlasFormulas.AtlasFunctions.AtlasBalance("UAT",DataAreaId,"T.MarkupTrans","Sum|Posted|0","","","","","","","TransRecId|TransTableId|MarkupCode",$O496,"492","TPP")</f>
        <v>#NAME?</v>
      </c>
    </row>
    <row r="497" spans="1:16" x14ac:dyDescent="0.15">
      <c r="A497" s="4" t="s">
        <v>20</v>
      </c>
      <c r="B497" s="4" t="s">
        <v>957</v>
      </c>
      <c r="C497" s="4" t="s">
        <v>938</v>
      </c>
      <c r="D497" s="4" t="s">
        <v>958</v>
      </c>
      <c r="E497" s="4" t="s">
        <v>959</v>
      </c>
      <c r="F497" s="4" t="s">
        <v>728</v>
      </c>
      <c r="G497" s="4" t="s">
        <v>11</v>
      </c>
      <c r="H497" s="4" t="s">
        <v>24</v>
      </c>
      <c r="I497" s="9">
        <v>42747</v>
      </c>
      <c r="J497" s="11">
        <v>1500</v>
      </c>
      <c r="K497" s="4" t="s">
        <v>62</v>
      </c>
      <c r="L497" s="11">
        <v>2.94</v>
      </c>
      <c r="M497" s="11">
        <v>4410</v>
      </c>
      <c r="N497" s="4" t="s">
        <v>8</v>
      </c>
      <c r="O497" s="5">
        <v>5637289654</v>
      </c>
      <c r="P497" s="11" t="e">
        <f ca="1">_xll.AtlasFormulas.AtlasFunctions.AtlasBalance("UAT",DataAreaId,"T.MarkupTrans","Sum|Posted|0","","","","","","","TransRecId|TransTableId|MarkupCode",$O497,"492","TPP")</f>
        <v>#NAME?</v>
      </c>
    </row>
    <row r="498" spans="1:16" x14ac:dyDescent="0.15">
      <c r="A498" s="4" t="s">
        <v>20</v>
      </c>
      <c r="B498" s="4" t="s">
        <v>957</v>
      </c>
      <c r="C498" s="4" t="s">
        <v>938</v>
      </c>
      <c r="D498" s="4" t="s">
        <v>960</v>
      </c>
      <c r="E498" s="4" t="s">
        <v>961</v>
      </c>
      <c r="F498" s="4" t="s">
        <v>728</v>
      </c>
      <c r="G498" s="4" t="s">
        <v>11</v>
      </c>
      <c r="H498" s="4" t="s">
        <v>24</v>
      </c>
      <c r="I498" s="9">
        <v>42752</v>
      </c>
      <c r="J498" s="11">
        <v>600</v>
      </c>
      <c r="K498" s="4" t="s">
        <v>62</v>
      </c>
      <c r="L498" s="11">
        <v>2.94</v>
      </c>
      <c r="M498" s="11">
        <v>1764</v>
      </c>
      <c r="N498" s="4" t="s">
        <v>8</v>
      </c>
      <c r="O498" s="5">
        <v>5637288922</v>
      </c>
      <c r="P498" s="11" t="e">
        <f ca="1">_xll.AtlasFormulas.AtlasFunctions.AtlasBalance("UAT",DataAreaId,"T.MarkupTrans","Sum|Posted|0","","","","","","","TransRecId|TransTableId|MarkupCode",$O498,"492","TPP")</f>
        <v>#NAME?</v>
      </c>
    </row>
    <row r="499" spans="1:16" x14ac:dyDescent="0.15">
      <c r="A499" s="4" t="s">
        <v>20</v>
      </c>
      <c r="B499" s="4" t="s">
        <v>957</v>
      </c>
      <c r="C499" s="4" t="s">
        <v>938</v>
      </c>
      <c r="D499" s="4" t="s">
        <v>962</v>
      </c>
      <c r="E499" s="4" t="s">
        <v>963</v>
      </c>
      <c r="F499" s="4" t="s">
        <v>728</v>
      </c>
      <c r="G499" s="4" t="s">
        <v>11</v>
      </c>
      <c r="H499" s="4" t="s">
        <v>24</v>
      </c>
      <c r="I499" s="9">
        <v>42795</v>
      </c>
      <c r="J499" s="11">
        <v>750</v>
      </c>
      <c r="K499" s="4" t="s">
        <v>62</v>
      </c>
      <c r="L499" s="11">
        <v>2.9385699999999999</v>
      </c>
      <c r="M499" s="11">
        <v>2203.9299999999998</v>
      </c>
      <c r="N499" s="4" t="s">
        <v>8</v>
      </c>
      <c r="O499" s="5">
        <v>5637290986</v>
      </c>
      <c r="P499" s="11" t="e">
        <f ca="1">_xll.AtlasFormulas.AtlasFunctions.AtlasBalance("UAT",DataAreaId,"T.MarkupTrans","Sum|Posted|0","","","","","","","TransRecId|TransTableId|MarkupCode",$O499,"492","TPP")</f>
        <v>#NAME?</v>
      </c>
    </row>
    <row r="500" spans="1:16" x14ac:dyDescent="0.15">
      <c r="A500" s="4" t="s">
        <v>20</v>
      </c>
      <c r="B500" s="4" t="s">
        <v>957</v>
      </c>
      <c r="C500" s="4" t="s">
        <v>938</v>
      </c>
      <c r="D500" s="4" t="s">
        <v>964</v>
      </c>
      <c r="E500" s="4" t="s">
        <v>965</v>
      </c>
      <c r="F500" s="4" t="s">
        <v>728</v>
      </c>
      <c r="G500" s="4" t="s">
        <v>11</v>
      </c>
      <c r="H500" s="4" t="s">
        <v>24</v>
      </c>
      <c r="I500" s="9">
        <v>42836</v>
      </c>
      <c r="J500" s="11">
        <v>1500</v>
      </c>
      <c r="K500" s="4" t="s">
        <v>62</v>
      </c>
      <c r="L500" s="11">
        <v>2.94</v>
      </c>
      <c r="M500" s="11">
        <v>4410</v>
      </c>
      <c r="N500" s="4" t="s">
        <v>8</v>
      </c>
      <c r="O500" s="5">
        <v>5637291714</v>
      </c>
      <c r="P500" s="11" t="e">
        <f ca="1">_xll.AtlasFormulas.AtlasFunctions.AtlasBalance("UAT",DataAreaId,"T.MarkupTrans","Sum|Posted|0","","","","","","","TransRecId|TransTableId|MarkupCode",$O500,"492","TPP")</f>
        <v>#NAME?</v>
      </c>
    </row>
    <row r="501" spans="1:16" x14ac:dyDescent="0.15">
      <c r="A501" s="4" t="s">
        <v>20</v>
      </c>
      <c r="B501" s="4" t="s">
        <v>957</v>
      </c>
      <c r="C501" s="4" t="s">
        <v>938</v>
      </c>
      <c r="D501" s="4" t="s">
        <v>966</v>
      </c>
      <c r="E501" s="4" t="s">
        <v>967</v>
      </c>
      <c r="F501" s="4" t="s">
        <v>728</v>
      </c>
      <c r="G501" s="4" t="s">
        <v>11</v>
      </c>
      <c r="H501" s="4" t="s">
        <v>24</v>
      </c>
      <c r="I501" s="9">
        <v>42865</v>
      </c>
      <c r="J501" s="11">
        <v>1500</v>
      </c>
      <c r="K501" s="4" t="s">
        <v>62</v>
      </c>
      <c r="L501" s="11">
        <v>2.94</v>
      </c>
      <c r="M501" s="11">
        <v>4410</v>
      </c>
      <c r="N501" s="4" t="s">
        <v>8</v>
      </c>
      <c r="O501" s="5">
        <v>5637292160</v>
      </c>
      <c r="P501" s="11" t="e">
        <f ca="1">_xll.AtlasFormulas.AtlasFunctions.AtlasBalance("UAT",DataAreaId,"T.MarkupTrans","Sum|Posted|0","","","","","","","TransRecId|TransTableId|MarkupCode",$O501,"492","TPP")</f>
        <v>#NAME?</v>
      </c>
    </row>
    <row r="502" spans="1:16" x14ac:dyDescent="0.15">
      <c r="A502" s="4" t="s">
        <v>179</v>
      </c>
      <c r="B502" s="4" t="s">
        <v>244</v>
      </c>
      <c r="C502" s="4" t="s">
        <v>82</v>
      </c>
      <c r="D502" s="4" t="s">
        <v>552</v>
      </c>
      <c r="E502" s="4" t="s">
        <v>553</v>
      </c>
      <c r="F502" s="4" t="s">
        <v>183</v>
      </c>
      <c r="G502" s="4" t="s">
        <v>11</v>
      </c>
      <c r="H502" s="4" t="s">
        <v>24</v>
      </c>
      <c r="I502" s="9">
        <v>42866</v>
      </c>
      <c r="J502" s="11">
        <v>600</v>
      </c>
      <c r="K502" s="4" t="s">
        <v>62</v>
      </c>
      <c r="L502" s="11">
        <v>2.94</v>
      </c>
      <c r="M502" s="11">
        <v>1764</v>
      </c>
      <c r="N502" s="4" t="s">
        <v>8</v>
      </c>
      <c r="O502" s="5">
        <v>5637292173</v>
      </c>
      <c r="P502" s="11" t="e">
        <f ca="1">_xll.AtlasFormulas.AtlasFunctions.AtlasBalance("UAT",DataAreaId,"T.MarkupTrans","Sum|Posted|0","","","","","","","TransRecId|TransTableId|MarkupCode",$O502,"492","TPP")</f>
        <v>#NAME?</v>
      </c>
    </row>
    <row r="503" spans="1:16" x14ac:dyDescent="0.15">
      <c r="A503" s="4" t="s">
        <v>20</v>
      </c>
      <c r="B503" s="4" t="s">
        <v>937</v>
      </c>
      <c r="C503" s="4" t="s">
        <v>938</v>
      </c>
      <c r="D503" s="4" t="s">
        <v>968</v>
      </c>
      <c r="E503" s="4" t="s">
        <v>969</v>
      </c>
      <c r="F503" s="4" t="s">
        <v>728</v>
      </c>
      <c r="G503" s="4" t="s">
        <v>11</v>
      </c>
      <c r="H503" s="4" t="s">
        <v>24</v>
      </c>
      <c r="I503" s="9">
        <v>42866</v>
      </c>
      <c r="J503" s="11">
        <v>600</v>
      </c>
      <c r="K503" s="4" t="s">
        <v>62</v>
      </c>
      <c r="L503" s="11">
        <v>2.94</v>
      </c>
      <c r="M503" s="11">
        <v>1764</v>
      </c>
      <c r="N503" s="4" t="s">
        <v>8</v>
      </c>
      <c r="O503" s="5">
        <v>5637291860</v>
      </c>
      <c r="P503" s="11" t="e">
        <f ca="1">_xll.AtlasFormulas.AtlasFunctions.AtlasBalance("UAT",DataAreaId,"T.MarkupTrans","Sum|Posted|0","","","","","","","TransRecId|TransTableId|MarkupCode",$O503,"492","TPP")</f>
        <v>#NAME?</v>
      </c>
    </row>
    <row r="504" spans="1:16" x14ac:dyDescent="0.15">
      <c r="A504" s="4" t="s">
        <v>20</v>
      </c>
      <c r="B504" s="4" t="s">
        <v>957</v>
      </c>
      <c r="C504" s="4" t="s">
        <v>938</v>
      </c>
      <c r="D504" s="4" t="s">
        <v>970</v>
      </c>
      <c r="E504" s="4" t="s">
        <v>971</v>
      </c>
      <c r="F504" s="4" t="s">
        <v>728</v>
      </c>
      <c r="G504" s="4" t="s">
        <v>11</v>
      </c>
      <c r="H504" s="4" t="s">
        <v>24</v>
      </c>
      <c r="I504" s="9">
        <v>42928</v>
      </c>
      <c r="J504" s="11">
        <v>1950</v>
      </c>
      <c r="K504" s="4" t="s">
        <v>62</v>
      </c>
      <c r="L504" s="11">
        <v>2.94</v>
      </c>
      <c r="M504" s="11">
        <v>5733</v>
      </c>
      <c r="N504" s="4" t="s">
        <v>8</v>
      </c>
      <c r="O504" s="5">
        <v>5637293508</v>
      </c>
      <c r="P504" s="11" t="e">
        <f ca="1">_xll.AtlasFormulas.AtlasFunctions.AtlasBalance("UAT",DataAreaId,"T.MarkupTrans","Sum|Posted|0","","","","","","","TransRecId|TransTableId|MarkupCode",$O504,"492","TPP")</f>
        <v>#NAME?</v>
      </c>
    </row>
    <row r="505" spans="1:16" x14ac:dyDescent="0.15">
      <c r="A505" s="4" t="s">
        <v>20</v>
      </c>
      <c r="B505" s="4" t="s">
        <v>937</v>
      </c>
      <c r="C505" s="4" t="s">
        <v>938</v>
      </c>
      <c r="D505" s="4" t="s">
        <v>972</v>
      </c>
      <c r="E505" s="4" t="s">
        <v>973</v>
      </c>
      <c r="F505" s="4" t="s">
        <v>728</v>
      </c>
      <c r="G505" s="4" t="s">
        <v>11</v>
      </c>
      <c r="H505" s="4" t="s">
        <v>24</v>
      </c>
      <c r="I505" s="9">
        <v>42941</v>
      </c>
      <c r="J505" s="11">
        <v>500</v>
      </c>
      <c r="K505" s="4" t="s">
        <v>62</v>
      </c>
      <c r="L505" s="11">
        <v>2.9385699999999999</v>
      </c>
      <c r="M505" s="11">
        <v>1469.29</v>
      </c>
      <c r="N505" s="4" t="s">
        <v>8</v>
      </c>
      <c r="O505" s="5">
        <v>5637293517</v>
      </c>
      <c r="P505" s="11" t="e">
        <f ca="1">_xll.AtlasFormulas.AtlasFunctions.AtlasBalance("UAT",DataAreaId,"T.MarkupTrans","Sum|Posted|0","","","","","","","TransRecId|TransTableId|MarkupCode",$O505,"492","TPP")</f>
        <v>#NAME?</v>
      </c>
    </row>
    <row r="506" spans="1:16" x14ac:dyDescent="0.15">
      <c r="A506" s="4" t="s">
        <v>110</v>
      </c>
      <c r="B506" s="4" t="s">
        <v>111</v>
      </c>
      <c r="C506" s="4" t="s">
        <v>82</v>
      </c>
      <c r="D506" s="4" t="s">
        <v>139</v>
      </c>
      <c r="E506" s="4" t="s">
        <v>140</v>
      </c>
      <c r="F506" s="4" t="s">
        <v>114</v>
      </c>
      <c r="G506" s="4" t="s">
        <v>11</v>
      </c>
      <c r="H506" s="4" t="s">
        <v>24</v>
      </c>
      <c r="I506" s="9">
        <v>42947</v>
      </c>
      <c r="J506" s="11">
        <v>500</v>
      </c>
      <c r="K506" s="4" t="s">
        <v>62</v>
      </c>
      <c r="L506" s="11">
        <v>2.9385699999999999</v>
      </c>
      <c r="M506" s="11">
        <v>1469.29</v>
      </c>
      <c r="N506" s="4" t="s">
        <v>8</v>
      </c>
      <c r="O506" s="5">
        <v>5637294158</v>
      </c>
      <c r="P506" s="11" t="e">
        <f ca="1">_xll.AtlasFormulas.AtlasFunctions.AtlasBalance("UAT",DataAreaId,"T.MarkupTrans","Sum|Posted|0","","","","","","","TransRecId|TransTableId|MarkupCode",$O506,"492","TPP")</f>
        <v>#NAME?</v>
      </c>
    </row>
    <row r="507" spans="1:16" x14ac:dyDescent="0.15">
      <c r="A507" s="4" t="s">
        <v>20</v>
      </c>
      <c r="B507" s="4" t="s">
        <v>945</v>
      </c>
      <c r="C507" s="4" t="s">
        <v>946</v>
      </c>
      <c r="D507" s="4" t="s">
        <v>974</v>
      </c>
      <c r="E507" s="4" t="s">
        <v>975</v>
      </c>
      <c r="F507" s="4" t="s">
        <v>728</v>
      </c>
      <c r="G507" s="4" t="s">
        <v>141</v>
      </c>
      <c r="H507" s="4" t="s">
        <v>142</v>
      </c>
      <c r="I507" s="9">
        <v>42786</v>
      </c>
      <c r="J507" s="11">
        <v>1270</v>
      </c>
      <c r="K507" s="4" t="s">
        <v>62</v>
      </c>
      <c r="L507" s="11">
        <v>3.6700000000000004</v>
      </c>
      <c r="M507" s="11">
        <v>4660.8999999999996</v>
      </c>
      <c r="N507" s="4" t="s">
        <v>8</v>
      </c>
      <c r="O507" s="5">
        <v>5637289908</v>
      </c>
      <c r="P507" s="11" t="e">
        <f ca="1">_xll.AtlasFormulas.AtlasFunctions.AtlasBalance("UAT",DataAreaId,"T.MarkupTrans","Sum|Posted|0","","","","","","","TransRecId|TransTableId|MarkupCode",$O507,"492","TPP")</f>
        <v>#NAME?</v>
      </c>
    </row>
    <row r="508" spans="1:16" x14ac:dyDescent="0.15">
      <c r="A508" s="4" t="s">
        <v>220</v>
      </c>
      <c r="B508" s="4" t="s">
        <v>417</v>
      </c>
      <c r="C508" s="4" t="s">
        <v>82</v>
      </c>
      <c r="D508" s="4" t="s">
        <v>554</v>
      </c>
      <c r="E508" s="4" t="s">
        <v>555</v>
      </c>
      <c r="F508" s="4" t="s">
        <v>224</v>
      </c>
      <c r="G508" s="4" t="s">
        <v>141</v>
      </c>
      <c r="H508" s="4" t="s">
        <v>142</v>
      </c>
      <c r="I508" s="9">
        <v>42787</v>
      </c>
      <c r="J508" s="11">
        <v>1270</v>
      </c>
      <c r="K508" s="4" t="s">
        <v>62</v>
      </c>
      <c r="L508" s="11">
        <v>3.6700000000000004</v>
      </c>
      <c r="M508" s="11">
        <v>4660.8999999999996</v>
      </c>
      <c r="N508" s="4" t="s">
        <v>8</v>
      </c>
      <c r="O508" s="5">
        <v>5637289937</v>
      </c>
      <c r="P508" s="11" t="e">
        <f ca="1">_xll.AtlasFormulas.AtlasFunctions.AtlasBalance("UAT",DataAreaId,"T.MarkupTrans","Sum|Posted|0","","","","","","","TransRecId|TransTableId|MarkupCode",$O508,"492","TPP")</f>
        <v>#NAME?</v>
      </c>
    </row>
    <row r="509" spans="1:16" x14ac:dyDescent="0.15">
      <c r="A509" s="4" t="s">
        <v>20</v>
      </c>
      <c r="B509" s="4" t="s">
        <v>937</v>
      </c>
      <c r="C509" s="4" t="s">
        <v>938</v>
      </c>
      <c r="D509" s="4" t="s">
        <v>976</v>
      </c>
      <c r="E509" s="4" t="s">
        <v>977</v>
      </c>
      <c r="F509" s="4" t="s">
        <v>728</v>
      </c>
      <c r="G509" s="4" t="s">
        <v>141</v>
      </c>
      <c r="H509" s="4" t="s">
        <v>142</v>
      </c>
      <c r="I509" s="9">
        <v>42789</v>
      </c>
      <c r="J509" s="11">
        <v>600</v>
      </c>
      <c r="K509" s="4" t="s">
        <v>62</v>
      </c>
      <c r="L509" s="11">
        <v>3.15</v>
      </c>
      <c r="M509" s="11">
        <v>1890</v>
      </c>
      <c r="N509" s="4" t="s">
        <v>8</v>
      </c>
      <c r="O509" s="5">
        <v>5637289930</v>
      </c>
      <c r="P509" s="11" t="e">
        <f ca="1">_xll.AtlasFormulas.AtlasFunctions.AtlasBalance("UAT",DataAreaId,"T.MarkupTrans","Sum|Posted|0","","","","","","","TransRecId|TransTableId|MarkupCode",$O509,"492","TPP")</f>
        <v>#NAME?</v>
      </c>
    </row>
    <row r="510" spans="1:16" x14ac:dyDescent="0.15">
      <c r="A510" s="4" t="s">
        <v>20</v>
      </c>
      <c r="B510" s="4" t="s">
        <v>945</v>
      </c>
      <c r="C510" s="4" t="s">
        <v>946</v>
      </c>
      <c r="D510" s="4" t="s">
        <v>978</v>
      </c>
      <c r="E510" s="4" t="s">
        <v>979</v>
      </c>
      <c r="F510" s="4" t="s">
        <v>728</v>
      </c>
      <c r="G510" s="4" t="s">
        <v>141</v>
      </c>
      <c r="H510" s="4" t="s">
        <v>142</v>
      </c>
      <c r="I510" s="9">
        <v>42790</v>
      </c>
      <c r="J510" s="11">
        <v>850</v>
      </c>
      <c r="K510" s="4" t="s">
        <v>62</v>
      </c>
      <c r="L510" s="11">
        <v>3.15</v>
      </c>
      <c r="M510" s="11">
        <v>2677.5</v>
      </c>
      <c r="N510" s="4" t="s">
        <v>8</v>
      </c>
      <c r="O510" s="5">
        <v>5637290904</v>
      </c>
      <c r="P510" s="11" t="e">
        <f ca="1">_xll.AtlasFormulas.AtlasFunctions.AtlasBalance("UAT",DataAreaId,"T.MarkupTrans","Sum|Posted|0","","","","","","","TransRecId|TransTableId|MarkupCode",$O510,"492","TPP")</f>
        <v>#NAME?</v>
      </c>
    </row>
    <row r="511" spans="1:16" x14ac:dyDescent="0.15">
      <c r="A511" s="4" t="s">
        <v>220</v>
      </c>
      <c r="B511" s="4" t="s">
        <v>417</v>
      </c>
      <c r="C511" s="4" t="s">
        <v>82</v>
      </c>
      <c r="D511" s="4" t="s">
        <v>355</v>
      </c>
      <c r="E511" s="4" t="s">
        <v>556</v>
      </c>
      <c r="F511" s="4" t="s">
        <v>224</v>
      </c>
      <c r="G511" s="4" t="s">
        <v>141</v>
      </c>
      <c r="H511" s="4" t="s">
        <v>142</v>
      </c>
      <c r="I511" s="9">
        <v>42794</v>
      </c>
      <c r="J511" s="11">
        <v>850</v>
      </c>
      <c r="K511" s="4" t="s">
        <v>62</v>
      </c>
      <c r="L511" s="11">
        <v>3.15</v>
      </c>
      <c r="M511" s="11">
        <v>2677.5</v>
      </c>
      <c r="N511" s="4" t="s">
        <v>8</v>
      </c>
      <c r="O511" s="5">
        <v>5637290914</v>
      </c>
      <c r="P511" s="11" t="e">
        <f ca="1">_xll.AtlasFormulas.AtlasFunctions.AtlasBalance("UAT",DataAreaId,"T.MarkupTrans","Sum|Posted|0","","","","","","","TransRecId|TransTableId|MarkupCode",$O511,"492","TPP")</f>
        <v>#NAME?</v>
      </c>
    </row>
    <row r="512" spans="1:16" x14ac:dyDescent="0.15">
      <c r="A512" s="4" t="s">
        <v>288</v>
      </c>
      <c r="B512" s="4" t="s">
        <v>308</v>
      </c>
      <c r="C512" s="4" t="s">
        <v>82</v>
      </c>
      <c r="D512" s="4" t="s">
        <v>494</v>
      </c>
      <c r="E512" s="4" t="s">
        <v>557</v>
      </c>
      <c r="F512" s="4" t="s">
        <v>311</v>
      </c>
      <c r="G512" s="4" t="s">
        <v>141</v>
      </c>
      <c r="H512" s="4" t="s">
        <v>142</v>
      </c>
      <c r="I512" s="9">
        <v>42794</v>
      </c>
      <c r="J512" s="11">
        <v>600</v>
      </c>
      <c r="K512" s="4" t="s">
        <v>62</v>
      </c>
      <c r="L512" s="11">
        <v>3.15</v>
      </c>
      <c r="M512" s="11">
        <v>1890</v>
      </c>
      <c r="N512" s="4" t="s">
        <v>8</v>
      </c>
      <c r="O512" s="5">
        <v>5637290967</v>
      </c>
      <c r="P512" s="11" t="e">
        <f ca="1">_xll.AtlasFormulas.AtlasFunctions.AtlasBalance("UAT",DataAreaId,"T.MarkupTrans","Sum|Posted|0","","","","","","","TransRecId|TransTableId|MarkupCode",$O512,"492","TPP")</f>
        <v>#NAME?</v>
      </c>
    </row>
    <row r="513" spans="1:16" x14ac:dyDescent="0.15">
      <c r="A513" s="4" t="s">
        <v>20</v>
      </c>
      <c r="B513" s="4" t="s">
        <v>937</v>
      </c>
      <c r="C513" s="4" t="s">
        <v>938</v>
      </c>
      <c r="D513" s="4" t="s">
        <v>943</v>
      </c>
      <c r="E513" s="4" t="s">
        <v>944</v>
      </c>
      <c r="F513" s="4" t="s">
        <v>728</v>
      </c>
      <c r="G513" s="4" t="s">
        <v>141</v>
      </c>
      <c r="H513" s="4" t="s">
        <v>142</v>
      </c>
      <c r="I513" s="9">
        <v>42818</v>
      </c>
      <c r="J513" s="11">
        <v>1500</v>
      </c>
      <c r="K513" s="4" t="s">
        <v>62</v>
      </c>
      <c r="L513" s="11">
        <v>3.15</v>
      </c>
      <c r="M513" s="11">
        <v>4725</v>
      </c>
      <c r="N513" s="4" t="s">
        <v>8</v>
      </c>
      <c r="O513" s="5">
        <v>5637291269</v>
      </c>
      <c r="P513" s="11" t="e">
        <f ca="1">_xll.AtlasFormulas.AtlasFunctions.AtlasBalance("UAT",DataAreaId,"T.MarkupTrans","Sum|Posted|0","","","","","","","TransRecId|TransTableId|MarkupCode",$O513,"492","TPP")</f>
        <v>#NAME?</v>
      </c>
    </row>
    <row r="514" spans="1:16" x14ac:dyDescent="0.15">
      <c r="A514" s="4" t="s">
        <v>110</v>
      </c>
      <c r="B514" s="4" t="s">
        <v>111</v>
      </c>
      <c r="C514" s="4" t="s">
        <v>82</v>
      </c>
      <c r="D514" s="4" t="s">
        <v>131</v>
      </c>
      <c r="E514" s="4" t="s">
        <v>132</v>
      </c>
      <c r="F514" s="4" t="s">
        <v>114</v>
      </c>
      <c r="G514" s="4" t="s">
        <v>141</v>
      </c>
      <c r="H514" s="4" t="s">
        <v>142</v>
      </c>
      <c r="I514" s="9">
        <v>42824</v>
      </c>
      <c r="J514" s="11">
        <v>1500</v>
      </c>
      <c r="K514" s="4" t="s">
        <v>62</v>
      </c>
      <c r="L514" s="11">
        <v>3.15</v>
      </c>
      <c r="M514" s="11">
        <v>4725</v>
      </c>
      <c r="N514" s="4" t="s">
        <v>8</v>
      </c>
      <c r="O514" s="5">
        <v>5637291303</v>
      </c>
      <c r="P514" s="11" t="e">
        <f ca="1">_xll.AtlasFormulas.AtlasFunctions.AtlasBalance("UAT",DataAreaId,"T.MarkupTrans","Sum|Posted|0","","","","","","","TransRecId|TransTableId|MarkupCode",$O514,"492","TPP")</f>
        <v>#NAME?</v>
      </c>
    </row>
    <row r="515" spans="1:16" x14ac:dyDescent="0.15">
      <c r="A515" s="4" t="s">
        <v>20</v>
      </c>
      <c r="B515" s="4" t="s">
        <v>945</v>
      </c>
      <c r="C515" s="4" t="s">
        <v>946</v>
      </c>
      <c r="D515" s="4" t="s">
        <v>947</v>
      </c>
      <c r="E515" s="4" t="s">
        <v>948</v>
      </c>
      <c r="F515" s="4" t="s">
        <v>728</v>
      </c>
      <c r="G515" s="4" t="s">
        <v>141</v>
      </c>
      <c r="H515" s="4" t="s">
        <v>142</v>
      </c>
      <c r="I515" s="9">
        <v>42837</v>
      </c>
      <c r="J515" s="11">
        <v>300</v>
      </c>
      <c r="K515" s="4" t="s">
        <v>62</v>
      </c>
      <c r="L515" s="11">
        <v>3.15</v>
      </c>
      <c r="M515" s="11">
        <v>945</v>
      </c>
      <c r="N515" s="4" t="s">
        <v>8</v>
      </c>
      <c r="O515" s="5">
        <v>5637291648</v>
      </c>
      <c r="P515" s="11" t="e">
        <f ca="1">_xll.AtlasFormulas.AtlasFunctions.AtlasBalance("UAT",DataAreaId,"T.MarkupTrans","Sum|Posted|0","","","","","","","TransRecId|TransTableId|MarkupCode",$O515,"492","TPP")</f>
        <v>#NAME?</v>
      </c>
    </row>
    <row r="516" spans="1:16" x14ac:dyDescent="0.15">
      <c r="A516" s="4" t="s">
        <v>220</v>
      </c>
      <c r="B516" s="4" t="s">
        <v>417</v>
      </c>
      <c r="C516" s="4" t="s">
        <v>82</v>
      </c>
      <c r="D516" s="4" t="s">
        <v>229</v>
      </c>
      <c r="E516" s="4" t="s">
        <v>546</v>
      </c>
      <c r="F516" s="4" t="s">
        <v>224</v>
      </c>
      <c r="G516" s="4" t="s">
        <v>141</v>
      </c>
      <c r="H516" s="4" t="s">
        <v>142</v>
      </c>
      <c r="I516" s="9">
        <v>42843</v>
      </c>
      <c r="J516" s="11">
        <v>300</v>
      </c>
      <c r="K516" s="4" t="s">
        <v>62</v>
      </c>
      <c r="L516" s="11">
        <v>3.15</v>
      </c>
      <c r="M516" s="11">
        <v>945</v>
      </c>
      <c r="N516" s="4" t="s">
        <v>8</v>
      </c>
      <c r="O516" s="5">
        <v>5637291675</v>
      </c>
      <c r="P516" s="11" t="e">
        <f ca="1">_xll.AtlasFormulas.AtlasFunctions.AtlasBalance("UAT",DataAreaId,"T.MarkupTrans","Sum|Posted|0","","","","","","","TransRecId|TransTableId|MarkupCode",$O516,"492","TPP")</f>
        <v>#NAME?</v>
      </c>
    </row>
    <row r="517" spans="1:16" x14ac:dyDescent="0.15">
      <c r="A517" s="4" t="s">
        <v>179</v>
      </c>
      <c r="B517" s="4" t="s">
        <v>244</v>
      </c>
      <c r="C517" s="4" t="s">
        <v>82</v>
      </c>
      <c r="D517" s="4" t="s">
        <v>552</v>
      </c>
      <c r="E517" s="4" t="s">
        <v>553</v>
      </c>
      <c r="F517" s="4" t="s">
        <v>183</v>
      </c>
      <c r="G517" s="4" t="s">
        <v>141</v>
      </c>
      <c r="H517" s="4" t="s">
        <v>142</v>
      </c>
      <c r="I517" s="9">
        <v>42866</v>
      </c>
      <c r="J517" s="11">
        <v>300</v>
      </c>
      <c r="K517" s="4" t="s">
        <v>62</v>
      </c>
      <c r="L517" s="11">
        <v>3.15</v>
      </c>
      <c r="M517" s="11">
        <v>945</v>
      </c>
      <c r="N517" s="4" t="s">
        <v>8</v>
      </c>
      <c r="O517" s="5">
        <v>5637292174</v>
      </c>
      <c r="P517" s="11" t="e">
        <f ca="1">_xll.AtlasFormulas.AtlasFunctions.AtlasBalance("UAT",DataAreaId,"T.MarkupTrans","Sum|Posted|0","","","","","","","TransRecId|TransTableId|MarkupCode",$O517,"492","TPP")</f>
        <v>#NAME?</v>
      </c>
    </row>
    <row r="518" spans="1:16" x14ac:dyDescent="0.15">
      <c r="A518" s="4" t="s">
        <v>20</v>
      </c>
      <c r="B518" s="4" t="s">
        <v>937</v>
      </c>
      <c r="C518" s="4" t="s">
        <v>938</v>
      </c>
      <c r="D518" s="4" t="s">
        <v>968</v>
      </c>
      <c r="E518" s="4" t="s">
        <v>969</v>
      </c>
      <c r="F518" s="4" t="s">
        <v>728</v>
      </c>
      <c r="G518" s="4" t="s">
        <v>141</v>
      </c>
      <c r="H518" s="4" t="s">
        <v>142</v>
      </c>
      <c r="I518" s="9">
        <v>42866</v>
      </c>
      <c r="J518" s="11">
        <v>300</v>
      </c>
      <c r="K518" s="4" t="s">
        <v>62</v>
      </c>
      <c r="L518" s="11">
        <v>3.15</v>
      </c>
      <c r="M518" s="11">
        <v>945</v>
      </c>
      <c r="N518" s="4" t="s">
        <v>8</v>
      </c>
      <c r="O518" s="5">
        <v>5637291861</v>
      </c>
      <c r="P518" s="11" t="e">
        <f ca="1">_xll.AtlasFormulas.AtlasFunctions.AtlasBalance("UAT",DataAreaId,"T.MarkupTrans","Sum|Posted|0","","","","","","","TransRecId|TransTableId|MarkupCode",$O518,"492","TPP")</f>
        <v>#NAME?</v>
      </c>
    </row>
    <row r="519" spans="1:16" x14ac:dyDescent="0.15">
      <c r="A519" s="4" t="s">
        <v>20</v>
      </c>
      <c r="B519" s="4" t="s">
        <v>957</v>
      </c>
      <c r="C519" s="4" t="s">
        <v>938</v>
      </c>
      <c r="D519" s="4" t="s">
        <v>970</v>
      </c>
      <c r="E519" s="4" t="s">
        <v>971</v>
      </c>
      <c r="F519" s="4" t="s">
        <v>728</v>
      </c>
      <c r="G519" s="4" t="s">
        <v>141</v>
      </c>
      <c r="H519" s="4" t="s">
        <v>142</v>
      </c>
      <c r="I519" s="9">
        <v>42928</v>
      </c>
      <c r="J519" s="11">
        <v>450</v>
      </c>
      <c r="K519" s="4" t="s">
        <v>62</v>
      </c>
      <c r="L519" s="11">
        <v>3.15</v>
      </c>
      <c r="M519" s="11">
        <v>1417.5</v>
      </c>
      <c r="N519" s="4" t="s">
        <v>8</v>
      </c>
      <c r="O519" s="5">
        <v>5637293509</v>
      </c>
      <c r="P519" s="11" t="e">
        <f ca="1">_xll.AtlasFormulas.AtlasFunctions.AtlasBalance("UAT",DataAreaId,"T.MarkupTrans","Sum|Posted|0","","","","","","","TransRecId|TransTableId|MarkupCode",$O519,"492","TPP")</f>
        <v>#NAME?</v>
      </c>
    </row>
    <row r="520" spans="1:16" x14ac:dyDescent="0.15">
      <c r="A520" s="4" t="s">
        <v>20</v>
      </c>
      <c r="B520" s="4" t="s">
        <v>937</v>
      </c>
      <c r="C520" s="4" t="s">
        <v>938</v>
      </c>
      <c r="D520" s="4" t="s">
        <v>972</v>
      </c>
      <c r="E520" s="4" t="s">
        <v>973</v>
      </c>
      <c r="F520" s="4" t="s">
        <v>728</v>
      </c>
      <c r="G520" s="4" t="s">
        <v>141</v>
      </c>
      <c r="H520" s="4" t="s">
        <v>142</v>
      </c>
      <c r="I520" s="9">
        <v>42941</v>
      </c>
      <c r="J520" s="11">
        <v>450</v>
      </c>
      <c r="K520" s="4" t="s">
        <v>62</v>
      </c>
      <c r="L520" s="11">
        <v>3.15002</v>
      </c>
      <c r="M520" s="11">
        <v>1417.51</v>
      </c>
      <c r="N520" s="4" t="s">
        <v>8</v>
      </c>
      <c r="O520" s="5">
        <v>5637293518</v>
      </c>
      <c r="P520" s="11" t="e">
        <f ca="1">_xll.AtlasFormulas.AtlasFunctions.AtlasBalance("UAT",DataAreaId,"T.MarkupTrans","Sum|Posted|0","","","","","","","TransRecId|TransTableId|MarkupCode",$O520,"492","TPP")</f>
        <v>#NAME?</v>
      </c>
    </row>
    <row r="521" spans="1:16" x14ac:dyDescent="0.15">
      <c r="A521" s="4" t="s">
        <v>110</v>
      </c>
      <c r="B521" s="4" t="s">
        <v>111</v>
      </c>
      <c r="C521" s="4" t="s">
        <v>82</v>
      </c>
      <c r="D521" s="4" t="s">
        <v>139</v>
      </c>
      <c r="E521" s="4" t="s">
        <v>140</v>
      </c>
      <c r="F521" s="4" t="s">
        <v>114</v>
      </c>
      <c r="G521" s="4" t="s">
        <v>141</v>
      </c>
      <c r="H521" s="4" t="s">
        <v>142</v>
      </c>
      <c r="I521" s="9">
        <v>42947</v>
      </c>
      <c r="J521" s="11">
        <v>450</v>
      </c>
      <c r="K521" s="4" t="s">
        <v>62</v>
      </c>
      <c r="L521" s="11">
        <v>3.15002</v>
      </c>
      <c r="M521" s="11">
        <v>1417.51</v>
      </c>
      <c r="N521" s="4" t="s">
        <v>8</v>
      </c>
      <c r="O521" s="5">
        <v>5637294159</v>
      </c>
      <c r="P521" s="11" t="e">
        <f ca="1">_xll.AtlasFormulas.AtlasFunctions.AtlasBalance("UAT",DataAreaId,"T.MarkupTrans","Sum|Posted|0","","","","","","","TransRecId|TransTableId|MarkupCode",$O521,"492","TPP")</f>
        <v>#NAME?</v>
      </c>
    </row>
    <row r="522" spans="1:16" x14ac:dyDescent="0.15">
      <c r="A522" s="4" t="s">
        <v>20</v>
      </c>
      <c r="B522" s="4" t="s">
        <v>957</v>
      </c>
      <c r="C522" s="4" t="s">
        <v>938</v>
      </c>
      <c r="D522" s="4" t="s">
        <v>962</v>
      </c>
      <c r="E522" s="4" t="s">
        <v>963</v>
      </c>
      <c r="F522" s="4" t="s">
        <v>728</v>
      </c>
      <c r="G522" s="4" t="s">
        <v>980</v>
      </c>
      <c r="H522" s="4" t="s">
        <v>981</v>
      </c>
      <c r="I522" s="9">
        <v>42795</v>
      </c>
      <c r="J522" s="11">
        <v>1500</v>
      </c>
      <c r="K522" s="4" t="s">
        <v>62</v>
      </c>
      <c r="L522" s="11">
        <v>3.4523400000000004</v>
      </c>
      <c r="M522" s="11">
        <v>5178.51</v>
      </c>
      <c r="N522" s="4" t="s">
        <v>8</v>
      </c>
      <c r="O522" s="5">
        <v>5637290984</v>
      </c>
      <c r="P522" s="11" t="e">
        <f ca="1">_xll.AtlasFormulas.AtlasFunctions.AtlasBalance("UAT",DataAreaId,"T.MarkupTrans","Sum|Posted|0","","","","","","","TransRecId|TransTableId|MarkupCode",$O522,"492","TPP")</f>
        <v>#NAME?</v>
      </c>
    </row>
    <row r="523" spans="1:16" x14ac:dyDescent="0.15">
      <c r="A523" s="4" t="s">
        <v>20</v>
      </c>
      <c r="B523" s="4" t="s">
        <v>957</v>
      </c>
      <c r="C523" s="4" t="s">
        <v>938</v>
      </c>
      <c r="D523" s="4" t="s">
        <v>960</v>
      </c>
      <c r="E523" s="4" t="s">
        <v>961</v>
      </c>
      <c r="F523" s="4" t="s">
        <v>728</v>
      </c>
      <c r="G523" s="4" t="s">
        <v>143</v>
      </c>
      <c r="H523" s="4" t="s">
        <v>144</v>
      </c>
      <c r="I523" s="9">
        <v>42752</v>
      </c>
      <c r="J523" s="11">
        <v>150</v>
      </c>
      <c r="K523" s="4" t="s">
        <v>62</v>
      </c>
      <c r="L523" s="11">
        <v>4.12</v>
      </c>
      <c r="M523" s="11">
        <v>618</v>
      </c>
      <c r="N523" s="4" t="s">
        <v>8</v>
      </c>
      <c r="O523" s="5">
        <v>5637288923</v>
      </c>
      <c r="P523" s="11" t="e">
        <f ca="1">_xll.AtlasFormulas.AtlasFunctions.AtlasBalance("UAT",DataAreaId,"T.MarkupTrans","Sum|Posted|0","","","","","","","TransRecId|TransTableId|MarkupCode",$O523,"492","TPP")</f>
        <v>#NAME?</v>
      </c>
    </row>
    <row r="524" spans="1:16" x14ac:dyDescent="0.15">
      <c r="A524" s="4" t="s">
        <v>20</v>
      </c>
      <c r="B524" s="4" t="s">
        <v>957</v>
      </c>
      <c r="C524" s="4" t="s">
        <v>938</v>
      </c>
      <c r="D524" s="4" t="s">
        <v>962</v>
      </c>
      <c r="E524" s="4" t="s">
        <v>982</v>
      </c>
      <c r="F524" s="4" t="s">
        <v>728</v>
      </c>
      <c r="G524" s="4" t="s">
        <v>143</v>
      </c>
      <c r="H524" s="4" t="s">
        <v>144</v>
      </c>
      <c r="I524" s="9">
        <v>42769</v>
      </c>
      <c r="J524" s="11">
        <v>1500</v>
      </c>
      <c r="K524" s="4" t="s">
        <v>62</v>
      </c>
      <c r="L524" s="11">
        <v>4.1240199999999998</v>
      </c>
      <c r="M524" s="11">
        <v>6186.03</v>
      </c>
      <c r="N524" s="4" t="s">
        <v>8</v>
      </c>
      <c r="O524" s="5">
        <v>5637289921</v>
      </c>
      <c r="P524" s="11" t="e">
        <f ca="1">_xll.AtlasFormulas.AtlasFunctions.AtlasBalance("UAT",DataAreaId,"T.MarkupTrans","Sum|Posted|0","","","","","","","TransRecId|TransTableId|MarkupCode",$O524,"492","TPP")</f>
        <v>#NAME?</v>
      </c>
    </row>
    <row r="525" spans="1:16" x14ac:dyDescent="0.15">
      <c r="A525" s="4" t="s">
        <v>20</v>
      </c>
      <c r="B525" s="4" t="s">
        <v>937</v>
      </c>
      <c r="C525" s="4" t="s">
        <v>938</v>
      </c>
      <c r="D525" s="4" t="s">
        <v>949</v>
      </c>
      <c r="E525" s="4" t="s">
        <v>950</v>
      </c>
      <c r="F525" s="4" t="s">
        <v>728</v>
      </c>
      <c r="G525" s="4" t="s">
        <v>143</v>
      </c>
      <c r="H525" s="4" t="s">
        <v>144</v>
      </c>
      <c r="I525" s="9">
        <v>42860</v>
      </c>
      <c r="J525" s="11">
        <v>1000</v>
      </c>
      <c r="K525" s="4" t="s">
        <v>62</v>
      </c>
      <c r="L525" s="11">
        <v>4.1240199999999998</v>
      </c>
      <c r="M525" s="11">
        <v>4124.0200000000004</v>
      </c>
      <c r="N525" s="4" t="s">
        <v>8</v>
      </c>
      <c r="O525" s="5">
        <v>5637291821</v>
      </c>
      <c r="P525" s="11" t="e">
        <f ca="1">_xll.AtlasFormulas.AtlasFunctions.AtlasBalance("UAT",DataAreaId,"T.MarkupTrans","Sum|Posted|0","","","","","","","TransRecId|TransTableId|MarkupCode",$O525,"492","TPP")</f>
        <v>#NAME?</v>
      </c>
    </row>
    <row r="526" spans="1:16" x14ac:dyDescent="0.15">
      <c r="A526" s="4" t="s">
        <v>227</v>
      </c>
      <c r="B526" s="4" t="s">
        <v>228</v>
      </c>
      <c r="C526" s="4" t="s">
        <v>82</v>
      </c>
      <c r="D526" s="4" t="s">
        <v>547</v>
      </c>
      <c r="E526" s="4" t="s">
        <v>548</v>
      </c>
      <c r="F526" s="4" t="s">
        <v>231</v>
      </c>
      <c r="G526" s="4" t="s">
        <v>143</v>
      </c>
      <c r="H526" s="4" t="s">
        <v>144</v>
      </c>
      <c r="I526" s="9">
        <v>42860</v>
      </c>
      <c r="J526" s="11">
        <v>1000</v>
      </c>
      <c r="K526" s="4" t="s">
        <v>62</v>
      </c>
      <c r="L526" s="11">
        <v>4.1240199999999998</v>
      </c>
      <c r="M526" s="11">
        <v>4124.0200000000004</v>
      </c>
      <c r="N526" s="4" t="s">
        <v>8</v>
      </c>
      <c r="O526" s="5">
        <v>5637291932</v>
      </c>
      <c r="P526" s="11" t="e">
        <f ca="1">_xll.AtlasFormulas.AtlasFunctions.AtlasBalance("UAT",DataAreaId,"T.MarkupTrans","Sum|Posted|0","","","","","","","TransRecId|TransTableId|MarkupCode",$O526,"492","TPP")</f>
        <v>#NAME?</v>
      </c>
    </row>
    <row r="527" spans="1:16" x14ac:dyDescent="0.15">
      <c r="A527" s="4" t="s">
        <v>20</v>
      </c>
      <c r="B527" s="4" t="s">
        <v>937</v>
      </c>
      <c r="C527" s="4" t="s">
        <v>938</v>
      </c>
      <c r="D527" s="4" t="s">
        <v>968</v>
      </c>
      <c r="E527" s="4" t="s">
        <v>969</v>
      </c>
      <c r="F527" s="4" t="s">
        <v>728</v>
      </c>
      <c r="G527" s="4" t="s">
        <v>143</v>
      </c>
      <c r="H527" s="4" t="s">
        <v>144</v>
      </c>
      <c r="I527" s="9">
        <v>42866</v>
      </c>
      <c r="J527" s="11">
        <v>600</v>
      </c>
      <c r="K527" s="4" t="s">
        <v>62</v>
      </c>
      <c r="L527" s="11">
        <v>4.12</v>
      </c>
      <c r="M527" s="11">
        <v>2472</v>
      </c>
      <c r="N527" s="4" t="s">
        <v>8</v>
      </c>
      <c r="O527" s="5">
        <v>5637291862</v>
      </c>
      <c r="P527" s="11" t="e">
        <f ca="1">_xll.AtlasFormulas.AtlasFunctions.AtlasBalance("UAT",DataAreaId,"T.MarkupTrans","Sum|Posted|0","","","","","","","TransRecId|TransTableId|MarkupCode",$O527,"492","TPP")</f>
        <v>#NAME?</v>
      </c>
    </row>
    <row r="528" spans="1:16" x14ac:dyDescent="0.15">
      <c r="A528" s="4" t="s">
        <v>179</v>
      </c>
      <c r="B528" s="4" t="s">
        <v>244</v>
      </c>
      <c r="C528" s="4" t="s">
        <v>82</v>
      </c>
      <c r="D528" s="4" t="s">
        <v>552</v>
      </c>
      <c r="E528" s="4" t="s">
        <v>553</v>
      </c>
      <c r="F528" s="4" t="s">
        <v>183</v>
      </c>
      <c r="G528" s="4" t="s">
        <v>143</v>
      </c>
      <c r="H528" s="4" t="s">
        <v>144</v>
      </c>
      <c r="I528" s="9">
        <v>42866</v>
      </c>
      <c r="J528" s="11">
        <v>600</v>
      </c>
      <c r="K528" s="4" t="s">
        <v>62</v>
      </c>
      <c r="L528" s="11">
        <v>4.12</v>
      </c>
      <c r="M528" s="11">
        <v>2472</v>
      </c>
      <c r="N528" s="4" t="s">
        <v>8</v>
      </c>
      <c r="O528" s="5">
        <v>5637292175</v>
      </c>
      <c r="P528" s="11" t="e">
        <f ca="1">_xll.AtlasFormulas.AtlasFunctions.AtlasBalance("UAT",DataAreaId,"T.MarkupTrans","Sum|Posted|0","","","","","","","TransRecId|TransTableId|MarkupCode",$O528,"492","TPP")</f>
        <v>#NAME?</v>
      </c>
    </row>
    <row r="529" spans="1:16" x14ac:dyDescent="0.15">
      <c r="A529" s="4" t="s">
        <v>20</v>
      </c>
      <c r="B529" s="4" t="s">
        <v>937</v>
      </c>
      <c r="C529" s="4" t="s">
        <v>938</v>
      </c>
      <c r="D529" s="4" t="s">
        <v>983</v>
      </c>
      <c r="E529" s="4" t="s">
        <v>984</v>
      </c>
      <c r="F529" s="4" t="s">
        <v>728</v>
      </c>
      <c r="G529" s="4" t="s">
        <v>143</v>
      </c>
      <c r="H529" s="4" t="s">
        <v>144</v>
      </c>
      <c r="I529" s="9">
        <v>42914</v>
      </c>
      <c r="J529" s="11">
        <v>2000</v>
      </c>
      <c r="K529" s="4" t="s">
        <v>62</v>
      </c>
      <c r="L529" s="11">
        <v>4.1240199999999998</v>
      </c>
      <c r="M529" s="11">
        <v>8248.0400000000009</v>
      </c>
      <c r="N529" s="4" t="s">
        <v>8</v>
      </c>
      <c r="O529" s="5">
        <v>5637292955</v>
      </c>
      <c r="P529" s="11" t="e">
        <f ca="1">_xll.AtlasFormulas.AtlasFunctions.AtlasBalance("UAT",DataAreaId,"T.MarkupTrans","Sum|Posted|0","","","","","","","TransRecId|TransTableId|MarkupCode",$O529,"492","TPP")</f>
        <v>#NAME?</v>
      </c>
    </row>
    <row r="530" spans="1:16" x14ac:dyDescent="0.15">
      <c r="A530" s="4" t="s">
        <v>227</v>
      </c>
      <c r="B530" s="4" t="s">
        <v>228</v>
      </c>
      <c r="C530" s="4" t="s">
        <v>82</v>
      </c>
      <c r="D530" s="4" t="s">
        <v>479</v>
      </c>
      <c r="E530" s="4" t="s">
        <v>558</v>
      </c>
      <c r="F530" s="4" t="s">
        <v>231</v>
      </c>
      <c r="G530" s="4" t="s">
        <v>143</v>
      </c>
      <c r="H530" s="4" t="s">
        <v>144</v>
      </c>
      <c r="I530" s="9">
        <v>42915</v>
      </c>
      <c r="J530" s="11">
        <v>2000</v>
      </c>
      <c r="K530" s="4" t="s">
        <v>62</v>
      </c>
      <c r="L530" s="11">
        <v>4.1240199999999998</v>
      </c>
      <c r="M530" s="11">
        <v>8248.0400000000009</v>
      </c>
      <c r="N530" s="4" t="s">
        <v>8</v>
      </c>
      <c r="O530" s="5">
        <v>5637293020</v>
      </c>
      <c r="P530" s="11" t="e">
        <f ca="1">_xll.AtlasFormulas.AtlasFunctions.AtlasBalance("UAT",DataAreaId,"T.MarkupTrans","Sum|Posted|0","","","","","","","TransRecId|TransTableId|MarkupCode",$O530,"492","TPP")</f>
        <v>#NAME?</v>
      </c>
    </row>
    <row r="531" spans="1:16" x14ac:dyDescent="0.15">
      <c r="A531" s="4" t="s">
        <v>227</v>
      </c>
      <c r="B531" s="4" t="s">
        <v>228</v>
      </c>
      <c r="C531" s="4" t="s">
        <v>82</v>
      </c>
      <c r="D531" s="4" t="s">
        <v>552</v>
      </c>
      <c r="E531" s="4" t="s">
        <v>559</v>
      </c>
      <c r="F531" s="4" t="s">
        <v>231</v>
      </c>
      <c r="G531" s="4" t="s">
        <v>143</v>
      </c>
      <c r="H531" s="4" t="s">
        <v>144</v>
      </c>
      <c r="I531" s="9">
        <v>42915</v>
      </c>
      <c r="J531" s="11">
        <v>-2000</v>
      </c>
      <c r="K531" s="4" t="s">
        <v>62</v>
      </c>
      <c r="L531" s="11">
        <v>4.1240199999999998</v>
      </c>
      <c r="M531" s="11">
        <v>-8248.0400000000009</v>
      </c>
      <c r="N531" s="4" t="s">
        <v>8</v>
      </c>
      <c r="O531" s="5">
        <v>5637293026</v>
      </c>
      <c r="P531" s="11" t="e">
        <f ca="1">_xll.AtlasFormulas.AtlasFunctions.AtlasBalance("UAT",DataAreaId,"T.MarkupTrans","Sum|Posted|0","","","","","","","TransRecId|TransTableId|MarkupCode",$O531,"492","TPP")</f>
        <v>#NAME?</v>
      </c>
    </row>
    <row r="532" spans="1:16" x14ac:dyDescent="0.15">
      <c r="A532" s="4" t="s">
        <v>227</v>
      </c>
      <c r="B532" s="4" t="s">
        <v>228</v>
      </c>
      <c r="C532" s="4" t="s">
        <v>82</v>
      </c>
      <c r="D532" s="4" t="s">
        <v>560</v>
      </c>
      <c r="E532" s="4" t="s">
        <v>561</v>
      </c>
      <c r="F532" s="4" t="s">
        <v>231</v>
      </c>
      <c r="G532" s="4" t="s">
        <v>143</v>
      </c>
      <c r="H532" s="4" t="s">
        <v>144</v>
      </c>
      <c r="I532" s="9">
        <v>42926</v>
      </c>
      <c r="J532" s="11">
        <v>2000</v>
      </c>
      <c r="K532" s="4" t="s">
        <v>62</v>
      </c>
      <c r="L532" s="11">
        <v>4.1240199999999998</v>
      </c>
      <c r="M532" s="11">
        <v>8248.0400000000009</v>
      </c>
      <c r="N532" s="4" t="s">
        <v>8</v>
      </c>
      <c r="O532" s="5">
        <v>5637293405</v>
      </c>
      <c r="P532" s="11" t="e">
        <f ca="1">_xll.AtlasFormulas.AtlasFunctions.AtlasBalance("UAT",DataAreaId,"T.MarkupTrans","Sum|Posted|0","","","","","","","TransRecId|TransTableId|MarkupCode",$O532,"492","TPP")</f>
        <v>#NAME?</v>
      </c>
    </row>
    <row r="533" spans="1:16" x14ac:dyDescent="0.15">
      <c r="A533" s="4" t="s">
        <v>20</v>
      </c>
      <c r="B533" s="4" t="s">
        <v>957</v>
      </c>
      <c r="C533" s="4" t="s">
        <v>938</v>
      </c>
      <c r="D533" s="4" t="s">
        <v>970</v>
      </c>
      <c r="E533" s="4" t="s">
        <v>971</v>
      </c>
      <c r="F533" s="4" t="s">
        <v>728</v>
      </c>
      <c r="G533" s="4" t="s">
        <v>143</v>
      </c>
      <c r="H533" s="4" t="s">
        <v>144</v>
      </c>
      <c r="I533" s="9">
        <v>42928</v>
      </c>
      <c r="J533" s="11">
        <v>1050</v>
      </c>
      <c r="K533" s="4" t="s">
        <v>62</v>
      </c>
      <c r="L533" s="11">
        <v>4.13</v>
      </c>
      <c r="M533" s="11">
        <v>4336.5</v>
      </c>
      <c r="N533" s="4" t="s">
        <v>8</v>
      </c>
      <c r="O533" s="5">
        <v>5637293510</v>
      </c>
      <c r="P533" s="11" t="e">
        <f ca="1">_xll.AtlasFormulas.AtlasFunctions.AtlasBalance("UAT",DataAreaId,"T.MarkupTrans","Sum|Posted|0","","","","","","","TransRecId|TransTableId|MarkupCode",$O533,"492","TPP")</f>
        <v>#NAME?</v>
      </c>
    </row>
    <row r="534" spans="1:16" x14ac:dyDescent="0.15">
      <c r="A534" s="4" t="s">
        <v>20</v>
      </c>
      <c r="B534" s="4" t="s">
        <v>937</v>
      </c>
      <c r="C534" s="4" t="s">
        <v>938</v>
      </c>
      <c r="D534" s="4" t="s">
        <v>972</v>
      </c>
      <c r="E534" s="4" t="s">
        <v>973</v>
      </c>
      <c r="F534" s="4" t="s">
        <v>728</v>
      </c>
      <c r="G534" s="4" t="s">
        <v>143</v>
      </c>
      <c r="H534" s="4" t="s">
        <v>144</v>
      </c>
      <c r="I534" s="9">
        <v>42941</v>
      </c>
      <c r="J534" s="11">
        <v>450</v>
      </c>
      <c r="K534" s="4" t="s">
        <v>62</v>
      </c>
      <c r="L534" s="11">
        <v>4.1240199999999998</v>
      </c>
      <c r="M534" s="11">
        <v>1855.81</v>
      </c>
      <c r="N534" s="4" t="s">
        <v>8</v>
      </c>
      <c r="O534" s="5">
        <v>5637293519</v>
      </c>
      <c r="P534" s="11" t="e">
        <f ca="1">_xll.AtlasFormulas.AtlasFunctions.AtlasBalance("UAT",DataAreaId,"T.MarkupTrans","Sum|Posted|0","","","","","","","TransRecId|TransTableId|MarkupCode",$O534,"492","TPP")</f>
        <v>#NAME?</v>
      </c>
    </row>
    <row r="535" spans="1:16" x14ac:dyDescent="0.15">
      <c r="A535" s="4" t="s">
        <v>110</v>
      </c>
      <c r="B535" s="4" t="s">
        <v>111</v>
      </c>
      <c r="C535" s="4" t="s">
        <v>82</v>
      </c>
      <c r="D535" s="4" t="s">
        <v>139</v>
      </c>
      <c r="E535" s="4" t="s">
        <v>140</v>
      </c>
      <c r="F535" s="4" t="s">
        <v>114</v>
      </c>
      <c r="G535" s="4" t="s">
        <v>143</v>
      </c>
      <c r="H535" s="4" t="s">
        <v>144</v>
      </c>
      <c r="I535" s="9">
        <v>42947</v>
      </c>
      <c r="J535" s="11">
        <v>450</v>
      </c>
      <c r="K535" s="4" t="s">
        <v>62</v>
      </c>
      <c r="L535" s="11">
        <v>4.1240199999999998</v>
      </c>
      <c r="M535" s="11">
        <v>1855.81</v>
      </c>
      <c r="N535" s="4" t="s">
        <v>8</v>
      </c>
      <c r="O535" s="5">
        <v>5637294160</v>
      </c>
      <c r="P535" s="11" t="e">
        <f ca="1">_xll.AtlasFormulas.AtlasFunctions.AtlasBalance("UAT",DataAreaId,"T.MarkupTrans","Sum|Posted|0","","","","","","","TransRecId|TransTableId|MarkupCode",$O535,"492","TPP")</f>
        <v>#NAME?</v>
      </c>
    </row>
    <row r="536" spans="1:16" x14ac:dyDescent="0.15">
      <c r="A536" s="4" t="s">
        <v>20</v>
      </c>
      <c r="B536" s="4" t="s">
        <v>945</v>
      </c>
      <c r="C536" s="4" t="s">
        <v>946</v>
      </c>
      <c r="D536" s="4" t="s">
        <v>974</v>
      </c>
      <c r="E536" s="4" t="s">
        <v>975</v>
      </c>
      <c r="F536" s="4" t="s">
        <v>728</v>
      </c>
      <c r="G536" s="4" t="s">
        <v>562</v>
      </c>
      <c r="H536" s="4" t="s">
        <v>563</v>
      </c>
      <c r="I536" s="9">
        <v>42786</v>
      </c>
      <c r="J536" s="11">
        <v>600</v>
      </c>
      <c r="K536" s="4" t="s">
        <v>62</v>
      </c>
      <c r="L536" s="11">
        <v>5.1100000000000003</v>
      </c>
      <c r="M536" s="11">
        <v>3066</v>
      </c>
      <c r="N536" s="4" t="s">
        <v>8</v>
      </c>
      <c r="O536" s="5">
        <v>5637289909</v>
      </c>
      <c r="P536" s="11" t="e">
        <f ca="1">_xll.AtlasFormulas.AtlasFunctions.AtlasBalance("UAT",DataAreaId,"T.MarkupTrans","Sum|Posted|0","","","","","","","TransRecId|TransTableId|MarkupCode",$O536,"492","TPP")</f>
        <v>#NAME?</v>
      </c>
    </row>
    <row r="537" spans="1:16" x14ac:dyDescent="0.15">
      <c r="A537" s="4" t="s">
        <v>20</v>
      </c>
      <c r="B537" s="4" t="s">
        <v>937</v>
      </c>
      <c r="C537" s="4" t="s">
        <v>938</v>
      </c>
      <c r="D537" s="4" t="s">
        <v>985</v>
      </c>
      <c r="E537" s="4" t="s">
        <v>986</v>
      </c>
      <c r="F537" s="4" t="s">
        <v>728</v>
      </c>
      <c r="G537" s="4" t="s">
        <v>562</v>
      </c>
      <c r="H537" s="4" t="s">
        <v>563</v>
      </c>
      <c r="I537" s="9">
        <v>42786</v>
      </c>
      <c r="J537" s="11">
        <v>300</v>
      </c>
      <c r="K537" s="4" t="s">
        <v>62</v>
      </c>
      <c r="L537" s="11">
        <v>4.4579199999999997</v>
      </c>
      <c r="M537" s="11">
        <v>1337.38</v>
      </c>
      <c r="N537" s="4" t="s">
        <v>8</v>
      </c>
      <c r="O537" s="5">
        <v>5637289906</v>
      </c>
      <c r="P537" s="11" t="e">
        <f ca="1">_xll.AtlasFormulas.AtlasFunctions.AtlasBalance("UAT",DataAreaId,"T.MarkupTrans","Sum|Posted|0","","","","","","","TransRecId|TransTableId|MarkupCode",$O537,"492","TPP")</f>
        <v>#NAME?</v>
      </c>
    </row>
    <row r="538" spans="1:16" x14ac:dyDescent="0.15">
      <c r="A538" s="4" t="s">
        <v>220</v>
      </c>
      <c r="B538" s="4" t="s">
        <v>417</v>
      </c>
      <c r="C538" s="4" t="s">
        <v>82</v>
      </c>
      <c r="D538" s="4" t="s">
        <v>554</v>
      </c>
      <c r="E538" s="4" t="s">
        <v>555</v>
      </c>
      <c r="F538" s="4" t="s">
        <v>224</v>
      </c>
      <c r="G538" s="4" t="s">
        <v>562</v>
      </c>
      <c r="H538" s="4" t="s">
        <v>563</v>
      </c>
      <c r="I538" s="9">
        <v>42787</v>
      </c>
      <c r="J538" s="11">
        <v>600</v>
      </c>
      <c r="K538" s="4" t="s">
        <v>62</v>
      </c>
      <c r="L538" s="11">
        <v>5.1100000000000003</v>
      </c>
      <c r="M538" s="11">
        <v>3066</v>
      </c>
      <c r="N538" s="4" t="s">
        <v>8</v>
      </c>
      <c r="O538" s="5">
        <v>5637289938</v>
      </c>
      <c r="P538" s="11" t="e">
        <f ca="1">_xll.AtlasFormulas.AtlasFunctions.AtlasBalance("UAT",DataAreaId,"T.MarkupTrans","Sum|Posted|0","","","","","","","TransRecId|TransTableId|MarkupCode",$O538,"492","TPP")</f>
        <v>#NAME?</v>
      </c>
    </row>
    <row r="539" spans="1:16" x14ac:dyDescent="0.15">
      <c r="A539" s="4" t="s">
        <v>227</v>
      </c>
      <c r="B539" s="4" t="s">
        <v>228</v>
      </c>
      <c r="C539" s="4" t="s">
        <v>82</v>
      </c>
      <c r="D539" s="4" t="s">
        <v>564</v>
      </c>
      <c r="E539" s="4" t="s">
        <v>565</v>
      </c>
      <c r="F539" s="4" t="s">
        <v>231</v>
      </c>
      <c r="G539" s="4" t="s">
        <v>562</v>
      </c>
      <c r="H539" s="4" t="s">
        <v>563</v>
      </c>
      <c r="I539" s="9">
        <v>42787</v>
      </c>
      <c r="J539" s="11">
        <v>300</v>
      </c>
      <c r="K539" s="4" t="s">
        <v>62</v>
      </c>
      <c r="L539" s="11">
        <v>4.4579199999999997</v>
      </c>
      <c r="M539" s="11">
        <v>1337.38</v>
      </c>
      <c r="N539" s="4" t="s">
        <v>8</v>
      </c>
      <c r="O539" s="5">
        <v>5637290928</v>
      </c>
      <c r="P539" s="11" t="e">
        <f ca="1">_xll.AtlasFormulas.AtlasFunctions.AtlasBalance("UAT",DataAreaId,"T.MarkupTrans","Sum|Posted|0","","","","","","","TransRecId|TransTableId|MarkupCode",$O539,"492","TPP")</f>
        <v>#NAME?</v>
      </c>
    </row>
    <row r="540" spans="1:16" x14ac:dyDescent="0.15">
      <c r="A540" s="4" t="s">
        <v>227</v>
      </c>
      <c r="B540" s="4" t="s">
        <v>228</v>
      </c>
      <c r="C540" s="4" t="s">
        <v>82</v>
      </c>
      <c r="D540" s="4" t="s">
        <v>566</v>
      </c>
      <c r="E540" s="4" t="s">
        <v>567</v>
      </c>
      <c r="F540" s="4" t="s">
        <v>231</v>
      </c>
      <c r="G540" s="4" t="s">
        <v>562</v>
      </c>
      <c r="H540" s="4" t="s">
        <v>563</v>
      </c>
      <c r="I540" s="9">
        <v>42817</v>
      </c>
      <c r="J540" s="11">
        <v>-300</v>
      </c>
      <c r="K540" s="4" t="s">
        <v>62</v>
      </c>
      <c r="L540" s="11">
        <v>4.4579199999999997</v>
      </c>
      <c r="M540" s="11">
        <v>-1337.38</v>
      </c>
      <c r="N540" s="4" t="s">
        <v>8</v>
      </c>
      <c r="O540" s="5">
        <v>5637291219</v>
      </c>
      <c r="P540" s="11" t="e">
        <f ca="1">_xll.AtlasFormulas.AtlasFunctions.AtlasBalance("UAT",DataAreaId,"T.MarkupTrans","Sum|Posted|0","","","","","","","TransRecId|TransTableId|MarkupCode",$O540,"492","TPP")</f>
        <v>#NAME?</v>
      </c>
    </row>
    <row r="541" spans="1:16" x14ac:dyDescent="0.15">
      <c r="A541" s="4" t="s">
        <v>227</v>
      </c>
      <c r="B541" s="4" t="s">
        <v>228</v>
      </c>
      <c r="C541" s="4" t="s">
        <v>82</v>
      </c>
      <c r="D541" s="4" t="s">
        <v>286</v>
      </c>
      <c r="E541" s="4" t="s">
        <v>568</v>
      </c>
      <c r="F541" s="4" t="s">
        <v>231</v>
      </c>
      <c r="G541" s="4" t="s">
        <v>562</v>
      </c>
      <c r="H541" s="4" t="s">
        <v>563</v>
      </c>
      <c r="I541" s="9">
        <v>42817</v>
      </c>
      <c r="J541" s="11">
        <v>300</v>
      </c>
      <c r="K541" s="4" t="s">
        <v>62</v>
      </c>
      <c r="L541" s="11">
        <v>4.46</v>
      </c>
      <c r="M541" s="11">
        <v>1338</v>
      </c>
      <c r="N541" s="4" t="s">
        <v>8</v>
      </c>
      <c r="O541" s="5">
        <v>5637291192</v>
      </c>
      <c r="P541" s="11" t="e">
        <f ca="1">_xll.AtlasFormulas.AtlasFunctions.AtlasBalance("UAT",DataAreaId,"T.MarkupTrans","Sum|Posted|0","","","","","","","TransRecId|TransTableId|MarkupCode",$O541,"492","TPP")</f>
        <v>#NAME?</v>
      </c>
    </row>
    <row r="542" spans="1:16" x14ac:dyDescent="0.15">
      <c r="A542" s="4" t="s">
        <v>20</v>
      </c>
      <c r="B542" s="4" t="s">
        <v>957</v>
      </c>
      <c r="C542" s="4" t="s">
        <v>938</v>
      </c>
      <c r="D542" s="4" t="s">
        <v>987</v>
      </c>
      <c r="E542" s="4" t="s">
        <v>988</v>
      </c>
      <c r="F542" s="4" t="s">
        <v>728</v>
      </c>
      <c r="G542" s="4" t="s">
        <v>562</v>
      </c>
      <c r="H542" s="4" t="s">
        <v>563</v>
      </c>
      <c r="I542" s="9">
        <v>42830</v>
      </c>
      <c r="J542" s="11">
        <v>750</v>
      </c>
      <c r="K542" s="4" t="s">
        <v>62</v>
      </c>
      <c r="L542" s="11">
        <v>4.46</v>
      </c>
      <c r="M542" s="11">
        <v>3345</v>
      </c>
      <c r="N542" s="4" t="s">
        <v>8</v>
      </c>
      <c r="O542" s="5">
        <v>5637291384</v>
      </c>
      <c r="P542" s="11" t="e">
        <f ca="1">_xll.AtlasFormulas.AtlasFunctions.AtlasBalance("UAT",DataAreaId,"T.MarkupTrans","Sum|Posted|0","","","","","","","TransRecId|TransTableId|MarkupCode",$O542,"492","TPP")</f>
        <v>#NAME?</v>
      </c>
    </row>
    <row r="543" spans="1:16" x14ac:dyDescent="0.15">
      <c r="A543" s="4" t="s">
        <v>20</v>
      </c>
      <c r="B543" s="4" t="s">
        <v>945</v>
      </c>
      <c r="C543" s="4" t="s">
        <v>946</v>
      </c>
      <c r="D543" s="4" t="s">
        <v>947</v>
      </c>
      <c r="E543" s="4" t="s">
        <v>948</v>
      </c>
      <c r="F543" s="4" t="s">
        <v>728</v>
      </c>
      <c r="G543" s="4" t="s">
        <v>562</v>
      </c>
      <c r="H543" s="4" t="s">
        <v>563</v>
      </c>
      <c r="I543" s="9">
        <v>42837</v>
      </c>
      <c r="J543" s="11">
        <v>600</v>
      </c>
      <c r="K543" s="4" t="s">
        <v>62</v>
      </c>
      <c r="L543" s="11">
        <v>4.46</v>
      </c>
      <c r="M543" s="11">
        <v>2676</v>
      </c>
      <c r="N543" s="4" t="s">
        <v>8</v>
      </c>
      <c r="O543" s="5">
        <v>5637291653</v>
      </c>
      <c r="P543" s="11" t="e">
        <f ca="1">_xll.AtlasFormulas.AtlasFunctions.AtlasBalance("UAT",DataAreaId,"T.MarkupTrans","Sum|Posted|0","","","","","","","TransRecId|TransTableId|MarkupCode",$O543,"492","TPP")</f>
        <v>#NAME?</v>
      </c>
    </row>
    <row r="544" spans="1:16" x14ac:dyDescent="0.15">
      <c r="A544" s="4" t="s">
        <v>220</v>
      </c>
      <c r="B544" s="4" t="s">
        <v>417</v>
      </c>
      <c r="C544" s="4" t="s">
        <v>82</v>
      </c>
      <c r="D544" s="4" t="s">
        <v>229</v>
      </c>
      <c r="E544" s="4" t="s">
        <v>546</v>
      </c>
      <c r="F544" s="4" t="s">
        <v>224</v>
      </c>
      <c r="G544" s="4" t="s">
        <v>562</v>
      </c>
      <c r="H544" s="4" t="s">
        <v>563</v>
      </c>
      <c r="I544" s="9">
        <v>42843</v>
      </c>
      <c r="J544" s="11">
        <v>600</v>
      </c>
      <c r="K544" s="4" t="s">
        <v>62</v>
      </c>
      <c r="L544" s="11">
        <v>4.46</v>
      </c>
      <c r="M544" s="11">
        <v>2676</v>
      </c>
      <c r="N544" s="4" t="s">
        <v>8</v>
      </c>
      <c r="O544" s="5">
        <v>5637291680</v>
      </c>
      <c r="P544" s="11" t="e">
        <f ca="1">_xll.AtlasFormulas.AtlasFunctions.AtlasBalance("UAT",DataAreaId,"T.MarkupTrans","Sum|Posted|0","","","","","","","TransRecId|TransTableId|MarkupCode",$O544,"492","TPP")</f>
        <v>#NAME?</v>
      </c>
    </row>
    <row r="545" spans="1:16" x14ac:dyDescent="0.15">
      <c r="A545" s="4" t="s">
        <v>20</v>
      </c>
      <c r="B545" s="4" t="s">
        <v>937</v>
      </c>
      <c r="C545" s="4" t="s">
        <v>938</v>
      </c>
      <c r="D545" s="4" t="s">
        <v>949</v>
      </c>
      <c r="E545" s="4" t="s">
        <v>950</v>
      </c>
      <c r="F545" s="4" t="s">
        <v>728</v>
      </c>
      <c r="G545" s="4" t="s">
        <v>562</v>
      </c>
      <c r="H545" s="4" t="s">
        <v>563</v>
      </c>
      <c r="I545" s="9">
        <v>42860</v>
      </c>
      <c r="J545" s="11">
        <v>500</v>
      </c>
      <c r="K545" s="4" t="s">
        <v>62</v>
      </c>
      <c r="L545" s="11">
        <v>4.46</v>
      </c>
      <c r="M545" s="11">
        <v>2230</v>
      </c>
      <c r="N545" s="4" t="s">
        <v>8</v>
      </c>
      <c r="O545" s="5">
        <v>5637291822</v>
      </c>
      <c r="P545" s="11" t="e">
        <f ca="1">_xll.AtlasFormulas.AtlasFunctions.AtlasBalance("UAT",DataAreaId,"T.MarkupTrans","Sum|Posted|0","","","","","","","TransRecId|TransTableId|MarkupCode",$O545,"492","TPP")</f>
        <v>#NAME?</v>
      </c>
    </row>
    <row r="546" spans="1:16" x14ac:dyDescent="0.15">
      <c r="A546" s="4" t="s">
        <v>227</v>
      </c>
      <c r="B546" s="4" t="s">
        <v>228</v>
      </c>
      <c r="C546" s="4" t="s">
        <v>82</v>
      </c>
      <c r="D546" s="4" t="s">
        <v>547</v>
      </c>
      <c r="E546" s="4" t="s">
        <v>548</v>
      </c>
      <c r="F546" s="4" t="s">
        <v>231</v>
      </c>
      <c r="G546" s="4" t="s">
        <v>562</v>
      </c>
      <c r="H546" s="4" t="s">
        <v>563</v>
      </c>
      <c r="I546" s="9">
        <v>42860</v>
      </c>
      <c r="J546" s="11">
        <v>500</v>
      </c>
      <c r="K546" s="4" t="s">
        <v>62</v>
      </c>
      <c r="L546" s="11">
        <v>4.46</v>
      </c>
      <c r="M546" s="11">
        <v>2230</v>
      </c>
      <c r="N546" s="4" t="s">
        <v>8</v>
      </c>
      <c r="O546" s="5">
        <v>5637291933</v>
      </c>
      <c r="P546" s="11" t="e">
        <f ca="1">_xll.AtlasFormulas.AtlasFunctions.AtlasBalance("UAT",DataAreaId,"T.MarkupTrans","Sum|Posted|0","","","","","","","TransRecId|TransTableId|MarkupCode",$O546,"492","TPP")</f>
        <v>#NAME?</v>
      </c>
    </row>
    <row r="547" spans="1:16" x14ac:dyDescent="0.15">
      <c r="A547" s="4" t="s">
        <v>20</v>
      </c>
      <c r="B547" s="4" t="s">
        <v>937</v>
      </c>
      <c r="C547" s="4" t="s">
        <v>938</v>
      </c>
      <c r="D547" s="4" t="s">
        <v>968</v>
      </c>
      <c r="E547" s="4" t="s">
        <v>969</v>
      </c>
      <c r="F547" s="4" t="s">
        <v>728</v>
      </c>
      <c r="G547" s="4" t="s">
        <v>562</v>
      </c>
      <c r="H547" s="4" t="s">
        <v>563</v>
      </c>
      <c r="I547" s="9">
        <v>42866</v>
      </c>
      <c r="J547" s="11">
        <v>450</v>
      </c>
      <c r="K547" s="4" t="s">
        <v>62</v>
      </c>
      <c r="L547" s="11">
        <v>4.46</v>
      </c>
      <c r="M547" s="11">
        <v>2007</v>
      </c>
      <c r="N547" s="4" t="s">
        <v>8</v>
      </c>
      <c r="O547" s="5">
        <v>5637291863</v>
      </c>
      <c r="P547" s="11" t="e">
        <f ca="1">_xll.AtlasFormulas.AtlasFunctions.AtlasBalance("UAT",DataAreaId,"T.MarkupTrans","Sum|Posted|0","","","","","","","TransRecId|TransTableId|MarkupCode",$O547,"492","TPP")</f>
        <v>#NAME?</v>
      </c>
    </row>
    <row r="548" spans="1:16" x14ac:dyDescent="0.15">
      <c r="A548" s="4" t="s">
        <v>179</v>
      </c>
      <c r="B548" s="4" t="s">
        <v>244</v>
      </c>
      <c r="C548" s="4" t="s">
        <v>82</v>
      </c>
      <c r="D548" s="4" t="s">
        <v>552</v>
      </c>
      <c r="E548" s="4" t="s">
        <v>553</v>
      </c>
      <c r="F548" s="4" t="s">
        <v>183</v>
      </c>
      <c r="G548" s="4" t="s">
        <v>562</v>
      </c>
      <c r="H548" s="4" t="s">
        <v>563</v>
      </c>
      <c r="I548" s="9">
        <v>42866</v>
      </c>
      <c r="J548" s="11">
        <v>450</v>
      </c>
      <c r="K548" s="4" t="s">
        <v>62</v>
      </c>
      <c r="L548" s="11">
        <v>4.46</v>
      </c>
      <c r="M548" s="11">
        <v>2007</v>
      </c>
      <c r="N548" s="4" t="s">
        <v>8</v>
      </c>
      <c r="O548" s="5">
        <v>5637292176</v>
      </c>
      <c r="P548" s="11" t="e">
        <f ca="1">_xll.AtlasFormulas.AtlasFunctions.AtlasBalance("UAT",DataAreaId,"T.MarkupTrans","Sum|Posted|0","","","","","","","TransRecId|TransTableId|MarkupCode",$O548,"492","TPP")</f>
        <v>#NAME?</v>
      </c>
    </row>
    <row r="549" spans="1:16" x14ac:dyDescent="0.15">
      <c r="A549" s="4" t="s">
        <v>20</v>
      </c>
      <c r="B549" s="4" t="s">
        <v>945</v>
      </c>
      <c r="C549" s="4" t="s">
        <v>946</v>
      </c>
      <c r="D549" s="4" t="s">
        <v>989</v>
      </c>
      <c r="E549" s="4" t="s">
        <v>990</v>
      </c>
      <c r="F549" s="4" t="s">
        <v>728</v>
      </c>
      <c r="G549" s="4" t="s">
        <v>562</v>
      </c>
      <c r="H549" s="4" t="s">
        <v>563</v>
      </c>
      <c r="I549" s="9">
        <v>42906</v>
      </c>
      <c r="J549" s="11">
        <v>600</v>
      </c>
      <c r="K549" s="4" t="s">
        <v>62</v>
      </c>
      <c r="L549" s="11">
        <v>4.46</v>
      </c>
      <c r="M549" s="11">
        <v>2676</v>
      </c>
      <c r="N549" s="4" t="s">
        <v>8</v>
      </c>
      <c r="O549" s="5">
        <v>5637292397</v>
      </c>
      <c r="P549" s="11" t="e">
        <f ca="1">_xll.AtlasFormulas.AtlasFunctions.AtlasBalance("UAT",DataAreaId,"T.MarkupTrans","Sum|Posted|0","","","","","","","TransRecId|TransTableId|MarkupCode",$O549,"492","TPP")</f>
        <v>#NAME?</v>
      </c>
    </row>
    <row r="550" spans="1:16" x14ac:dyDescent="0.15">
      <c r="A550" s="4" t="s">
        <v>220</v>
      </c>
      <c r="B550" s="4" t="s">
        <v>417</v>
      </c>
      <c r="C550" s="4" t="s">
        <v>82</v>
      </c>
      <c r="D550" s="4" t="s">
        <v>569</v>
      </c>
      <c r="E550" s="4" t="s">
        <v>570</v>
      </c>
      <c r="F550" s="4" t="s">
        <v>224</v>
      </c>
      <c r="G550" s="4" t="s">
        <v>562</v>
      </c>
      <c r="H550" s="4" t="s">
        <v>563</v>
      </c>
      <c r="I550" s="9">
        <v>42907</v>
      </c>
      <c r="J550" s="11">
        <v>600</v>
      </c>
      <c r="K550" s="4" t="s">
        <v>62</v>
      </c>
      <c r="L550" s="11">
        <v>4.46</v>
      </c>
      <c r="M550" s="11">
        <v>2676</v>
      </c>
      <c r="N550" s="4" t="s">
        <v>8</v>
      </c>
      <c r="O550" s="5">
        <v>5637292662</v>
      </c>
      <c r="P550" s="11" t="e">
        <f ca="1">_xll.AtlasFormulas.AtlasFunctions.AtlasBalance("UAT",DataAreaId,"T.MarkupTrans","Sum|Posted|0","","","","","","","TransRecId|TransTableId|MarkupCode",$O550,"492","TPP")</f>
        <v>#NAME?</v>
      </c>
    </row>
    <row r="551" spans="1:16" x14ac:dyDescent="0.15">
      <c r="A551" s="4" t="s">
        <v>20</v>
      </c>
      <c r="B551" s="4" t="s">
        <v>945</v>
      </c>
      <c r="C551" s="4" t="s">
        <v>946</v>
      </c>
      <c r="D551" s="4" t="s">
        <v>978</v>
      </c>
      <c r="E551" s="4" t="s">
        <v>979</v>
      </c>
      <c r="F551" s="4" t="s">
        <v>728</v>
      </c>
      <c r="G551" s="4" t="s">
        <v>145</v>
      </c>
      <c r="H551" s="4" t="s">
        <v>146</v>
      </c>
      <c r="I551" s="9">
        <v>42790</v>
      </c>
      <c r="J551" s="11">
        <v>815</v>
      </c>
      <c r="K551" s="4" t="s">
        <v>62</v>
      </c>
      <c r="L551" s="11">
        <v>4.7700000000000005</v>
      </c>
      <c r="M551" s="11">
        <v>3887.55</v>
      </c>
      <c r="N551" s="4" t="s">
        <v>8</v>
      </c>
      <c r="O551" s="5">
        <v>5637290905</v>
      </c>
      <c r="P551" s="11" t="e">
        <f ca="1">_xll.AtlasFormulas.AtlasFunctions.AtlasBalance("UAT",DataAreaId,"T.MarkupTrans","Sum|Posted|0","","","","","","","TransRecId|TransTableId|MarkupCode",$O551,"492","TPP")</f>
        <v>#NAME?</v>
      </c>
    </row>
    <row r="552" spans="1:16" x14ac:dyDescent="0.15">
      <c r="A552" s="4" t="s">
        <v>220</v>
      </c>
      <c r="B552" s="4" t="s">
        <v>417</v>
      </c>
      <c r="C552" s="4" t="s">
        <v>82</v>
      </c>
      <c r="D552" s="4" t="s">
        <v>355</v>
      </c>
      <c r="E552" s="4" t="s">
        <v>556</v>
      </c>
      <c r="F552" s="4" t="s">
        <v>224</v>
      </c>
      <c r="G552" s="4" t="s">
        <v>145</v>
      </c>
      <c r="H552" s="4" t="s">
        <v>146</v>
      </c>
      <c r="I552" s="9">
        <v>42794</v>
      </c>
      <c r="J552" s="11">
        <v>815</v>
      </c>
      <c r="K552" s="4" t="s">
        <v>62</v>
      </c>
      <c r="L552" s="11">
        <v>4.7700000000000005</v>
      </c>
      <c r="M552" s="11">
        <v>3887.55</v>
      </c>
      <c r="N552" s="4" t="s">
        <v>8</v>
      </c>
      <c r="O552" s="5">
        <v>5637290915</v>
      </c>
      <c r="P552" s="11" t="e">
        <f ca="1">_xll.AtlasFormulas.AtlasFunctions.AtlasBalance("UAT",DataAreaId,"T.MarkupTrans","Sum|Posted|0","","","","","","","TransRecId|TransTableId|MarkupCode",$O552,"492","TPP")</f>
        <v>#NAME?</v>
      </c>
    </row>
    <row r="553" spans="1:16" x14ac:dyDescent="0.15">
      <c r="A553" s="4" t="s">
        <v>20</v>
      </c>
      <c r="B553" s="4" t="s">
        <v>937</v>
      </c>
      <c r="C553" s="4" t="s">
        <v>938</v>
      </c>
      <c r="D553" s="4" t="s">
        <v>943</v>
      </c>
      <c r="E553" s="4" t="s">
        <v>944</v>
      </c>
      <c r="F553" s="4" t="s">
        <v>728</v>
      </c>
      <c r="G553" s="4" t="s">
        <v>145</v>
      </c>
      <c r="H553" s="4" t="s">
        <v>146</v>
      </c>
      <c r="I553" s="9">
        <v>42818</v>
      </c>
      <c r="J553" s="11">
        <v>300</v>
      </c>
      <c r="K553" s="4" t="s">
        <v>62</v>
      </c>
      <c r="L553" s="11">
        <v>4.7700000000000005</v>
      </c>
      <c r="M553" s="11">
        <v>1431</v>
      </c>
      <c r="N553" s="4" t="s">
        <v>8</v>
      </c>
      <c r="O553" s="5">
        <v>5637291270</v>
      </c>
      <c r="P553" s="11" t="e">
        <f ca="1">_xll.AtlasFormulas.AtlasFunctions.AtlasBalance("UAT",DataAreaId,"T.MarkupTrans","Sum|Posted|0","","","","","","","TransRecId|TransTableId|MarkupCode",$O553,"492","TPP")</f>
        <v>#NAME?</v>
      </c>
    </row>
    <row r="554" spans="1:16" x14ac:dyDescent="0.15">
      <c r="A554" s="4" t="s">
        <v>110</v>
      </c>
      <c r="B554" s="4" t="s">
        <v>111</v>
      </c>
      <c r="C554" s="4" t="s">
        <v>82</v>
      </c>
      <c r="D554" s="4" t="s">
        <v>131</v>
      </c>
      <c r="E554" s="4" t="s">
        <v>132</v>
      </c>
      <c r="F554" s="4" t="s">
        <v>114</v>
      </c>
      <c r="G554" s="4" t="s">
        <v>145</v>
      </c>
      <c r="H554" s="4" t="s">
        <v>146</v>
      </c>
      <c r="I554" s="9">
        <v>42824</v>
      </c>
      <c r="J554" s="11">
        <v>300</v>
      </c>
      <c r="K554" s="4" t="s">
        <v>62</v>
      </c>
      <c r="L554" s="11">
        <v>4.7700000000000005</v>
      </c>
      <c r="M554" s="11">
        <v>1431</v>
      </c>
      <c r="N554" s="4" t="s">
        <v>8</v>
      </c>
      <c r="O554" s="5">
        <v>5637291304</v>
      </c>
      <c r="P554" s="11" t="e">
        <f ca="1">_xll.AtlasFormulas.AtlasFunctions.AtlasBalance("UAT",DataAreaId,"T.MarkupTrans","Sum|Posted|0","","","","","","","TransRecId|TransTableId|MarkupCode",$O554,"492","TPP")</f>
        <v>#NAME?</v>
      </c>
    </row>
    <row r="555" spans="1:16" x14ac:dyDescent="0.15">
      <c r="A555" s="4" t="s">
        <v>20</v>
      </c>
      <c r="B555" s="4" t="s">
        <v>945</v>
      </c>
      <c r="C555" s="4" t="s">
        <v>946</v>
      </c>
      <c r="D555" s="4" t="s">
        <v>991</v>
      </c>
      <c r="E555" s="4" t="s">
        <v>992</v>
      </c>
      <c r="F555" s="4" t="s">
        <v>728</v>
      </c>
      <c r="G555" s="4" t="s">
        <v>145</v>
      </c>
      <c r="H555" s="4" t="s">
        <v>146</v>
      </c>
      <c r="I555" s="9">
        <v>42860</v>
      </c>
      <c r="J555" s="11">
        <v>600</v>
      </c>
      <c r="K555" s="4" t="s">
        <v>62</v>
      </c>
      <c r="L555" s="11">
        <v>4.7700000000000005</v>
      </c>
      <c r="M555" s="11">
        <v>2862</v>
      </c>
      <c r="N555" s="4" t="s">
        <v>8</v>
      </c>
      <c r="O555" s="5">
        <v>5637291868</v>
      </c>
      <c r="P555" s="11" t="e">
        <f ca="1">_xll.AtlasFormulas.AtlasFunctions.AtlasBalance("UAT",DataAreaId,"T.MarkupTrans","Sum|Posted|0","","","","","","","TransRecId|TransTableId|MarkupCode",$O555,"492","TPP")</f>
        <v>#NAME?</v>
      </c>
    </row>
    <row r="556" spans="1:16" x14ac:dyDescent="0.15">
      <c r="A556" s="4" t="s">
        <v>220</v>
      </c>
      <c r="B556" s="4" t="s">
        <v>417</v>
      </c>
      <c r="C556" s="4" t="s">
        <v>82</v>
      </c>
      <c r="D556" s="4" t="s">
        <v>571</v>
      </c>
      <c r="E556" s="4" t="s">
        <v>572</v>
      </c>
      <c r="F556" s="4" t="s">
        <v>224</v>
      </c>
      <c r="G556" s="4" t="s">
        <v>145</v>
      </c>
      <c r="H556" s="4" t="s">
        <v>146</v>
      </c>
      <c r="I556" s="9">
        <v>42865</v>
      </c>
      <c r="J556" s="11">
        <v>600</v>
      </c>
      <c r="K556" s="4" t="s">
        <v>62</v>
      </c>
      <c r="L556" s="11">
        <v>4.7700000000000005</v>
      </c>
      <c r="M556" s="11">
        <v>2862</v>
      </c>
      <c r="N556" s="4" t="s">
        <v>8</v>
      </c>
      <c r="O556" s="5">
        <v>5637291892</v>
      </c>
      <c r="P556" s="11" t="e">
        <f ca="1">_xll.AtlasFormulas.AtlasFunctions.AtlasBalance("UAT",DataAreaId,"T.MarkupTrans","Sum|Posted|0","","","","","","","TransRecId|TransTableId|MarkupCode",$O556,"492","TPP")</f>
        <v>#NAME?</v>
      </c>
    </row>
    <row r="557" spans="1:16" x14ac:dyDescent="0.15">
      <c r="A557" s="4" t="s">
        <v>20</v>
      </c>
      <c r="B557" s="4" t="s">
        <v>957</v>
      </c>
      <c r="C557" s="4" t="s">
        <v>938</v>
      </c>
      <c r="D557" s="4" t="s">
        <v>960</v>
      </c>
      <c r="E557" s="4" t="s">
        <v>961</v>
      </c>
      <c r="F557" s="4" t="s">
        <v>728</v>
      </c>
      <c r="G557" s="4" t="s">
        <v>9</v>
      </c>
      <c r="H557" s="4" t="s">
        <v>25</v>
      </c>
      <c r="I557" s="9">
        <v>42752</v>
      </c>
      <c r="J557" s="11">
        <v>600</v>
      </c>
      <c r="K557" s="4" t="s">
        <v>62</v>
      </c>
      <c r="L557" s="11">
        <v>4.63</v>
      </c>
      <c r="M557" s="11">
        <v>2778</v>
      </c>
      <c r="N557" s="4" t="s">
        <v>8</v>
      </c>
      <c r="O557" s="5">
        <v>5637288921</v>
      </c>
      <c r="P557" s="11" t="e">
        <f ca="1">_xll.AtlasFormulas.AtlasFunctions.AtlasBalance("UAT",DataAreaId,"T.MarkupTrans","Sum|Posted|0","","","","","","","TransRecId|TransTableId|MarkupCode",$O557,"492","TPP")</f>
        <v>#NAME?</v>
      </c>
    </row>
    <row r="558" spans="1:16" x14ac:dyDescent="0.15">
      <c r="A558" s="4" t="s">
        <v>20</v>
      </c>
      <c r="B558" s="4" t="s">
        <v>957</v>
      </c>
      <c r="C558" s="4" t="s">
        <v>938</v>
      </c>
      <c r="D558" s="4" t="s">
        <v>962</v>
      </c>
      <c r="E558" s="4" t="s">
        <v>982</v>
      </c>
      <c r="F558" s="4" t="s">
        <v>728</v>
      </c>
      <c r="G558" s="4" t="s">
        <v>9</v>
      </c>
      <c r="H558" s="4" t="s">
        <v>25</v>
      </c>
      <c r="I558" s="9">
        <v>42769</v>
      </c>
      <c r="J558" s="11">
        <v>1500</v>
      </c>
      <c r="K558" s="4" t="s">
        <v>62</v>
      </c>
      <c r="L558" s="11">
        <v>4.6326099999999997</v>
      </c>
      <c r="M558" s="11">
        <v>6948.92</v>
      </c>
      <c r="N558" s="4" t="s">
        <v>8</v>
      </c>
      <c r="O558" s="5">
        <v>5637289922</v>
      </c>
      <c r="P558" s="11" t="e">
        <f ca="1">_xll.AtlasFormulas.AtlasFunctions.AtlasBalance("UAT",DataAreaId,"T.MarkupTrans","Sum|Posted|0","","","","","","","TransRecId|TransTableId|MarkupCode",$O558,"492","TPP")</f>
        <v>#NAME?</v>
      </c>
    </row>
    <row r="559" spans="1:16" x14ac:dyDescent="0.15">
      <c r="A559" s="4" t="s">
        <v>20</v>
      </c>
      <c r="B559" s="4" t="s">
        <v>937</v>
      </c>
      <c r="C559" s="4" t="s">
        <v>938</v>
      </c>
      <c r="D559" s="4" t="s">
        <v>993</v>
      </c>
      <c r="E559" s="4" t="s">
        <v>994</v>
      </c>
      <c r="F559" s="4" t="s">
        <v>728</v>
      </c>
      <c r="G559" s="4" t="s">
        <v>9</v>
      </c>
      <c r="H559" s="4" t="s">
        <v>25</v>
      </c>
      <c r="I559" s="9">
        <v>42790</v>
      </c>
      <c r="J559" s="11">
        <v>1000</v>
      </c>
      <c r="K559" s="4" t="s">
        <v>62</v>
      </c>
      <c r="L559" s="11">
        <v>4.63</v>
      </c>
      <c r="M559" s="11">
        <v>4630</v>
      </c>
      <c r="N559" s="4" t="s">
        <v>8</v>
      </c>
      <c r="O559" s="5">
        <v>5637290912</v>
      </c>
      <c r="P559" s="11" t="e">
        <f ca="1">_xll.AtlasFormulas.AtlasFunctions.AtlasBalance("UAT",DataAreaId,"T.MarkupTrans","Sum|Posted|0","","","","","","","TransRecId|TransTableId|MarkupCode",$O559,"492","TPP")</f>
        <v>#NAME?</v>
      </c>
    </row>
    <row r="560" spans="1:16" x14ac:dyDescent="0.15">
      <c r="A560" s="4" t="s">
        <v>227</v>
      </c>
      <c r="B560" s="4" t="s">
        <v>228</v>
      </c>
      <c r="C560" s="4" t="s">
        <v>82</v>
      </c>
      <c r="D560" s="4" t="s">
        <v>573</v>
      </c>
      <c r="E560" s="4" t="s">
        <v>574</v>
      </c>
      <c r="F560" s="4" t="s">
        <v>231</v>
      </c>
      <c r="G560" s="4" t="s">
        <v>9</v>
      </c>
      <c r="H560" s="4" t="s">
        <v>25</v>
      </c>
      <c r="I560" s="9">
        <v>42795</v>
      </c>
      <c r="J560" s="11">
        <v>1000</v>
      </c>
      <c r="K560" s="4" t="s">
        <v>62</v>
      </c>
      <c r="L560" s="11">
        <v>4.63</v>
      </c>
      <c r="M560" s="11">
        <v>4630</v>
      </c>
      <c r="N560" s="4" t="s">
        <v>8</v>
      </c>
      <c r="O560" s="5">
        <v>5637291029</v>
      </c>
      <c r="P560" s="11" t="e">
        <f ca="1">_xll.AtlasFormulas.AtlasFunctions.AtlasBalance("UAT",DataAreaId,"T.MarkupTrans","Sum|Posted|0","","","","","","","TransRecId|TransTableId|MarkupCode",$O560,"492","TPP")</f>
        <v>#NAME?</v>
      </c>
    </row>
    <row r="561" spans="1:16" x14ac:dyDescent="0.15">
      <c r="A561" s="4" t="s">
        <v>227</v>
      </c>
      <c r="B561" s="4" t="s">
        <v>228</v>
      </c>
      <c r="C561" s="4" t="s">
        <v>82</v>
      </c>
      <c r="D561" s="4" t="s">
        <v>440</v>
      </c>
      <c r="E561" s="4" t="s">
        <v>575</v>
      </c>
      <c r="F561" s="4" t="s">
        <v>231</v>
      </c>
      <c r="G561" s="4" t="s">
        <v>9</v>
      </c>
      <c r="H561" s="4" t="s">
        <v>25</v>
      </c>
      <c r="I561" s="9">
        <v>42817</v>
      </c>
      <c r="J561" s="11">
        <v>1000</v>
      </c>
      <c r="K561" s="4" t="s">
        <v>62</v>
      </c>
      <c r="L561" s="11">
        <v>4.63</v>
      </c>
      <c r="M561" s="11">
        <v>4630</v>
      </c>
      <c r="N561" s="4" t="s">
        <v>8</v>
      </c>
      <c r="O561" s="5">
        <v>5637291196</v>
      </c>
      <c r="P561" s="11" t="e">
        <f ca="1">_xll.AtlasFormulas.AtlasFunctions.AtlasBalance("UAT",DataAreaId,"T.MarkupTrans","Sum|Posted|0","","","","","","","TransRecId|TransTableId|MarkupCode",$O561,"492","TPP")</f>
        <v>#NAME?</v>
      </c>
    </row>
    <row r="562" spans="1:16" x14ac:dyDescent="0.15">
      <c r="A562" s="4" t="s">
        <v>227</v>
      </c>
      <c r="B562" s="4" t="s">
        <v>228</v>
      </c>
      <c r="C562" s="4" t="s">
        <v>82</v>
      </c>
      <c r="D562" s="4" t="s">
        <v>112</v>
      </c>
      <c r="E562" s="4" t="s">
        <v>576</v>
      </c>
      <c r="F562" s="4" t="s">
        <v>231</v>
      </c>
      <c r="G562" s="4" t="s">
        <v>9</v>
      </c>
      <c r="H562" s="4" t="s">
        <v>25</v>
      </c>
      <c r="I562" s="9">
        <v>42817</v>
      </c>
      <c r="J562" s="11">
        <v>-1000</v>
      </c>
      <c r="K562" s="4" t="s">
        <v>62</v>
      </c>
      <c r="L562" s="11">
        <v>4.63</v>
      </c>
      <c r="M562" s="11">
        <v>-4630</v>
      </c>
      <c r="N562" s="4" t="s">
        <v>8</v>
      </c>
      <c r="O562" s="5">
        <v>5637291223</v>
      </c>
      <c r="P562" s="11" t="e">
        <f ca="1">_xll.AtlasFormulas.AtlasFunctions.AtlasBalance("UAT",DataAreaId,"T.MarkupTrans","Sum|Posted|0","","","","","","","TransRecId|TransTableId|MarkupCode",$O562,"492","TPP")</f>
        <v>#NAME?</v>
      </c>
    </row>
    <row r="563" spans="1:16" x14ac:dyDescent="0.15">
      <c r="A563" s="4" t="s">
        <v>20</v>
      </c>
      <c r="B563" s="4" t="s">
        <v>937</v>
      </c>
      <c r="C563" s="4" t="s">
        <v>938</v>
      </c>
      <c r="D563" s="4" t="s">
        <v>943</v>
      </c>
      <c r="E563" s="4" t="s">
        <v>944</v>
      </c>
      <c r="F563" s="4" t="s">
        <v>728</v>
      </c>
      <c r="G563" s="4" t="s">
        <v>9</v>
      </c>
      <c r="H563" s="4" t="s">
        <v>25</v>
      </c>
      <c r="I563" s="9">
        <v>42818</v>
      </c>
      <c r="J563" s="11">
        <v>450</v>
      </c>
      <c r="K563" s="4" t="s">
        <v>62</v>
      </c>
      <c r="L563" s="11">
        <v>4.63</v>
      </c>
      <c r="M563" s="11">
        <v>2083.5</v>
      </c>
      <c r="N563" s="4" t="s">
        <v>8</v>
      </c>
      <c r="O563" s="5">
        <v>5637291271</v>
      </c>
      <c r="P563" s="11" t="e">
        <f ca="1">_xll.AtlasFormulas.AtlasFunctions.AtlasBalance("UAT",DataAreaId,"T.MarkupTrans","Sum|Posted|0","","","","","","","TransRecId|TransTableId|MarkupCode",$O563,"492","TPP")</f>
        <v>#NAME?</v>
      </c>
    </row>
    <row r="564" spans="1:16" x14ac:dyDescent="0.15">
      <c r="A564" s="4" t="s">
        <v>110</v>
      </c>
      <c r="B564" s="4" t="s">
        <v>111</v>
      </c>
      <c r="C564" s="4" t="s">
        <v>82</v>
      </c>
      <c r="D564" s="4" t="s">
        <v>131</v>
      </c>
      <c r="E564" s="4" t="s">
        <v>132</v>
      </c>
      <c r="F564" s="4" t="s">
        <v>114</v>
      </c>
      <c r="G564" s="4" t="s">
        <v>9</v>
      </c>
      <c r="H564" s="4" t="s">
        <v>25</v>
      </c>
      <c r="I564" s="9">
        <v>42824</v>
      </c>
      <c r="J564" s="11">
        <v>450</v>
      </c>
      <c r="K564" s="4" t="s">
        <v>62</v>
      </c>
      <c r="L564" s="11">
        <v>4.63</v>
      </c>
      <c r="M564" s="11">
        <v>2083.5</v>
      </c>
      <c r="N564" s="4" t="s">
        <v>8</v>
      </c>
      <c r="O564" s="5">
        <v>5637291305</v>
      </c>
      <c r="P564" s="11" t="e">
        <f ca="1">_xll.AtlasFormulas.AtlasFunctions.AtlasBalance("UAT",DataAreaId,"T.MarkupTrans","Sum|Posted|0","","","","","","","TransRecId|TransTableId|MarkupCode",$O564,"492","TPP")</f>
        <v>#NAME?</v>
      </c>
    </row>
    <row r="565" spans="1:16" x14ac:dyDescent="0.15">
      <c r="A565" s="4" t="s">
        <v>20</v>
      </c>
      <c r="B565" s="4" t="s">
        <v>957</v>
      </c>
      <c r="C565" s="4" t="s">
        <v>938</v>
      </c>
      <c r="D565" s="4" t="s">
        <v>987</v>
      </c>
      <c r="E565" s="4" t="s">
        <v>988</v>
      </c>
      <c r="F565" s="4" t="s">
        <v>728</v>
      </c>
      <c r="G565" s="4" t="s">
        <v>9</v>
      </c>
      <c r="H565" s="4" t="s">
        <v>25</v>
      </c>
      <c r="I565" s="9">
        <v>42830</v>
      </c>
      <c r="J565" s="11">
        <v>2100</v>
      </c>
      <c r="K565" s="4" t="s">
        <v>62</v>
      </c>
      <c r="L565" s="11">
        <v>4.63</v>
      </c>
      <c r="M565" s="11">
        <v>9723</v>
      </c>
      <c r="N565" s="4" t="s">
        <v>8</v>
      </c>
      <c r="O565" s="5">
        <v>5637291385</v>
      </c>
      <c r="P565" s="11" t="e">
        <f ca="1">_xll.AtlasFormulas.AtlasFunctions.AtlasBalance("UAT",DataAreaId,"T.MarkupTrans","Sum|Posted|0","","","","","","","TransRecId|TransTableId|MarkupCode",$O565,"492","TPP")</f>
        <v>#NAME?</v>
      </c>
    </row>
    <row r="566" spans="1:16" x14ac:dyDescent="0.15">
      <c r="A566" s="4" t="s">
        <v>20</v>
      </c>
      <c r="B566" s="4" t="s">
        <v>957</v>
      </c>
      <c r="C566" s="4" t="s">
        <v>938</v>
      </c>
      <c r="D566" s="4" t="s">
        <v>995</v>
      </c>
      <c r="E566" s="4" t="s">
        <v>996</v>
      </c>
      <c r="F566" s="4" t="s">
        <v>728</v>
      </c>
      <c r="G566" s="4" t="s">
        <v>9</v>
      </c>
      <c r="H566" s="4" t="s">
        <v>25</v>
      </c>
      <c r="I566" s="9">
        <v>42837</v>
      </c>
      <c r="J566" s="11">
        <v>2100</v>
      </c>
      <c r="K566" s="4" t="s">
        <v>62</v>
      </c>
      <c r="L566" s="11">
        <v>4.63</v>
      </c>
      <c r="M566" s="11">
        <v>9723</v>
      </c>
      <c r="N566" s="4" t="s">
        <v>8</v>
      </c>
      <c r="O566" s="5">
        <v>5637291723</v>
      </c>
      <c r="P566" s="11" t="e">
        <f ca="1">_xll.AtlasFormulas.AtlasFunctions.AtlasBalance("UAT",DataAreaId,"T.MarkupTrans","Sum|Posted|0","","","","","","","TransRecId|TransTableId|MarkupCode",$O566,"492","TPP")</f>
        <v>#NAME?</v>
      </c>
    </row>
    <row r="567" spans="1:16" x14ac:dyDescent="0.15">
      <c r="A567" s="4" t="s">
        <v>20</v>
      </c>
      <c r="B567" s="4" t="s">
        <v>937</v>
      </c>
      <c r="C567" s="4" t="s">
        <v>938</v>
      </c>
      <c r="D567" s="4" t="s">
        <v>949</v>
      </c>
      <c r="E567" s="4" t="s">
        <v>950</v>
      </c>
      <c r="F567" s="4" t="s">
        <v>728</v>
      </c>
      <c r="G567" s="4" t="s">
        <v>9</v>
      </c>
      <c r="H567" s="4" t="s">
        <v>25</v>
      </c>
      <c r="I567" s="9">
        <v>42860</v>
      </c>
      <c r="J567" s="11">
        <v>1000</v>
      </c>
      <c r="K567" s="4" t="s">
        <v>62</v>
      </c>
      <c r="L567" s="11">
        <v>4.6326099999999997</v>
      </c>
      <c r="M567" s="11">
        <v>4632.6099999999997</v>
      </c>
      <c r="N567" s="4" t="s">
        <v>8</v>
      </c>
      <c r="O567" s="5">
        <v>5637291823</v>
      </c>
      <c r="P567" s="11" t="e">
        <f ca="1">_xll.AtlasFormulas.AtlasFunctions.AtlasBalance("UAT",DataAreaId,"T.MarkupTrans","Sum|Posted|0","","","","","","","TransRecId|TransTableId|MarkupCode",$O567,"492","TPP")</f>
        <v>#NAME?</v>
      </c>
    </row>
    <row r="568" spans="1:16" x14ac:dyDescent="0.15">
      <c r="A568" s="4" t="s">
        <v>227</v>
      </c>
      <c r="B568" s="4" t="s">
        <v>228</v>
      </c>
      <c r="C568" s="4" t="s">
        <v>82</v>
      </c>
      <c r="D568" s="4" t="s">
        <v>547</v>
      </c>
      <c r="E568" s="4" t="s">
        <v>548</v>
      </c>
      <c r="F568" s="4" t="s">
        <v>231</v>
      </c>
      <c r="G568" s="4" t="s">
        <v>9</v>
      </c>
      <c r="H568" s="4" t="s">
        <v>25</v>
      </c>
      <c r="I568" s="9">
        <v>42860</v>
      </c>
      <c r="J568" s="11">
        <v>1000</v>
      </c>
      <c r="K568" s="4" t="s">
        <v>62</v>
      </c>
      <c r="L568" s="11">
        <v>4.6326099999999997</v>
      </c>
      <c r="M568" s="11">
        <v>4632.6099999999997</v>
      </c>
      <c r="N568" s="4" t="s">
        <v>8</v>
      </c>
      <c r="O568" s="5">
        <v>5637291934</v>
      </c>
      <c r="P568" s="11" t="e">
        <f ca="1">_xll.AtlasFormulas.AtlasFunctions.AtlasBalance("UAT",DataAreaId,"T.MarkupTrans","Sum|Posted|0","","","","","","","TransRecId|TransTableId|MarkupCode",$O568,"492","TPP")</f>
        <v>#NAME?</v>
      </c>
    </row>
    <row r="569" spans="1:16" x14ac:dyDescent="0.15">
      <c r="A569" s="4" t="s">
        <v>20</v>
      </c>
      <c r="B569" s="4" t="s">
        <v>957</v>
      </c>
      <c r="C569" s="4" t="s">
        <v>938</v>
      </c>
      <c r="D569" s="4" t="s">
        <v>970</v>
      </c>
      <c r="E569" s="4" t="s">
        <v>971</v>
      </c>
      <c r="F569" s="4" t="s">
        <v>728</v>
      </c>
      <c r="G569" s="4" t="s">
        <v>9</v>
      </c>
      <c r="H569" s="4" t="s">
        <v>25</v>
      </c>
      <c r="I569" s="9">
        <v>42928</v>
      </c>
      <c r="J569" s="11">
        <v>1500</v>
      </c>
      <c r="K569" s="4" t="s">
        <v>62</v>
      </c>
      <c r="L569" s="11">
        <v>4.6399999999999997</v>
      </c>
      <c r="M569" s="11">
        <v>6960</v>
      </c>
      <c r="N569" s="4" t="s">
        <v>8</v>
      </c>
      <c r="O569" s="5">
        <v>5637293511</v>
      </c>
      <c r="P569" s="11" t="e">
        <f ca="1">_xll.AtlasFormulas.AtlasFunctions.AtlasBalance("UAT",DataAreaId,"T.MarkupTrans","Sum|Posted|0","","","","","","","TransRecId|TransTableId|MarkupCode",$O569,"492","TPP")</f>
        <v>#NAME?</v>
      </c>
    </row>
    <row r="570" spans="1:16" x14ac:dyDescent="0.15">
      <c r="A570" s="4" t="s">
        <v>20</v>
      </c>
      <c r="B570" s="4" t="s">
        <v>937</v>
      </c>
      <c r="C570" s="4" t="s">
        <v>938</v>
      </c>
      <c r="D570" s="4" t="s">
        <v>972</v>
      </c>
      <c r="E570" s="4" t="s">
        <v>973</v>
      </c>
      <c r="F570" s="4" t="s">
        <v>728</v>
      </c>
      <c r="G570" s="4" t="s">
        <v>9</v>
      </c>
      <c r="H570" s="4" t="s">
        <v>25</v>
      </c>
      <c r="I570" s="9">
        <v>42941</v>
      </c>
      <c r="J570" s="11">
        <v>450</v>
      </c>
      <c r="K570" s="4" t="s">
        <v>62</v>
      </c>
      <c r="L570" s="11">
        <v>4.6326099999999997</v>
      </c>
      <c r="M570" s="11">
        <v>2084.67</v>
      </c>
      <c r="N570" s="4" t="s">
        <v>8</v>
      </c>
      <c r="O570" s="5">
        <v>5637293520</v>
      </c>
      <c r="P570" s="11" t="e">
        <f ca="1">_xll.AtlasFormulas.AtlasFunctions.AtlasBalance("UAT",DataAreaId,"T.MarkupTrans","Sum|Posted|0","","","","","","","TransRecId|TransTableId|MarkupCode",$O570,"492","TPP")</f>
        <v>#NAME?</v>
      </c>
    </row>
    <row r="571" spans="1:16" x14ac:dyDescent="0.15">
      <c r="A571" s="4" t="s">
        <v>110</v>
      </c>
      <c r="B571" s="4" t="s">
        <v>111</v>
      </c>
      <c r="C571" s="4" t="s">
        <v>82</v>
      </c>
      <c r="D571" s="4" t="s">
        <v>139</v>
      </c>
      <c r="E571" s="4" t="s">
        <v>140</v>
      </c>
      <c r="F571" s="4" t="s">
        <v>114</v>
      </c>
      <c r="G571" s="4" t="s">
        <v>9</v>
      </c>
      <c r="H571" s="4" t="s">
        <v>25</v>
      </c>
      <c r="I571" s="9">
        <v>42947</v>
      </c>
      <c r="J571" s="11">
        <v>450</v>
      </c>
      <c r="K571" s="4" t="s">
        <v>62</v>
      </c>
      <c r="L571" s="11">
        <v>4.6326099999999997</v>
      </c>
      <c r="M571" s="11">
        <v>2084.67</v>
      </c>
      <c r="N571" s="4" t="s">
        <v>8</v>
      </c>
      <c r="O571" s="5">
        <v>5637294161</v>
      </c>
      <c r="P571" s="11" t="e">
        <f ca="1">_xll.AtlasFormulas.AtlasFunctions.AtlasBalance("UAT",DataAreaId,"T.MarkupTrans","Sum|Posted|0","","","","","","","TransRecId|TransTableId|MarkupCode",$O571,"492","TPP")</f>
        <v>#NAME?</v>
      </c>
    </row>
    <row r="572" spans="1:16" x14ac:dyDescent="0.15">
      <c r="A572" s="4" t="s">
        <v>20</v>
      </c>
      <c r="B572" s="4" t="s">
        <v>957</v>
      </c>
      <c r="C572" s="4" t="s">
        <v>938</v>
      </c>
      <c r="D572" s="4" t="s">
        <v>962</v>
      </c>
      <c r="E572" s="4" t="s">
        <v>982</v>
      </c>
      <c r="F572" s="4" t="s">
        <v>728</v>
      </c>
      <c r="G572" s="4" t="s">
        <v>147</v>
      </c>
      <c r="H572" s="4" t="s">
        <v>148</v>
      </c>
      <c r="I572" s="9">
        <v>42769</v>
      </c>
      <c r="J572" s="11">
        <v>750</v>
      </c>
      <c r="K572" s="4" t="s">
        <v>62</v>
      </c>
      <c r="L572" s="11">
        <v>5.0650600000000008</v>
      </c>
      <c r="M572" s="11">
        <v>3798.8</v>
      </c>
      <c r="N572" s="4" t="s">
        <v>8</v>
      </c>
      <c r="O572" s="5">
        <v>5637289923</v>
      </c>
      <c r="P572" s="11" t="e">
        <f ca="1">_xll.AtlasFormulas.AtlasFunctions.AtlasBalance("UAT",DataAreaId,"T.MarkupTrans","Sum|Posted|0","","","","","","","TransRecId|TransTableId|MarkupCode",$O572,"492","TPP")</f>
        <v>#NAME?</v>
      </c>
    </row>
    <row r="573" spans="1:16" x14ac:dyDescent="0.15">
      <c r="A573" s="4" t="s">
        <v>20</v>
      </c>
      <c r="B573" s="4" t="s">
        <v>945</v>
      </c>
      <c r="C573" s="4" t="s">
        <v>946</v>
      </c>
      <c r="D573" s="4" t="s">
        <v>997</v>
      </c>
      <c r="E573" s="4" t="s">
        <v>998</v>
      </c>
      <c r="F573" s="4" t="s">
        <v>728</v>
      </c>
      <c r="G573" s="4" t="s">
        <v>147</v>
      </c>
      <c r="H573" s="4" t="s">
        <v>148</v>
      </c>
      <c r="I573" s="9">
        <v>42786</v>
      </c>
      <c r="J573" s="11">
        <v>300</v>
      </c>
      <c r="K573" s="4" t="s">
        <v>62</v>
      </c>
      <c r="L573" s="11">
        <v>5.7200000000000006</v>
      </c>
      <c r="M573" s="11">
        <v>1716</v>
      </c>
      <c r="N573" s="4" t="s">
        <v>8</v>
      </c>
      <c r="O573" s="5">
        <v>5637289913</v>
      </c>
      <c r="P573" s="11" t="e">
        <f ca="1">_xll.AtlasFormulas.AtlasFunctions.AtlasBalance("UAT",DataAreaId,"T.MarkupTrans","Sum|Posted|0","","","","","","","TransRecId|TransTableId|MarkupCode",$O573,"492","TPP")</f>
        <v>#NAME?</v>
      </c>
    </row>
    <row r="574" spans="1:16" x14ac:dyDescent="0.15">
      <c r="A574" s="4" t="s">
        <v>20</v>
      </c>
      <c r="B574" s="4" t="s">
        <v>945</v>
      </c>
      <c r="C574" s="4" t="s">
        <v>946</v>
      </c>
      <c r="D574" s="4" t="s">
        <v>974</v>
      </c>
      <c r="E574" s="4" t="s">
        <v>975</v>
      </c>
      <c r="F574" s="4" t="s">
        <v>728</v>
      </c>
      <c r="G574" s="4" t="s">
        <v>147</v>
      </c>
      <c r="H574" s="4" t="s">
        <v>148</v>
      </c>
      <c r="I574" s="9">
        <v>42786</v>
      </c>
      <c r="J574" s="11">
        <v>300</v>
      </c>
      <c r="K574" s="4" t="s">
        <v>62</v>
      </c>
      <c r="L574" s="11">
        <v>5.7200000000000006</v>
      </c>
      <c r="M574" s="11">
        <v>1716</v>
      </c>
      <c r="N574" s="4" t="s">
        <v>8</v>
      </c>
      <c r="O574" s="5">
        <v>5637289910</v>
      </c>
      <c r="P574" s="11" t="e">
        <f ca="1">_xll.AtlasFormulas.AtlasFunctions.AtlasBalance("UAT",DataAreaId,"T.MarkupTrans","Sum|Posted|0","","","","","","","TransRecId|TransTableId|MarkupCode",$O574,"492","TPP")</f>
        <v>#NAME?</v>
      </c>
    </row>
    <row r="575" spans="1:16" x14ac:dyDescent="0.15">
      <c r="A575" s="4" t="s">
        <v>20</v>
      </c>
      <c r="B575" s="4" t="s">
        <v>937</v>
      </c>
      <c r="C575" s="4" t="s">
        <v>938</v>
      </c>
      <c r="D575" s="4" t="s">
        <v>985</v>
      </c>
      <c r="E575" s="4" t="s">
        <v>986</v>
      </c>
      <c r="F575" s="4" t="s">
        <v>728</v>
      </c>
      <c r="G575" s="4" t="s">
        <v>147</v>
      </c>
      <c r="H575" s="4" t="s">
        <v>148</v>
      </c>
      <c r="I575" s="9">
        <v>42786</v>
      </c>
      <c r="J575" s="11">
        <v>500</v>
      </c>
      <c r="K575" s="4" t="s">
        <v>62</v>
      </c>
      <c r="L575" s="11">
        <v>5.0650600000000008</v>
      </c>
      <c r="M575" s="11">
        <v>2532.5300000000002</v>
      </c>
      <c r="N575" s="4" t="s">
        <v>8</v>
      </c>
      <c r="O575" s="5">
        <v>5637289905</v>
      </c>
      <c r="P575" s="11" t="e">
        <f ca="1">_xll.AtlasFormulas.AtlasFunctions.AtlasBalance("UAT",DataAreaId,"T.MarkupTrans","Sum|Posted|0","","","","","","","TransRecId|TransTableId|MarkupCode",$O575,"492","TPP")</f>
        <v>#NAME?</v>
      </c>
    </row>
    <row r="576" spans="1:16" x14ac:dyDescent="0.15">
      <c r="A576" s="4" t="s">
        <v>220</v>
      </c>
      <c r="B576" s="4" t="s">
        <v>417</v>
      </c>
      <c r="C576" s="4" t="s">
        <v>82</v>
      </c>
      <c r="D576" s="4" t="s">
        <v>547</v>
      </c>
      <c r="E576" s="4" t="s">
        <v>577</v>
      </c>
      <c r="F576" s="4" t="s">
        <v>224</v>
      </c>
      <c r="G576" s="4" t="s">
        <v>147</v>
      </c>
      <c r="H576" s="4" t="s">
        <v>148</v>
      </c>
      <c r="I576" s="9">
        <v>42787</v>
      </c>
      <c r="J576" s="11">
        <v>300</v>
      </c>
      <c r="K576" s="4" t="s">
        <v>62</v>
      </c>
      <c r="L576" s="11">
        <v>5.7200000000000006</v>
      </c>
      <c r="M576" s="11">
        <v>1716</v>
      </c>
      <c r="N576" s="4" t="s">
        <v>8</v>
      </c>
      <c r="O576" s="5">
        <v>5637289936</v>
      </c>
      <c r="P576" s="11" t="e">
        <f ca="1">_xll.AtlasFormulas.AtlasFunctions.AtlasBalance("UAT",DataAreaId,"T.MarkupTrans","Sum|Posted|0","","","","","","","TransRecId|TransTableId|MarkupCode",$O576,"492","TPP")</f>
        <v>#NAME?</v>
      </c>
    </row>
    <row r="577" spans="1:16" x14ac:dyDescent="0.15">
      <c r="A577" s="4" t="s">
        <v>220</v>
      </c>
      <c r="B577" s="4" t="s">
        <v>417</v>
      </c>
      <c r="C577" s="4" t="s">
        <v>82</v>
      </c>
      <c r="D577" s="4" t="s">
        <v>554</v>
      </c>
      <c r="E577" s="4" t="s">
        <v>555</v>
      </c>
      <c r="F577" s="4" t="s">
        <v>224</v>
      </c>
      <c r="G577" s="4" t="s">
        <v>147</v>
      </c>
      <c r="H577" s="4" t="s">
        <v>148</v>
      </c>
      <c r="I577" s="9">
        <v>42787</v>
      </c>
      <c r="J577" s="11">
        <v>300</v>
      </c>
      <c r="K577" s="4" t="s">
        <v>62</v>
      </c>
      <c r="L577" s="11">
        <v>5.7200000000000006</v>
      </c>
      <c r="M577" s="11">
        <v>1716</v>
      </c>
      <c r="N577" s="4" t="s">
        <v>8</v>
      </c>
      <c r="O577" s="5">
        <v>5637289939</v>
      </c>
      <c r="P577" s="11" t="e">
        <f ca="1">_xll.AtlasFormulas.AtlasFunctions.AtlasBalance("UAT",DataAreaId,"T.MarkupTrans","Sum|Posted|0","","","","","","","TransRecId|TransTableId|MarkupCode",$O577,"492","TPP")</f>
        <v>#NAME?</v>
      </c>
    </row>
    <row r="578" spans="1:16" x14ac:dyDescent="0.15">
      <c r="A578" s="4" t="s">
        <v>227</v>
      </c>
      <c r="B578" s="4" t="s">
        <v>228</v>
      </c>
      <c r="C578" s="4" t="s">
        <v>82</v>
      </c>
      <c r="D578" s="4" t="s">
        <v>564</v>
      </c>
      <c r="E578" s="4" t="s">
        <v>565</v>
      </c>
      <c r="F578" s="4" t="s">
        <v>231</v>
      </c>
      <c r="G578" s="4" t="s">
        <v>147</v>
      </c>
      <c r="H578" s="4" t="s">
        <v>148</v>
      </c>
      <c r="I578" s="9">
        <v>42787</v>
      </c>
      <c r="J578" s="11">
        <v>500</v>
      </c>
      <c r="K578" s="4" t="s">
        <v>62</v>
      </c>
      <c r="L578" s="11">
        <v>5.0650600000000008</v>
      </c>
      <c r="M578" s="11">
        <v>2532.5300000000002</v>
      </c>
      <c r="N578" s="4" t="s">
        <v>8</v>
      </c>
      <c r="O578" s="5">
        <v>5637290927</v>
      </c>
      <c r="P578" s="11" t="e">
        <f ca="1">_xll.AtlasFormulas.AtlasFunctions.AtlasBalance("UAT",DataAreaId,"T.MarkupTrans","Sum|Posted|0","","","","","","","TransRecId|TransTableId|MarkupCode",$O578,"492","TPP")</f>
        <v>#NAME?</v>
      </c>
    </row>
    <row r="579" spans="1:16" x14ac:dyDescent="0.15">
      <c r="A579" s="4" t="s">
        <v>20</v>
      </c>
      <c r="B579" s="4" t="s">
        <v>937</v>
      </c>
      <c r="C579" s="4" t="s">
        <v>938</v>
      </c>
      <c r="D579" s="4" t="s">
        <v>976</v>
      </c>
      <c r="E579" s="4" t="s">
        <v>977</v>
      </c>
      <c r="F579" s="4" t="s">
        <v>728</v>
      </c>
      <c r="G579" s="4" t="s">
        <v>147</v>
      </c>
      <c r="H579" s="4" t="s">
        <v>148</v>
      </c>
      <c r="I579" s="9">
        <v>42789</v>
      </c>
      <c r="J579" s="11">
        <v>600</v>
      </c>
      <c r="K579" s="4" t="s">
        <v>62</v>
      </c>
      <c r="L579" s="11">
        <v>5.07</v>
      </c>
      <c r="M579" s="11">
        <v>3042</v>
      </c>
      <c r="N579" s="4" t="s">
        <v>8</v>
      </c>
      <c r="O579" s="5">
        <v>5637289931</v>
      </c>
      <c r="P579" s="11" t="e">
        <f ca="1">_xll.AtlasFormulas.AtlasFunctions.AtlasBalance("UAT",DataAreaId,"T.MarkupTrans","Sum|Posted|0","","","","","","","TransRecId|TransTableId|MarkupCode",$O579,"492","TPP")</f>
        <v>#NAME?</v>
      </c>
    </row>
    <row r="580" spans="1:16" x14ac:dyDescent="0.15">
      <c r="A580" s="4" t="s">
        <v>20</v>
      </c>
      <c r="B580" s="4" t="s">
        <v>945</v>
      </c>
      <c r="C580" s="4" t="s">
        <v>946</v>
      </c>
      <c r="D580" s="4" t="s">
        <v>978</v>
      </c>
      <c r="E580" s="4" t="s">
        <v>979</v>
      </c>
      <c r="F580" s="4" t="s">
        <v>728</v>
      </c>
      <c r="G580" s="4" t="s">
        <v>147</v>
      </c>
      <c r="H580" s="4" t="s">
        <v>148</v>
      </c>
      <c r="I580" s="9">
        <v>42790</v>
      </c>
      <c r="J580" s="11">
        <v>600</v>
      </c>
      <c r="K580" s="4" t="s">
        <v>62</v>
      </c>
      <c r="L580" s="11">
        <v>5.07</v>
      </c>
      <c r="M580" s="11">
        <v>3042</v>
      </c>
      <c r="N580" s="4" t="s">
        <v>8</v>
      </c>
      <c r="O580" s="5">
        <v>5637290906</v>
      </c>
      <c r="P580" s="11" t="e">
        <f ca="1">_xll.AtlasFormulas.AtlasFunctions.AtlasBalance("UAT",DataAreaId,"T.MarkupTrans","Sum|Posted|0","","","","","","","TransRecId|TransTableId|MarkupCode",$O580,"492","TPP")</f>
        <v>#NAME?</v>
      </c>
    </row>
    <row r="581" spans="1:16" x14ac:dyDescent="0.15">
      <c r="A581" s="4" t="s">
        <v>220</v>
      </c>
      <c r="B581" s="4" t="s">
        <v>417</v>
      </c>
      <c r="C581" s="4" t="s">
        <v>82</v>
      </c>
      <c r="D581" s="4" t="s">
        <v>355</v>
      </c>
      <c r="E581" s="4" t="s">
        <v>556</v>
      </c>
      <c r="F581" s="4" t="s">
        <v>224</v>
      </c>
      <c r="G581" s="4" t="s">
        <v>147</v>
      </c>
      <c r="H581" s="4" t="s">
        <v>148</v>
      </c>
      <c r="I581" s="9">
        <v>42794</v>
      </c>
      <c r="J581" s="11">
        <v>600</v>
      </c>
      <c r="K581" s="4" t="s">
        <v>62</v>
      </c>
      <c r="L581" s="11">
        <v>5.07</v>
      </c>
      <c r="M581" s="11">
        <v>3042</v>
      </c>
      <c r="N581" s="4" t="s">
        <v>8</v>
      </c>
      <c r="O581" s="5">
        <v>5637290916</v>
      </c>
      <c r="P581" s="11" t="e">
        <f ca="1">_xll.AtlasFormulas.AtlasFunctions.AtlasBalance("UAT",DataAreaId,"T.MarkupTrans","Sum|Posted|0","","","","","","","TransRecId|TransTableId|MarkupCode",$O581,"492","TPP")</f>
        <v>#NAME?</v>
      </c>
    </row>
    <row r="582" spans="1:16" x14ac:dyDescent="0.15">
      <c r="A582" s="4" t="s">
        <v>288</v>
      </c>
      <c r="B582" s="4" t="s">
        <v>308</v>
      </c>
      <c r="C582" s="4" t="s">
        <v>82</v>
      </c>
      <c r="D582" s="4" t="s">
        <v>494</v>
      </c>
      <c r="E582" s="4" t="s">
        <v>557</v>
      </c>
      <c r="F582" s="4" t="s">
        <v>311</v>
      </c>
      <c r="G582" s="4" t="s">
        <v>147</v>
      </c>
      <c r="H582" s="4" t="s">
        <v>148</v>
      </c>
      <c r="I582" s="9">
        <v>42794</v>
      </c>
      <c r="J582" s="11">
        <v>600</v>
      </c>
      <c r="K582" s="4" t="s">
        <v>62</v>
      </c>
      <c r="L582" s="11">
        <v>5.07</v>
      </c>
      <c r="M582" s="11">
        <v>3042</v>
      </c>
      <c r="N582" s="4" t="s">
        <v>8</v>
      </c>
      <c r="O582" s="5">
        <v>5637290968</v>
      </c>
      <c r="P582" s="11" t="e">
        <f ca="1">_xll.AtlasFormulas.AtlasFunctions.AtlasBalance("UAT",DataAreaId,"T.MarkupTrans","Sum|Posted|0","","","","","","","TransRecId|TransTableId|MarkupCode",$O582,"492","TPP")</f>
        <v>#NAME?</v>
      </c>
    </row>
    <row r="583" spans="1:16" x14ac:dyDescent="0.15">
      <c r="A583" s="4" t="s">
        <v>227</v>
      </c>
      <c r="B583" s="4" t="s">
        <v>228</v>
      </c>
      <c r="C583" s="4" t="s">
        <v>82</v>
      </c>
      <c r="D583" s="4" t="s">
        <v>286</v>
      </c>
      <c r="E583" s="4" t="s">
        <v>568</v>
      </c>
      <c r="F583" s="4" t="s">
        <v>231</v>
      </c>
      <c r="G583" s="4" t="s">
        <v>147</v>
      </c>
      <c r="H583" s="4" t="s">
        <v>148</v>
      </c>
      <c r="I583" s="9">
        <v>42817</v>
      </c>
      <c r="J583" s="11">
        <v>500</v>
      </c>
      <c r="K583" s="4" t="s">
        <v>62</v>
      </c>
      <c r="L583" s="11">
        <v>5.07</v>
      </c>
      <c r="M583" s="11">
        <v>2535</v>
      </c>
      <c r="N583" s="4" t="s">
        <v>8</v>
      </c>
      <c r="O583" s="5">
        <v>5637291191</v>
      </c>
      <c r="P583" s="11" t="e">
        <f ca="1">_xll.AtlasFormulas.AtlasFunctions.AtlasBalance("UAT",DataAreaId,"T.MarkupTrans","Sum|Posted|0","","","","","","","TransRecId|TransTableId|MarkupCode",$O583,"492","TPP")</f>
        <v>#NAME?</v>
      </c>
    </row>
    <row r="584" spans="1:16" x14ac:dyDescent="0.15">
      <c r="A584" s="4" t="s">
        <v>227</v>
      </c>
      <c r="B584" s="4" t="s">
        <v>228</v>
      </c>
      <c r="C584" s="4" t="s">
        <v>82</v>
      </c>
      <c r="D584" s="4" t="s">
        <v>566</v>
      </c>
      <c r="E584" s="4" t="s">
        <v>567</v>
      </c>
      <c r="F584" s="4" t="s">
        <v>231</v>
      </c>
      <c r="G584" s="4" t="s">
        <v>147</v>
      </c>
      <c r="H584" s="4" t="s">
        <v>148</v>
      </c>
      <c r="I584" s="9">
        <v>42817</v>
      </c>
      <c r="J584" s="11">
        <v>-500</v>
      </c>
      <c r="K584" s="4" t="s">
        <v>62</v>
      </c>
      <c r="L584" s="11">
        <v>5.0650600000000008</v>
      </c>
      <c r="M584" s="11">
        <v>-2532.5300000000002</v>
      </c>
      <c r="N584" s="4" t="s">
        <v>8</v>
      </c>
      <c r="O584" s="5">
        <v>5637291218</v>
      </c>
      <c r="P584" s="11" t="e">
        <f ca="1">_xll.AtlasFormulas.AtlasFunctions.AtlasBalance("UAT",DataAreaId,"T.MarkupTrans","Sum|Posted|0","","","","","","","TransRecId|TransTableId|MarkupCode",$O584,"492","TPP")</f>
        <v>#NAME?</v>
      </c>
    </row>
    <row r="585" spans="1:16" x14ac:dyDescent="0.15">
      <c r="A585" s="4" t="s">
        <v>20</v>
      </c>
      <c r="B585" s="4" t="s">
        <v>937</v>
      </c>
      <c r="C585" s="4" t="s">
        <v>938</v>
      </c>
      <c r="D585" s="4" t="s">
        <v>943</v>
      </c>
      <c r="E585" s="4" t="s">
        <v>944</v>
      </c>
      <c r="F585" s="4" t="s">
        <v>728</v>
      </c>
      <c r="G585" s="4" t="s">
        <v>147</v>
      </c>
      <c r="H585" s="4" t="s">
        <v>148</v>
      </c>
      <c r="I585" s="9">
        <v>42818</v>
      </c>
      <c r="J585" s="11">
        <v>750</v>
      </c>
      <c r="K585" s="4" t="s">
        <v>62</v>
      </c>
      <c r="L585" s="11">
        <v>5.07</v>
      </c>
      <c r="M585" s="11">
        <v>3802.5</v>
      </c>
      <c r="N585" s="4" t="s">
        <v>8</v>
      </c>
      <c r="O585" s="5">
        <v>5637291272</v>
      </c>
      <c r="P585" s="11" t="e">
        <f ca="1">_xll.AtlasFormulas.AtlasFunctions.AtlasBalance("UAT",DataAreaId,"T.MarkupTrans","Sum|Posted|0","","","","","","","TransRecId|TransTableId|MarkupCode",$O585,"492","TPP")</f>
        <v>#NAME?</v>
      </c>
    </row>
    <row r="586" spans="1:16" x14ac:dyDescent="0.15">
      <c r="A586" s="4" t="s">
        <v>110</v>
      </c>
      <c r="B586" s="4" t="s">
        <v>111</v>
      </c>
      <c r="C586" s="4" t="s">
        <v>82</v>
      </c>
      <c r="D586" s="4" t="s">
        <v>131</v>
      </c>
      <c r="E586" s="4" t="s">
        <v>132</v>
      </c>
      <c r="F586" s="4" t="s">
        <v>114</v>
      </c>
      <c r="G586" s="4" t="s">
        <v>147</v>
      </c>
      <c r="H586" s="4" t="s">
        <v>148</v>
      </c>
      <c r="I586" s="9">
        <v>42824</v>
      </c>
      <c r="J586" s="11">
        <v>750</v>
      </c>
      <c r="K586" s="4" t="s">
        <v>62</v>
      </c>
      <c r="L586" s="11">
        <v>5.07</v>
      </c>
      <c r="M586" s="11">
        <v>3802.5</v>
      </c>
      <c r="N586" s="4" t="s">
        <v>8</v>
      </c>
      <c r="O586" s="5">
        <v>5637291306</v>
      </c>
      <c r="P586" s="11" t="e">
        <f ca="1">_xll.AtlasFormulas.AtlasFunctions.AtlasBalance("UAT",DataAreaId,"T.MarkupTrans","Sum|Posted|0","","","","","","","TransRecId|TransTableId|MarkupCode",$O586,"492","TPP")</f>
        <v>#NAME?</v>
      </c>
    </row>
    <row r="587" spans="1:16" x14ac:dyDescent="0.15">
      <c r="A587" s="4" t="s">
        <v>20</v>
      </c>
      <c r="B587" s="4" t="s">
        <v>957</v>
      </c>
      <c r="C587" s="4" t="s">
        <v>938</v>
      </c>
      <c r="D587" s="4" t="s">
        <v>987</v>
      </c>
      <c r="E587" s="4" t="s">
        <v>988</v>
      </c>
      <c r="F587" s="4" t="s">
        <v>728</v>
      </c>
      <c r="G587" s="4" t="s">
        <v>147</v>
      </c>
      <c r="H587" s="4" t="s">
        <v>148</v>
      </c>
      <c r="I587" s="9">
        <v>42830</v>
      </c>
      <c r="J587" s="11">
        <v>2100</v>
      </c>
      <c r="K587" s="4" t="s">
        <v>62</v>
      </c>
      <c r="L587" s="11">
        <v>5.07</v>
      </c>
      <c r="M587" s="11">
        <v>10647</v>
      </c>
      <c r="N587" s="4" t="s">
        <v>8</v>
      </c>
      <c r="O587" s="5">
        <v>5637291386</v>
      </c>
      <c r="P587" s="11" t="e">
        <f ca="1">_xll.AtlasFormulas.AtlasFunctions.AtlasBalance("UAT",DataAreaId,"T.MarkupTrans","Sum|Posted|0","","","","","","","TransRecId|TransTableId|MarkupCode",$O587,"492","TPP")</f>
        <v>#NAME?</v>
      </c>
    </row>
    <row r="588" spans="1:16" x14ac:dyDescent="0.15">
      <c r="A588" s="4" t="s">
        <v>20</v>
      </c>
      <c r="B588" s="4" t="s">
        <v>957</v>
      </c>
      <c r="C588" s="4" t="s">
        <v>938</v>
      </c>
      <c r="D588" s="4" t="s">
        <v>999</v>
      </c>
      <c r="E588" s="4" t="s">
        <v>1000</v>
      </c>
      <c r="F588" s="4" t="s">
        <v>728</v>
      </c>
      <c r="G588" s="4" t="s">
        <v>147</v>
      </c>
      <c r="H588" s="4" t="s">
        <v>148</v>
      </c>
      <c r="I588" s="9">
        <v>42851</v>
      </c>
      <c r="J588" s="11">
        <v>2300</v>
      </c>
      <c r="K588" s="4" t="s">
        <v>62</v>
      </c>
      <c r="L588" s="11">
        <v>5.07</v>
      </c>
      <c r="M588" s="11">
        <v>11661</v>
      </c>
      <c r="N588" s="4" t="s">
        <v>8</v>
      </c>
      <c r="O588" s="5">
        <v>5637291756</v>
      </c>
      <c r="P588" s="11" t="e">
        <f ca="1">_xll.AtlasFormulas.AtlasFunctions.AtlasBalance("UAT",DataAreaId,"T.MarkupTrans","Sum|Posted|0","","","","","","","TransRecId|TransTableId|MarkupCode",$O588,"492","TPP")</f>
        <v>#NAME?</v>
      </c>
    </row>
    <row r="589" spans="1:16" x14ac:dyDescent="0.15">
      <c r="A589" s="4" t="s">
        <v>20</v>
      </c>
      <c r="B589" s="4" t="s">
        <v>957</v>
      </c>
      <c r="C589" s="4" t="s">
        <v>938</v>
      </c>
      <c r="D589" s="4" t="s">
        <v>999</v>
      </c>
      <c r="E589" s="4" t="s">
        <v>1000</v>
      </c>
      <c r="F589" s="4" t="s">
        <v>728</v>
      </c>
      <c r="G589" s="4" t="s">
        <v>147</v>
      </c>
      <c r="H589" s="4" t="s">
        <v>148</v>
      </c>
      <c r="I589" s="9">
        <v>42851</v>
      </c>
      <c r="J589" s="11">
        <v>2700</v>
      </c>
      <c r="K589" s="4" t="s">
        <v>62</v>
      </c>
      <c r="L589" s="11">
        <v>5.07</v>
      </c>
      <c r="M589" s="11">
        <v>13689</v>
      </c>
      <c r="N589" s="4" t="s">
        <v>8</v>
      </c>
      <c r="O589" s="5">
        <v>5637291757</v>
      </c>
      <c r="P589" s="11" t="e">
        <f ca="1">_xll.AtlasFormulas.AtlasFunctions.AtlasBalance("UAT",DataAreaId,"T.MarkupTrans","Sum|Posted|0","","","","","","","TransRecId|TransTableId|MarkupCode",$O589,"492","TPP")</f>
        <v>#NAME?</v>
      </c>
    </row>
    <row r="590" spans="1:16" x14ac:dyDescent="0.15">
      <c r="A590" s="4" t="s">
        <v>20</v>
      </c>
      <c r="B590" s="4" t="s">
        <v>937</v>
      </c>
      <c r="C590" s="4" t="s">
        <v>938</v>
      </c>
      <c r="D590" s="4" t="s">
        <v>949</v>
      </c>
      <c r="E590" s="4" t="s">
        <v>950</v>
      </c>
      <c r="F590" s="4" t="s">
        <v>728</v>
      </c>
      <c r="G590" s="4" t="s">
        <v>147</v>
      </c>
      <c r="H590" s="4" t="s">
        <v>148</v>
      </c>
      <c r="I590" s="9">
        <v>42860</v>
      </c>
      <c r="J590" s="11">
        <v>500</v>
      </c>
      <c r="K590" s="4" t="s">
        <v>62</v>
      </c>
      <c r="L590" s="11">
        <v>5.07</v>
      </c>
      <c r="M590" s="11">
        <v>2535</v>
      </c>
      <c r="N590" s="4" t="s">
        <v>8</v>
      </c>
      <c r="O590" s="5">
        <v>5637291824</v>
      </c>
      <c r="P590" s="11" t="e">
        <f ca="1">_xll.AtlasFormulas.AtlasFunctions.AtlasBalance("UAT",DataAreaId,"T.MarkupTrans","Sum|Posted|0","","","","","","","TransRecId|TransTableId|MarkupCode",$O590,"492","TPP")</f>
        <v>#NAME?</v>
      </c>
    </row>
    <row r="591" spans="1:16" x14ac:dyDescent="0.15">
      <c r="A591" s="4" t="s">
        <v>227</v>
      </c>
      <c r="B591" s="4" t="s">
        <v>228</v>
      </c>
      <c r="C591" s="4" t="s">
        <v>82</v>
      </c>
      <c r="D591" s="4" t="s">
        <v>547</v>
      </c>
      <c r="E591" s="4" t="s">
        <v>548</v>
      </c>
      <c r="F591" s="4" t="s">
        <v>231</v>
      </c>
      <c r="G591" s="4" t="s">
        <v>147</v>
      </c>
      <c r="H591" s="4" t="s">
        <v>148</v>
      </c>
      <c r="I591" s="9">
        <v>42860</v>
      </c>
      <c r="J591" s="11">
        <v>500</v>
      </c>
      <c r="K591" s="4" t="s">
        <v>62</v>
      </c>
      <c r="L591" s="11">
        <v>5.07</v>
      </c>
      <c r="M591" s="11">
        <v>2535</v>
      </c>
      <c r="N591" s="4" t="s">
        <v>8</v>
      </c>
      <c r="O591" s="5">
        <v>5637291935</v>
      </c>
      <c r="P591" s="11" t="e">
        <f ca="1">_xll.AtlasFormulas.AtlasFunctions.AtlasBalance("UAT",DataAreaId,"T.MarkupTrans","Sum|Posted|0","","","","","","","TransRecId|TransTableId|MarkupCode",$O591,"492","TPP")</f>
        <v>#NAME?</v>
      </c>
    </row>
    <row r="592" spans="1:16" x14ac:dyDescent="0.15">
      <c r="A592" s="4" t="s">
        <v>20</v>
      </c>
      <c r="B592" s="4" t="s">
        <v>937</v>
      </c>
      <c r="C592" s="4" t="s">
        <v>938</v>
      </c>
      <c r="D592" s="4" t="s">
        <v>968</v>
      </c>
      <c r="E592" s="4" t="s">
        <v>969</v>
      </c>
      <c r="F592" s="4" t="s">
        <v>728</v>
      </c>
      <c r="G592" s="4" t="s">
        <v>147</v>
      </c>
      <c r="H592" s="4" t="s">
        <v>148</v>
      </c>
      <c r="I592" s="9">
        <v>42866</v>
      </c>
      <c r="J592" s="11">
        <v>600</v>
      </c>
      <c r="K592" s="4" t="s">
        <v>62</v>
      </c>
      <c r="L592" s="11">
        <v>5.07</v>
      </c>
      <c r="M592" s="11">
        <v>3042</v>
      </c>
      <c r="N592" s="4" t="s">
        <v>8</v>
      </c>
      <c r="O592" s="5">
        <v>5637291864</v>
      </c>
      <c r="P592" s="11" t="e">
        <f ca="1">_xll.AtlasFormulas.AtlasFunctions.AtlasBalance("UAT",DataAreaId,"T.MarkupTrans","Sum|Posted|0","","","","","","","TransRecId|TransTableId|MarkupCode",$O592,"492","TPP")</f>
        <v>#NAME?</v>
      </c>
    </row>
    <row r="593" spans="1:16" x14ac:dyDescent="0.15">
      <c r="A593" s="4" t="s">
        <v>179</v>
      </c>
      <c r="B593" s="4" t="s">
        <v>244</v>
      </c>
      <c r="C593" s="4" t="s">
        <v>82</v>
      </c>
      <c r="D593" s="4" t="s">
        <v>552</v>
      </c>
      <c r="E593" s="4" t="s">
        <v>553</v>
      </c>
      <c r="F593" s="4" t="s">
        <v>183</v>
      </c>
      <c r="G593" s="4" t="s">
        <v>147</v>
      </c>
      <c r="H593" s="4" t="s">
        <v>148</v>
      </c>
      <c r="I593" s="9">
        <v>42866</v>
      </c>
      <c r="J593" s="11">
        <v>600</v>
      </c>
      <c r="K593" s="4" t="s">
        <v>62</v>
      </c>
      <c r="L593" s="11">
        <v>5.07</v>
      </c>
      <c r="M593" s="11">
        <v>3042</v>
      </c>
      <c r="N593" s="4" t="s">
        <v>8</v>
      </c>
      <c r="O593" s="5">
        <v>5637292177</v>
      </c>
      <c r="P593" s="11" t="e">
        <f ca="1">_xll.AtlasFormulas.AtlasFunctions.AtlasBalance("UAT",DataAreaId,"T.MarkupTrans","Sum|Posted|0","","","","","","","TransRecId|TransTableId|MarkupCode",$O593,"492","TPP")</f>
        <v>#NAME?</v>
      </c>
    </row>
    <row r="594" spans="1:16" x14ac:dyDescent="0.15">
      <c r="A594" s="4" t="s">
        <v>20</v>
      </c>
      <c r="B594" s="4" t="s">
        <v>937</v>
      </c>
      <c r="C594" s="4" t="s">
        <v>938</v>
      </c>
      <c r="D594" s="4" t="s">
        <v>972</v>
      </c>
      <c r="E594" s="4" t="s">
        <v>973</v>
      </c>
      <c r="F594" s="4" t="s">
        <v>728</v>
      </c>
      <c r="G594" s="4" t="s">
        <v>147</v>
      </c>
      <c r="H594" s="4" t="s">
        <v>148</v>
      </c>
      <c r="I594" s="9">
        <v>42941</v>
      </c>
      <c r="J594" s="11">
        <v>300</v>
      </c>
      <c r="K594" s="4" t="s">
        <v>62</v>
      </c>
      <c r="L594" s="11">
        <v>5.0650600000000008</v>
      </c>
      <c r="M594" s="11">
        <v>1519.52</v>
      </c>
      <c r="N594" s="4" t="s">
        <v>8</v>
      </c>
      <c r="O594" s="5">
        <v>5637293521</v>
      </c>
      <c r="P594" s="11" t="e">
        <f ca="1">_xll.AtlasFormulas.AtlasFunctions.AtlasBalance("UAT",DataAreaId,"T.MarkupTrans","Sum|Posted|0","","","","","","","TransRecId|TransTableId|MarkupCode",$O594,"492","TPP")</f>
        <v>#NAME?</v>
      </c>
    </row>
    <row r="595" spans="1:16" x14ac:dyDescent="0.15">
      <c r="A595" s="4" t="s">
        <v>110</v>
      </c>
      <c r="B595" s="4" t="s">
        <v>111</v>
      </c>
      <c r="C595" s="4" t="s">
        <v>82</v>
      </c>
      <c r="D595" s="4" t="s">
        <v>139</v>
      </c>
      <c r="E595" s="4" t="s">
        <v>140</v>
      </c>
      <c r="F595" s="4" t="s">
        <v>114</v>
      </c>
      <c r="G595" s="4" t="s">
        <v>147</v>
      </c>
      <c r="H595" s="4" t="s">
        <v>148</v>
      </c>
      <c r="I595" s="9">
        <v>42947</v>
      </c>
      <c r="J595" s="11">
        <v>300</v>
      </c>
      <c r="K595" s="4" t="s">
        <v>62</v>
      </c>
      <c r="L595" s="11">
        <v>5.0650600000000008</v>
      </c>
      <c r="M595" s="11">
        <v>1519.52</v>
      </c>
      <c r="N595" s="4" t="s">
        <v>8</v>
      </c>
      <c r="O595" s="5">
        <v>5637294162</v>
      </c>
      <c r="P595" s="11" t="e">
        <f ca="1">_xll.AtlasFormulas.AtlasFunctions.AtlasBalance("UAT",DataAreaId,"T.MarkupTrans","Sum|Posted|0","","","","","","","TransRecId|TransTableId|MarkupCode",$O595,"492","TPP")</f>
        <v>#NAME?</v>
      </c>
    </row>
    <row r="596" spans="1:16" x14ac:dyDescent="0.15">
      <c r="A596" s="4" t="s">
        <v>20</v>
      </c>
      <c r="B596" s="4" t="s">
        <v>937</v>
      </c>
      <c r="C596" s="4" t="s">
        <v>938</v>
      </c>
      <c r="D596" s="4" t="s">
        <v>985</v>
      </c>
      <c r="E596" s="4" t="s">
        <v>986</v>
      </c>
      <c r="F596" s="4" t="s">
        <v>728</v>
      </c>
      <c r="G596" s="4" t="s">
        <v>578</v>
      </c>
      <c r="H596" s="4" t="s">
        <v>579</v>
      </c>
      <c r="I596" s="9">
        <v>42786</v>
      </c>
      <c r="J596" s="11">
        <v>500</v>
      </c>
      <c r="K596" s="4" t="s">
        <v>62</v>
      </c>
      <c r="L596" s="11">
        <v>5.1509599999999995</v>
      </c>
      <c r="M596" s="11">
        <v>2575.48</v>
      </c>
      <c r="N596" s="4" t="s">
        <v>8</v>
      </c>
      <c r="O596" s="5">
        <v>5637289904</v>
      </c>
      <c r="P596" s="11" t="e">
        <f ca="1">_xll.AtlasFormulas.AtlasFunctions.AtlasBalance("UAT",DataAreaId,"T.MarkupTrans","Sum|Posted|0","","","","","","","TransRecId|TransTableId|MarkupCode",$O596,"492","TPP")</f>
        <v>#NAME?</v>
      </c>
    </row>
    <row r="597" spans="1:16" x14ac:dyDescent="0.15">
      <c r="A597" s="4" t="s">
        <v>227</v>
      </c>
      <c r="B597" s="4" t="s">
        <v>228</v>
      </c>
      <c r="C597" s="4" t="s">
        <v>82</v>
      </c>
      <c r="D597" s="4" t="s">
        <v>564</v>
      </c>
      <c r="E597" s="4" t="s">
        <v>565</v>
      </c>
      <c r="F597" s="4" t="s">
        <v>231</v>
      </c>
      <c r="G597" s="4" t="s">
        <v>578</v>
      </c>
      <c r="H597" s="4" t="s">
        <v>579</v>
      </c>
      <c r="I597" s="9">
        <v>42787</v>
      </c>
      <c r="J597" s="11">
        <v>500</v>
      </c>
      <c r="K597" s="4" t="s">
        <v>62</v>
      </c>
      <c r="L597" s="11">
        <v>5.1509599999999995</v>
      </c>
      <c r="M597" s="11">
        <v>2575.48</v>
      </c>
      <c r="N597" s="4" t="s">
        <v>8</v>
      </c>
      <c r="O597" s="5">
        <v>5637290926</v>
      </c>
      <c r="P597" s="11" t="e">
        <f ca="1">_xll.AtlasFormulas.AtlasFunctions.AtlasBalance("UAT",DataAreaId,"T.MarkupTrans","Sum|Posted|0","","","","","","","TransRecId|TransTableId|MarkupCode",$O597,"492","TPP")</f>
        <v>#NAME?</v>
      </c>
    </row>
    <row r="598" spans="1:16" x14ac:dyDescent="0.15">
      <c r="A598" s="4" t="s">
        <v>227</v>
      </c>
      <c r="B598" s="4" t="s">
        <v>228</v>
      </c>
      <c r="C598" s="4" t="s">
        <v>82</v>
      </c>
      <c r="D598" s="4" t="s">
        <v>286</v>
      </c>
      <c r="E598" s="4" t="s">
        <v>568</v>
      </c>
      <c r="F598" s="4" t="s">
        <v>231</v>
      </c>
      <c r="G598" s="4" t="s">
        <v>578</v>
      </c>
      <c r="H598" s="4" t="s">
        <v>579</v>
      </c>
      <c r="I598" s="9">
        <v>42817</v>
      </c>
      <c r="J598" s="11">
        <v>500</v>
      </c>
      <c r="K598" s="4" t="s">
        <v>62</v>
      </c>
      <c r="L598" s="11">
        <v>5.15</v>
      </c>
      <c r="M598" s="11">
        <v>2575</v>
      </c>
      <c r="N598" s="4" t="s">
        <v>8</v>
      </c>
      <c r="O598" s="5">
        <v>5637291190</v>
      </c>
      <c r="P598" s="11" t="e">
        <f ca="1">_xll.AtlasFormulas.AtlasFunctions.AtlasBalance("UAT",DataAreaId,"T.MarkupTrans","Sum|Posted|0","","","","","","","TransRecId|TransTableId|MarkupCode",$O598,"492","TPP")</f>
        <v>#NAME?</v>
      </c>
    </row>
    <row r="599" spans="1:16" x14ac:dyDescent="0.15">
      <c r="A599" s="4" t="s">
        <v>227</v>
      </c>
      <c r="B599" s="4" t="s">
        <v>228</v>
      </c>
      <c r="C599" s="4" t="s">
        <v>82</v>
      </c>
      <c r="D599" s="4" t="s">
        <v>566</v>
      </c>
      <c r="E599" s="4" t="s">
        <v>567</v>
      </c>
      <c r="F599" s="4" t="s">
        <v>231</v>
      </c>
      <c r="G599" s="4" t="s">
        <v>578</v>
      </c>
      <c r="H599" s="4" t="s">
        <v>579</v>
      </c>
      <c r="I599" s="9">
        <v>42817</v>
      </c>
      <c r="J599" s="11">
        <v>-500</v>
      </c>
      <c r="K599" s="4" t="s">
        <v>62</v>
      </c>
      <c r="L599" s="11">
        <v>5.1509599999999995</v>
      </c>
      <c r="M599" s="11">
        <v>-2575.48</v>
      </c>
      <c r="N599" s="4" t="s">
        <v>8</v>
      </c>
      <c r="O599" s="5">
        <v>5637291217</v>
      </c>
      <c r="P599" s="11" t="e">
        <f ca="1">_xll.AtlasFormulas.AtlasFunctions.AtlasBalance("UAT",DataAreaId,"T.MarkupTrans","Sum|Posted|0","","","","","","","TransRecId|TransTableId|MarkupCode",$O599,"492","TPP")</f>
        <v>#NAME?</v>
      </c>
    </row>
    <row r="600" spans="1:16" x14ac:dyDescent="0.15">
      <c r="A600" s="4" t="s">
        <v>20</v>
      </c>
      <c r="B600" s="4" t="s">
        <v>937</v>
      </c>
      <c r="C600" s="4" t="s">
        <v>938</v>
      </c>
      <c r="D600" s="4" t="s">
        <v>983</v>
      </c>
      <c r="E600" s="4" t="s">
        <v>984</v>
      </c>
      <c r="F600" s="4" t="s">
        <v>728</v>
      </c>
      <c r="G600" s="4" t="s">
        <v>578</v>
      </c>
      <c r="H600" s="4" t="s">
        <v>579</v>
      </c>
      <c r="I600" s="9">
        <v>42914</v>
      </c>
      <c r="J600" s="11">
        <v>2000</v>
      </c>
      <c r="K600" s="4" t="s">
        <v>62</v>
      </c>
      <c r="L600" s="11">
        <v>5.1509599999999995</v>
      </c>
      <c r="M600" s="11">
        <v>10301.92</v>
      </c>
      <c r="N600" s="4" t="s">
        <v>8</v>
      </c>
      <c r="O600" s="5">
        <v>5637292953</v>
      </c>
      <c r="P600" s="11" t="e">
        <f ca="1">_xll.AtlasFormulas.AtlasFunctions.AtlasBalance("UAT",DataAreaId,"T.MarkupTrans","Sum|Posted|0","","","","","","","TransRecId|TransTableId|MarkupCode",$O600,"492","TPP")</f>
        <v>#NAME?</v>
      </c>
    </row>
    <row r="601" spans="1:16" x14ac:dyDescent="0.15">
      <c r="A601" s="4" t="s">
        <v>227</v>
      </c>
      <c r="B601" s="4" t="s">
        <v>228</v>
      </c>
      <c r="C601" s="4" t="s">
        <v>82</v>
      </c>
      <c r="D601" s="4" t="s">
        <v>552</v>
      </c>
      <c r="E601" s="4" t="s">
        <v>559</v>
      </c>
      <c r="F601" s="4" t="s">
        <v>231</v>
      </c>
      <c r="G601" s="4" t="s">
        <v>578</v>
      </c>
      <c r="H601" s="4" t="s">
        <v>579</v>
      </c>
      <c r="I601" s="9">
        <v>42915</v>
      </c>
      <c r="J601" s="11">
        <v>-2000</v>
      </c>
      <c r="K601" s="4" t="s">
        <v>62</v>
      </c>
      <c r="L601" s="11">
        <v>5.1509599999999995</v>
      </c>
      <c r="M601" s="11">
        <v>-10301.92</v>
      </c>
      <c r="N601" s="4" t="s">
        <v>8</v>
      </c>
      <c r="O601" s="5">
        <v>5637293024</v>
      </c>
      <c r="P601" s="11" t="e">
        <f ca="1">_xll.AtlasFormulas.AtlasFunctions.AtlasBalance("UAT",DataAreaId,"T.MarkupTrans","Sum|Posted|0","","","","","","","TransRecId|TransTableId|MarkupCode",$O601,"492","TPP")</f>
        <v>#NAME?</v>
      </c>
    </row>
    <row r="602" spans="1:16" x14ac:dyDescent="0.15">
      <c r="A602" s="4" t="s">
        <v>227</v>
      </c>
      <c r="B602" s="4" t="s">
        <v>228</v>
      </c>
      <c r="C602" s="4" t="s">
        <v>82</v>
      </c>
      <c r="D602" s="4" t="s">
        <v>479</v>
      </c>
      <c r="E602" s="4" t="s">
        <v>558</v>
      </c>
      <c r="F602" s="4" t="s">
        <v>231</v>
      </c>
      <c r="G602" s="4" t="s">
        <v>578</v>
      </c>
      <c r="H602" s="4" t="s">
        <v>579</v>
      </c>
      <c r="I602" s="9">
        <v>42915</v>
      </c>
      <c r="J602" s="11">
        <v>2000</v>
      </c>
      <c r="K602" s="4" t="s">
        <v>62</v>
      </c>
      <c r="L602" s="11">
        <v>5.1509599999999995</v>
      </c>
      <c r="M602" s="11">
        <v>10301.92</v>
      </c>
      <c r="N602" s="4" t="s">
        <v>8</v>
      </c>
      <c r="O602" s="5">
        <v>5637293018</v>
      </c>
      <c r="P602" s="11" t="e">
        <f ca="1">_xll.AtlasFormulas.AtlasFunctions.AtlasBalance("UAT",DataAreaId,"T.MarkupTrans","Sum|Posted|0","","","","","","","TransRecId|TransTableId|MarkupCode",$O602,"492","TPP")</f>
        <v>#NAME?</v>
      </c>
    </row>
    <row r="603" spans="1:16" x14ac:dyDescent="0.15">
      <c r="A603" s="4" t="s">
        <v>227</v>
      </c>
      <c r="B603" s="4" t="s">
        <v>228</v>
      </c>
      <c r="C603" s="4" t="s">
        <v>82</v>
      </c>
      <c r="D603" s="4" t="s">
        <v>560</v>
      </c>
      <c r="E603" s="4" t="s">
        <v>561</v>
      </c>
      <c r="F603" s="4" t="s">
        <v>231</v>
      </c>
      <c r="G603" s="4" t="s">
        <v>578</v>
      </c>
      <c r="H603" s="4" t="s">
        <v>579</v>
      </c>
      <c r="I603" s="9">
        <v>42926</v>
      </c>
      <c r="J603" s="11">
        <v>2000</v>
      </c>
      <c r="K603" s="4" t="s">
        <v>62</v>
      </c>
      <c r="L603" s="11">
        <v>5.1509599999999995</v>
      </c>
      <c r="M603" s="11">
        <v>10301.92</v>
      </c>
      <c r="N603" s="4" t="s">
        <v>8</v>
      </c>
      <c r="O603" s="5">
        <v>5637293403</v>
      </c>
      <c r="P603" s="11" t="e">
        <f ca="1">_xll.AtlasFormulas.AtlasFunctions.AtlasBalance("UAT",DataAreaId,"T.MarkupTrans","Sum|Posted|0","","","","","","","TransRecId|TransTableId|MarkupCode",$O603,"492","TPP")</f>
        <v>#NAME?</v>
      </c>
    </row>
    <row r="604" spans="1:16" x14ac:dyDescent="0.15">
      <c r="A604" s="4" t="s">
        <v>20</v>
      </c>
      <c r="B604" s="4" t="s">
        <v>957</v>
      </c>
      <c r="C604" s="4" t="s">
        <v>938</v>
      </c>
      <c r="D604" s="4" t="s">
        <v>958</v>
      </c>
      <c r="E604" s="4" t="s">
        <v>959</v>
      </c>
      <c r="F604" s="4" t="s">
        <v>728</v>
      </c>
      <c r="G604" s="4" t="s">
        <v>149</v>
      </c>
      <c r="H604" s="4" t="s">
        <v>150</v>
      </c>
      <c r="I604" s="9">
        <v>42747</v>
      </c>
      <c r="J604" s="11">
        <v>800</v>
      </c>
      <c r="K604" s="4" t="s">
        <v>62</v>
      </c>
      <c r="L604" s="11">
        <v>5.63</v>
      </c>
      <c r="M604" s="11">
        <v>4504</v>
      </c>
      <c r="N604" s="4" t="s">
        <v>8</v>
      </c>
      <c r="O604" s="5">
        <v>5637289655</v>
      </c>
      <c r="P604" s="11" t="e">
        <f ca="1">_xll.AtlasFormulas.AtlasFunctions.AtlasBalance("UAT",DataAreaId,"T.MarkupTrans","Sum|Posted|0","","","","","","","TransRecId|TransTableId|MarkupCode",$O604,"492","TPP")</f>
        <v>#NAME?</v>
      </c>
    </row>
    <row r="605" spans="1:16" x14ac:dyDescent="0.15">
      <c r="A605" s="4" t="s">
        <v>20</v>
      </c>
      <c r="B605" s="4" t="s">
        <v>957</v>
      </c>
      <c r="C605" s="4" t="s">
        <v>938</v>
      </c>
      <c r="D605" s="4" t="s">
        <v>962</v>
      </c>
      <c r="E605" s="4" t="s">
        <v>982</v>
      </c>
      <c r="F605" s="4" t="s">
        <v>728</v>
      </c>
      <c r="G605" s="4" t="s">
        <v>149</v>
      </c>
      <c r="H605" s="4" t="s">
        <v>150</v>
      </c>
      <c r="I605" s="9">
        <v>42769</v>
      </c>
      <c r="J605" s="11">
        <v>1000</v>
      </c>
      <c r="K605" s="4" t="s">
        <v>62</v>
      </c>
      <c r="L605" s="11">
        <v>5.6287200000000004</v>
      </c>
      <c r="M605" s="11">
        <v>5628.72</v>
      </c>
      <c r="N605" s="4" t="s">
        <v>8</v>
      </c>
      <c r="O605" s="5">
        <v>5637289924</v>
      </c>
      <c r="P605" s="11" t="e">
        <f ca="1">_xll.AtlasFormulas.AtlasFunctions.AtlasBalance("UAT",DataAreaId,"T.MarkupTrans","Sum|Posted|0","","","","","","","TransRecId|TransTableId|MarkupCode",$O605,"492","TPP")</f>
        <v>#NAME?</v>
      </c>
    </row>
    <row r="606" spans="1:16" x14ac:dyDescent="0.15">
      <c r="A606" s="4" t="s">
        <v>20</v>
      </c>
      <c r="B606" s="4" t="s">
        <v>945</v>
      </c>
      <c r="C606" s="4" t="s">
        <v>946</v>
      </c>
      <c r="D606" s="4" t="s">
        <v>978</v>
      </c>
      <c r="E606" s="4" t="s">
        <v>979</v>
      </c>
      <c r="F606" s="4" t="s">
        <v>728</v>
      </c>
      <c r="G606" s="4" t="s">
        <v>149</v>
      </c>
      <c r="H606" s="4" t="s">
        <v>150</v>
      </c>
      <c r="I606" s="9">
        <v>42790</v>
      </c>
      <c r="J606" s="11">
        <v>600</v>
      </c>
      <c r="K606" s="4" t="s">
        <v>62</v>
      </c>
      <c r="L606" s="11">
        <v>5.63</v>
      </c>
      <c r="M606" s="11">
        <v>3378</v>
      </c>
      <c r="N606" s="4" t="s">
        <v>8</v>
      </c>
      <c r="O606" s="5">
        <v>5637290907</v>
      </c>
      <c r="P606" s="11" t="e">
        <f ca="1">_xll.AtlasFormulas.AtlasFunctions.AtlasBalance("UAT",DataAreaId,"T.MarkupTrans","Sum|Posted|0","","","","","","","TransRecId|TransTableId|MarkupCode",$O606,"492","TPP")</f>
        <v>#NAME?</v>
      </c>
    </row>
    <row r="607" spans="1:16" x14ac:dyDescent="0.15">
      <c r="A607" s="4" t="s">
        <v>20</v>
      </c>
      <c r="B607" s="4" t="s">
        <v>937</v>
      </c>
      <c r="C607" s="4" t="s">
        <v>938</v>
      </c>
      <c r="D607" s="4" t="s">
        <v>993</v>
      </c>
      <c r="E607" s="4" t="s">
        <v>994</v>
      </c>
      <c r="F607" s="4" t="s">
        <v>728</v>
      </c>
      <c r="G607" s="4" t="s">
        <v>149</v>
      </c>
      <c r="H607" s="4" t="s">
        <v>150</v>
      </c>
      <c r="I607" s="9">
        <v>42790</v>
      </c>
      <c r="J607" s="11">
        <v>1000</v>
      </c>
      <c r="K607" s="4" t="s">
        <v>62</v>
      </c>
      <c r="L607" s="11">
        <v>5.63</v>
      </c>
      <c r="M607" s="11">
        <v>5630</v>
      </c>
      <c r="N607" s="4" t="s">
        <v>8</v>
      </c>
      <c r="O607" s="5">
        <v>5637290913</v>
      </c>
      <c r="P607" s="11" t="e">
        <f ca="1">_xll.AtlasFormulas.AtlasFunctions.AtlasBalance("UAT",DataAreaId,"T.MarkupTrans","Sum|Posted|0","","","","","","","TransRecId|TransTableId|MarkupCode",$O607,"492","TPP")</f>
        <v>#NAME?</v>
      </c>
    </row>
    <row r="608" spans="1:16" x14ac:dyDescent="0.15">
      <c r="A608" s="4" t="s">
        <v>220</v>
      </c>
      <c r="B608" s="4" t="s">
        <v>417</v>
      </c>
      <c r="C608" s="4" t="s">
        <v>82</v>
      </c>
      <c r="D608" s="4" t="s">
        <v>355</v>
      </c>
      <c r="E608" s="4" t="s">
        <v>556</v>
      </c>
      <c r="F608" s="4" t="s">
        <v>224</v>
      </c>
      <c r="G608" s="4" t="s">
        <v>149</v>
      </c>
      <c r="H608" s="4" t="s">
        <v>150</v>
      </c>
      <c r="I608" s="9">
        <v>42794</v>
      </c>
      <c r="J608" s="11">
        <v>600</v>
      </c>
      <c r="K608" s="4" t="s">
        <v>62</v>
      </c>
      <c r="L608" s="11">
        <v>5.63</v>
      </c>
      <c r="M608" s="11">
        <v>3378</v>
      </c>
      <c r="N608" s="4" t="s">
        <v>8</v>
      </c>
      <c r="O608" s="5">
        <v>5637290917</v>
      </c>
      <c r="P608" s="11" t="e">
        <f ca="1">_xll.AtlasFormulas.AtlasFunctions.AtlasBalance("UAT",DataAreaId,"T.MarkupTrans","Sum|Posted|0","","","","","","","TransRecId|TransTableId|MarkupCode",$O608,"492","TPP")</f>
        <v>#NAME?</v>
      </c>
    </row>
    <row r="609" spans="1:16" x14ac:dyDescent="0.15">
      <c r="A609" s="4" t="s">
        <v>20</v>
      </c>
      <c r="B609" s="4" t="s">
        <v>957</v>
      </c>
      <c r="C609" s="4" t="s">
        <v>938</v>
      </c>
      <c r="D609" s="4" t="s">
        <v>962</v>
      </c>
      <c r="E609" s="4" t="s">
        <v>963</v>
      </c>
      <c r="F609" s="4" t="s">
        <v>728</v>
      </c>
      <c r="G609" s="4" t="s">
        <v>149</v>
      </c>
      <c r="H609" s="4" t="s">
        <v>150</v>
      </c>
      <c r="I609" s="9">
        <v>42795</v>
      </c>
      <c r="J609" s="11">
        <v>1000</v>
      </c>
      <c r="K609" s="4" t="s">
        <v>62</v>
      </c>
      <c r="L609" s="11">
        <v>5.6287200000000004</v>
      </c>
      <c r="M609" s="11">
        <v>5628.72</v>
      </c>
      <c r="N609" s="4" t="s">
        <v>8</v>
      </c>
      <c r="O609" s="5">
        <v>5637290985</v>
      </c>
      <c r="P609" s="11" t="e">
        <f ca="1">_xll.AtlasFormulas.AtlasFunctions.AtlasBalance("UAT",DataAreaId,"T.MarkupTrans","Sum|Posted|0","","","","","","","TransRecId|TransTableId|MarkupCode",$O609,"492","TPP")</f>
        <v>#NAME?</v>
      </c>
    </row>
    <row r="610" spans="1:16" x14ac:dyDescent="0.15">
      <c r="A610" s="4" t="s">
        <v>227</v>
      </c>
      <c r="B610" s="4" t="s">
        <v>228</v>
      </c>
      <c r="C610" s="4" t="s">
        <v>82</v>
      </c>
      <c r="D610" s="4" t="s">
        <v>573</v>
      </c>
      <c r="E610" s="4" t="s">
        <v>574</v>
      </c>
      <c r="F610" s="4" t="s">
        <v>231</v>
      </c>
      <c r="G610" s="4" t="s">
        <v>149</v>
      </c>
      <c r="H610" s="4" t="s">
        <v>150</v>
      </c>
      <c r="I610" s="9">
        <v>42795</v>
      </c>
      <c r="J610" s="11">
        <v>1000</v>
      </c>
      <c r="K610" s="4" t="s">
        <v>62</v>
      </c>
      <c r="L610" s="11">
        <v>5.63</v>
      </c>
      <c r="M610" s="11">
        <v>5630</v>
      </c>
      <c r="N610" s="4" t="s">
        <v>8</v>
      </c>
      <c r="O610" s="5">
        <v>5637291030</v>
      </c>
      <c r="P610" s="11" t="e">
        <f ca="1">_xll.AtlasFormulas.AtlasFunctions.AtlasBalance("UAT",DataAreaId,"T.MarkupTrans","Sum|Posted|0","","","","","","","TransRecId|TransTableId|MarkupCode",$O610,"492","TPP")</f>
        <v>#NAME?</v>
      </c>
    </row>
    <row r="611" spans="1:16" x14ac:dyDescent="0.15">
      <c r="A611" s="4" t="s">
        <v>227</v>
      </c>
      <c r="B611" s="4" t="s">
        <v>228</v>
      </c>
      <c r="C611" s="4" t="s">
        <v>82</v>
      </c>
      <c r="D611" s="4" t="s">
        <v>112</v>
      </c>
      <c r="E611" s="4" t="s">
        <v>576</v>
      </c>
      <c r="F611" s="4" t="s">
        <v>231</v>
      </c>
      <c r="G611" s="4" t="s">
        <v>149</v>
      </c>
      <c r="H611" s="4" t="s">
        <v>150</v>
      </c>
      <c r="I611" s="9">
        <v>42817</v>
      </c>
      <c r="J611" s="11">
        <v>-1000</v>
      </c>
      <c r="K611" s="4" t="s">
        <v>62</v>
      </c>
      <c r="L611" s="11">
        <v>5.63</v>
      </c>
      <c r="M611" s="11">
        <v>-5630</v>
      </c>
      <c r="N611" s="4" t="s">
        <v>8</v>
      </c>
      <c r="O611" s="5">
        <v>5637291224</v>
      </c>
      <c r="P611" s="11" t="e">
        <f ca="1">_xll.AtlasFormulas.AtlasFunctions.AtlasBalance("UAT",DataAreaId,"T.MarkupTrans","Sum|Posted|0","","","","","","","TransRecId|TransTableId|MarkupCode",$O611,"492","TPP")</f>
        <v>#NAME?</v>
      </c>
    </row>
    <row r="612" spans="1:16" x14ac:dyDescent="0.15">
      <c r="A612" s="4" t="s">
        <v>227</v>
      </c>
      <c r="B612" s="4" t="s">
        <v>228</v>
      </c>
      <c r="C612" s="4" t="s">
        <v>82</v>
      </c>
      <c r="D612" s="4" t="s">
        <v>440</v>
      </c>
      <c r="E612" s="4" t="s">
        <v>575</v>
      </c>
      <c r="F612" s="4" t="s">
        <v>231</v>
      </c>
      <c r="G612" s="4" t="s">
        <v>149</v>
      </c>
      <c r="H612" s="4" t="s">
        <v>150</v>
      </c>
      <c r="I612" s="9">
        <v>42817</v>
      </c>
      <c r="J612" s="11">
        <v>1000</v>
      </c>
      <c r="K612" s="4" t="s">
        <v>62</v>
      </c>
      <c r="L612" s="11">
        <v>5.63</v>
      </c>
      <c r="M612" s="11">
        <v>5630</v>
      </c>
      <c r="N612" s="4" t="s">
        <v>8</v>
      </c>
      <c r="O612" s="5">
        <v>5637291197</v>
      </c>
      <c r="P612" s="11" t="e">
        <f ca="1">_xll.AtlasFormulas.AtlasFunctions.AtlasBalance("UAT",DataAreaId,"T.MarkupTrans","Sum|Posted|0","","","","","","","TransRecId|TransTableId|MarkupCode",$O612,"492","TPP")</f>
        <v>#NAME?</v>
      </c>
    </row>
    <row r="613" spans="1:16" x14ac:dyDescent="0.15">
      <c r="A613" s="4" t="s">
        <v>20</v>
      </c>
      <c r="B613" s="4" t="s">
        <v>937</v>
      </c>
      <c r="C613" s="4" t="s">
        <v>938</v>
      </c>
      <c r="D613" s="4" t="s">
        <v>943</v>
      </c>
      <c r="E613" s="4" t="s">
        <v>944</v>
      </c>
      <c r="F613" s="4" t="s">
        <v>728</v>
      </c>
      <c r="G613" s="4" t="s">
        <v>149</v>
      </c>
      <c r="H613" s="4" t="s">
        <v>150</v>
      </c>
      <c r="I613" s="9">
        <v>42818</v>
      </c>
      <c r="J613" s="11">
        <v>700</v>
      </c>
      <c r="K613" s="4" t="s">
        <v>62</v>
      </c>
      <c r="L613" s="11">
        <v>5.6287200000000004</v>
      </c>
      <c r="M613" s="11">
        <v>3940.1</v>
      </c>
      <c r="N613" s="4" t="s">
        <v>8</v>
      </c>
      <c r="O613" s="5">
        <v>5637291273</v>
      </c>
      <c r="P613" s="11" t="e">
        <f ca="1">_xll.AtlasFormulas.AtlasFunctions.AtlasBalance("UAT",DataAreaId,"T.MarkupTrans","Sum|Posted|0","","","","","","","TransRecId|TransTableId|MarkupCode",$O613,"492","TPP")</f>
        <v>#NAME?</v>
      </c>
    </row>
    <row r="614" spans="1:16" x14ac:dyDescent="0.15">
      <c r="A614" s="4" t="s">
        <v>110</v>
      </c>
      <c r="B614" s="4" t="s">
        <v>111</v>
      </c>
      <c r="C614" s="4" t="s">
        <v>82</v>
      </c>
      <c r="D614" s="4" t="s">
        <v>131</v>
      </c>
      <c r="E614" s="4" t="s">
        <v>132</v>
      </c>
      <c r="F614" s="4" t="s">
        <v>114</v>
      </c>
      <c r="G614" s="4" t="s">
        <v>149</v>
      </c>
      <c r="H614" s="4" t="s">
        <v>150</v>
      </c>
      <c r="I614" s="9">
        <v>42824</v>
      </c>
      <c r="J614" s="11">
        <v>700</v>
      </c>
      <c r="K614" s="4" t="s">
        <v>62</v>
      </c>
      <c r="L614" s="11">
        <v>0</v>
      </c>
      <c r="M614" s="11">
        <v>3940.1</v>
      </c>
      <c r="N614" s="4" t="s">
        <v>8</v>
      </c>
      <c r="O614" s="5">
        <v>5637291307</v>
      </c>
      <c r="P614" s="11" t="e">
        <f ca="1">_xll.AtlasFormulas.AtlasFunctions.AtlasBalance("UAT",DataAreaId,"T.MarkupTrans","Sum|Posted|0","","","","","","","TransRecId|TransTableId|MarkupCode",$O614,"492","TPP")</f>
        <v>#NAME?</v>
      </c>
    </row>
    <row r="615" spans="1:16" x14ac:dyDescent="0.15">
      <c r="A615" s="4" t="s">
        <v>20</v>
      </c>
      <c r="B615" s="4" t="s">
        <v>957</v>
      </c>
      <c r="C615" s="4" t="s">
        <v>938</v>
      </c>
      <c r="D615" s="4" t="s">
        <v>987</v>
      </c>
      <c r="E615" s="4" t="s">
        <v>988</v>
      </c>
      <c r="F615" s="4" t="s">
        <v>728</v>
      </c>
      <c r="G615" s="4" t="s">
        <v>149</v>
      </c>
      <c r="H615" s="4" t="s">
        <v>150</v>
      </c>
      <c r="I615" s="9">
        <v>42830</v>
      </c>
      <c r="J615" s="11">
        <v>1200</v>
      </c>
      <c r="K615" s="4" t="s">
        <v>62</v>
      </c>
      <c r="L615" s="11">
        <v>5.63</v>
      </c>
      <c r="M615" s="11">
        <v>6756</v>
      </c>
      <c r="N615" s="4" t="s">
        <v>8</v>
      </c>
      <c r="O615" s="5">
        <v>5637291387</v>
      </c>
      <c r="P615" s="11" t="e">
        <f ca="1">_xll.AtlasFormulas.AtlasFunctions.AtlasBalance("UAT",DataAreaId,"T.MarkupTrans","Sum|Posted|0","","","","","","","TransRecId|TransTableId|MarkupCode",$O615,"492","TPP")</f>
        <v>#NAME?</v>
      </c>
    </row>
    <row r="616" spans="1:16" x14ac:dyDescent="0.15">
      <c r="A616" s="4" t="s">
        <v>20</v>
      </c>
      <c r="B616" s="4" t="s">
        <v>945</v>
      </c>
      <c r="C616" s="4" t="s">
        <v>946</v>
      </c>
      <c r="D616" s="4" t="s">
        <v>991</v>
      </c>
      <c r="E616" s="4" t="s">
        <v>992</v>
      </c>
      <c r="F616" s="4" t="s">
        <v>728</v>
      </c>
      <c r="G616" s="4" t="s">
        <v>149</v>
      </c>
      <c r="H616" s="4" t="s">
        <v>150</v>
      </c>
      <c r="I616" s="9">
        <v>42860</v>
      </c>
      <c r="J616" s="11">
        <v>600</v>
      </c>
      <c r="K616" s="4" t="s">
        <v>62</v>
      </c>
      <c r="L616" s="11">
        <v>5.63</v>
      </c>
      <c r="M616" s="11">
        <v>3378</v>
      </c>
      <c r="N616" s="4" t="s">
        <v>8</v>
      </c>
      <c r="O616" s="5">
        <v>5637291869</v>
      </c>
      <c r="P616" s="11" t="e">
        <f ca="1">_xll.AtlasFormulas.AtlasFunctions.AtlasBalance("UAT",DataAreaId,"T.MarkupTrans","Sum|Posted|0","","","","","","","TransRecId|TransTableId|MarkupCode",$O616,"492","TPP")</f>
        <v>#NAME?</v>
      </c>
    </row>
    <row r="617" spans="1:16" x14ac:dyDescent="0.15">
      <c r="A617" s="4" t="s">
        <v>220</v>
      </c>
      <c r="B617" s="4" t="s">
        <v>417</v>
      </c>
      <c r="C617" s="4" t="s">
        <v>82</v>
      </c>
      <c r="D617" s="4" t="s">
        <v>571</v>
      </c>
      <c r="E617" s="4" t="s">
        <v>572</v>
      </c>
      <c r="F617" s="4" t="s">
        <v>224</v>
      </c>
      <c r="G617" s="4" t="s">
        <v>149</v>
      </c>
      <c r="H617" s="4" t="s">
        <v>150</v>
      </c>
      <c r="I617" s="9">
        <v>42865</v>
      </c>
      <c r="J617" s="11">
        <v>600</v>
      </c>
      <c r="K617" s="4" t="s">
        <v>62</v>
      </c>
      <c r="L617" s="11">
        <v>5.63</v>
      </c>
      <c r="M617" s="11">
        <v>3378</v>
      </c>
      <c r="N617" s="4" t="s">
        <v>8</v>
      </c>
      <c r="O617" s="5">
        <v>5637291893</v>
      </c>
      <c r="P617" s="11" t="e">
        <f ca="1">_xll.AtlasFormulas.AtlasFunctions.AtlasBalance("UAT",DataAreaId,"T.MarkupTrans","Sum|Posted|0","","","","","","","TransRecId|TransTableId|MarkupCode",$O617,"492","TPP")</f>
        <v>#NAME?</v>
      </c>
    </row>
    <row r="618" spans="1:16" x14ac:dyDescent="0.15">
      <c r="A618" s="4" t="s">
        <v>179</v>
      </c>
      <c r="B618" s="4" t="s">
        <v>244</v>
      </c>
      <c r="C618" s="4" t="s">
        <v>82</v>
      </c>
      <c r="D618" s="4" t="s">
        <v>552</v>
      </c>
      <c r="E618" s="4" t="s">
        <v>553</v>
      </c>
      <c r="F618" s="4" t="s">
        <v>183</v>
      </c>
      <c r="G618" s="4" t="s">
        <v>149</v>
      </c>
      <c r="H618" s="4" t="s">
        <v>150</v>
      </c>
      <c r="I618" s="9">
        <v>42866</v>
      </c>
      <c r="J618" s="11">
        <v>600</v>
      </c>
      <c r="K618" s="4" t="s">
        <v>62</v>
      </c>
      <c r="L618" s="11">
        <v>5.63</v>
      </c>
      <c r="M618" s="11">
        <v>3378</v>
      </c>
      <c r="N618" s="4" t="s">
        <v>8</v>
      </c>
      <c r="O618" s="5">
        <v>5637292178</v>
      </c>
      <c r="P618" s="11" t="e">
        <f ca="1">_xll.AtlasFormulas.AtlasFunctions.AtlasBalance("UAT",DataAreaId,"T.MarkupTrans","Sum|Posted|0","","","","","","","TransRecId|TransTableId|MarkupCode",$O618,"492","TPP")</f>
        <v>#NAME?</v>
      </c>
    </row>
    <row r="619" spans="1:16" x14ac:dyDescent="0.15">
      <c r="A619" s="4" t="s">
        <v>20</v>
      </c>
      <c r="B619" s="4" t="s">
        <v>937</v>
      </c>
      <c r="C619" s="4" t="s">
        <v>938</v>
      </c>
      <c r="D619" s="4" t="s">
        <v>968</v>
      </c>
      <c r="E619" s="4" t="s">
        <v>969</v>
      </c>
      <c r="F619" s="4" t="s">
        <v>728</v>
      </c>
      <c r="G619" s="4" t="s">
        <v>149</v>
      </c>
      <c r="H619" s="4" t="s">
        <v>150</v>
      </c>
      <c r="I619" s="9">
        <v>42866</v>
      </c>
      <c r="J619" s="11">
        <v>600</v>
      </c>
      <c r="K619" s="4" t="s">
        <v>62</v>
      </c>
      <c r="L619" s="11">
        <v>5.63</v>
      </c>
      <c r="M619" s="11">
        <v>3378</v>
      </c>
      <c r="N619" s="4" t="s">
        <v>8</v>
      </c>
      <c r="O619" s="5">
        <v>5637291865</v>
      </c>
      <c r="P619" s="11" t="e">
        <f ca="1">_xll.AtlasFormulas.AtlasFunctions.AtlasBalance("UAT",DataAreaId,"T.MarkupTrans","Sum|Posted|0","","","","","","","TransRecId|TransTableId|MarkupCode",$O619,"492","TPP")</f>
        <v>#NAME?</v>
      </c>
    </row>
    <row r="620" spans="1:16" x14ac:dyDescent="0.15">
      <c r="A620" s="4" t="s">
        <v>20</v>
      </c>
      <c r="B620" s="4" t="s">
        <v>945</v>
      </c>
      <c r="C620" s="4" t="s">
        <v>946</v>
      </c>
      <c r="D620" s="4" t="s">
        <v>989</v>
      </c>
      <c r="E620" s="4" t="s">
        <v>990</v>
      </c>
      <c r="F620" s="4" t="s">
        <v>728</v>
      </c>
      <c r="G620" s="4" t="s">
        <v>149</v>
      </c>
      <c r="H620" s="4" t="s">
        <v>150</v>
      </c>
      <c r="I620" s="9">
        <v>42906</v>
      </c>
      <c r="J620" s="11">
        <v>200</v>
      </c>
      <c r="K620" s="4" t="s">
        <v>62</v>
      </c>
      <c r="L620" s="11">
        <v>5.63</v>
      </c>
      <c r="M620" s="11">
        <v>1126</v>
      </c>
      <c r="N620" s="4" t="s">
        <v>8</v>
      </c>
      <c r="O620" s="5">
        <v>5637292648</v>
      </c>
      <c r="P620" s="11" t="e">
        <f ca="1">_xll.AtlasFormulas.AtlasFunctions.AtlasBalance("UAT",DataAreaId,"T.MarkupTrans","Sum|Posted|0","","","","","","","TransRecId|TransTableId|MarkupCode",$O620,"492","TPP")</f>
        <v>#NAME?</v>
      </c>
    </row>
    <row r="621" spans="1:16" x14ac:dyDescent="0.15">
      <c r="A621" s="4" t="s">
        <v>220</v>
      </c>
      <c r="B621" s="4" t="s">
        <v>417</v>
      </c>
      <c r="C621" s="4" t="s">
        <v>82</v>
      </c>
      <c r="D621" s="4" t="s">
        <v>569</v>
      </c>
      <c r="E621" s="4" t="s">
        <v>570</v>
      </c>
      <c r="F621" s="4" t="s">
        <v>224</v>
      </c>
      <c r="G621" s="4" t="s">
        <v>149</v>
      </c>
      <c r="H621" s="4" t="s">
        <v>150</v>
      </c>
      <c r="I621" s="9">
        <v>42907</v>
      </c>
      <c r="J621" s="11">
        <v>200</v>
      </c>
      <c r="K621" s="4" t="s">
        <v>62</v>
      </c>
      <c r="L621" s="11">
        <v>5.63</v>
      </c>
      <c r="M621" s="11">
        <v>1126</v>
      </c>
      <c r="N621" s="4" t="s">
        <v>8</v>
      </c>
      <c r="O621" s="5">
        <v>5637292663</v>
      </c>
      <c r="P621" s="11" t="e">
        <f ca="1">_xll.AtlasFormulas.AtlasFunctions.AtlasBalance("UAT",DataAreaId,"T.MarkupTrans","Sum|Posted|0","","","","","","","TransRecId|TransTableId|MarkupCode",$O621,"492","TPP")</f>
        <v>#NAME?</v>
      </c>
    </row>
    <row r="622" spans="1:16" x14ac:dyDescent="0.15">
      <c r="A622" s="4" t="s">
        <v>20</v>
      </c>
      <c r="B622" s="4" t="s">
        <v>937</v>
      </c>
      <c r="C622" s="4" t="s">
        <v>938</v>
      </c>
      <c r="D622" s="4" t="s">
        <v>983</v>
      </c>
      <c r="E622" s="4" t="s">
        <v>984</v>
      </c>
      <c r="F622" s="4" t="s">
        <v>728</v>
      </c>
      <c r="G622" s="4" t="s">
        <v>149</v>
      </c>
      <c r="H622" s="4" t="s">
        <v>150</v>
      </c>
      <c r="I622" s="9">
        <v>42914</v>
      </c>
      <c r="J622" s="11">
        <v>2000</v>
      </c>
      <c r="K622" s="4" t="s">
        <v>62</v>
      </c>
      <c r="L622" s="11">
        <v>5.6287200000000004</v>
      </c>
      <c r="M622" s="11">
        <v>11257.439999999999</v>
      </c>
      <c r="N622" s="4" t="s">
        <v>8</v>
      </c>
      <c r="O622" s="5">
        <v>5637292954</v>
      </c>
      <c r="P622" s="11" t="e">
        <f ca="1">_xll.AtlasFormulas.AtlasFunctions.AtlasBalance("UAT",DataAreaId,"T.MarkupTrans","Sum|Posted|0","","","","","","","TransRecId|TransTableId|MarkupCode",$O622,"492","TPP")</f>
        <v>#NAME?</v>
      </c>
    </row>
    <row r="623" spans="1:16" x14ac:dyDescent="0.15">
      <c r="A623" s="4" t="s">
        <v>227</v>
      </c>
      <c r="B623" s="4" t="s">
        <v>228</v>
      </c>
      <c r="C623" s="4" t="s">
        <v>82</v>
      </c>
      <c r="D623" s="4" t="s">
        <v>552</v>
      </c>
      <c r="E623" s="4" t="s">
        <v>559</v>
      </c>
      <c r="F623" s="4" t="s">
        <v>231</v>
      </c>
      <c r="G623" s="4" t="s">
        <v>149</v>
      </c>
      <c r="H623" s="4" t="s">
        <v>150</v>
      </c>
      <c r="I623" s="9">
        <v>42915</v>
      </c>
      <c r="J623" s="11">
        <v>-2000</v>
      </c>
      <c r="K623" s="4" t="s">
        <v>62</v>
      </c>
      <c r="L623" s="11">
        <v>5.6287200000000004</v>
      </c>
      <c r="M623" s="11">
        <v>-11257.439999999999</v>
      </c>
      <c r="N623" s="4" t="s">
        <v>8</v>
      </c>
      <c r="O623" s="5">
        <v>5637293025</v>
      </c>
      <c r="P623" s="11" t="e">
        <f ca="1">_xll.AtlasFormulas.AtlasFunctions.AtlasBalance("UAT",DataAreaId,"T.MarkupTrans","Sum|Posted|0","","","","","","","TransRecId|TransTableId|MarkupCode",$O623,"492","TPP")</f>
        <v>#NAME?</v>
      </c>
    </row>
    <row r="624" spans="1:16" x14ac:dyDescent="0.15">
      <c r="A624" s="4" t="s">
        <v>227</v>
      </c>
      <c r="B624" s="4" t="s">
        <v>228</v>
      </c>
      <c r="C624" s="4" t="s">
        <v>82</v>
      </c>
      <c r="D624" s="4" t="s">
        <v>479</v>
      </c>
      <c r="E624" s="4" t="s">
        <v>558</v>
      </c>
      <c r="F624" s="4" t="s">
        <v>231</v>
      </c>
      <c r="G624" s="4" t="s">
        <v>149</v>
      </c>
      <c r="H624" s="4" t="s">
        <v>150</v>
      </c>
      <c r="I624" s="9">
        <v>42915</v>
      </c>
      <c r="J624" s="11">
        <v>2000</v>
      </c>
      <c r="K624" s="4" t="s">
        <v>62</v>
      </c>
      <c r="L624" s="11">
        <v>5.6287200000000004</v>
      </c>
      <c r="M624" s="11">
        <v>11257.439999999999</v>
      </c>
      <c r="N624" s="4" t="s">
        <v>8</v>
      </c>
      <c r="O624" s="5">
        <v>5637293019</v>
      </c>
      <c r="P624" s="11" t="e">
        <f ca="1">_xll.AtlasFormulas.AtlasFunctions.AtlasBalance("UAT",DataAreaId,"T.MarkupTrans","Sum|Posted|0","","","","","","","TransRecId|TransTableId|MarkupCode",$O624,"492","TPP")</f>
        <v>#NAME?</v>
      </c>
    </row>
    <row r="625" spans="1:16" x14ac:dyDescent="0.15">
      <c r="A625" s="4" t="s">
        <v>227</v>
      </c>
      <c r="B625" s="4" t="s">
        <v>228</v>
      </c>
      <c r="C625" s="4" t="s">
        <v>82</v>
      </c>
      <c r="D625" s="4" t="s">
        <v>560</v>
      </c>
      <c r="E625" s="4" t="s">
        <v>561</v>
      </c>
      <c r="F625" s="4" t="s">
        <v>231</v>
      </c>
      <c r="G625" s="4" t="s">
        <v>149</v>
      </c>
      <c r="H625" s="4" t="s">
        <v>150</v>
      </c>
      <c r="I625" s="9">
        <v>42926</v>
      </c>
      <c r="J625" s="11">
        <v>2000</v>
      </c>
      <c r="K625" s="4" t="s">
        <v>62</v>
      </c>
      <c r="L625" s="11">
        <v>5.6287200000000004</v>
      </c>
      <c r="M625" s="11">
        <v>11257.439999999999</v>
      </c>
      <c r="N625" s="4" t="s">
        <v>8</v>
      </c>
      <c r="O625" s="5">
        <v>5637293404</v>
      </c>
      <c r="P625" s="11" t="e">
        <f ca="1">_xll.AtlasFormulas.AtlasFunctions.AtlasBalance("UAT",DataAreaId,"T.MarkupTrans","Sum|Posted|0","","","","","","","TransRecId|TransTableId|MarkupCode",$O625,"492","TPP")</f>
        <v>#NAME?</v>
      </c>
    </row>
    <row r="626" spans="1:16" x14ac:dyDescent="0.15">
      <c r="A626" s="4" t="s">
        <v>20</v>
      </c>
      <c r="B626" s="4" t="s">
        <v>937</v>
      </c>
      <c r="C626" s="4" t="s">
        <v>938</v>
      </c>
      <c r="D626" s="4" t="s">
        <v>1001</v>
      </c>
      <c r="E626" s="4" t="s">
        <v>1002</v>
      </c>
      <c r="F626" s="4" t="s">
        <v>728</v>
      </c>
      <c r="G626" s="4" t="s">
        <v>149</v>
      </c>
      <c r="H626" s="4" t="s">
        <v>150</v>
      </c>
      <c r="I626" s="9">
        <v>42928</v>
      </c>
      <c r="J626" s="11">
        <v>100</v>
      </c>
      <c r="K626" s="4" t="s">
        <v>62</v>
      </c>
      <c r="L626" s="11">
        <v>5.64</v>
      </c>
      <c r="M626" s="11">
        <v>564</v>
      </c>
      <c r="N626" s="4" t="s">
        <v>8</v>
      </c>
      <c r="O626" s="5">
        <v>5637293429</v>
      </c>
      <c r="P626" s="11" t="e">
        <f ca="1">_xll.AtlasFormulas.AtlasFunctions.AtlasBalance("UAT",DataAreaId,"T.MarkupTrans","Sum|Posted|0","","","","","","","TransRecId|TransTableId|MarkupCode",$O626,"492","TPP")</f>
        <v>#NAME?</v>
      </c>
    </row>
    <row r="627" spans="1:16" x14ac:dyDescent="0.15">
      <c r="A627" s="4" t="s">
        <v>288</v>
      </c>
      <c r="B627" s="4" t="s">
        <v>289</v>
      </c>
      <c r="C627" s="4" t="s">
        <v>82</v>
      </c>
      <c r="D627" s="4" t="s">
        <v>479</v>
      </c>
      <c r="E627" s="4" t="s">
        <v>580</v>
      </c>
      <c r="F627" s="4" t="s">
        <v>292</v>
      </c>
      <c r="G627" s="4" t="s">
        <v>149</v>
      </c>
      <c r="H627" s="4" t="s">
        <v>150</v>
      </c>
      <c r="I627" s="9">
        <v>42929</v>
      </c>
      <c r="J627" s="11">
        <v>100</v>
      </c>
      <c r="K627" s="4" t="s">
        <v>62</v>
      </c>
      <c r="L627" s="11">
        <v>5.64</v>
      </c>
      <c r="M627" s="11">
        <v>564</v>
      </c>
      <c r="N627" s="4" t="s">
        <v>8</v>
      </c>
      <c r="O627" s="5">
        <v>5637294407</v>
      </c>
      <c r="P627" s="11" t="e">
        <f ca="1">_xll.AtlasFormulas.AtlasFunctions.AtlasBalance("UAT",DataAreaId,"T.MarkupTrans","Sum|Posted|0","","","","","","","TransRecId|TransTableId|MarkupCode",$O627,"492","TPP")</f>
        <v>#NAME?</v>
      </c>
    </row>
    <row r="628" spans="1:16" x14ac:dyDescent="0.15">
      <c r="A628" s="4" t="s">
        <v>20</v>
      </c>
      <c r="B628" s="4" t="s">
        <v>957</v>
      </c>
      <c r="C628" s="4" t="s">
        <v>938</v>
      </c>
      <c r="D628" s="4" t="s">
        <v>987</v>
      </c>
      <c r="E628" s="4" t="s">
        <v>988</v>
      </c>
      <c r="F628" s="4" t="s">
        <v>728</v>
      </c>
      <c r="G628" s="4" t="s">
        <v>582</v>
      </c>
      <c r="H628" s="4" t="s">
        <v>583</v>
      </c>
      <c r="I628" s="9">
        <v>42830</v>
      </c>
      <c r="J628" s="11">
        <v>500</v>
      </c>
      <c r="K628" s="4" t="s">
        <v>62</v>
      </c>
      <c r="L628" s="11">
        <v>6.12</v>
      </c>
      <c r="M628" s="11">
        <v>3060</v>
      </c>
      <c r="N628" s="4" t="s">
        <v>8</v>
      </c>
      <c r="O628" s="5">
        <v>5637291388</v>
      </c>
      <c r="P628" s="11" t="e">
        <f ca="1">_xll.AtlasFormulas.AtlasFunctions.AtlasBalance("UAT",DataAreaId,"T.MarkupTrans","Sum|Posted|0","","","","","","","TransRecId|TransTableId|MarkupCode",$O628,"492","TPP")</f>
        <v>#NAME?</v>
      </c>
    </row>
    <row r="629" spans="1:16" x14ac:dyDescent="0.15">
      <c r="A629" s="4" t="s">
        <v>20</v>
      </c>
      <c r="B629" s="4" t="s">
        <v>937</v>
      </c>
      <c r="C629" s="4" t="s">
        <v>938</v>
      </c>
      <c r="D629" s="4" t="s">
        <v>1003</v>
      </c>
      <c r="E629" s="4" t="s">
        <v>1004</v>
      </c>
      <c r="F629" s="4" t="s">
        <v>728</v>
      </c>
      <c r="G629" s="4" t="s">
        <v>582</v>
      </c>
      <c r="H629" s="4" t="s">
        <v>583</v>
      </c>
      <c r="I629" s="9">
        <v>42846</v>
      </c>
      <c r="J629" s="11">
        <v>800</v>
      </c>
      <c r="K629" s="4" t="s">
        <v>62</v>
      </c>
      <c r="L629" s="11">
        <v>6.12</v>
      </c>
      <c r="M629" s="11">
        <v>4896</v>
      </c>
      <c r="N629" s="4" t="s">
        <v>8</v>
      </c>
      <c r="O629" s="5">
        <v>5637291710</v>
      </c>
      <c r="P629" s="11" t="e">
        <f ca="1">_xll.AtlasFormulas.AtlasFunctions.AtlasBalance("UAT",DataAreaId,"T.MarkupTrans","Sum|Posted|0","","","","","","","TransRecId|TransTableId|MarkupCode",$O629,"492","TPP")</f>
        <v>#NAME?</v>
      </c>
    </row>
    <row r="630" spans="1:16" x14ac:dyDescent="0.15">
      <c r="A630" s="4" t="s">
        <v>227</v>
      </c>
      <c r="B630" s="4" t="s">
        <v>228</v>
      </c>
      <c r="C630" s="4" t="s">
        <v>82</v>
      </c>
      <c r="D630" s="4" t="s">
        <v>494</v>
      </c>
      <c r="E630" s="4" t="s">
        <v>581</v>
      </c>
      <c r="F630" s="4" t="s">
        <v>231</v>
      </c>
      <c r="G630" s="4" t="s">
        <v>582</v>
      </c>
      <c r="H630" s="4" t="s">
        <v>583</v>
      </c>
      <c r="I630" s="9">
        <v>42849</v>
      </c>
      <c r="J630" s="11">
        <v>800</v>
      </c>
      <c r="K630" s="4" t="s">
        <v>62</v>
      </c>
      <c r="L630" s="11">
        <v>6.12</v>
      </c>
      <c r="M630" s="11">
        <v>4896</v>
      </c>
      <c r="N630" s="4" t="s">
        <v>8</v>
      </c>
      <c r="O630" s="5">
        <v>5637291780</v>
      </c>
      <c r="P630" s="11" t="e">
        <f ca="1">_xll.AtlasFormulas.AtlasFunctions.AtlasBalance("UAT",DataAreaId,"T.MarkupTrans","Sum|Posted|0","","","","","","","TransRecId|TransTableId|MarkupCode",$O630,"492","TPP")</f>
        <v>#NAME?</v>
      </c>
    </row>
    <row r="631" spans="1:16" x14ac:dyDescent="0.15">
      <c r="A631" s="4" t="s">
        <v>20</v>
      </c>
      <c r="B631" s="4" t="s">
        <v>945</v>
      </c>
      <c r="C631" s="4" t="s">
        <v>946</v>
      </c>
      <c r="D631" s="4" t="s">
        <v>991</v>
      </c>
      <c r="E631" s="4" t="s">
        <v>992</v>
      </c>
      <c r="F631" s="4" t="s">
        <v>728</v>
      </c>
      <c r="G631" s="4" t="s">
        <v>582</v>
      </c>
      <c r="H631" s="4" t="s">
        <v>583</v>
      </c>
      <c r="I631" s="9">
        <v>42860</v>
      </c>
      <c r="J631" s="11">
        <v>300</v>
      </c>
      <c r="K631" s="4" t="s">
        <v>62</v>
      </c>
      <c r="L631" s="11">
        <v>6.12</v>
      </c>
      <c r="M631" s="11">
        <v>1836</v>
      </c>
      <c r="N631" s="4" t="s">
        <v>8</v>
      </c>
      <c r="O631" s="5">
        <v>5637291870</v>
      </c>
      <c r="P631" s="11" t="e">
        <f ca="1">_xll.AtlasFormulas.AtlasFunctions.AtlasBalance("UAT",DataAreaId,"T.MarkupTrans","Sum|Posted|0","","","","","","","TransRecId|TransTableId|MarkupCode",$O631,"492","TPP")</f>
        <v>#NAME?</v>
      </c>
    </row>
    <row r="632" spans="1:16" x14ac:dyDescent="0.15">
      <c r="A632" s="4" t="s">
        <v>220</v>
      </c>
      <c r="B632" s="4" t="s">
        <v>417</v>
      </c>
      <c r="C632" s="4" t="s">
        <v>82</v>
      </c>
      <c r="D632" s="4" t="s">
        <v>571</v>
      </c>
      <c r="E632" s="4" t="s">
        <v>572</v>
      </c>
      <c r="F632" s="4" t="s">
        <v>224</v>
      </c>
      <c r="G632" s="4" t="s">
        <v>582</v>
      </c>
      <c r="H632" s="4" t="s">
        <v>583</v>
      </c>
      <c r="I632" s="9">
        <v>42865</v>
      </c>
      <c r="J632" s="11">
        <v>300</v>
      </c>
      <c r="K632" s="4" t="s">
        <v>62</v>
      </c>
      <c r="L632" s="11">
        <v>6.12</v>
      </c>
      <c r="M632" s="11">
        <v>1836</v>
      </c>
      <c r="N632" s="4" t="s">
        <v>8</v>
      </c>
      <c r="O632" s="5">
        <v>5637291894</v>
      </c>
      <c r="P632" s="11" t="e">
        <f ca="1">_xll.AtlasFormulas.AtlasFunctions.AtlasBalance("UAT",DataAreaId,"T.MarkupTrans","Sum|Posted|0","","","","","","","TransRecId|TransTableId|MarkupCode",$O632,"492","TPP")</f>
        <v>#NAME?</v>
      </c>
    </row>
    <row r="633" spans="1:16" x14ac:dyDescent="0.15">
      <c r="A633" s="4" t="s">
        <v>20</v>
      </c>
      <c r="B633" s="4" t="s">
        <v>937</v>
      </c>
      <c r="C633" s="4" t="s">
        <v>938</v>
      </c>
      <c r="D633" s="4" t="s">
        <v>1005</v>
      </c>
      <c r="E633" s="4" t="s">
        <v>1006</v>
      </c>
      <c r="F633" s="4" t="s">
        <v>728</v>
      </c>
      <c r="G633" s="4" t="s">
        <v>585</v>
      </c>
      <c r="H633" s="4" t="s">
        <v>586</v>
      </c>
      <c r="I633" s="9">
        <v>42766</v>
      </c>
      <c r="J633" s="11">
        <v>75</v>
      </c>
      <c r="K633" s="4" t="s">
        <v>62</v>
      </c>
      <c r="L633" s="11">
        <v>7.1099999999999994</v>
      </c>
      <c r="M633" s="11">
        <v>533.25</v>
      </c>
      <c r="N633" s="4" t="s">
        <v>8</v>
      </c>
      <c r="O633" s="5">
        <v>5637289718</v>
      </c>
      <c r="P633" s="11" t="e">
        <f ca="1">_xll.AtlasFormulas.AtlasFunctions.AtlasBalance("UAT",DataAreaId,"T.MarkupTrans","Sum|Posted|0","","","","","","","TransRecId|TransTableId|MarkupCode",$O633,"492","TPP")</f>
        <v>#NAME?</v>
      </c>
    </row>
    <row r="634" spans="1:16" x14ac:dyDescent="0.15">
      <c r="A634" s="4" t="s">
        <v>288</v>
      </c>
      <c r="B634" s="4" t="s">
        <v>308</v>
      </c>
      <c r="C634" s="4" t="s">
        <v>82</v>
      </c>
      <c r="D634" s="4" t="s">
        <v>129</v>
      </c>
      <c r="E634" s="4" t="s">
        <v>584</v>
      </c>
      <c r="F634" s="4" t="s">
        <v>311</v>
      </c>
      <c r="G634" s="4" t="s">
        <v>585</v>
      </c>
      <c r="H634" s="4" t="s">
        <v>586</v>
      </c>
      <c r="I634" s="9">
        <v>42766</v>
      </c>
      <c r="J634" s="11">
        <v>75</v>
      </c>
      <c r="K634" s="4" t="s">
        <v>62</v>
      </c>
      <c r="L634" s="11">
        <v>7.1099999999999994</v>
      </c>
      <c r="M634" s="11">
        <v>533.25</v>
      </c>
      <c r="N634" s="4" t="s">
        <v>8</v>
      </c>
      <c r="O634" s="5">
        <v>5637289730</v>
      </c>
      <c r="P634" s="11" t="e">
        <f ca="1">_xll.AtlasFormulas.AtlasFunctions.AtlasBalance("UAT",DataAreaId,"T.MarkupTrans","Sum|Posted|0","","","","","","","TransRecId|TransTableId|MarkupCode",$O634,"492","TPP")</f>
        <v>#NAME?</v>
      </c>
    </row>
    <row r="635" spans="1:16" x14ac:dyDescent="0.15">
      <c r="A635" s="4" t="s">
        <v>20</v>
      </c>
      <c r="B635" s="4" t="s">
        <v>957</v>
      </c>
      <c r="C635" s="4" t="s">
        <v>938</v>
      </c>
      <c r="D635" s="4" t="s">
        <v>962</v>
      </c>
      <c r="E635" s="4" t="s">
        <v>982</v>
      </c>
      <c r="F635" s="4" t="s">
        <v>728</v>
      </c>
      <c r="G635" s="4" t="s">
        <v>585</v>
      </c>
      <c r="H635" s="4" t="s">
        <v>586</v>
      </c>
      <c r="I635" s="9">
        <v>42769</v>
      </c>
      <c r="J635" s="11">
        <v>600</v>
      </c>
      <c r="K635" s="4" t="s">
        <v>62</v>
      </c>
      <c r="L635" s="11">
        <v>7.1121999999999996</v>
      </c>
      <c r="M635" s="11">
        <v>4267.32</v>
      </c>
      <c r="N635" s="4" t="s">
        <v>8</v>
      </c>
      <c r="O635" s="5">
        <v>5637289925</v>
      </c>
      <c r="P635" s="11" t="e">
        <f ca="1">_xll.AtlasFormulas.AtlasFunctions.AtlasBalance("UAT",DataAreaId,"T.MarkupTrans","Sum|Posted|0","","","","","","","TransRecId|TransTableId|MarkupCode",$O635,"492","TPP")</f>
        <v>#NAME?</v>
      </c>
    </row>
    <row r="636" spans="1:16" x14ac:dyDescent="0.15">
      <c r="A636" s="4" t="s">
        <v>20</v>
      </c>
      <c r="B636" s="4" t="s">
        <v>945</v>
      </c>
      <c r="C636" s="4" t="s">
        <v>946</v>
      </c>
      <c r="D636" s="4" t="s">
        <v>974</v>
      </c>
      <c r="E636" s="4" t="s">
        <v>975</v>
      </c>
      <c r="F636" s="4" t="s">
        <v>728</v>
      </c>
      <c r="G636" s="4" t="s">
        <v>585</v>
      </c>
      <c r="H636" s="4" t="s">
        <v>586</v>
      </c>
      <c r="I636" s="9">
        <v>42786</v>
      </c>
      <c r="J636" s="11">
        <v>100</v>
      </c>
      <c r="K636" s="4" t="s">
        <v>62</v>
      </c>
      <c r="L636" s="11">
        <v>7.8599999999999994</v>
      </c>
      <c r="M636" s="11">
        <v>786</v>
      </c>
      <c r="N636" s="4" t="s">
        <v>8</v>
      </c>
      <c r="O636" s="5">
        <v>5637289911</v>
      </c>
      <c r="P636" s="11" t="e">
        <f ca="1">_xll.AtlasFormulas.AtlasFunctions.AtlasBalance("UAT",DataAreaId,"T.MarkupTrans","Sum|Posted|0","","","","","","","TransRecId|TransTableId|MarkupCode",$O636,"492","TPP")</f>
        <v>#NAME?</v>
      </c>
    </row>
    <row r="637" spans="1:16" x14ac:dyDescent="0.15">
      <c r="A637" s="4" t="s">
        <v>220</v>
      </c>
      <c r="B637" s="4" t="s">
        <v>417</v>
      </c>
      <c r="C637" s="4" t="s">
        <v>82</v>
      </c>
      <c r="D637" s="4" t="s">
        <v>554</v>
      </c>
      <c r="E637" s="4" t="s">
        <v>555</v>
      </c>
      <c r="F637" s="4" t="s">
        <v>224</v>
      </c>
      <c r="G637" s="4" t="s">
        <v>585</v>
      </c>
      <c r="H637" s="4" t="s">
        <v>586</v>
      </c>
      <c r="I637" s="9">
        <v>42787</v>
      </c>
      <c r="J637" s="11">
        <v>100</v>
      </c>
      <c r="K637" s="4" t="s">
        <v>62</v>
      </c>
      <c r="L637" s="11">
        <v>7.8599999999999994</v>
      </c>
      <c r="M637" s="11">
        <v>786</v>
      </c>
      <c r="N637" s="4" t="s">
        <v>8</v>
      </c>
      <c r="O637" s="5">
        <v>5637289940</v>
      </c>
      <c r="P637" s="11" t="e">
        <f ca="1">_xll.AtlasFormulas.AtlasFunctions.AtlasBalance("UAT",DataAreaId,"T.MarkupTrans","Sum|Posted|0","","","","","","","TransRecId|TransTableId|MarkupCode",$O637,"492","TPP")</f>
        <v>#NAME?</v>
      </c>
    </row>
    <row r="638" spans="1:16" x14ac:dyDescent="0.15">
      <c r="A638" s="4" t="s">
        <v>20</v>
      </c>
      <c r="B638" s="4" t="s">
        <v>957</v>
      </c>
      <c r="C638" s="4" t="s">
        <v>938</v>
      </c>
      <c r="D638" s="4" t="s">
        <v>987</v>
      </c>
      <c r="E638" s="4" t="s">
        <v>988</v>
      </c>
      <c r="F638" s="4" t="s">
        <v>728</v>
      </c>
      <c r="G638" s="4" t="s">
        <v>585</v>
      </c>
      <c r="H638" s="4" t="s">
        <v>586</v>
      </c>
      <c r="I638" s="9">
        <v>42830</v>
      </c>
      <c r="J638" s="11">
        <v>500</v>
      </c>
      <c r="K638" s="4" t="s">
        <v>62</v>
      </c>
      <c r="L638" s="11">
        <v>7.1099999999999994</v>
      </c>
      <c r="M638" s="11">
        <v>3555</v>
      </c>
      <c r="N638" s="4" t="s">
        <v>8</v>
      </c>
      <c r="O638" s="5">
        <v>5637291389</v>
      </c>
      <c r="P638" s="11" t="e">
        <f ca="1">_xll.AtlasFormulas.AtlasFunctions.AtlasBalance("UAT",DataAreaId,"T.MarkupTrans","Sum|Posted|0","","","","","","","TransRecId|TransTableId|MarkupCode",$O638,"492","TPP")</f>
        <v>#NAME?</v>
      </c>
    </row>
    <row r="639" spans="1:16" x14ac:dyDescent="0.15">
      <c r="A639" s="4" t="s">
        <v>20</v>
      </c>
      <c r="B639" s="4" t="s">
        <v>945</v>
      </c>
      <c r="C639" s="4" t="s">
        <v>946</v>
      </c>
      <c r="D639" s="4" t="s">
        <v>947</v>
      </c>
      <c r="E639" s="4" t="s">
        <v>948</v>
      </c>
      <c r="F639" s="4" t="s">
        <v>728</v>
      </c>
      <c r="G639" s="4" t="s">
        <v>585</v>
      </c>
      <c r="H639" s="4" t="s">
        <v>586</v>
      </c>
      <c r="I639" s="9">
        <v>42837</v>
      </c>
      <c r="J639" s="11">
        <v>100</v>
      </c>
      <c r="K639" s="4" t="s">
        <v>62</v>
      </c>
      <c r="L639" s="11">
        <v>7.1099999999999994</v>
      </c>
      <c r="M639" s="11">
        <v>711</v>
      </c>
      <c r="N639" s="4" t="s">
        <v>8</v>
      </c>
      <c r="O639" s="5">
        <v>5637291649</v>
      </c>
      <c r="P639" s="11" t="e">
        <f ca="1">_xll.AtlasFormulas.AtlasFunctions.AtlasBalance("UAT",DataAreaId,"T.MarkupTrans","Sum|Posted|0","","","","","","","TransRecId|TransTableId|MarkupCode",$O639,"492","TPP")</f>
        <v>#NAME?</v>
      </c>
    </row>
    <row r="640" spans="1:16" x14ac:dyDescent="0.15">
      <c r="A640" s="4" t="s">
        <v>220</v>
      </c>
      <c r="B640" s="4" t="s">
        <v>417</v>
      </c>
      <c r="C640" s="4" t="s">
        <v>82</v>
      </c>
      <c r="D640" s="4" t="s">
        <v>229</v>
      </c>
      <c r="E640" s="4" t="s">
        <v>546</v>
      </c>
      <c r="F640" s="4" t="s">
        <v>224</v>
      </c>
      <c r="G640" s="4" t="s">
        <v>585</v>
      </c>
      <c r="H640" s="4" t="s">
        <v>586</v>
      </c>
      <c r="I640" s="9">
        <v>42843</v>
      </c>
      <c r="J640" s="11">
        <v>100</v>
      </c>
      <c r="K640" s="4" t="s">
        <v>62</v>
      </c>
      <c r="L640" s="11">
        <v>7.1099999999999994</v>
      </c>
      <c r="M640" s="11">
        <v>711</v>
      </c>
      <c r="N640" s="4" t="s">
        <v>8</v>
      </c>
      <c r="O640" s="5">
        <v>5637291676</v>
      </c>
      <c r="P640" s="11" t="e">
        <f ca="1">_xll.AtlasFormulas.AtlasFunctions.AtlasBalance("UAT",DataAreaId,"T.MarkupTrans","Sum|Posted|0","","","","","","","TransRecId|TransTableId|MarkupCode",$O640,"492","TPP")</f>
        <v>#NAME?</v>
      </c>
    </row>
    <row r="641" spans="1:16" x14ac:dyDescent="0.15">
      <c r="A641" s="4" t="s">
        <v>20</v>
      </c>
      <c r="B641" s="4" t="s">
        <v>937</v>
      </c>
      <c r="C641" s="4" t="s">
        <v>938</v>
      </c>
      <c r="D641" s="4" t="s">
        <v>1007</v>
      </c>
      <c r="E641" s="4" t="s">
        <v>1008</v>
      </c>
      <c r="F641" s="4" t="s">
        <v>728</v>
      </c>
      <c r="G641" s="4" t="s">
        <v>585</v>
      </c>
      <c r="H641" s="4" t="s">
        <v>586</v>
      </c>
      <c r="I641" s="9">
        <v>42860</v>
      </c>
      <c r="J641" s="11">
        <v>800</v>
      </c>
      <c r="K641" s="4" t="s">
        <v>62</v>
      </c>
      <c r="L641" s="11">
        <v>7.1099999999999994</v>
      </c>
      <c r="M641" s="11">
        <v>5688</v>
      </c>
      <c r="N641" s="4" t="s">
        <v>8</v>
      </c>
      <c r="O641" s="5">
        <v>5637291825</v>
      </c>
      <c r="P641" s="11" t="e">
        <f ca="1">_xll.AtlasFormulas.AtlasFunctions.AtlasBalance("UAT",DataAreaId,"T.MarkupTrans","Sum|Posted|0","","","","","","","TransRecId|TransTableId|MarkupCode",$O641,"492","TPP")</f>
        <v>#NAME?</v>
      </c>
    </row>
    <row r="642" spans="1:16" x14ac:dyDescent="0.15">
      <c r="A642" s="4" t="s">
        <v>227</v>
      </c>
      <c r="B642" s="4" t="s">
        <v>228</v>
      </c>
      <c r="C642" s="4" t="s">
        <v>82</v>
      </c>
      <c r="D642" s="4" t="s">
        <v>587</v>
      </c>
      <c r="E642" s="4" t="s">
        <v>588</v>
      </c>
      <c r="F642" s="4" t="s">
        <v>231</v>
      </c>
      <c r="G642" s="4" t="s">
        <v>585</v>
      </c>
      <c r="H642" s="4" t="s">
        <v>586</v>
      </c>
      <c r="I642" s="9">
        <v>42860</v>
      </c>
      <c r="J642" s="11">
        <v>800</v>
      </c>
      <c r="K642" s="4" t="s">
        <v>62</v>
      </c>
      <c r="L642" s="11">
        <v>7.1099999999999994</v>
      </c>
      <c r="M642" s="11">
        <v>5688</v>
      </c>
      <c r="N642" s="4" t="s">
        <v>8</v>
      </c>
      <c r="O642" s="5">
        <v>5637291879</v>
      </c>
      <c r="P642" s="11" t="e">
        <f ca="1">_xll.AtlasFormulas.AtlasFunctions.AtlasBalance("UAT",DataAreaId,"T.MarkupTrans","Sum|Posted|0","","","","","","","TransRecId|TransTableId|MarkupCode",$O642,"492","TPP")</f>
        <v>#NAME?</v>
      </c>
    </row>
    <row r="643" spans="1:16" x14ac:dyDescent="0.15">
      <c r="A643" s="4" t="s">
        <v>20</v>
      </c>
      <c r="B643" s="4" t="s">
        <v>937</v>
      </c>
      <c r="C643" s="4" t="s">
        <v>938</v>
      </c>
      <c r="D643" s="4" t="s">
        <v>985</v>
      </c>
      <c r="E643" s="4" t="s">
        <v>986</v>
      </c>
      <c r="F643" s="4" t="s">
        <v>728</v>
      </c>
      <c r="G643" s="4" t="s">
        <v>589</v>
      </c>
      <c r="H643" s="4" t="s">
        <v>590</v>
      </c>
      <c r="I643" s="9">
        <v>42786</v>
      </c>
      <c r="J643" s="11">
        <v>200</v>
      </c>
      <c r="K643" s="4" t="s">
        <v>62</v>
      </c>
      <c r="L643" s="11">
        <v>5.1424199999999995</v>
      </c>
      <c r="M643" s="11">
        <v>1028.48</v>
      </c>
      <c r="N643" s="4" t="s">
        <v>8</v>
      </c>
      <c r="O643" s="5">
        <v>5637289903</v>
      </c>
      <c r="P643" s="11" t="e">
        <f ca="1">_xll.AtlasFormulas.AtlasFunctions.AtlasBalance("UAT",DataAreaId,"T.MarkupTrans","Sum|Posted|0","","","","","","","TransRecId|TransTableId|MarkupCode",$O643,"492","TPP")</f>
        <v>#NAME?</v>
      </c>
    </row>
    <row r="644" spans="1:16" x14ac:dyDescent="0.15">
      <c r="A644" s="4" t="s">
        <v>227</v>
      </c>
      <c r="B644" s="4" t="s">
        <v>228</v>
      </c>
      <c r="C644" s="4" t="s">
        <v>82</v>
      </c>
      <c r="D644" s="4" t="s">
        <v>564</v>
      </c>
      <c r="E644" s="4" t="s">
        <v>565</v>
      </c>
      <c r="F644" s="4" t="s">
        <v>231</v>
      </c>
      <c r="G644" s="4" t="s">
        <v>589</v>
      </c>
      <c r="H644" s="4" t="s">
        <v>590</v>
      </c>
      <c r="I644" s="9">
        <v>42787</v>
      </c>
      <c r="J644" s="11">
        <v>200</v>
      </c>
      <c r="K644" s="4" t="s">
        <v>62</v>
      </c>
      <c r="L644" s="11">
        <v>5.1424199999999995</v>
      </c>
      <c r="M644" s="11">
        <v>1028.48</v>
      </c>
      <c r="N644" s="4" t="s">
        <v>8</v>
      </c>
      <c r="O644" s="5">
        <v>5637290925</v>
      </c>
      <c r="P644" s="11" t="e">
        <f ca="1">_xll.AtlasFormulas.AtlasFunctions.AtlasBalance("UAT",DataAreaId,"T.MarkupTrans","Sum|Posted|0","","","","","","","TransRecId|TransTableId|MarkupCode",$O644,"492","TPP")</f>
        <v>#NAME?</v>
      </c>
    </row>
    <row r="645" spans="1:16" x14ac:dyDescent="0.15">
      <c r="A645" s="4" t="s">
        <v>227</v>
      </c>
      <c r="B645" s="4" t="s">
        <v>228</v>
      </c>
      <c r="C645" s="4" t="s">
        <v>82</v>
      </c>
      <c r="D645" s="4" t="s">
        <v>286</v>
      </c>
      <c r="E645" s="4" t="s">
        <v>568</v>
      </c>
      <c r="F645" s="4" t="s">
        <v>231</v>
      </c>
      <c r="G645" s="4" t="s">
        <v>589</v>
      </c>
      <c r="H645" s="4" t="s">
        <v>590</v>
      </c>
      <c r="I645" s="9">
        <v>42817</v>
      </c>
      <c r="J645" s="11">
        <v>200</v>
      </c>
      <c r="K645" s="4" t="s">
        <v>62</v>
      </c>
      <c r="L645" s="11">
        <v>5.14</v>
      </c>
      <c r="M645" s="11">
        <v>1028</v>
      </c>
      <c r="N645" s="4" t="s">
        <v>8</v>
      </c>
      <c r="O645" s="5">
        <v>5637291189</v>
      </c>
      <c r="P645" s="11" t="e">
        <f ca="1">_xll.AtlasFormulas.AtlasFunctions.AtlasBalance("UAT",DataAreaId,"T.MarkupTrans","Sum|Posted|0","","","","","","","TransRecId|TransTableId|MarkupCode",$O645,"492","TPP")</f>
        <v>#NAME?</v>
      </c>
    </row>
    <row r="646" spans="1:16" x14ac:dyDescent="0.15">
      <c r="A646" s="4" t="s">
        <v>227</v>
      </c>
      <c r="B646" s="4" t="s">
        <v>228</v>
      </c>
      <c r="C646" s="4" t="s">
        <v>82</v>
      </c>
      <c r="D646" s="4" t="s">
        <v>566</v>
      </c>
      <c r="E646" s="4" t="s">
        <v>567</v>
      </c>
      <c r="F646" s="4" t="s">
        <v>231</v>
      </c>
      <c r="G646" s="4" t="s">
        <v>589</v>
      </c>
      <c r="H646" s="4" t="s">
        <v>590</v>
      </c>
      <c r="I646" s="9">
        <v>42817</v>
      </c>
      <c r="J646" s="11">
        <v>-200</v>
      </c>
      <c r="K646" s="4" t="s">
        <v>62</v>
      </c>
      <c r="L646" s="11">
        <v>5.1424199999999995</v>
      </c>
      <c r="M646" s="11">
        <v>-1028.48</v>
      </c>
      <c r="N646" s="4" t="s">
        <v>8</v>
      </c>
      <c r="O646" s="5">
        <v>5637291216</v>
      </c>
      <c r="P646" s="11" t="e">
        <f ca="1">_xll.AtlasFormulas.AtlasFunctions.AtlasBalance("UAT",DataAreaId,"T.MarkupTrans","Sum|Posted|0","","","","","","","TransRecId|TransTableId|MarkupCode",$O646,"492","TPP")</f>
        <v>#NAME?</v>
      </c>
    </row>
    <row r="647" spans="1:16" x14ac:dyDescent="0.15">
      <c r="A647" s="4" t="s">
        <v>227</v>
      </c>
      <c r="B647" s="4" t="s">
        <v>228</v>
      </c>
      <c r="C647" s="4" t="s">
        <v>82</v>
      </c>
      <c r="D647" s="4" t="s">
        <v>257</v>
      </c>
      <c r="E647" s="4" t="s">
        <v>258</v>
      </c>
      <c r="F647" s="4" t="s">
        <v>231</v>
      </c>
      <c r="G647" s="4" t="s">
        <v>589</v>
      </c>
      <c r="H647" s="4" t="s">
        <v>590</v>
      </c>
      <c r="I647" s="9">
        <v>42873</v>
      </c>
      <c r="J647" s="11">
        <v>100</v>
      </c>
      <c r="K647" s="4" t="s">
        <v>62</v>
      </c>
      <c r="L647" s="11">
        <v>5.14</v>
      </c>
      <c r="M647" s="11">
        <v>514</v>
      </c>
      <c r="N647" s="4" t="s">
        <v>8</v>
      </c>
      <c r="O647" s="5">
        <v>5637292210</v>
      </c>
      <c r="P647" s="11" t="e">
        <f ca="1">_xll.AtlasFormulas.AtlasFunctions.AtlasBalance("UAT",DataAreaId,"T.MarkupTrans","Sum|Posted|0","","","","","","","TransRecId|TransTableId|MarkupCode",$O647,"492","TPP")</f>
        <v>#NAME?</v>
      </c>
    </row>
    <row r="648" spans="1:16" x14ac:dyDescent="0.15">
      <c r="A648" s="4" t="s">
        <v>20</v>
      </c>
      <c r="B648" s="4" t="s">
        <v>937</v>
      </c>
      <c r="C648" s="4" t="s">
        <v>938</v>
      </c>
      <c r="D648" s="4" t="s">
        <v>983</v>
      </c>
      <c r="E648" s="4" t="s">
        <v>984</v>
      </c>
      <c r="F648" s="4" t="s">
        <v>728</v>
      </c>
      <c r="G648" s="4" t="s">
        <v>589</v>
      </c>
      <c r="H648" s="4" t="s">
        <v>590</v>
      </c>
      <c r="I648" s="9">
        <v>42914</v>
      </c>
      <c r="J648" s="11">
        <v>1000</v>
      </c>
      <c r="K648" s="4" t="s">
        <v>62</v>
      </c>
      <c r="L648" s="11">
        <v>5.1424199999999995</v>
      </c>
      <c r="M648" s="11">
        <v>5142.42</v>
      </c>
      <c r="N648" s="4" t="s">
        <v>8</v>
      </c>
      <c r="O648" s="5">
        <v>5637292952</v>
      </c>
      <c r="P648" s="11" t="e">
        <f ca="1">_xll.AtlasFormulas.AtlasFunctions.AtlasBalance("UAT",DataAreaId,"T.MarkupTrans","Sum|Posted|0","","","","","","","TransRecId|TransTableId|MarkupCode",$O648,"492","TPP")</f>
        <v>#NAME?</v>
      </c>
    </row>
    <row r="649" spans="1:16" x14ac:dyDescent="0.15">
      <c r="A649" s="4" t="s">
        <v>20</v>
      </c>
      <c r="B649" s="4" t="s">
        <v>937</v>
      </c>
      <c r="C649" s="4" t="s">
        <v>938</v>
      </c>
      <c r="D649" s="4" t="s">
        <v>1009</v>
      </c>
      <c r="E649" s="4" t="s">
        <v>1010</v>
      </c>
      <c r="F649" s="4" t="s">
        <v>728</v>
      </c>
      <c r="G649" s="4" t="s">
        <v>589</v>
      </c>
      <c r="H649" s="4" t="s">
        <v>590</v>
      </c>
      <c r="I649" s="9">
        <v>42914</v>
      </c>
      <c r="J649" s="11">
        <v>100</v>
      </c>
      <c r="K649" s="4" t="s">
        <v>62</v>
      </c>
      <c r="L649" s="11">
        <v>5.1424199999999995</v>
      </c>
      <c r="M649" s="11">
        <v>514.24</v>
      </c>
      <c r="N649" s="4" t="s">
        <v>8</v>
      </c>
      <c r="O649" s="5">
        <v>5637292949</v>
      </c>
      <c r="P649" s="11" t="e">
        <f ca="1">_xll.AtlasFormulas.AtlasFunctions.AtlasBalance("UAT",DataAreaId,"T.MarkupTrans","Sum|Posted|0","","","","","","","TransRecId|TransTableId|MarkupCode",$O649,"492","TPP")</f>
        <v>#NAME?</v>
      </c>
    </row>
    <row r="650" spans="1:16" x14ac:dyDescent="0.15">
      <c r="A650" s="4" t="s">
        <v>227</v>
      </c>
      <c r="B650" s="4" t="s">
        <v>228</v>
      </c>
      <c r="C650" s="4" t="s">
        <v>82</v>
      </c>
      <c r="D650" s="4" t="s">
        <v>426</v>
      </c>
      <c r="E650" s="4" t="s">
        <v>591</v>
      </c>
      <c r="F650" s="4" t="s">
        <v>231</v>
      </c>
      <c r="G650" s="4" t="s">
        <v>589</v>
      </c>
      <c r="H650" s="4" t="s">
        <v>590</v>
      </c>
      <c r="I650" s="9">
        <v>42915</v>
      </c>
      <c r="J650" s="11">
        <v>100</v>
      </c>
      <c r="K650" s="4" t="s">
        <v>62</v>
      </c>
      <c r="L650" s="11">
        <v>5.1424199999999995</v>
      </c>
      <c r="M650" s="11">
        <v>514.24</v>
      </c>
      <c r="N650" s="4" t="s">
        <v>8</v>
      </c>
      <c r="O650" s="5">
        <v>5637292924</v>
      </c>
      <c r="P650" s="11" t="e">
        <f ca="1">_xll.AtlasFormulas.AtlasFunctions.AtlasBalance("UAT",DataAreaId,"T.MarkupTrans","Sum|Posted|0","","","","","","","TransRecId|TransTableId|MarkupCode",$O650,"492","TPP")</f>
        <v>#NAME?</v>
      </c>
    </row>
    <row r="651" spans="1:16" x14ac:dyDescent="0.15">
      <c r="A651" s="4" t="s">
        <v>227</v>
      </c>
      <c r="B651" s="4" t="s">
        <v>228</v>
      </c>
      <c r="C651" s="4" t="s">
        <v>82</v>
      </c>
      <c r="D651" s="4" t="s">
        <v>479</v>
      </c>
      <c r="E651" s="4" t="s">
        <v>558</v>
      </c>
      <c r="F651" s="4" t="s">
        <v>231</v>
      </c>
      <c r="G651" s="4" t="s">
        <v>589</v>
      </c>
      <c r="H651" s="4" t="s">
        <v>590</v>
      </c>
      <c r="I651" s="9">
        <v>42915</v>
      </c>
      <c r="J651" s="11">
        <v>1000</v>
      </c>
      <c r="K651" s="4" t="s">
        <v>62</v>
      </c>
      <c r="L651" s="11">
        <v>5.1424199999999995</v>
      </c>
      <c r="M651" s="11">
        <v>5142.42</v>
      </c>
      <c r="N651" s="4" t="s">
        <v>8</v>
      </c>
      <c r="O651" s="5">
        <v>5637293017</v>
      </c>
      <c r="P651" s="11" t="e">
        <f ca="1">_xll.AtlasFormulas.AtlasFunctions.AtlasBalance("UAT",DataAreaId,"T.MarkupTrans","Sum|Posted|0","","","","","","","TransRecId|TransTableId|MarkupCode",$O651,"492","TPP")</f>
        <v>#NAME?</v>
      </c>
    </row>
    <row r="652" spans="1:16" x14ac:dyDescent="0.15">
      <c r="A652" s="4" t="s">
        <v>227</v>
      </c>
      <c r="B652" s="4" t="s">
        <v>228</v>
      </c>
      <c r="C652" s="4" t="s">
        <v>82</v>
      </c>
      <c r="D652" s="4" t="s">
        <v>552</v>
      </c>
      <c r="E652" s="4" t="s">
        <v>559</v>
      </c>
      <c r="F652" s="4" t="s">
        <v>231</v>
      </c>
      <c r="G652" s="4" t="s">
        <v>589</v>
      </c>
      <c r="H652" s="4" t="s">
        <v>590</v>
      </c>
      <c r="I652" s="9">
        <v>42915</v>
      </c>
      <c r="J652" s="11">
        <v>-1000</v>
      </c>
      <c r="K652" s="4" t="s">
        <v>62</v>
      </c>
      <c r="L652" s="11">
        <v>5.1424199999999995</v>
      </c>
      <c r="M652" s="11">
        <v>-5142.42</v>
      </c>
      <c r="N652" s="4" t="s">
        <v>8</v>
      </c>
      <c r="O652" s="5">
        <v>5637293023</v>
      </c>
      <c r="P652" s="11" t="e">
        <f ca="1">_xll.AtlasFormulas.AtlasFunctions.AtlasBalance("UAT",DataAreaId,"T.MarkupTrans","Sum|Posted|0","","","","","","","TransRecId|TransTableId|MarkupCode",$O652,"492","TPP")</f>
        <v>#NAME?</v>
      </c>
    </row>
    <row r="653" spans="1:16" x14ac:dyDescent="0.15">
      <c r="A653" s="4" t="s">
        <v>227</v>
      </c>
      <c r="B653" s="4" t="s">
        <v>228</v>
      </c>
      <c r="C653" s="4" t="s">
        <v>82</v>
      </c>
      <c r="D653" s="4" t="s">
        <v>560</v>
      </c>
      <c r="E653" s="4" t="s">
        <v>561</v>
      </c>
      <c r="F653" s="4" t="s">
        <v>231</v>
      </c>
      <c r="G653" s="4" t="s">
        <v>589</v>
      </c>
      <c r="H653" s="4" t="s">
        <v>590</v>
      </c>
      <c r="I653" s="9">
        <v>42926</v>
      </c>
      <c r="J653" s="11">
        <v>1000</v>
      </c>
      <c r="K653" s="4" t="s">
        <v>62</v>
      </c>
      <c r="L653" s="11">
        <v>5.1424199999999995</v>
      </c>
      <c r="M653" s="11">
        <v>5142.42</v>
      </c>
      <c r="N653" s="4" t="s">
        <v>8</v>
      </c>
      <c r="O653" s="5">
        <v>5637293402</v>
      </c>
      <c r="P653" s="11" t="e">
        <f ca="1">_xll.AtlasFormulas.AtlasFunctions.AtlasBalance("UAT",DataAreaId,"T.MarkupTrans","Sum|Posted|0","","","","","","","TransRecId|TransTableId|MarkupCode",$O653,"492","TPP")</f>
        <v>#NAME?</v>
      </c>
    </row>
    <row r="654" spans="1:16" x14ac:dyDescent="0.15">
      <c r="A654" s="4" t="s">
        <v>20</v>
      </c>
      <c r="B654" s="4" t="s">
        <v>957</v>
      </c>
      <c r="C654" s="4" t="s">
        <v>938</v>
      </c>
      <c r="D654" s="4" t="s">
        <v>962</v>
      </c>
      <c r="E654" s="4" t="s">
        <v>982</v>
      </c>
      <c r="F654" s="4" t="s">
        <v>728</v>
      </c>
      <c r="G654" s="4" t="s">
        <v>592</v>
      </c>
      <c r="H654" s="4" t="s">
        <v>593</v>
      </c>
      <c r="I654" s="9">
        <v>42769</v>
      </c>
      <c r="J654" s="11">
        <v>750</v>
      </c>
      <c r="K654" s="4" t="s">
        <v>62</v>
      </c>
      <c r="L654" s="11">
        <v>8.7671100000000006</v>
      </c>
      <c r="M654" s="11">
        <v>6575.33</v>
      </c>
      <c r="N654" s="4" t="s">
        <v>8</v>
      </c>
      <c r="O654" s="5">
        <v>5637289926</v>
      </c>
      <c r="P654" s="11" t="e">
        <f ca="1">_xll.AtlasFormulas.AtlasFunctions.AtlasBalance("UAT",DataAreaId,"T.MarkupTrans","Sum|Posted|0","","","","","","","TransRecId|TransTableId|MarkupCode",$O654,"492","TPP")</f>
        <v>#NAME?</v>
      </c>
    </row>
    <row r="655" spans="1:16" x14ac:dyDescent="0.15">
      <c r="A655" s="4" t="s">
        <v>20</v>
      </c>
      <c r="B655" s="4" t="s">
        <v>937</v>
      </c>
      <c r="C655" s="4" t="s">
        <v>938</v>
      </c>
      <c r="D655" s="4" t="s">
        <v>976</v>
      </c>
      <c r="E655" s="4" t="s">
        <v>977</v>
      </c>
      <c r="F655" s="4" t="s">
        <v>728</v>
      </c>
      <c r="G655" s="4" t="s">
        <v>592</v>
      </c>
      <c r="H655" s="4" t="s">
        <v>593</v>
      </c>
      <c r="I655" s="9">
        <v>42789</v>
      </c>
      <c r="J655" s="11">
        <v>300</v>
      </c>
      <c r="K655" s="4" t="s">
        <v>62</v>
      </c>
      <c r="L655" s="11">
        <v>8.77</v>
      </c>
      <c r="M655" s="11">
        <v>2631</v>
      </c>
      <c r="N655" s="4" t="s">
        <v>8</v>
      </c>
      <c r="O655" s="5">
        <v>5637289932</v>
      </c>
      <c r="P655" s="11" t="e">
        <f ca="1">_xll.AtlasFormulas.AtlasFunctions.AtlasBalance("UAT",DataAreaId,"T.MarkupTrans","Sum|Posted|0","","","","","","","TransRecId|TransTableId|MarkupCode",$O655,"492","TPP")</f>
        <v>#NAME?</v>
      </c>
    </row>
    <row r="656" spans="1:16" x14ac:dyDescent="0.15">
      <c r="A656" s="4" t="s">
        <v>288</v>
      </c>
      <c r="B656" s="4" t="s">
        <v>308</v>
      </c>
      <c r="C656" s="4" t="s">
        <v>82</v>
      </c>
      <c r="D656" s="4" t="s">
        <v>494</v>
      </c>
      <c r="E656" s="4" t="s">
        <v>557</v>
      </c>
      <c r="F656" s="4" t="s">
        <v>311</v>
      </c>
      <c r="G656" s="4" t="s">
        <v>592</v>
      </c>
      <c r="H656" s="4" t="s">
        <v>593</v>
      </c>
      <c r="I656" s="9">
        <v>42794</v>
      </c>
      <c r="J656" s="11">
        <v>300</v>
      </c>
      <c r="K656" s="4" t="s">
        <v>62</v>
      </c>
      <c r="L656" s="11">
        <v>8.77</v>
      </c>
      <c r="M656" s="11">
        <v>2631</v>
      </c>
      <c r="N656" s="4" t="s">
        <v>8</v>
      </c>
      <c r="O656" s="5">
        <v>5637290969</v>
      </c>
      <c r="P656" s="11" t="e">
        <f ca="1">_xll.AtlasFormulas.AtlasFunctions.AtlasBalance("UAT",DataAreaId,"T.MarkupTrans","Sum|Posted|0","","","","","","","TransRecId|TransTableId|MarkupCode",$O656,"492","TPP")</f>
        <v>#NAME?</v>
      </c>
    </row>
    <row r="657" spans="1:16" x14ac:dyDescent="0.15">
      <c r="A657" s="4" t="s">
        <v>20</v>
      </c>
      <c r="B657" s="4" t="s">
        <v>945</v>
      </c>
      <c r="C657" s="4" t="s">
        <v>946</v>
      </c>
      <c r="D657" s="4" t="s">
        <v>947</v>
      </c>
      <c r="E657" s="4" t="s">
        <v>948</v>
      </c>
      <c r="F657" s="4" t="s">
        <v>728</v>
      </c>
      <c r="G657" s="4" t="s">
        <v>592</v>
      </c>
      <c r="H657" s="4" t="s">
        <v>593</v>
      </c>
      <c r="I657" s="9">
        <v>42837</v>
      </c>
      <c r="J657" s="11">
        <v>600</v>
      </c>
      <c r="K657" s="4" t="s">
        <v>62</v>
      </c>
      <c r="L657" s="11">
        <v>8.77</v>
      </c>
      <c r="M657" s="11">
        <v>5262</v>
      </c>
      <c r="N657" s="4" t="s">
        <v>8</v>
      </c>
      <c r="O657" s="5">
        <v>5637291650</v>
      </c>
      <c r="P657" s="11" t="e">
        <f ca="1">_xll.AtlasFormulas.AtlasFunctions.AtlasBalance("UAT",DataAreaId,"T.MarkupTrans","Sum|Posted|0","","","","","","","TransRecId|TransTableId|MarkupCode",$O657,"492","TPP")</f>
        <v>#NAME?</v>
      </c>
    </row>
    <row r="658" spans="1:16" x14ac:dyDescent="0.15">
      <c r="A658" s="4" t="s">
        <v>220</v>
      </c>
      <c r="B658" s="4" t="s">
        <v>417</v>
      </c>
      <c r="C658" s="4" t="s">
        <v>82</v>
      </c>
      <c r="D658" s="4" t="s">
        <v>229</v>
      </c>
      <c r="E658" s="4" t="s">
        <v>546</v>
      </c>
      <c r="F658" s="4" t="s">
        <v>224</v>
      </c>
      <c r="G658" s="4" t="s">
        <v>592</v>
      </c>
      <c r="H658" s="4" t="s">
        <v>593</v>
      </c>
      <c r="I658" s="9">
        <v>42843</v>
      </c>
      <c r="J658" s="11">
        <v>600</v>
      </c>
      <c r="K658" s="4" t="s">
        <v>62</v>
      </c>
      <c r="L658" s="11">
        <v>8.77</v>
      </c>
      <c r="M658" s="11">
        <v>5262</v>
      </c>
      <c r="N658" s="4" t="s">
        <v>8</v>
      </c>
      <c r="O658" s="5">
        <v>5637291677</v>
      </c>
      <c r="P658" s="11" t="e">
        <f ca="1">_xll.AtlasFormulas.AtlasFunctions.AtlasBalance("UAT",DataAreaId,"T.MarkupTrans","Sum|Posted|0","","","","","","","TransRecId|TransTableId|MarkupCode",$O658,"492","TPP")</f>
        <v>#NAME?</v>
      </c>
    </row>
    <row r="659" spans="1:16" x14ac:dyDescent="0.15">
      <c r="A659" s="4" t="s">
        <v>20</v>
      </c>
      <c r="B659" s="4" t="s">
        <v>937</v>
      </c>
      <c r="C659" s="4" t="s">
        <v>938</v>
      </c>
      <c r="D659" s="4" t="s">
        <v>1011</v>
      </c>
      <c r="E659" s="4" t="s">
        <v>1012</v>
      </c>
      <c r="F659" s="4" t="s">
        <v>728</v>
      </c>
      <c r="G659" s="4" t="s">
        <v>592</v>
      </c>
      <c r="H659" s="4" t="s">
        <v>593</v>
      </c>
      <c r="I659" s="9">
        <v>42864</v>
      </c>
      <c r="J659" s="11">
        <v>1050</v>
      </c>
      <c r="K659" s="4" t="s">
        <v>62</v>
      </c>
      <c r="L659" s="11">
        <v>8.77</v>
      </c>
      <c r="M659" s="11">
        <v>9208.5</v>
      </c>
      <c r="N659" s="4" t="s">
        <v>8</v>
      </c>
      <c r="O659" s="5">
        <v>5637291866</v>
      </c>
      <c r="P659" s="11" t="e">
        <f ca="1">_xll.AtlasFormulas.AtlasFunctions.AtlasBalance("UAT",DataAreaId,"T.MarkupTrans","Sum|Posted|0","","","","","","","TransRecId|TransTableId|MarkupCode",$O659,"492","TPP")</f>
        <v>#NAME?</v>
      </c>
    </row>
    <row r="660" spans="1:16" x14ac:dyDescent="0.15">
      <c r="A660" s="4" t="s">
        <v>288</v>
      </c>
      <c r="B660" s="4" t="s">
        <v>308</v>
      </c>
      <c r="C660" s="4" t="s">
        <v>82</v>
      </c>
      <c r="D660" s="4" t="s">
        <v>594</v>
      </c>
      <c r="E660" s="4" t="s">
        <v>595</v>
      </c>
      <c r="F660" s="4" t="s">
        <v>311</v>
      </c>
      <c r="G660" s="4" t="s">
        <v>592</v>
      </c>
      <c r="H660" s="4" t="s">
        <v>593</v>
      </c>
      <c r="I660" s="9">
        <v>42866</v>
      </c>
      <c r="J660" s="11">
        <v>1050</v>
      </c>
      <c r="K660" s="4" t="s">
        <v>62</v>
      </c>
      <c r="L660" s="11">
        <v>8.77</v>
      </c>
      <c r="M660" s="11">
        <v>9208.5</v>
      </c>
      <c r="N660" s="4" t="s">
        <v>8</v>
      </c>
      <c r="O660" s="5">
        <v>5637292180</v>
      </c>
      <c r="P660" s="11" t="e">
        <f ca="1">_xll.AtlasFormulas.AtlasFunctions.AtlasBalance("UAT",DataAreaId,"T.MarkupTrans","Sum|Posted|0","","","","","","","TransRecId|TransTableId|MarkupCode",$O660,"492","TPP")</f>
        <v>#NAME?</v>
      </c>
    </row>
    <row r="661" spans="1:16" x14ac:dyDescent="0.15">
      <c r="A661" s="4" t="s">
        <v>20</v>
      </c>
      <c r="B661" s="4" t="s">
        <v>957</v>
      </c>
      <c r="C661" s="4" t="s">
        <v>938</v>
      </c>
      <c r="D661" s="4" t="s">
        <v>962</v>
      </c>
      <c r="E661" s="4" t="s">
        <v>982</v>
      </c>
      <c r="F661" s="4" t="s">
        <v>728</v>
      </c>
      <c r="G661" s="4" t="s">
        <v>1013</v>
      </c>
      <c r="H661" s="4" t="s">
        <v>1014</v>
      </c>
      <c r="I661" s="9">
        <v>42769</v>
      </c>
      <c r="J661" s="11">
        <v>750</v>
      </c>
      <c r="K661" s="4" t="s">
        <v>62</v>
      </c>
      <c r="L661" s="11">
        <v>10.62025</v>
      </c>
      <c r="M661" s="11">
        <v>7965.19</v>
      </c>
      <c r="N661" s="4" t="s">
        <v>8</v>
      </c>
      <c r="O661" s="5">
        <v>5637289927</v>
      </c>
      <c r="P661" s="11" t="e">
        <f ca="1">_xll.AtlasFormulas.AtlasFunctions.AtlasBalance("UAT",DataAreaId,"T.MarkupTrans","Sum|Posted|0","","","","","","","TransRecId|TransTableId|MarkupCode",$O661,"492","TPP")</f>
        <v>#NAME?</v>
      </c>
    </row>
    <row r="662" spans="1:16" x14ac:dyDescent="0.15">
      <c r="A662" s="4" t="s">
        <v>20</v>
      </c>
      <c r="B662" s="4" t="s">
        <v>945</v>
      </c>
      <c r="C662" s="4" t="s">
        <v>946</v>
      </c>
      <c r="D662" s="4" t="s">
        <v>974</v>
      </c>
      <c r="E662" s="4" t="s">
        <v>975</v>
      </c>
      <c r="F662" s="4" t="s">
        <v>728</v>
      </c>
      <c r="G662" s="4" t="s">
        <v>596</v>
      </c>
      <c r="H662" s="4" t="s">
        <v>597</v>
      </c>
      <c r="I662" s="9">
        <v>42786</v>
      </c>
      <c r="J662" s="11">
        <v>300</v>
      </c>
      <c r="K662" s="4" t="s">
        <v>62</v>
      </c>
      <c r="L662" s="11">
        <v>12.34</v>
      </c>
      <c r="M662" s="11">
        <v>3702</v>
      </c>
      <c r="N662" s="4" t="s">
        <v>8</v>
      </c>
      <c r="O662" s="5">
        <v>5637289912</v>
      </c>
      <c r="P662" s="11" t="e">
        <f ca="1">_xll.AtlasFormulas.AtlasFunctions.AtlasBalance("UAT",DataAreaId,"T.MarkupTrans","Sum|Posted|0","","","","","","","TransRecId|TransTableId|MarkupCode",$O662,"492","TPP")</f>
        <v>#NAME?</v>
      </c>
    </row>
    <row r="663" spans="1:16" x14ac:dyDescent="0.15">
      <c r="A663" s="4" t="s">
        <v>220</v>
      </c>
      <c r="B663" s="4" t="s">
        <v>417</v>
      </c>
      <c r="C663" s="4" t="s">
        <v>82</v>
      </c>
      <c r="D663" s="4" t="s">
        <v>554</v>
      </c>
      <c r="E663" s="4" t="s">
        <v>555</v>
      </c>
      <c r="F663" s="4" t="s">
        <v>224</v>
      </c>
      <c r="G663" s="4" t="s">
        <v>596</v>
      </c>
      <c r="H663" s="4" t="s">
        <v>597</v>
      </c>
      <c r="I663" s="9">
        <v>42787</v>
      </c>
      <c r="J663" s="11">
        <v>300</v>
      </c>
      <c r="K663" s="4" t="s">
        <v>62</v>
      </c>
      <c r="L663" s="11">
        <v>12.34</v>
      </c>
      <c r="M663" s="11">
        <v>3702</v>
      </c>
      <c r="N663" s="4" t="s">
        <v>8</v>
      </c>
      <c r="O663" s="5">
        <v>5637289941</v>
      </c>
      <c r="P663" s="11" t="e">
        <f ca="1">_xll.AtlasFormulas.AtlasFunctions.AtlasBalance("UAT",DataAreaId,"T.MarkupTrans","Sum|Posted|0","","","","","","","TransRecId|TransTableId|MarkupCode",$O663,"492","TPP")</f>
        <v>#NAME?</v>
      </c>
    </row>
    <row r="664" spans="1:16" x14ac:dyDescent="0.15">
      <c r="A664" s="4" t="s">
        <v>20</v>
      </c>
      <c r="B664" s="4" t="s">
        <v>945</v>
      </c>
      <c r="C664" s="4" t="s">
        <v>946</v>
      </c>
      <c r="D664" s="4" t="s">
        <v>978</v>
      </c>
      <c r="E664" s="4" t="s">
        <v>979</v>
      </c>
      <c r="F664" s="4" t="s">
        <v>728</v>
      </c>
      <c r="G664" s="4" t="s">
        <v>596</v>
      </c>
      <c r="H664" s="4" t="s">
        <v>597</v>
      </c>
      <c r="I664" s="9">
        <v>42790</v>
      </c>
      <c r="J664" s="11">
        <v>300</v>
      </c>
      <c r="K664" s="4" t="s">
        <v>62</v>
      </c>
      <c r="L664" s="11">
        <v>11.29</v>
      </c>
      <c r="M664" s="11">
        <v>3387</v>
      </c>
      <c r="N664" s="4" t="s">
        <v>8</v>
      </c>
      <c r="O664" s="5">
        <v>5637290908</v>
      </c>
      <c r="P664" s="11" t="e">
        <f ca="1">_xll.AtlasFormulas.AtlasFunctions.AtlasBalance("UAT",DataAreaId,"T.MarkupTrans","Sum|Posted|0","","","","","","","TransRecId|TransTableId|MarkupCode",$O664,"492","TPP")</f>
        <v>#NAME?</v>
      </c>
    </row>
    <row r="665" spans="1:16" x14ac:dyDescent="0.15">
      <c r="A665" s="4" t="s">
        <v>220</v>
      </c>
      <c r="B665" s="4" t="s">
        <v>417</v>
      </c>
      <c r="C665" s="4" t="s">
        <v>82</v>
      </c>
      <c r="D665" s="4" t="s">
        <v>355</v>
      </c>
      <c r="E665" s="4" t="s">
        <v>556</v>
      </c>
      <c r="F665" s="4" t="s">
        <v>224</v>
      </c>
      <c r="G665" s="4" t="s">
        <v>596</v>
      </c>
      <c r="H665" s="4" t="s">
        <v>597</v>
      </c>
      <c r="I665" s="9">
        <v>42794</v>
      </c>
      <c r="J665" s="11">
        <v>300</v>
      </c>
      <c r="K665" s="4" t="s">
        <v>62</v>
      </c>
      <c r="L665" s="11">
        <v>11.29</v>
      </c>
      <c r="M665" s="11">
        <v>3387</v>
      </c>
      <c r="N665" s="4" t="s">
        <v>8</v>
      </c>
      <c r="O665" s="5">
        <v>5637290918</v>
      </c>
      <c r="P665" s="11" t="e">
        <f ca="1">_xll.AtlasFormulas.AtlasFunctions.AtlasBalance("UAT",DataAreaId,"T.MarkupTrans","Sum|Posted|0","","","","","","","TransRecId|TransTableId|MarkupCode",$O665,"492","TPP")</f>
        <v>#NAME?</v>
      </c>
    </row>
    <row r="666" spans="1:16" x14ac:dyDescent="0.15">
      <c r="A666" s="4" t="s">
        <v>20</v>
      </c>
      <c r="B666" s="4" t="s">
        <v>957</v>
      </c>
      <c r="C666" s="4" t="s">
        <v>938</v>
      </c>
      <c r="D666" s="4" t="s">
        <v>962</v>
      </c>
      <c r="E666" s="4" t="s">
        <v>982</v>
      </c>
      <c r="F666" s="4" t="s">
        <v>728</v>
      </c>
      <c r="G666" s="4" t="s">
        <v>598</v>
      </c>
      <c r="H666" s="4" t="s">
        <v>599</v>
      </c>
      <c r="I666" s="9">
        <v>42769</v>
      </c>
      <c r="J666" s="11">
        <v>600</v>
      </c>
      <c r="K666" s="4" t="s">
        <v>62</v>
      </c>
      <c r="L666" s="11">
        <v>12.042260000000001</v>
      </c>
      <c r="M666" s="11">
        <v>7225.36</v>
      </c>
      <c r="N666" s="4" t="s">
        <v>8</v>
      </c>
      <c r="O666" s="5">
        <v>5637289929</v>
      </c>
      <c r="P666" s="11" t="e">
        <f ca="1">_xll.AtlasFormulas.AtlasFunctions.AtlasBalance("UAT",DataAreaId,"T.MarkupTrans","Sum|Posted|0","","","","","","","TransRecId|TransTableId|MarkupCode",$O666,"492","TPP")</f>
        <v>#NAME?</v>
      </c>
    </row>
    <row r="667" spans="1:16" x14ac:dyDescent="0.15">
      <c r="A667" s="4" t="s">
        <v>20</v>
      </c>
      <c r="B667" s="4" t="s">
        <v>945</v>
      </c>
      <c r="C667" s="4" t="s">
        <v>946</v>
      </c>
      <c r="D667" s="4" t="s">
        <v>978</v>
      </c>
      <c r="E667" s="4" t="s">
        <v>979</v>
      </c>
      <c r="F667" s="4" t="s">
        <v>728</v>
      </c>
      <c r="G667" s="4" t="s">
        <v>598</v>
      </c>
      <c r="H667" s="4" t="s">
        <v>599</v>
      </c>
      <c r="I667" s="9">
        <v>42790</v>
      </c>
      <c r="J667" s="11">
        <v>800</v>
      </c>
      <c r="K667" s="4" t="s">
        <v>62</v>
      </c>
      <c r="L667" s="11">
        <v>12.04</v>
      </c>
      <c r="M667" s="11">
        <v>9632</v>
      </c>
      <c r="N667" s="4" t="s">
        <v>8</v>
      </c>
      <c r="O667" s="5">
        <v>5637290909</v>
      </c>
      <c r="P667" s="11" t="e">
        <f ca="1">_xll.AtlasFormulas.AtlasFunctions.AtlasBalance("UAT",DataAreaId,"T.MarkupTrans","Sum|Posted|0","","","","","","","TransRecId|TransTableId|MarkupCode",$O667,"492","TPP")</f>
        <v>#NAME?</v>
      </c>
    </row>
    <row r="668" spans="1:16" x14ac:dyDescent="0.15">
      <c r="A668" s="4" t="s">
        <v>220</v>
      </c>
      <c r="B668" s="4" t="s">
        <v>417</v>
      </c>
      <c r="C668" s="4" t="s">
        <v>82</v>
      </c>
      <c r="D668" s="4" t="s">
        <v>355</v>
      </c>
      <c r="E668" s="4" t="s">
        <v>556</v>
      </c>
      <c r="F668" s="4" t="s">
        <v>224</v>
      </c>
      <c r="G668" s="4" t="s">
        <v>598</v>
      </c>
      <c r="H668" s="4" t="s">
        <v>599</v>
      </c>
      <c r="I668" s="9">
        <v>42794</v>
      </c>
      <c r="J668" s="11">
        <v>800</v>
      </c>
      <c r="K668" s="4" t="s">
        <v>62</v>
      </c>
      <c r="L668" s="11">
        <v>12.04</v>
      </c>
      <c r="M668" s="11">
        <v>9632</v>
      </c>
      <c r="N668" s="4" t="s">
        <v>8</v>
      </c>
      <c r="O668" s="5">
        <v>5637290919</v>
      </c>
      <c r="P668" s="11" t="e">
        <f ca="1">_xll.AtlasFormulas.AtlasFunctions.AtlasBalance("UAT",DataAreaId,"T.MarkupTrans","Sum|Posted|0","","","","","","","TransRecId|TransTableId|MarkupCode",$O668,"492","TPP")</f>
        <v>#NAME?</v>
      </c>
    </row>
    <row r="669" spans="1:16" x14ac:dyDescent="0.15">
      <c r="A669" s="4" t="s">
        <v>20</v>
      </c>
      <c r="B669" s="4" t="s">
        <v>945</v>
      </c>
      <c r="C669" s="4" t="s">
        <v>946</v>
      </c>
      <c r="D669" s="4" t="s">
        <v>947</v>
      </c>
      <c r="E669" s="4" t="s">
        <v>948</v>
      </c>
      <c r="F669" s="4" t="s">
        <v>728</v>
      </c>
      <c r="G669" s="4" t="s">
        <v>598</v>
      </c>
      <c r="H669" s="4" t="s">
        <v>599</v>
      </c>
      <c r="I669" s="9">
        <v>42837</v>
      </c>
      <c r="J669" s="11">
        <v>1200</v>
      </c>
      <c r="K669" s="4" t="s">
        <v>62</v>
      </c>
      <c r="L669" s="11">
        <v>12.04</v>
      </c>
      <c r="M669" s="11">
        <v>14448</v>
      </c>
      <c r="N669" s="4" t="s">
        <v>8</v>
      </c>
      <c r="O669" s="5">
        <v>5637291651</v>
      </c>
      <c r="P669" s="11" t="e">
        <f ca="1">_xll.AtlasFormulas.AtlasFunctions.AtlasBalance("UAT",DataAreaId,"T.MarkupTrans","Sum|Posted|0","","","","","","","TransRecId|TransTableId|MarkupCode",$O669,"492","TPP")</f>
        <v>#NAME?</v>
      </c>
    </row>
    <row r="670" spans="1:16" x14ac:dyDescent="0.15">
      <c r="A670" s="4" t="s">
        <v>220</v>
      </c>
      <c r="B670" s="4" t="s">
        <v>417</v>
      </c>
      <c r="C670" s="4" t="s">
        <v>82</v>
      </c>
      <c r="D670" s="4" t="s">
        <v>229</v>
      </c>
      <c r="E670" s="4" t="s">
        <v>546</v>
      </c>
      <c r="F670" s="4" t="s">
        <v>224</v>
      </c>
      <c r="G670" s="4" t="s">
        <v>598</v>
      </c>
      <c r="H670" s="4" t="s">
        <v>599</v>
      </c>
      <c r="I670" s="9">
        <v>42843</v>
      </c>
      <c r="J670" s="11">
        <v>1200</v>
      </c>
      <c r="K670" s="4" t="s">
        <v>62</v>
      </c>
      <c r="L670" s="11">
        <v>12.04</v>
      </c>
      <c r="M670" s="11">
        <v>14448</v>
      </c>
      <c r="N670" s="4" t="s">
        <v>8</v>
      </c>
      <c r="O670" s="5">
        <v>5637291678</v>
      </c>
      <c r="P670" s="11" t="e">
        <f ca="1">_xll.AtlasFormulas.AtlasFunctions.AtlasBalance("UAT",DataAreaId,"T.MarkupTrans","Sum|Posted|0","","","","","","","TransRecId|TransTableId|MarkupCode",$O670,"492","TPP")</f>
        <v>#NAME?</v>
      </c>
    </row>
    <row r="671" spans="1:16" x14ac:dyDescent="0.15">
      <c r="A671" s="4" t="s">
        <v>20</v>
      </c>
      <c r="B671" s="4" t="s">
        <v>945</v>
      </c>
      <c r="C671" s="4" t="s">
        <v>946</v>
      </c>
      <c r="D671" s="4" t="s">
        <v>989</v>
      </c>
      <c r="E671" s="4" t="s">
        <v>990</v>
      </c>
      <c r="F671" s="4" t="s">
        <v>728</v>
      </c>
      <c r="G671" s="4" t="s">
        <v>598</v>
      </c>
      <c r="H671" s="4" t="s">
        <v>599</v>
      </c>
      <c r="I671" s="9">
        <v>42906</v>
      </c>
      <c r="J671" s="11">
        <v>300</v>
      </c>
      <c r="K671" s="4" t="s">
        <v>62</v>
      </c>
      <c r="L671" s="11">
        <v>12.04</v>
      </c>
      <c r="M671" s="11">
        <v>3612</v>
      </c>
      <c r="N671" s="4" t="s">
        <v>8</v>
      </c>
      <c r="O671" s="5">
        <v>5637292649</v>
      </c>
      <c r="P671" s="11" t="e">
        <f ca="1">_xll.AtlasFormulas.AtlasFunctions.AtlasBalance("UAT",DataAreaId,"T.MarkupTrans","Sum|Posted|0","","","","","","","TransRecId|TransTableId|MarkupCode",$O671,"492","TPP")</f>
        <v>#NAME?</v>
      </c>
    </row>
    <row r="672" spans="1:16" x14ac:dyDescent="0.15">
      <c r="A672" s="4" t="s">
        <v>220</v>
      </c>
      <c r="B672" s="4" t="s">
        <v>417</v>
      </c>
      <c r="C672" s="4" t="s">
        <v>82</v>
      </c>
      <c r="D672" s="4" t="s">
        <v>569</v>
      </c>
      <c r="E672" s="4" t="s">
        <v>570</v>
      </c>
      <c r="F672" s="4" t="s">
        <v>224</v>
      </c>
      <c r="G672" s="4" t="s">
        <v>598</v>
      </c>
      <c r="H672" s="4" t="s">
        <v>599</v>
      </c>
      <c r="I672" s="9">
        <v>42907</v>
      </c>
      <c r="J672" s="11">
        <v>300</v>
      </c>
      <c r="K672" s="4" t="s">
        <v>62</v>
      </c>
      <c r="L672" s="11">
        <v>12.04</v>
      </c>
      <c r="M672" s="11">
        <v>3612</v>
      </c>
      <c r="N672" s="4" t="s">
        <v>8</v>
      </c>
      <c r="O672" s="5">
        <v>5637292664</v>
      </c>
      <c r="P672" s="11" t="e">
        <f ca="1">_xll.AtlasFormulas.AtlasFunctions.AtlasBalance("UAT",DataAreaId,"T.MarkupTrans","Sum|Posted|0","","","","","","","TransRecId|TransTableId|MarkupCode",$O672,"492","TPP")</f>
        <v>#NAME?</v>
      </c>
    </row>
    <row r="673" spans="1:16" x14ac:dyDescent="0.15">
      <c r="A673" s="4" t="s">
        <v>20</v>
      </c>
      <c r="B673" s="4" t="s">
        <v>945</v>
      </c>
      <c r="C673" s="4" t="s">
        <v>946</v>
      </c>
      <c r="D673" s="4" t="s">
        <v>1015</v>
      </c>
      <c r="E673" s="4" t="s">
        <v>1016</v>
      </c>
      <c r="F673" s="4" t="s">
        <v>728</v>
      </c>
      <c r="G673" s="4" t="s">
        <v>598</v>
      </c>
      <c r="H673" s="4" t="s">
        <v>599</v>
      </c>
      <c r="I673" s="9">
        <v>42909</v>
      </c>
      <c r="J673" s="11">
        <v>100</v>
      </c>
      <c r="K673" s="4" t="s">
        <v>62</v>
      </c>
      <c r="L673" s="11">
        <v>12.042260000000001</v>
      </c>
      <c r="M673" s="11">
        <v>1204.23</v>
      </c>
      <c r="N673" s="4" t="s">
        <v>8</v>
      </c>
      <c r="O673" s="5">
        <v>5637292904</v>
      </c>
      <c r="P673" s="11" t="e">
        <f ca="1">_xll.AtlasFormulas.AtlasFunctions.AtlasBalance("UAT",DataAreaId,"T.MarkupTrans","Sum|Posted|0","","","","","","","TransRecId|TransTableId|MarkupCode",$O673,"492","TPP")</f>
        <v>#NAME?</v>
      </c>
    </row>
    <row r="674" spans="1:16" x14ac:dyDescent="0.15">
      <c r="A674" s="4" t="s">
        <v>220</v>
      </c>
      <c r="B674" s="4" t="s">
        <v>417</v>
      </c>
      <c r="C674" s="4" t="s">
        <v>82</v>
      </c>
      <c r="D674" s="4" t="s">
        <v>600</v>
      </c>
      <c r="E674" s="4" t="s">
        <v>601</v>
      </c>
      <c r="F674" s="4" t="s">
        <v>224</v>
      </c>
      <c r="G674" s="4" t="s">
        <v>598</v>
      </c>
      <c r="H674" s="4" t="s">
        <v>599</v>
      </c>
      <c r="I674" s="9">
        <v>42916</v>
      </c>
      <c r="J674" s="11">
        <v>100</v>
      </c>
      <c r="K674" s="4" t="s">
        <v>62</v>
      </c>
      <c r="L674" s="11">
        <v>12.042260000000001</v>
      </c>
      <c r="M674" s="11">
        <v>1204.23</v>
      </c>
      <c r="N674" s="4" t="s">
        <v>8</v>
      </c>
      <c r="O674" s="5">
        <v>5637293401</v>
      </c>
      <c r="P674" s="11" t="e">
        <f ca="1">_xll.AtlasFormulas.AtlasFunctions.AtlasBalance("UAT",DataAreaId,"T.MarkupTrans","Sum|Posted|0","","","","","","","TransRecId|TransTableId|MarkupCode",$O674,"492","TPP")</f>
        <v>#NAME?</v>
      </c>
    </row>
    <row r="675" spans="1:16" x14ac:dyDescent="0.15">
      <c r="A675" s="4" t="s">
        <v>20</v>
      </c>
      <c r="B675" s="4" t="s">
        <v>957</v>
      </c>
      <c r="C675" s="4" t="s">
        <v>938</v>
      </c>
      <c r="D675" s="4" t="s">
        <v>962</v>
      </c>
      <c r="E675" s="4" t="s">
        <v>982</v>
      </c>
      <c r="F675" s="4" t="s">
        <v>728</v>
      </c>
      <c r="G675" s="4" t="s">
        <v>602</v>
      </c>
      <c r="H675" s="4" t="s">
        <v>603</v>
      </c>
      <c r="I675" s="9">
        <v>42769</v>
      </c>
      <c r="J675" s="11">
        <v>600</v>
      </c>
      <c r="K675" s="4" t="s">
        <v>62</v>
      </c>
      <c r="L675" s="11">
        <v>13.258209999999998</v>
      </c>
      <c r="M675" s="11">
        <v>7954.93</v>
      </c>
      <c r="N675" s="4" t="s">
        <v>8</v>
      </c>
      <c r="O675" s="5">
        <v>5637289928</v>
      </c>
      <c r="P675" s="11" t="e">
        <f ca="1">_xll.AtlasFormulas.AtlasFunctions.AtlasBalance("UAT",DataAreaId,"T.MarkupTrans","Sum|Posted|0","","","","","","","TransRecId|TransTableId|MarkupCode",$O675,"492","TPP")</f>
        <v>#NAME?</v>
      </c>
    </row>
    <row r="676" spans="1:16" x14ac:dyDescent="0.15">
      <c r="A676" s="4" t="s">
        <v>20</v>
      </c>
      <c r="B676" s="4" t="s">
        <v>937</v>
      </c>
      <c r="C676" s="4" t="s">
        <v>938</v>
      </c>
      <c r="D676" s="4" t="s">
        <v>985</v>
      </c>
      <c r="E676" s="4" t="s">
        <v>986</v>
      </c>
      <c r="F676" s="4" t="s">
        <v>728</v>
      </c>
      <c r="G676" s="4" t="s">
        <v>602</v>
      </c>
      <c r="H676" s="4" t="s">
        <v>603</v>
      </c>
      <c r="I676" s="9">
        <v>42786</v>
      </c>
      <c r="J676" s="11">
        <v>300</v>
      </c>
      <c r="K676" s="4" t="s">
        <v>62</v>
      </c>
      <c r="L676" s="11">
        <v>13.258209999999998</v>
      </c>
      <c r="M676" s="11">
        <v>3977.46</v>
      </c>
      <c r="N676" s="4" t="s">
        <v>8</v>
      </c>
      <c r="O676" s="5">
        <v>5637289907</v>
      </c>
      <c r="P676" s="11" t="e">
        <f ca="1">_xll.AtlasFormulas.AtlasFunctions.AtlasBalance("UAT",DataAreaId,"T.MarkupTrans","Sum|Posted|0","","","","","","","TransRecId|TransTableId|MarkupCode",$O676,"492","TPP")</f>
        <v>#NAME?</v>
      </c>
    </row>
    <row r="677" spans="1:16" x14ac:dyDescent="0.15">
      <c r="A677" s="4" t="s">
        <v>227</v>
      </c>
      <c r="B677" s="4" t="s">
        <v>228</v>
      </c>
      <c r="C677" s="4" t="s">
        <v>82</v>
      </c>
      <c r="D677" s="4" t="s">
        <v>564</v>
      </c>
      <c r="E677" s="4" t="s">
        <v>565</v>
      </c>
      <c r="F677" s="4" t="s">
        <v>231</v>
      </c>
      <c r="G677" s="4" t="s">
        <v>602</v>
      </c>
      <c r="H677" s="4" t="s">
        <v>603</v>
      </c>
      <c r="I677" s="9">
        <v>42787</v>
      </c>
      <c r="J677" s="11">
        <v>300</v>
      </c>
      <c r="K677" s="4" t="s">
        <v>62</v>
      </c>
      <c r="L677" s="11">
        <v>13.258209999999998</v>
      </c>
      <c r="M677" s="11">
        <v>3977.46</v>
      </c>
      <c r="N677" s="4" t="s">
        <v>8</v>
      </c>
      <c r="O677" s="5">
        <v>5637290929</v>
      </c>
      <c r="P677" s="11" t="e">
        <f ca="1">_xll.AtlasFormulas.AtlasFunctions.AtlasBalance("UAT",DataAreaId,"T.MarkupTrans","Sum|Posted|0","","","","","","","TransRecId|TransTableId|MarkupCode",$O677,"492","TPP")</f>
        <v>#NAME?</v>
      </c>
    </row>
    <row r="678" spans="1:16" x14ac:dyDescent="0.15">
      <c r="A678" s="4" t="s">
        <v>20</v>
      </c>
      <c r="B678" s="4" t="s">
        <v>945</v>
      </c>
      <c r="C678" s="4" t="s">
        <v>946</v>
      </c>
      <c r="D678" s="4" t="s">
        <v>978</v>
      </c>
      <c r="E678" s="4" t="s">
        <v>979</v>
      </c>
      <c r="F678" s="4" t="s">
        <v>728</v>
      </c>
      <c r="G678" s="4" t="s">
        <v>602</v>
      </c>
      <c r="H678" s="4" t="s">
        <v>603</v>
      </c>
      <c r="I678" s="9">
        <v>42790</v>
      </c>
      <c r="J678" s="11">
        <v>600</v>
      </c>
      <c r="K678" s="4" t="s">
        <v>62</v>
      </c>
      <c r="L678" s="11">
        <v>13.26</v>
      </c>
      <c r="M678" s="11">
        <v>7956</v>
      </c>
      <c r="N678" s="4" t="s">
        <v>8</v>
      </c>
      <c r="O678" s="5">
        <v>5637290910</v>
      </c>
      <c r="P678" s="11" t="e">
        <f ca="1">_xll.AtlasFormulas.AtlasFunctions.AtlasBalance("UAT",DataAreaId,"T.MarkupTrans","Sum|Posted|0","","","","","","","TransRecId|TransTableId|MarkupCode",$O678,"492","TPP")</f>
        <v>#NAME?</v>
      </c>
    </row>
    <row r="679" spans="1:16" x14ac:dyDescent="0.15">
      <c r="A679" s="4" t="s">
        <v>20</v>
      </c>
      <c r="B679" s="4" t="s">
        <v>937</v>
      </c>
      <c r="C679" s="4" t="s">
        <v>938</v>
      </c>
      <c r="D679" s="4" t="s">
        <v>993</v>
      </c>
      <c r="E679" s="4" t="s">
        <v>994</v>
      </c>
      <c r="F679" s="4" t="s">
        <v>728</v>
      </c>
      <c r="G679" s="4" t="s">
        <v>602</v>
      </c>
      <c r="H679" s="4" t="s">
        <v>603</v>
      </c>
      <c r="I679" s="9">
        <v>42790</v>
      </c>
      <c r="J679" s="11">
        <v>700</v>
      </c>
      <c r="K679" s="4" t="s">
        <v>62</v>
      </c>
      <c r="L679" s="11">
        <v>13.26</v>
      </c>
      <c r="M679" s="11">
        <v>9282</v>
      </c>
      <c r="N679" s="4" t="s">
        <v>8</v>
      </c>
      <c r="O679" s="5">
        <v>5637290911</v>
      </c>
      <c r="P679" s="11" t="e">
        <f ca="1">_xll.AtlasFormulas.AtlasFunctions.AtlasBalance("UAT",DataAreaId,"T.MarkupTrans","Sum|Posted|0","","","","","","","TransRecId|TransTableId|MarkupCode",$O679,"492","TPP")</f>
        <v>#NAME?</v>
      </c>
    </row>
    <row r="680" spans="1:16" x14ac:dyDescent="0.15">
      <c r="A680" s="4" t="s">
        <v>220</v>
      </c>
      <c r="B680" s="4" t="s">
        <v>417</v>
      </c>
      <c r="C680" s="4" t="s">
        <v>82</v>
      </c>
      <c r="D680" s="4" t="s">
        <v>355</v>
      </c>
      <c r="E680" s="4" t="s">
        <v>556</v>
      </c>
      <c r="F680" s="4" t="s">
        <v>224</v>
      </c>
      <c r="G680" s="4" t="s">
        <v>602</v>
      </c>
      <c r="H680" s="4" t="s">
        <v>603</v>
      </c>
      <c r="I680" s="9">
        <v>42794</v>
      </c>
      <c r="J680" s="11">
        <v>600</v>
      </c>
      <c r="K680" s="4" t="s">
        <v>62</v>
      </c>
      <c r="L680" s="11">
        <v>13.26</v>
      </c>
      <c r="M680" s="11">
        <v>7956</v>
      </c>
      <c r="N680" s="4" t="s">
        <v>8</v>
      </c>
      <c r="O680" s="5">
        <v>5637290920</v>
      </c>
      <c r="P680" s="11" t="e">
        <f ca="1">_xll.AtlasFormulas.AtlasFunctions.AtlasBalance("UAT",DataAreaId,"T.MarkupTrans","Sum|Posted|0","","","","","","","TransRecId|TransTableId|MarkupCode",$O680,"492","TPP")</f>
        <v>#NAME?</v>
      </c>
    </row>
    <row r="681" spans="1:16" x14ac:dyDescent="0.15">
      <c r="A681" s="4" t="s">
        <v>227</v>
      </c>
      <c r="B681" s="4" t="s">
        <v>228</v>
      </c>
      <c r="C681" s="4" t="s">
        <v>82</v>
      </c>
      <c r="D681" s="4" t="s">
        <v>573</v>
      </c>
      <c r="E681" s="4" t="s">
        <v>574</v>
      </c>
      <c r="F681" s="4" t="s">
        <v>231</v>
      </c>
      <c r="G681" s="4" t="s">
        <v>602</v>
      </c>
      <c r="H681" s="4" t="s">
        <v>603</v>
      </c>
      <c r="I681" s="9">
        <v>42795</v>
      </c>
      <c r="J681" s="11">
        <v>700</v>
      </c>
      <c r="K681" s="4" t="s">
        <v>62</v>
      </c>
      <c r="L681" s="11">
        <v>13.26</v>
      </c>
      <c r="M681" s="11">
        <v>9282</v>
      </c>
      <c r="N681" s="4" t="s">
        <v>8</v>
      </c>
      <c r="O681" s="5">
        <v>5637291028</v>
      </c>
      <c r="P681" s="11" t="e">
        <f ca="1">_xll.AtlasFormulas.AtlasFunctions.AtlasBalance("UAT",DataAreaId,"T.MarkupTrans","Sum|Posted|0","","","","","","","TransRecId|TransTableId|MarkupCode",$O681,"492","TPP")</f>
        <v>#NAME?</v>
      </c>
    </row>
    <row r="682" spans="1:16" x14ac:dyDescent="0.15">
      <c r="A682" s="4" t="s">
        <v>227</v>
      </c>
      <c r="B682" s="4" t="s">
        <v>228</v>
      </c>
      <c r="C682" s="4" t="s">
        <v>82</v>
      </c>
      <c r="D682" s="4" t="s">
        <v>566</v>
      </c>
      <c r="E682" s="4" t="s">
        <v>567</v>
      </c>
      <c r="F682" s="4" t="s">
        <v>231</v>
      </c>
      <c r="G682" s="4" t="s">
        <v>602</v>
      </c>
      <c r="H682" s="4" t="s">
        <v>603</v>
      </c>
      <c r="I682" s="9">
        <v>42817</v>
      </c>
      <c r="J682" s="11">
        <v>-300</v>
      </c>
      <c r="K682" s="4" t="s">
        <v>62</v>
      </c>
      <c r="L682" s="11">
        <v>13.258209999999998</v>
      </c>
      <c r="M682" s="11">
        <v>-3977.46</v>
      </c>
      <c r="N682" s="4" t="s">
        <v>8</v>
      </c>
      <c r="O682" s="5">
        <v>5637291220</v>
      </c>
      <c r="P682" s="11" t="e">
        <f ca="1">_xll.AtlasFormulas.AtlasFunctions.AtlasBalance("UAT",DataAreaId,"T.MarkupTrans","Sum|Posted|0","","","","","","","TransRecId|TransTableId|MarkupCode",$O682,"492","TPP")</f>
        <v>#NAME?</v>
      </c>
    </row>
    <row r="683" spans="1:16" x14ac:dyDescent="0.15">
      <c r="A683" s="4" t="s">
        <v>227</v>
      </c>
      <c r="B683" s="4" t="s">
        <v>228</v>
      </c>
      <c r="C683" s="4" t="s">
        <v>82</v>
      </c>
      <c r="D683" s="4" t="s">
        <v>112</v>
      </c>
      <c r="E683" s="4" t="s">
        <v>576</v>
      </c>
      <c r="F683" s="4" t="s">
        <v>231</v>
      </c>
      <c r="G683" s="4" t="s">
        <v>602</v>
      </c>
      <c r="H683" s="4" t="s">
        <v>603</v>
      </c>
      <c r="I683" s="9">
        <v>42817</v>
      </c>
      <c r="J683" s="11">
        <v>-700</v>
      </c>
      <c r="K683" s="4" t="s">
        <v>62</v>
      </c>
      <c r="L683" s="11">
        <v>13.26</v>
      </c>
      <c r="M683" s="11">
        <v>-9282</v>
      </c>
      <c r="N683" s="4" t="s">
        <v>8</v>
      </c>
      <c r="O683" s="5">
        <v>5637291222</v>
      </c>
      <c r="P683" s="11" t="e">
        <f ca="1">_xll.AtlasFormulas.AtlasFunctions.AtlasBalance("UAT",DataAreaId,"T.MarkupTrans","Sum|Posted|0","","","","","","","TransRecId|TransTableId|MarkupCode",$O683,"492","TPP")</f>
        <v>#NAME?</v>
      </c>
    </row>
    <row r="684" spans="1:16" x14ac:dyDescent="0.15">
      <c r="A684" s="4" t="s">
        <v>227</v>
      </c>
      <c r="B684" s="4" t="s">
        <v>228</v>
      </c>
      <c r="C684" s="4" t="s">
        <v>82</v>
      </c>
      <c r="D684" s="4" t="s">
        <v>440</v>
      </c>
      <c r="E684" s="4" t="s">
        <v>575</v>
      </c>
      <c r="F684" s="4" t="s">
        <v>231</v>
      </c>
      <c r="G684" s="4" t="s">
        <v>602</v>
      </c>
      <c r="H684" s="4" t="s">
        <v>603</v>
      </c>
      <c r="I684" s="9">
        <v>42817</v>
      </c>
      <c r="J684" s="11">
        <v>700</v>
      </c>
      <c r="K684" s="4" t="s">
        <v>62</v>
      </c>
      <c r="L684" s="11">
        <v>13.26</v>
      </c>
      <c r="M684" s="11">
        <v>9282</v>
      </c>
      <c r="N684" s="4" t="s">
        <v>8</v>
      </c>
      <c r="O684" s="5">
        <v>5637291195</v>
      </c>
      <c r="P684" s="11" t="e">
        <f ca="1">_xll.AtlasFormulas.AtlasFunctions.AtlasBalance("UAT",DataAreaId,"T.MarkupTrans","Sum|Posted|0","","","","","","","TransRecId|TransTableId|MarkupCode",$O684,"492","TPP")</f>
        <v>#NAME?</v>
      </c>
    </row>
    <row r="685" spans="1:16" x14ac:dyDescent="0.15">
      <c r="A685" s="4" t="s">
        <v>227</v>
      </c>
      <c r="B685" s="4" t="s">
        <v>228</v>
      </c>
      <c r="C685" s="4" t="s">
        <v>82</v>
      </c>
      <c r="D685" s="4" t="s">
        <v>286</v>
      </c>
      <c r="E685" s="4" t="s">
        <v>568</v>
      </c>
      <c r="F685" s="4" t="s">
        <v>231</v>
      </c>
      <c r="G685" s="4" t="s">
        <v>602</v>
      </c>
      <c r="H685" s="4" t="s">
        <v>603</v>
      </c>
      <c r="I685" s="9">
        <v>42817</v>
      </c>
      <c r="J685" s="11">
        <v>300</v>
      </c>
      <c r="K685" s="4" t="s">
        <v>62</v>
      </c>
      <c r="L685" s="11">
        <v>13.26</v>
      </c>
      <c r="M685" s="11">
        <v>3978</v>
      </c>
      <c r="N685" s="4" t="s">
        <v>8</v>
      </c>
      <c r="O685" s="5">
        <v>5637291193</v>
      </c>
      <c r="P685" s="11" t="e">
        <f ca="1">_xll.AtlasFormulas.AtlasFunctions.AtlasBalance("UAT",DataAreaId,"T.MarkupTrans","Sum|Posted|0","","","","","","","TransRecId|TransTableId|MarkupCode",$O685,"492","TPP")</f>
        <v>#NAME?</v>
      </c>
    </row>
    <row r="686" spans="1:16" x14ac:dyDescent="0.15">
      <c r="A686" s="4" t="s">
        <v>20</v>
      </c>
      <c r="B686" s="4" t="s">
        <v>945</v>
      </c>
      <c r="C686" s="4" t="s">
        <v>946</v>
      </c>
      <c r="D686" s="4" t="s">
        <v>947</v>
      </c>
      <c r="E686" s="4" t="s">
        <v>948</v>
      </c>
      <c r="F686" s="4" t="s">
        <v>728</v>
      </c>
      <c r="G686" s="4" t="s">
        <v>602</v>
      </c>
      <c r="H686" s="4" t="s">
        <v>603</v>
      </c>
      <c r="I686" s="9">
        <v>42837</v>
      </c>
      <c r="J686" s="11">
        <v>300</v>
      </c>
      <c r="K686" s="4" t="s">
        <v>62</v>
      </c>
      <c r="L686" s="11">
        <v>13.26</v>
      </c>
      <c r="M686" s="11">
        <v>3978</v>
      </c>
      <c r="N686" s="4" t="s">
        <v>8</v>
      </c>
      <c r="O686" s="5">
        <v>5637291652</v>
      </c>
      <c r="P686" s="11" t="e">
        <f ca="1">_xll.AtlasFormulas.AtlasFunctions.AtlasBalance("UAT",DataAreaId,"T.MarkupTrans","Sum|Posted|0","","","","","","","TransRecId|TransTableId|MarkupCode",$O686,"492","TPP")</f>
        <v>#NAME?</v>
      </c>
    </row>
    <row r="687" spans="1:16" x14ac:dyDescent="0.15">
      <c r="A687" s="4" t="s">
        <v>220</v>
      </c>
      <c r="B687" s="4" t="s">
        <v>417</v>
      </c>
      <c r="C687" s="4" t="s">
        <v>82</v>
      </c>
      <c r="D687" s="4" t="s">
        <v>229</v>
      </c>
      <c r="E687" s="4" t="s">
        <v>546</v>
      </c>
      <c r="F687" s="4" t="s">
        <v>224</v>
      </c>
      <c r="G687" s="4" t="s">
        <v>602</v>
      </c>
      <c r="H687" s="4" t="s">
        <v>603</v>
      </c>
      <c r="I687" s="9">
        <v>42843</v>
      </c>
      <c r="J687" s="11">
        <v>300</v>
      </c>
      <c r="K687" s="4" t="s">
        <v>62</v>
      </c>
      <c r="L687" s="11">
        <v>13.26</v>
      </c>
      <c r="M687" s="11">
        <v>3978</v>
      </c>
      <c r="N687" s="4" t="s">
        <v>8</v>
      </c>
      <c r="O687" s="5">
        <v>5637291679</v>
      </c>
      <c r="P687" s="11" t="e">
        <f ca="1">_xll.AtlasFormulas.AtlasFunctions.AtlasBalance("UAT",DataAreaId,"T.MarkupTrans","Sum|Posted|0","","","","","","","TransRecId|TransTableId|MarkupCode",$O687,"492","TPP")</f>
        <v>#NAME?</v>
      </c>
    </row>
    <row r="688" spans="1:16" x14ac:dyDescent="0.15">
      <c r="A688" s="4" t="s">
        <v>20</v>
      </c>
      <c r="B688" s="4" t="s">
        <v>945</v>
      </c>
      <c r="C688" s="4" t="s">
        <v>946</v>
      </c>
      <c r="D688" s="4" t="s">
        <v>989</v>
      </c>
      <c r="E688" s="4" t="s">
        <v>990</v>
      </c>
      <c r="F688" s="4" t="s">
        <v>728</v>
      </c>
      <c r="G688" s="4" t="s">
        <v>602</v>
      </c>
      <c r="H688" s="4" t="s">
        <v>603</v>
      </c>
      <c r="I688" s="9">
        <v>42906</v>
      </c>
      <c r="J688" s="11">
        <v>400</v>
      </c>
      <c r="K688" s="4" t="s">
        <v>62</v>
      </c>
      <c r="L688" s="11">
        <v>13.26</v>
      </c>
      <c r="M688" s="11">
        <v>5304</v>
      </c>
      <c r="N688" s="4" t="s">
        <v>8</v>
      </c>
      <c r="O688" s="5">
        <v>5637292650</v>
      </c>
      <c r="P688" s="11" t="e">
        <f ca="1">_xll.AtlasFormulas.AtlasFunctions.AtlasBalance("UAT",DataAreaId,"T.MarkupTrans","Sum|Posted|0","","","","","","","TransRecId|TransTableId|MarkupCode",$O688,"492","TPP")</f>
        <v>#NAME?</v>
      </c>
    </row>
    <row r="689" spans="1:16" x14ac:dyDescent="0.15">
      <c r="A689" s="4" t="s">
        <v>20</v>
      </c>
      <c r="B689" s="4" t="s">
        <v>937</v>
      </c>
      <c r="C689" s="4" t="s">
        <v>938</v>
      </c>
      <c r="D689" s="4" t="s">
        <v>1017</v>
      </c>
      <c r="E689" s="4" t="s">
        <v>1018</v>
      </c>
      <c r="F689" s="4" t="s">
        <v>728</v>
      </c>
      <c r="G689" s="4" t="s">
        <v>602</v>
      </c>
      <c r="H689" s="4" t="s">
        <v>603</v>
      </c>
      <c r="I689" s="9">
        <v>42906</v>
      </c>
      <c r="J689" s="11">
        <v>100</v>
      </c>
      <c r="K689" s="4" t="s">
        <v>62</v>
      </c>
      <c r="L689" s="11">
        <v>13.26</v>
      </c>
      <c r="M689" s="11">
        <v>1326</v>
      </c>
      <c r="N689" s="4" t="s">
        <v>8</v>
      </c>
      <c r="O689" s="5">
        <v>5637292651</v>
      </c>
      <c r="P689" s="11" t="e">
        <f ca="1">_xll.AtlasFormulas.AtlasFunctions.AtlasBalance("UAT",DataAreaId,"T.MarkupTrans","Sum|Posted|0","","","","","","","TransRecId|TransTableId|MarkupCode",$O689,"492","TPP")</f>
        <v>#NAME?</v>
      </c>
    </row>
    <row r="690" spans="1:16" x14ac:dyDescent="0.15">
      <c r="A690" s="4" t="s">
        <v>20</v>
      </c>
      <c r="B690" s="4" t="s">
        <v>747</v>
      </c>
      <c r="C690" s="4" t="s">
        <v>272</v>
      </c>
      <c r="D690" s="4" t="s">
        <v>1019</v>
      </c>
      <c r="E690" s="4" t="s">
        <v>1020</v>
      </c>
      <c r="F690" s="4" t="s">
        <v>728</v>
      </c>
      <c r="G690" s="4" t="s">
        <v>602</v>
      </c>
      <c r="H690" s="4" t="s">
        <v>603</v>
      </c>
      <c r="I690" s="9">
        <v>42906</v>
      </c>
      <c r="J690" s="11">
        <v>50</v>
      </c>
      <c r="K690" s="4" t="s">
        <v>62</v>
      </c>
      <c r="L690" s="11">
        <v>13.26</v>
      </c>
      <c r="M690" s="11">
        <v>663</v>
      </c>
      <c r="N690" s="4" t="s">
        <v>8</v>
      </c>
      <c r="O690" s="5">
        <v>5637292392</v>
      </c>
      <c r="P690" s="11" t="e">
        <f ca="1">_xll.AtlasFormulas.AtlasFunctions.AtlasBalance("UAT",DataAreaId,"T.MarkupTrans","Sum|Posted|0","","","","","","","TransRecId|TransTableId|MarkupCode",$O690,"492","TPP")</f>
        <v>#NAME?</v>
      </c>
    </row>
    <row r="691" spans="1:16" x14ac:dyDescent="0.15">
      <c r="A691" s="4" t="s">
        <v>220</v>
      </c>
      <c r="B691" s="4" t="s">
        <v>417</v>
      </c>
      <c r="C691" s="4" t="s">
        <v>82</v>
      </c>
      <c r="D691" s="4" t="s">
        <v>569</v>
      </c>
      <c r="E691" s="4" t="s">
        <v>570</v>
      </c>
      <c r="F691" s="4" t="s">
        <v>224</v>
      </c>
      <c r="G691" s="4" t="s">
        <v>602</v>
      </c>
      <c r="H691" s="4" t="s">
        <v>603</v>
      </c>
      <c r="I691" s="9">
        <v>42907</v>
      </c>
      <c r="J691" s="11">
        <v>400</v>
      </c>
      <c r="K691" s="4" t="s">
        <v>62</v>
      </c>
      <c r="L691" s="11">
        <v>13.26</v>
      </c>
      <c r="M691" s="11">
        <v>5304</v>
      </c>
      <c r="N691" s="4" t="s">
        <v>8</v>
      </c>
      <c r="O691" s="5">
        <v>5637292665</v>
      </c>
      <c r="P691" s="11" t="e">
        <f ca="1">_xll.AtlasFormulas.AtlasFunctions.AtlasBalance("UAT",DataAreaId,"T.MarkupTrans","Sum|Posted|0","","","","","","","TransRecId|TransTableId|MarkupCode",$O691,"492","TPP")</f>
        <v>#NAME?</v>
      </c>
    </row>
    <row r="692" spans="1:16" x14ac:dyDescent="0.15">
      <c r="A692" s="4" t="s">
        <v>288</v>
      </c>
      <c r="B692" s="4" t="s">
        <v>308</v>
      </c>
      <c r="C692" s="4" t="s">
        <v>82</v>
      </c>
      <c r="D692" s="4" t="s">
        <v>298</v>
      </c>
      <c r="E692" s="4" t="s">
        <v>604</v>
      </c>
      <c r="F692" s="4" t="s">
        <v>311</v>
      </c>
      <c r="G692" s="4" t="s">
        <v>602</v>
      </c>
      <c r="H692" s="4" t="s">
        <v>603</v>
      </c>
      <c r="I692" s="9">
        <v>42907</v>
      </c>
      <c r="J692" s="11">
        <v>50</v>
      </c>
      <c r="K692" s="4" t="s">
        <v>62</v>
      </c>
      <c r="L692" s="11">
        <v>13.26</v>
      </c>
      <c r="M692" s="11">
        <v>663</v>
      </c>
      <c r="N692" s="4" t="s">
        <v>8</v>
      </c>
      <c r="O692" s="5">
        <v>5637292997</v>
      </c>
      <c r="P692" s="11" t="e">
        <f ca="1">_xll.AtlasFormulas.AtlasFunctions.AtlasBalance("UAT",DataAreaId,"T.MarkupTrans","Sum|Posted|0","","","","","","","TransRecId|TransTableId|MarkupCode",$O692,"492","TPP")</f>
        <v>#NAME?</v>
      </c>
    </row>
    <row r="693" spans="1:16" x14ac:dyDescent="0.15">
      <c r="A693" s="4" t="s">
        <v>288</v>
      </c>
      <c r="B693" s="4" t="s">
        <v>308</v>
      </c>
      <c r="C693" s="4" t="s">
        <v>82</v>
      </c>
      <c r="D693" s="4" t="s">
        <v>394</v>
      </c>
      <c r="E693" s="4" t="s">
        <v>605</v>
      </c>
      <c r="F693" s="4" t="s">
        <v>311</v>
      </c>
      <c r="G693" s="4" t="s">
        <v>602</v>
      </c>
      <c r="H693" s="4" t="s">
        <v>603</v>
      </c>
      <c r="I693" s="9">
        <v>42907</v>
      </c>
      <c r="J693" s="11">
        <v>100</v>
      </c>
      <c r="K693" s="4" t="s">
        <v>62</v>
      </c>
      <c r="L693" s="11">
        <v>13.26</v>
      </c>
      <c r="M693" s="11">
        <v>1326</v>
      </c>
      <c r="N693" s="4" t="s">
        <v>8</v>
      </c>
      <c r="O693" s="5">
        <v>5637292999</v>
      </c>
      <c r="P693" s="11" t="e">
        <f ca="1">_xll.AtlasFormulas.AtlasFunctions.AtlasBalance("UAT",DataAreaId,"T.MarkupTrans","Sum|Posted|0","","","","","","","TransRecId|TransTableId|MarkupCode",$O693,"492","TPP")</f>
        <v>#NAME?</v>
      </c>
    </row>
    <row r="694" spans="1:16" x14ac:dyDescent="0.15">
      <c r="A694" s="4" t="s">
        <v>220</v>
      </c>
      <c r="B694" s="4" t="s">
        <v>606</v>
      </c>
      <c r="C694" s="4" t="s">
        <v>49</v>
      </c>
      <c r="D694" s="4" t="s">
        <v>594</v>
      </c>
      <c r="E694" s="4" t="s">
        <v>607</v>
      </c>
      <c r="F694" s="4" t="s">
        <v>224</v>
      </c>
      <c r="G694" s="4" t="s">
        <v>608</v>
      </c>
      <c r="H694" s="4" t="s">
        <v>609</v>
      </c>
      <c r="I694" s="9">
        <v>42824</v>
      </c>
      <c r="J694" s="11">
        <v>60</v>
      </c>
      <c r="K694" s="4" t="s">
        <v>62</v>
      </c>
      <c r="L694" s="11">
        <v>5</v>
      </c>
      <c r="M694" s="11">
        <v>300</v>
      </c>
      <c r="N694" s="4" t="s">
        <v>8</v>
      </c>
      <c r="O694" s="5">
        <v>5637291296</v>
      </c>
      <c r="P694" s="11" t="e">
        <f ca="1">_xll.AtlasFormulas.AtlasFunctions.AtlasBalance("UAT",DataAreaId,"T.MarkupTrans","Sum|Posted|0","","","","","","","TransRecId|TransTableId|MarkupCode",$O694,"492","TPP")</f>
        <v>#NAME?</v>
      </c>
    </row>
    <row r="695" spans="1:16" x14ac:dyDescent="0.15">
      <c r="A695" s="4" t="s">
        <v>220</v>
      </c>
      <c r="B695" s="4" t="s">
        <v>606</v>
      </c>
      <c r="C695" s="4" t="s">
        <v>49</v>
      </c>
      <c r="D695" s="4" t="s">
        <v>594</v>
      </c>
      <c r="E695" s="4" t="s">
        <v>607</v>
      </c>
      <c r="F695" s="4" t="s">
        <v>224</v>
      </c>
      <c r="G695" s="4" t="s">
        <v>608</v>
      </c>
      <c r="H695" s="4" t="s">
        <v>609</v>
      </c>
      <c r="I695" s="9">
        <v>42824</v>
      </c>
      <c r="J695" s="11">
        <v>60</v>
      </c>
      <c r="K695" s="4" t="s">
        <v>62</v>
      </c>
      <c r="L695" s="11">
        <v>7</v>
      </c>
      <c r="M695" s="11">
        <v>420</v>
      </c>
      <c r="N695" s="4" t="s">
        <v>8</v>
      </c>
      <c r="O695" s="5">
        <v>5637291297</v>
      </c>
      <c r="P695" s="11" t="e">
        <f ca="1">_xll.AtlasFormulas.AtlasFunctions.AtlasBalance("UAT",DataAreaId,"T.MarkupTrans","Sum|Posted|0","","","","","","","TransRecId|TransTableId|MarkupCode",$O695,"492","TPP")</f>
        <v>#NAME?</v>
      </c>
    </row>
    <row r="696" spans="1:16" x14ac:dyDescent="0.15">
      <c r="A696" s="4" t="s">
        <v>220</v>
      </c>
      <c r="B696" s="4" t="s">
        <v>606</v>
      </c>
      <c r="C696" s="4" t="s">
        <v>49</v>
      </c>
      <c r="D696" s="4" t="s">
        <v>610</v>
      </c>
      <c r="E696" s="4" t="s">
        <v>611</v>
      </c>
      <c r="F696" s="4" t="s">
        <v>224</v>
      </c>
      <c r="G696" s="4" t="s">
        <v>608</v>
      </c>
      <c r="H696" s="4" t="s">
        <v>609</v>
      </c>
      <c r="I696" s="9">
        <v>42867</v>
      </c>
      <c r="J696" s="11">
        <v>70</v>
      </c>
      <c r="K696" s="4" t="s">
        <v>62</v>
      </c>
      <c r="L696" s="11">
        <v>5</v>
      </c>
      <c r="M696" s="11">
        <v>350</v>
      </c>
      <c r="N696" s="4" t="s">
        <v>8</v>
      </c>
      <c r="O696" s="5">
        <v>5637291902</v>
      </c>
      <c r="P696" s="11" t="e">
        <f ca="1">_xll.AtlasFormulas.AtlasFunctions.AtlasBalance("UAT",DataAreaId,"T.MarkupTrans","Sum|Posted|0","","","","","","","TransRecId|TransTableId|MarkupCode",$O696,"492","TPP")</f>
        <v>#NAME?</v>
      </c>
    </row>
    <row r="697" spans="1:16" x14ac:dyDescent="0.15">
      <c r="A697" s="4" t="s">
        <v>220</v>
      </c>
      <c r="B697" s="4" t="s">
        <v>606</v>
      </c>
      <c r="C697" s="4" t="s">
        <v>49</v>
      </c>
      <c r="D697" s="4" t="s">
        <v>610</v>
      </c>
      <c r="E697" s="4" t="s">
        <v>611</v>
      </c>
      <c r="F697" s="4" t="s">
        <v>224</v>
      </c>
      <c r="G697" s="4" t="s">
        <v>608</v>
      </c>
      <c r="H697" s="4" t="s">
        <v>609</v>
      </c>
      <c r="I697" s="9">
        <v>42867</v>
      </c>
      <c r="J697" s="11">
        <v>26</v>
      </c>
      <c r="K697" s="4" t="s">
        <v>62</v>
      </c>
      <c r="L697" s="11">
        <v>5</v>
      </c>
      <c r="M697" s="11">
        <v>130</v>
      </c>
      <c r="N697" s="4" t="s">
        <v>8</v>
      </c>
      <c r="O697" s="5">
        <v>5637291903</v>
      </c>
      <c r="P697" s="11" t="e">
        <f ca="1">_xll.AtlasFormulas.AtlasFunctions.AtlasBalance("UAT",DataAreaId,"T.MarkupTrans","Sum|Posted|0","","","","","","","TransRecId|TransTableId|MarkupCode",$O697,"492","TPP")</f>
        <v>#NAME?</v>
      </c>
    </row>
    <row r="698" spans="1:16" x14ac:dyDescent="0.15">
      <c r="A698" s="4" t="s">
        <v>220</v>
      </c>
      <c r="B698" s="4" t="s">
        <v>606</v>
      </c>
      <c r="C698" s="4" t="s">
        <v>49</v>
      </c>
      <c r="D698" s="4" t="s">
        <v>610</v>
      </c>
      <c r="E698" s="4" t="s">
        <v>611</v>
      </c>
      <c r="F698" s="4" t="s">
        <v>224</v>
      </c>
      <c r="G698" s="4" t="s">
        <v>608</v>
      </c>
      <c r="H698" s="4" t="s">
        <v>609</v>
      </c>
      <c r="I698" s="9">
        <v>42867</v>
      </c>
      <c r="J698" s="11">
        <v>75</v>
      </c>
      <c r="K698" s="4" t="s">
        <v>62</v>
      </c>
      <c r="L698" s="11">
        <v>5</v>
      </c>
      <c r="M698" s="11">
        <v>375</v>
      </c>
      <c r="N698" s="4" t="s">
        <v>8</v>
      </c>
      <c r="O698" s="5">
        <v>5637291904</v>
      </c>
      <c r="P698" s="11" t="e">
        <f ca="1">_xll.AtlasFormulas.AtlasFunctions.AtlasBalance("UAT",DataAreaId,"T.MarkupTrans","Sum|Posted|0","","","","","","","TransRecId|TransTableId|MarkupCode",$O698,"492","TPP")</f>
        <v>#NAME?</v>
      </c>
    </row>
    <row r="699" spans="1:16" x14ac:dyDescent="0.15">
      <c r="A699" s="4" t="s">
        <v>220</v>
      </c>
      <c r="B699" s="4" t="s">
        <v>606</v>
      </c>
      <c r="C699" s="4" t="s">
        <v>49</v>
      </c>
      <c r="D699" s="4" t="s">
        <v>610</v>
      </c>
      <c r="E699" s="4" t="s">
        <v>611</v>
      </c>
      <c r="F699" s="4" t="s">
        <v>224</v>
      </c>
      <c r="G699" s="4" t="s">
        <v>608</v>
      </c>
      <c r="H699" s="4" t="s">
        <v>609</v>
      </c>
      <c r="I699" s="9">
        <v>42867</v>
      </c>
      <c r="J699" s="11">
        <v>70</v>
      </c>
      <c r="K699" s="4" t="s">
        <v>62</v>
      </c>
      <c r="L699" s="11">
        <v>7</v>
      </c>
      <c r="M699" s="11">
        <v>490</v>
      </c>
      <c r="N699" s="4" t="s">
        <v>8</v>
      </c>
      <c r="O699" s="5">
        <v>5637291905</v>
      </c>
      <c r="P699" s="11" t="e">
        <f ca="1">_xll.AtlasFormulas.AtlasFunctions.AtlasBalance("UAT",DataAreaId,"T.MarkupTrans","Sum|Posted|0","","","","","","","TransRecId|TransTableId|MarkupCode",$O699,"492","TPP")</f>
        <v>#NAME?</v>
      </c>
    </row>
    <row r="700" spans="1:16" x14ac:dyDescent="0.15">
      <c r="A700" s="4" t="s">
        <v>220</v>
      </c>
      <c r="B700" s="4" t="s">
        <v>606</v>
      </c>
      <c r="C700" s="4" t="s">
        <v>49</v>
      </c>
      <c r="D700" s="4" t="s">
        <v>610</v>
      </c>
      <c r="E700" s="4" t="s">
        <v>611</v>
      </c>
      <c r="F700" s="4" t="s">
        <v>224</v>
      </c>
      <c r="G700" s="4" t="s">
        <v>608</v>
      </c>
      <c r="H700" s="4" t="s">
        <v>609</v>
      </c>
      <c r="I700" s="9">
        <v>42867</v>
      </c>
      <c r="J700" s="11">
        <v>26</v>
      </c>
      <c r="K700" s="4" t="s">
        <v>62</v>
      </c>
      <c r="L700" s="11">
        <v>7</v>
      </c>
      <c r="M700" s="11">
        <v>182</v>
      </c>
      <c r="N700" s="4" t="s">
        <v>8</v>
      </c>
      <c r="O700" s="5">
        <v>5637291906</v>
      </c>
      <c r="P700" s="11" t="e">
        <f ca="1">_xll.AtlasFormulas.AtlasFunctions.AtlasBalance("UAT",DataAreaId,"T.MarkupTrans","Sum|Posted|0","","","","","","","TransRecId|TransTableId|MarkupCode",$O700,"492","TPP")</f>
        <v>#NAME?</v>
      </c>
    </row>
    <row r="701" spans="1:16" x14ac:dyDescent="0.15">
      <c r="A701" s="4" t="s">
        <v>220</v>
      </c>
      <c r="B701" s="4" t="s">
        <v>606</v>
      </c>
      <c r="C701" s="4" t="s">
        <v>49</v>
      </c>
      <c r="D701" s="4" t="s">
        <v>610</v>
      </c>
      <c r="E701" s="4" t="s">
        <v>611</v>
      </c>
      <c r="F701" s="4" t="s">
        <v>224</v>
      </c>
      <c r="G701" s="4" t="s">
        <v>608</v>
      </c>
      <c r="H701" s="4" t="s">
        <v>609</v>
      </c>
      <c r="I701" s="9">
        <v>42867</v>
      </c>
      <c r="J701" s="11">
        <v>75</v>
      </c>
      <c r="K701" s="4" t="s">
        <v>62</v>
      </c>
      <c r="L701" s="11">
        <v>7</v>
      </c>
      <c r="M701" s="11">
        <v>525</v>
      </c>
      <c r="N701" s="4" t="s">
        <v>8</v>
      </c>
      <c r="O701" s="5">
        <v>5637291907</v>
      </c>
      <c r="P701" s="11" t="e">
        <f ca="1">_xll.AtlasFormulas.AtlasFunctions.AtlasBalance("UAT",DataAreaId,"T.MarkupTrans","Sum|Posted|0","","","","","","","TransRecId|TransTableId|MarkupCode",$O701,"492","TPP")</f>
        <v>#NAME?</v>
      </c>
    </row>
    <row r="702" spans="1:16" x14ac:dyDescent="0.15">
      <c r="A702" s="4" t="s">
        <v>220</v>
      </c>
      <c r="B702" s="4" t="s">
        <v>612</v>
      </c>
      <c r="C702" s="4" t="s">
        <v>613</v>
      </c>
      <c r="D702" s="4" t="s">
        <v>614</v>
      </c>
      <c r="E702" s="4" t="s">
        <v>615</v>
      </c>
      <c r="F702" s="4" t="s">
        <v>224</v>
      </c>
      <c r="G702" s="4" t="s">
        <v>616</v>
      </c>
      <c r="H702" s="4" t="s">
        <v>617</v>
      </c>
      <c r="I702" s="9">
        <v>42831</v>
      </c>
      <c r="J702" s="11">
        <v>500</v>
      </c>
      <c r="K702" s="4" t="s">
        <v>55</v>
      </c>
      <c r="L702" s="11">
        <v>1.75</v>
      </c>
      <c r="M702" s="11">
        <v>875</v>
      </c>
      <c r="N702" s="4" t="s">
        <v>8</v>
      </c>
      <c r="O702" s="5">
        <v>5637295067</v>
      </c>
      <c r="P702" s="11" t="e">
        <f ca="1">_xll.AtlasFormulas.AtlasFunctions.AtlasBalance("UAT",DataAreaId,"T.MarkupTrans","Sum|Posted|0","","","","","","","TransRecId|TransTableId|MarkupCode",$O702,"492","TPP")</f>
        <v>#NAME?</v>
      </c>
    </row>
    <row r="703" spans="1:16" ht="27" x14ac:dyDescent="0.15">
      <c r="A703" s="4" t="s">
        <v>220</v>
      </c>
      <c r="B703" s="4" t="s">
        <v>612</v>
      </c>
      <c r="C703" s="4" t="s">
        <v>613</v>
      </c>
      <c r="D703" s="4" t="s">
        <v>618</v>
      </c>
      <c r="E703" s="4" t="s">
        <v>619</v>
      </c>
      <c r="F703" s="4" t="s">
        <v>224</v>
      </c>
      <c r="G703" s="4" t="s">
        <v>620</v>
      </c>
      <c r="H703" s="6" t="s">
        <v>621</v>
      </c>
      <c r="I703" s="9">
        <v>42832</v>
      </c>
      <c r="J703" s="11">
        <v>600</v>
      </c>
      <c r="K703" s="4" t="s">
        <v>622</v>
      </c>
      <c r="L703" s="11">
        <v>3.8200000000000003</v>
      </c>
      <c r="M703" s="11">
        <v>2292</v>
      </c>
      <c r="N703" s="4" t="s">
        <v>8</v>
      </c>
      <c r="O703" s="5">
        <v>5637295068</v>
      </c>
      <c r="P703" s="11" t="e">
        <f ca="1">_xll.AtlasFormulas.AtlasFunctions.AtlasBalance("UAT",DataAreaId,"T.MarkupTrans","Sum|Posted|0","","","","","","","TransRecId|TransTableId|MarkupCode",$O703,"492","TPP")</f>
        <v>#NAME?</v>
      </c>
    </row>
    <row r="704" spans="1:16" x14ac:dyDescent="0.15">
      <c r="A704" s="4" t="s">
        <v>212</v>
      </c>
      <c r="B704" s="4" t="s">
        <v>213</v>
      </c>
      <c r="C704" s="4" t="s">
        <v>214</v>
      </c>
      <c r="D704" s="4" t="s">
        <v>225</v>
      </c>
      <c r="E704" s="4" t="s">
        <v>226</v>
      </c>
      <c r="F704" s="4" t="s">
        <v>217</v>
      </c>
      <c r="G704" s="4" t="s">
        <v>623</v>
      </c>
      <c r="H704" s="4" t="s">
        <v>624</v>
      </c>
      <c r="I704" s="9">
        <v>42837</v>
      </c>
      <c r="J704" s="11">
        <v>6</v>
      </c>
      <c r="K704" s="4" t="s">
        <v>55</v>
      </c>
      <c r="L704" s="11">
        <v>17.649999999999999</v>
      </c>
      <c r="M704" s="11">
        <v>105.9</v>
      </c>
      <c r="N704" s="4" t="s">
        <v>8</v>
      </c>
      <c r="O704" s="5">
        <v>5637291409</v>
      </c>
      <c r="P704" s="11" t="e">
        <f ca="1">_xll.AtlasFormulas.AtlasFunctions.AtlasBalance("UAT",DataAreaId,"T.MarkupTrans","Sum|Posted|0","","","","","","","TransRecId|TransTableId|MarkupCode",$O704,"492","TPP")</f>
        <v>#NAME?</v>
      </c>
    </row>
    <row r="705" spans="1:16" x14ac:dyDescent="0.15">
      <c r="A705" s="4" t="s">
        <v>212</v>
      </c>
      <c r="B705" s="4" t="s">
        <v>213</v>
      </c>
      <c r="C705" s="4" t="s">
        <v>214</v>
      </c>
      <c r="D705" s="4" t="s">
        <v>625</v>
      </c>
      <c r="E705" s="4" t="s">
        <v>626</v>
      </c>
      <c r="F705" s="4" t="s">
        <v>217</v>
      </c>
      <c r="G705" s="4" t="s">
        <v>627</v>
      </c>
      <c r="H705" s="4" t="s">
        <v>628</v>
      </c>
      <c r="I705" s="9">
        <v>42947</v>
      </c>
      <c r="J705" s="11">
        <v>8</v>
      </c>
      <c r="K705" s="4" t="s">
        <v>55</v>
      </c>
      <c r="L705" s="11">
        <v>18.86</v>
      </c>
      <c r="M705" s="11">
        <v>150.88</v>
      </c>
      <c r="N705" s="4" t="s">
        <v>8</v>
      </c>
      <c r="O705" s="5">
        <v>5637293901</v>
      </c>
      <c r="P705" s="11" t="e">
        <f ca="1">_xll.AtlasFormulas.AtlasFunctions.AtlasBalance("UAT",DataAreaId,"T.MarkupTrans","Sum|Posted|0","","","","","","","TransRecId|TransTableId|MarkupCode",$O705,"492","TPP")</f>
        <v>#NAME?</v>
      </c>
    </row>
    <row r="706" spans="1:16" x14ac:dyDescent="0.15">
      <c r="A706" s="4" t="s">
        <v>249</v>
      </c>
      <c r="B706" s="4" t="s">
        <v>250</v>
      </c>
      <c r="C706" s="4" t="s">
        <v>82</v>
      </c>
      <c r="D706" s="4" t="s">
        <v>629</v>
      </c>
      <c r="E706" s="4" t="s">
        <v>630</v>
      </c>
      <c r="F706" s="4" t="s">
        <v>80</v>
      </c>
      <c r="G706" s="4" t="s">
        <v>631</v>
      </c>
      <c r="H706" s="4" t="s">
        <v>632</v>
      </c>
      <c r="I706" s="9">
        <v>42761</v>
      </c>
      <c r="J706" s="11">
        <v>4</v>
      </c>
      <c r="K706" s="4" t="s">
        <v>55</v>
      </c>
      <c r="L706" s="11">
        <v>19.510000000000002</v>
      </c>
      <c r="M706" s="11">
        <v>78.040000000000006</v>
      </c>
      <c r="N706" s="4" t="s">
        <v>8</v>
      </c>
      <c r="O706" s="5">
        <v>5637289667</v>
      </c>
      <c r="P706" s="11" t="e">
        <f ca="1">_xll.AtlasFormulas.AtlasFunctions.AtlasBalance("UAT",DataAreaId,"T.MarkupTrans","Sum|Posted|0","","","","","","","TransRecId|TransTableId|MarkupCode",$O706,"492","TPP")</f>
        <v>#NAME?</v>
      </c>
    </row>
    <row r="707" spans="1:16" x14ac:dyDescent="0.15">
      <c r="A707" s="4" t="s">
        <v>220</v>
      </c>
      <c r="B707" s="4" t="s">
        <v>221</v>
      </c>
      <c r="C707" s="4" t="s">
        <v>82</v>
      </c>
      <c r="D707" s="4" t="s">
        <v>353</v>
      </c>
      <c r="E707" s="4" t="s">
        <v>633</v>
      </c>
      <c r="F707" s="4" t="s">
        <v>224</v>
      </c>
      <c r="G707" s="4" t="s">
        <v>631</v>
      </c>
      <c r="H707" s="4" t="s">
        <v>634</v>
      </c>
      <c r="I707" s="9">
        <v>42790</v>
      </c>
      <c r="J707" s="11">
        <v>20</v>
      </c>
      <c r="K707" s="4" t="s">
        <v>55</v>
      </c>
      <c r="L707" s="11">
        <v>19.59</v>
      </c>
      <c r="M707" s="11">
        <v>391.8</v>
      </c>
      <c r="N707" s="4" t="s">
        <v>8</v>
      </c>
      <c r="O707" s="5">
        <v>5637290922</v>
      </c>
      <c r="P707" s="11" t="e">
        <f ca="1">_xll.AtlasFormulas.AtlasFunctions.AtlasBalance("UAT",DataAreaId,"T.MarkupTrans","Sum|Posted|0","","","","","","","TransRecId|TransTableId|MarkupCode",$O707,"492","TPP")</f>
        <v>#NAME?</v>
      </c>
    </row>
    <row r="708" spans="1:16" x14ac:dyDescent="0.15">
      <c r="A708" s="4" t="s">
        <v>220</v>
      </c>
      <c r="B708" s="4" t="s">
        <v>221</v>
      </c>
      <c r="C708" s="4" t="s">
        <v>82</v>
      </c>
      <c r="D708" s="4" t="s">
        <v>353</v>
      </c>
      <c r="E708" s="4" t="s">
        <v>633</v>
      </c>
      <c r="F708" s="4" t="s">
        <v>224</v>
      </c>
      <c r="G708" s="4" t="s">
        <v>635</v>
      </c>
      <c r="H708" s="4" t="s">
        <v>636</v>
      </c>
      <c r="I708" s="9">
        <v>42790</v>
      </c>
      <c r="J708" s="11">
        <v>70</v>
      </c>
      <c r="K708" s="4" t="s">
        <v>55</v>
      </c>
      <c r="L708" s="11">
        <v>20.36</v>
      </c>
      <c r="M708" s="11">
        <v>1425.2</v>
      </c>
      <c r="N708" s="4" t="s">
        <v>8</v>
      </c>
      <c r="O708" s="5">
        <v>5637290923</v>
      </c>
      <c r="P708" s="11" t="e">
        <f ca="1">_xll.AtlasFormulas.AtlasFunctions.AtlasBalance("UAT",DataAreaId,"T.MarkupTrans","Sum|Posted|0","","","","","","","TransRecId|TransTableId|MarkupCode",$O708,"492","TPP")</f>
        <v>#NAME?</v>
      </c>
    </row>
    <row r="709" spans="1:16" x14ac:dyDescent="0.15">
      <c r="A709" s="4" t="s">
        <v>227</v>
      </c>
      <c r="B709" s="4" t="s">
        <v>228</v>
      </c>
      <c r="C709" s="4" t="s">
        <v>82</v>
      </c>
      <c r="D709" s="4" t="s">
        <v>451</v>
      </c>
      <c r="E709" s="4" t="s">
        <v>637</v>
      </c>
      <c r="F709" s="4" t="s">
        <v>231</v>
      </c>
      <c r="G709" s="4" t="s">
        <v>635</v>
      </c>
      <c r="H709" s="4" t="s">
        <v>636</v>
      </c>
      <c r="I709" s="9">
        <v>42800</v>
      </c>
      <c r="J709" s="11">
        <v>150</v>
      </c>
      <c r="K709" s="4" t="s">
        <v>55</v>
      </c>
      <c r="L709" s="11">
        <v>20.36</v>
      </c>
      <c r="M709" s="11">
        <v>3054</v>
      </c>
      <c r="N709" s="4" t="s">
        <v>8</v>
      </c>
      <c r="O709" s="5">
        <v>5637291053</v>
      </c>
      <c r="P709" s="11" t="e">
        <f ca="1">_xll.AtlasFormulas.AtlasFunctions.AtlasBalance("UAT",DataAreaId,"T.MarkupTrans","Sum|Posted|0","","","","","","","TransRecId|TransTableId|MarkupCode",$O709,"492","TPP")</f>
        <v>#NAME?</v>
      </c>
    </row>
    <row r="710" spans="1:16" x14ac:dyDescent="0.15">
      <c r="A710" s="4" t="s">
        <v>220</v>
      </c>
      <c r="B710" s="4" t="s">
        <v>638</v>
      </c>
      <c r="C710" s="4" t="s">
        <v>61</v>
      </c>
      <c r="D710" s="4" t="s">
        <v>552</v>
      </c>
      <c r="E710" s="4" t="s">
        <v>639</v>
      </c>
      <c r="F710" s="4" t="s">
        <v>224</v>
      </c>
      <c r="G710" s="4" t="s">
        <v>640</v>
      </c>
      <c r="H710" s="4" t="s">
        <v>641</v>
      </c>
      <c r="I710" s="9">
        <v>42894</v>
      </c>
      <c r="J710" s="11">
        <v>1</v>
      </c>
      <c r="K710" s="4" t="s">
        <v>55</v>
      </c>
      <c r="L710" s="11">
        <v>476.18999999999994</v>
      </c>
      <c r="M710" s="11">
        <v>476.18999999999994</v>
      </c>
      <c r="N710" s="4" t="s">
        <v>8</v>
      </c>
      <c r="O710" s="5">
        <v>5637292971</v>
      </c>
      <c r="P710" s="11" t="e">
        <f ca="1">_xll.AtlasFormulas.AtlasFunctions.AtlasBalance("UAT",DataAreaId,"T.MarkupTrans","Sum|Posted|0","","","","","","","TransRecId|TransTableId|MarkupCode",$O710,"492","TPP")</f>
        <v>#NAME?</v>
      </c>
    </row>
    <row r="711" spans="1:16" x14ac:dyDescent="0.15">
      <c r="A711" s="4" t="s">
        <v>220</v>
      </c>
      <c r="B711" s="4" t="s">
        <v>638</v>
      </c>
      <c r="C711" s="4" t="s">
        <v>61</v>
      </c>
      <c r="D711" s="4" t="s">
        <v>642</v>
      </c>
      <c r="E711" s="4" t="s">
        <v>643</v>
      </c>
      <c r="F711" s="4" t="s">
        <v>224</v>
      </c>
      <c r="G711" s="4" t="s">
        <v>640</v>
      </c>
      <c r="H711" s="4" t="s">
        <v>641</v>
      </c>
      <c r="I711" s="9">
        <v>42916</v>
      </c>
      <c r="J711" s="11">
        <v>-1</v>
      </c>
      <c r="K711" s="4" t="s">
        <v>55</v>
      </c>
      <c r="L711" s="11">
        <v>476.18999999999994</v>
      </c>
      <c r="M711" s="11">
        <v>-476.18999999999994</v>
      </c>
      <c r="N711" s="4" t="s">
        <v>8</v>
      </c>
      <c r="O711" s="5">
        <v>5637293014</v>
      </c>
      <c r="P711" s="11" t="e">
        <f ca="1">_xll.AtlasFormulas.AtlasFunctions.AtlasBalance("UAT",DataAreaId,"T.MarkupTrans","Sum|Posted|0","","","","","","","TransRecId|TransTableId|MarkupCode",$O711,"492","TPP")</f>
        <v>#NAME?</v>
      </c>
    </row>
    <row r="712" spans="1:16" x14ac:dyDescent="0.15">
      <c r="A712" s="4" t="s">
        <v>110</v>
      </c>
      <c r="B712" s="4" t="s">
        <v>151</v>
      </c>
      <c r="C712" s="4" t="s">
        <v>63</v>
      </c>
      <c r="D712" s="4" t="s">
        <v>88</v>
      </c>
      <c r="E712" s="4" t="s">
        <v>152</v>
      </c>
      <c r="F712" s="4" t="s">
        <v>114</v>
      </c>
      <c r="G712" s="4" t="s">
        <v>153</v>
      </c>
      <c r="H712" s="4" t="s">
        <v>154</v>
      </c>
      <c r="I712" s="9">
        <v>42874</v>
      </c>
      <c r="J712" s="11">
        <v>16</v>
      </c>
      <c r="K712" s="4" t="s">
        <v>55</v>
      </c>
      <c r="L712" s="11">
        <v>470</v>
      </c>
      <c r="M712" s="11">
        <v>7520</v>
      </c>
      <c r="N712" s="4" t="s">
        <v>8</v>
      </c>
      <c r="O712" s="5">
        <v>5637291937</v>
      </c>
      <c r="P712" s="11" t="e">
        <f ca="1">_xll.AtlasFormulas.AtlasFunctions.AtlasBalance("UAT",DataAreaId,"T.MarkupTrans","Sum|Posted|0","","","","","","","TransRecId|TransTableId|MarkupCode",$O712,"492","TPP")</f>
        <v>#NAME?</v>
      </c>
    </row>
    <row r="713" spans="1:16" x14ac:dyDescent="0.15">
      <c r="A713" s="4" t="s">
        <v>249</v>
      </c>
      <c r="B713" s="4" t="s">
        <v>644</v>
      </c>
      <c r="C713" s="4" t="s">
        <v>61</v>
      </c>
      <c r="D713" s="4" t="s">
        <v>645</v>
      </c>
      <c r="E713" s="4" t="s">
        <v>646</v>
      </c>
      <c r="F713" s="4" t="s">
        <v>80</v>
      </c>
      <c r="G713" s="4" t="s">
        <v>14</v>
      </c>
      <c r="H713" s="4" t="s">
        <v>26</v>
      </c>
      <c r="I713" s="9">
        <v>42786</v>
      </c>
      <c r="J713" s="11">
        <v>1</v>
      </c>
      <c r="K713" s="4" t="s">
        <v>55</v>
      </c>
      <c r="L713" s="11">
        <v>77</v>
      </c>
      <c r="M713" s="11">
        <v>77</v>
      </c>
      <c r="N713" s="4" t="s">
        <v>8</v>
      </c>
      <c r="O713" s="5">
        <v>5637290971</v>
      </c>
      <c r="P713" s="11" t="e">
        <f ca="1">_xll.AtlasFormulas.AtlasFunctions.AtlasBalance("UAT",DataAreaId,"T.MarkupTrans","Sum|Posted|0","","","","","","","TransRecId|TransTableId|MarkupCode",$O713,"492","TPP")</f>
        <v>#NAME?</v>
      </c>
    </row>
    <row r="714" spans="1:16" x14ac:dyDescent="0.15">
      <c r="A714" s="4" t="s">
        <v>20</v>
      </c>
      <c r="B714" s="4" t="s">
        <v>1021</v>
      </c>
      <c r="C714" s="4" t="s">
        <v>61</v>
      </c>
      <c r="D714" s="4" t="s">
        <v>1022</v>
      </c>
      <c r="E714" s="4" t="s">
        <v>1023</v>
      </c>
      <c r="F714" s="4" t="s">
        <v>728</v>
      </c>
      <c r="G714" s="4" t="s">
        <v>14</v>
      </c>
      <c r="H714" s="4" t="s">
        <v>26</v>
      </c>
      <c r="I714" s="9">
        <v>42836</v>
      </c>
      <c r="J714" s="11">
        <v>6</v>
      </c>
      <c r="K714" s="4" t="s">
        <v>55</v>
      </c>
      <c r="L714" s="11">
        <v>77</v>
      </c>
      <c r="M714" s="11">
        <v>462</v>
      </c>
      <c r="N714" s="4" t="s">
        <v>8</v>
      </c>
      <c r="O714" s="5">
        <v>5637291738</v>
      </c>
      <c r="P714" s="11" t="e">
        <f ca="1">_xll.AtlasFormulas.AtlasFunctions.AtlasBalance("UAT",DataAreaId,"T.MarkupTrans","Sum|Posted|0","","","","","","","TransRecId|TransTableId|MarkupCode",$O714,"492","TPP")</f>
        <v>#NAME?</v>
      </c>
    </row>
    <row r="715" spans="1:16" x14ac:dyDescent="0.15">
      <c r="A715" s="4" t="s">
        <v>212</v>
      </c>
      <c r="B715" s="4" t="s">
        <v>213</v>
      </c>
      <c r="C715" s="4" t="s">
        <v>214</v>
      </c>
      <c r="D715" s="4" t="s">
        <v>569</v>
      </c>
      <c r="E715" s="4" t="s">
        <v>647</v>
      </c>
      <c r="F715" s="4" t="s">
        <v>217</v>
      </c>
      <c r="G715" s="4" t="s">
        <v>14</v>
      </c>
      <c r="H715" s="4" t="s">
        <v>648</v>
      </c>
      <c r="I715" s="9">
        <v>42837</v>
      </c>
      <c r="J715" s="11">
        <v>6</v>
      </c>
      <c r="K715" s="4" t="s">
        <v>55</v>
      </c>
      <c r="L715" s="11">
        <v>77</v>
      </c>
      <c r="M715" s="11">
        <v>462</v>
      </c>
      <c r="N715" s="4" t="s">
        <v>8</v>
      </c>
      <c r="O715" s="5">
        <v>5637291407</v>
      </c>
      <c r="P715" s="11" t="e">
        <f ca="1">_xll.AtlasFormulas.AtlasFunctions.AtlasBalance("UAT",DataAreaId,"T.MarkupTrans","Sum|Posted|0","","","","","","","TransRecId|TransTableId|MarkupCode",$O715,"492","TPP")</f>
        <v>#NAME?</v>
      </c>
    </row>
    <row r="716" spans="1:16" x14ac:dyDescent="0.15">
      <c r="A716" s="4" t="s">
        <v>249</v>
      </c>
      <c r="B716" s="4" t="s">
        <v>250</v>
      </c>
      <c r="C716" s="4" t="s">
        <v>82</v>
      </c>
      <c r="D716" s="4" t="s">
        <v>566</v>
      </c>
      <c r="E716" s="4" t="s">
        <v>649</v>
      </c>
      <c r="F716" s="4" t="s">
        <v>80</v>
      </c>
      <c r="G716" s="4" t="s">
        <v>14</v>
      </c>
      <c r="H716" s="4" t="s">
        <v>26</v>
      </c>
      <c r="I716" s="9">
        <v>42849</v>
      </c>
      <c r="J716" s="11">
        <v>3</v>
      </c>
      <c r="K716" s="4" t="s">
        <v>55</v>
      </c>
      <c r="L716" s="11">
        <v>166.66</v>
      </c>
      <c r="M716" s="11">
        <v>499.98</v>
      </c>
      <c r="N716" s="4" t="s">
        <v>8</v>
      </c>
      <c r="O716" s="5">
        <v>5637291684</v>
      </c>
      <c r="P716" s="11" t="e">
        <f ca="1">_xll.AtlasFormulas.AtlasFunctions.AtlasBalance("UAT",DataAreaId,"T.MarkupTrans","Sum|Posted|0","","","","","","","TransRecId|TransTableId|MarkupCode",$O716,"492","TPP")</f>
        <v>#NAME?</v>
      </c>
    </row>
    <row r="717" spans="1:16" x14ac:dyDescent="0.15">
      <c r="A717" s="4" t="s">
        <v>212</v>
      </c>
      <c r="B717" s="4" t="s">
        <v>213</v>
      </c>
      <c r="C717" s="4" t="s">
        <v>214</v>
      </c>
      <c r="D717" s="4" t="s">
        <v>560</v>
      </c>
      <c r="E717" s="4" t="s">
        <v>650</v>
      </c>
      <c r="F717" s="4" t="s">
        <v>217</v>
      </c>
      <c r="G717" s="4" t="s">
        <v>14</v>
      </c>
      <c r="H717" s="4" t="s">
        <v>648</v>
      </c>
      <c r="I717" s="9">
        <v>42853</v>
      </c>
      <c r="J717" s="11">
        <v>-6</v>
      </c>
      <c r="K717" s="4" t="s">
        <v>55</v>
      </c>
      <c r="L717" s="11">
        <v>77</v>
      </c>
      <c r="M717" s="11">
        <v>-462</v>
      </c>
      <c r="N717" s="4" t="s">
        <v>8</v>
      </c>
      <c r="O717" s="5">
        <v>5637291454</v>
      </c>
      <c r="P717" s="11" t="e">
        <f ca="1">_xll.AtlasFormulas.AtlasFunctions.AtlasBalance("UAT",DataAreaId,"T.MarkupTrans","Sum|Posted|0","","","","","","","TransRecId|TransTableId|MarkupCode",$O717,"492","TPP")</f>
        <v>#NAME?</v>
      </c>
    </row>
    <row r="718" spans="1:16" x14ac:dyDescent="0.15">
      <c r="A718" s="4" t="s">
        <v>212</v>
      </c>
      <c r="B718" s="4" t="s">
        <v>213</v>
      </c>
      <c r="C718" s="4" t="s">
        <v>214</v>
      </c>
      <c r="D718" s="4" t="s">
        <v>434</v>
      </c>
      <c r="E718" s="4" t="s">
        <v>651</v>
      </c>
      <c r="F718" s="4" t="s">
        <v>217</v>
      </c>
      <c r="G718" s="4" t="s">
        <v>14</v>
      </c>
      <c r="H718" s="4" t="s">
        <v>648</v>
      </c>
      <c r="I718" s="9">
        <v>42853</v>
      </c>
      <c r="J718" s="11">
        <v>6</v>
      </c>
      <c r="K718" s="4" t="s">
        <v>55</v>
      </c>
      <c r="L718" s="11">
        <v>77</v>
      </c>
      <c r="M718" s="11">
        <v>462</v>
      </c>
      <c r="N718" s="4" t="s">
        <v>8</v>
      </c>
      <c r="O718" s="5">
        <v>5637291455</v>
      </c>
      <c r="P718" s="11" t="e">
        <f ca="1">_xll.AtlasFormulas.AtlasFunctions.AtlasBalance("UAT",DataAreaId,"T.MarkupTrans","Sum|Posted|0","","","","","","","TransRecId|TransTableId|MarkupCode",$O718,"492","TPP")</f>
        <v>#NAME?</v>
      </c>
    </row>
    <row r="719" spans="1:16" x14ac:dyDescent="0.15">
      <c r="A719" s="4" t="s">
        <v>20</v>
      </c>
      <c r="B719" s="4" t="s">
        <v>1021</v>
      </c>
      <c r="C719" s="4" t="s">
        <v>61</v>
      </c>
      <c r="D719" s="4" t="s">
        <v>1024</v>
      </c>
      <c r="E719" s="4" t="s">
        <v>1025</v>
      </c>
      <c r="F719" s="4" t="s">
        <v>728</v>
      </c>
      <c r="G719" s="4" t="s">
        <v>14</v>
      </c>
      <c r="H719" s="4" t="s">
        <v>26</v>
      </c>
      <c r="I719" s="9">
        <v>42853</v>
      </c>
      <c r="J719" s="11">
        <v>6</v>
      </c>
      <c r="K719" s="4" t="s">
        <v>55</v>
      </c>
      <c r="L719" s="11">
        <v>77</v>
      </c>
      <c r="M719" s="11">
        <v>462</v>
      </c>
      <c r="N719" s="4" t="s">
        <v>8</v>
      </c>
      <c r="O719" s="5">
        <v>5637291779</v>
      </c>
      <c r="P719" s="11" t="e">
        <f ca="1">_xll.AtlasFormulas.AtlasFunctions.AtlasBalance("UAT",DataAreaId,"T.MarkupTrans","Sum|Posted|0","","","","","","","TransRecId|TransTableId|MarkupCode",$O719,"492","TPP")</f>
        <v>#NAME?</v>
      </c>
    </row>
    <row r="720" spans="1:16" x14ac:dyDescent="0.15">
      <c r="A720" s="4" t="s">
        <v>20</v>
      </c>
      <c r="B720" s="4" t="s">
        <v>1021</v>
      </c>
      <c r="C720" s="4" t="s">
        <v>61</v>
      </c>
      <c r="D720" s="4" t="s">
        <v>1026</v>
      </c>
      <c r="E720" s="4" t="s">
        <v>1027</v>
      </c>
      <c r="F720" s="4" t="s">
        <v>728</v>
      </c>
      <c r="G720" s="4" t="s">
        <v>14</v>
      </c>
      <c r="H720" s="4" t="s">
        <v>26</v>
      </c>
      <c r="I720" s="9">
        <v>42856</v>
      </c>
      <c r="J720" s="11">
        <v>6</v>
      </c>
      <c r="K720" s="4" t="s">
        <v>55</v>
      </c>
      <c r="L720" s="11">
        <v>77</v>
      </c>
      <c r="M720" s="11">
        <v>462</v>
      </c>
      <c r="N720" s="4" t="s">
        <v>8</v>
      </c>
      <c r="O720" s="5">
        <v>5637291842</v>
      </c>
      <c r="P720" s="11" t="e">
        <f ca="1">_xll.AtlasFormulas.AtlasFunctions.AtlasBalance("UAT",DataAreaId,"T.MarkupTrans","Sum|Posted|0","","","","","","","TransRecId|TransTableId|MarkupCode",$O720,"492","TPP")</f>
        <v>#NAME?</v>
      </c>
    </row>
    <row r="721" spans="1:16" x14ac:dyDescent="0.15">
      <c r="A721" s="4" t="s">
        <v>20</v>
      </c>
      <c r="B721" s="4" t="s">
        <v>1021</v>
      </c>
      <c r="C721" s="4" t="s">
        <v>61</v>
      </c>
      <c r="D721" s="4" t="s">
        <v>1028</v>
      </c>
      <c r="E721" s="4" t="s">
        <v>1029</v>
      </c>
      <c r="F721" s="4" t="s">
        <v>728</v>
      </c>
      <c r="G721" s="4" t="s">
        <v>14</v>
      </c>
      <c r="H721" s="4" t="s">
        <v>26</v>
      </c>
      <c r="I721" s="9">
        <v>42856</v>
      </c>
      <c r="J721" s="11">
        <v>-6</v>
      </c>
      <c r="K721" s="4" t="s">
        <v>55</v>
      </c>
      <c r="L721" s="11">
        <v>77</v>
      </c>
      <c r="M721" s="11">
        <v>-462</v>
      </c>
      <c r="N721" s="4" t="s">
        <v>8</v>
      </c>
      <c r="O721" s="5">
        <v>5637291843</v>
      </c>
      <c r="P721" s="11" t="e">
        <f ca="1">_xll.AtlasFormulas.AtlasFunctions.AtlasBalance("UAT",DataAreaId,"T.MarkupTrans","Sum|Posted|0","","","","","","","TransRecId|TransTableId|MarkupCode",$O721,"492","TPP")</f>
        <v>#NAME?</v>
      </c>
    </row>
    <row r="722" spans="1:16" x14ac:dyDescent="0.15">
      <c r="A722" s="4" t="s">
        <v>20</v>
      </c>
      <c r="B722" s="4" t="s">
        <v>1021</v>
      </c>
      <c r="C722" s="4" t="s">
        <v>61</v>
      </c>
      <c r="D722" s="4" t="s">
        <v>1030</v>
      </c>
      <c r="E722" s="4" t="s">
        <v>1031</v>
      </c>
      <c r="F722" s="4" t="s">
        <v>728</v>
      </c>
      <c r="G722" s="4" t="s">
        <v>14</v>
      </c>
      <c r="H722" s="4" t="s">
        <v>26</v>
      </c>
      <c r="I722" s="9">
        <v>42856</v>
      </c>
      <c r="J722" s="11">
        <v>-6</v>
      </c>
      <c r="K722" s="4" t="s">
        <v>55</v>
      </c>
      <c r="L722" s="11">
        <v>77</v>
      </c>
      <c r="M722" s="11">
        <v>-462</v>
      </c>
      <c r="N722" s="4" t="s">
        <v>8</v>
      </c>
      <c r="O722" s="5">
        <v>5637291844</v>
      </c>
      <c r="P722" s="11" t="e">
        <f ca="1">_xll.AtlasFormulas.AtlasFunctions.AtlasBalance("UAT",DataAreaId,"T.MarkupTrans","Sum|Posted|0","","","","","","","TransRecId|TransTableId|MarkupCode",$O722,"492","TPP")</f>
        <v>#NAME?</v>
      </c>
    </row>
    <row r="723" spans="1:16" x14ac:dyDescent="0.15">
      <c r="A723" s="4" t="s">
        <v>227</v>
      </c>
      <c r="B723" s="4" t="s">
        <v>652</v>
      </c>
      <c r="C723" s="4" t="s">
        <v>61</v>
      </c>
      <c r="D723" s="4" t="s">
        <v>653</v>
      </c>
      <c r="E723" s="4" t="s">
        <v>654</v>
      </c>
      <c r="F723" s="4" t="s">
        <v>231</v>
      </c>
      <c r="G723" s="4" t="s">
        <v>14</v>
      </c>
      <c r="H723" s="4" t="s">
        <v>26</v>
      </c>
      <c r="I723" s="9">
        <v>42886</v>
      </c>
      <c r="J723" s="11">
        <v>10</v>
      </c>
      <c r="K723" s="4" t="s">
        <v>55</v>
      </c>
      <c r="L723" s="11">
        <v>77</v>
      </c>
      <c r="M723" s="11">
        <v>770</v>
      </c>
      <c r="N723" s="4" t="s">
        <v>8</v>
      </c>
      <c r="O723" s="5">
        <v>5637292303</v>
      </c>
      <c r="P723" s="11" t="e">
        <f ca="1">_xll.AtlasFormulas.AtlasFunctions.AtlasBalance("UAT",DataAreaId,"T.MarkupTrans","Sum|Posted|0","","","","","","","TransRecId|TransTableId|MarkupCode",$O723,"492","TPP")</f>
        <v>#NAME?</v>
      </c>
    </row>
    <row r="724" spans="1:16" x14ac:dyDescent="0.15">
      <c r="A724" s="4" t="s">
        <v>220</v>
      </c>
      <c r="B724" s="4" t="s">
        <v>638</v>
      </c>
      <c r="C724" s="4" t="s">
        <v>61</v>
      </c>
      <c r="D724" s="4" t="s">
        <v>485</v>
      </c>
      <c r="E724" s="4" t="s">
        <v>655</v>
      </c>
      <c r="F724" s="4" t="s">
        <v>224</v>
      </c>
      <c r="G724" s="4" t="s">
        <v>14</v>
      </c>
      <c r="H724" s="4" t="s">
        <v>26</v>
      </c>
      <c r="I724" s="9">
        <v>42894</v>
      </c>
      <c r="J724" s="11">
        <v>5</v>
      </c>
      <c r="K724" s="4" t="s">
        <v>55</v>
      </c>
      <c r="L724" s="11">
        <v>77</v>
      </c>
      <c r="M724" s="11">
        <v>385</v>
      </c>
      <c r="N724" s="4" t="s">
        <v>8</v>
      </c>
      <c r="O724" s="5">
        <v>5637292972</v>
      </c>
      <c r="P724" s="11" t="e">
        <f ca="1">_xll.AtlasFormulas.AtlasFunctions.AtlasBalance("UAT",DataAreaId,"T.MarkupTrans","Sum|Posted|0","","","","","","","TransRecId|TransTableId|MarkupCode",$O724,"492","TPP")</f>
        <v>#NAME?</v>
      </c>
    </row>
    <row r="725" spans="1:16" x14ac:dyDescent="0.15">
      <c r="A725" s="4" t="s">
        <v>110</v>
      </c>
      <c r="B725" s="4" t="s">
        <v>151</v>
      </c>
      <c r="C725" s="4" t="s">
        <v>63</v>
      </c>
      <c r="D725" s="4" t="s">
        <v>155</v>
      </c>
      <c r="E725" s="4" t="s">
        <v>156</v>
      </c>
      <c r="F725" s="4" t="s">
        <v>114</v>
      </c>
      <c r="G725" s="4" t="s">
        <v>14</v>
      </c>
      <c r="H725" s="4" t="s">
        <v>26</v>
      </c>
      <c r="I725" s="9">
        <v>42915</v>
      </c>
      <c r="J725" s="11">
        <v>55</v>
      </c>
      <c r="K725" s="4" t="s">
        <v>55</v>
      </c>
      <c r="L725" s="11">
        <v>70</v>
      </c>
      <c r="M725" s="11">
        <v>3850</v>
      </c>
      <c r="N725" s="4" t="s">
        <v>8</v>
      </c>
      <c r="O725" s="5">
        <v>5637292944</v>
      </c>
      <c r="P725" s="11" t="e">
        <f ca="1">_xll.AtlasFormulas.AtlasFunctions.AtlasBalance("UAT",DataAreaId,"T.MarkupTrans","Sum|Posted|0","","","","","","","TransRecId|TransTableId|MarkupCode",$O725,"492","TPP")</f>
        <v>#NAME?</v>
      </c>
    </row>
    <row r="726" spans="1:16" x14ac:dyDescent="0.15">
      <c r="A726" s="4" t="s">
        <v>212</v>
      </c>
      <c r="B726" s="4" t="s">
        <v>213</v>
      </c>
      <c r="C726" s="4" t="s">
        <v>214</v>
      </c>
      <c r="D726" s="4" t="s">
        <v>293</v>
      </c>
      <c r="E726" s="4" t="s">
        <v>656</v>
      </c>
      <c r="F726" s="4" t="s">
        <v>217</v>
      </c>
      <c r="G726" s="4" t="s">
        <v>657</v>
      </c>
      <c r="H726" s="4" t="s">
        <v>658</v>
      </c>
      <c r="I726" s="9">
        <v>42766</v>
      </c>
      <c r="J726" s="11">
        <v>40</v>
      </c>
      <c r="K726" s="4" t="s">
        <v>55</v>
      </c>
      <c r="L726" s="11">
        <v>55.17</v>
      </c>
      <c r="M726" s="11">
        <v>2206.8000000000002</v>
      </c>
      <c r="N726" s="4" t="s">
        <v>8</v>
      </c>
      <c r="O726" s="5">
        <v>5637289410</v>
      </c>
      <c r="P726" s="11" t="e">
        <f ca="1">_xll.AtlasFormulas.AtlasFunctions.AtlasBalance("UAT",DataAreaId,"T.MarkupTrans","Sum|Posted|0","","","","","","","TransRecId|TransTableId|MarkupCode",$O726,"492","TPP")</f>
        <v>#NAME?</v>
      </c>
    </row>
    <row r="727" spans="1:16" x14ac:dyDescent="0.15">
      <c r="A727" s="4" t="s">
        <v>110</v>
      </c>
      <c r="B727" s="4" t="s">
        <v>111</v>
      </c>
      <c r="C727" s="4" t="s">
        <v>82</v>
      </c>
      <c r="D727" s="4" t="s">
        <v>112</v>
      </c>
      <c r="E727" s="4" t="s">
        <v>113</v>
      </c>
      <c r="F727" s="4" t="s">
        <v>114</v>
      </c>
      <c r="G727" s="4" t="s">
        <v>157</v>
      </c>
      <c r="H727" s="4" t="s">
        <v>158</v>
      </c>
      <c r="I727" s="9">
        <v>42809</v>
      </c>
      <c r="J727" s="11">
        <v>10</v>
      </c>
      <c r="K727" s="4" t="s">
        <v>55</v>
      </c>
      <c r="L727" s="11">
        <v>74.699700000000007</v>
      </c>
      <c r="M727" s="11">
        <v>747</v>
      </c>
      <c r="N727" s="4" t="s">
        <v>8</v>
      </c>
      <c r="O727" s="5">
        <v>5637291050</v>
      </c>
      <c r="P727" s="11" t="e">
        <f ca="1">_xll.AtlasFormulas.AtlasFunctions.AtlasBalance("UAT",DataAreaId,"T.MarkupTrans","Sum|Posted|0","","","","","","","TransRecId|TransTableId|MarkupCode",$O727,"492","TPP")</f>
        <v>#NAME?</v>
      </c>
    </row>
    <row r="728" spans="1:16" x14ac:dyDescent="0.15">
      <c r="A728" s="4" t="s">
        <v>20</v>
      </c>
      <c r="B728" s="4" t="s">
        <v>1032</v>
      </c>
      <c r="C728" s="4" t="s">
        <v>60</v>
      </c>
      <c r="D728" s="4" t="s">
        <v>1033</v>
      </c>
      <c r="E728" s="4" t="s">
        <v>1034</v>
      </c>
      <c r="F728" s="4" t="s">
        <v>728</v>
      </c>
      <c r="G728" s="4" t="s">
        <v>161</v>
      </c>
      <c r="H728" s="4" t="s">
        <v>162</v>
      </c>
      <c r="I728" s="9">
        <v>42755</v>
      </c>
      <c r="J728" s="11">
        <v>168</v>
      </c>
      <c r="K728" s="4" t="s">
        <v>55</v>
      </c>
      <c r="L728" s="11">
        <v>24.5</v>
      </c>
      <c r="M728" s="11">
        <v>4116</v>
      </c>
      <c r="N728" s="4" t="s">
        <v>8</v>
      </c>
      <c r="O728" s="5">
        <v>5637289672</v>
      </c>
      <c r="P728" s="11" t="e">
        <f ca="1">_xll.AtlasFormulas.AtlasFunctions.AtlasBalance("UAT",DataAreaId,"T.MarkupTrans","Sum|Posted|0","","","","","","","TransRecId|TransTableId|MarkupCode",$O728,"492","TPP")</f>
        <v>#NAME?</v>
      </c>
    </row>
    <row r="729" spans="1:16" x14ac:dyDescent="0.15">
      <c r="A729" s="4" t="s">
        <v>20</v>
      </c>
      <c r="B729" s="4" t="s">
        <v>1032</v>
      </c>
      <c r="C729" s="4" t="s">
        <v>60</v>
      </c>
      <c r="D729" s="4" t="s">
        <v>1035</v>
      </c>
      <c r="E729" s="4" t="s">
        <v>1036</v>
      </c>
      <c r="F729" s="4" t="s">
        <v>728</v>
      </c>
      <c r="G729" s="4" t="s">
        <v>161</v>
      </c>
      <c r="H729" s="4" t="s">
        <v>162</v>
      </c>
      <c r="I729" s="9">
        <v>42767</v>
      </c>
      <c r="J729" s="11">
        <v>168</v>
      </c>
      <c r="K729" s="4" t="s">
        <v>55</v>
      </c>
      <c r="L729" s="11">
        <v>24.5</v>
      </c>
      <c r="M729" s="11">
        <v>4116</v>
      </c>
      <c r="N729" s="4" t="s">
        <v>8</v>
      </c>
      <c r="O729" s="5">
        <v>5637289765</v>
      </c>
      <c r="P729" s="11" t="e">
        <f ca="1">_xll.AtlasFormulas.AtlasFunctions.AtlasBalance("UAT",DataAreaId,"T.MarkupTrans","Sum|Posted|0","","","","","","","TransRecId|TransTableId|MarkupCode",$O729,"492","TPP")</f>
        <v>#NAME?</v>
      </c>
    </row>
    <row r="730" spans="1:16" x14ac:dyDescent="0.15">
      <c r="A730" s="4" t="s">
        <v>20</v>
      </c>
      <c r="B730" s="4" t="s">
        <v>1037</v>
      </c>
      <c r="C730" s="4" t="s">
        <v>60</v>
      </c>
      <c r="D730" s="4" t="s">
        <v>1038</v>
      </c>
      <c r="E730" s="4" t="s">
        <v>1039</v>
      </c>
      <c r="F730" s="4" t="s">
        <v>728</v>
      </c>
      <c r="G730" s="4" t="s">
        <v>161</v>
      </c>
      <c r="H730" s="4" t="s">
        <v>162</v>
      </c>
      <c r="I730" s="9">
        <v>42776</v>
      </c>
      <c r="J730" s="11">
        <v>336</v>
      </c>
      <c r="K730" s="4" t="s">
        <v>55</v>
      </c>
      <c r="L730" s="11">
        <v>24.5</v>
      </c>
      <c r="M730" s="11">
        <v>8232</v>
      </c>
      <c r="N730" s="4" t="s">
        <v>8</v>
      </c>
      <c r="O730" s="5">
        <v>5637289791</v>
      </c>
      <c r="P730" s="11" t="e">
        <f ca="1">_xll.AtlasFormulas.AtlasFunctions.AtlasBalance("UAT",DataAreaId,"T.MarkupTrans","Sum|Posted|0","","","","","","","TransRecId|TransTableId|MarkupCode",$O730,"492","TPP")</f>
        <v>#NAME?</v>
      </c>
    </row>
    <row r="731" spans="1:16" x14ac:dyDescent="0.15">
      <c r="A731" s="4" t="s">
        <v>20</v>
      </c>
      <c r="B731" s="4" t="s">
        <v>1037</v>
      </c>
      <c r="C731" s="4" t="s">
        <v>60</v>
      </c>
      <c r="D731" s="4" t="s">
        <v>1040</v>
      </c>
      <c r="E731" s="4" t="s">
        <v>1041</v>
      </c>
      <c r="F731" s="4" t="s">
        <v>728</v>
      </c>
      <c r="G731" s="4" t="s">
        <v>161</v>
      </c>
      <c r="H731" s="4" t="s">
        <v>162</v>
      </c>
      <c r="I731" s="9">
        <v>42780</v>
      </c>
      <c r="J731" s="11">
        <v>1</v>
      </c>
      <c r="K731" s="4" t="s">
        <v>663</v>
      </c>
      <c r="L731" s="11">
        <v>1029</v>
      </c>
      <c r="M731" s="11">
        <v>1029</v>
      </c>
      <c r="N731" s="4" t="s">
        <v>8</v>
      </c>
      <c r="O731" s="5">
        <v>5637289795</v>
      </c>
      <c r="P731" s="11" t="e">
        <f ca="1">_xll.AtlasFormulas.AtlasFunctions.AtlasBalance("UAT",DataAreaId,"T.MarkupTrans","Sum|Posted|0","","","","","","","TransRecId|TransTableId|MarkupCode",$O731,"492","TPP")</f>
        <v>#NAME?</v>
      </c>
    </row>
    <row r="732" spans="1:16" x14ac:dyDescent="0.15">
      <c r="A732" s="4" t="s">
        <v>227</v>
      </c>
      <c r="B732" s="4" t="s">
        <v>228</v>
      </c>
      <c r="C732" s="4" t="s">
        <v>82</v>
      </c>
      <c r="D732" s="4" t="s">
        <v>659</v>
      </c>
      <c r="E732" s="4" t="s">
        <v>660</v>
      </c>
      <c r="F732" s="4" t="s">
        <v>231</v>
      </c>
      <c r="G732" s="4" t="s">
        <v>161</v>
      </c>
      <c r="H732" s="4" t="s">
        <v>661</v>
      </c>
      <c r="I732" s="9">
        <v>42781</v>
      </c>
      <c r="J732" s="11">
        <v>336</v>
      </c>
      <c r="K732" s="4" t="s">
        <v>55</v>
      </c>
      <c r="L732" s="11">
        <v>24.5</v>
      </c>
      <c r="M732" s="11">
        <v>8232</v>
      </c>
      <c r="N732" s="4" t="s">
        <v>8</v>
      </c>
      <c r="O732" s="5">
        <v>5637289803</v>
      </c>
      <c r="P732" s="11" t="e">
        <f ca="1">_xll.AtlasFormulas.AtlasFunctions.AtlasBalance("UAT",DataAreaId,"T.MarkupTrans","Sum|Posted|0","","","","","","","TransRecId|TransTableId|MarkupCode",$O732,"492","TPP")</f>
        <v>#NAME?</v>
      </c>
    </row>
    <row r="733" spans="1:16" x14ac:dyDescent="0.15">
      <c r="A733" s="4" t="s">
        <v>288</v>
      </c>
      <c r="B733" s="4" t="s">
        <v>289</v>
      </c>
      <c r="C733" s="4" t="s">
        <v>82</v>
      </c>
      <c r="D733" s="4" t="s">
        <v>175</v>
      </c>
      <c r="E733" s="4" t="s">
        <v>662</v>
      </c>
      <c r="F733" s="4" t="s">
        <v>292</v>
      </c>
      <c r="G733" s="4" t="s">
        <v>161</v>
      </c>
      <c r="H733" s="4" t="s">
        <v>661</v>
      </c>
      <c r="I733" s="9">
        <v>42783</v>
      </c>
      <c r="J733" s="11">
        <v>1</v>
      </c>
      <c r="K733" s="4" t="s">
        <v>663</v>
      </c>
      <c r="L733" s="11">
        <v>1029</v>
      </c>
      <c r="M733" s="11">
        <v>1029</v>
      </c>
      <c r="N733" s="4" t="s">
        <v>8</v>
      </c>
      <c r="O733" s="5">
        <v>5637289814</v>
      </c>
      <c r="P733" s="11" t="e">
        <f ca="1">_xll.AtlasFormulas.AtlasFunctions.AtlasBalance("UAT",DataAreaId,"T.MarkupTrans","Sum|Posted|0","","","","","","","TransRecId|TransTableId|MarkupCode",$O733,"492","TPP")</f>
        <v>#NAME?</v>
      </c>
    </row>
    <row r="734" spans="1:16" x14ac:dyDescent="0.15">
      <c r="A734" s="4" t="s">
        <v>20</v>
      </c>
      <c r="B734" s="4" t="s">
        <v>1037</v>
      </c>
      <c r="C734" s="4" t="s">
        <v>60</v>
      </c>
      <c r="D734" s="4" t="s">
        <v>1042</v>
      </c>
      <c r="E734" s="4" t="s">
        <v>1043</v>
      </c>
      <c r="F734" s="4" t="s">
        <v>728</v>
      </c>
      <c r="G734" s="4" t="s">
        <v>161</v>
      </c>
      <c r="H734" s="4" t="s">
        <v>162</v>
      </c>
      <c r="I734" s="9">
        <v>42804</v>
      </c>
      <c r="J734" s="11">
        <v>5</v>
      </c>
      <c r="K734" s="4" t="s">
        <v>663</v>
      </c>
      <c r="L734" s="11">
        <v>1029</v>
      </c>
      <c r="M734" s="11">
        <v>5145</v>
      </c>
      <c r="N734" s="4" t="s">
        <v>8</v>
      </c>
      <c r="O734" s="5">
        <v>5637291038</v>
      </c>
      <c r="P734" s="11" t="e">
        <f ca="1">_xll.AtlasFormulas.AtlasFunctions.AtlasBalance("UAT",DataAreaId,"T.MarkupTrans","Sum|Posted|0","","","","","","","TransRecId|TransTableId|MarkupCode",$O734,"492","TPP")</f>
        <v>#NAME?</v>
      </c>
    </row>
    <row r="735" spans="1:16" x14ac:dyDescent="0.15">
      <c r="A735" s="4" t="s">
        <v>288</v>
      </c>
      <c r="B735" s="4" t="s">
        <v>308</v>
      </c>
      <c r="C735" s="4" t="s">
        <v>82</v>
      </c>
      <c r="D735" s="4" t="s">
        <v>155</v>
      </c>
      <c r="E735" s="4" t="s">
        <v>664</v>
      </c>
      <c r="F735" s="4" t="s">
        <v>311</v>
      </c>
      <c r="G735" s="4" t="s">
        <v>161</v>
      </c>
      <c r="H735" s="4" t="s">
        <v>661</v>
      </c>
      <c r="I735" s="9">
        <v>42808</v>
      </c>
      <c r="J735" s="11">
        <v>5</v>
      </c>
      <c r="K735" s="4" t="s">
        <v>663</v>
      </c>
      <c r="L735" s="11">
        <v>1029</v>
      </c>
      <c r="M735" s="11">
        <v>5145</v>
      </c>
      <c r="N735" s="4" t="s">
        <v>8</v>
      </c>
      <c r="O735" s="5">
        <v>5637291042</v>
      </c>
      <c r="P735" s="11" t="e">
        <f ca="1">_xll.AtlasFormulas.AtlasFunctions.AtlasBalance("UAT",DataAreaId,"T.MarkupTrans","Sum|Posted|0","","","","","","","TransRecId|TransTableId|MarkupCode",$O735,"492","TPP")</f>
        <v>#NAME?</v>
      </c>
    </row>
    <row r="736" spans="1:16" x14ac:dyDescent="0.15">
      <c r="A736" s="4" t="s">
        <v>227</v>
      </c>
      <c r="B736" s="4" t="s">
        <v>228</v>
      </c>
      <c r="C736" s="4" t="s">
        <v>82</v>
      </c>
      <c r="D736" s="4" t="s">
        <v>665</v>
      </c>
      <c r="E736" s="4" t="s">
        <v>666</v>
      </c>
      <c r="F736" s="4" t="s">
        <v>231</v>
      </c>
      <c r="G736" s="4" t="s">
        <v>161</v>
      </c>
      <c r="H736" s="4" t="s">
        <v>661</v>
      </c>
      <c r="I736" s="9">
        <v>42817</v>
      </c>
      <c r="J736" s="11">
        <v>336</v>
      </c>
      <c r="K736" s="4" t="s">
        <v>55</v>
      </c>
      <c r="L736" s="11">
        <v>24.5</v>
      </c>
      <c r="M736" s="11">
        <v>8232</v>
      </c>
      <c r="N736" s="4" t="s">
        <v>8</v>
      </c>
      <c r="O736" s="5">
        <v>5637291187</v>
      </c>
      <c r="P736" s="11" t="e">
        <f ca="1">_xll.AtlasFormulas.AtlasFunctions.AtlasBalance("UAT",DataAreaId,"T.MarkupTrans","Sum|Posted|0","","","","","","","TransRecId|TransTableId|MarkupCode",$O736,"492","TPP")</f>
        <v>#NAME?</v>
      </c>
    </row>
    <row r="737" spans="1:16" x14ac:dyDescent="0.15">
      <c r="A737" s="4" t="s">
        <v>227</v>
      </c>
      <c r="B737" s="4" t="s">
        <v>228</v>
      </c>
      <c r="C737" s="4" t="s">
        <v>82</v>
      </c>
      <c r="D737" s="4" t="s">
        <v>667</v>
      </c>
      <c r="E737" s="4" t="s">
        <v>668</v>
      </c>
      <c r="F737" s="4" t="s">
        <v>231</v>
      </c>
      <c r="G737" s="4" t="s">
        <v>161</v>
      </c>
      <c r="H737" s="4" t="s">
        <v>661</v>
      </c>
      <c r="I737" s="9">
        <v>42817</v>
      </c>
      <c r="J737" s="11">
        <v>-336</v>
      </c>
      <c r="K737" s="4" t="s">
        <v>55</v>
      </c>
      <c r="L737" s="11">
        <v>24.5</v>
      </c>
      <c r="M737" s="11">
        <v>-8232</v>
      </c>
      <c r="N737" s="4" t="s">
        <v>8</v>
      </c>
      <c r="O737" s="5">
        <v>5637291214</v>
      </c>
      <c r="P737" s="11" t="e">
        <f ca="1">_xll.AtlasFormulas.AtlasFunctions.AtlasBalance("UAT",DataAreaId,"T.MarkupTrans","Sum|Posted|0","","","","","","","TransRecId|TransTableId|MarkupCode",$O737,"492","TPP")</f>
        <v>#NAME?</v>
      </c>
    </row>
    <row r="738" spans="1:16" x14ac:dyDescent="0.15">
      <c r="A738" s="4" t="s">
        <v>227</v>
      </c>
      <c r="B738" s="4" t="s">
        <v>228</v>
      </c>
      <c r="C738" s="4" t="s">
        <v>82</v>
      </c>
      <c r="D738" s="4" t="s">
        <v>171</v>
      </c>
      <c r="E738" s="4" t="s">
        <v>669</v>
      </c>
      <c r="F738" s="4" t="s">
        <v>231</v>
      </c>
      <c r="G738" s="4" t="s">
        <v>161</v>
      </c>
      <c r="H738" s="4" t="s">
        <v>661</v>
      </c>
      <c r="I738" s="9">
        <v>42832</v>
      </c>
      <c r="J738" s="11">
        <v>336</v>
      </c>
      <c r="K738" s="4" t="s">
        <v>55</v>
      </c>
      <c r="L738" s="11">
        <v>24.5</v>
      </c>
      <c r="M738" s="11">
        <v>8232</v>
      </c>
      <c r="N738" s="4" t="s">
        <v>8</v>
      </c>
      <c r="O738" s="5">
        <v>5637291350</v>
      </c>
      <c r="P738" s="11" t="e">
        <f ca="1">_xll.AtlasFormulas.AtlasFunctions.AtlasBalance("UAT",DataAreaId,"T.MarkupTrans","Sum|Posted|0","","","","","","","TransRecId|TransTableId|MarkupCode",$O738,"492","TPP")</f>
        <v>#NAME?</v>
      </c>
    </row>
    <row r="739" spans="1:16" x14ac:dyDescent="0.15">
      <c r="A739" s="4" t="s">
        <v>20</v>
      </c>
      <c r="B739" s="4" t="s">
        <v>1037</v>
      </c>
      <c r="C739" s="4" t="s">
        <v>60</v>
      </c>
      <c r="D739" s="4" t="s">
        <v>1044</v>
      </c>
      <c r="E739" s="4" t="s">
        <v>1045</v>
      </c>
      <c r="F739" s="4" t="s">
        <v>728</v>
      </c>
      <c r="G739" s="4" t="s">
        <v>161</v>
      </c>
      <c r="H739" s="4" t="s">
        <v>162</v>
      </c>
      <c r="I739" s="9">
        <v>42832</v>
      </c>
      <c r="J739" s="11">
        <v>336</v>
      </c>
      <c r="K739" s="4" t="s">
        <v>55</v>
      </c>
      <c r="L739" s="11">
        <v>24.5</v>
      </c>
      <c r="M739" s="11">
        <v>8232</v>
      </c>
      <c r="N739" s="4" t="s">
        <v>8</v>
      </c>
      <c r="O739" s="5">
        <v>5637291356</v>
      </c>
      <c r="P739" s="11" t="e">
        <f ca="1">_xll.AtlasFormulas.AtlasFunctions.AtlasBalance("UAT",DataAreaId,"T.MarkupTrans","Sum|Posted|0","","","","","","","TransRecId|TransTableId|MarkupCode",$O739,"492","TPP")</f>
        <v>#NAME?</v>
      </c>
    </row>
    <row r="740" spans="1:16" x14ac:dyDescent="0.15">
      <c r="A740" s="4" t="s">
        <v>20</v>
      </c>
      <c r="B740" s="4" t="s">
        <v>1032</v>
      </c>
      <c r="C740" s="4" t="s">
        <v>60</v>
      </c>
      <c r="D740" s="4" t="s">
        <v>1046</v>
      </c>
      <c r="E740" s="4" t="s">
        <v>1047</v>
      </c>
      <c r="F740" s="4" t="s">
        <v>728</v>
      </c>
      <c r="G740" s="4" t="s">
        <v>161</v>
      </c>
      <c r="H740" s="4" t="s">
        <v>162</v>
      </c>
      <c r="I740" s="9">
        <v>42843</v>
      </c>
      <c r="J740" s="11">
        <v>165</v>
      </c>
      <c r="K740" s="4" t="s">
        <v>55</v>
      </c>
      <c r="L740" s="11">
        <v>24.5</v>
      </c>
      <c r="M740" s="11">
        <v>4042.5</v>
      </c>
      <c r="N740" s="4" t="s">
        <v>8</v>
      </c>
      <c r="O740" s="5">
        <v>5637291735</v>
      </c>
      <c r="P740" s="11" t="e">
        <f ca="1">_xll.AtlasFormulas.AtlasFunctions.AtlasBalance("UAT",DataAreaId,"T.MarkupTrans","Sum|Posted|0","","","","","","","TransRecId|TransTableId|MarkupCode",$O740,"492","TPP")</f>
        <v>#NAME?</v>
      </c>
    </row>
    <row r="741" spans="1:16" x14ac:dyDescent="0.15">
      <c r="A741" s="4" t="s">
        <v>20</v>
      </c>
      <c r="B741" s="4" t="s">
        <v>1037</v>
      </c>
      <c r="C741" s="4" t="s">
        <v>60</v>
      </c>
      <c r="D741" s="4" t="s">
        <v>1048</v>
      </c>
      <c r="E741" s="4" t="s">
        <v>1049</v>
      </c>
      <c r="F741" s="4" t="s">
        <v>728</v>
      </c>
      <c r="G741" s="4" t="s">
        <v>161</v>
      </c>
      <c r="H741" s="4" t="s">
        <v>162</v>
      </c>
      <c r="I741" s="9">
        <v>42846</v>
      </c>
      <c r="J741" s="11">
        <v>252</v>
      </c>
      <c r="K741" s="4" t="s">
        <v>55</v>
      </c>
      <c r="L741" s="11">
        <v>24.5</v>
      </c>
      <c r="M741" s="11">
        <v>6174</v>
      </c>
      <c r="N741" s="4" t="s">
        <v>8</v>
      </c>
      <c r="O741" s="5">
        <v>5637291711</v>
      </c>
      <c r="P741" s="11" t="e">
        <f ca="1">_xll.AtlasFormulas.AtlasFunctions.AtlasBalance("UAT",DataAreaId,"T.MarkupTrans","Sum|Posted|0","","","","","","","TransRecId|TransTableId|MarkupCode",$O741,"492","TPP")</f>
        <v>#NAME?</v>
      </c>
    </row>
    <row r="742" spans="1:16" x14ac:dyDescent="0.15">
      <c r="A742" s="4" t="s">
        <v>110</v>
      </c>
      <c r="B742" s="4" t="s">
        <v>111</v>
      </c>
      <c r="C742" s="4" t="s">
        <v>82</v>
      </c>
      <c r="D742" s="4" t="s">
        <v>159</v>
      </c>
      <c r="E742" s="4" t="s">
        <v>160</v>
      </c>
      <c r="F742" s="4" t="s">
        <v>114</v>
      </c>
      <c r="G742" s="4" t="s">
        <v>161</v>
      </c>
      <c r="H742" s="4" t="s">
        <v>162</v>
      </c>
      <c r="I742" s="9">
        <v>42851</v>
      </c>
      <c r="J742" s="11">
        <v>252</v>
      </c>
      <c r="K742" s="4" t="s">
        <v>55</v>
      </c>
      <c r="L742" s="11">
        <v>24.5</v>
      </c>
      <c r="M742" s="11">
        <v>6174</v>
      </c>
      <c r="N742" s="4" t="s">
        <v>8</v>
      </c>
      <c r="O742" s="5">
        <v>5637291746</v>
      </c>
      <c r="P742" s="11" t="e">
        <f ca="1">_xll.AtlasFormulas.AtlasFunctions.AtlasBalance("UAT",DataAreaId,"T.MarkupTrans","Sum|Posted|0","","","","","","","TransRecId|TransTableId|MarkupCode",$O742,"492","TPP")</f>
        <v>#NAME?</v>
      </c>
    </row>
    <row r="743" spans="1:16" x14ac:dyDescent="0.15">
      <c r="A743" s="4" t="s">
        <v>20</v>
      </c>
      <c r="B743" s="4" t="s">
        <v>1037</v>
      </c>
      <c r="C743" s="4" t="s">
        <v>60</v>
      </c>
      <c r="D743" s="4" t="s">
        <v>1050</v>
      </c>
      <c r="E743" s="4" t="s">
        <v>1051</v>
      </c>
      <c r="F743" s="4" t="s">
        <v>728</v>
      </c>
      <c r="G743" s="4" t="s">
        <v>161</v>
      </c>
      <c r="H743" s="4" t="s">
        <v>162</v>
      </c>
      <c r="I743" s="9">
        <v>42860</v>
      </c>
      <c r="J743" s="11">
        <v>294</v>
      </c>
      <c r="K743" s="4" t="s">
        <v>55</v>
      </c>
      <c r="L743" s="11">
        <v>24.5</v>
      </c>
      <c r="M743" s="11">
        <v>7203</v>
      </c>
      <c r="N743" s="4" t="s">
        <v>8</v>
      </c>
      <c r="O743" s="5">
        <v>5637291833</v>
      </c>
      <c r="P743" s="11" t="e">
        <f ca="1">_xll.AtlasFormulas.AtlasFunctions.AtlasBalance("UAT",DataAreaId,"T.MarkupTrans","Sum|Posted|0","","","","","","","TransRecId|TransTableId|MarkupCode",$O743,"492","TPP")</f>
        <v>#NAME?</v>
      </c>
    </row>
    <row r="744" spans="1:16" x14ac:dyDescent="0.15">
      <c r="A744" s="4" t="s">
        <v>20</v>
      </c>
      <c r="B744" s="4" t="s">
        <v>1037</v>
      </c>
      <c r="C744" s="4" t="s">
        <v>60</v>
      </c>
      <c r="D744" s="4" t="s">
        <v>1052</v>
      </c>
      <c r="E744" s="4" t="s">
        <v>1053</v>
      </c>
      <c r="F744" s="4" t="s">
        <v>728</v>
      </c>
      <c r="G744" s="4" t="s">
        <v>161</v>
      </c>
      <c r="H744" s="4" t="s">
        <v>162</v>
      </c>
      <c r="I744" s="9">
        <v>42863</v>
      </c>
      <c r="J744" s="11">
        <v>126</v>
      </c>
      <c r="K744" s="4" t="s">
        <v>55</v>
      </c>
      <c r="L744" s="11">
        <v>24.5</v>
      </c>
      <c r="M744" s="11">
        <v>3087</v>
      </c>
      <c r="N744" s="4" t="s">
        <v>8</v>
      </c>
      <c r="O744" s="5">
        <v>5637291815</v>
      </c>
      <c r="P744" s="11" t="e">
        <f ca="1">_xll.AtlasFormulas.AtlasFunctions.AtlasBalance("UAT",DataAreaId,"T.MarkupTrans","Sum|Posted|0","","","","","","","TransRecId|TransTableId|MarkupCode",$O744,"492","TPP")</f>
        <v>#NAME?</v>
      </c>
    </row>
    <row r="745" spans="1:16" x14ac:dyDescent="0.15">
      <c r="A745" s="4" t="s">
        <v>227</v>
      </c>
      <c r="B745" s="4" t="s">
        <v>228</v>
      </c>
      <c r="C745" s="4" t="s">
        <v>82</v>
      </c>
      <c r="D745" s="4" t="s">
        <v>139</v>
      </c>
      <c r="E745" s="4" t="s">
        <v>670</v>
      </c>
      <c r="F745" s="4" t="s">
        <v>231</v>
      </c>
      <c r="G745" s="4" t="s">
        <v>161</v>
      </c>
      <c r="H745" s="4" t="s">
        <v>661</v>
      </c>
      <c r="I745" s="9">
        <v>42863</v>
      </c>
      <c r="J745" s="11">
        <v>126</v>
      </c>
      <c r="K745" s="4" t="s">
        <v>55</v>
      </c>
      <c r="L745" s="11">
        <v>24.5</v>
      </c>
      <c r="M745" s="11">
        <v>3087</v>
      </c>
      <c r="N745" s="4" t="s">
        <v>8</v>
      </c>
      <c r="O745" s="5">
        <v>5637291883</v>
      </c>
      <c r="P745" s="11" t="e">
        <f ca="1">_xll.AtlasFormulas.AtlasFunctions.AtlasBalance("UAT",DataAreaId,"T.MarkupTrans","Sum|Posted|0","","","","","","","TransRecId|TransTableId|MarkupCode",$O745,"492","TPP")</f>
        <v>#NAME?</v>
      </c>
    </row>
    <row r="746" spans="1:16" x14ac:dyDescent="0.15">
      <c r="A746" s="4" t="s">
        <v>288</v>
      </c>
      <c r="B746" s="4" t="s">
        <v>308</v>
      </c>
      <c r="C746" s="4" t="s">
        <v>82</v>
      </c>
      <c r="D746" s="4" t="s">
        <v>671</v>
      </c>
      <c r="E746" s="4" t="s">
        <v>672</v>
      </c>
      <c r="F746" s="4" t="s">
        <v>311</v>
      </c>
      <c r="G746" s="4" t="s">
        <v>161</v>
      </c>
      <c r="H746" s="4" t="s">
        <v>661</v>
      </c>
      <c r="I746" s="9">
        <v>42864</v>
      </c>
      <c r="J746" s="11">
        <v>294</v>
      </c>
      <c r="K746" s="4" t="s">
        <v>55</v>
      </c>
      <c r="L746" s="11">
        <v>24.5</v>
      </c>
      <c r="M746" s="11">
        <v>7203</v>
      </c>
      <c r="N746" s="4" t="s">
        <v>8</v>
      </c>
      <c r="O746" s="5">
        <v>5637291811</v>
      </c>
      <c r="P746" s="11" t="e">
        <f ca="1">_xll.AtlasFormulas.AtlasFunctions.AtlasBalance("UAT",DataAreaId,"T.MarkupTrans","Sum|Posted|0","","","","","","","TransRecId|TransTableId|MarkupCode",$O746,"492","TPP")</f>
        <v>#NAME?</v>
      </c>
    </row>
    <row r="747" spans="1:16" x14ac:dyDescent="0.15">
      <c r="A747" s="4" t="s">
        <v>20</v>
      </c>
      <c r="B747" s="4" t="s">
        <v>1032</v>
      </c>
      <c r="C747" s="4" t="s">
        <v>60</v>
      </c>
      <c r="D747" s="4" t="s">
        <v>1054</v>
      </c>
      <c r="E747" s="4" t="s">
        <v>1055</v>
      </c>
      <c r="F747" s="4" t="s">
        <v>728</v>
      </c>
      <c r="G747" s="4" t="s">
        <v>161</v>
      </c>
      <c r="H747" s="4" t="s">
        <v>162</v>
      </c>
      <c r="I747" s="9">
        <v>42900</v>
      </c>
      <c r="J747" s="11">
        <v>168</v>
      </c>
      <c r="K747" s="4" t="s">
        <v>55</v>
      </c>
      <c r="L747" s="11">
        <v>24.5</v>
      </c>
      <c r="M747" s="11">
        <v>4116</v>
      </c>
      <c r="N747" s="4" t="s">
        <v>8</v>
      </c>
      <c r="O747" s="5">
        <v>5637292654</v>
      </c>
      <c r="P747" s="11" t="e">
        <f ca="1">_xll.AtlasFormulas.AtlasFunctions.AtlasBalance("UAT",DataAreaId,"T.MarkupTrans","Sum|Posted|0","","","","","","","TransRecId|TransTableId|MarkupCode",$O747,"492","TPP")</f>
        <v>#NAME?</v>
      </c>
    </row>
    <row r="748" spans="1:16" x14ac:dyDescent="0.15">
      <c r="A748" s="4" t="s">
        <v>20</v>
      </c>
      <c r="B748" s="4" t="s">
        <v>1037</v>
      </c>
      <c r="C748" s="4" t="s">
        <v>60</v>
      </c>
      <c r="D748" s="4" t="s">
        <v>1056</v>
      </c>
      <c r="E748" s="4" t="s">
        <v>1057</v>
      </c>
      <c r="F748" s="4" t="s">
        <v>728</v>
      </c>
      <c r="G748" s="4" t="s">
        <v>161</v>
      </c>
      <c r="H748" s="4" t="s">
        <v>162</v>
      </c>
      <c r="I748" s="9">
        <v>42913</v>
      </c>
      <c r="J748" s="11">
        <v>420</v>
      </c>
      <c r="K748" s="4" t="s">
        <v>55</v>
      </c>
      <c r="L748" s="11">
        <v>24.5</v>
      </c>
      <c r="M748" s="11">
        <v>10290</v>
      </c>
      <c r="N748" s="4" t="s">
        <v>8</v>
      </c>
      <c r="O748" s="5">
        <v>5637292902</v>
      </c>
      <c r="P748" s="11" t="e">
        <f ca="1">_xll.AtlasFormulas.AtlasFunctions.AtlasBalance("UAT",DataAreaId,"T.MarkupTrans","Sum|Posted|0","","","","","","","TransRecId|TransTableId|MarkupCode",$O748,"492","TPP")</f>
        <v>#NAME?</v>
      </c>
    </row>
    <row r="749" spans="1:16" x14ac:dyDescent="0.15">
      <c r="A749" s="4" t="s">
        <v>227</v>
      </c>
      <c r="B749" s="4" t="s">
        <v>228</v>
      </c>
      <c r="C749" s="4" t="s">
        <v>82</v>
      </c>
      <c r="D749" s="4" t="s">
        <v>673</v>
      </c>
      <c r="E749" s="4" t="s">
        <v>674</v>
      </c>
      <c r="F749" s="4" t="s">
        <v>231</v>
      </c>
      <c r="G749" s="4" t="s">
        <v>161</v>
      </c>
      <c r="H749" s="4" t="s">
        <v>661</v>
      </c>
      <c r="I749" s="9">
        <v>42913</v>
      </c>
      <c r="J749" s="11">
        <v>420</v>
      </c>
      <c r="K749" s="4" t="s">
        <v>55</v>
      </c>
      <c r="L749" s="11">
        <v>24.5</v>
      </c>
      <c r="M749" s="11">
        <v>10290</v>
      </c>
      <c r="N749" s="4" t="s">
        <v>8</v>
      </c>
      <c r="O749" s="5">
        <v>5637292922</v>
      </c>
      <c r="P749" s="11" t="e">
        <f ca="1">_xll.AtlasFormulas.AtlasFunctions.AtlasBalance("UAT",DataAreaId,"T.MarkupTrans","Sum|Posted|0","","","","","","","TransRecId|TransTableId|MarkupCode",$O749,"492","TPP")</f>
        <v>#NAME?</v>
      </c>
    </row>
    <row r="750" spans="1:16" x14ac:dyDescent="0.15">
      <c r="A750" s="4" t="s">
        <v>20</v>
      </c>
      <c r="B750" s="4" t="s">
        <v>1037</v>
      </c>
      <c r="C750" s="4" t="s">
        <v>60</v>
      </c>
      <c r="D750" s="4" t="s">
        <v>1058</v>
      </c>
      <c r="E750" s="4" t="s">
        <v>1059</v>
      </c>
      <c r="F750" s="4" t="s">
        <v>728</v>
      </c>
      <c r="G750" s="4" t="s">
        <v>161</v>
      </c>
      <c r="H750" s="4" t="s">
        <v>162</v>
      </c>
      <c r="I750" s="9">
        <v>42915</v>
      </c>
      <c r="J750" s="11">
        <v>210</v>
      </c>
      <c r="K750" s="4" t="s">
        <v>55</v>
      </c>
      <c r="L750" s="11">
        <v>24.5</v>
      </c>
      <c r="M750" s="11">
        <v>5145</v>
      </c>
      <c r="N750" s="4" t="s">
        <v>8</v>
      </c>
      <c r="O750" s="5">
        <v>5637292945</v>
      </c>
      <c r="P750" s="11" t="e">
        <f ca="1">_xll.AtlasFormulas.AtlasFunctions.AtlasBalance("UAT",DataAreaId,"T.MarkupTrans","Sum|Posted|0","","","","","","","TransRecId|TransTableId|MarkupCode",$O750,"492","TPP")</f>
        <v>#NAME?</v>
      </c>
    </row>
    <row r="751" spans="1:16" x14ac:dyDescent="0.15">
      <c r="A751" s="4" t="s">
        <v>288</v>
      </c>
      <c r="B751" s="4" t="s">
        <v>308</v>
      </c>
      <c r="C751" s="4" t="s">
        <v>82</v>
      </c>
      <c r="D751" s="4" t="s">
        <v>419</v>
      </c>
      <c r="E751" s="4" t="s">
        <v>675</v>
      </c>
      <c r="F751" s="4" t="s">
        <v>311</v>
      </c>
      <c r="G751" s="4" t="s">
        <v>161</v>
      </c>
      <c r="H751" s="4" t="s">
        <v>661</v>
      </c>
      <c r="I751" s="9">
        <v>42919</v>
      </c>
      <c r="J751" s="11">
        <v>210</v>
      </c>
      <c r="K751" s="4" t="s">
        <v>55</v>
      </c>
      <c r="L751" s="11">
        <v>24.5</v>
      </c>
      <c r="M751" s="11">
        <v>5145</v>
      </c>
      <c r="N751" s="4" t="s">
        <v>8</v>
      </c>
      <c r="O751" s="5">
        <v>5637293010</v>
      </c>
      <c r="P751" s="11" t="e">
        <f ca="1">_xll.AtlasFormulas.AtlasFunctions.AtlasBalance("UAT",DataAreaId,"T.MarkupTrans","Sum|Posted|0","","","","","","","TransRecId|TransTableId|MarkupCode",$O751,"492","TPP")</f>
        <v>#NAME?</v>
      </c>
    </row>
    <row r="752" spans="1:16" x14ac:dyDescent="0.15">
      <c r="A752" s="4" t="s">
        <v>20</v>
      </c>
      <c r="B752" s="4" t="s">
        <v>1037</v>
      </c>
      <c r="C752" s="4" t="s">
        <v>60</v>
      </c>
      <c r="D752" s="4" t="s">
        <v>1060</v>
      </c>
      <c r="E752" s="4" t="s">
        <v>1061</v>
      </c>
      <c r="F752" s="4" t="s">
        <v>728</v>
      </c>
      <c r="G752" s="4" t="s">
        <v>161</v>
      </c>
      <c r="H752" s="4" t="s">
        <v>162</v>
      </c>
      <c r="I752" s="9">
        <v>42934</v>
      </c>
      <c r="J752" s="11">
        <v>210</v>
      </c>
      <c r="K752" s="4" t="s">
        <v>55</v>
      </c>
      <c r="L752" s="11">
        <v>24.5</v>
      </c>
      <c r="M752" s="11">
        <v>5145</v>
      </c>
      <c r="N752" s="4" t="s">
        <v>8</v>
      </c>
      <c r="O752" s="5">
        <v>5637293499</v>
      </c>
      <c r="P752" s="11" t="e">
        <f ca="1">_xll.AtlasFormulas.AtlasFunctions.AtlasBalance("UAT",DataAreaId,"T.MarkupTrans","Sum|Posted|0","","","","","","","TransRecId|TransTableId|MarkupCode",$O752,"492","TPP")</f>
        <v>#NAME?</v>
      </c>
    </row>
    <row r="753" spans="1:16" x14ac:dyDescent="0.15">
      <c r="A753" s="4" t="s">
        <v>20</v>
      </c>
      <c r="B753" s="4" t="s">
        <v>1032</v>
      </c>
      <c r="C753" s="4" t="s">
        <v>60</v>
      </c>
      <c r="D753" s="4" t="s">
        <v>1062</v>
      </c>
      <c r="E753" s="4" t="s">
        <v>1063</v>
      </c>
      <c r="F753" s="4" t="s">
        <v>728</v>
      </c>
      <c r="G753" s="4" t="s">
        <v>161</v>
      </c>
      <c r="H753" s="4" t="s">
        <v>162</v>
      </c>
      <c r="I753" s="9">
        <v>42936</v>
      </c>
      <c r="J753" s="11">
        <v>84</v>
      </c>
      <c r="K753" s="4" t="s">
        <v>55</v>
      </c>
      <c r="L753" s="11">
        <v>24.5</v>
      </c>
      <c r="M753" s="11">
        <v>2058</v>
      </c>
      <c r="N753" s="4" t="s">
        <v>8</v>
      </c>
      <c r="O753" s="5">
        <v>5637293534</v>
      </c>
      <c r="P753" s="11" t="e">
        <f ca="1">_xll.AtlasFormulas.AtlasFunctions.AtlasBalance("UAT",DataAreaId,"T.MarkupTrans","Sum|Posted|0","","","","","","","TransRecId|TransTableId|MarkupCode",$O753,"492","TPP")</f>
        <v>#NAME?</v>
      </c>
    </row>
    <row r="754" spans="1:16" x14ac:dyDescent="0.15">
      <c r="A754" s="4" t="s">
        <v>110</v>
      </c>
      <c r="B754" s="4" t="s">
        <v>111</v>
      </c>
      <c r="C754" s="4" t="s">
        <v>82</v>
      </c>
      <c r="D754" s="4" t="s">
        <v>163</v>
      </c>
      <c r="E754" s="4" t="s">
        <v>164</v>
      </c>
      <c r="F754" s="4" t="s">
        <v>114</v>
      </c>
      <c r="G754" s="4" t="s">
        <v>161</v>
      </c>
      <c r="H754" s="4" t="s">
        <v>162</v>
      </c>
      <c r="I754" s="9">
        <v>42947</v>
      </c>
      <c r="J754" s="11">
        <v>210</v>
      </c>
      <c r="K754" s="4" t="s">
        <v>55</v>
      </c>
      <c r="L754" s="11">
        <v>24.5</v>
      </c>
      <c r="M754" s="11">
        <v>5145</v>
      </c>
      <c r="N754" s="4" t="s">
        <v>8</v>
      </c>
      <c r="O754" s="5">
        <v>5637294169</v>
      </c>
      <c r="P754" s="11" t="e">
        <f ca="1">_xll.AtlasFormulas.AtlasFunctions.AtlasBalance("UAT",DataAreaId,"T.MarkupTrans","Sum|Posted|0","","","","","","","TransRecId|TransTableId|MarkupCode",$O754,"492","TPP")</f>
        <v>#NAME?</v>
      </c>
    </row>
    <row r="755" spans="1:16" x14ac:dyDescent="0.15">
      <c r="A755" s="4" t="s">
        <v>20</v>
      </c>
      <c r="B755" s="4" t="s">
        <v>1037</v>
      </c>
      <c r="C755" s="4" t="s">
        <v>60</v>
      </c>
      <c r="D755" s="4" t="s">
        <v>1064</v>
      </c>
      <c r="E755" s="4" t="s">
        <v>1065</v>
      </c>
      <c r="F755" s="4" t="s">
        <v>728</v>
      </c>
      <c r="G755" s="4" t="s">
        <v>10</v>
      </c>
      <c r="H755" s="4" t="s">
        <v>27</v>
      </c>
      <c r="I755" s="9">
        <v>42752</v>
      </c>
      <c r="J755" s="11">
        <v>112</v>
      </c>
      <c r="K755" s="4" t="s">
        <v>55</v>
      </c>
      <c r="L755" s="11">
        <v>52.35</v>
      </c>
      <c r="M755" s="11">
        <v>5863.2</v>
      </c>
      <c r="N755" s="4" t="s">
        <v>8</v>
      </c>
      <c r="O755" s="5">
        <v>5637288919</v>
      </c>
      <c r="P755" s="11" t="e">
        <f ca="1">_xll.AtlasFormulas.AtlasFunctions.AtlasBalance("UAT",DataAreaId,"T.MarkupTrans","Sum|Posted|0","","","","","","","TransRecId|TransTableId|MarkupCode",$O755,"492","TPP")</f>
        <v>#NAME?</v>
      </c>
    </row>
    <row r="756" spans="1:16" x14ac:dyDescent="0.15">
      <c r="A756" s="4" t="s">
        <v>20</v>
      </c>
      <c r="B756" s="4" t="s">
        <v>1032</v>
      </c>
      <c r="C756" s="4" t="s">
        <v>60</v>
      </c>
      <c r="D756" s="4" t="s">
        <v>1033</v>
      </c>
      <c r="E756" s="4" t="s">
        <v>1034</v>
      </c>
      <c r="F756" s="4" t="s">
        <v>728</v>
      </c>
      <c r="G756" s="4" t="s">
        <v>10</v>
      </c>
      <c r="H756" s="4" t="s">
        <v>27</v>
      </c>
      <c r="I756" s="9">
        <v>42755</v>
      </c>
      <c r="J756" s="11">
        <v>280</v>
      </c>
      <c r="K756" s="4" t="s">
        <v>55</v>
      </c>
      <c r="L756" s="11">
        <v>52.35</v>
      </c>
      <c r="M756" s="11">
        <v>14658</v>
      </c>
      <c r="N756" s="4" t="s">
        <v>8</v>
      </c>
      <c r="O756" s="5">
        <v>5637289673</v>
      </c>
      <c r="P756" s="11" t="e">
        <f ca="1">_xll.AtlasFormulas.AtlasFunctions.AtlasBalance("UAT",DataAreaId,"T.MarkupTrans","Sum|Posted|0","","","","","","","TransRecId|TransTableId|MarkupCode",$O756,"492","TPP")</f>
        <v>#NAME?</v>
      </c>
    </row>
    <row r="757" spans="1:16" x14ac:dyDescent="0.15">
      <c r="A757" s="4" t="s">
        <v>212</v>
      </c>
      <c r="B757" s="4" t="s">
        <v>213</v>
      </c>
      <c r="C757" s="4" t="s">
        <v>214</v>
      </c>
      <c r="D757" s="4" t="s">
        <v>362</v>
      </c>
      <c r="E757" s="4" t="s">
        <v>676</v>
      </c>
      <c r="F757" s="4" t="s">
        <v>217</v>
      </c>
      <c r="G757" s="4" t="s">
        <v>10</v>
      </c>
      <c r="H757" s="4" t="s">
        <v>27</v>
      </c>
      <c r="I757" s="9">
        <v>42760</v>
      </c>
      <c r="J757" s="11">
        <v>112</v>
      </c>
      <c r="K757" s="4" t="s">
        <v>55</v>
      </c>
      <c r="L757" s="11">
        <v>52.35</v>
      </c>
      <c r="M757" s="11">
        <v>5863.2</v>
      </c>
      <c r="N757" s="4" t="s">
        <v>8</v>
      </c>
      <c r="O757" s="5">
        <v>5637289404</v>
      </c>
      <c r="P757" s="11" t="e">
        <f ca="1">_xll.AtlasFormulas.AtlasFunctions.AtlasBalance("UAT",DataAreaId,"T.MarkupTrans","Sum|Posted|0","","","","","","","TransRecId|TransTableId|MarkupCode",$O757,"492","TPP")</f>
        <v>#NAME?</v>
      </c>
    </row>
    <row r="758" spans="1:16" x14ac:dyDescent="0.15">
      <c r="A758" s="4" t="s">
        <v>20</v>
      </c>
      <c r="B758" s="4" t="s">
        <v>1037</v>
      </c>
      <c r="C758" s="4" t="s">
        <v>60</v>
      </c>
      <c r="D758" s="4" t="s">
        <v>1038</v>
      </c>
      <c r="E758" s="4" t="s">
        <v>1039</v>
      </c>
      <c r="F758" s="4" t="s">
        <v>728</v>
      </c>
      <c r="G758" s="4" t="s">
        <v>10</v>
      </c>
      <c r="H758" s="4" t="s">
        <v>27</v>
      </c>
      <c r="I758" s="9">
        <v>42776</v>
      </c>
      <c r="J758" s="11">
        <v>56</v>
      </c>
      <c r="K758" s="4" t="s">
        <v>55</v>
      </c>
      <c r="L758" s="11">
        <v>52.35</v>
      </c>
      <c r="M758" s="11">
        <v>2931.6</v>
      </c>
      <c r="N758" s="4" t="s">
        <v>8</v>
      </c>
      <c r="O758" s="5">
        <v>5637289792</v>
      </c>
      <c r="P758" s="11" t="e">
        <f ca="1">_xll.AtlasFormulas.AtlasFunctions.AtlasBalance("UAT",DataAreaId,"T.MarkupTrans","Sum|Posted|0","","","","","","","TransRecId|TransTableId|MarkupCode",$O758,"492","TPP")</f>
        <v>#NAME?</v>
      </c>
    </row>
    <row r="759" spans="1:16" x14ac:dyDescent="0.15">
      <c r="A759" s="4" t="s">
        <v>20</v>
      </c>
      <c r="B759" s="4" t="s">
        <v>1037</v>
      </c>
      <c r="C759" s="4" t="s">
        <v>60</v>
      </c>
      <c r="D759" s="4" t="s">
        <v>1040</v>
      </c>
      <c r="E759" s="4" t="s">
        <v>1041</v>
      </c>
      <c r="F759" s="4" t="s">
        <v>728</v>
      </c>
      <c r="G759" s="4" t="s">
        <v>10</v>
      </c>
      <c r="H759" s="4" t="s">
        <v>27</v>
      </c>
      <c r="I759" s="9">
        <v>42780</v>
      </c>
      <c r="J759" s="11">
        <v>1</v>
      </c>
      <c r="K759" s="4" t="s">
        <v>663</v>
      </c>
      <c r="L759" s="11">
        <v>1465.8</v>
      </c>
      <c r="M759" s="11">
        <v>1465.8</v>
      </c>
      <c r="N759" s="4" t="s">
        <v>8</v>
      </c>
      <c r="O759" s="5">
        <v>5637289796</v>
      </c>
      <c r="P759" s="11" t="e">
        <f ca="1">_xll.AtlasFormulas.AtlasFunctions.AtlasBalance("UAT",DataAreaId,"T.MarkupTrans","Sum|Posted|0","","","","","","","TransRecId|TransTableId|MarkupCode",$O759,"492","TPP")</f>
        <v>#NAME?</v>
      </c>
    </row>
    <row r="760" spans="1:16" x14ac:dyDescent="0.15">
      <c r="A760" s="4" t="s">
        <v>227</v>
      </c>
      <c r="B760" s="4" t="s">
        <v>228</v>
      </c>
      <c r="C760" s="4" t="s">
        <v>82</v>
      </c>
      <c r="D760" s="4" t="s">
        <v>659</v>
      </c>
      <c r="E760" s="4" t="s">
        <v>660</v>
      </c>
      <c r="F760" s="4" t="s">
        <v>231</v>
      </c>
      <c r="G760" s="4" t="s">
        <v>10</v>
      </c>
      <c r="H760" s="4" t="s">
        <v>677</v>
      </c>
      <c r="I760" s="9">
        <v>42781</v>
      </c>
      <c r="J760" s="11">
        <v>56</v>
      </c>
      <c r="K760" s="4" t="s">
        <v>55</v>
      </c>
      <c r="L760" s="11">
        <v>52.35</v>
      </c>
      <c r="M760" s="11">
        <v>2931.6</v>
      </c>
      <c r="N760" s="4" t="s">
        <v>8</v>
      </c>
      <c r="O760" s="5">
        <v>5637289804</v>
      </c>
      <c r="P760" s="11" t="e">
        <f ca="1">_xll.AtlasFormulas.AtlasFunctions.AtlasBalance("UAT",DataAreaId,"T.MarkupTrans","Sum|Posted|0","","","","","","","TransRecId|TransTableId|MarkupCode",$O760,"492","TPP")</f>
        <v>#NAME?</v>
      </c>
    </row>
    <row r="761" spans="1:16" x14ac:dyDescent="0.15">
      <c r="A761" s="4" t="s">
        <v>288</v>
      </c>
      <c r="B761" s="4" t="s">
        <v>289</v>
      </c>
      <c r="C761" s="4" t="s">
        <v>82</v>
      </c>
      <c r="D761" s="4" t="s">
        <v>175</v>
      </c>
      <c r="E761" s="4" t="s">
        <v>662</v>
      </c>
      <c r="F761" s="4" t="s">
        <v>292</v>
      </c>
      <c r="G761" s="4" t="s">
        <v>10</v>
      </c>
      <c r="H761" s="4" t="s">
        <v>677</v>
      </c>
      <c r="I761" s="9">
        <v>42783</v>
      </c>
      <c r="J761" s="11">
        <v>1</v>
      </c>
      <c r="K761" s="4" t="s">
        <v>663</v>
      </c>
      <c r="L761" s="11">
        <v>1465.8</v>
      </c>
      <c r="M761" s="11">
        <v>1465.8</v>
      </c>
      <c r="N761" s="4" t="s">
        <v>8</v>
      </c>
      <c r="O761" s="5">
        <v>5637289815</v>
      </c>
      <c r="P761" s="11" t="e">
        <f ca="1">_xll.AtlasFormulas.AtlasFunctions.AtlasBalance("UAT",DataAreaId,"T.MarkupTrans","Sum|Posted|0","","","","","","","TransRecId|TransTableId|MarkupCode",$O761,"492","TPP")</f>
        <v>#NAME?</v>
      </c>
    </row>
    <row r="762" spans="1:16" x14ac:dyDescent="0.15">
      <c r="A762" s="4" t="s">
        <v>227</v>
      </c>
      <c r="B762" s="4" t="s">
        <v>228</v>
      </c>
      <c r="C762" s="4" t="s">
        <v>82</v>
      </c>
      <c r="D762" s="4" t="s">
        <v>665</v>
      </c>
      <c r="E762" s="4" t="s">
        <v>666</v>
      </c>
      <c r="F762" s="4" t="s">
        <v>231</v>
      </c>
      <c r="G762" s="4" t="s">
        <v>10</v>
      </c>
      <c r="H762" s="4" t="s">
        <v>677</v>
      </c>
      <c r="I762" s="9">
        <v>42817</v>
      </c>
      <c r="J762" s="11">
        <v>56</v>
      </c>
      <c r="K762" s="4" t="s">
        <v>55</v>
      </c>
      <c r="L762" s="11">
        <v>52.35</v>
      </c>
      <c r="M762" s="11">
        <v>2931.6</v>
      </c>
      <c r="N762" s="4" t="s">
        <v>8</v>
      </c>
      <c r="O762" s="5">
        <v>5637291188</v>
      </c>
      <c r="P762" s="11" t="e">
        <f ca="1">_xll.AtlasFormulas.AtlasFunctions.AtlasBalance("UAT",DataAreaId,"T.MarkupTrans","Sum|Posted|0","","","","","","","TransRecId|TransTableId|MarkupCode",$O762,"492","TPP")</f>
        <v>#NAME?</v>
      </c>
    </row>
    <row r="763" spans="1:16" x14ac:dyDescent="0.15">
      <c r="A763" s="4" t="s">
        <v>227</v>
      </c>
      <c r="B763" s="4" t="s">
        <v>228</v>
      </c>
      <c r="C763" s="4" t="s">
        <v>82</v>
      </c>
      <c r="D763" s="4" t="s">
        <v>667</v>
      </c>
      <c r="E763" s="4" t="s">
        <v>668</v>
      </c>
      <c r="F763" s="4" t="s">
        <v>231</v>
      </c>
      <c r="G763" s="4" t="s">
        <v>10</v>
      </c>
      <c r="H763" s="4" t="s">
        <v>677</v>
      </c>
      <c r="I763" s="9">
        <v>42817</v>
      </c>
      <c r="J763" s="11">
        <v>-56</v>
      </c>
      <c r="K763" s="4" t="s">
        <v>55</v>
      </c>
      <c r="L763" s="11">
        <v>52.35</v>
      </c>
      <c r="M763" s="11">
        <v>-2931.6</v>
      </c>
      <c r="N763" s="4" t="s">
        <v>8</v>
      </c>
      <c r="O763" s="5">
        <v>5637291215</v>
      </c>
      <c r="P763" s="11" t="e">
        <f ca="1">_xll.AtlasFormulas.AtlasFunctions.AtlasBalance("UAT",DataAreaId,"T.MarkupTrans","Sum|Posted|0","","","","","","","TransRecId|TransTableId|MarkupCode",$O763,"492","TPP")</f>
        <v>#NAME?</v>
      </c>
    </row>
    <row r="764" spans="1:16" x14ac:dyDescent="0.15">
      <c r="A764" s="4" t="s">
        <v>227</v>
      </c>
      <c r="B764" s="4" t="s">
        <v>228</v>
      </c>
      <c r="C764" s="4" t="s">
        <v>82</v>
      </c>
      <c r="D764" s="4" t="s">
        <v>171</v>
      </c>
      <c r="E764" s="4" t="s">
        <v>669</v>
      </c>
      <c r="F764" s="4" t="s">
        <v>231</v>
      </c>
      <c r="G764" s="4" t="s">
        <v>10</v>
      </c>
      <c r="H764" s="4" t="s">
        <v>677</v>
      </c>
      <c r="I764" s="9">
        <v>42832</v>
      </c>
      <c r="J764" s="11">
        <v>112</v>
      </c>
      <c r="K764" s="4" t="s">
        <v>55</v>
      </c>
      <c r="L764" s="11">
        <v>52.35</v>
      </c>
      <c r="M764" s="11">
        <v>5863.2</v>
      </c>
      <c r="N764" s="4" t="s">
        <v>8</v>
      </c>
      <c r="O764" s="5">
        <v>5637291351</v>
      </c>
      <c r="P764" s="11" t="e">
        <f ca="1">_xll.AtlasFormulas.AtlasFunctions.AtlasBalance("UAT",DataAreaId,"T.MarkupTrans","Sum|Posted|0","","","","","","","TransRecId|TransTableId|MarkupCode",$O764,"492","TPP")</f>
        <v>#NAME?</v>
      </c>
    </row>
    <row r="765" spans="1:16" x14ac:dyDescent="0.15">
      <c r="A765" s="4" t="s">
        <v>20</v>
      </c>
      <c r="B765" s="4" t="s">
        <v>1037</v>
      </c>
      <c r="C765" s="4" t="s">
        <v>60</v>
      </c>
      <c r="D765" s="4" t="s">
        <v>1044</v>
      </c>
      <c r="E765" s="4" t="s">
        <v>1045</v>
      </c>
      <c r="F765" s="4" t="s">
        <v>728</v>
      </c>
      <c r="G765" s="4" t="s">
        <v>10</v>
      </c>
      <c r="H765" s="4" t="s">
        <v>27</v>
      </c>
      <c r="I765" s="9">
        <v>42832</v>
      </c>
      <c r="J765" s="11">
        <v>112</v>
      </c>
      <c r="K765" s="4" t="s">
        <v>55</v>
      </c>
      <c r="L765" s="11">
        <v>52.35</v>
      </c>
      <c r="M765" s="11">
        <v>5863.2</v>
      </c>
      <c r="N765" s="4" t="s">
        <v>8</v>
      </c>
      <c r="O765" s="5">
        <v>5637291357</v>
      </c>
      <c r="P765" s="11" t="e">
        <f ca="1">_xll.AtlasFormulas.AtlasFunctions.AtlasBalance("UAT",DataAreaId,"T.MarkupTrans","Sum|Posted|0","","","","","","","TransRecId|TransTableId|MarkupCode",$O765,"492","TPP")</f>
        <v>#NAME?</v>
      </c>
    </row>
    <row r="766" spans="1:16" x14ac:dyDescent="0.15">
      <c r="A766" s="4" t="s">
        <v>20</v>
      </c>
      <c r="B766" s="4" t="s">
        <v>1032</v>
      </c>
      <c r="C766" s="4" t="s">
        <v>60</v>
      </c>
      <c r="D766" s="4" t="s">
        <v>1046</v>
      </c>
      <c r="E766" s="4" t="s">
        <v>1047</v>
      </c>
      <c r="F766" s="4" t="s">
        <v>728</v>
      </c>
      <c r="G766" s="4" t="s">
        <v>10</v>
      </c>
      <c r="H766" s="4" t="s">
        <v>27</v>
      </c>
      <c r="I766" s="9">
        <v>42843</v>
      </c>
      <c r="J766" s="11">
        <v>420</v>
      </c>
      <c r="K766" s="4" t="s">
        <v>55</v>
      </c>
      <c r="L766" s="11">
        <v>52.35</v>
      </c>
      <c r="M766" s="11">
        <v>21987</v>
      </c>
      <c r="N766" s="4" t="s">
        <v>8</v>
      </c>
      <c r="O766" s="5">
        <v>5637291734</v>
      </c>
      <c r="P766" s="11" t="e">
        <f ca="1">_xll.AtlasFormulas.AtlasFunctions.AtlasBalance("UAT",DataAreaId,"T.MarkupTrans","Sum|Posted|0","","","","","","","TransRecId|TransTableId|MarkupCode",$O766,"492","TPP")</f>
        <v>#NAME?</v>
      </c>
    </row>
    <row r="767" spans="1:16" x14ac:dyDescent="0.15">
      <c r="A767" s="4" t="s">
        <v>20</v>
      </c>
      <c r="B767" s="4" t="s">
        <v>1037</v>
      </c>
      <c r="C767" s="4" t="s">
        <v>60</v>
      </c>
      <c r="D767" s="4" t="s">
        <v>1048</v>
      </c>
      <c r="E767" s="4" t="s">
        <v>1049</v>
      </c>
      <c r="F767" s="4" t="s">
        <v>728</v>
      </c>
      <c r="G767" s="4" t="s">
        <v>10</v>
      </c>
      <c r="H767" s="4" t="s">
        <v>27</v>
      </c>
      <c r="I767" s="9">
        <v>42846</v>
      </c>
      <c r="J767" s="11">
        <v>56</v>
      </c>
      <c r="K767" s="4" t="s">
        <v>55</v>
      </c>
      <c r="L767" s="11">
        <v>52.35</v>
      </c>
      <c r="M767" s="11">
        <v>2931.6</v>
      </c>
      <c r="N767" s="4" t="s">
        <v>8</v>
      </c>
      <c r="O767" s="5">
        <v>5637291712</v>
      </c>
      <c r="P767" s="11" t="e">
        <f ca="1">_xll.AtlasFormulas.AtlasFunctions.AtlasBalance("UAT",DataAreaId,"T.MarkupTrans","Sum|Posted|0","","","","","","","TransRecId|TransTableId|MarkupCode",$O767,"492","TPP")</f>
        <v>#NAME?</v>
      </c>
    </row>
    <row r="768" spans="1:16" x14ac:dyDescent="0.15">
      <c r="A768" s="4" t="s">
        <v>110</v>
      </c>
      <c r="B768" s="4" t="s">
        <v>111</v>
      </c>
      <c r="C768" s="4" t="s">
        <v>82</v>
      </c>
      <c r="D768" s="4" t="s">
        <v>159</v>
      </c>
      <c r="E768" s="4" t="s">
        <v>160</v>
      </c>
      <c r="F768" s="4" t="s">
        <v>114</v>
      </c>
      <c r="G768" s="4" t="s">
        <v>10</v>
      </c>
      <c r="H768" s="4" t="s">
        <v>27</v>
      </c>
      <c r="I768" s="9">
        <v>42851</v>
      </c>
      <c r="J768" s="11">
        <v>56</v>
      </c>
      <c r="K768" s="4" t="s">
        <v>55</v>
      </c>
      <c r="L768" s="11">
        <v>52.35</v>
      </c>
      <c r="M768" s="11">
        <v>2931.6</v>
      </c>
      <c r="N768" s="4" t="s">
        <v>8</v>
      </c>
      <c r="O768" s="5">
        <v>5637291747</v>
      </c>
      <c r="P768" s="11" t="e">
        <f ca="1">_xll.AtlasFormulas.AtlasFunctions.AtlasBalance("UAT",DataAreaId,"T.MarkupTrans","Sum|Posted|0","","","","","","","TransRecId|TransTableId|MarkupCode",$O768,"492","TPP")</f>
        <v>#NAME?</v>
      </c>
    </row>
    <row r="769" spans="1:16" x14ac:dyDescent="0.15">
      <c r="A769" s="4" t="s">
        <v>20</v>
      </c>
      <c r="B769" s="4" t="s">
        <v>1037</v>
      </c>
      <c r="C769" s="4" t="s">
        <v>60</v>
      </c>
      <c r="D769" s="4" t="s">
        <v>1066</v>
      </c>
      <c r="E769" s="4" t="s">
        <v>1067</v>
      </c>
      <c r="F769" s="4" t="s">
        <v>728</v>
      </c>
      <c r="G769" s="4" t="s">
        <v>10</v>
      </c>
      <c r="H769" s="4" t="s">
        <v>27</v>
      </c>
      <c r="I769" s="9">
        <v>42860</v>
      </c>
      <c r="J769" s="11">
        <v>112</v>
      </c>
      <c r="K769" s="4" t="s">
        <v>55</v>
      </c>
      <c r="L769" s="11">
        <v>52.35</v>
      </c>
      <c r="M769" s="11">
        <v>5863.2</v>
      </c>
      <c r="N769" s="4" t="s">
        <v>8</v>
      </c>
      <c r="O769" s="5">
        <v>5637291831</v>
      </c>
      <c r="P769" s="11" t="e">
        <f ca="1">_xll.AtlasFormulas.AtlasFunctions.AtlasBalance("UAT",DataAreaId,"T.MarkupTrans","Sum|Posted|0","","","","","","","TransRecId|TransTableId|MarkupCode",$O769,"492","TPP")</f>
        <v>#NAME?</v>
      </c>
    </row>
    <row r="770" spans="1:16" x14ac:dyDescent="0.15">
      <c r="A770" s="4" t="s">
        <v>20</v>
      </c>
      <c r="B770" s="4" t="s">
        <v>1037</v>
      </c>
      <c r="C770" s="4" t="s">
        <v>60</v>
      </c>
      <c r="D770" s="4" t="s">
        <v>1052</v>
      </c>
      <c r="E770" s="4" t="s">
        <v>1053</v>
      </c>
      <c r="F770" s="4" t="s">
        <v>728</v>
      </c>
      <c r="G770" s="4" t="s">
        <v>10</v>
      </c>
      <c r="H770" s="4" t="s">
        <v>27</v>
      </c>
      <c r="I770" s="9">
        <v>42863</v>
      </c>
      <c r="J770" s="11">
        <v>280</v>
      </c>
      <c r="K770" s="4" t="s">
        <v>55</v>
      </c>
      <c r="L770" s="11">
        <v>52.35</v>
      </c>
      <c r="M770" s="11">
        <v>14658</v>
      </c>
      <c r="N770" s="4" t="s">
        <v>8</v>
      </c>
      <c r="O770" s="5">
        <v>5637291814</v>
      </c>
      <c r="P770" s="11" t="e">
        <f ca="1">_xll.AtlasFormulas.AtlasFunctions.AtlasBalance("UAT",DataAreaId,"T.MarkupTrans","Sum|Posted|0","","","","","","","TransRecId|TransTableId|MarkupCode",$O770,"492","TPP")</f>
        <v>#NAME?</v>
      </c>
    </row>
    <row r="771" spans="1:16" x14ac:dyDescent="0.15">
      <c r="A771" s="4" t="s">
        <v>227</v>
      </c>
      <c r="B771" s="4" t="s">
        <v>228</v>
      </c>
      <c r="C771" s="4" t="s">
        <v>82</v>
      </c>
      <c r="D771" s="4" t="s">
        <v>139</v>
      </c>
      <c r="E771" s="4" t="s">
        <v>670</v>
      </c>
      <c r="F771" s="4" t="s">
        <v>231</v>
      </c>
      <c r="G771" s="4" t="s">
        <v>10</v>
      </c>
      <c r="H771" s="4" t="s">
        <v>677</v>
      </c>
      <c r="I771" s="9">
        <v>42863</v>
      </c>
      <c r="J771" s="11">
        <v>280</v>
      </c>
      <c r="K771" s="4" t="s">
        <v>55</v>
      </c>
      <c r="L771" s="11">
        <v>52.35</v>
      </c>
      <c r="M771" s="11">
        <v>14658</v>
      </c>
      <c r="N771" s="4" t="s">
        <v>8</v>
      </c>
      <c r="O771" s="5">
        <v>5637291882</v>
      </c>
      <c r="P771" s="11" t="e">
        <f ca="1">_xll.AtlasFormulas.AtlasFunctions.AtlasBalance("UAT",DataAreaId,"T.MarkupTrans","Sum|Posted|0","","","","","","","TransRecId|TransTableId|MarkupCode",$O771,"492","TPP")</f>
        <v>#NAME?</v>
      </c>
    </row>
    <row r="772" spans="1:16" x14ac:dyDescent="0.15">
      <c r="A772" s="4" t="s">
        <v>212</v>
      </c>
      <c r="B772" s="4" t="s">
        <v>213</v>
      </c>
      <c r="C772" s="4" t="s">
        <v>214</v>
      </c>
      <c r="D772" s="4" t="s">
        <v>678</v>
      </c>
      <c r="E772" s="4" t="s">
        <v>679</v>
      </c>
      <c r="F772" s="4" t="s">
        <v>217</v>
      </c>
      <c r="G772" s="4" t="s">
        <v>10</v>
      </c>
      <c r="H772" s="4" t="s">
        <v>27</v>
      </c>
      <c r="I772" s="9">
        <v>42864</v>
      </c>
      <c r="J772" s="11">
        <v>112</v>
      </c>
      <c r="K772" s="4" t="s">
        <v>55</v>
      </c>
      <c r="L772" s="11">
        <v>52.35</v>
      </c>
      <c r="M772" s="11">
        <v>5863.2</v>
      </c>
      <c r="N772" s="4" t="s">
        <v>8</v>
      </c>
      <c r="O772" s="5">
        <v>5637291466</v>
      </c>
      <c r="P772" s="11" t="e">
        <f ca="1">_xll.AtlasFormulas.AtlasFunctions.AtlasBalance("UAT",DataAreaId,"T.MarkupTrans","Sum|Posted|0","","","","","","","TransRecId|TransTableId|MarkupCode",$O772,"492","TPP")</f>
        <v>#NAME?</v>
      </c>
    </row>
    <row r="773" spans="1:16" x14ac:dyDescent="0.15">
      <c r="A773" s="4" t="s">
        <v>20</v>
      </c>
      <c r="B773" s="4" t="s">
        <v>1037</v>
      </c>
      <c r="C773" s="4" t="s">
        <v>60</v>
      </c>
      <c r="D773" s="4" t="s">
        <v>1068</v>
      </c>
      <c r="E773" s="4" t="s">
        <v>1069</v>
      </c>
      <c r="F773" s="4" t="s">
        <v>728</v>
      </c>
      <c r="G773" s="4" t="s">
        <v>10</v>
      </c>
      <c r="H773" s="4" t="s">
        <v>27</v>
      </c>
      <c r="I773" s="9">
        <v>42877</v>
      </c>
      <c r="J773" s="11">
        <v>280</v>
      </c>
      <c r="K773" s="4" t="s">
        <v>55</v>
      </c>
      <c r="L773" s="11">
        <v>52.35</v>
      </c>
      <c r="M773" s="11">
        <v>14658</v>
      </c>
      <c r="N773" s="4" t="s">
        <v>8</v>
      </c>
      <c r="O773" s="5">
        <v>5637292251</v>
      </c>
      <c r="P773" s="11" t="e">
        <f ca="1">_xll.AtlasFormulas.AtlasFunctions.AtlasBalance("UAT",DataAreaId,"T.MarkupTrans","Sum|Posted|0","","","","","","","TransRecId|TransTableId|MarkupCode",$O773,"492","TPP")</f>
        <v>#NAME?</v>
      </c>
    </row>
    <row r="774" spans="1:16" x14ac:dyDescent="0.15">
      <c r="A774" s="4" t="s">
        <v>179</v>
      </c>
      <c r="B774" s="4" t="s">
        <v>244</v>
      </c>
      <c r="C774" s="4" t="s">
        <v>82</v>
      </c>
      <c r="D774" s="4" t="s">
        <v>680</v>
      </c>
      <c r="E774" s="4" t="s">
        <v>681</v>
      </c>
      <c r="F774" s="4" t="s">
        <v>183</v>
      </c>
      <c r="G774" s="4" t="s">
        <v>10</v>
      </c>
      <c r="H774" s="4" t="s">
        <v>27</v>
      </c>
      <c r="I774" s="9">
        <v>42878</v>
      </c>
      <c r="J774" s="11">
        <v>280</v>
      </c>
      <c r="K774" s="4" t="s">
        <v>55</v>
      </c>
      <c r="L774" s="11">
        <v>52.35</v>
      </c>
      <c r="M774" s="11">
        <v>14658</v>
      </c>
      <c r="N774" s="4" t="s">
        <v>8</v>
      </c>
      <c r="O774" s="5">
        <v>5637292198</v>
      </c>
      <c r="P774" s="11" t="e">
        <f ca="1">_xll.AtlasFormulas.AtlasFunctions.AtlasBalance("UAT",DataAreaId,"T.MarkupTrans","Sum|Posted|0","","","","","","","TransRecId|TransTableId|MarkupCode",$O774,"492","TPP")</f>
        <v>#NAME?</v>
      </c>
    </row>
    <row r="775" spans="1:16" x14ac:dyDescent="0.15">
      <c r="A775" s="4" t="s">
        <v>20</v>
      </c>
      <c r="B775" s="4" t="s">
        <v>1037</v>
      </c>
      <c r="C775" s="4" t="s">
        <v>60</v>
      </c>
      <c r="D775" s="4" t="s">
        <v>1070</v>
      </c>
      <c r="E775" s="4" t="s">
        <v>1071</v>
      </c>
      <c r="F775" s="4" t="s">
        <v>728</v>
      </c>
      <c r="G775" s="4" t="s">
        <v>10</v>
      </c>
      <c r="H775" s="4" t="s">
        <v>27</v>
      </c>
      <c r="I775" s="9">
        <v>42885</v>
      </c>
      <c r="J775" s="11">
        <v>252</v>
      </c>
      <c r="K775" s="4" t="s">
        <v>55</v>
      </c>
      <c r="L775" s="11">
        <v>52.35</v>
      </c>
      <c r="M775" s="11">
        <v>13192.2</v>
      </c>
      <c r="N775" s="4" t="s">
        <v>8</v>
      </c>
      <c r="O775" s="5">
        <v>5637292264</v>
      </c>
      <c r="P775" s="11" t="e">
        <f ca="1">_xll.AtlasFormulas.AtlasFunctions.AtlasBalance("UAT",DataAreaId,"T.MarkupTrans","Sum|Posted|0","","","","","","","TransRecId|TransTableId|MarkupCode",$O775,"492","TPP")</f>
        <v>#NAME?</v>
      </c>
    </row>
    <row r="776" spans="1:16" x14ac:dyDescent="0.15">
      <c r="A776" s="4" t="s">
        <v>212</v>
      </c>
      <c r="B776" s="4" t="s">
        <v>213</v>
      </c>
      <c r="C776" s="4" t="s">
        <v>214</v>
      </c>
      <c r="D776" s="4" t="s">
        <v>682</v>
      </c>
      <c r="E776" s="4" t="s">
        <v>683</v>
      </c>
      <c r="F776" s="4" t="s">
        <v>217</v>
      </c>
      <c r="G776" s="4" t="s">
        <v>10</v>
      </c>
      <c r="H776" s="4" t="s">
        <v>27</v>
      </c>
      <c r="I776" s="9">
        <v>42886</v>
      </c>
      <c r="J776" s="11">
        <v>252</v>
      </c>
      <c r="K776" s="4" t="s">
        <v>55</v>
      </c>
      <c r="L776" s="11">
        <v>52.35</v>
      </c>
      <c r="M776" s="11">
        <v>13192.2</v>
      </c>
      <c r="N776" s="4" t="s">
        <v>8</v>
      </c>
      <c r="O776" s="5">
        <v>5637292408</v>
      </c>
      <c r="P776" s="11" t="e">
        <f ca="1">_xll.AtlasFormulas.AtlasFunctions.AtlasBalance("UAT",DataAreaId,"T.MarkupTrans","Sum|Posted|0","","","","","","","TransRecId|TransTableId|MarkupCode",$O776,"492","TPP")</f>
        <v>#NAME?</v>
      </c>
    </row>
    <row r="777" spans="1:16" x14ac:dyDescent="0.15">
      <c r="A777" s="4" t="s">
        <v>212</v>
      </c>
      <c r="B777" s="4" t="s">
        <v>213</v>
      </c>
      <c r="C777" s="4" t="s">
        <v>214</v>
      </c>
      <c r="D777" s="4" t="s">
        <v>684</v>
      </c>
      <c r="E777" s="4" t="s">
        <v>685</v>
      </c>
      <c r="F777" s="4" t="s">
        <v>217</v>
      </c>
      <c r="G777" s="4" t="s">
        <v>10</v>
      </c>
      <c r="H777" s="4" t="s">
        <v>27</v>
      </c>
      <c r="I777" s="9">
        <v>42887</v>
      </c>
      <c r="J777" s="11">
        <v>252</v>
      </c>
      <c r="K777" s="4" t="s">
        <v>55</v>
      </c>
      <c r="L777" s="11">
        <v>52.35</v>
      </c>
      <c r="M777" s="11">
        <v>13192.2</v>
      </c>
      <c r="N777" s="4" t="s">
        <v>8</v>
      </c>
      <c r="O777" s="5">
        <v>5637292406</v>
      </c>
      <c r="P777" s="11" t="e">
        <f ca="1">_xll.AtlasFormulas.AtlasFunctions.AtlasBalance("UAT",DataAreaId,"T.MarkupTrans","Sum|Posted|0","","","","","","","TransRecId|TransTableId|MarkupCode",$O777,"492","TPP")</f>
        <v>#NAME?</v>
      </c>
    </row>
    <row r="778" spans="1:16" x14ac:dyDescent="0.15">
      <c r="A778" s="4" t="s">
        <v>212</v>
      </c>
      <c r="B778" s="4" t="s">
        <v>213</v>
      </c>
      <c r="C778" s="4" t="s">
        <v>214</v>
      </c>
      <c r="D778" s="4" t="s">
        <v>686</v>
      </c>
      <c r="E778" s="4" t="s">
        <v>687</v>
      </c>
      <c r="F778" s="4" t="s">
        <v>217</v>
      </c>
      <c r="G778" s="4" t="s">
        <v>10</v>
      </c>
      <c r="H778" s="4" t="s">
        <v>27</v>
      </c>
      <c r="I778" s="9">
        <v>42887</v>
      </c>
      <c r="J778" s="11">
        <v>-252</v>
      </c>
      <c r="K778" s="4" t="s">
        <v>55</v>
      </c>
      <c r="L778" s="11">
        <v>52.35</v>
      </c>
      <c r="M778" s="11">
        <v>-13192.2</v>
      </c>
      <c r="N778" s="4" t="s">
        <v>8</v>
      </c>
      <c r="O778" s="5">
        <v>5637292407</v>
      </c>
      <c r="P778" s="11" t="e">
        <f ca="1">_xll.AtlasFormulas.AtlasFunctions.AtlasBalance("UAT",DataAreaId,"T.MarkupTrans","Sum|Posted|0","","","","","","","TransRecId|TransTableId|MarkupCode",$O778,"492","TPP")</f>
        <v>#NAME?</v>
      </c>
    </row>
    <row r="779" spans="1:16" x14ac:dyDescent="0.15">
      <c r="A779" s="4" t="s">
        <v>20</v>
      </c>
      <c r="B779" s="4" t="s">
        <v>1037</v>
      </c>
      <c r="C779" s="4" t="s">
        <v>60</v>
      </c>
      <c r="D779" s="4" t="s">
        <v>1060</v>
      </c>
      <c r="E779" s="4" t="s">
        <v>1061</v>
      </c>
      <c r="F779" s="4" t="s">
        <v>728</v>
      </c>
      <c r="G779" s="4" t="s">
        <v>10</v>
      </c>
      <c r="H779" s="4" t="s">
        <v>27</v>
      </c>
      <c r="I779" s="9">
        <v>42934</v>
      </c>
      <c r="J779" s="11">
        <v>56</v>
      </c>
      <c r="K779" s="4" t="s">
        <v>55</v>
      </c>
      <c r="L779" s="11">
        <v>52.35</v>
      </c>
      <c r="M779" s="11">
        <v>2931.6</v>
      </c>
      <c r="N779" s="4" t="s">
        <v>8</v>
      </c>
      <c r="O779" s="5">
        <v>5637293500</v>
      </c>
      <c r="P779" s="11" t="e">
        <f ca="1">_xll.AtlasFormulas.AtlasFunctions.AtlasBalance("UAT",DataAreaId,"T.MarkupTrans","Sum|Posted|0","","","","","","","TransRecId|TransTableId|MarkupCode",$O779,"492","TPP")</f>
        <v>#NAME?</v>
      </c>
    </row>
    <row r="780" spans="1:16" x14ac:dyDescent="0.15">
      <c r="A780" s="4" t="s">
        <v>20</v>
      </c>
      <c r="B780" s="4" t="s">
        <v>1032</v>
      </c>
      <c r="C780" s="4" t="s">
        <v>60</v>
      </c>
      <c r="D780" s="4" t="s">
        <v>1062</v>
      </c>
      <c r="E780" s="4" t="s">
        <v>1063</v>
      </c>
      <c r="F780" s="4" t="s">
        <v>728</v>
      </c>
      <c r="G780" s="4" t="s">
        <v>10</v>
      </c>
      <c r="H780" s="4" t="s">
        <v>27</v>
      </c>
      <c r="I780" s="9">
        <v>42936</v>
      </c>
      <c r="J780" s="11">
        <v>280</v>
      </c>
      <c r="K780" s="4" t="s">
        <v>55</v>
      </c>
      <c r="L780" s="11">
        <v>52.35</v>
      </c>
      <c r="M780" s="11">
        <v>14658</v>
      </c>
      <c r="N780" s="4" t="s">
        <v>8</v>
      </c>
      <c r="O780" s="5">
        <v>5637293535</v>
      </c>
      <c r="P780" s="11" t="e">
        <f ca="1">_xll.AtlasFormulas.AtlasFunctions.AtlasBalance("UAT",DataAreaId,"T.MarkupTrans","Sum|Posted|0","","","","","","","TransRecId|TransTableId|MarkupCode",$O780,"492","TPP")</f>
        <v>#NAME?</v>
      </c>
    </row>
    <row r="781" spans="1:16" x14ac:dyDescent="0.15">
      <c r="A781" s="4" t="s">
        <v>110</v>
      </c>
      <c r="B781" s="4" t="s">
        <v>111</v>
      </c>
      <c r="C781" s="4" t="s">
        <v>82</v>
      </c>
      <c r="D781" s="4" t="s">
        <v>163</v>
      </c>
      <c r="E781" s="4" t="s">
        <v>164</v>
      </c>
      <c r="F781" s="4" t="s">
        <v>114</v>
      </c>
      <c r="G781" s="4" t="s">
        <v>10</v>
      </c>
      <c r="H781" s="4" t="s">
        <v>27</v>
      </c>
      <c r="I781" s="9">
        <v>42947</v>
      </c>
      <c r="J781" s="11">
        <v>56</v>
      </c>
      <c r="K781" s="4" t="s">
        <v>55</v>
      </c>
      <c r="L781" s="11">
        <v>52.35</v>
      </c>
      <c r="M781" s="11">
        <v>2931.6</v>
      </c>
      <c r="N781" s="4" t="s">
        <v>8</v>
      </c>
      <c r="O781" s="5">
        <v>5637294170</v>
      </c>
      <c r="P781" s="11" t="e">
        <f ca="1">_xll.AtlasFormulas.AtlasFunctions.AtlasBalance("UAT",DataAreaId,"T.MarkupTrans","Sum|Posted|0","","","","","","","TransRecId|TransTableId|MarkupCode",$O781,"492","TPP")</f>
        <v>#NAME?</v>
      </c>
    </row>
    <row r="782" spans="1:16" x14ac:dyDescent="0.15">
      <c r="A782" s="4" t="s">
        <v>20</v>
      </c>
      <c r="B782" s="4" t="s">
        <v>1032</v>
      </c>
      <c r="C782" s="4" t="s">
        <v>60</v>
      </c>
      <c r="D782" s="4" t="s">
        <v>1035</v>
      </c>
      <c r="E782" s="4" t="s">
        <v>1036</v>
      </c>
      <c r="F782" s="4" t="s">
        <v>728</v>
      </c>
      <c r="G782" s="4" t="s">
        <v>688</v>
      </c>
      <c r="H782" s="4" t="s">
        <v>1072</v>
      </c>
      <c r="I782" s="9">
        <v>42767</v>
      </c>
      <c r="J782" s="11">
        <v>56</v>
      </c>
      <c r="K782" s="4" t="s">
        <v>55</v>
      </c>
      <c r="L782" s="11">
        <v>56.55</v>
      </c>
      <c r="M782" s="11">
        <v>3166.8</v>
      </c>
      <c r="N782" s="4" t="s">
        <v>8</v>
      </c>
      <c r="O782" s="5">
        <v>5637289766</v>
      </c>
      <c r="P782" s="11" t="e">
        <f ca="1">_xll.AtlasFormulas.AtlasFunctions.AtlasBalance("UAT",DataAreaId,"T.MarkupTrans","Sum|Posted|0","","","","","","","TransRecId|TransTableId|MarkupCode",$O782,"492","TPP")</f>
        <v>#NAME?</v>
      </c>
    </row>
    <row r="783" spans="1:16" x14ac:dyDescent="0.15">
      <c r="A783" s="4" t="s">
        <v>20</v>
      </c>
      <c r="B783" s="4" t="s">
        <v>1037</v>
      </c>
      <c r="C783" s="4" t="s">
        <v>60</v>
      </c>
      <c r="D783" s="4" t="s">
        <v>1044</v>
      </c>
      <c r="E783" s="4" t="s">
        <v>1045</v>
      </c>
      <c r="F783" s="4" t="s">
        <v>728</v>
      </c>
      <c r="G783" s="4" t="s">
        <v>688</v>
      </c>
      <c r="H783" s="4" t="s">
        <v>1072</v>
      </c>
      <c r="I783" s="9">
        <v>42832</v>
      </c>
      <c r="J783" s="11">
        <v>23</v>
      </c>
      <c r="K783" s="4" t="s">
        <v>55</v>
      </c>
      <c r="L783" s="11">
        <v>56.55</v>
      </c>
      <c r="M783" s="11">
        <v>1300.6500000000001</v>
      </c>
      <c r="N783" s="4" t="s">
        <v>8</v>
      </c>
      <c r="O783" s="5">
        <v>5637291355</v>
      </c>
      <c r="P783" s="11" t="e">
        <f ca="1">_xll.AtlasFormulas.AtlasFunctions.AtlasBalance("UAT",DataAreaId,"T.MarkupTrans","Sum|Posted|0","","","","","","","TransRecId|TransTableId|MarkupCode",$O783,"492","TPP")</f>
        <v>#NAME?</v>
      </c>
    </row>
    <row r="784" spans="1:16" x14ac:dyDescent="0.15">
      <c r="A784" s="4" t="s">
        <v>227</v>
      </c>
      <c r="B784" s="4" t="s">
        <v>228</v>
      </c>
      <c r="C784" s="4" t="s">
        <v>82</v>
      </c>
      <c r="D784" s="4" t="s">
        <v>171</v>
      </c>
      <c r="E784" s="4" t="s">
        <v>669</v>
      </c>
      <c r="F784" s="4" t="s">
        <v>231</v>
      </c>
      <c r="G784" s="4" t="s">
        <v>688</v>
      </c>
      <c r="H784" s="4" t="s">
        <v>689</v>
      </c>
      <c r="I784" s="9">
        <v>42832</v>
      </c>
      <c r="J784" s="11">
        <v>23</v>
      </c>
      <c r="K784" s="4" t="s">
        <v>55</v>
      </c>
      <c r="L784" s="11">
        <v>56.55</v>
      </c>
      <c r="M784" s="11">
        <v>1300.6500000000001</v>
      </c>
      <c r="N784" s="4" t="s">
        <v>8</v>
      </c>
      <c r="O784" s="5">
        <v>5637291349</v>
      </c>
      <c r="P784" s="11" t="e">
        <f ca="1">_xll.AtlasFormulas.AtlasFunctions.AtlasBalance("UAT",DataAreaId,"T.MarkupTrans","Sum|Posted|0","","","","","","","TransRecId|TransTableId|MarkupCode",$O784,"492","TPP")</f>
        <v>#NAME?</v>
      </c>
    </row>
    <row r="785" spans="1:16" x14ac:dyDescent="0.15">
      <c r="A785" s="4" t="s">
        <v>288</v>
      </c>
      <c r="B785" s="4" t="s">
        <v>690</v>
      </c>
      <c r="C785" s="4" t="s">
        <v>166</v>
      </c>
      <c r="D785" s="4" t="s">
        <v>278</v>
      </c>
      <c r="E785" s="4" t="s">
        <v>691</v>
      </c>
      <c r="F785" s="4" t="s">
        <v>311</v>
      </c>
      <c r="G785" s="4" t="s">
        <v>168</v>
      </c>
      <c r="H785" s="4" t="s">
        <v>169</v>
      </c>
      <c r="I785" s="9">
        <v>42766</v>
      </c>
      <c r="J785" s="11">
        <v>42</v>
      </c>
      <c r="K785" s="4" t="s">
        <v>55</v>
      </c>
      <c r="L785" s="11">
        <v>29.77881</v>
      </c>
      <c r="M785" s="11">
        <v>1250.71</v>
      </c>
      <c r="N785" s="4" t="s">
        <v>8</v>
      </c>
      <c r="O785" s="5">
        <v>5637289739</v>
      </c>
      <c r="P785" s="11" t="e">
        <f ca="1">_xll.AtlasFormulas.AtlasFunctions.AtlasBalance("UAT",DataAreaId,"T.MarkupTrans","Sum|Posted|0","","","","","","","TransRecId|TransTableId|MarkupCode",$O785,"492","TPP")</f>
        <v>#NAME?</v>
      </c>
    </row>
    <row r="786" spans="1:16" x14ac:dyDescent="0.15">
      <c r="A786" s="4" t="s">
        <v>179</v>
      </c>
      <c r="B786" s="4" t="s">
        <v>692</v>
      </c>
      <c r="C786" s="4" t="s">
        <v>613</v>
      </c>
      <c r="D786" s="4" t="s">
        <v>521</v>
      </c>
      <c r="E786" s="4" t="s">
        <v>693</v>
      </c>
      <c r="F786" s="4" t="s">
        <v>183</v>
      </c>
      <c r="G786" s="4" t="s">
        <v>168</v>
      </c>
      <c r="H786" s="4" t="s">
        <v>169</v>
      </c>
      <c r="I786" s="9">
        <v>42776</v>
      </c>
      <c r="J786" s="11">
        <v>126</v>
      </c>
      <c r="K786" s="4" t="s">
        <v>55</v>
      </c>
      <c r="L786" s="11">
        <v>29.776320000000002</v>
      </c>
      <c r="M786" s="11">
        <v>3751.82</v>
      </c>
      <c r="N786" s="4" t="s">
        <v>8</v>
      </c>
      <c r="O786" s="5">
        <v>5637290931</v>
      </c>
      <c r="P786" s="11" t="e">
        <f ca="1">_xll.AtlasFormulas.AtlasFunctions.AtlasBalance("UAT",DataAreaId,"T.MarkupTrans","Sum|Posted|0","","","","","","","TransRecId|TransTableId|MarkupCode",$O786,"492","TPP")</f>
        <v>#NAME?</v>
      </c>
    </row>
    <row r="787" spans="1:16" x14ac:dyDescent="0.15">
      <c r="A787" s="4" t="s">
        <v>249</v>
      </c>
      <c r="B787" s="4" t="s">
        <v>694</v>
      </c>
      <c r="C787" s="4" t="s">
        <v>613</v>
      </c>
      <c r="D787" s="4" t="s">
        <v>695</v>
      </c>
      <c r="E787" s="4" t="s">
        <v>696</v>
      </c>
      <c r="F787" s="4" t="s">
        <v>80</v>
      </c>
      <c r="G787" s="4" t="s">
        <v>168</v>
      </c>
      <c r="H787" s="4" t="s">
        <v>169</v>
      </c>
      <c r="I787" s="9">
        <v>42821</v>
      </c>
      <c r="J787" s="11">
        <v>90</v>
      </c>
      <c r="K787" s="4" t="s">
        <v>622</v>
      </c>
      <c r="L787" s="11">
        <v>4.9623999999999997</v>
      </c>
      <c r="M787" s="11">
        <v>446.62</v>
      </c>
      <c r="N787" s="4" t="s">
        <v>8</v>
      </c>
      <c r="O787" s="5">
        <v>5637291259</v>
      </c>
      <c r="P787" s="11" t="e">
        <f ca="1">_xll.AtlasFormulas.AtlasFunctions.AtlasBalance("UAT",DataAreaId,"T.MarkupTrans","Sum|Posted|0","","","","","","","TransRecId|TransTableId|MarkupCode",$O787,"492","TPP")</f>
        <v>#NAME?</v>
      </c>
    </row>
    <row r="788" spans="1:16" x14ac:dyDescent="0.15">
      <c r="A788" s="4" t="s">
        <v>227</v>
      </c>
      <c r="B788" s="4" t="s">
        <v>697</v>
      </c>
      <c r="C788" s="4" t="s">
        <v>613</v>
      </c>
      <c r="D788" s="4" t="s">
        <v>698</v>
      </c>
      <c r="E788" s="4" t="s">
        <v>699</v>
      </c>
      <c r="F788" s="4" t="s">
        <v>231</v>
      </c>
      <c r="G788" s="4" t="s">
        <v>168</v>
      </c>
      <c r="H788" s="4" t="s">
        <v>169</v>
      </c>
      <c r="I788" s="9">
        <v>42823</v>
      </c>
      <c r="J788" s="11">
        <v>42</v>
      </c>
      <c r="K788" s="4" t="s">
        <v>55</v>
      </c>
      <c r="L788" s="11">
        <v>29.77467</v>
      </c>
      <c r="M788" s="11">
        <v>1250.54</v>
      </c>
      <c r="N788" s="4" t="s">
        <v>8</v>
      </c>
      <c r="O788" s="5">
        <v>5637291323</v>
      </c>
      <c r="P788" s="11" t="e">
        <f ca="1">_xll.AtlasFormulas.AtlasFunctions.AtlasBalance("UAT",DataAreaId,"T.MarkupTrans","Sum|Posted|0","","","","","","","TransRecId|TransTableId|MarkupCode",$O788,"492","TPP")</f>
        <v>#NAME?</v>
      </c>
    </row>
    <row r="789" spans="1:16" x14ac:dyDescent="0.15">
      <c r="A789" s="4" t="s">
        <v>179</v>
      </c>
      <c r="B789" s="4" t="s">
        <v>692</v>
      </c>
      <c r="C789" s="4" t="s">
        <v>613</v>
      </c>
      <c r="D789" s="4" t="s">
        <v>372</v>
      </c>
      <c r="E789" s="4" t="s">
        <v>700</v>
      </c>
      <c r="F789" s="4" t="s">
        <v>183</v>
      </c>
      <c r="G789" s="4" t="s">
        <v>168</v>
      </c>
      <c r="H789" s="4" t="s">
        <v>169</v>
      </c>
      <c r="I789" s="9">
        <v>42838</v>
      </c>
      <c r="J789" s="11">
        <v>84</v>
      </c>
      <c r="K789" s="4" t="s">
        <v>55</v>
      </c>
      <c r="L789" s="11">
        <v>30.136999999999997</v>
      </c>
      <c r="M789" s="11">
        <v>2531.5100000000002</v>
      </c>
      <c r="N789" s="4" t="s">
        <v>8</v>
      </c>
      <c r="O789" s="5">
        <v>5637291661</v>
      </c>
      <c r="P789" s="11" t="e">
        <f ca="1">_xll.AtlasFormulas.AtlasFunctions.AtlasBalance("UAT",DataAreaId,"T.MarkupTrans","Sum|Posted|0","","","","","","","TransRecId|TransTableId|MarkupCode",$O789,"492","TPP")</f>
        <v>#NAME?</v>
      </c>
    </row>
    <row r="790" spans="1:16" x14ac:dyDescent="0.15">
      <c r="A790" s="4" t="s">
        <v>110</v>
      </c>
      <c r="B790" s="4" t="s">
        <v>165</v>
      </c>
      <c r="C790" s="4" t="s">
        <v>166</v>
      </c>
      <c r="D790" s="4" t="s">
        <v>84</v>
      </c>
      <c r="E790" s="4" t="s">
        <v>167</v>
      </c>
      <c r="F790" s="4" t="s">
        <v>114</v>
      </c>
      <c r="G790" s="4" t="s">
        <v>168</v>
      </c>
      <c r="H790" s="4" t="s">
        <v>169</v>
      </c>
      <c r="I790" s="9">
        <v>42851</v>
      </c>
      <c r="J790" s="11">
        <v>84</v>
      </c>
      <c r="K790" s="4" t="s">
        <v>170</v>
      </c>
      <c r="L790" s="11">
        <v>36.164400000000001</v>
      </c>
      <c r="M790" s="11">
        <v>3037.81</v>
      </c>
      <c r="N790" s="4" t="s">
        <v>8</v>
      </c>
      <c r="O790" s="5">
        <v>5637291744</v>
      </c>
      <c r="P790" s="11" t="e">
        <f ca="1">_xll.AtlasFormulas.AtlasFunctions.AtlasBalance("UAT",DataAreaId,"T.MarkupTrans","Sum|Posted|0","","","","","","","TransRecId|TransTableId|MarkupCode",$O790,"492","TPP")</f>
        <v>#NAME?</v>
      </c>
    </row>
    <row r="791" spans="1:16" x14ac:dyDescent="0.15">
      <c r="A791" s="4" t="s">
        <v>227</v>
      </c>
      <c r="B791" s="4" t="s">
        <v>697</v>
      </c>
      <c r="C791" s="4" t="s">
        <v>613</v>
      </c>
      <c r="D791" s="4" t="s">
        <v>701</v>
      </c>
      <c r="E791" s="4" t="s">
        <v>702</v>
      </c>
      <c r="F791" s="4" t="s">
        <v>231</v>
      </c>
      <c r="G791" s="4" t="s">
        <v>168</v>
      </c>
      <c r="H791" s="4" t="s">
        <v>169</v>
      </c>
      <c r="I791" s="9">
        <v>42867</v>
      </c>
      <c r="J791" s="11">
        <v>84</v>
      </c>
      <c r="K791" s="4" t="s">
        <v>55</v>
      </c>
      <c r="L791" s="11">
        <v>30.136999999999997</v>
      </c>
      <c r="M791" s="11">
        <v>2531.5100000000002</v>
      </c>
      <c r="N791" s="4" t="s">
        <v>8</v>
      </c>
      <c r="O791" s="5">
        <v>5637291914</v>
      </c>
      <c r="P791" s="11" t="e">
        <f ca="1">_xll.AtlasFormulas.AtlasFunctions.AtlasBalance("UAT",DataAreaId,"T.MarkupTrans","Sum|Posted|0","","","","","","","TransRecId|TransTableId|MarkupCode",$O791,"492","TPP")</f>
        <v>#NAME?</v>
      </c>
    </row>
    <row r="792" spans="1:16" x14ac:dyDescent="0.15">
      <c r="A792" s="4" t="s">
        <v>288</v>
      </c>
      <c r="B792" s="4" t="s">
        <v>690</v>
      </c>
      <c r="C792" s="4" t="s">
        <v>166</v>
      </c>
      <c r="D792" s="4" t="s">
        <v>242</v>
      </c>
      <c r="E792" s="4" t="s">
        <v>703</v>
      </c>
      <c r="F792" s="4" t="s">
        <v>311</v>
      </c>
      <c r="G792" s="4" t="s">
        <v>168</v>
      </c>
      <c r="H792" s="4" t="s">
        <v>169</v>
      </c>
      <c r="I792" s="9">
        <v>42873</v>
      </c>
      <c r="J792" s="11">
        <v>84</v>
      </c>
      <c r="K792" s="4" t="s">
        <v>55</v>
      </c>
      <c r="L792" s="11">
        <v>30.136979999999998</v>
      </c>
      <c r="M792" s="11">
        <v>2531.5100000000002</v>
      </c>
      <c r="N792" s="4" t="s">
        <v>8</v>
      </c>
      <c r="O792" s="5">
        <v>5637292261</v>
      </c>
      <c r="P792" s="11" t="e">
        <f ca="1">_xll.AtlasFormulas.AtlasFunctions.AtlasBalance("UAT",DataAreaId,"T.MarkupTrans","Sum|Posted|0","","","","","","","TransRecId|TransTableId|MarkupCode",$O792,"492","TPP")</f>
        <v>#NAME?</v>
      </c>
    </row>
    <row r="793" spans="1:16" x14ac:dyDescent="0.15">
      <c r="A793" s="4" t="s">
        <v>288</v>
      </c>
      <c r="B793" s="4" t="s">
        <v>690</v>
      </c>
      <c r="C793" s="4" t="s">
        <v>166</v>
      </c>
      <c r="D793" s="4" t="s">
        <v>704</v>
      </c>
      <c r="E793" s="4" t="s">
        <v>705</v>
      </c>
      <c r="F793" s="4" t="s">
        <v>311</v>
      </c>
      <c r="G793" s="4" t="s">
        <v>168</v>
      </c>
      <c r="H793" s="4" t="s">
        <v>169</v>
      </c>
      <c r="I793" s="9">
        <v>42885</v>
      </c>
      <c r="J793" s="11">
        <v>-84</v>
      </c>
      <c r="K793" s="4" t="s">
        <v>55</v>
      </c>
      <c r="L793" s="11">
        <v>36.164400000000001</v>
      </c>
      <c r="M793" s="11">
        <v>-3037.81</v>
      </c>
      <c r="N793" s="4" t="s">
        <v>8</v>
      </c>
      <c r="O793" s="5">
        <v>5637292255</v>
      </c>
      <c r="P793" s="11" t="e">
        <f ca="1">_xll.AtlasFormulas.AtlasFunctions.AtlasBalance("UAT",DataAreaId,"T.MarkupTrans","Sum|Posted|0","","","","","","","TransRecId|TransTableId|MarkupCode",$O793,"492","TPP")</f>
        <v>#NAME?</v>
      </c>
    </row>
    <row r="794" spans="1:16" x14ac:dyDescent="0.15">
      <c r="A794" s="4" t="s">
        <v>288</v>
      </c>
      <c r="B794" s="4" t="s">
        <v>690</v>
      </c>
      <c r="C794" s="4" t="s">
        <v>166</v>
      </c>
      <c r="D794" s="4" t="s">
        <v>257</v>
      </c>
      <c r="E794" s="4" t="s">
        <v>706</v>
      </c>
      <c r="F794" s="4" t="s">
        <v>311</v>
      </c>
      <c r="G794" s="4" t="s">
        <v>168</v>
      </c>
      <c r="H794" s="4" t="s">
        <v>169</v>
      </c>
      <c r="I794" s="9">
        <v>42885</v>
      </c>
      <c r="J794" s="11">
        <v>84</v>
      </c>
      <c r="K794" s="4" t="s">
        <v>55</v>
      </c>
      <c r="L794" s="11">
        <v>36.164400000000001</v>
      </c>
      <c r="M794" s="11">
        <v>3037.81</v>
      </c>
      <c r="N794" s="4" t="s">
        <v>8</v>
      </c>
      <c r="O794" s="5">
        <v>5637292247</v>
      </c>
      <c r="P794" s="11" t="e">
        <f ca="1">_xll.AtlasFormulas.AtlasFunctions.AtlasBalance("UAT",DataAreaId,"T.MarkupTrans","Sum|Posted|0","","","","","","","TransRecId|TransTableId|MarkupCode",$O794,"492","TPP")</f>
        <v>#NAME?</v>
      </c>
    </row>
    <row r="795" spans="1:16" x14ac:dyDescent="0.15">
      <c r="A795" s="4" t="s">
        <v>110</v>
      </c>
      <c r="B795" s="4" t="s">
        <v>165</v>
      </c>
      <c r="C795" s="4" t="s">
        <v>166</v>
      </c>
      <c r="D795" s="4" t="s">
        <v>171</v>
      </c>
      <c r="E795" s="4" t="s">
        <v>172</v>
      </c>
      <c r="F795" s="4" t="s">
        <v>114</v>
      </c>
      <c r="G795" s="4" t="s">
        <v>168</v>
      </c>
      <c r="H795" s="4" t="s">
        <v>169</v>
      </c>
      <c r="I795" s="9">
        <v>42886</v>
      </c>
      <c r="J795" s="11">
        <v>68</v>
      </c>
      <c r="K795" s="4" t="s">
        <v>170</v>
      </c>
      <c r="L795" s="11">
        <v>36.164400000000001</v>
      </c>
      <c r="M795" s="11">
        <v>2459.1799999999998</v>
      </c>
      <c r="N795" s="4" t="s">
        <v>8</v>
      </c>
      <c r="O795" s="5">
        <v>5637292272</v>
      </c>
      <c r="P795" s="11" t="e">
        <f ca="1">_xll.AtlasFormulas.AtlasFunctions.AtlasBalance("UAT",DataAreaId,"T.MarkupTrans","Sum|Posted|0","","","","","","","TransRecId|TransTableId|MarkupCode",$O795,"492","TPP")</f>
        <v>#NAME?</v>
      </c>
    </row>
    <row r="796" spans="1:16" x14ac:dyDescent="0.15">
      <c r="A796" s="4" t="s">
        <v>220</v>
      </c>
      <c r="B796" s="4" t="s">
        <v>612</v>
      </c>
      <c r="C796" s="4" t="s">
        <v>613</v>
      </c>
      <c r="D796" s="4" t="s">
        <v>560</v>
      </c>
      <c r="E796" s="4" t="s">
        <v>707</v>
      </c>
      <c r="F796" s="4" t="s">
        <v>224</v>
      </c>
      <c r="G796" s="4" t="s">
        <v>168</v>
      </c>
      <c r="H796" s="4" t="s">
        <v>708</v>
      </c>
      <c r="I796" s="9">
        <v>42907</v>
      </c>
      <c r="J796" s="11">
        <v>504</v>
      </c>
      <c r="K796" s="4" t="s">
        <v>622</v>
      </c>
      <c r="L796" s="11">
        <v>6.2009099999999995</v>
      </c>
      <c r="M796" s="11">
        <v>3125.26</v>
      </c>
      <c r="N796" s="4" t="s">
        <v>8</v>
      </c>
      <c r="O796" s="5">
        <v>5637292973</v>
      </c>
      <c r="P796" s="11" t="e">
        <f ca="1">_xll.AtlasFormulas.AtlasFunctions.AtlasBalance("UAT",DataAreaId,"T.MarkupTrans","Sum|Posted|0","","","","","","","TransRecId|TransTableId|MarkupCode",$O796,"492","TPP")</f>
        <v>#NAME?</v>
      </c>
    </row>
    <row r="797" spans="1:16" x14ac:dyDescent="0.15">
      <c r="A797" s="4" t="s">
        <v>110</v>
      </c>
      <c r="B797" s="4" t="s">
        <v>165</v>
      </c>
      <c r="C797" s="4" t="s">
        <v>166</v>
      </c>
      <c r="D797" s="4" t="s">
        <v>173</v>
      </c>
      <c r="E797" s="4" t="s">
        <v>174</v>
      </c>
      <c r="F797" s="4" t="s">
        <v>114</v>
      </c>
      <c r="G797" s="4" t="s">
        <v>168</v>
      </c>
      <c r="H797" s="4" t="s">
        <v>169</v>
      </c>
      <c r="I797" s="9">
        <v>42915</v>
      </c>
      <c r="J797" s="11">
        <v>420</v>
      </c>
      <c r="K797" s="4" t="s">
        <v>170</v>
      </c>
      <c r="L797" s="11">
        <v>37.205500000000001</v>
      </c>
      <c r="M797" s="11">
        <v>15626.310000000001</v>
      </c>
      <c r="N797" s="4" t="s">
        <v>8</v>
      </c>
      <c r="O797" s="5">
        <v>5637292940</v>
      </c>
      <c r="P797" s="11" t="e">
        <f ca="1">_xll.AtlasFormulas.AtlasFunctions.AtlasBalance("UAT",DataAreaId,"T.MarkupTrans","Sum|Posted|0","","","","","","","TransRecId|TransTableId|MarkupCode",$O797,"492","TPP")</f>
        <v>#NAME?</v>
      </c>
    </row>
    <row r="798" spans="1:16" x14ac:dyDescent="0.15">
      <c r="A798" s="4" t="s">
        <v>220</v>
      </c>
      <c r="B798" s="4" t="s">
        <v>612</v>
      </c>
      <c r="C798" s="4" t="s">
        <v>613</v>
      </c>
      <c r="D798" s="4" t="s">
        <v>709</v>
      </c>
      <c r="E798" s="4" t="s">
        <v>710</v>
      </c>
      <c r="F798" s="4" t="s">
        <v>224</v>
      </c>
      <c r="G798" s="4" t="s">
        <v>168</v>
      </c>
      <c r="H798" s="4" t="s">
        <v>708</v>
      </c>
      <c r="I798" s="9">
        <v>42929</v>
      </c>
      <c r="J798" s="11">
        <v>1260</v>
      </c>
      <c r="K798" s="4" t="s">
        <v>622</v>
      </c>
      <c r="L798" s="11">
        <v>0</v>
      </c>
      <c r="M798" s="11">
        <v>7819.29</v>
      </c>
      <c r="N798" s="4" t="s">
        <v>8</v>
      </c>
      <c r="O798" s="5">
        <v>5637293477</v>
      </c>
      <c r="P798" s="11" t="e">
        <f ca="1">_xll.AtlasFormulas.AtlasFunctions.AtlasBalance("UAT",DataAreaId,"T.MarkupTrans","Sum|Posted|0","","","","","","","TransRecId|TransTableId|MarkupCode",$O798,"492","TPP")</f>
        <v>#NAME?</v>
      </c>
    </row>
    <row r="799" spans="1:16" x14ac:dyDescent="0.15">
      <c r="A799" s="4" t="s">
        <v>220</v>
      </c>
      <c r="B799" s="4" t="s">
        <v>612</v>
      </c>
      <c r="C799" s="4" t="s">
        <v>613</v>
      </c>
      <c r="D799" s="4" t="s">
        <v>365</v>
      </c>
      <c r="E799" s="4" t="s">
        <v>711</v>
      </c>
      <c r="F799" s="4" t="s">
        <v>224</v>
      </c>
      <c r="G799" s="4" t="s">
        <v>168</v>
      </c>
      <c r="H799" s="4" t="s">
        <v>708</v>
      </c>
      <c r="I799" s="9">
        <v>42929</v>
      </c>
      <c r="J799" s="11">
        <v>-1260</v>
      </c>
      <c r="K799" s="4" t="s">
        <v>622</v>
      </c>
      <c r="L799" s="11">
        <v>0</v>
      </c>
      <c r="M799" s="11">
        <v>-7819.29</v>
      </c>
      <c r="N799" s="4" t="s">
        <v>8</v>
      </c>
      <c r="O799" s="5">
        <v>5637293478</v>
      </c>
      <c r="P799" s="11" t="e">
        <f ca="1">_xll.AtlasFormulas.AtlasFunctions.AtlasBalance("UAT",DataAreaId,"T.MarkupTrans","Sum|Posted|0","","","","","","","TransRecId|TransTableId|MarkupCode",$O799,"492","TPP")</f>
        <v>#NAME?</v>
      </c>
    </row>
    <row r="800" spans="1:16" x14ac:dyDescent="0.15">
      <c r="A800" s="4" t="s">
        <v>220</v>
      </c>
      <c r="B800" s="4" t="s">
        <v>612</v>
      </c>
      <c r="C800" s="4" t="s">
        <v>613</v>
      </c>
      <c r="D800" s="4" t="s">
        <v>712</v>
      </c>
      <c r="E800" s="4" t="s">
        <v>713</v>
      </c>
      <c r="F800" s="4" t="s">
        <v>224</v>
      </c>
      <c r="G800" s="4" t="s">
        <v>168</v>
      </c>
      <c r="H800" s="4" t="s">
        <v>708</v>
      </c>
      <c r="I800" s="9">
        <v>42929</v>
      </c>
      <c r="J800" s="11">
        <v>1260</v>
      </c>
      <c r="K800" s="4" t="s">
        <v>622</v>
      </c>
      <c r="L800" s="11">
        <v>0</v>
      </c>
      <c r="M800" s="11">
        <v>7819.29</v>
      </c>
      <c r="N800" s="4" t="s">
        <v>8</v>
      </c>
      <c r="O800" s="5">
        <v>5637293479</v>
      </c>
      <c r="P800" s="11" t="e">
        <f ca="1">_xll.AtlasFormulas.AtlasFunctions.AtlasBalance("UAT",DataAreaId,"T.MarkupTrans","Sum|Posted|0","","","","","","","TransRecId|TransTableId|MarkupCode",$O800,"492","TPP")</f>
        <v>#NAME?</v>
      </c>
    </row>
    <row r="801" spans="1:16" x14ac:dyDescent="0.15">
      <c r="A801" s="4" t="s">
        <v>110</v>
      </c>
      <c r="B801" s="4" t="s">
        <v>165</v>
      </c>
      <c r="C801" s="4" t="s">
        <v>166</v>
      </c>
      <c r="D801" s="4" t="s">
        <v>175</v>
      </c>
      <c r="E801" s="4" t="s">
        <v>176</v>
      </c>
      <c r="F801" s="4" t="s">
        <v>114</v>
      </c>
      <c r="G801" s="4" t="s">
        <v>168</v>
      </c>
      <c r="H801" s="4" t="s">
        <v>169</v>
      </c>
      <c r="I801" s="9">
        <v>42947</v>
      </c>
      <c r="J801" s="11">
        <v>252</v>
      </c>
      <c r="K801" s="4" t="s">
        <v>170</v>
      </c>
      <c r="L801" s="11">
        <v>37.234699999999997</v>
      </c>
      <c r="M801" s="11">
        <v>9383.14</v>
      </c>
      <c r="N801" s="4" t="s">
        <v>8</v>
      </c>
      <c r="O801" s="5">
        <v>5637294165</v>
      </c>
      <c r="P801" s="11" t="e">
        <f ca="1">_xll.AtlasFormulas.AtlasFunctions.AtlasBalance("UAT",DataAreaId,"T.MarkupTrans","Sum|Posted|0","","","","","","","TransRecId|TransTableId|MarkupCode",$O801,"492","TPP")</f>
        <v>#NAME?</v>
      </c>
    </row>
    <row r="802" spans="1:16" x14ac:dyDescent="0.15">
      <c r="A802" s="4" t="s">
        <v>110</v>
      </c>
      <c r="B802" s="4" t="s">
        <v>165</v>
      </c>
      <c r="C802" s="4" t="s">
        <v>166</v>
      </c>
      <c r="D802" s="4" t="s">
        <v>177</v>
      </c>
      <c r="E802" s="4" t="s">
        <v>178</v>
      </c>
      <c r="F802" s="4" t="s">
        <v>114</v>
      </c>
      <c r="G802" s="4" t="s">
        <v>168</v>
      </c>
      <c r="H802" s="4" t="s">
        <v>169</v>
      </c>
      <c r="I802" s="9">
        <v>42947</v>
      </c>
      <c r="J802" s="11">
        <v>210</v>
      </c>
      <c r="K802" s="4" t="s">
        <v>170</v>
      </c>
      <c r="L802" s="11">
        <v>37.234699999999997</v>
      </c>
      <c r="M802" s="11">
        <v>7819.29</v>
      </c>
      <c r="N802" s="4" t="s">
        <v>8</v>
      </c>
      <c r="O802" s="5">
        <v>5637294167</v>
      </c>
      <c r="P802" s="11" t="e">
        <f ca="1">_xll.AtlasFormulas.AtlasFunctions.AtlasBalance("UAT",DataAreaId,"T.MarkupTrans","Sum|Posted|0","","","","","","","TransRecId|TransTableId|MarkupCode",$O802,"492","TPP")</f>
        <v>#NAME?</v>
      </c>
    </row>
    <row r="803" spans="1:16" ht="27" x14ac:dyDescent="0.15">
      <c r="A803" s="4" t="s">
        <v>288</v>
      </c>
      <c r="B803" s="4" t="s">
        <v>690</v>
      </c>
      <c r="C803" s="4" t="s">
        <v>166</v>
      </c>
      <c r="D803" s="4" t="s">
        <v>714</v>
      </c>
      <c r="E803" s="4" t="s">
        <v>715</v>
      </c>
      <c r="F803" s="4" t="s">
        <v>311</v>
      </c>
      <c r="G803" s="4" t="s">
        <v>16</v>
      </c>
      <c r="H803" s="6" t="s">
        <v>28</v>
      </c>
      <c r="I803" s="9">
        <v>42947</v>
      </c>
      <c r="J803" s="11">
        <v>10</v>
      </c>
      <c r="K803" s="4" t="s">
        <v>55</v>
      </c>
      <c r="L803" s="11">
        <v>30.669169999999998</v>
      </c>
      <c r="M803" s="11">
        <v>306.69</v>
      </c>
      <c r="N803" s="4" t="s">
        <v>8</v>
      </c>
      <c r="O803" s="5">
        <v>5637294412</v>
      </c>
      <c r="P803" s="11" t="e">
        <f ca="1">_xll.AtlasFormulas.AtlasFunctions.AtlasBalance("UAT",DataAreaId,"T.MarkupTrans","Sum|Posted|0","","","","","","","TransRecId|TransTableId|MarkupCode",$O803,"492","TPP")</f>
        <v>#NAME?</v>
      </c>
    </row>
    <row r="804" spans="1:16" x14ac:dyDescent="0.15">
      <c r="A804" s="4" t="s">
        <v>288</v>
      </c>
      <c r="B804" s="4" t="s">
        <v>690</v>
      </c>
      <c r="C804" s="4" t="s">
        <v>166</v>
      </c>
      <c r="D804" s="4" t="s">
        <v>714</v>
      </c>
      <c r="E804" s="4" t="s">
        <v>715</v>
      </c>
      <c r="F804" s="4" t="s">
        <v>311</v>
      </c>
      <c r="G804" s="4" t="s">
        <v>716</v>
      </c>
      <c r="H804" s="4" t="s">
        <v>717</v>
      </c>
      <c r="I804" s="9">
        <v>42947</v>
      </c>
      <c r="J804" s="11">
        <v>116</v>
      </c>
      <c r="K804" s="4" t="s">
        <v>55</v>
      </c>
      <c r="L804" s="11">
        <v>39.767579999999995</v>
      </c>
      <c r="M804" s="11">
        <v>4613.04</v>
      </c>
      <c r="N804" s="4" t="s">
        <v>8</v>
      </c>
      <c r="O804" s="5">
        <v>5637294413</v>
      </c>
      <c r="P804" s="11" t="e">
        <f ca="1">_xll.AtlasFormulas.AtlasFunctions.AtlasBalance("UAT",DataAreaId,"T.MarkupTrans","Sum|Posted|0","","","","","","","TransRecId|TransTableId|MarkupCode",$O804,"492","TPP")</f>
        <v>#NAME?</v>
      </c>
    </row>
    <row r="805" spans="1:16" x14ac:dyDescent="0.15">
      <c r="A805" s="4" t="s">
        <v>288</v>
      </c>
      <c r="B805" s="4" t="s">
        <v>690</v>
      </c>
      <c r="C805" s="4" t="s">
        <v>166</v>
      </c>
      <c r="D805" s="4" t="s">
        <v>718</v>
      </c>
      <c r="E805" s="4" t="s">
        <v>719</v>
      </c>
      <c r="F805" s="4" t="s">
        <v>311</v>
      </c>
      <c r="G805" s="4" t="s">
        <v>716</v>
      </c>
      <c r="H805" s="4" t="s">
        <v>717</v>
      </c>
      <c r="I805" s="9">
        <v>42947</v>
      </c>
      <c r="J805" s="11">
        <v>84</v>
      </c>
      <c r="K805" s="4" t="s">
        <v>55</v>
      </c>
      <c r="L805" s="11">
        <v>39.767499999999998</v>
      </c>
      <c r="M805" s="11">
        <v>3340.47</v>
      </c>
      <c r="N805" s="4" t="s">
        <v>8</v>
      </c>
      <c r="O805" s="5">
        <v>5637294415</v>
      </c>
      <c r="P805" s="11" t="e">
        <f ca="1">_xll.AtlasFormulas.AtlasFunctions.AtlasBalance("UAT",DataAreaId,"T.MarkupTrans","Sum|Posted|0","","","","","","","TransRecId|TransTableId|MarkupCode",$O805,"492","TPP")</f>
        <v>#NAME?</v>
      </c>
    </row>
    <row r="806" spans="1:16" ht="27" x14ac:dyDescent="0.15">
      <c r="A806" s="4" t="s">
        <v>20</v>
      </c>
      <c r="B806" s="4" t="s">
        <v>65</v>
      </c>
      <c r="C806" s="4" t="s">
        <v>63</v>
      </c>
      <c r="D806" s="4" t="s">
        <v>68</v>
      </c>
      <c r="E806" s="4" t="s">
        <v>69</v>
      </c>
      <c r="F806" s="4" t="s">
        <v>52</v>
      </c>
      <c r="G806" s="4" t="s">
        <v>17</v>
      </c>
      <c r="H806" s="6" t="s">
        <v>29</v>
      </c>
      <c r="I806" s="9">
        <v>42873</v>
      </c>
      <c r="J806" s="11">
        <v>4</v>
      </c>
      <c r="K806" s="4" t="s">
        <v>55</v>
      </c>
      <c r="L806" s="11">
        <v>470</v>
      </c>
      <c r="M806" s="11">
        <v>1880</v>
      </c>
      <c r="N806" s="4" t="s">
        <v>8</v>
      </c>
      <c r="O806" s="5">
        <v>5637292306</v>
      </c>
      <c r="P806" s="11" t="e">
        <f ca="1">_xll.AtlasFormulas.AtlasFunctions.AtlasBalance("UAT",DataAreaId,"T.MarkupTrans","Sum|Posted|0","","","","","","","TransRecId|TransTableId|MarkupCode",$O806,"492","TPP")</f>
        <v>#NAME?</v>
      </c>
    </row>
    <row r="807" spans="1:16" ht="27" x14ac:dyDescent="0.15">
      <c r="A807" s="4" t="s">
        <v>227</v>
      </c>
      <c r="B807" s="4" t="s">
        <v>652</v>
      </c>
      <c r="C807" s="4" t="s">
        <v>61</v>
      </c>
      <c r="D807" s="4" t="s">
        <v>653</v>
      </c>
      <c r="E807" s="4" t="s">
        <v>654</v>
      </c>
      <c r="F807" s="4" t="s">
        <v>231</v>
      </c>
      <c r="G807" s="4" t="s">
        <v>17</v>
      </c>
      <c r="H807" s="6" t="s">
        <v>29</v>
      </c>
      <c r="I807" s="9">
        <v>42886</v>
      </c>
      <c r="J807" s="11">
        <v>1</v>
      </c>
      <c r="K807" s="4" t="s">
        <v>55</v>
      </c>
      <c r="L807" s="11">
        <v>450</v>
      </c>
      <c r="M807" s="11">
        <v>450</v>
      </c>
      <c r="N807" s="4" t="s">
        <v>8</v>
      </c>
      <c r="O807" s="5">
        <v>5637292304</v>
      </c>
      <c r="P807" s="11" t="e">
        <f ca="1">_xll.AtlasFormulas.AtlasFunctions.AtlasBalance("UAT",DataAreaId,"T.MarkupTrans","Sum|Posted|0","","","","","","","TransRecId|TransTableId|MarkupCode",$O807,"492","TPP")</f>
        <v>#NAME?</v>
      </c>
    </row>
    <row r="808" spans="1:16" x14ac:dyDescent="0.15">
      <c r="A808" s="4" t="s">
        <v>227</v>
      </c>
      <c r="B808" s="4" t="s">
        <v>228</v>
      </c>
      <c r="C808" s="4" t="s">
        <v>82</v>
      </c>
      <c r="D808" s="4" t="s">
        <v>720</v>
      </c>
      <c r="E808" s="4" t="s">
        <v>721</v>
      </c>
      <c r="F808" s="4" t="s">
        <v>231</v>
      </c>
      <c r="G808" s="4" t="s">
        <v>722</v>
      </c>
      <c r="H808" s="4" t="s">
        <v>722</v>
      </c>
      <c r="I808" s="9">
        <v>42803</v>
      </c>
      <c r="J808" s="11">
        <v>10</v>
      </c>
      <c r="K808" s="4" t="s">
        <v>55</v>
      </c>
      <c r="L808" s="11">
        <v>90</v>
      </c>
      <c r="M808" s="11">
        <v>900</v>
      </c>
      <c r="N808" s="4" t="s">
        <v>8</v>
      </c>
      <c r="O808" s="5">
        <v>5637291047</v>
      </c>
      <c r="P808" s="11" t="e">
        <f ca="1">_xll.AtlasFormulas.AtlasFunctions.AtlasBalance("UAT",DataAreaId,"T.MarkupTrans","Sum|Posted|0","","","","","","","TransRecId|TransTableId|MarkupCode",$O808,"492","TPP")</f>
        <v>#NAME?</v>
      </c>
    </row>
    <row r="809" spans="1:16" x14ac:dyDescent="0.15">
      <c r="A809" s="4" t="s">
        <v>227</v>
      </c>
      <c r="B809" s="4" t="s">
        <v>228</v>
      </c>
      <c r="C809" s="4" t="s">
        <v>82</v>
      </c>
      <c r="D809" s="4" t="s">
        <v>723</v>
      </c>
      <c r="E809" s="4" t="s">
        <v>724</v>
      </c>
      <c r="F809" s="4" t="s">
        <v>231</v>
      </c>
      <c r="G809" s="4" t="s">
        <v>722</v>
      </c>
      <c r="H809" s="4" t="s">
        <v>722</v>
      </c>
      <c r="I809" s="9">
        <v>42816</v>
      </c>
      <c r="J809" s="11">
        <v>-10</v>
      </c>
      <c r="K809" s="4" t="s">
        <v>55</v>
      </c>
      <c r="L809" s="11">
        <v>90</v>
      </c>
      <c r="M809" s="11">
        <v>-900</v>
      </c>
      <c r="N809" s="4" t="s">
        <v>8</v>
      </c>
      <c r="O809" s="5">
        <v>5637291264</v>
      </c>
      <c r="P809" s="11" t="e">
        <f ca="1">_xll.AtlasFormulas.AtlasFunctions.AtlasBalance("UAT",DataAreaId,"T.MarkupTrans","Sum|Posted|0","","","","","","","TransRecId|TransTableId|MarkupCode",$O809,"492","TPP")</f>
        <v>#NAME?</v>
      </c>
    </row>
    <row r="810" spans="1:16" x14ac:dyDescent="0.15">
      <c r="A810" s="2" t="s">
        <v>18</v>
      </c>
      <c r="B810" s="3"/>
      <c r="C810" s="3"/>
      <c r="D810" s="3" t="s">
        <v>18</v>
      </c>
      <c r="E810" s="3"/>
      <c r="F810" s="3"/>
      <c r="G810" s="3"/>
      <c r="H810" s="3"/>
      <c r="I810" s="8"/>
      <c r="J810" s="10">
        <f>SUBTOTAL(109,AtlasReport_2_Table_1[Quantity])</f>
        <v>2912256.2</v>
      </c>
      <c r="K810" s="3"/>
      <c r="L810" s="10">
        <f>SUBTOTAL(109,AtlasReport_2_Table_1[Unit price])</f>
        <v>34119.260399999846</v>
      </c>
      <c r="M810" s="10">
        <f>SUBTOTAL(109,AtlasReport_2_Table_1[Amount])</f>
        <v>5255284.0299999993</v>
      </c>
      <c r="N810" s="3"/>
      <c r="O810" s="2"/>
      <c r="P810" s="10" t="e">
        <f ca="1">SUBTOTAL(109,AtlasReport_2_Table_1[TPP Amount])</f>
        <v>#NAME?</v>
      </c>
    </row>
    <row r="811" spans="1:16" x14ac:dyDescent="0.15">
      <c r="A811" s="2"/>
      <c r="B811" s="2"/>
      <c r="C811" s="2"/>
      <c r="D811" s="2"/>
      <c r="E811" s="2"/>
      <c r="F811" s="2"/>
      <c r="G811" s="2"/>
      <c r="H811" s="2"/>
      <c r="I811" s="8"/>
      <c r="J811" s="10"/>
      <c r="K811" s="2"/>
      <c r="L811" s="10"/>
      <c r="M811" s="10"/>
      <c r="N811" s="2"/>
      <c r="O811" s="2"/>
      <c r="P811" s="10"/>
    </row>
    <row r="812" spans="1:16" x14ac:dyDescent="0.15">
      <c r="A812" s="2"/>
      <c r="B812" s="2"/>
      <c r="C812" s="2"/>
      <c r="D812" s="2"/>
      <c r="E812" s="2"/>
      <c r="F812" s="2"/>
      <c r="G812" s="2"/>
      <c r="H812" s="2"/>
      <c r="I812" s="8"/>
      <c r="J812" s="10"/>
      <c r="K812" s="2"/>
      <c r="L812" s="10"/>
      <c r="M812" s="10"/>
      <c r="N812" s="2"/>
      <c r="O812" s="2"/>
      <c r="P812" s="10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35"/>
  <sheetViews>
    <sheetView tabSelected="1" workbookViewId="0">
      <selection activeCell="H12" sqref="H12"/>
    </sheetView>
  </sheetViews>
  <sheetFormatPr defaultRowHeight="13.5" x14ac:dyDescent="0.15"/>
  <cols>
    <col min="1" max="1" width="11.375" customWidth="1"/>
    <col min="2" max="2" width="12.875" customWidth="1"/>
    <col min="3" max="3" width="24.375" customWidth="1"/>
    <col min="4" max="4" width="16.25" bestFit="1" customWidth="1"/>
    <col min="5" max="5" width="14" customWidth="1"/>
    <col min="6" max="6" width="13.625" bestFit="1" customWidth="1"/>
    <col min="7" max="7" width="16.125" bestFit="1" customWidth="1"/>
    <col min="8" max="8" width="54.25" bestFit="1" customWidth="1"/>
    <col min="9" max="9" width="9.75" bestFit="1" customWidth="1"/>
    <col min="10" max="10" width="11.75" customWidth="1"/>
    <col min="11" max="11" width="7.25" customWidth="1"/>
    <col min="12" max="12" width="14" customWidth="1"/>
    <col min="13" max="13" width="11" bestFit="1" customWidth="1"/>
    <col min="14" max="14" width="11.75" customWidth="1"/>
    <col min="15" max="15" width="14.75" bestFit="1" customWidth="1"/>
    <col min="16" max="16" width="14.125" bestFit="1" customWidth="1"/>
  </cols>
  <sheetData>
    <row r="1" spans="1:16" x14ac:dyDescent="0.15">
      <c r="A1" t="s">
        <v>70</v>
      </c>
      <c r="B1" t="s">
        <v>71</v>
      </c>
      <c r="C1" t="s">
        <v>72</v>
      </c>
      <c r="D1" t="s">
        <v>73</v>
      </c>
      <c r="E1" t="s">
        <v>74</v>
      </c>
      <c r="F1" t="s">
        <v>51</v>
      </c>
      <c r="G1" t="s">
        <v>75</v>
      </c>
      <c r="H1" t="s">
        <v>76</v>
      </c>
      <c r="I1" t="s">
        <v>30</v>
      </c>
      <c r="J1" t="s">
        <v>4</v>
      </c>
      <c r="K1" t="s">
        <v>53</v>
      </c>
      <c r="L1" t="s">
        <v>77</v>
      </c>
      <c r="M1" t="s">
        <v>6</v>
      </c>
      <c r="N1" t="s">
        <v>7</v>
      </c>
      <c r="O1" t="s">
        <v>78</v>
      </c>
      <c r="P1" t="s">
        <v>57</v>
      </c>
    </row>
    <row r="2" spans="1:16" x14ac:dyDescent="0.15">
      <c r="A2">
        <v>360</v>
      </c>
      <c r="B2" s="12" t="s">
        <v>747</v>
      </c>
      <c r="C2" t="s">
        <v>272</v>
      </c>
      <c r="D2" t="s">
        <v>748</v>
      </c>
      <c r="E2" s="12">
        <v>111000831</v>
      </c>
      <c r="F2" t="s">
        <v>728</v>
      </c>
      <c r="G2" t="s">
        <v>184</v>
      </c>
      <c r="H2" t="s">
        <v>185</v>
      </c>
      <c r="I2" s="7">
        <v>42800</v>
      </c>
      <c r="J2">
        <v>11640</v>
      </c>
      <c r="K2" t="s">
        <v>54</v>
      </c>
      <c r="L2">
        <v>1.6600000000000001</v>
      </c>
      <c r="M2">
        <v>19322.400000000001</v>
      </c>
      <c r="N2" t="s">
        <v>8</v>
      </c>
      <c r="O2" t="s">
        <v>1073</v>
      </c>
      <c r="P2">
        <v>2338.0100000000002</v>
      </c>
    </row>
    <row r="3" spans="1:16" x14ac:dyDescent="0.15">
      <c r="A3">
        <v>360</v>
      </c>
      <c r="B3" s="12" t="s">
        <v>747</v>
      </c>
      <c r="C3" t="s">
        <v>272</v>
      </c>
      <c r="D3" t="s">
        <v>750</v>
      </c>
      <c r="E3" s="12">
        <v>111000873</v>
      </c>
      <c r="F3" t="s">
        <v>728</v>
      </c>
      <c r="G3" t="s">
        <v>184</v>
      </c>
      <c r="H3" t="s">
        <v>185</v>
      </c>
      <c r="I3" s="7">
        <v>42829</v>
      </c>
      <c r="J3">
        <v>48.5</v>
      </c>
      <c r="K3" t="s">
        <v>54</v>
      </c>
      <c r="L3">
        <v>1.6600000000000001</v>
      </c>
      <c r="M3">
        <v>80.510000000000005</v>
      </c>
      <c r="N3" t="s">
        <v>8</v>
      </c>
      <c r="O3" t="s">
        <v>1073</v>
      </c>
      <c r="P3">
        <v>9.74</v>
      </c>
    </row>
    <row r="4" spans="1:16" x14ac:dyDescent="0.15">
      <c r="A4">
        <v>360</v>
      </c>
      <c r="B4" s="12" t="s">
        <v>752</v>
      </c>
      <c r="C4" t="s">
        <v>272</v>
      </c>
      <c r="D4" t="s">
        <v>753</v>
      </c>
      <c r="E4" s="12">
        <v>111000901</v>
      </c>
      <c r="F4" t="s">
        <v>728</v>
      </c>
      <c r="G4" t="s">
        <v>184</v>
      </c>
      <c r="H4" t="s">
        <v>185</v>
      </c>
      <c r="I4" s="7">
        <v>42843</v>
      </c>
      <c r="J4">
        <v>1067</v>
      </c>
      <c r="K4" t="s">
        <v>54</v>
      </c>
      <c r="L4">
        <v>1.6600000000000001</v>
      </c>
      <c r="M4">
        <v>1771.22</v>
      </c>
      <c r="N4" t="s">
        <v>8</v>
      </c>
      <c r="O4" t="s">
        <v>1073</v>
      </c>
      <c r="P4">
        <v>214.32</v>
      </c>
    </row>
    <row r="5" spans="1:16" x14ac:dyDescent="0.15">
      <c r="A5">
        <v>360</v>
      </c>
      <c r="B5" s="12" t="s">
        <v>747</v>
      </c>
      <c r="C5" t="s">
        <v>272</v>
      </c>
      <c r="D5" t="s">
        <v>755</v>
      </c>
      <c r="E5" s="12">
        <v>111000912</v>
      </c>
      <c r="F5" t="s">
        <v>728</v>
      </c>
      <c r="G5" t="s">
        <v>184</v>
      </c>
      <c r="H5" t="s">
        <v>185</v>
      </c>
      <c r="I5" s="7">
        <v>42846</v>
      </c>
      <c r="J5">
        <v>1940</v>
      </c>
      <c r="K5" t="s">
        <v>54</v>
      </c>
      <c r="L5">
        <v>1.6600000000000001</v>
      </c>
      <c r="M5">
        <v>3220.4</v>
      </c>
      <c r="N5" t="s">
        <v>8</v>
      </c>
      <c r="O5" t="s">
        <v>1073</v>
      </c>
      <c r="P5">
        <v>389.67</v>
      </c>
    </row>
    <row r="6" spans="1:16" x14ac:dyDescent="0.15">
      <c r="A6">
        <v>360</v>
      </c>
      <c r="B6" s="12" t="s">
        <v>752</v>
      </c>
      <c r="C6" t="s">
        <v>272</v>
      </c>
      <c r="D6" t="s">
        <v>757</v>
      </c>
      <c r="E6" s="12">
        <v>111000914</v>
      </c>
      <c r="F6" t="s">
        <v>728</v>
      </c>
      <c r="G6" t="s">
        <v>184</v>
      </c>
      <c r="H6" t="s">
        <v>185</v>
      </c>
      <c r="I6" s="7">
        <v>42846</v>
      </c>
      <c r="J6">
        <v>2134</v>
      </c>
      <c r="K6" t="s">
        <v>54</v>
      </c>
      <c r="L6">
        <v>1.6600000000000001</v>
      </c>
      <c r="M6">
        <v>3542.44</v>
      </c>
      <c r="N6" t="s">
        <v>8</v>
      </c>
      <c r="O6" t="s">
        <v>1073</v>
      </c>
      <c r="P6">
        <v>428.64</v>
      </c>
    </row>
    <row r="7" spans="1:16" x14ac:dyDescent="0.15">
      <c r="A7">
        <v>360</v>
      </c>
      <c r="B7" s="12" t="s">
        <v>747</v>
      </c>
      <c r="C7" t="s">
        <v>272</v>
      </c>
      <c r="D7" t="s">
        <v>759</v>
      </c>
      <c r="E7" s="12">
        <v>111001004</v>
      </c>
      <c r="F7" t="s">
        <v>728</v>
      </c>
      <c r="G7" t="s">
        <v>184</v>
      </c>
      <c r="H7" t="s">
        <v>185</v>
      </c>
      <c r="I7" s="7">
        <v>42880</v>
      </c>
      <c r="J7">
        <v>3880</v>
      </c>
      <c r="K7" t="s">
        <v>54</v>
      </c>
      <c r="L7">
        <v>1.6600000000000001</v>
      </c>
      <c r="M7">
        <v>6440.8</v>
      </c>
      <c r="N7" t="s">
        <v>8</v>
      </c>
      <c r="O7" t="s">
        <v>1073</v>
      </c>
      <c r="P7">
        <v>779.34</v>
      </c>
    </row>
    <row r="8" spans="1:16" x14ac:dyDescent="0.15">
      <c r="A8">
        <v>360</v>
      </c>
      <c r="B8" s="12" t="s">
        <v>752</v>
      </c>
      <c r="C8" t="s">
        <v>272</v>
      </c>
      <c r="D8" t="s">
        <v>761</v>
      </c>
      <c r="E8" s="12">
        <v>111001026</v>
      </c>
      <c r="F8" t="s">
        <v>728</v>
      </c>
      <c r="G8" t="s">
        <v>184</v>
      </c>
      <c r="H8" t="s">
        <v>185</v>
      </c>
      <c r="I8" s="7">
        <v>42891</v>
      </c>
      <c r="J8">
        <v>1600.5</v>
      </c>
      <c r="K8" t="s">
        <v>54</v>
      </c>
      <c r="L8">
        <v>1.6600000000000001</v>
      </c>
      <c r="M8">
        <v>2656.83</v>
      </c>
      <c r="N8" t="s">
        <v>8</v>
      </c>
      <c r="O8" t="s">
        <v>1073</v>
      </c>
      <c r="P8">
        <v>321.48</v>
      </c>
    </row>
    <row r="9" spans="1:16" x14ac:dyDescent="0.15">
      <c r="A9">
        <v>360</v>
      </c>
      <c r="B9" s="12" t="s">
        <v>747</v>
      </c>
      <c r="C9" t="s">
        <v>272</v>
      </c>
      <c r="D9" t="s">
        <v>763</v>
      </c>
      <c r="E9" s="12">
        <v>111001056</v>
      </c>
      <c r="F9" t="s">
        <v>728</v>
      </c>
      <c r="G9" t="s">
        <v>184</v>
      </c>
      <c r="H9" t="s">
        <v>185</v>
      </c>
      <c r="I9" s="7">
        <v>42899</v>
      </c>
      <c r="J9">
        <v>1940</v>
      </c>
      <c r="K9" t="s">
        <v>54</v>
      </c>
      <c r="L9">
        <v>1.6600000000000001</v>
      </c>
      <c r="M9">
        <v>3220.4</v>
      </c>
      <c r="N9" t="s">
        <v>8</v>
      </c>
      <c r="O9" t="s">
        <v>1073</v>
      </c>
      <c r="P9">
        <v>389.67</v>
      </c>
    </row>
    <row r="10" spans="1:16" x14ac:dyDescent="0.15">
      <c r="A10">
        <v>360</v>
      </c>
      <c r="B10" s="12" t="s">
        <v>747</v>
      </c>
      <c r="C10" t="s">
        <v>272</v>
      </c>
      <c r="D10" t="s">
        <v>765</v>
      </c>
      <c r="E10" s="12">
        <v>2222000063</v>
      </c>
      <c r="F10" t="s">
        <v>728</v>
      </c>
      <c r="G10" t="s">
        <v>184</v>
      </c>
      <c r="H10" t="s">
        <v>185</v>
      </c>
      <c r="I10" s="7">
        <v>42900</v>
      </c>
      <c r="J10">
        <v>-970</v>
      </c>
      <c r="K10" t="s">
        <v>54</v>
      </c>
      <c r="L10">
        <v>1.6600000000000001</v>
      </c>
      <c r="M10">
        <v>-1610.2</v>
      </c>
      <c r="N10" t="s">
        <v>8</v>
      </c>
      <c r="O10" t="s">
        <v>1073</v>
      </c>
      <c r="P10">
        <v>-194.83</v>
      </c>
    </row>
    <row r="11" spans="1:16" x14ac:dyDescent="0.15">
      <c r="A11">
        <v>360</v>
      </c>
      <c r="B11" s="12" t="s">
        <v>747</v>
      </c>
      <c r="C11" t="s">
        <v>272</v>
      </c>
      <c r="D11" t="s">
        <v>767</v>
      </c>
      <c r="E11" s="12">
        <v>2222000065</v>
      </c>
      <c r="F11" t="s">
        <v>728</v>
      </c>
      <c r="G11" t="s">
        <v>184</v>
      </c>
      <c r="H11" t="s">
        <v>185</v>
      </c>
      <c r="I11" s="7">
        <v>42907</v>
      </c>
      <c r="J11">
        <v>-970</v>
      </c>
      <c r="K11" t="s">
        <v>54</v>
      </c>
      <c r="L11">
        <v>1.6600000000000001</v>
      </c>
      <c r="M11">
        <v>-1610.2</v>
      </c>
      <c r="N11" t="s">
        <v>8</v>
      </c>
      <c r="O11" t="s">
        <v>1073</v>
      </c>
      <c r="P11">
        <v>-194.83</v>
      </c>
    </row>
    <row r="12" spans="1:16" x14ac:dyDescent="0.15">
      <c r="A12">
        <v>360</v>
      </c>
      <c r="B12" s="12" t="s">
        <v>747</v>
      </c>
      <c r="C12" t="s">
        <v>272</v>
      </c>
      <c r="D12" t="s">
        <v>769</v>
      </c>
      <c r="E12" s="12">
        <v>111001065</v>
      </c>
      <c r="F12" t="s">
        <v>728</v>
      </c>
      <c r="G12" t="s">
        <v>184</v>
      </c>
      <c r="H12" t="s">
        <v>185</v>
      </c>
      <c r="I12" s="7">
        <v>42907</v>
      </c>
      <c r="J12">
        <v>970</v>
      </c>
      <c r="K12" t="s">
        <v>54</v>
      </c>
      <c r="L12">
        <v>1.6600000000000001</v>
      </c>
      <c r="M12">
        <v>1610.2</v>
      </c>
      <c r="N12" t="s">
        <v>8</v>
      </c>
      <c r="O12" t="s">
        <v>1073</v>
      </c>
      <c r="P12">
        <v>194.83</v>
      </c>
    </row>
    <row r="13" spans="1:16" x14ac:dyDescent="0.15">
      <c r="A13">
        <v>360</v>
      </c>
      <c r="B13" s="12" t="s">
        <v>747</v>
      </c>
      <c r="C13" t="s">
        <v>272</v>
      </c>
      <c r="D13" t="s">
        <v>771</v>
      </c>
      <c r="E13" s="12">
        <v>2222000062</v>
      </c>
      <c r="F13" t="s">
        <v>728</v>
      </c>
      <c r="G13" t="s">
        <v>184</v>
      </c>
      <c r="H13" t="s">
        <v>185</v>
      </c>
      <c r="I13" s="7">
        <v>42909</v>
      </c>
      <c r="J13">
        <v>970</v>
      </c>
      <c r="K13" t="s">
        <v>54</v>
      </c>
      <c r="L13">
        <v>1.6600000000000001</v>
      </c>
      <c r="M13">
        <v>1610.2</v>
      </c>
      <c r="N13" t="s">
        <v>8</v>
      </c>
      <c r="O13" t="s">
        <v>1073</v>
      </c>
      <c r="P13">
        <v>194.83</v>
      </c>
    </row>
    <row r="14" spans="1:16" x14ac:dyDescent="0.15">
      <c r="A14">
        <v>360</v>
      </c>
      <c r="B14" s="12" t="s">
        <v>747</v>
      </c>
      <c r="C14" t="s">
        <v>272</v>
      </c>
      <c r="D14" t="s">
        <v>771</v>
      </c>
      <c r="E14" s="12">
        <v>2222000062</v>
      </c>
      <c r="F14" t="s">
        <v>728</v>
      </c>
      <c r="G14" t="s">
        <v>184</v>
      </c>
      <c r="H14" t="s">
        <v>185</v>
      </c>
      <c r="I14" s="7">
        <v>42909</v>
      </c>
      <c r="J14">
        <v>-1940</v>
      </c>
      <c r="K14" t="s">
        <v>54</v>
      </c>
      <c r="L14">
        <v>1.6600000000000001</v>
      </c>
      <c r="M14">
        <v>-3220.4</v>
      </c>
      <c r="N14" t="s">
        <v>8</v>
      </c>
      <c r="O14" t="s">
        <v>1073</v>
      </c>
      <c r="P14">
        <v>-389.67</v>
      </c>
    </row>
    <row r="15" spans="1:16" x14ac:dyDescent="0.15">
      <c r="A15">
        <v>360</v>
      </c>
      <c r="B15" s="12" t="s">
        <v>747</v>
      </c>
      <c r="C15" t="s">
        <v>272</v>
      </c>
      <c r="D15" t="s">
        <v>773</v>
      </c>
      <c r="E15" s="12">
        <v>111001089</v>
      </c>
      <c r="F15" t="s">
        <v>728</v>
      </c>
      <c r="G15" t="s">
        <v>184</v>
      </c>
      <c r="H15" t="s">
        <v>185</v>
      </c>
      <c r="I15" s="7">
        <v>42915</v>
      </c>
      <c r="J15">
        <v>970</v>
      </c>
      <c r="K15" t="s">
        <v>54</v>
      </c>
      <c r="L15">
        <v>1.6600000000000001</v>
      </c>
      <c r="M15">
        <v>1610.2</v>
      </c>
      <c r="N15" t="s">
        <v>8</v>
      </c>
      <c r="O15" t="s">
        <v>1073</v>
      </c>
      <c r="P15">
        <v>194.83</v>
      </c>
    </row>
    <row r="16" spans="1:16" x14ac:dyDescent="0.15">
      <c r="A16">
        <v>360</v>
      </c>
      <c r="B16" s="12" t="s">
        <v>747</v>
      </c>
      <c r="C16" t="s">
        <v>272</v>
      </c>
      <c r="D16" t="s">
        <v>775</v>
      </c>
      <c r="E16" s="12">
        <v>111001107</v>
      </c>
      <c r="F16" t="s">
        <v>728</v>
      </c>
      <c r="G16" t="s">
        <v>184</v>
      </c>
      <c r="H16" t="s">
        <v>185</v>
      </c>
      <c r="I16" s="7">
        <v>42916</v>
      </c>
      <c r="J16">
        <v>970</v>
      </c>
      <c r="K16" t="s">
        <v>54</v>
      </c>
      <c r="L16">
        <v>1.6600000000000001</v>
      </c>
      <c r="M16">
        <v>1610.2</v>
      </c>
      <c r="N16" t="s">
        <v>8</v>
      </c>
      <c r="O16" t="s">
        <v>1073</v>
      </c>
      <c r="P16">
        <v>194.83</v>
      </c>
    </row>
    <row r="17" spans="1:16" x14ac:dyDescent="0.15">
      <c r="A17">
        <v>360</v>
      </c>
      <c r="B17" s="12" t="s">
        <v>747</v>
      </c>
      <c r="C17" t="s">
        <v>272</v>
      </c>
      <c r="D17" t="s">
        <v>777</v>
      </c>
      <c r="E17" s="12">
        <v>111001131</v>
      </c>
      <c r="F17" t="s">
        <v>728</v>
      </c>
      <c r="G17" t="s">
        <v>184</v>
      </c>
      <c r="H17" t="s">
        <v>185</v>
      </c>
      <c r="I17" s="7">
        <v>42928</v>
      </c>
      <c r="J17">
        <v>5820</v>
      </c>
      <c r="K17" t="s">
        <v>54</v>
      </c>
      <c r="L17">
        <v>1.7100000000000002</v>
      </c>
      <c r="M17">
        <v>9952.2000000000007</v>
      </c>
      <c r="N17" t="s">
        <v>8</v>
      </c>
      <c r="O17" t="s">
        <v>1073</v>
      </c>
      <c r="P17">
        <v>1204.22</v>
      </c>
    </row>
    <row r="18" spans="1:16" x14ac:dyDescent="0.15">
      <c r="A18">
        <v>360</v>
      </c>
      <c r="B18" s="12" t="s">
        <v>747</v>
      </c>
      <c r="C18" t="s">
        <v>272</v>
      </c>
      <c r="D18" t="s">
        <v>779</v>
      </c>
      <c r="E18" s="12">
        <v>111001150</v>
      </c>
      <c r="F18" t="s">
        <v>728</v>
      </c>
      <c r="G18" t="s">
        <v>184</v>
      </c>
      <c r="H18" t="s">
        <v>185</v>
      </c>
      <c r="I18" s="7">
        <v>42930</v>
      </c>
      <c r="J18">
        <v>5820</v>
      </c>
      <c r="K18" t="s">
        <v>54</v>
      </c>
      <c r="L18">
        <v>1.7100000000000002</v>
      </c>
      <c r="M18">
        <v>9952.2000000000007</v>
      </c>
      <c r="N18" t="s">
        <v>8</v>
      </c>
      <c r="O18" t="s">
        <v>1073</v>
      </c>
      <c r="P18">
        <v>1204.22</v>
      </c>
    </row>
    <row r="19" spans="1:16" x14ac:dyDescent="0.15">
      <c r="A19">
        <v>360</v>
      </c>
      <c r="B19" s="12" t="s">
        <v>752</v>
      </c>
      <c r="C19" t="s">
        <v>272</v>
      </c>
      <c r="D19" t="s">
        <v>781</v>
      </c>
      <c r="E19" s="12">
        <v>111001220</v>
      </c>
      <c r="F19" t="s">
        <v>728</v>
      </c>
      <c r="G19" t="s">
        <v>184</v>
      </c>
      <c r="H19" t="s">
        <v>185</v>
      </c>
      <c r="I19" s="7">
        <v>42949</v>
      </c>
      <c r="J19">
        <v>5335</v>
      </c>
      <c r="K19" t="s">
        <v>54</v>
      </c>
      <c r="L19">
        <v>1.7100000000000002</v>
      </c>
      <c r="M19">
        <v>9122.85</v>
      </c>
      <c r="N19" t="s">
        <v>8</v>
      </c>
      <c r="O19" t="s">
        <v>1073</v>
      </c>
      <c r="P19">
        <v>0</v>
      </c>
    </row>
    <row r="20" spans="1:16" x14ac:dyDescent="0.15">
      <c r="A20">
        <v>360</v>
      </c>
      <c r="B20" s="12">
        <v>3600000008</v>
      </c>
      <c r="C20" t="s">
        <v>726</v>
      </c>
      <c r="D20" t="s">
        <v>727</v>
      </c>
      <c r="E20" s="12">
        <v>111005029</v>
      </c>
      <c r="F20" t="s">
        <v>728</v>
      </c>
      <c r="G20" t="s">
        <v>184</v>
      </c>
      <c r="H20" t="s">
        <v>185</v>
      </c>
      <c r="I20" s="7">
        <v>42954</v>
      </c>
      <c r="J20">
        <v>3880</v>
      </c>
      <c r="K20" t="s">
        <v>54</v>
      </c>
      <c r="L20">
        <v>1.7100000000000002</v>
      </c>
      <c r="M20">
        <v>6634.8</v>
      </c>
      <c r="N20" t="s">
        <v>8</v>
      </c>
      <c r="O20" t="s">
        <v>1074</v>
      </c>
      <c r="P20">
        <v>-5533.42</v>
      </c>
    </row>
    <row r="21" spans="1:16" x14ac:dyDescent="0.15">
      <c r="A21">
        <v>360</v>
      </c>
      <c r="B21" s="12">
        <v>3600000008</v>
      </c>
      <c r="C21" t="s">
        <v>726</v>
      </c>
      <c r="D21" t="s">
        <v>729</v>
      </c>
      <c r="E21" s="12">
        <v>2222000349</v>
      </c>
      <c r="F21" t="s">
        <v>728</v>
      </c>
      <c r="G21" t="s">
        <v>184</v>
      </c>
      <c r="H21" t="s">
        <v>185</v>
      </c>
      <c r="I21" s="7">
        <v>42956</v>
      </c>
      <c r="J21">
        <v>-3880</v>
      </c>
      <c r="K21" t="s">
        <v>54</v>
      </c>
      <c r="L21">
        <v>1.7100000000000002</v>
      </c>
      <c r="M21">
        <v>-6634.8</v>
      </c>
      <c r="N21" t="s">
        <v>8</v>
      </c>
      <c r="O21" t="s">
        <v>1074</v>
      </c>
      <c r="P21">
        <v>5533.42</v>
      </c>
    </row>
    <row r="22" spans="1:16" x14ac:dyDescent="0.15">
      <c r="A22">
        <v>360</v>
      </c>
      <c r="B22" s="12">
        <v>3600000008</v>
      </c>
      <c r="C22" t="s">
        <v>726</v>
      </c>
      <c r="D22" t="s">
        <v>730</v>
      </c>
      <c r="E22" s="12">
        <v>111005033</v>
      </c>
      <c r="F22" t="s">
        <v>728</v>
      </c>
      <c r="G22" t="s">
        <v>184</v>
      </c>
      <c r="H22" t="s">
        <v>185</v>
      </c>
      <c r="I22" s="7">
        <v>42956</v>
      </c>
      <c r="J22">
        <v>3880</v>
      </c>
      <c r="K22" t="s">
        <v>54</v>
      </c>
      <c r="L22">
        <v>1.7100000000000002</v>
      </c>
      <c r="M22">
        <v>6634.8</v>
      </c>
      <c r="N22" t="s">
        <v>8</v>
      </c>
      <c r="O22" t="s">
        <v>1074</v>
      </c>
      <c r="P22">
        <v>-13289.5</v>
      </c>
    </row>
    <row r="23" spans="1:16" x14ac:dyDescent="0.15">
      <c r="A23">
        <v>360</v>
      </c>
      <c r="B23" s="12">
        <v>3600000008</v>
      </c>
      <c r="C23" t="s">
        <v>726</v>
      </c>
      <c r="D23" t="s">
        <v>731</v>
      </c>
      <c r="E23" s="12">
        <v>111005055</v>
      </c>
      <c r="F23" t="s">
        <v>728</v>
      </c>
      <c r="G23" t="s">
        <v>184</v>
      </c>
      <c r="H23" t="s">
        <v>185</v>
      </c>
      <c r="I23" s="7">
        <v>42971</v>
      </c>
      <c r="J23">
        <v>3880</v>
      </c>
      <c r="K23" t="s">
        <v>54</v>
      </c>
      <c r="L23">
        <v>1.7100000000000002</v>
      </c>
      <c r="M23">
        <v>6634.8</v>
      </c>
      <c r="N23" t="s">
        <v>8</v>
      </c>
      <c r="O23" t="s">
        <v>1074</v>
      </c>
      <c r="P23">
        <v>-13289.5</v>
      </c>
    </row>
    <row r="24" spans="1:16" x14ac:dyDescent="0.15">
      <c r="A24">
        <v>360</v>
      </c>
      <c r="B24" s="12" t="s">
        <v>747</v>
      </c>
      <c r="C24" t="s">
        <v>272</v>
      </c>
      <c r="D24" t="s">
        <v>798</v>
      </c>
      <c r="E24" s="12">
        <v>111000776</v>
      </c>
      <c r="F24" t="s">
        <v>728</v>
      </c>
      <c r="G24" t="s">
        <v>193</v>
      </c>
      <c r="H24" t="s">
        <v>185</v>
      </c>
      <c r="I24" s="7">
        <v>42738</v>
      </c>
      <c r="J24">
        <v>18427.5</v>
      </c>
      <c r="K24" t="s">
        <v>54</v>
      </c>
      <c r="L24">
        <v>1.67</v>
      </c>
      <c r="M24">
        <v>30773.93</v>
      </c>
      <c r="N24" t="s">
        <v>8</v>
      </c>
      <c r="O24" t="s">
        <v>1073</v>
      </c>
      <c r="P24">
        <v>13478.98</v>
      </c>
    </row>
    <row r="25" spans="1:16" x14ac:dyDescent="0.15">
      <c r="A25">
        <v>360</v>
      </c>
      <c r="B25" s="12" t="s">
        <v>747</v>
      </c>
      <c r="C25" t="s">
        <v>272</v>
      </c>
      <c r="D25" t="s">
        <v>800</v>
      </c>
      <c r="E25" s="12">
        <v>111000790</v>
      </c>
      <c r="F25" t="s">
        <v>728</v>
      </c>
      <c r="G25" t="s">
        <v>193</v>
      </c>
      <c r="H25" t="s">
        <v>185</v>
      </c>
      <c r="I25" s="7">
        <v>42745</v>
      </c>
      <c r="J25">
        <v>25350</v>
      </c>
      <c r="K25" t="s">
        <v>54</v>
      </c>
      <c r="L25">
        <v>1.67</v>
      </c>
      <c r="M25">
        <v>42334.5</v>
      </c>
      <c r="N25" t="s">
        <v>8</v>
      </c>
      <c r="O25" t="s">
        <v>1073</v>
      </c>
      <c r="P25">
        <v>18542.509999999998</v>
      </c>
    </row>
    <row r="26" spans="1:16" x14ac:dyDescent="0.15">
      <c r="A26">
        <v>360</v>
      </c>
      <c r="B26" s="12" t="s">
        <v>752</v>
      </c>
      <c r="C26" t="s">
        <v>272</v>
      </c>
      <c r="D26" t="s">
        <v>753</v>
      </c>
      <c r="E26" s="12">
        <v>111000901</v>
      </c>
      <c r="F26" t="s">
        <v>728</v>
      </c>
      <c r="G26" t="s">
        <v>193</v>
      </c>
      <c r="H26" t="s">
        <v>185</v>
      </c>
      <c r="I26" s="7">
        <v>42843</v>
      </c>
      <c r="J26">
        <v>9750</v>
      </c>
      <c r="K26" t="s">
        <v>54</v>
      </c>
      <c r="L26">
        <v>1.6800000000000002</v>
      </c>
      <c r="M26">
        <v>16380</v>
      </c>
      <c r="N26" t="s">
        <v>8</v>
      </c>
      <c r="O26" t="s">
        <v>1073</v>
      </c>
      <c r="P26">
        <v>1981.98</v>
      </c>
    </row>
    <row r="27" spans="1:16" x14ac:dyDescent="0.15">
      <c r="A27">
        <v>360</v>
      </c>
      <c r="B27" s="12" t="s">
        <v>747</v>
      </c>
      <c r="C27" t="s">
        <v>272</v>
      </c>
      <c r="D27" t="s">
        <v>802</v>
      </c>
      <c r="E27" s="12">
        <v>111000906</v>
      </c>
      <c r="F27" t="s">
        <v>728</v>
      </c>
      <c r="G27" t="s">
        <v>193</v>
      </c>
      <c r="H27" t="s">
        <v>185</v>
      </c>
      <c r="I27" s="7">
        <v>42845</v>
      </c>
      <c r="J27">
        <v>1950</v>
      </c>
      <c r="K27" t="s">
        <v>54</v>
      </c>
      <c r="L27">
        <v>1.6800000000000002</v>
      </c>
      <c r="M27">
        <v>3276</v>
      </c>
      <c r="N27" t="s">
        <v>8</v>
      </c>
      <c r="O27" t="s">
        <v>1073</v>
      </c>
      <c r="P27">
        <v>396.4</v>
      </c>
    </row>
    <row r="28" spans="1:16" x14ac:dyDescent="0.15">
      <c r="A28">
        <v>360</v>
      </c>
      <c r="B28" s="12" t="s">
        <v>747</v>
      </c>
      <c r="C28" t="s">
        <v>272</v>
      </c>
      <c r="D28" t="s">
        <v>755</v>
      </c>
      <c r="E28" s="12">
        <v>111000912</v>
      </c>
      <c r="F28" t="s">
        <v>728</v>
      </c>
      <c r="G28" t="s">
        <v>193</v>
      </c>
      <c r="H28" t="s">
        <v>185</v>
      </c>
      <c r="I28" s="7">
        <v>42846</v>
      </c>
      <c r="J28">
        <v>1950</v>
      </c>
      <c r="K28" t="s">
        <v>54</v>
      </c>
      <c r="L28">
        <v>1.6800000000000002</v>
      </c>
      <c r="M28">
        <v>3276</v>
      </c>
      <c r="N28" t="s">
        <v>8</v>
      </c>
      <c r="O28" t="s">
        <v>1073</v>
      </c>
      <c r="P28">
        <v>396.4</v>
      </c>
    </row>
    <row r="29" spans="1:16" x14ac:dyDescent="0.15">
      <c r="A29">
        <v>360</v>
      </c>
      <c r="B29" s="12" t="s">
        <v>747</v>
      </c>
      <c r="C29" t="s">
        <v>272</v>
      </c>
      <c r="D29" t="s">
        <v>804</v>
      </c>
      <c r="E29" s="12">
        <v>111000916</v>
      </c>
      <c r="F29" t="s">
        <v>728</v>
      </c>
      <c r="G29" t="s">
        <v>193</v>
      </c>
      <c r="H29" t="s">
        <v>185</v>
      </c>
      <c r="I29" s="7">
        <v>42846</v>
      </c>
      <c r="J29">
        <v>9750</v>
      </c>
      <c r="K29" t="s">
        <v>54</v>
      </c>
      <c r="L29">
        <v>1.6800000000000002</v>
      </c>
      <c r="M29">
        <v>16380</v>
      </c>
      <c r="N29" t="s">
        <v>8</v>
      </c>
      <c r="O29" t="s">
        <v>1073</v>
      </c>
      <c r="P29">
        <v>1981.98</v>
      </c>
    </row>
    <row r="30" spans="1:16" x14ac:dyDescent="0.15">
      <c r="A30">
        <v>360</v>
      </c>
      <c r="B30" s="12" t="s">
        <v>747</v>
      </c>
      <c r="C30" t="s">
        <v>272</v>
      </c>
      <c r="D30" t="s">
        <v>806</v>
      </c>
      <c r="E30" s="12">
        <v>111000911</v>
      </c>
      <c r="F30" t="s">
        <v>728</v>
      </c>
      <c r="G30" t="s">
        <v>193</v>
      </c>
      <c r="H30" t="s">
        <v>185</v>
      </c>
      <c r="I30" s="7">
        <v>42846</v>
      </c>
      <c r="J30">
        <v>9750</v>
      </c>
      <c r="K30" t="s">
        <v>54</v>
      </c>
      <c r="L30">
        <v>0</v>
      </c>
      <c r="M30">
        <v>0</v>
      </c>
      <c r="N30" t="s">
        <v>8</v>
      </c>
      <c r="O30" t="s">
        <v>1073</v>
      </c>
      <c r="P30">
        <v>0</v>
      </c>
    </row>
    <row r="31" spans="1:16" x14ac:dyDescent="0.15">
      <c r="A31">
        <v>360</v>
      </c>
      <c r="B31" s="12" t="s">
        <v>747</v>
      </c>
      <c r="C31" t="s">
        <v>272</v>
      </c>
      <c r="D31" t="s">
        <v>808</v>
      </c>
      <c r="E31" s="12">
        <v>2222000061</v>
      </c>
      <c r="F31" t="s">
        <v>728</v>
      </c>
      <c r="G31" t="s">
        <v>193</v>
      </c>
      <c r="H31" t="s">
        <v>185</v>
      </c>
      <c r="I31" s="7">
        <v>42856</v>
      </c>
      <c r="J31">
        <v>-9750</v>
      </c>
      <c r="K31" t="s">
        <v>54</v>
      </c>
      <c r="L31">
        <v>0</v>
      </c>
      <c r="M31">
        <v>0</v>
      </c>
      <c r="N31" t="s">
        <v>8</v>
      </c>
      <c r="O31" t="s">
        <v>1073</v>
      </c>
      <c r="P31">
        <v>0</v>
      </c>
    </row>
    <row r="32" spans="1:16" x14ac:dyDescent="0.15">
      <c r="A32">
        <v>360</v>
      </c>
      <c r="B32" s="12" t="s">
        <v>747</v>
      </c>
      <c r="C32" t="s">
        <v>272</v>
      </c>
      <c r="D32" t="s">
        <v>810</v>
      </c>
      <c r="E32" s="12">
        <v>111000942</v>
      </c>
      <c r="F32" t="s">
        <v>728</v>
      </c>
      <c r="G32" t="s">
        <v>193</v>
      </c>
      <c r="H32" t="s">
        <v>185</v>
      </c>
      <c r="I32" s="7">
        <v>42860</v>
      </c>
      <c r="J32">
        <v>3900</v>
      </c>
      <c r="K32" t="s">
        <v>54</v>
      </c>
      <c r="L32">
        <v>1.6800000000000002</v>
      </c>
      <c r="M32">
        <v>6552</v>
      </c>
      <c r="N32" t="s">
        <v>8</v>
      </c>
      <c r="O32" t="s">
        <v>1073</v>
      </c>
      <c r="P32">
        <v>792.79</v>
      </c>
    </row>
    <row r="33" spans="1:16" x14ac:dyDescent="0.15">
      <c r="A33">
        <v>360</v>
      </c>
      <c r="B33" s="12" t="s">
        <v>747</v>
      </c>
      <c r="C33" t="s">
        <v>272</v>
      </c>
      <c r="D33" t="s">
        <v>812</v>
      </c>
      <c r="E33" s="12">
        <v>111000944</v>
      </c>
      <c r="F33" t="s">
        <v>728</v>
      </c>
      <c r="G33" t="s">
        <v>193</v>
      </c>
      <c r="H33" t="s">
        <v>185</v>
      </c>
      <c r="I33" s="7">
        <v>42863</v>
      </c>
      <c r="J33">
        <v>8190</v>
      </c>
      <c r="K33" t="s">
        <v>54</v>
      </c>
      <c r="L33">
        <v>1.6800000000000002</v>
      </c>
      <c r="M33">
        <v>13759.2</v>
      </c>
      <c r="N33" t="s">
        <v>8</v>
      </c>
      <c r="O33" t="s">
        <v>1073</v>
      </c>
      <c r="P33">
        <v>1664.86</v>
      </c>
    </row>
    <row r="34" spans="1:16" x14ac:dyDescent="0.15">
      <c r="A34">
        <v>360</v>
      </c>
      <c r="B34" s="12" t="s">
        <v>747</v>
      </c>
      <c r="C34" t="s">
        <v>272</v>
      </c>
      <c r="D34" t="s">
        <v>814</v>
      </c>
      <c r="E34" s="12">
        <v>111000988</v>
      </c>
      <c r="F34" t="s">
        <v>728</v>
      </c>
      <c r="G34" t="s">
        <v>193</v>
      </c>
      <c r="H34" t="s">
        <v>185</v>
      </c>
      <c r="I34" s="7">
        <v>42877</v>
      </c>
      <c r="J34">
        <v>25350</v>
      </c>
      <c r="K34" t="s">
        <v>54</v>
      </c>
      <c r="L34">
        <v>1.67</v>
      </c>
      <c r="M34">
        <v>42334.5</v>
      </c>
      <c r="N34" t="s">
        <v>8</v>
      </c>
      <c r="O34" t="s">
        <v>1073</v>
      </c>
      <c r="P34">
        <v>5122.47</v>
      </c>
    </row>
    <row r="35" spans="1:16" x14ac:dyDescent="0.15">
      <c r="A35">
        <v>360</v>
      </c>
      <c r="B35" s="12" t="s">
        <v>747</v>
      </c>
      <c r="C35" t="s">
        <v>272</v>
      </c>
      <c r="D35" t="s">
        <v>816</v>
      </c>
      <c r="E35" s="12">
        <v>111001010</v>
      </c>
      <c r="F35" t="s">
        <v>728</v>
      </c>
      <c r="G35" t="s">
        <v>193</v>
      </c>
      <c r="H35" t="s">
        <v>185</v>
      </c>
      <c r="I35" s="7">
        <v>42884</v>
      </c>
      <c r="J35">
        <v>1950</v>
      </c>
      <c r="K35" t="s">
        <v>54</v>
      </c>
      <c r="L35">
        <v>1.6800000000000002</v>
      </c>
      <c r="M35">
        <v>3276</v>
      </c>
      <c r="N35" t="s">
        <v>8</v>
      </c>
      <c r="O35" t="s">
        <v>1073</v>
      </c>
      <c r="P35">
        <v>396.4</v>
      </c>
    </row>
    <row r="36" spans="1:16" x14ac:dyDescent="0.15">
      <c r="A36">
        <v>360</v>
      </c>
      <c r="B36" s="12" t="s">
        <v>747</v>
      </c>
      <c r="C36" t="s">
        <v>272</v>
      </c>
      <c r="D36" t="s">
        <v>794</v>
      </c>
      <c r="E36" s="12">
        <v>111001018</v>
      </c>
      <c r="F36" t="s">
        <v>728</v>
      </c>
      <c r="G36" t="s">
        <v>193</v>
      </c>
      <c r="H36" t="s">
        <v>185</v>
      </c>
      <c r="I36" s="7">
        <v>42888</v>
      </c>
      <c r="J36">
        <v>15600</v>
      </c>
      <c r="K36" t="s">
        <v>54</v>
      </c>
      <c r="L36">
        <v>1.6800000000000002</v>
      </c>
      <c r="M36">
        <v>26208</v>
      </c>
      <c r="N36" t="s">
        <v>8</v>
      </c>
      <c r="O36" t="s">
        <v>1073</v>
      </c>
      <c r="P36">
        <v>3171.17</v>
      </c>
    </row>
    <row r="37" spans="1:16" x14ac:dyDescent="0.15">
      <c r="A37">
        <v>360</v>
      </c>
      <c r="B37" s="12" t="s">
        <v>752</v>
      </c>
      <c r="C37" t="s">
        <v>272</v>
      </c>
      <c r="D37" t="s">
        <v>761</v>
      </c>
      <c r="E37" s="12">
        <v>111001026</v>
      </c>
      <c r="F37" t="s">
        <v>728</v>
      </c>
      <c r="G37" t="s">
        <v>193</v>
      </c>
      <c r="H37" t="s">
        <v>185</v>
      </c>
      <c r="I37" s="7">
        <v>42891</v>
      </c>
      <c r="J37">
        <v>9750</v>
      </c>
      <c r="K37" t="s">
        <v>54</v>
      </c>
      <c r="L37">
        <v>1.6800000000000002</v>
      </c>
      <c r="M37">
        <v>16380</v>
      </c>
      <c r="N37" t="s">
        <v>8</v>
      </c>
      <c r="O37" t="s">
        <v>1073</v>
      </c>
      <c r="P37">
        <v>1981.98</v>
      </c>
    </row>
    <row r="38" spans="1:16" x14ac:dyDescent="0.15">
      <c r="A38">
        <v>360</v>
      </c>
      <c r="B38" s="12" t="s">
        <v>747</v>
      </c>
      <c r="C38" t="s">
        <v>272</v>
      </c>
      <c r="D38" t="s">
        <v>818</v>
      </c>
      <c r="E38" s="12">
        <v>111001028</v>
      </c>
      <c r="F38" t="s">
        <v>728</v>
      </c>
      <c r="G38" t="s">
        <v>193</v>
      </c>
      <c r="H38" t="s">
        <v>185</v>
      </c>
      <c r="I38" s="7">
        <v>42891</v>
      </c>
      <c r="J38">
        <v>5850</v>
      </c>
      <c r="K38" t="s">
        <v>54</v>
      </c>
      <c r="L38">
        <v>1.6800000000000002</v>
      </c>
      <c r="M38">
        <v>9828</v>
      </c>
      <c r="N38" t="s">
        <v>8</v>
      </c>
      <c r="O38" t="s">
        <v>1073</v>
      </c>
      <c r="P38">
        <v>1189.19</v>
      </c>
    </row>
    <row r="39" spans="1:16" x14ac:dyDescent="0.15">
      <c r="A39">
        <v>360</v>
      </c>
      <c r="B39" s="12" t="s">
        <v>747</v>
      </c>
      <c r="C39" t="s">
        <v>272</v>
      </c>
      <c r="D39" t="s">
        <v>763</v>
      </c>
      <c r="E39" s="12">
        <v>111001056</v>
      </c>
      <c r="F39" t="s">
        <v>728</v>
      </c>
      <c r="G39" t="s">
        <v>193</v>
      </c>
      <c r="H39" t="s">
        <v>185</v>
      </c>
      <c r="I39" s="7">
        <v>42899</v>
      </c>
      <c r="J39">
        <v>3900</v>
      </c>
      <c r="K39" t="s">
        <v>54</v>
      </c>
      <c r="L39">
        <v>1.6800000000000002</v>
      </c>
      <c r="M39">
        <v>6552</v>
      </c>
      <c r="N39" t="s">
        <v>8</v>
      </c>
      <c r="O39" t="s">
        <v>1073</v>
      </c>
      <c r="P39">
        <v>792.79</v>
      </c>
    </row>
    <row r="40" spans="1:16" x14ac:dyDescent="0.15">
      <c r="A40">
        <v>360</v>
      </c>
      <c r="B40" s="12" t="s">
        <v>747</v>
      </c>
      <c r="C40" t="s">
        <v>272</v>
      </c>
      <c r="D40" t="s">
        <v>765</v>
      </c>
      <c r="E40" s="12">
        <v>2222000063</v>
      </c>
      <c r="F40" t="s">
        <v>728</v>
      </c>
      <c r="G40" t="s">
        <v>193</v>
      </c>
      <c r="H40" t="s">
        <v>185</v>
      </c>
      <c r="I40" s="7">
        <v>42900</v>
      </c>
      <c r="J40">
        <v>-3900</v>
      </c>
      <c r="K40" t="s">
        <v>54</v>
      </c>
      <c r="L40">
        <v>1.6800000000000002</v>
      </c>
      <c r="M40">
        <v>-6552</v>
      </c>
      <c r="N40" t="s">
        <v>8</v>
      </c>
      <c r="O40" t="s">
        <v>1073</v>
      </c>
      <c r="P40">
        <v>-792.79</v>
      </c>
    </row>
    <row r="41" spans="1:16" x14ac:dyDescent="0.15">
      <c r="A41">
        <v>360</v>
      </c>
      <c r="B41" s="12" t="s">
        <v>747</v>
      </c>
      <c r="C41" t="s">
        <v>272</v>
      </c>
      <c r="D41" t="s">
        <v>767</v>
      </c>
      <c r="E41" s="12">
        <v>2222000065</v>
      </c>
      <c r="F41" t="s">
        <v>728</v>
      </c>
      <c r="G41" t="s">
        <v>193</v>
      </c>
      <c r="H41" t="s">
        <v>185</v>
      </c>
      <c r="I41" s="7">
        <v>42907</v>
      </c>
      <c r="J41">
        <v>-3900</v>
      </c>
      <c r="K41" t="s">
        <v>54</v>
      </c>
      <c r="L41">
        <v>1.6800000000000002</v>
      </c>
      <c r="M41">
        <v>-6552</v>
      </c>
      <c r="N41" t="s">
        <v>8</v>
      </c>
      <c r="O41" t="s">
        <v>1073</v>
      </c>
      <c r="P41">
        <v>-792.79</v>
      </c>
    </row>
    <row r="42" spans="1:16" x14ac:dyDescent="0.15">
      <c r="A42">
        <v>360</v>
      </c>
      <c r="B42" s="12" t="s">
        <v>747</v>
      </c>
      <c r="C42" t="s">
        <v>272</v>
      </c>
      <c r="D42" t="s">
        <v>769</v>
      </c>
      <c r="E42" s="12">
        <v>111001065</v>
      </c>
      <c r="F42" t="s">
        <v>728</v>
      </c>
      <c r="G42" t="s">
        <v>193</v>
      </c>
      <c r="H42" t="s">
        <v>185</v>
      </c>
      <c r="I42" s="7">
        <v>42907</v>
      </c>
      <c r="J42">
        <v>3900</v>
      </c>
      <c r="K42" t="s">
        <v>54</v>
      </c>
      <c r="L42">
        <v>1.6800000000000002</v>
      </c>
      <c r="M42">
        <v>6552</v>
      </c>
      <c r="N42" t="s">
        <v>8</v>
      </c>
      <c r="O42" t="s">
        <v>1073</v>
      </c>
      <c r="P42">
        <v>792.79</v>
      </c>
    </row>
    <row r="43" spans="1:16" x14ac:dyDescent="0.15">
      <c r="A43">
        <v>360</v>
      </c>
      <c r="B43" s="12" t="s">
        <v>747</v>
      </c>
      <c r="C43" t="s">
        <v>272</v>
      </c>
      <c r="D43" t="s">
        <v>771</v>
      </c>
      <c r="E43" s="12">
        <v>2222000062</v>
      </c>
      <c r="F43" t="s">
        <v>728</v>
      </c>
      <c r="G43" t="s">
        <v>193</v>
      </c>
      <c r="H43" t="s">
        <v>185</v>
      </c>
      <c r="I43" s="7">
        <v>42909</v>
      </c>
      <c r="J43">
        <v>-3900</v>
      </c>
      <c r="K43" t="s">
        <v>54</v>
      </c>
      <c r="L43">
        <v>1.6800000000000002</v>
      </c>
      <c r="M43">
        <v>-6552</v>
      </c>
      <c r="N43" t="s">
        <v>8</v>
      </c>
      <c r="O43" t="s">
        <v>1073</v>
      </c>
      <c r="P43">
        <v>-792.79</v>
      </c>
    </row>
    <row r="44" spans="1:16" x14ac:dyDescent="0.15">
      <c r="A44">
        <v>360</v>
      </c>
      <c r="B44" s="12" t="s">
        <v>747</v>
      </c>
      <c r="C44" t="s">
        <v>272</v>
      </c>
      <c r="D44" t="s">
        <v>771</v>
      </c>
      <c r="E44" s="12">
        <v>2222000062</v>
      </c>
      <c r="F44" t="s">
        <v>728</v>
      </c>
      <c r="G44" t="s">
        <v>193</v>
      </c>
      <c r="H44" t="s">
        <v>185</v>
      </c>
      <c r="I44" s="7">
        <v>42909</v>
      </c>
      <c r="J44">
        <v>3900</v>
      </c>
      <c r="K44" t="s">
        <v>54</v>
      </c>
      <c r="L44">
        <v>1.6800000000000002</v>
      </c>
      <c r="M44">
        <v>6552</v>
      </c>
      <c r="N44" t="s">
        <v>8</v>
      </c>
      <c r="O44" t="s">
        <v>1073</v>
      </c>
      <c r="P44">
        <v>792.79</v>
      </c>
    </row>
    <row r="45" spans="1:16" x14ac:dyDescent="0.15">
      <c r="A45">
        <v>360</v>
      </c>
      <c r="B45" s="12" t="s">
        <v>747</v>
      </c>
      <c r="C45" t="s">
        <v>272</v>
      </c>
      <c r="D45" t="s">
        <v>775</v>
      </c>
      <c r="E45" s="12">
        <v>111001107</v>
      </c>
      <c r="F45" t="s">
        <v>728</v>
      </c>
      <c r="G45" t="s">
        <v>193</v>
      </c>
      <c r="H45" t="s">
        <v>185</v>
      </c>
      <c r="I45" s="7">
        <v>42916</v>
      </c>
      <c r="J45">
        <v>3900</v>
      </c>
      <c r="K45" t="s">
        <v>54</v>
      </c>
      <c r="L45">
        <v>1.6800000000000002</v>
      </c>
      <c r="M45">
        <v>6552</v>
      </c>
      <c r="N45" t="s">
        <v>8</v>
      </c>
      <c r="O45" t="s">
        <v>1073</v>
      </c>
      <c r="P45">
        <v>792.79</v>
      </c>
    </row>
    <row r="46" spans="1:16" x14ac:dyDescent="0.15">
      <c r="A46">
        <v>360</v>
      </c>
      <c r="B46" s="12" t="s">
        <v>747</v>
      </c>
      <c r="C46" t="s">
        <v>272</v>
      </c>
      <c r="D46" t="s">
        <v>777</v>
      </c>
      <c r="E46" s="12">
        <v>111001131</v>
      </c>
      <c r="F46" t="s">
        <v>728</v>
      </c>
      <c r="G46" t="s">
        <v>193</v>
      </c>
      <c r="H46" t="s">
        <v>185</v>
      </c>
      <c r="I46" s="7">
        <v>42928</v>
      </c>
      <c r="J46">
        <v>19500</v>
      </c>
      <c r="K46" t="s">
        <v>54</v>
      </c>
      <c r="L46">
        <v>1.7399999999999998</v>
      </c>
      <c r="M46">
        <v>33930</v>
      </c>
      <c r="N46" t="s">
        <v>8</v>
      </c>
      <c r="O46" t="s">
        <v>1073</v>
      </c>
      <c r="P46">
        <v>4105.53</v>
      </c>
    </row>
    <row r="47" spans="1:16" x14ac:dyDescent="0.15">
      <c r="A47">
        <v>360</v>
      </c>
      <c r="B47" s="12" t="s">
        <v>747</v>
      </c>
      <c r="C47" t="s">
        <v>272</v>
      </c>
      <c r="D47" t="s">
        <v>820</v>
      </c>
      <c r="E47" s="12">
        <v>111001170</v>
      </c>
      <c r="F47" t="s">
        <v>728</v>
      </c>
      <c r="G47" t="s">
        <v>193</v>
      </c>
      <c r="H47" t="s">
        <v>185</v>
      </c>
      <c r="I47" s="7">
        <v>42940</v>
      </c>
      <c r="J47">
        <v>25350</v>
      </c>
      <c r="K47" t="s">
        <v>54</v>
      </c>
      <c r="L47">
        <v>1.7399999999999998</v>
      </c>
      <c r="M47">
        <v>44109</v>
      </c>
      <c r="N47" t="s">
        <v>8</v>
      </c>
      <c r="O47" t="s">
        <v>1073</v>
      </c>
      <c r="P47">
        <v>5337.19</v>
      </c>
    </row>
    <row r="48" spans="1:16" x14ac:dyDescent="0.15">
      <c r="A48">
        <v>360</v>
      </c>
      <c r="B48" s="12">
        <v>3600000010</v>
      </c>
      <c r="C48" t="s">
        <v>49</v>
      </c>
      <c r="D48" t="s">
        <v>733</v>
      </c>
      <c r="E48" s="12">
        <v>111005005</v>
      </c>
      <c r="F48" t="s">
        <v>728</v>
      </c>
      <c r="G48" t="s">
        <v>193</v>
      </c>
      <c r="H48" t="s">
        <v>185</v>
      </c>
      <c r="I48" s="7">
        <v>42949</v>
      </c>
      <c r="J48">
        <v>11700</v>
      </c>
      <c r="K48" t="s">
        <v>54</v>
      </c>
      <c r="L48">
        <v>1.7399999999999998</v>
      </c>
      <c r="M48">
        <v>20358</v>
      </c>
      <c r="N48" t="s">
        <v>8</v>
      </c>
      <c r="O48" t="s">
        <v>1074</v>
      </c>
      <c r="P48">
        <v>-5720.6</v>
      </c>
    </row>
    <row r="49" spans="1:16" x14ac:dyDescent="0.15">
      <c r="A49">
        <v>360</v>
      </c>
      <c r="B49" s="12">
        <v>3600000008</v>
      </c>
      <c r="C49" t="s">
        <v>726</v>
      </c>
      <c r="D49" t="s">
        <v>735</v>
      </c>
      <c r="E49" s="12">
        <v>111005006</v>
      </c>
      <c r="F49" t="s">
        <v>728</v>
      </c>
      <c r="G49" t="s">
        <v>193</v>
      </c>
      <c r="H49" t="s">
        <v>185</v>
      </c>
      <c r="I49" s="7">
        <v>42949</v>
      </c>
      <c r="J49">
        <v>9750</v>
      </c>
      <c r="K49" t="s">
        <v>54</v>
      </c>
      <c r="L49">
        <v>1.7399999999999998</v>
      </c>
      <c r="M49">
        <v>16965</v>
      </c>
      <c r="N49" t="s">
        <v>8</v>
      </c>
      <c r="O49" t="s">
        <v>1074</v>
      </c>
      <c r="P49">
        <v>-14148.81</v>
      </c>
    </row>
    <row r="50" spans="1:16" x14ac:dyDescent="0.15">
      <c r="A50">
        <v>360</v>
      </c>
      <c r="B50" s="12" t="s">
        <v>747</v>
      </c>
      <c r="C50" t="s">
        <v>272</v>
      </c>
      <c r="D50" t="s">
        <v>822</v>
      </c>
      <c r="E50" s="12">
        <v>111001218</v>
      </c>
      <c r="F50" t="s">
        <v>728</v>
      </c>
      <c r="G50" t="s">
        <v>193</v>
      </c>
      <c r="H50" t="s">
        <v>185</v>
      </c>
      <c r="I50" s="7">
        <v>42951</v>
      </c>
      <c r="J50">
        <v>25350</v>
      </c>
      <c r="K50" t="s">
        <v>54</v>
      </c>
      <c r="L50">
        <v>1.7399999999999998</v>
      </c>
      <c r="M50">
        <v>44109</v>
      </c>
      <c r="N50" t="s">
        <v>8</v>
      </c>
      <c r="O50" t="s">
        <v>1073</v>
      </c>
      <c r="P50">
        <v>0</v>
      </c>
    </row>
    <row r="51" spans="1:16" x14ac:dyDescent="0.15">
      <c r="A51">
        <v>360</v>
      </c>
      <c r="B51" s="12">
        <v>3600000008</v>
      </c>
      <c r="C51" t="s">
        <v>726</v>
      </c>
      <c r="D51" t="s">
        <v>736</v>
      </c>
      <c r="E51" s="12">
        <v>2222000351</v>
      </c>
      <c r="F51" t="s">
        <v>728</v>
      </c>
      <c r="G51" t="s">
        <v>193</v>
      </c>
      <c r="H51" t="s">
        <v>185</v>
      </c>
      <c r="I51" s="7">
        <v>42956</v>
      </c>
      <c r="J51">
        <v>-9750</v>
      </c>
      <c r="K51" t="s">
        <v>54</v>
      </c>
      <c r="L51">
        <v>1.7399999999999998</v>
      </c>
      <c r="M51">
        <v>-16965</v>
      </c>
      <c r="N51" t="s">
        <v>8</v>
      </c>
      <c r="O51" t="s">
        <v>1074</v>
      </c>
      <c r="P51">
        <v>14148.81</v>
      </c>
    </row>
    <row r="52" spans="1:16" x14ac:dyDescent="0.15">
      <c r="A52">
        <v>360</v>
      </c>
      <c r="B52" s="12">
        <v>3600000008</v>
      </c>
      <c r="C52" t="s">
        <v>726</v>
      </c>
      <c r="D52" t="s">
        <v>737</v>
      </c>
      <c r="E52" s="12">
        <v>111005036</v>
      </c>
      <c r="F52" t="s">
        <v>728</v>
      </c>
      <c r="G52" t="s">
        <v>193</v>
      </c>
      <c r="H52" t="s">
        <v>185</v>
      </c>
      <c r="I52" s="7">
        <v>42956</v>
      </c>
      <c r="J52">
        <v>9750</v>
      </c>
      <c r="K52" t="s">
        <v>54</v>
      </c>
      <c r="L52">
        <v>1.7399999999999998</v>
      </c>
      <c r="M52">
        <v>16965</v>
      </c>
      <c r="N52" t="s">
        <v>8</v>
      </c>
      <c r="O52" t="s">
        <v>1074</v>
      </c>
      <c r="P52">
        <v>-33980.9</v>
      </c>
    </row>
    <row r="53" spans="1:16" x14ac:dyDescent="0.15">
      <c r="A53">
        <v>360</v>
      </c>
      <c r="B53" s="12" t="s">
        <v>747</v>
      </c>
      <c r="C53" t="s">
        <v>272</v>
      </c>
      <c r="D53" t="s">
        <v>843</v>
      </c>
      <c r="E53" s="12">
        <v>111000806</v>
      </c>
      <c r="F53" t="s">
        <v>728</v>
      </c>
      <c r="G53" t="s">
        <v>117</v>
      </c>
      <c r="H53" t="s">
        <v>118</v>
      </c>
      <c r="I53" s="7">
        <v>42773</v>
      </c>
      <c r="J53">
        <v>300</v>
      </c>
      <c r="K53" t="s">
        <v>54</v>
      </c>
      <c r="L53">
        <v>8.1</v>
      </c>
      <c r="M53">
        <v>2430</v>
      </c>
      <c r="N53" t="s">
        <v>8</v>
      </c>
      <c r="O53" t="s">
        <v>1073</v>
      </c>
      <c r="P53">
        <v>1064.3399999999999</v>
      </c>
    </row>
    <row r="54" spans="1:16" x14ac:dyDescent="0.15">
      <c r="A54">
        <v>360</v>
      </c>
      <c r="B54" s="12" t="s">
        <v>747</v>
      </c>
      <c r="C54" t="s">
        <v>272</v>
      </c>
      <c r="D54" t="s">
        <v>790</v>
      </c>
      <c r="E54" s="12">
        <v>111000824</v>
      </c>
      <c r="F54" t="s">
        <v>728</v>
      </c>
      <c r="G54" t="s">
        <v>117</v>
      </c>
      <c r="H54" t="s">
        <v>118</v>
      </c>
      <c r="I54" s="7">
        <v>42795</v>
      </c>
      <c r="J54">
        <v>90</v>
      </c>
      <c r="K54" t="s">
        <v>54</v>
      </c>
      <c r="L54">
        <v>8.01</v>
      </c>
      <c r="M54">
        <v>720.9</v>
      </c>
      <c r="N54" t="s">
        <v>8</v>
      </c>
      <c r="O54" t="s">
        <v>1073</v>
      </c>
      <c r="P54">
        <v>87.23</v>
      </c>
    </row>
    <row r="55" spans="1:16" x14ac:dyDescent="0.15">
      <c r="A55">
        <v>360</v>
      </c>
      <c r="B55" s="12" t="s">
        <v>747</v>
      </c>
      <c r="C55" t="s">
        <v>272</v>
      </c>
      <c r="D55" t="s">
        <v>847</v>
      </c>
      <c r="E55" s="12">
        <v>111000861</v>
      </c>
      <c r="F55" t="s">
        <v>728</v>
      </c>
      <c r="G55" t="s">
        <v>117</v>
      </c>
      <c r="H55" t="s">
        <v>118</v>
      </c>
      <c r="I55" s="7">
        <v>42824</v>
      </c>
      <c r="J55">
        <v>600</v>
      </c>
      <c r="K55" t="s">
        <v>54</v>
      </c>
      <c r="L55">
        <v>8.01</v>
      </c>
      <c r="M55">
        <v>4806</v>
      </c>
      <c r="N55" t="s">
        <v>8</v>
      </c>
      <c r="O55" t="s">
        <v>1073</v>
      </c>
      <c r="P55">
        <v>581.53</v>
      </c>
    </row>
    <row r="56" spans="1:16" x14ac:dyDescent="0.15">
      <c r="A56">
        <v>360</v>
      </c>
      <c r="B56" s="12" t="s">
        <v>747</v>
      </c>
      <c r="C56" t="s">
        <v>272</v>
      </c>
      <c r="D56" t="s">
        <v>856</v>
      </c>
      <c r="E56" s="12">
        <v>111000893</v>
      </c>
      <c r="F56" t="s">
        <v>728</v>
      </c>
      <c r="G56" t="s">
        <v>117</v>
      </c>
      <c r="H56" t="s">
        <v>118</v>
      </c>
      <c r="I56" s="7">
        <v>42837</v>
      </c>
      <c r="J56">
        <v>90</v>
      </c>
      <c r="K56" t="s">
        <v>54</v>
      </c>
      <c r="L56">
        <v>8.01</v>
      </c>
      <c r="M56">
        <v>720.9</v>
      </c>
      <c r="N56" t="s">
        <v>8</v>
      </c>
      <c r="O56" t="s">
        <v>1073</v>
      </c>
      <c r="P56">
        <v>87.23</v>
      </c>
    </row>
    <row r="57" spans="1:16" x14ac:dyDescent="0.15">
      <c r="A57">
        <v>360</v>
      </c>
      <c r="B57" s="12" t="s">
        <v>752</v>
      </c>
      <c r="C57" t="s">
        <v>272</v>
      </c>
      <c r="D57" t="s">
        <v>753</v>
      </c>
      <c r="E57" s="12">
        <v>111000901</v>
      </c>
      <c r="F57" t="s">
        <v>728</v>
      </c>
      <c r="G57" t="s">
        <v>117</v>
      </c>
      <c r="H57" t="s">
        <v>118</v>
      </c>
      <c r="I57" s="7">
        <v>42843</v>
      </c>
      <c r="J57">
        <v>3240</v>
      </c>
      <c r="K57" t="s">
        <v>54</v>
      </c>
      <c r="L57">
        <v>8.01</v>
      </c>
      <c r="M57">
        <v>25952.400000000001</v>
      </c>
      <c r="N57" t="s">
        <v>8</v>
      </c>
      <c r="O57" t="s">
        <v>1073</v>
      </c>
      <c r="P57">
        <v>3140.24</v>
      </c>
    </row>
    <row r="58" spans="1:16" x14ac:dyDescent="0.15">
      <c r="A58">
        <v>360</v>
      </c>
      <c r="B58" s="12" t="s">
        <v>849</v>
      </c>
      <c r="C58" t="s">
        <v>272</v>
      </c>
      <c r="D58" t="s">
        <v>858</v>
      </c>
      <c r="E58" s="12">
        <v>111000903</v>
      </c>
      <c r="F58" t="s">
        <v>728</v>
      </c>
      <c r="G58" t="s">
        <v>117</v>
      </c>
      <c r="H58" t="s">
        <v>118</v>
      </c>
      <c r="I58" s="7">
        <v>42843</v>
      </c>
      <c r="J58">
        <v>300</v>
      </c>
      <c r="K58" t="s">
        <v>54</v>
      </c>
      <c r="L58">
        <v>8.01</v>
      </c>
      <c r="M58">
        <v>2403</v>
      </c>
      <c r="N58" t="s">
        <v>8</v>
      </c>
      <c r="O58" t="s">
        <v>1073</v>
      </c>
      <c r="P58">
        <v>290.76</v>
      </c>
    </row>
    <row r="59" spans="1:16" x14ac:dyDescent="0.15">
      <c r="A59">
        <v>360</v>
      </c>
      <c r="B59" s="12" t="s">
        <v>747</v>
      </c>
      <c r="C59" t="s">
        <v>272</v>
      </c>
      <c r="D59" t="s">
        <v>860</v>
      </c>
      <c r="E59" s="12">
        <v>111001147</v>
      </c>
      <c r="F59" t="s">
        <v>728</v>
      </c>
      <c r="G59" t="s">
        <v>117</v>
      </c>
      <c r="H59" t="s">
        <v>118</v>
      </c>
      <c r="I59" s="7">
        <v>42930</v>
      </c>
      <c r="J59">
        <v>600</v>
      </c>
      <c r="K59" t="s">
        <v>54</v>
      </c>
      <c r="L59">
        <v>8.23</v>
      </c>
      <c r="M59">
        <v>4938</v>
      </c>
      <c r="N59" t="s">
        <v>8</v>
      </c>
      <c r="O59" t="s">
        <v>1073</v>
      </c>
      <c r="P59">
        <v>597.5</v>
      </c>
    </row>
    <row r="60" spans="1:16" x14ac:dyDescent="0.15">
      <c r="A60">
        <v>360</v>
      </c>
      <c r="B60" s="12" t="s">
        <v>747</v>
      </c>
      <c r="C60" t="s">
        <v>272</v>
      </c>
      <c r="D60" t="s">
        <v>862</v>
      </c>
      <c r="E60" s="12">
        <v>111001172</v>
      </c>
      <c r="F60" t="s">
        <v>728</v>
      </c>
      <c r="G60" t="s">
        <v>117</v>
      </c>
      <c r="H60" t="s">
        <v>118</v>
      </c>
      <c r="I60" s="7">
        <v>42937</v>
      </c>
      <c r="J60">
        <v>480</v>
      </c>
      <c r="K60" t="s">
        <v>54</v>
      </c>
      <c r="L60">
        <v>8.23</v>
      </c>
      <c r="M60">
        <v>3950.4</v>
      </c>
      <c r="N60" t="s">
        <v>8</v>
      </c>
      <c r="O60" t="s">
        <v>1073</v>
      </c>
      <c r="P60">
        <v>478</v>
      </c>
    </row>
    <row r="61" spans="1:16" x14ac:dyDescent="0.15">
      <c r="A61">
        <v>360</v>
      </c>
      <c r="B61" s="12" t="s">
        <v>747</v>
      </c>
      <c r="C61" t="s">
        <v>272</v>
      </c>
      <c r="D61" t="s">
        <v>864</v>
      </c>
      <c r="E61" s="12">
        <v>111001224</v>
      </c>
      <c r="F61" t="s">
        <v>728</v>
      </c>
      <c r="G61" t="s">
        <v>117</v>
      </c>
      <c r="H61" t="s">
        <v>118</v>
      </c>
      <c r="I61" s="7">
        <v>42949</v>
      </c>
      <c r="J61">
        <v>600</v>
      </c>
      <c r="K61" t="s">
        <v>54</v>
      </c>
      <c r="L61">
        <v>8.23</v>
      </c>
      <c r="M61">
        <v>4938</v>
      </c>
      <c r="N61" t="s">
        <v>8</v>
      </c>
      <c r="O61" t="s">
        <v>1073</v>
      </c>
      <c r="P61">
        <v>0</v>
      </c>
    </row>
    <row r="62" spans="1:16" x14ac:dyDescent="0.15">
      <c r="A62">
        <v>360</v>
      </c>
      <c r="B62" s="12">
        <v>3600000569</v>
      </c>
      <c r="C62" t="s">
        <v>50</v>
      </c>
      <c r="D62" t="s">
        <v>739</v>
      </c>
      <c r="E62" s="12">
        <v>111005018</v>
      </c>
      <c r="F62" t="s">
        <v>728</v>
      </c>
      <c r="G62" t="s">
        <v>117</v>
      </c>
      <c r="H62" t="s">
        <v>118</v>
      </c>
      <c r="I62" s="7">
        <v>42950</v>
      </c>
      <c r="J62">
        <v>600</v>
      </c>
      <c r="K62" t="s">
        <v>54</v>
      </c>
      <c r="L62">
        <v>8.23</v>
      </c>
      <c r="M62">
        <v>4938</v>
      </c>
      <c r="N62" t="s">
        <v>8</v>
      </c>
      <c r="O62" t="s">
        <v>1074</v>
      </c>
      <c r="P62">
        <v>0</v>
      </c>
    </row>
    <row r="63" spans="1:16" x14ac:dyDescent="0.15">
      <c r="A63">
        <v>360</v>
      </c>
      <c r="B63" s="12" t="s">
        <v>747</v>
      </c>
      <c r="C63" t="s">
        <v>272</v>
      </c>
      <c r="D63" t="s">
        <v>872</v>
      </c>
      <c r="E63" s="12">
        <v>111000810</v>
      </c>
      <c r="F63" t="s">
        <v>728</v>
      </c>
      <c r="G63" t="s">
        <v>123</v>
      </c>
      <c r="H63" t="s">
        <v>124</v>
      </c>
      <c r="I63" s="7">
        <v>42782</v>
      </c>
      <c r="J63">
        <v>3880</v>
      </c>
      <c r="K63" t="s">
        <v>54</v>
      </c>
      <c r="L63">
        <v>0.57999999999999996</v>
      </c>
      <c r="M63">
        <v>2250.4</v>
      </c>
      <c r="N63" t="s">
        <v>8</v>
      </c>
      <c r="O63" t="s">
        <v>1073</v>
      </c>
      <c r="P63">
        <v>985.68</v>
      </c>
    </row>
    <row r="64" spans="1:16" x14ac:dyDescent="0.15">
      <c r="A64">
        <v>360</v>
      </c>
      <c r="B64" s="12" t="s">
        <v>747</v>
      </c>
      <c r="C64" t="s">
        <v>272</v>
      </c>
      <c r="D64" t="s">
        <v>790</v>
      </c>
      <c r="E64" s="12">
        <v>111000824</v>
      </c>
      <c r="F64" t="s">
        <v>728</v>
      </c>
      <c r="G64" t="s">
        <v>123</v>
      </c>
      <c r="H64" t="s">
        <v>124</v>
      </c>
      <c r="I64" s="7">
        <v>42795</v>
      </c>
      <c r="J64">
        <v>7760</v>
      </c>
      <c r="K64" t="s">
        <v>54</v>
      </c>
      <c r="L64">
        <v>0.6</v>
      </c>
      <c r="M64">
        <v>4656</v>
      </c>
      <c r="N64" t="s">
        <v>8</v>
      </c>
      <c r="O64" t="s">
        <v>1073</v>
      </c>
      <c r="P64">
        <v>563.38</v>
      </c>
    </row>
    <row r="65" spans="1:16" x14ac:dyDescent="0.15">
      <c r="A65">
        <v>360</v>
      </c>
      <c r="B65" s="12" t="s">
        <v>747</v>
      </c>
      <c r="C65" t="s">
        <v>272</v>
      </c>
      <c r="D65" t="s">
        <v>748</v>
      </c>
      <c r="E65" s="12">
        <v>111000831</v>
      </c>
      <c r="F65" t="s">
        <v>728</v>
      </c>
      <c r="G65" t="s">
        <v>123</v>
      </c>
      <c r="H65" t="s">
        <v>124</v>
      </c>
      <c r="I65" s="7">
        <v>42800</v>
      </c>
      <c r="J65">
        <v>1940</v>
      </c>
      <c r="K65" t="s">
        <v>54</v>
      </c>
      <c r="L65">
        <v>0.6</v>
      </c>
      <c r="M65">
        <v>1164</v>
      </c>
      <c r="N65" t="s">
        <v>8</v>
      </c>
      <c r="O65" t="s">
        <v>1073</v>
      </c>
      <c r="P65">
        <v>140.84</v>
      </c>
    </row>
    <row r="66" spans="1:16" x14ac:dyDescent="0.15">
      <c r="A66">
        <v>360</v>
      </c>
      <c r="B66" s="12" t="s">
        <v>747</v>
      </c>
      <c r="C66" t="s">
        <v>272</v>
      </c>
      <c r="D66" t="s">
        <v>874</v>
      </c>
      <c r="E66" s="12">
        <v>111000833</v>
      </c>
      <c r="F66" t="s">
        <v>728</v>
      </c>
      <c r="G66" t="s">
        <v>123</v>
      </c>
      <c r="H66" t="s">
        <v>124</v>
      </c>
      <c r="I66" s="7">
        <v>42802</v>
      </c>
      <c r="J66">
        <v>5820</v>
      </c>
      <c r="K66" t="s">
        <v>54</v>
      </c>
      <c r="L66">
        <v>0.6</v>
      </c>
      <c r="M66">
        <v>3492</v>
      </c>
      <c r="N66" t="s">
        <v>8</v>
      </c>
      <c r="O66" t="s">
        <v>1073</v>
      </c>
      <c r="P66">
        <v>422.53</v>
      </c>
    </row>
    <row r="67" spans="1:16" x14ac:dyDescent="0.15">
      <c r="A67">
        <v>360</v>
      </c>
      <c r="B67" s="12" t="s">
        <v>747</v>
      </c>
      <c r="C67" t="s">
        <v>272</v>
      </c>
      <c r="D67" t="s">
        <v>829</v>
      </c>
      <c r="E67" s="12">
        <v>111000869</v>
      </c>
      <c r="F67" t="s">
        <v>728</v>
      </c>
      <c r="G67" t="s">
        <v>123</v>
      </c>
      <c r="H67" t="s">
        <v>124</v>
      </c>
      <c r="I67" s="7">
        <v>42803</v>
      </c>
      <c r="J67">
        <v>1940</v>
      </c>
      <c r="K67" t="s">
        <v>54</v>
      </c>
      <c r="L67">
        <v>0.6</v>
      </c>
      <c r="M67">
        <v>1164</v>
      </c>
      <c r="N67" t="s">
        <v>8</v>
      </c>
      <c r="O67" t="s">
        <v>1073</v>
      </c>
      <c r="P67">
        <v>140.84</v>
      </c>
    </row>
    <row r="68" spans="1:16" x14ac:dyDescent="0.15">
      <c r="A68">
        <v>360</v>
      </c>
      <c r="B68" s="12" t="s">
        <v>747</v>
      </c>
      <c r="C68" t="s">
        <v>272</v>
      </c>
      <c r="D68" t="s">
        <v>782</v>
      </c>
      <c r="E68" s="12">
        <v>111000871</v>
      </c>
      <c r="F68" t="s">
        <v>728</v>
      </c>
      <c r="G68" t="s">
        <v>123</v>
      </c>
      <c r="H68" t="s">
        <v>124</v>
      </c>
      <c r="I68" s="7">
        <v>42815</v>
      </c>
      <c r="J68">
        <v>3880</v>
      </c>
      <c r="K68" t="s">
        <v>54</v>
      </c>
      <c r="L68">
        <v>0.6</v>
      </c>
      <c r="M68">
        <v>2328</v>
      </c>
      <c r="N68" t="s">
        <v>8</v>
      </c>
      <c r="O68" t="s">
        <v>1073</v>
      </c>
      <c r="P68">
        <v>281.69</v>
      </c>
    </row>
    <row r="69" spans="1:16" x14ac:dyDescent="0.15">
      <c r="A69">
        <v>360</v>
      </c>
      <c r="B69" s="12" t="s">
        <v>747</v>
      </c>
      <c r="C69" t="s">
        <v>272</v>
      </c>
      <c r="D69" t="s">
        <v>750</v>
      </c>
      <c r="E69" s="12">
        <v>111000873</v>
      </c>
      <c r="F69" t="s">
        <v>728</v>
      </c>
      <c r="G69" t="s">
        <v>123</v>
      </c>
      <c r="H69" t="s">
        <v>124</v>
      </c>
      <c r="I69" s="7">
        <v>42829</v>
      </c>
      <c r="J69">
        <v>9700</v>
      </c>
      <c r="K69" t="s">
        <v>54</v>
      </c>
      <c r="L69">
        <v>0.6</v>
      </c>
      <c r="M69">
        <v>5820</v>
      </c>
      <c r="N69" t="s">
        <v>8</v>
      </c>
      <c r="O69" t="s">
        <v>1073</v>
      </c>
      <c r="P69">
        <v>704.22</v>
      </c>
    </row>
    <row r="70" spans="1:16" x14ac:dyDescent="0.15">
      <c r="A70">
        <v>360</v>
      </c>
      <c r="B70" s="12" t="s">
        <v>747</v>
      </c>
      <c r="C70" t="s">
        <v>272</v>
      </c>
      <c r="D70" t="s">
        <v>876</v>
      </c>
      <c r="E70" s="12">
        <v>111000875</v>
      </c>
      <c r="F70" t="s">
        <v>728</v>
      </c>
      <c r="G70" t="s">
        <v>123</v>
      </c>
      <c r="H70" t="s">
        <v>124</v>
      </c>
      <c r="I70" s="7">
        <v>42829</v>
      </c>
      <c r="J70">
        <v>3880</v>
      </c>
      <c r="K70" t="s">
        <v>54</v>
      </c>
      <c r="L70">
        <v>0.6</v>
      </c>
      <c r="M70">
        <v>2328</v>
      </c>
      <c r="N70" t="s">
        <v>8</v>
      </c>
      <c r="O70" t="s">
        <v>1073</v>
      </c>
      <c r="P70">
        <v>281.69</v>
      </c>
    </row>
    <row r="71" spans="1:16" x14ac:dyDescent="0.15">
      <c r="A71">
        <v>360</v>
      </c>
      <c r="B71" s="12" t="s">
        <v>849</v>
      </c>
      <c r="C71" t="s">
        <v>272</v>
      </c>
      <c r="D71" t="s">
        <v>858</v>
      </c>
      <c r="E71" s="12">
        <v>111000903</v>
      </c>
      <c r="F71" t="s">
        <v>728</v>
      </c>
      <c r="G71" t="s">
        <v>123</v>
      </c>
      <c r="H71" t="s">
        <v>124</v>
      </c>
      <c r="I71" s="7">
        <v>42843</v>
      </c>
      <c r="J71">
        <v>2667.5</v>
      </c>
      <c r="K71" t="s">
        <v>54</v>
      </c>
      <c r="L71">
        <v>0.6</v>
      </c>
      <c r="M71">
        <v>1600.5</v>
      </c>
      <c r="N71" t="s">
        <v>8</v>
      </c>
      <c r="O71" t="s">
        <v>1073</v>
      </c>
      <c r="P71">
        <v>193.66</v>
      </c>
    </row>
    <row r="72" spans="1:16" x14ac:dyDescent="0.15">
      <c r="A72">
        <v>360</v>
      </c>
      <c r="B72" s="12" t="s">
        <v>747</v>
      </c>
      <c r="C72" t="s">
        <v>272</v>
      </c>
      <c r="D72" t="s">
        <v>802</v>
      </c>
      <c r="E72" s="12">
        <v>111000906</v>
      </c>
      <c r="F72" t="s">
        <v>728</v>
      </c>
      <c r="G72" t="s">
        <v>123</v>
      </c>
      <c r="H72" t="s">
        <v>124</v>
      </c>
      <c r="I72" s="7">
        <v>42845</v>
      </c>
      <c r="J72">
        <v>3880</v>
      </c>
      <c r="K72" t="s">
        <v>54</v>
      </c>
      <c r="L72">
        <v>0.6</v>
      </c>
      <c r="M72">
        <v>2328</v>
      </c>
      <c r="N72" t="s">
        <v>8</v>
      </c>
      <c r="O72" t="s">
        <v>1073</v>
      </c>
      <c r="P72">
        <v>281.69</v>
      </c>
    </row>
    <row r="73" spans="1:16" x14ac:dyDescent="0.15">
      <c r="A73">
        <v>360</v>
      </c>
      <c r="B73" s="12" t="s">
        <v>747</v>
      </c>
      <c r="C73" t="s">
        <v>272</v>
      </c>
      <c r="D73" t="s">
        <v>755</v>
      </c>
      <c r="E73" s="12">
        <v>111000912</v>
      </c>
      <c r="F73" t="s">
        <v>728</v>
      </c>
      <c r="G73" t="s">
        <v>123</v>
      </c>
      <c r="H73" t="s">
        <v>124</v>
      </c>
      <c r="I73" s="7">
        <v>42846</v>
      </c>
      <c r="J73">
        <v>5820</v>
      </c>
      <c r="K73" t="s">
        <v>54</v>
      </c>
      <c r="L73">
        <v>0.6</v>
      </c>
      <c r="M73">
        <v>3492</v>
      </c>
      <c r="N73" t="s">
        <v>8</v>
      </c>
      <c r="O73" t="s">
        <v>1073</v>
      </c>
      <c r="P73">
        <v>422.53</v>
      </c>
    </row>
    <row r="74" spans="1:16" x14ac:dyDescent="0.15">
      <c r="A74">
        <v>360</v>
      </c>
      <c r="B74" s="12" t="s">
        <v>752</v>
      </c>
      <c r="C74" t="s">
        <v>272</v>
      </c>
      <c r="D74" t="s">
        <v>757</v>
      </c>
      <c r="E74" s="12">
        <v>111000914</v>
      </c>
      <c r="F74" t="s">
        <v>728</v>
      </c>
      <c r="G74" t="s">
        <v>123</v>
      </c>
      <c r="H74" t="s">
        <v>124</v>
      </c>
      <c r="I74" s="7">
        <v>42846</v>
      </c>
      <c r="J74">
        <v>16005</v>
      </c>
      <c r="K74" t="s">
        <v>54</v>
      </c>
      <c r="L74">
        <v>0.6</v>
      </c>
      <c r="M74">
        <v>9603</v>
      </c>
      <c r="N74" t="s">
        <v>8</v>
      </c>
      <c r="O74" t="s">
        <v>1073</v>
      </c>
      <c r="P74">
        <v>1161.96</v>
      </c>
    </row>
    <row r="75" spans="1:16" x14ac:dyDescent="0.15">
      <c r="A75">
        <v>360</v>
      </c>
      <c r="B75" s="12" t="s">
        <v>747</v>
      </c>
      <c r="C75" t="s">
        <v>272</v>
      </c>
      <c r="D75" t="s">
        <v>878</v>
      </c>
      <c r="E75" s="12">
        <v>111000940</v>
      </c>
      <c r="F75" t="s">
        <v>728</v>
      </c>
      <c r="G75" t="s">
        <v>123</v>
      </c>
      <c r="H75" t="s">
        <v>124</v>
      </c>
      <c r="I75" s="7">
        <v>42860</v>
      </c>
      <c r="J75">
        <v>5820</v>
      </c>
      <c r="K75" t="s">
        <v>54</v>
      </c>
      <c r="L75">
        <v>0.6</v>
      </c>
      <c r="M75">
        <v>3492</v>
      </c>
      <c r="N75" t="s">
        <v>8</v>
      </c>
      <c r="O75" t="s">
        <v>1073</v>
      </c>
      <c r="P75">
        <v>422.53</v>
      </c>
    </row>
    <row r="76" spans="1:16" x14ac:dyDescent="0.15">
      <c r="A76">
        <v>360</v>
      </c>
      <c r="B76" s="12" t="s">
        <v>747</v>
      </c>
      <c r="C76" t="s">
        <v>272</v>
      </c>
      <c r="D76" t="s">
        <v>810</v>
      </c>
      <c r="E76" s="12">
        <v>111000942</v>
      </c>
      <c r="F76" t="s">
        <v>728</v>
      </c>
      <c r="G76" t="s">
        <v>123</v>
      </c>
      <c r="H76" t="s">
        <v>124</v>
      </c>
      <c r="I76" s="7">
        <v>42860</v>
      </c>
      <c r="J76">
        <v>1940</v>
      </c>
      <c r="K76" t="s">
        <v>54</v>
      </c>
      <c r="L76">
        <v>0.6</v>
      </c>
      <c r="M76">
        <v>1164</v>
      </c>
      <c r="N76" t="s">
        <v>8</v>
      </c>
      <c r="O76" t="s">
        <v>1073</v>
      </c>
      <c r="P76">
        <v>140.84</v>
      </c>
    </row>
    <row r="77" spans="1:16" x14ac:dyDescent="0.15">
      <c r="A77">
        <v>360</v>
      </c>
      <c r="B77" s="12" t="s">
        <v>747</v>
      </c>
      <c r="C77" t="s">
        <v>272</v>
      </c>
      <c r="D77" t="s">
        <v>880</v>
      </c>
      <c r="E77" s="12">
        <v>111000986</v>
      </c>
      <c r="F77" t="s">
        <v>728</v>
      </c>
      <c r="G77" t="s">
        <v>123</v>
      </c>
      <c r="H77" t="s">
        <v>124</v>
      </c>
      <c r="I77" s="7">
        <v>42877</v>
      </c>
      <c r="J77">
        <v>9700</v>
      </c>
      <c r="K77" t="s">
        <v>54</v>
      </c>
      <c r="L77">
        <v>0.6</v>
      </c>
      <c r="M77">
        <v>5820</v>
      </c>
      <c r="N77" t="s">
        <v>8</v>
      </c>
      <c r="O77" t="s">
        <v>1073</v>
      </c>
      <c r="P77">
        <v>704.22</v>
      </c>
    </row>
    <row r="78" spans="1:16" x14ac:dyDescent="0.15">
      <c r="A78">
        <v>360</v>
      </c>
      <c r="B78" s="12" t="s">
        <v>747</v>
      </c>
      <c r="C78" t="s">
        <v>272</v>
      </c>
      <c r="D78" t="s">
        <v>816</v>
      </c>
      <c r="E78" s="12">
        <v>111001010</v>
      </c>
      <c r="F78" t="s">
        <v>728</v>
      </c>
      <c r="G78" t="s">
        <v>123</v>
      </c>
      <c r="H78" t="s">
        <v>124</v>
      </c>
      <c r="I78" s="7">
        <v>42884</v>
      </c>
      <c r="J78">
        <v>3880</v>
      </c>
      <c r="K78" t="s">
        <v>54</v>
      </c>
      <c r="L78">
        <v>0.6</v>
      </c>
      <c r="M78">
        <v>2328</v>
      </c>
      <c r="N78" t="s">
        <v>8</v>
      </c>
      <c r="O78" t="s">
        <v>1073</v>
      </c>
      <c r="P78">
        <v>281.69</v>
      </c>
    </row>
    <row r="79" spans="1:16" x14ac:dyDescent="0.15">
      <c r="A79">
        <v>360</v>
      </c>
      <c r="B79" s="12" t="s">
        <v>747</v>
      </c>
      <c r="C79" t="s">
        <v>272</v>
      </c>
      <c r="D79" t="s">
        <v>818</v>
      </c>
      <c r="E79" s="12">
        <v>111001028</v>
      </c>
      <c r="F79" t="s">
        <v>728</v>
      </c>
      <c r="G79" t="s">
        <v>123</v>
      </c>
      <c r="H79" t="s">
        <v>124</v>
      </c>
      <c r="I79" s="7">
        <v>42891</v>
      </c>
      <c r="J79">
        <v>5820</v>
      </c>
      <c r="K79" t="s">
        <v>54</v>
      </c>
      <c r="L79">
        <v>0.6</v>
      </c>
      <c r="M79">
        <v>3492</v>
      </c>
      <c r="N79" t="s">
        <v>8</v>
      </c>
      <c r="O79" t="s">
        <v>1073</v>
      </c>
      <c r="P79">
        <v>422.53</v>
      </c>
    </row>
    <row r="80" spans="1:16" x14ac:dyDescent="0.15">
      <c r="A80">
        <v>360</v>
      </c>
      <c r="B80" s="12" t="s">
        <v>752</v>
      </c>
      <c r="C80" t="s">
        <v>272</v>
      </c>
      <c r="D80" t="s">
        <v>761</v>
      </c>
      <c r="E80" s="12">
        <v>111001026</v>
      </c>
      <c r="F80" t="s">
        <v>728</v>
      </c>
      <c r="G80" t="s">
        <v>123</v>
      </c>
      <c r="H80" t="s">
        <v>124</v>
      </c>
      <c r="I80" s="7">
        <v>42891</v>
      </c>
      <c r="J80">
        <v>10670</v>
      </c>
      <c r="K80" t="s">
        <v>54</v>
      </c>
      <c r="L80">
        <v>0.6</v>
      </c>
      <c r="M80">
        <v>6402</v>
      </c>
      <c r="N80" t="s">
        <v>8</v>
      </c>
      <c r="O80" t="s">
        <v>1073</v>
      </c>
      <c r="P80">
        <v>774.64</v>
      </c>
    </row>
    <row r="81" spans="1:16" x14ac:dyDescent="0.15">
      <c r="A81">
        <v>360</v>
      </c>
      <c r="B81" s="12" t="s">
        <v>747</v>
      </c>
      <c r="C81" t="s">
        <v>272</v>
      </c>
      <c r="D81" t="s">
        <v>882</v>
      </c>
      <c r="E81" s="12">
        <v>111001057</v>
      </c>
      <c r="F81" t="s">
        <v>728</v>
      </c>
      <c r="G81" t="s">
        <v>123</v>
      </c>
      <c r="H81" t="s">
        <v>124</v>
      </c>
      <c r="I81" s="7">
        <v>42899</v>
      </c>
      <c r="J81">
        <v>7000</v>
      </c>
      <c r="K81" t="s">
        <v>54</v>
      </c>
      <c r="L81">
        <v>0.6</v>
      </c>
      <c r="M81">
        <v>4200</v>
      </c>
      <c r="N81" t="s">
        <v>8</v>
      </c>
      <c r="O81" t="s">
        <v>1073</v>
      </c>
      <c r="P81">
        <v>508.2</v>
      </c>
    </row>
    <row r="82" spans="1:16" x14ac:dyDescent="0.15">
      <c r="A82">
        <v>360</v>
      </c>
      <c r="B82" s="12" t="s">
        <v>747</v>
      </c>
      <c r="C82" t="s">
        <v>272</v>
      </c>
      <c r="D82" t="s">
        <v>786</v>
      </c>
      <c r="E82" s="12">
        <v>111001059</v>
      </c>
      <c r="F82" t="s">
        <v>728</v>
      </c>
      <c r="G82" t="s">
        <v>123</v>
      </c>
      <c r="H82" t="s">
        <v>124</v>
      </c>
      <c r="I82" s="7">
        <v>42905</v>
      </c>
      <c r="J82">
        <v>5820</v>
      </c>
      <c r="K82" t="s">
        <v>54</v>
      </c>
      <c r="L82">
        <v>0.6</v>
      </c>
      <c r="M82">
        <v>3492</v>
      </c>
      <c r="N82" t="s">
        <v>8</v>
      </c>
      <c r="O82" t="s">
        <v>1073</v>
      </c>
      <c r="P82">
        <v>422.53</v>
      </c>
    </row>
    <row r="83" spans="1:16" x14ac:dyDescent="0.15">
      <c r="A83">
        <v>360</v>
      </c>
      <c r="B83" s="12" t="s">
        <v>849</v>
      </c>
      <c r="C83" t="s">
        <v>272</v>
      </c>
      <c r="D83" t="s">
        <v>884</v>
      </c>
      <c r="E83" s="12">
        <v>111001061</v>
      </c>
      <c r="F83" t="s">
        <v>728</v>
      </c>
      <c r="G83" t="s">
        <v>123</v>
      </c>
      <c r="H83" t="s">
        <v>124</v>
      </c>
      <c r="I83" s="7">
        <v>42906</v>
      </c>
      <c r="J83">
        <v>1067</v>
      </c>
      <c r="K83" t="s">
        <v>54</v>
      </c>
      <c r="L83">
        <v>0.6</v>
      </c>
      <c r="M83">
        <v>640.20000000000005</v>
      </c>
      <c r="N83" t="s">
        <v>8</v>
      </c>
      <c r="O83" t="s">
        <v>1073</v>
      </c>
      <c r="P83">
        <v>77.459999999999994</v>
      </c>
    </row>
    <row r="84" spans="1:16" x14ac:dyDescent="0.15">
      <c r="A84">
        <v>360</v>
      </c>
      <c r="B84" s="12" t="s">
        <v>849</v>
      </c>
      <c r="C84" t="s">
        <v>272</v>
      </c>
      <c r="D84" t="s">
        <v>886</v>
      </c>
      <c r="E84" s="12">
        <v>111001079</v>
      </c>
      <c r="F84" t="s">
        <v>728</v>
      </c>
      <c r="G84" t="s">
        <v>123</v>
      </c>
      <c r="H84" t="s">
        <v>124</v>
      </c>
      <c r="I84" s="7">
        <v>42912</v>
      </c>
      <c r="J84">
        <v>3201</v>
      </c>
      <c r="K84" t="s">
        <v>54</v>
      </c>
      <c r="L84">
        <v>0.6</v>
      </c>
      <c r="M84">
        <v>1920.6</v>
      </c>
      <c r="N84" t="s">
        <v>8</v>
      </c>
      <c r="O84" t="s">
        <v>1073</v>
      </c>
      <c r="P84">
        <v>232.39</v>
      </c>
    </row>
    <row r="85" spans="1:16" x14ac:dyDescent="0.15">
      <c r="A85">
        <v>360</v>
      </c>
      <c r="B85" s="12" t="s">
        <v>747</v>
      </c>
      <c r="C85" t="s">
        <v>272</v>
      </c>
      <c r="D85" t="s">
        <v>888</v>
      </c>
      <c r="E85" s="12">
        <v>111001092</v>
      </c>
      <c r="F85" t="s">
        <v>728</v>
      </c>
      <c r="G85" t="s">
        <v>123</v>
      </c>
      <c r="H85" t="s">
        <v>124</v>
      </c>
      <c r="I85" s="7">
        <v>42915</v>
      </c>
      <c r="J85">
        <v>8000</v>
      </c>
      <c r="K85" t="s">
        <v>54</v>
      </c>
      <c r="L85">
        <v>0.6</v>
      </c>
      <c r="M85">
        <v>4800</v>
      </c>
      <c r="N85" t="s">
        <v>8</v>
      </c>
      <c r="O85" t="s">
        <v>1073</v>
      </c>
      <c r="P85">
        <v>580.79999999999995</v>
      </c>
    </row>
    <row r="86" spans="1:16" x14ac:dyDescent="0.15">
      <c r="A86">
        <v>360</v>
      </c>
      <c r="B86" s="12" t="s">
        <v>747</v>
      </c>
      <c r="C86" t="s">
        <v>272</v>
      </c>
      <c r="D86" t="s">
        <v>890</v>
      </c>
      <c r="E86" s="12">
        <v>111001110</v>
      </c>
      <c r="F86" t="s">
        <v>728</v>
      </c>
      <c r="G86" t="s">
        <v>123</v>
      </c>
      <c r="H86" t="s">
        <v>124</v>
      </c>
      <c r="I86" s="7">
        <v>42924</v>
      </c>
      <c r="J86">
        <v>9700</v>
      </c>
      <c r="K86" t="s">
        <v>54</v>
      </c>
      <c r="L86">
        <v>0.62</v>
      </c>
      <c r="M86">
        <v>6014</v>
      </c>
      <c r="N86" t="s">
        <v>8</v>
      </c>
      <c r="O86" t="s">
        <v>1073</v>
      </c>
      <c r="P86">
        <v>727.69</v>
      </c>
    </row>
    <row r="87" spans="1:16" x14ac:dyDescent="0.15">
      <c r="A87">
        <v>360</v>
      </c>
      <c r="B87" s="12" t="s">
        <v>747</v>
      </c>
      <c r="C87" t="s">
        <v>272</v>
      </c>
      <c r="D87" t="s">
        <v>892</v>
      </c>
      <c r="E87" s="12">
        <v>111001112</v>
      </c>
      <c r="F87" t="s">
        <v>728</v>
      </c>
      <c r="G87" t="s">
        <v>123</v>
      </c>
      <c r="H87" t="s">
        <v>124</v>
      </c>
      <c r="I87" s="7">
        <v>42927</v>
      </c>
      <c r="J87">
        <v>3880</v>
      </c>
      <c r="K87" t="s">
        <v>54</v>
      </c>
      <c r="L87">
        <v>0.62</v>
      </c>
      <c r="M87">
        <v>2405.6</v>
      </c>
      <c r="N87" t="s">
        <v>8</v>
      </c>
      <c r="O87" t="s">
        <v>1073</v>
      </c>
      <c r="P87">
        <v>291.08</v>
      </c>
    </row>
    <row r="88" spans="1:16" x14ac:dyDescent="0.15">
      <c r="A88">
        <v>360</v>
      </c>
      <c r="B88" s="12" t="s">
        <v>747</v>
      </c>
      <c r="C88" t="s">
        <v>272</v>
      </c>
      <c r="D88" t="s">
        <v>894</v>
      </c>
      <c r="E88" s="12">
        <v>111001192</v>
      </c>
      <c r="F88" t="s">
        <v>728</v>
      </c>
      <c r="G88" t="s">
        <v>123</v>
      </c>
      <c r="H88" t="s">
        <v>124</v>
      </c>
      <c r="I88" s="7">
        <v>42928</v>
      </c>
      <c r="J88">
        <v>15000</v>
      </c>
      <c r="K88" t="s">
        <v>54</v>
      </c>
      <c r="L88">
        <v>0.62</v>
      </c>
      <c r="M88">
        <v>9300</v>
      </c>
      <c r="N88" t="s">
        <v>8</v>
      </c>
      <c r="O88" t="s">
        <v>1073</v>
      </c>
      <c r="P88">
        <v>1125.3</v>
      </c>
    </row>
    <row r="89" spans="1:16" x14ac:dyDescent="0.15">
      <c r="A89">
        <v>360</v>
      </c>
      <c r="B89" s="12" t="s">
        <v>752</v>
      </c>
      <c r="C89" t="s">
        <v>272</v>
      </c>
      <c r="D89" t="s">
        <v>896</v>
      </c>
      <c r="E89" s="12">
        <v>111001190</v>
      </c>
      <c r="F89" t="s">
        <v>728</v>
      </c>
      <c r="G89" t="s">
        <v>123</v>
      </c>
      <c r="H89" t="s">
        <v>124</v>
      </c>
      <c r="I89" s="7">
        <v>42942</v>
      </c>
      <c r="J89">
        <v>9603</v>
      </c>
      <c r="K89" t="s">
        <v>54</v>
      </c>
      <c r="L89">
        <v>0.62</v>
      </c>
      <c r="M89">
        <v>5953.86</v>
      </c>
      <c r="N89" t="s">
        <v>8</v>
      </c>
      <c r="O89" t="s">
        <v>1073</v>
      </c>
      <c r="P89">
        <v>720.42</v>
      </c>
    </row>
    <row r="90" spans="1:16" x14ac:dyDescent="0.15">
      <c r="A90">
        <v>360</v>
      </c>
      <c r="B90" s="12" t="s">
        <v>747</v>
      </c>
      <c r="C90" t="s">
        <v>272</v>
      </c>
      <c r="D90" t="s">
        <v>898</v>
      </c>
      <c r="E90" s="12">
        <v>111001216</v>
      </c>
      <c r="F90" t="s">
        <v>728</v>
      </c>
      <c r="G90" t="s">
        <v>123</v>
      </c>
      <c r="H90" t="s">
        <v>124</v>
      </c>
      <c r="I90" s="7">
        <v>42948</v>
      </c>
      <c r="J90">
        <v>5820</v>
      </c>
      <c r="K90" t="s">
        <v>54</v>
      </c>
      <c r="L90">
        <v>0.62</v>
      </c>
      <c r="M90">
        <v>3608.4</v>
      </c>
      <c r="N90" t="s">
        <v>8</v>
      </c>
      <c r="O90" t="s">
        <v>1073</v>
      </c>
      <c r="P90">
        <v>0</v>
      </c>
    </row>
    <row r="91" spans="1:16" x14ac:dyDescent="0.15">
      <c r="A91">
        <v>360</v>
      </c>
      <c r="B91" s="12">
        <v>3600000008</v>
      </c>
      <c r="C91" t="s">
        <v>726</v>
      </c>
      <c r="D91" t="s">
        <v>741</v>
      </c>
      <c r="E91" s="12">
        <v>111005016</v>
      </c>
      <c r="F91" t="s">
        <v>728</v>
      </c>
      <c r="G91" t="s">
        <v>123</v>
      </c>
      <c r="H91" t="s">
        <v>124</v>
      </c>
      <c r="I91" s="7">
        <v>42950</v>
      </c>
      <c r="J91">
        <v>5820</v>
      </c>
      <c r="K91" t="s">
        <v>54</v>
      </c>
      <c r="L91">
        <v>0.62</v>
      </c>
      <c r="M91">
        <v>3608.4</v>
      </c>
      <c r="N91" t="s">
        <v>8</v>
      </c>
      <c r="O91" t="s">
        <v>1074</v>
      </c>
      <c r="P91">
        <v>-3009.41</v>
      </c>
    </row>
    <row r="92" spans="1:16" x14ac:dyDescent="0.15">
      <c r="A92">
        <v>360</v>
      </c>
      <c r="B92" s="12" t="s">
        <v>747</v>
      </c>
      <c r="C92" t="s">
        <v>272</v>
      </c>
      <c r="D92" t="s">
        <v>899</v>
      </c>
      <c r="E92" s="12">
        <v>111001230</v>
      </c>
      <c r="F92" t="s">
        <v>728</v>
      </c>
      <c r="G92" t="s">
        <v>123</v>
      </c>
      <c r="H92" t="s">
        <v>124</v>
      </c>
      <c r="I92" s="7">
        <v>42954</v>
      </c>
      <c r="J92">
        <v>3880</v>
      </c>
      <c r="K92" t="s">
        <v>54</v>
      </c>
      <c r="L92">
        <v>0.62</v>
      </c>
      <c r="M92">
        <v>2405.6</v>
      </c>
      <c r="N92" t="s">
        <v>8</v>
      </c>
      <c r="O92" t="s">
        <v>1073</v>
      </c>
      <c r="P92">
        <v>0</v>
      </c>
    </row>
    <row r="93" spans="1:16" x14ac:dyDescent="0.15">
      <c r="A93">
        <v>360</v>
      </c>
      <c r="B93" s="12">
        <v>3600000008</v>
      </c>
      <c r="C93" t="s">
        <v>726</v>
      </c>
      <c r="D93" t="s">
        <v>727</v>
      </c>
      <c r="E93" s="12">
        <v>111005029</v>
      </c>
      <c r="F93" t="s">
        <v>728</v>
      </c>
      <c r="G93" t="s">
        <v>123</v>
      </c>
      <c r="H93" t="s">
        <v>124</v>
      </c>
      <c r="I93" s="7">
        <v>42954</v>
      </c>
      <c r="J93">
        <v>3880</v>
      </c>
      <c r="K93" t="s">
        <v>54</v>
      </c>
      <c r="L93">
        <v>0.62</v>
      </c>
      <c r="M93">
        <v>2405.6</v>
      </c>
      <c r="N93" t="s">
        <v>8</v>
      </c>
      <c r="O93" t="s">
        <v>1074</v>
      </c>
      <c r="P93">
        <v>-2006.27</v>
      </c>
    </row>
    <row r="94" spans="1:16" x14ac:dyDescent="0.15">
      <c r="A94">
        <v>360</v>
      </c>
      <c r="B94" s="12">
        <v>3600000008</v>
      </c>
      <c r="C94" t="s">
        <v>726</v>
      </c>
      <c r="D94" t="s">
        <v>742</v>
      </c>
      <c r="E94" s="12">
        <v>111005026</v>
      </c>
      <c r="F94" t="s">
        <v>728</v>
      </c>
      <c r="G94" t="s">
        <v>123</v>
      </c>
      <c r="H94" t="s">
        <v>124</v>
      </c>
      <c r="I94" s="7">
        <v>42954</v>
      </c>
      <c r="J94">
        <v>3880</v>
      </c>
      <c r="K94" t="s">
        <v>54</v>
      </c>
      <c r="L94">
        <v>0.62</v>
      </c>
      <c r="M94">
        <v>2405.6</v>
      </c>
      <c r="N94" t="s">
        <v>8</v>
      </c>
      <c r="O94" t="s">
        <v>1074</v>
      </c>
      <c r="P94">
        <v>-2006.27</v>
      </c>
    </row>
    <row r="95" spans="1:16" x14ac:dyDescent="0.15">
      <c r="A95">
        <v>360</v>
      </c>
      <c r="B95" s="12">
        <v>3600000008</v>
      </c>
      <c r="C95" t="s">
        <v>726</v>
      </c>
      <c r="D95" t="s">
        <v>743</v>
      </c>
      <c r="E95" s="12">
        <v>2222000348</v>
      </c>
      <c r="F95" t="s">
        <v>728</v>
      </c>
      <c r="G95" t="s">
        <v>123</v>
      </c>
      <c r="H95" t="s">
        <v>124</v>
      </c>
      <c r="I95" s="7">
        <v>42956</v>
      </c>
      <c r="J95">
        <v>-3880</v>
      </c>
      <c r="K95" t="s">
        <v>54</v>
      </c>
      <c r="L95">
        <v>0.62</v>
      </c>
      <c r="M95">
        <v>-2405.6</v>
      </c>
      <c r="N95" t="s">
        <v>8</v>
      </c>
      <c r="O95" t="s">
        <v>1074</v>
      </c>
      <c r="P95">
        <v>2006.27</v>
      </c>
    </row>
    <row r="96" spans="1:16" x14ac:dyDescent="0.15">
      <c r="A96">
        <v>360</v>
      </c>
      <c r="B96" s="12">
        <v>3600000008</v>
      </c>
      <c r="C96" t="s">
        <v>726</v>
      </c>
      <c r="D96" t="s">
        <v>744</v>
      </c>
      <c r="E96" s="12">
        <v>2222000350</v>
      </c>
      <c r="F96" t="s">
        <v>728</v>
      </c>
      <c r="G96" t="s">
        <v>123</v>
      </c>
      <c r="H96" t="s">
        <v>124</v>
      </c>
      <c r="I96" s="7">
        <v>42956</v>
      </c>
      <c r="J96">
        <v>-5820</v>
      </c>
      <c r="K96" t="s">
        <v>54</v>
      </c>
      <c r="L96">
        <v>0.62</v>
      </c>
      <c r="M96">
        <v>-3608.4</v>
      </c>
      <c r="N96" t="s">
        <v>8</v>
      </c>
      <c r="O96" t="s">
        <v>1074</v>
      </c>
      <c r="P96">
        <v>3009.41</v>
      </c>
    </row>
    <row r="97" spans="1:16" x14ac:dyDescent="0.15">
      <c r="A97">
        <v>360</v>
      </c>
      <c r="B97" s="12">
        <v>3600000008</v>
      </c>
      <c r="C97" t="s">
        <v>726</v>
      </c>
      <c r="D97" t="s">
        <v>745</v>
      </c>
      <c r="E97" s="12">
        <v>111005035</v>
      </c>
      <c r="F97" t="s">
        <v>728</v>
      </c>
      <c r="G97" t="s">
        <v>123</v>
      </c>
      <c r="H97" t="s">
        <v>124</v>
      </c>
      <c r="I97" s="7">
        <v>42956</v>
      </c>
      <c r="J97">
        <v>3880</v>
      </c>
      <c r="K97" t="s">
        <v>54</v>
      </c>
      <c r="L97">
        <v>0.62</v>
      </c>
      <c r="M97">
        <v>2405.6</v>
      </c>
      <c r="N97" t="s">
        <v>8</v>
      </c>
      <c r="O97" t="s">
        <v>1074</v>
      </c>
      <c r="P97">
        <v>-4818.42</v>
      </c>
    </row>
    <row r="98" spans="1:16" x14ac:dyDescent="0.15">
      <c r="A98">
        <v>360</v>
      </c>
      <c r="B98" s="12">
        <v>3600000008</v>
      </c>
      <c r="C98" t="s">
        <v>726</v>
      </c>
      <c r="D98" t="s">
        <v>729</v>
      </c>
      <c r="E98" s="12">
        <v>2222000349</v>
      </c>
      <c r="F98" t="s">
        <v>728</v>
      </c>
      <c r="G98" t="s">
        <v>123</v>
      </c>
      <c r="H98" t="s">
        <v>124</v>
      </c>
      <c r="I98" s="7">
        <v>42956</v>
      </c>
      <c r="J98">
        <v>-3880</v>
      </c>
      <c r="K98" t="s">
        <v>54</v>
      </c>
      <c r="L98">
        <v>0.62</v>
      </c>
      <c r="M98">
        <v>-2405.6</v>
      </c>
      <c r="N98" t="s">
        <v>8</v>
      </c>
      <c r="O98" t="s">
        <v>1074</v>
      </c>
      <c r="P98">
        <v>2006.27</v>
      </c>
    </row>
    <row r="99" spans="1:16" x14ac:dyDescent="0.15">
      <c r="A99">
        <v>360</v>
      </c>
      <c r="B99" s="12">
        <v>3600000008</v>
      </c>
      <c r="C99" t="s">
        <v>726</v>
      </c>
      <c r="D99" t="s">
        <v>746</v>
      </c>
      <c r="E99" s="12">
        <v>111005034</v>
      </c>
      <c r="F99" t="s">
        <v>728</v>
      </c>
      <c r="G99" t="s">
        <v>123</v>
      </c>
      <c r="H99" t="s">
        <v>124</v>
      </c>
      <c r="I99" s="7">
        <v>42956</v>
      </c>
      <c r="J99">
        <v>5820</v>
      </c>
      <c r="K99" t="s">
        <v>54</v>
      </c>
      <c r="L99">
        <v>0.62</v>
      </c>
      <c r="M99">
        <v>3608.4</v>
      </c>
      <c r="N99" t="s">
        <v>8</v>
      </c>
      <c r="O99" t="s">
        <v>1074</v>
      </c>
      <c r="P99">
        <v>-7227.63</v>
      </c>
    </row>
    <row r="100" spans="1:16" x14ac:dyDescent="0.15">
      <c r="A100">
        <v>360</v>
      </c>
      <c r="B100" s="12">
        <v>3600000008</v>
      </c>
      <c r="C100" t="s">
        <v>726</v>
      </c>
      <c r="D100" t="s">
        <v>730</v>
      </c>
      <c r="E100" s="12">
        <v>111005033</v>
      </c>
      <c r="F100" t="s">
        <v>728</v>
      </c>
      <c r="G100" t="s">
        <v>123</v>
      </c>
      <c r="H100" t="s">
        <v>124</v>
      </c>
      <c r="I100" s="7">
        <v>42956</v>
      </c>
      <c r="J100">
        <v>3880</v>
      </c>
      <c r="K100" t="s">
        <v>54</v>
      </c>
      <c r="L100">
        <v>0.62</v>
      </c>
      <c r="M100">
        <v>2405.6</v>
      </c>
      <c r="N100" t="s">
        <v>8</v>
      </c>
      <c r="O100" t="s">
        <v>1074</v>
      </c>
      <c r="P100">
        <v>-4818.42</v>
      </c>
    </row>
    <row r="101" spans="1:16" x14ac:dyDescent="0.15">
      <c r="A101">
        <v>360</v>
      </c>
      <c r="B101" s="12" t="s">
        <v>747</v>
      </c>
      <c r="C101" t="s">
        <v>272</v>
      </c>
      <c r="D101" t="s">
        <v>900</v>
      </c>
      <c r="E101" s="12">
        <v>111001253</v>
      </c>
      <c r="F101" t="s">
        <v>728</v>
      </c>
      <c r="G101" t="s">
        <v>123</v>
      </c>
      <c r="H101" t="s">
        <v>124</v>
      </c>
      <c r="I101" s="7">
        <v>42971</v>
      </c>
      <c r="J101">
        <v>3880</v>
      </c>
      <c r="K101" t="s">
        <v>54</v>
      </c>
      <c r="L101">
        <v>0.62</v>
      </c>
      <c r="M101">
        <v>2405.6</v>
      </c>
      <c r="N101" t="s">
        <v>8</v>
      </c>
      <c r="O101" t="s">
        <v>1073</v>
      </c>
      <c r="P101">
        <v>0</v>
      </c>
    </row>
    <row r="102" spans="1:16" x14ac:dyDescent="0.15">
      <c r="A102">
        <v>360</v>
      </c>
      <c r="B102" s="12">
        <v>3600000008</v>
      </c>
      <c r="C102" t="s">
        <v>726</v>
      </c>
      <c r="D102" t="s">
        <v>731</v>
      </c>
      <c r="E102" s="12">
        <v>111005055</v>
      </c>
      <c r="F102" t="s">
        <v>728</v>
      </c>
      <c r="G102" t="s">
        <v>123</v>
      </c>
      <c r="H102" t="s">
        <v>124</v>
      </c>
      <c r="I102" s="7">
        <v>42971</v>
      </c>
      <c r="J102">
        <v>7760</v>
      </c>
      <c r="K102" t="s">
        <v>54</v>
      </c>
      <c r="L102">
        <v>0.62</v>
      </c>
      <c r="M102">
        <v>4811.2</v>
      </c>
      <c r="N102" t="s">
        <v>8</v>
      </c>
      <c r="O102" t="s">
        <v>1074</v>
      </c>
      <c r="P102">
        <v>-9636.83</v>
      </c>
    </row>
    <row r="103" spans="1:16" x14ac:dyDescent="0.15">
      <c r="A103">
        <v>360</v>
      </c>
      <c r="B103" s="12" t="s">
        <v>747</v>
      </c>
      <c r="C103" t="s">
        <v>272</v>
      </c>
      <c r="D103" t="s">
        <v>913</v>
      </c>
      <c r="E103" s="12">
        <v>111000778</v>
      </c>
      <c r="F103" t="s">
        <v>728</v>
      </c>
      <c r="G103" t="s">
        <v>211</v>
      </c>
      <c r="H103" t="s">
        <v>124</v>
      </c>
      <c r="I103" s="7">
        <v>42744</v>
      </c>
      <c r="J103">
        <v>93600</v>
      </c>
      <c r="K103" t="s">
        <v>54</v>
      </c>
      <c r="L103">
        <v>0.57999999999999996</v>
      </c>
      <c r="M103">
        <v>54288</v>
      </c>
      <c r="N103" t="s">
        <v>8</v>
      </c>
      <c r="O103" t="s">
        <v>1073</v>
      </c>
      <c r="P103">
        <v>23778.14</v>
      </c>
    </row>
    <row r="104" spans="1:16" x14ac:dyDescent="0.15">
      <c r="A104">
        <v>360</v>
      </c>
      <c r="B104" s="12" t="s">
        <v>747</v>
      </c>
      <c r="C104" t="s">
        <v>272</v>
      </c>
      <c r="D104" t="s">
        <v>915</v>
      </c>
      <c r="E104" s="12">
        <v>111000788</v>
      </c>
      <c r="F104" t="s">
        <v>728</v>
      </c>
      <c r="G104" t="s">
        <v>211</v>
      </c>
      <c r="H104" t="s">
        <v>124</v>
      </c>
      <c r="I104" s="7">
        <v>42745</v>
      </c>
      <c r="J104">
        <v>25350</v>
      </c>
      <c r="K104" t="s">
        <v>54</v>
      </c>
      <c r="L104">
        <v>0.57999999999999996</v>
      </c>
      <c r="M104">
        <v>14703</v>
      </c>
      <c r="N104" t="s">
        <v>8</v>
      </c>
      <c r="O104" t="s">
        <v>1073</v>
      </c>
      <c r="P104">
        <v>6439.91</v>
      </c>
    </row>
    <row r="105" spans="1:16" x14ac:dyDescent="0.15">
      <c r="A105">
        <v>360</v>
      </c>
      <c r="B105" s="12" t="s">
        <v>747</v>
      </c>
      <c r="C105" t="s">
        <v>272</v>
      </c>
      <c r="D105" t="s">
        <v>917</v>
      </c>
      <c r="E105" s="12">
        <v>111000816</v>
      </c>
      <c r="F105" t="s">
        <v>728</v>
      </c>
      <c r="G105" t="s">
        <v>211</v>
      </c>
      <c r="H105" t="s">
        <v>124</v>
      </c>
      <c r="I105" s="7">
        <v>42788</v>
      </c>
      <c r="J105">
        <v>26617.5</v>
      </c>
      <c r="K105" t="s">
        <v>54</v>
      </c>
      <c r="L105">
        <v>0.6</v>
      </c>
      <c r="M105">
        <v>15970.5</v>
      </c>
      <c r="N105" t="s">
        <v>8</v>
      </c>
      <c r="O105" t="s">
        <v>1073</v>
      </c>
      <c r="P105">
        <v>6995.08</v>
      </c>
    </row>
    <row r="106" spans="1:16" x14ac:dyDescent="0.15">
      <c r="A106">
        <v>360</v>
      </c>
      <c r="B106" s="12" t="s">
        <v>747</v>
      </c>
      <c r="C106" t="s">
        <v>272</v>
      </c>
      <c r="D106" t="s">
        <v>874</v>
      </c>
      <c r="E106" s="12">
        <v>111000833</v>
      </c>
      <c r="F106" t="s">
        <v>728</v>
      </c>
      <c r="G106" t="s">
        <v>211</v>
      </c>
      <c r="H106" t="s">
        <v>124</v>
      </c>
      <c r="I106" s="7">
        <v>42802</v>
      </c>
      <c r="J106">
        <v>3900</v>
      </c>
      <c r="K106" t="s">
        <v>54</v>
      </c>
      <c r="L106">
        <v>0.6</v>
      </c>
      <c r="M106">
        <v>2340</v>
      </c>
      <c r="N106" t="s">
        <v>8</v>
      </c>
      <c r="O106" t="s">
        <v>1073</v>
      </c>
      <c r="P106">
        <v>283.14</v>
      </c>
    </row>
    <row r="107" spans="1:16" x14ac:dyDescent="0.15">
      <c r="A107">
        <v>360</v>
      </c>
      <c r="B107" s="12" t="s">
        <v>752</v>
      </c>
      <c r="C107" t="s">
        <v>272</v>
      </c>
      <c r="D107" t="s">
        <v>919</v>
      </c>
      <c r="E107" s="12">
        <v>111000837</v>
      </c>
      <c r="F107" t="s">
        <v>728</v>
      </c>
      <c r="G107" t="s">
        <v>211</v>
      </c>
      <c r="H107" t="s">
        <v>124</v>
      </c>
      <c r="I107" s="7">
        <v>42808</v>
      </c>
      <c r="J107">
        <v>25740</v>
      </c>
      <c r="K107" t="s">
        <v>54</v>
      </c>
      <c r="L107">
        <v>0.6</v>
      </c>
      <c r="M107">
        <v>15444</v>
      </c>
      <c r="N107" t="s">
        <v>8</v>
      </c>
      <c r="O107" t="s">
        <v>1073</v>
      </c>
      <c r="P107">
        <v>1868.72</v>
      </c>
    </row>
    <row r="108" spans="1:16" x14ac:dyDescent="0.15">
      <c r="A108">
        <v>360</v>
      </c>
      <c r="B108" s="12" t="s">
        <v>747</v>
      </c>
      <c r="C108" t="s">
        <v>272</v>
      </c>
      <c r="D108" t="s">
        <v>782</v>
      </c>
      <c r="E108" s="12">
        <v>111000871</v>
      </c>
      <c r="F108" t="s">
        <v>728</v>
      </c>
      <c r="G108" t="s">
        <v>211</v>
      </c>
      <c r="H108" t="s">
        <v>124</v>
      </c>
      <c r="I108" s="7">
        <v>42815</v>
      </c>
      <c r="J108">
        <v>9750</v>
      </c>
      <c r="K108" t="s">
        <v>54</v>
      </c>
      <c r="L108">
        <v>0.6</v>
      </c>
      <c r="M108">
        <v>5850</v>
      </c>
      <c r="N108" t="s">
        <v>8</v>
      </c>
      <c r="O108" t="s">
        <v>1073</v>
      </c>
      <c r="P108">
        <v>707.85</v>
      </c>
    </row>
    <row r="109" spans="1:16" x14ac:dyDescent="0.15">
      <c r="A109">
        <v>360</v>
      </c>
      <c r="B109" s="12" t="s">
        <v>747</v>
      </c>
      <c r="C109" t="s">
        <v>272</v>
      </c>
      <c r="D109" t="s">
        <v>921</v>
      </c>
      <c r="E109" s="12">
        <v>111000877</v>
      </c>
      <c r="F109" t="s">
        <v>728</v>
      </c>
      <c r="G109" t="s">
        <v>211</v>
      </c>
      <c r="H109" t="s">
        <v>124</v>
      </c>
      <c r="I109" s="7">
        <v>42828</v>
      </c>
      <c r="J109">
        <v>26325</v>
      </c>
      <c r="K109" t="s">
        <v>54</v>
      </c>
      <c r="L109">
        <v>0.6</v>
      </c>
      <c r="M109">
        <v>15795</v>
      </c>
      <c r="N109" t="s">
        <v>8</v>
      </c>
      <c r="O109" t="s">
        <v>1073</v>
      </c>
      <c r="P109">
        <v>1911.2</v>
      </c>
    </row>
    <row r="110" spans="1:16" x14ac:dyDescent="0.15">
      <c r="A110">
        <v>360</v>
      </c>
      <c r="B110" s="12" t="s">
        <v>747</v>
      </c>
      <c r="C110" t="s">
        <v>272</v>
      </c>
      <c r="D110" t="s">
        <v>876</v>
      </c>
      <c r="E110" s="12">
        <v>111000875</v>
      </c>
      <c r="F110" t="s">
        <v>728</v>
      </c>
      <c r="G110" t="s">
        <v>211</v>
      </c>
      <c r="H110" t="s">
        <v>124</v>
      </c>
      <c r="I110" s="7">
        <v>42829</v>
      </c>
      <c r="J110">
        <v>3900</v>
      </c>
      <c r="K110" t="s">
        <v>54</v>
      </c>
      <c r="L110">
        <v>0.6</v>
      </c>
      <c r="M110">
        <v>2340</v>
      </c>
      <c r="N110" t="s">
        <v>8</v>
      </c>
      <c r="O110" t="s">
        <v>1073</v>
      </c>
      <c r="P110">
        <v>283.14</v>
      </c>
    </row>
    <row r="111" spans="1:16" x14ac:dyDescent="0.15">
      <c r="A111">
        <v>360</v>
      </c>
      <c r="B111" s="12" t="s">
        <v>747</v>
      </c>
      <c r="C111" t="s">
        <v>272</v>
      </c>
      <c r="D111" t="s">
        <v>750</v>
      </c>
      <c r="E111" s="12">
        <v>111000873</v>
      </c>
      <c r="F111" t="s">
        <v>728</v>
      </c>
      <c r="G111" t="s">
        <v>211</v>
      </c>
      <c r="H111" t="s">
        <v>124</v>
      </c>
      <c r="I111" s="7">
        <v>42829</v>
      </c>
      <c r="J111">
        <v>1950</v>
      </c>
      <c r="K111" t="s">
        <v>54</v>
      </c>
      <c r="L111">
        <v>0.6</v>
      </c>
      <c r="M111">
        <v>1170</v>
      </c>
      <c r="N111" t="s">
        <v>8</v>
      </c>
      <c r="O111" t="s">
        <v>1073</v>
      </c>
      <c r="P111">
        <v>141.57</v>
      </c>
    </row>
    <row r="112" spans="1:16" x14ac:dyDescent="0.15">
      <c r="A112">
        <v>360</v>
      </c>
      <c r="B112" s="12" t="s">
        <v>849</v>
      </c>
      <c r="C112" t="s">
        <v>272</v>
      </c>
      <c r="D112" t="s">
        <v>858</v>
      </c>
      <c r="E112" s="12">
        <v>111000903</v>
      </c>
      <c r="F112" t="s">
        <v>728</v>
      </c>
      <c r="G112" t="s">
        <v>211</v>
      </c>
      <c r="H112" t="s">
        <v>124</v>
      </c>
      <c r="I112" s="7">
        <v>42843</v>
      </c>
      <c r="J112">
        <v>6045</v>
      </c>
      <c r="K112" t="s">
        <v>54</v>
      </c>
      <c r="L112">
        <v>0.6</v>
      </c>
      <c r="M112">
        <v>3627</v>
      </c>
      <c r="N112" t="s">
        <v>8</v>
      </c>
      <c r="O112" t="s">
        <v>1073</v>
      </c>
      <c r="P112">
        <v>438.87</v>
      </c>
    </row>
    <row r="113" spans="1:16" x14ac:dyDescent="0.15">
      <c r="A113">
        <v>360</v>
      </c>
      <c r="B113" s="12" t="s">
        <v>747</v>
      </c>
      <c r="C113" t="s">
        <v>272</v>
      </c>
      <c r="D113" t="s">
        <v>802</v>
      </c>
      <c r="E113" s="12">
        <v>111000906</v>
      </c>
      <c r="F113" t="s">
        <v>728</v>
      </c>
      <c r="G113" t="s">
        <v>211</v>
      </c>
      <c r="H113" t="s">
        <v>124</v>
      </c>
      <c r="I113" s="7">
        <v>42845</v>
      </c>
      <c r="J113">
        <v>5850</v>
      </c>
      <c r="K113" t="s">
        <v>54</v>
      </c>
      <c r="L113">
        <v>0.6</v>
      </c>
      <c r="M113">
        <v>3510</v>
      </c>
      <c r="N113" t="s">
        <v>8</v>
      </c>
      <c r="O113" t="s">
        <v>1073</v>
      </c>
      <c r="P113">
        <v>424.71</v>
      </c>
    </row>
    <row r="114" spans="1:16" x14ac:dyDescent="0.15">
      <c r="A114">
        <v>360</v>
      </c>
      <c r="B114" s="12" t="s">
        <v>747</v>
      </c>
      <c r="C114" t="s">
        <v>272</v>
      </c>
      <c r="D114" t="s">
        <v>755</v>
      </c>
      <c r="E114" s="12">
        <v>111000912</v>
      </c>
      <c r="F114" t="s">
        <v>728</v>
      </c>
      <c r="G114" t="s">
        <v>211</v>
      </c>
      <c r="H114" t="s">
        <v>124</v>
      </c>
      <c r="I114" s="7">
        <v>42846</v>
      </c>
      <c r="J114">
        <v>3900</v>
      </c>
      <c r="K114" t="s">
        <v>54</v>
      </c>
      <c r="L114">
        <v>0.6</v>
      </c>
      <c r="M114">
        <v>2340</v>
      </c>
      <c r="N114" t="s">
        <v>8</v>
      </c>
      <c r="O114" t="s">
        <v>1073</v>
      </c>
      <c r="P114">
        <v>283.14</v>
      </c>
    </row>
    <row r="115" spans="1:16" x14ac:dyDescent="0.15">
      <c r="A115">
        <v>360</v>
      </c>
      <c r="B115" s="12" t="s">
        <v>747</v>
      </c>
      <c r="C115" t="s">
        <v>272</v>
      </c>
      <c r="D115" t="s">
        <v>784</v>
      </c>
      <c r="E115" s="12">
        <v>111000910</v>
      </c>
      <c r="F115" t="s">
        <v>728</v>
      </c>
      <c r="G115" t="s">
        <v>211</v>
      </c>
      <c r="H115" t="s">
        <v>124</v>
      </c>
      <c r="I115" s="7">
        <v>42846</v>
      </c>
      <c r="J115">
        <v>3900</v>
      </c>
      <c r="K115" t="s">
        <v>54</v>
      </c>
      <c r="L115">
        <v>0.6</v>
      </c>
      <c r="M115">
        <v>2340</v>
      </c>
      <c r="N115" t="s">
        <v>8</v>
      </c>
      <c r="O115" t="s">
        <v>1073</v>
      </c>
      <c r="P115">
        <v>283.14</v>
      </c>
    </row>
    <row r="116" spans="1:16" x14ac:dyDescent="0.15">
      <c r="A116">
        <v>360</v>
      </c>
      <c r="B116" s="12" t="s">
        <v>747</v>
      </c>
      <c r="C116" t="s">
        <v>272</v>
      </c>
      <c r="D116" t="s">
        <v>878</v>
      </c>
      <c r="E116" s="12">
        <v>111000940</v>
      </c>
      <c r="F116" t="s">
        <v>728</v>
      </c>
      <c r="G116" t="s">
        <v>211</v>
      </c>
      <c r="H116" t="s">
        <v>124</v>
      </c>
      <c r="I116" s="7">
        <v>42860</v>
      </c>
      <c r="J116">
        <v>3900</v>
      </c>
      <c r="K116" t="s">
        <v>54</v>
      </c>
      <c r="L116">
        <v>0.6</v>
      </c>
      <c r="M116">
        <v>2340</v>
      </c>
      <c r="N116" t="s">
        <v>8</v>
      </c>
      <c r="O116" t="s">
        <v>1073</v>
      </c>
      <c r="P116">
        <v>283.14</v>
      </c>
    </row>
    <row r="117" spans="1:16" x14ac:dyDescent="0.15">
      <c r="A117">
        <v>360</v>
      </c>
      <c r="B117" s="12" t="s">
        <v>747</v>
      </c>
      <c r="C117" t="s">
        <v>272</v>
      </c>
      <c r="D117" t="s">
        <v>812</v>
      </c>
      <c r="E117" s="12">
        <v>111000944</v>
      </c>
      <c r="F117" t="s">
        <v>728</v>
      </c>
      <c r="G117" t="s">
        <v>211</v>
      </c>
      <c r="H117" t="s">
        <v>124</v>
      </c>
      <c r="I117" s="7">
        <v>42863</v>
      </c>
      <c r="J117">
        <v>12285</v>
      </c>
      <c r="K117" t="s">
        <v>54</v>
      </c>
      <c r="L117">
        <v>0.6</v>
      </c>
      <c r="M117">
        <v>7371</v>
      </c>
      <c r="N117" t="s">
        <v>8</v>
      </c>
      <c r="O117" t="s">
        <v>1073</v>
      </c>
      <c r="P117">
        <v>891.89</v>
      </c>
    </row>
    <row r="118" spans="1:16" x14ac:dyDescent="0.15">
      <c r="A118">
        <v>360</v>
      </c>
      <c r="B118" s="12" t="s">
        <v>747</v>
      </c>
      <c r="C118" t="s">
        <v>272</v>
      </c>
      <c r="D118" t="s">
        <v>923</v>
      </c>
      <c r="E118" s="12">
        <v>111001012</v>
      </c>
      <c r="F118" t="s">
        <v>728</v>
      </c>
      <c r="G118" t="s">
        <v>211</v>
      </c>
      <c r="H118" t="s">
        <v>124</v>
      </c>
      <c r="I118" s="7">
        <v>42884</v>
      </c>
      <c r="J118">
        <v>25350</v>
      </c>
      <c r="K118" t="s">
        <v>54</v>
      </c>
      <c r="L118">
        <v>0.6</v>
      </c>
      <c r="M118">
        <v>15210</v>
      </c>
      <c r="N118" t="s">
        <v>8</v>
      </c>
      <c r="O118" t="s">
        <v>1073</v>
      </c>
      <c r="P118">
        <v>1840.41</v>
      </c>
    </row>
    <row r="119" spans="1:16" x14ac:dyDescent="0.15">
      <c r="A119">
        <v>360</v>
      </c>
      <c r="B119" s="12" t="s">
        <v>747</v>
      </c>
      <c r="C119" t="s">
        <v>272</v>
      </c>
      <c r="D119" t="s">
        <v>816</v>
      </c>
      <c r="E119" s="12">
        <v>111001010</v>
      </c>
      <c r="F119" t="s">
        <v>728</v>
      </c>
      <c r="G119" t="s">
        <v>211</v>
      </c>
      <c r="H119" t="s">
        <v>124</v>
      </c>
      <c r="I119" s="7">
        <v>42884</v>
      </c>
      <c r="J119">
        <v>9750</v>
      </c>
      <c r="K119" t="s">
        <v>54</v>
      </c>
      <c r="L119">
        <v>0.6</v>
      </c>
      <c r="M119">
        <v>5850</v>
      </c>
      <c r="N119" t="s">
        <v>8</v>
      </c>
      <c r="O119" t="s">
        <v>1073</v>
      </c>
      <c r="P119">
        <v>707.85</v>
      </c>
    </row>
    <row r="120" spans="1:16" x14ac:dyDescent="0.15">
      <c r="A120">
        <v>360</v>
      </c>
      <c r="B120" s="12" t="s">
        <v>747</v>
      </c>
      <c r="C120" t="s">
        <v>272</v>
      </c>
      <c r="D120" t="s">
        <v>818</v>
      </c>
      <c r="E120" s="12">
        <v>111001028</v>
      </c>
      <c r="F120" t="s">
        <v>728</v>
      </c>
      <c r="G120" t="s">
        <v>211</v>
      </c>
      <c r="H120" t="s">
        <v>124</v>
      </c>
      <c r="I120" s="7">
        <v>42891</v>
      </c>
      <c r="J120">
        <v>11700</v>
      </c>
      <c r="K120" t="s">
        <v>54</v>
      </c>
      <c r="L120">
        <v>0.6</v>
      </c>
      <c r="M120">
        <v>7020</v>
      </c>
      <c r="N120" t="s">
        <v>8</v>
      </c>
      <c r="O120" t="s">
        <v>1073</v>
      </c>
      <c r="P120">
        <v>849.42</v>
      </c>
    </row>
    <row r="121" spans="1:16" x14ac:dyDescent="0.15">
      <c r="A121">
        <v>360</v>
      </c>
      <c r="B121" s="12" t="s">
        <v>747</v>
      </c>
      <c r="C121" t="s">
        <v>272</v>
      </c>
      <c r="D121" t="s">
        <v>854</v>
      </c>
      <c r="E121" s="12">
        <v>111001037</v>
      </c>
      <c r="F121" t="s">
        <v>728</v>
      </c>
      <c r="G121" t="s">
        <v>211</v>
      </c>
      <c r="H121" t="s">
        <v>124</v>
      </c>
      <c r="I121" s="7">
        <v>42891</v>
      </c>
      <c r="J121">
        <v>24570</v>
      </c>
      <c r="K121" t="s">
        <v>54</v>
      </c>
      <c r="L121">
        <v>0.6</v>
      </c>
      <c r="M121">
        <v>14742</v>
      </c>
      <c r="N121" t="s">
        <v>8</v>
      </c>
      <c r="O121" t="s">
        <v>1073</v>
      </c>
      <c r="P121">
        <v>1783.78</v>
      </c>
    </row>
    <row r="122" spans="1:16" x14ac:dyDescent="0.15">
      <c r="A122">
        <v>360</v>
      </c>
      <c r="B122" s="12" t="s">
        <v>747</v>
      </c>
      <c r="C122" t="s">
        <v>272</v>
      </c>
      <c r="D122" t="s">
        <v>786</v>
      </c>
      <c r="E122" s="12">
        <v>111001059</v>
      </c>
      <c r="F122" t="s">
        <v>728</v>
      </c>
      <c r="G122" t="s">
        <v>211</v>
      </c>
      <c r="H122" t="s">
        <v>124</v>
      </c>
      <c r="I122" s="7">
        <v>42905</v>
      </c>
      <c r="J122">
        <v>7800</v>
      </c>
      <c r="K122" t="s">
        <v>54</v>
      </c>
      <c r="L122">
        <v>0.6</v>
      </c>
      <c r="M122">
        <v>4680</v>
      </c>
      <c r="N122" t="s">
        <v>8</v>
      </c>
      <c r="O122" t="s">
        <v>1073</v>
      </c>
      <c r="P122">
        <v>566.28</v>
      </c>
    </row>
    <row r="123" spans="1:16" x14ac:dyDescent="0.15">
      <c r="A123">
        <v>360</v>
      </c>
      <c r="B123" s="12" t="s">
        <v>747</v>
      </c>
      <c r="C123" t="s">
        <v>272</v>
      </c>
      <c r="D123" t="s">
        <v>925</v>
      </c>
      <c r="E123" s="12">
        <v>111001095</v>
      </c>
      <c r="F123" t="s">
        <v>728</v>
      </c>
      <c r="G123" t="s">
        <v>211</v>
      </c>
      <c r="H123" t="s">
        <v>124</v>
      </c>
      <c r="I123" s="7">
        <v>42916</v>
      </c>
      <c r="J123">
        <v>9750</v>
      </c>
      <c r="K123" t="s">
        <v>54</v>
      </c>
      <c r="L123">
        <v>0.6</v>
      </c>
      <c r="M123">
        <v>5850</v>
      </c>
      <c r="N123" t="s">
        <v>8</v>
      </c>
      <c r="O123" t="s">
        <v>1073</v>
      </c>
      <c r="P123">
        <v>707.85</v>
      </c>
    </row>
    <row r="124" spans="1:16" x14ac:dyDescent="0.15">
      <c r="A124">
        <v>360</v>
      </c>
      <c r="B124" s="12" t="s">
        <v>747</v>
      </c>
      <c r="C124" t="s">
        <v>272</v>
      </c>
      <c r="D124" t="s">
        <v>927</v>
      </c>
      <c r="E124" s="12">
        <v>111001133</v>
      </c>
      <c r="F124" t="s">
        <v>728</v>
      </c>
      <c r="G124" t="s">
        <v>211</v>
      </c>
      <c r="H124" t="s">
        <v>124</v>
      </c>
      <c r="I124" s="7">
        <v>42917</v>
      </c>
      <c r="J124">
        <v>25350</v>
      </c>
      <c r="K124" t="s">
        <v>54</v>
      </c>
      <c r="L124">
        <v>0.62</v>
      </c>
      <c r="M124">
        <v>15717</v>
      </c>
      <c r="N124" t="s">
        <v>8</v>
      </c>
      <c r="O124" t="s">
        <v>1073</v>
      </c>
      <c r="P124">
        <v>1901.76</v>
      </c>
    </row>
    <row r="125" spans="1:16" x14ac:dyDescent="0.15">
      <c r="A125">
        <v>360</v>
      </c>
      <c r="B125" s="12" t="s">
        <v>747</v>
      </c>
      <c r="C125" t="s">
        <v>272</v>
      </c>
      <c r="D125" t="s">
        <v>892</v>
      </c>
      <c r="E125" s="12">
        <v>111001112</v>
      </c>
      <c r="F125" t="s">
        <v>728</v>
      </c>
      <c r="G125" t="s">
        <v>211</v>
      </c>
      <c r="H125" t="s">
        <v>124</v>
      </c>
      <c r="I125" s="7">
        <v>42927</v>
      </c>
      <c r="J125">
        <v>9750</v>
      </c>
      <c r="K125" t="s">
        <v>54</v>
      </c>
      <c r="L125">
        <v>0.62</v>
      </c>
      <c r="M125">
        <v>6045</v>
      </c>
      <c r="N125" t="s">
        <v>8</v>
      </c>
      <c r="O125" t="s">
        <v>1073</v>
      </c>
      <c r="P125">
        <v>731.45</v>
      </c>
    </row>
    <row r="126" spans="1:16" x14ac:dyDescent="0.15">
      <c r="A126">
        <v>360</v>
      </c>
      <c r="B126" s="12" t="s">
        <v>752</v>
      </c>
      <c r="C126" t="s">
        <v>272</v>
      </c>
      <c r="D126" t="s">
        <v>929</v>
      </c>
      <c r="E126" s="12">
        <v>111001189</v>
      </c>
      <c r="F126" t="s">
        <v>728</v>
      </c>
      <c r="G126" t="s">
        <v>211</v>
      </c>
      <c r="H126" t="s">
        <v>124</v>
      </c>
      <c r="I126" s="7">
        <v>42942</v>
      </c>
      <c r="J126">
        <v>11700</v>
      </c>
      <c r="K126" t="s">
        <v>54</v>
      </c>
      <c r="L126">
        <v>0.62</v>
      </c>
      <c r="M126">
        <v>7254</v>
      </c>
      <c r="N126" t="s">
        <v>8</v>
      </c>
      <c r="O126" t="s">
        <v>1073</v>
      </c>
      <c r="P126">
        <v>877.73</v>
      </c>
    </row>
    <row r="127" spans="1:16" x14ac:dyDescent="0.15">
      <c r="A127">
        <v>360</v>
      </c>
      <c r="B127" s="12" t="s">
        <v>747</v>
      </c>
      <c r="C127" t="s">
        <v>272</v>
      </c>
      <c r="D127" t="s">
        <v>898</v>
      </c>
      <c r="E127" s="12">
        <v>111001216</v>
      </c>
      <c r="F127" t="s">
        <v>728</v>
      </c>
      <c r="G127" t="s">
        <v>211</v>
      </c>
      <c r="H127" t="s">
        <v>124</v>
      </c>
      <c r="I127" s="7">
        <v>42948</v>
      </c>
      <c r="J127">
        <v>3900</v>
      </c>
      <c r="K127" t="s">
        <v>54</v>
      </c>
      <c r="L127">
        <v>0.62</v>
      </c>
      <c r="M127">
        <v>2418</v>
      </c>
      <c r="N127" t="s">
        <v>8</v>
      </c>
      <c r="O127" t="s">
        <v>1073</v>
      </c>
      <c r="P127">
        <v>0</v>
      </c>
    </row>
    <row r="128" spans="1:16" x14ac:dyDescent="0.15">
      <c r="A128">
        <v>360</v>
      </c>
      <c r="B128" s="12">
        <v>3600000008</v>
      </c>
      <c r="C128" t="s">
        <v>726</v>
      </c>
      <c r="D128" t="s">
        <v>741</v>
      </c>
      <c r="E128" s="12">
        <v>111005016</v>
      </c>
      <c r="F128" t="s">
        <v>728</v>
      </c>
      <c r="G128" t="s">
        <v>211</v>
      </c>
      <c r="H128" t="s">
        <v>124</v>
      </c>
      <c r="I128" s="7">
        <v>42950</v>
      </c>
      <c r="J128">
        <v>3900</v>
      </c>
      <c r="K128" t="s">
        <v>54</v>
      </c>
      <c r="L128">
        <v>0.62</v>
      </c>
      <c r="M128">
        <v>2418</v>
      </c>
      <c r="N128" t="s">
        <v>8</v>
      </c>
      <c r="O128" t="s">
        <v>1074</v>
      </c>
      <c r="P128">
        <v>-2016.61</v>
      </c>
    </row>
    <row r="129" spans="1:16" x14ac:dyDescent="0.15">
      <c r="A129">
        <v>360</v>
      </c>
      <c r="B129" s="12" t="s">
        <v>747</v>
      </c>
      <c r="C129" t="s">
        <v>272</v>
      </c>
      <c r="D129" t="s">
        <v>899</v>
      </c>
      <c r="E129" s="12">
        <v>111001230</v>
      </c>
      <c r="F129" t="s">
        <v>728</v>
      </c>
      <c r="G129" t="s">
        <v>211</v>
      </c>
      <c r="H129" t="s">
        <v>124</v>
      </c>
      <c r="I129" s="7">
        <v>42954</v>
      </c>
      <c r="J129">
        <v>13650</v>
      </c>
      <c r="K129" t="s">
        <v>54</v>
      </c>
      <c r="L129">
        <v>0.62</v>
      </c>
      <c r="M129">
        <v>8463</v>
      </c>
      <c r="N129" t="s">
        <v>8</v>
      </c>
      <c r="O129" t="s">
        <v>1073</v>
      </c>
      <c r="P129">
        <v>0</v>
      </c>
    </row>
    <row r="130" spans="1:16" x14ac:dyDescent="0.15">
      <c r="A130">
        <v>360</v>
      </c>
      <c r="B130" s="12">
        <v>3600000008</v>
      </c>
      <c r="C130" t="s">
        <v>726</v>
      </c>
      <c r="D130" t="s">
        <v>742</v>
      </c>
      <c r="E130" s="12">
        <v>111005026</v>
      </c>
      <c r="F130" t="s">
        <v>728</v>
      </c>
      <c r="G130" t="s">
        <v>211</v>
      </c>
      <c r="H130" t="s">
        <v>124</v>
      </c>
      <c r="I130" s="7">
        <v>42954</v>
      </c>
      <c r="J130">
        <v>13650</v>
      </c>
      <c r="K130" t="s">
        <v>54</v>
      </c>
      <c r="L130">
        <v>0.62</v>
      </c>
      <c r="M130">
        <v>8463</v>
      </c>
      <c r="N130" t="s">
        <v>8</v>
      </c>
      <c r="O130" t="s">
        <v>1074</v>
      </c>
      <c r="P130">
        <v>-7058.14</v>
      </c>
    </row>
    <row r="131" spans="1:16" x14ac:dyDescent="0.15">
      <c r="A131">
        <v>360</v>
      </c>
      <c r="B131" s="12">
        <v>3600000008</v>
      </c>
      <c r="C131" t="s">
        <v>726</v>
      </c>
      <c r="D131" t="s">
        <v>743</v>
      </c>
      <c r="E131" s="12">
        <v>2222000348</v>
      </c>
      <c r="F131" t="s">
        <v>728</v>
      </c>
      <c r="G131" t="s">
        <v>211</v>
      </c>
      <c r="H131" t="s">
        <v>124</v>
      </c>
      <c r="I131" s="7">
        <v>42956</v>
      </c>
      <c r="J131">
        <v>-13650</v>
      </c>
      <c r="K131" t="s">
        <v>54</v>
      </c>
      <c r="L131">
        <v>0.62</v>
      </c>
      <c r="M131">
        <v>-8463</v>
      </c>
      <c r="N131" t="s">
        <v>8</v>
      </c>
      <c r="O131" t="s">
        <v>1074</v>
      </c>
      <c r="P131">
        <v>7058.14</v>
      </c>
    </row>
    <row r="132" spans="1:16" x14ac:dyDescent="0.15">
      <c r="A132">
        <v>360</v>
      </c>
      <c r="B132" s="12">
        <v>3600000008</v>
      </c>
      <c r="C132" t="s">
        <v>726</v>
      </c>
      <c r="D132" t="s">
        <v>744</v>
      </c>
      <c r="E132" s="12">
        <v>2222000350</v>
      </c>
      <c r="F132" t="s">
        <v>728</v>
      </c>
      <c r="G132" t="s">
        <v>211</v>
      </c>
      <c r="H132" t="s">
        <v>124</v>
      </c>
      <c r="I132" s="7">
        <v>42956</v>
      </c>
      <c r="J132">
        <v>-3900</v>
      </c>
      <c r="K132" t="s">
        <v>54</v>
      </c>
      <c r="L132">
        <v>0.62</v>
      </c>
      <c r="M132">
        <v>-2418</v>
      </c>
      <c r="N132" t="s">
        <v>8</v>
      </c>
      <c r="O132" t="s">
        <v>1074</v>
      </c>
      <c r="P132">
        <v>2016.61</v>
      </c>
    </row>
    <row r="133" spans="1:16" x14ac:dyDescent="0.15">
      <c r="A133">
        <v>360</v>
      </c>
      <c r="B133" s="12">
        <v>3600000008</v>
      </c>
      <c r="C133" t="s">
        <v>726</v>
      </c>
      <c r="D133" t="s">
        <v>745</v>
      </c>
      <c r="E133" s="12">
        <v>111005035</v>
      </c>
      <c r="F133" t="s">
        <v>728</v>
      </c>
      <c r="G133" t="s">
        <v>211</v>
      </c>
      <c r="H133" t="s">
        <v>124</v>
      </c>
      <c r="I133" s="7">
        <v>42956</v>
      </c>
      <c r="J133">
        <v>13650</v>
      </c>
      <c r="K133" t="s">
        <v>54</v>
      </c>
      <c r="L133">
        <v>0.62</v>
      </c>
      <c r="M133">
        <v>8463</v>
      </c>
      <c r="N133" t="s">
        <v>8</v>
      </c>
      <c r="O133" t="s">
        <v>1074</v>
      </c>
      <c r="P133">
        <v>-16951.39</v>
      </c>
    </row>
    <row r="134" spans="1:16" x14ac:dyDescent="0.15">
      <c r="A134">
        <v>360</v>
      </c>
      <c r="B134" s="12">
        <v>3600000008</v>
      </c>
      <c r="C134" t="s">
        <v>726</v>
      </c>
      <c r="D134" t="s">
        <v>746</v>
      </c>
      <c r="E134" s="12">
        <v>111005034</v>
      </c>
      <c r="F134" t="s">
        <v>728</v>
      </c>
      <c r="G134" t="s">
        <v>211</v>
      </c>
      <c r="H134" t="s">
        <v>124</v>
      </c>
      <c r="I134" s="7">
        <v>42956</v>
      </c>
      <c r="J134">
        <v>3900</v>
      </c>
      <c r="K134" t="s">
        <v>54</v>
      </c>
      <c r="L134">
        <v>0.62</v>
      </c>
      <c r="M134">
        <v>2418</v>
      </c>
      <c r="N134" t="s">
        <v>8</v>
      </c>
      <c r="O134" t="s">
        <v>1074</v>
      </c>
      <c r="P134">
        <v>-4843.25</v>
      </c>
    </row>
    <row r="135" spans="1:16" x14ac:dyDescent="0.15">
      <c r="A135" t="s">
        <v>18</v>
      </c>
      <c r="J135">
        <f>SUBTOTAL(109,ReSaleList[Quantity])</f>
        <v>916228.5</v>
      </c>
      <c r="M135">
        <f>SUBTOTAL(109,ReSaleList[Amount])</f>
        <v>911989.6399999999</v>
      </c>
      <c r="P135">
        <f>SUBTOTAL(109,ReSaleList[TPP Amount])</f>
        <v>28355.509999999995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87aec492-f85c-4f54-81ab-3a51fb493ae5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BAAAAAQ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M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QVmVuZEludm9pY2VUcmFucwYeAAAAFFZlbmRvciBpbnZvaWNlIGxpbmVzCQgAAAAJCAAAAAkIAAAABeD///8wR2xvYmVTb2Z0d2FyZS5BdGxhczQwLkF0bGFzQ29tbW9uLkRhdGFTb3VyY2VUeXBlAQAAAAd2YWx1ZV9fAAgCAAAAAAAAAAkhAAAACSIAAAAE3f///wtTeXN0ZW0uR3VpZAsAAAACX2ECX2ICX2MCX2QCX2UCX2YCX2cCX2gCX2kCX2oCX2sAAAAAAAAAAAAAAAgHBwICAgICAgIC3N/242k3VkKGuCrJouBHGgkIAAAACQgAAAAJJQAAAAYmAAAAFlRhYmxlLlZlbmRJbnZvaWNl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PFRhYmxlLlZlbmRJbnZvaWNlVHJhbnMuVmVuZEludm9pY2VKb3VyflRhYmxlLlZlbmRJbnZvaWNlSm91cgkxAAAAAc7////U////BjMAAABZVGFibGUuVmVuZEludm9pY2VUcmFucy5WZW5kSW52b2ljZUpvdXJ+VGFibGUuVmVuZEludm9pY2VKb3VyLk9yZGVyQWNjb3VudH5UYWJsZS5WZW5kVGFibGUJNAAAAAHL////1P///wY2AAAAL1RhYmxlLlZlbmRJbnZvaWNlVHJhbnMuSXRlbUlkflRhYmxlLkludmVudFRhYmxlCTcAAAAHFAAAAAABAAAAEAAAAAQtR2xvYmVTb2Z0d2FyZS5BdGxhczQwLkF0bGFzQ29tbW9uLlR5cGUuQ29sdW1uAgAAAAk4AAAACTkAAAAJOgAAAAk7AAAACTwAAAAJPQAAAAk+AAAACT8AAAAJQAAAAAlBAAAACUIAAAAJQwAAAAlEAAAACUUAAAAJRgAAAAlHAAAAERUAAAAEAAAABkgAAAANQXRsYXNSZXBvcnRfMg0DBxcAAAAAAQAAAAQ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t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tf///7f///8GTAAAABVUYWJsZS5WZW5kSW52b2ljZUpvdXIJMAAAAAGy////t////wZPAAAAMlRhYmxlLlZlbmRJbnZvaWNlSm91ci5PcmRlckFjY291bnR+VGFibGUuVmVuZFRhYmxlCTMAAAABr////7f///8GUgAAABFUYWJsZS5JbnZlbnRUYWJs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s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av///8+R2xvYmVTb2Z0d2FyZS5BdGxhczQwLkF0bGFzQ29tbW9uLlR5cGUuQXRsYXNRdWVyeUF0dHJpYnV0ZU5hbWUBAAAAB3ZhbHVlX18ACAIAAAACAAAABlYAAAAkODdhZWM0OTItZjg1Yy00ZjU0LTgxYWItM2E1MWZiNDkzYWU1Aan///+s////Aaj///+r////AAAAAAZZAAAABHRydWUBpv///6z///8Bpf///6v///8LAAAABlwAAAAUVmVuZG9yIGludm9pY2UgbGluZXMBo////6z///8Bov///6v///8bAAAABl8AAAAEVHJ1ZQGg////rP///wGf////q////wYAAAAGYgAAAAVGYWxzZQGd////rP///wGc////q////xwAAAAJXwAAAAGa////rP///wGZ////q////x0AAAAJYgAAAAGX////rP///wGW////q////yoAAAAJXwAAAAGU////rP///wGT////q////wEAAAAGbgAAAAEqAZH///+s////AZD///+r////JwAAAAZxAAAACz1EYXRhQXJlYUlkAY7///+s////AY3///+r////GQAAAAZ0AAAAD0NlbGxzVmVydGljYWxseQGL////rP///wGK////q////wkAAAAKAYn///+s////AYj///+r////KAAAAAZ5AAAAAjE2AYb///+s////AYX///+r////KwAAAAZ8AAAAEVRhYmxlU3R5bGVNZWRpdW0yBxwAAAAAAQAAAAQ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D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n4AAAAQVmVuZEludm9pY2VUcmFucwEAAAABgf///4P///8GgAAAAA9WZW5kSW52b2ljZUpvdXIBAAAAAX////+D////BoIAAAAJVmVuZFRhYmxlAQAAAAF9////g////waEAAAAC0ludmVudFRhYmx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wAAAAmFAAAAEQAAAAmG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EgAAAAMAAAAJiAAAAAElAAAABAAAAAIAAAAJhQAAAAMAAAAJig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LAAAAAAAAAAcqAAAAAAEAAAAAAAAABC1HbG9iZVNvZnR3YXJlLkF0bGFzNDAuQXRsYXNDb21tb24uVHlwZS5Db2x1bW4CAAAAATEAAAAOAAAA/////waMAAAAD1ZlbmRJbnZvaWNlSm91cgaNAAAAFlZlbmRvciBpbnZvaWNlIGpvdXJuYWwJCAAAAAkIAAAACQgAAAABcf///+D///8AAAAACZAAAAAJkQAAAAFu////3f///yMLGnlfO3BKsCnkfK8d8zAJCAAAAAkIAAAACZQAAAAJMAAAAAaWAAAAEFZlbmRJbnZvaWNlVHJhbnMGlwAAABZUYWJsZS5WZW5kSW52b2ljZVRyYW5zBpgAAAAmVGFibGUuVmVuZEludm9pY2VUcmFucy5WZW5kSW52b2ljZUpvdXIGmQAAAA9WZW5kSW52b2ljZUpvdXIKAQAAAAFm////2f///wAAAAABZf///9j///8AAAAAAAmcAAAAATQAAAAOAAAA/////wadAAAACVZlbmRUYWJsZQaeAAAAB1ZlbmRvcnMJCAAAAAkIAAAACQgAAAABYP///+D///8AAAAACaEAAAAJogAAAAFd////3f///zmUTGpf/yJMrmCxn1WX9QsJCAAAAAkIAAAACaUAAAAJMwAAAAanAAAAD1ZlbmRJbnZvaWNlSm91cgaoAAAAPFRhYmxlLlZlbmRJbnZvaWNlVHJhbnMuVmVuZEludm9pY2VKb3VyflRhYmxlLlZlbmRJbnZvaWNlSm91cgapAAAASVRhYmxlLlZlbmRJbnZvaWNlVHJhbnMuVmVuZEludm9pY2VKb3VyflRhYmxlLlZlbmRJbnZvaWNlSm91ci5PcmRlckFjY291bnQGqgAAAAxPcmRlckFjY291bnQGqwAAAApBY2NvdW50TnVtAQAAAAFU////2f///wAAAAABU////9j///8AAAAAAAmuAAAAATcAAAAOAAAA/////wavAAAAC0ludmVudFRhYmxlBrAAAAAFSXRlbXMJCAAAAAkIAAAACQgAAAABTv///+D///8AAAAACbMAAAAJtAAAAAFL////3f///2/J7d7nMBxGthvhk2PkKyoJCAAAAAkIAAAACbcAAAAJNgAAAAa5AAAAEFZlbmRJbnZvaWNlVHJhbnMGugAAABZUYWJsZS5WZW5kSW52b2ljZVRyYW5zBrsAAAAdVGFibGUuVmVuZEludm9pY2VUcmFucy5JdGVtSWQGvAAAAAZJdGVtSWQGvQAAAAZJdGVtSWQBAAAAAUL////Z////AAAAAAFB////2P///wAAAAAACcAAAAAFO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wQAAAAnCAAAACcMAAAAGxAAAAApEYXRhQXJlYUlkBsUAAAAQQ29tcGFueSBhY2NvdW50cwbGAAAABlN0cmluZwkIAAAABsgAAAAkYjk4NjQ1MTQtNzZkZS00MWM1LWExYjAtODYyNzBjZmIxZTI0BTf///8tR2xvYmVTb2Z0d2FyZS5BdGxhczQwLkF0bGFzQ29tbW9uLkFnZ3JlZ2F0aW9uAQAAAAd2YWx1ZV9fAAgCAAAA/////wAAAAAFNv///yxHbG9iZVNvZnR3YXJlLkF0bGFzNDAuQXRsYXNDb21tb24uQ29sdW1uVHlwZQEAAAAHdmFsdWVfXwAIAgAAAAAAAAAFNf///ytHbG9iZVNvZnR3YXJlLkF0bGFzNDAuQXRsYXNDb21tb24uU29ydE9yZGVyAQAAAAd2YWx1ZV9fAAgCAAAAAgAAAAAAAAAABTT///9AR2xvYmVTb2Z0d2FyZS5BdGxhczQwLkF0bGFzQ29tbW9uLlR5cGUuQ29sdW1uK0Nyb3NzVGFiQ29sdW1uVHlwZQEAAAAHdmFsdWVfXwAIAgAAAAAAAAAKAQAAAAAAAAAAAAAAAAAGzQAAACQ0NTM2OGI3YS1jY2Q1LTQwZmEtYmVjYi00NDVjMWE0Y2ViNzEGzgAAACFUYWJsZS5WZW5kSW52b2ljZVRyYW5zLkRhdGFBcmVhSWQKCgoKATkAAAA4AAAACc8AAAAJ0AAAAAnRAAAABtIAAAAMT3JkZXJBY2NvdW50BtMAAAAOVmVuZG9yIGFjY291bnQG1AAAAAZTdHJpbmcJCAAAAAbWAAAAJDhmNGZjM2FjLTc5NjgtNDczMS1hZmE0LTIxYjdkMzMxYzc2YQEp////N/////////8BAAAAASj///82////AAAAAAEn////Nf///wIAAAAAAAAAAAEm////NP///wAAAAAKAQAAAAAAAAAAAQAAAAAG2wAAACQ3MzdlMDdjOC04MGQ3LTQ3MGQtYmZkYi1hZDlkZDg0OGViNGMG3AAAAElUYWJsZS5WZW5kSW52b2ljZVRyYW5zLlZlbmRJbnZvaWNlSm91cn5UYWJsZS5WZW5kSW52b2ljZUpvdXIuT3JkZXJBY2NvdW50CgoKCgE6AAAAOAAAAAndAAAACd4AAAAJ3wAAAAbgAAAABE5hbWUG4QAAAAROYW1lBuIAAAAGU3RyaW5nCQgAAAAG5AAAACQ1MGE4YmJkZi0xZDI1LTQ4YmEtOWY3Zi0zNWEzMmM2ODBjMDUBG////zf/////////AgAAAAEa////Nv///wAAAAABGf///zX///8CAAAAAAAAAAABGP///zT///8AAAAACgEAAAAAAAAAAAIAAAAABukAAAAkNGUwODY4YTEtYjdiOS00OTcxLTk3MTctNzkzY2ZhMTU1MWVlBuoAAABeVGFibGUuVmVuZEludm9pY2VUcmFucy5WZW5kSW52b2ljZUpvdXJ+VGFibGUuVmVuZEludm9pY2VKb3VyLk9yZGVyQWNjb3VudH5UYWJsZS5WZW5kVGFibGUuTmFtZQoKCgoBOwAAADgAAAAJ6wAAAAnsAAAACe0AAAAG7gAAAAdQdXJjaElEBu8AAAAOUHVyY2hhc2Ugb3JkZXIG8AAAAAZTdHJpbmcJCAAAAAbyAAAAJDA2YWYzOGJlLWNkYWUtNDI0OS1hYTI2LTc5NzQwYWMyNTVkNQEN////N/////////8DAAAAAQz///82////AAAAAAEL////Nf///wIAAAAAAAAAAAEK////NP///wAAAAAKAQAAAAAAAAAAAwAAAAAG9wAAACRhNWVkMjlkOS1hYzJlLTRhYjQtOTJmNi0xNWZjNmJhNDk2ZjYG+AAAAB5UYWJsZS5WZW5kSW52b2ljZVRyYW5zLlB1cmNoSUQKCgoKATwAAAA4AAAACfkAAAAJ+gAAAAn7AAAABvwAAAAJSW52b2ljZUlkBv0AAAAHSW52b2ljZQb+AAAABlN0cmluZwkIAAAABgABAAAkN2Y1NzI2YTgtMTg2Mi00YzkzLTliM2YtNDcxM2E4NzNhOTRhAf/+//83/////////wQAAAAB/v7//zb///8AAAAAAf3+//81////AgAAAAAAAAAAAfz+//80////AAAAAAoBAAAAAAAAAAAEAAAAAAYFAQAAJDk0NzRmYmZmLTc2YTYtNDMyNy04MzU0LWI1YzQwOTdhZTYyMQYGAQAAIFRhYmxlLlZlbmRJbnZvaWNlVHJhbnMuSW52b2ljZUlkCgoKCgE9AAAAOAAAAAkHAQAACQgBAAAJCQEAAAYKAQAADkludmVudExvY2F0aW9uBgsBAAAJV2FyZWhvdXNlBgwBAAAGU3RyaW5nCQgAAAAGDgEAACQ1NjI1NDNmOS1kOWMyLTQ0YTktYTAwYy1lNWQzYzQzMjg5MjgB8f7//zf/////////BQAAAAHw/v//Nv///wAAAAAB7/7//zX///8CAAAAAAAAAAAB7v7//zT///8AAAAACgEAAAAAAAAAAAUAAAAABhMBAAAkNDQ3ZWFlY2QtNjAzNi00NGJmLTg0OTAtZGM2N2MzNWRhZGFhBhQBAABoVGFibGUuVmVuZEludm9pY2VUcmFucy5WZW5kSW52b2ljZUpvdXJ+VGFibGUuVmVuZEludm9pY2VKb3VyLk9yZGVyQWNjb3VudH5UYWJsZS5WZW5kVGFibGUuSW52ZW50TG9jYXRpb24KCgoKAT4AAAA4AAAACRUBAAAJFgEAAAkXAQAABhgBAAAGSXRlbUlkBhkBAAAESXRlbQYaAQAABlN0cmluZwkIAAAABhwBAAAkMzkxMmZiNTItYmRkYi00NjMxLThjOGEtODMwMjA5NTY4NzMwAeP+//83/////////wYAAAAB4v7//zb///8AAAAAAeH+//81////AgAAAAAAAAAAAeD+//80////AAAAAAoBAAAAAAAAAAAGAAAAAAYhAQAAJGI4NjU5NTIxLTYxNWItNDA4OS04NjVkLWI4YTNjMmE5Mzg4YQYiAQAAHVRhYmxlLlZlbmRJbnZvaWNlVHJhbnMuSXRlbUlkCgoKCgE/AAAAOAAAAAkjAQAACSQBAAAJJQEAAAYmAQAACEl0ZW1OYW1lBicBAAAJSXRlbSBuYW1lBigBAAAGU3RyaW5nCQgAAAAGKgEAACRmYzFhODNmNC1kMTA0LTQ1N2QtOTVlMi02MmU2NWY4ZTg4NDgB1f7//zf/////////BwAAAAHU/v//Nv///wAAAAAB0/7//zX///8CAAAAAAAAAAAB0v7//zT///8AAAAACgEAAAAAAAAAAAcAAAAABi8BAAAkYmMyOWUxODItODhiOC00MTA0LWE5NDktYzAyMjBmNTBlNGY0BjABAAA4VGFibGUuVmVuZEludm9pY2VUcmFucy5JdGVtSWR+VGFibGUuSW52ZW50VGFibGUuSXRlbU5hbWUKCgoKAUAAAAA4AAAACTEBAAAJMgEAAAkzAQAABjQBAAALSW52b2ljZURhdGUGNQEAAAREYXRlBjYBAAAERGF0ZQkIAAAABjgBAAAkYjYzNjQwYzAtMjYwMS00YjYxLWEyMmUtNzI3OGM1Mzk3YjEzAcf+//83/////////wgAAAABxv7//zb///8AAAAAAcX+//81////AgAAAAAAAAAAAcT+//80////AAAAAAoBAAAAAAAAAAAIAAAAAAY9AQAAJGFjNGQ3OTNlLWUwZDUtNDVhOC05MjE4LTU5MmEyOTg0ZmJiZgY+AQAAIlRhYmxlLlZlbmRJbnZvaWNlVHJhbnMuSW52b2ljZURhdGUKCgoKAUEAAAA4AAAACT8BAAAJQAEAAAlBAQAABkIBAAADUXR5BkMBAAAIUXVhbnRpdHkGRAEAAARSZWFsCQgAAAAGRgEAACQ5OGFkMzY3NS00ZDVlLTRjYWMtYjQyZi0xMGU3MWMzODgxMjIBuf7//zf///8BAAAACQAAAAG4/v//Nv///wAAAAABt/7//zX///8CAAAAAAAAAAABtv7//zT///8AAAAACgEAAAAAAAAAAAkAAAAABksBAAAkYWIwZTUzOTQtMTVhOS00NGI2LWEzMjgtN2RhY2ZlMTEwMzg2BkwBAAAaVGFibGUuVmVuZEludm9pY2VUcmFucy5RdHkKCgoKAUIAAAA4AAAACU0BAAAJTgEAAAlPAQAABlABAAAJUHVyY2hVbml0BlEBAAAEVW5pdAZSAQAABlN0cmluZwkIAAAABlQBAAAkOTFjZjMzZjUtY2EzZS00YWU2LTljOGYtY2IxNDczN2FlMmNlAav+//83/////////woAAAABqv7//zb///8AAAAAAan+//81////AgAAAAAAAAAAAaj+//80////AAAAAAoBAAAAAAAAAAAKAAAAAAZZAQAAJDEzOGUyYWU5LWQ5MDQtNDg0Yy1iNTM2LWIwMDA2NmIxZTQ4MQZaAQAAIFRhYmxlLlZlbmRJbnZvaWNlVHJhbnMuUHVyY2hVbml0CgoKCgFDAAAAOAAAAAlbAQAACVwBAAAJXQEAAAZeAQAAClB1cmNoUHJpY2UGXwEAAApVbml0IHByaWNlBmABAAAEUmVhbAkIAAAABmIBAAAkMzRmNmQyYjItNDIwOC00ZjU2LTkxOGYtNTVhY2Y4MDEyNmZkAZ3+//83////AQAAAAsAAAABnP7//zb///8AAAAAAZv+//81////AgAAAAAAAAAAAZr+//80////AAAAAAoBAAAAAAAAAAALAAAAAAZnAQAAJDFkZjUwOGYxLWIyMTctNDJkZC1hNDJiLWU2ZWY2YjBiMzRiYgZoAQAAIVRhYmxlLlZlbmRJbnZvaWNlVHJhbnMuUHVyY2hQcmljZQoKCgoBRAAAADgAAAAJaQEAAAlqAQAACWsBAAAGbAEAAApMaW5lQW1vdW50Bm0BAAAGQW1vdW50Bm4BAAAEUmVhbAkIAAAABnABAAAkMzMyM2I4ZWItYTFlYi00ZWIzLTkwN2ItNWQyMjg5MWFiZDNlAY/+//83////AQAAAAwAAAABjv7//zb///8AAAAAAY3+//81////AgAAAAAAAAAAAYz+//80////AAAAAAoBAAAAAAAAAAAMAAAAAAZ1AQAAJGE2MGUyOGRhLWVmMWItNDRjMi1hNWI4LTFjN2M3OGU0OGU3NQZ2AQAAIVRhYmxlLlZlbmRJbnZvaWNlVHJhbnMuTGluZUFtb3VudAoKCgoBRQAAADgAAAAJdwEAAAl4AQAACXkBAAAGegEAAAxDdXJyZW5jeUNvZGUGewEAAAhDdXJyZW5jeQZ8AQAABlN0cmluZwkIAAAABn4BAAAkNzhjYTRkYWQtNjc2Yy00NjJiLWIxN2MtYTE2MzNiOTVkMDRhAYH+//83/////////w0AAAABgP7//zb///8AAAAAAX/+//81////AgAAAAAAAAAAAX7+//80////AAAAAAoBAAAAAAAAAAANAAAAAAaDAQAAJDFmMjhhY2QzLWVmNWMtNDZlOC1iOTkwLWExZDI1Y2YzNmYzNAaEAQAAI1RhYmxlLlZlbmRJbnZvaWNlVHJhbnMuQ3VycmVuY3lDb2RlCgoKCgFGAAAAOAAAAAmFAQAACYYBAAAJhwEAAAaIAQAABVJlY0lkBokBAAAMUmVjSWQgY29sdW1uBooBAAAFSW50NjQJCAAAAAaMAQAAJDM5YjljOTJmLWVkMWEtNGRhMi1hZmE3LWVlOGU4ZTUyOGFlMAFz/v//N/////////8OAAAAAXL+//82////AAAAAAFx/v//Nf///wIAAAAAAAAAAAFw/v//NP///wAAAAAKAQAAAAAAAAAADgAAAAAGkQEAACQ5ODJkYWQ2YS1mNjIyLTQyZWMtYmJmYi1kMzRlN2NmYWE1ZTIGkgEAABxUYWJsZS5WZW5kSW52b2ljZVRyYW5zLlJlY0lkCgoKCgFHAAAAOAAAAAmTAQAACZQBAAAJlQEAAAaWAQAAN0F0bGFzTWFuYWdlZENvbHVtbl82ZTA4Y2Q4Ni0yNWIwLTQzZWMtYWZjNS0yYzQyOGY2NDMyZmEGlwEAAApUUFAgQW1vdW50CQgAAAAJCAAAAAaZAQAAJGZkOTZjMTVkLTkyNjQtNDZiNi04ZGJjLTJjYWIzYzU1YjI4ZAFm/v//N////wEAAAAPAAAAAWX+//82////AgAAAAFk/v//Nf///wIAAAAAAAAAAAFj/v//NP///wAAAAAKAQAAAAAAAAAADwAAAAAGngEAACQ5MjE5ZTliMS0zYWIwLTRiYWQtOTFhYi1iZmRhNDgzMmU3NjUJCAAAAAoKCgoBhQAAABIAAAAHhgA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YP7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oQEAACFUYWJsZS5WZW5kSW52b2ljZVRyYW5zLkRhdGFBcmVhSWQJogEAAAFd/v//YP7//wakAQAAHlRhYmxlLlZlbmRJbnZvaWNlVHJhbnMuUHVyY2hJRAmlAQAAAVr+//9g/v//BqcBAAAgVGFibGUuVmVuZEludm9pY2VUcmFucy5JbnZvaWNlSWQJqAEAAAFX/v//YP7//waqAQAAHVRhYmxlLlZlbmRJbnZvaWNlVHJhbnMuSXRlbUlkCasBAAABVP7//2D+//8GrQEAACJUYWJsZS5WZW5kSW52b2ljZVRyYW5zLkludm9pY2VEYXRlCa4BAAABUf7//2D+//8GsAEAABpUYWJsZS5WZW5kSW52b2ljZVRyYW5zLlF0eQmxAQAAAU7+//9g/v//BrMBAAAgVGFibGUuVmVuZEludm9pY2VUcmFucy5QdXJjaFVuaXQJtAEAAAFL/v//YP7//wa2AQAAIVRhYmxlLlZlbmRJbnZvaWNlVHJhbnMuUHVyY2hQcmljZQm3AQAAAUj+//9g/v//BrkBAAAhVGFibGUuVmVuZEludm9pY2VUcmFucy5MaW5lQW1vdW50CboBAAABRf7//2D+//8GvAEAACNUYWJsZS5WZW5kSW52b2ljZVRyYW5zLkN1cnJlbmN5Q29kZQm9AQAAAUL+//9g/v//Br8BAAAcVGFibGUuVmVuZEludm9pY2VUcmFucy5SZWNJZAnAAQAAB4g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/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sIBAAAiVGFibGUuVmVuZEludm9pY2VUcmFucy5JbnZvaWNlRGF0ZQnDAQAAATz+//8//v//BsUBAAAdVGFibGUuVmVuZEludm9pY2VUcmFucy5JdGVtSWQJxgEAAAeK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5/v//1P///wkwAAAACTEAAAABNv7//9T///8JNgAAAAk3AAAABIs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QAAAAIQAAAAEAAAAJzQEAAAMAAAAJzgEAAAGRAAAAIgAAAAEAAAAJEgAAAAMAAAAJ0AEAAAGUAAAABAAAAAEAAAAJzQEAAAMAAAAJ0gEAAAGcAAAAKQAAAAAAAAAJ0wEAAAAAAAABoQAAACEAAAACAAAACc0BAAADAAAACdUBAAABogAAACIAAAABAAAACRIAAAADAAAACdcBAAAEp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0BAAAAAAAAAa4AAAApAAAAAAAAAAnTAQAAAAAAAAGzAAAAIQAAAAEAAAAJzQEAAAMAAAAJ2wEAAAG0AAAAIgAAAAEAAAAJEgAAAAMAAAAJ3QEAAAS3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QEAAAAAAAABwAAAACkAAAAAAAAACdMBAAAAAAAABME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eABAAABAAAAAQAAAATC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YEAAAAJ4QEAAAcAAAAJ4gEAAATD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4AAAAJzQEAAAcAAAAJ5AEAAAHPAAAAwQAAAAnlAQAAAQAAAAEAAAAB0AAAAMIAAAB6AAAACeEBAAAHAAAACecBAAAE0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113AAAACc0BAAAHAAAACekBAAAB3QAAAMEAAAAJ6gEAAAEAAAABAAAAAd4AAADCAAAAegAAAAnhAQAABwAAAAnsAQAABN8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nNAQAABwAAAAnuAQAAAesAAADBAAAACe8BAAABAAAAAQAAAAHsAAAAwgAAAJEAAAAJ8AEAAAcAAAAJ8QEAAATt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8gEAAAcAAAAJ8wEAAAH5AAAAwQAAAAn0AQAAAQAAAAEAAAAB+gAAAMIAAACQAAAACfABAAAHAAAACfYBAAAE+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MAAAACfIBAAAHAAAACfgBAAABBwEAAMEAAAAJ+QEAAAEAAAABAAAAAQgBAADCAAAAcwAAAAnhAQAABwAAAAn7AQAABA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NAQAABwAAAAn9AQAAARUBAADBAAAACf4BAAABAAAAAQAAAAEWAQAAwgAAAJAAAAAJ8AEAAAcAAAAJAAIAAAQ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8gEAAAcAAAAJAgIAAAEjAQAAwQAAAAkDAgAAAQAAAAEAAAABJAEAAMIAAABzAAAACeEBAAAHAAAACQUCAAAEJ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c0BAAAHAAAACQcCAAABMQEAAMEAAAAJCAIAAAEAAAABAAAAATIBAADCAAAAcwAAAAnhAQAABwAAAAkKAgAABD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NAQAABwAAAAkMAgAAAT8BAADBAAAACQ0CAAABAAAAAQAAAAFAAQAAwgAAAJAAAAAJ8AEAAAcAAAAJDwIAAARB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8gEAAAcAAAAJEQIAAAFNAQAAwQAAAAkSAgAAAQAAAAEAAAABTgEAAMIAAABzAAAACeEBAAAHAAAACRQCAAAET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c0BAAAHAAAACRYCAAABWwEAAMEAAAAJFwIAAAEAAAABAAAAAVwBAADCAAAAcwAAAAnhAQAABwAAAAkZAgAABF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AAAAAnNAQAABwAAAAkbAgAAAWkBAADBAAAACRwCAAABAAAAAQAAAAFqAQAAwgAAAJAAAAAJ8AEAAAcAAAAJHgIAAARr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8gEAAAcAAAAJIAIAAAF3AQAAwQAAAAkhAgAAAQAAAAEAAAABeAEAAMIAAABsAAAACeEBAAAHAAAACSMCAAAEe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pAAAACc0BAAAHAAAACSUCAAABhQEAAMEAAAAJJgIAAAEAAAABAAAAAYYBAADCAAAAbAAAAAnhAQAABwAAAAkoAgAABI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nNAQAABwAAAAkqAgAAAZMBAADBAAAACSsCAAAAAAAAAAAAAAGUAQAAwgAAAHAAAAAJ4QEAAAcAAAAJLQIAAASV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zQEAAAcAAAAJLwIAAAWi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HQ/f//N/////////8ABjECAAAGU3RyaW5nBjICAAAQQ29tcGFueSBhY2NvdW50cwkzAgAAAcz9//81////AgAAAAXL/f//OUdsb2JlU29mdHdhcmUuQXRsYXM0MC5BdGxhc0NvbW1vbi5OdW1iZXJTZXF1ZW5jZUNvbmRpdGlvbgEAAAAHdmFsdWVfXwAIAgAAAAEAAAAAAAY2AgAAFlRhYmxlLlZlbmRJbnZvaWNlVHJhbnMJxAAAAAkIAAAACv////8JNgIAAAoJxAAAAAoKCgkIAAAACTwCAAAJCAAAAAGlAQAAogEAAAHC/f//N/////////8ABj8CAAAGU3RyaW5nBkACAAAOUHVyY2hhc2Ugb3JkZXIJQQIAAAG+/f//Nf///wIAAAABvf3//8v9//8BAAAAAAAGRAIAABZUYWJsZS5WZW5kSW52b2ljZVRyYW5zCe4AAAAJCAAAAAr/////CUQCAAAKCe4AAAAKCgoJCAAAAAlKAgAACQgAAAABqAEAAKIBAAABtP3//zf/////////AAZNAgAABlN0cmluZwZOAgAAB0ludm9pY2UJQQIAAAGw/f//Nf///wIAAAABr/3//8v9//8BAAAAAAAJRAIAAAn8AAAACQgAAAAK/////wlEAgAACgn8AAAACgoKCQgAAAAJWAIAAAkIAAAAAasBAACiAQAAAab9//83/////////wAGWwIAAAZTdHJpbmcGXAIAAARJdGVtCUECAAABov3//zX///8CAAAAAaH9///L/f//AQAAAAAACUQCAAAJGAEAAAkIAAAACv////8JRAIAAAoJGAEAAAoKCgkIAAAACWYCAAAJCAAAAAGuAQAAogEAAAGY/f//N/////////8ABmkCAAAERGF0ZQZqAgAABERhdGUJawIAAAGU/f//Nf///wIAAAABk/3//8v9//8BAAAAAAAGbgIAABZUYWJsZS5WZW5kSW52b2ljZVRyYW5zCTQBAAAJCAAAAAr/////CW4CAAAKCTQBAAAKCgoJCAAAAAl0AgAACQgAAAABsQEAAKIBAAABiv3//zf/////////AAZ3AgAABFJlYWwGeAIAAAhRdWFudGl0eQlBAgAAAYb9//81////AgAAAAGF/f//y/3//wEAAAAAAAlEAgAACUIBAAAJCAAAAAr/////CUQCAAAKCUIBAAAKCgoJCAAAAAmCAgAACQgAAAABtAEAAKIBAAABfP3//zf/////////AAaFAgAABlN0cmluZwaGAgAABFVuaXQJawIAAAF4/f//Nf///wIAAAABd/3//8v9//8BAAAAAAAJbgIAAAlQAQAACQgAAAAK/////wluAgAACglQAQAACgoKCQgAAAAJkAIAAAkIAAAAAbcBAACiAQAAAW79//83/////////wAGkwIAAARSZWFsBpQCAAAKVW5pdCBwcmljZQlrAgAAAWr9//81////AgAAAAFp/f//y/3//wEAAAAAAAluAgAACV4BAAAJCAAAAAr/////CW4CAAAKCV4BAAAKCgoJCAAAAAmeAgAACQgAAAABugEAAKIBAAABYP3//zf/////////AAahAgAABFJlYWwGogIAAAZBbW91bnQJQQIAAAFc/f//Nf///wIAAAABW/3//8v9//8BAAAAAAAJRAIAAAlsAQAACQgAAAAK/////wlEAgAACglsAQAACgoKCQgAAAAJrAIAAAkIAAAAAb0BAACiAQAAAVL9//83/////////wAGrwIAAAZTdHJpbmcGsAIAAAhDdXJyZW5jeQmxAgAAAU79//81////AgAAAAFN/f//y/3//wEAAAAAAAa0AgAAFlRhYmxlLlZlbmRJbnZvaWNlVHJhbnMJegEAAAkIAAAACv////8JtAIAAAoJegEAAAoKCgkIAAAACboCAAAJCAAAAAHAAQAAogEAAAFE/f//N/////////8ABr0CAAAFSW50NjQGvgIAAAxSZWNJZCBjb2x1bW4JsQIAAAFA/f//Nf///wIAAAABP/3//8v9//8BAAAAAAAJtAIAAAmIAQAACQgAAAAK/////wm0AgAACgmIAQAACgoKCQgAAAAJyAIAAAkIAAAABcM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bKAgAAFlRhYmxlLlZlbmRJbnZvaWNlVHJhbnMGywIAAAtJbnZvaWNlRGF0ZQkIAAAABs0CAAAYMDEuMDEuMjAxNyAuLiAwOC4zMS4yMDE3/////wnKAgAACgnLAgAACgoKCQgAAAAJ0QIAAAkIAAAAAcYBAADDAQAACcoCAAAG1AIAAAZJdGVtSWQJCAAAAAbWAgAAASr/////CcoCAAAKCdQCAAAKCgoJCAAAAAnaAgAACQgAAAABzQEAABIAAAAHzg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JP3//2D+//8G3QIAAElUYWJsZS5WZW5kSW52b2ljZVRyYW5zLlZlbmRJbnZvaWNlSm91cn5UYWJsZS5WZW5kSW52b2ljZUpvdXIuT3JkZXJBY2NvdW50Cd4CAAAH0A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H9//8//v//BuACAABGVGFibGUuVmVuZEludm9pY2VUcmFucy5WZW5kSW52b2ljZUpvdXJ+VGFibGUuVmVuZEludm9pY2VKb3VyLlZlbmRHcm91cAnhAgAAB9I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79///U////CTMAAAAJNAAAAAHTAQAAiwAAAAfV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b/f//YP7//wbmAgAAXlRhYmxlLlZlbmRJbnZvaWNlVHJhbnMuVmVuZEludm9pY2VKb3VyflRhYmxlLlZlbmRJbnZvaWNlSm91ci5PcmRlckFjY291bnR+VGFibGUuVmVuZFRhYmxlLk5hbWUJ5wIAAAEY/f//YP7//wbpAgAAaFRhYmxlLlZlbmRJbnZvaWNlVHJhbnMuVmVuZEludm9pY2VKb3VyflRhYmxlLlZlbmRJbnZvaWNlSm91ci5PcmRlckFjY291bnR+VGFibGUuVmVuZFRhYmxlLkludmVudExvY2F0aW9uCeoCAAAH1w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RX9//8//v//BuwCAABoVGFibGUuVmVuZEludm9pY2VUcmFucy5WZW5kSW52b2ljZUpvdXJ+VGFibGUuVmVuZEludm9pY2VKb3VyLk9yZGVyQWNjb3VudH5UYWJsZS5WZW5kVGFibGUuSW52ZW50TG9jYXRpb24J7QIAAAfb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S/f//YP7//wbvAgAAOFRhYmxlLlZlbmRJbnZvaWNlVHJhbnMuSXRlbUlkflRhYmxlLkludmVudFRhYmxlLkl0ZW1OYW1lCfACAAAH3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/9//8//v//BvICAAA4VGFibGUuVmVuZEludm9pY2VUcmFucy5JdGVtSWR+VGFibGUuSW52ZW50VGFibGUuSXRlbVR5cGUJ8wIAAAfgAQAAAAEAAAAEAAAABDdHbG9iZVNvZnR3YXJlLkF0bGFzNDAuQXRsYXNDb21tb24uVHlwZS5GaWVsZE91dHB1dEZpZWxkAgAAAAmiAQAADQME4Q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v9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Cv3//zJHbG9iZVNvZnR3YXJlLkF0bGFzNDAuQXRsYXNDb21tb24uQ29sdW1uQXR0cmlidXRlcwEAAAAHdmFsdWVfXwAIAgAAAAkAAAAJCAAAAAEI/f//C/3//wEH/f//Cv3//wsAAAAG+gIAAAEwAQX9//8L/f//AQT9//8K/f//BAAAAAb9AgAAB0dlbmVyYWwBAv3//wv9//8BAf3//wr9//8CAAAABgADAAABMQH//P//C/3//wH+/P//Cv3//wAAAAAGAwMAAAQ2LjE0B+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/Pz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YFAwAACEZvbnRCb2xkBgYDAAAFRmFsc2UB+fz///z8//8GCAMAAApGb250SXRhbGljCQYDAAAB9vz///z8//8GCwMAAA1Gb250VW5kZXJsaW5lBgwDAAAFLTQxNDIB8/z///z8//8GDgMAAAhGb250TmFtZQYPAwAAB0NhbGlicmkB8Pz///z8//8GEQMAAAlGb250Q29sb3IGEgMAAAEwAe38///8/P//BhQDAAAIRm9udFNpemUGFQMAAAIxMQHq/P///Pz//wYXAwAACUZvbnRTdHlsZQYYAwAAB1JlZ3VsYXIH5QEAAAABAAAABAAAAAQ3R2xvYmVTb2Z0d2FyZS5BdGxhczQwLkF0bGFzQ29tbW9uLlR5cGUuRmllbGRPdXRwdXRGaWVsZAIAAAAJ3gIAAA0DB+c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m/P//C/3//wHl/P//Cv3//wkAAAAJCAAAAAHj/P//C/3//wHi/P//Cv3//wsAAAAGHwMAAAExAeD8//8L/f//Ad/8//8K/f//BAAAAAYiAwAAB0dlbmVyYWwB3fz//wv9//8B3Pz//wr9//8CAAAABiUDAAABMQHa/P//C/3//wHZ/P//Cv3//wAAAAAGKAMAAAUxMy4xNAfp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f8///8/P//CQUDAAAJBgMAAAHU/P///Pz//wkIAwAACQYDAAAB0fz///z8//8JCwMAAAYxAwAABS00MTQyAc78///8/P//CQ4DAAAGNAMAAAdDYWxpYnJpAcv8///8/P//CREDAAAGNwMAAAEwAcj8///8/P//CRQDAAAGOgMAAAIxMQHF/P///Pz//wkXAwAABj0DAAAHUmVndWxhcgfqAQAAAAEAAAAEAAAABDdHbG9iZVNvZnR3YXJlLkF0bGFzNDAuQXRsYXNDb21tb24uVHlwZS5GaWVsZE91dHB1dEZpZWxkAgAAAAnnAgAADQMH7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H8//8L/f//AcD8//8K/f//CQAAAAkIAAAAAb78//8L/f//Ab38//8K/f//CwAAAAZEAwAAATIBu/z//wv9//8Buvz//wr9//8EAAAABkcDAAAHR2VuZXJhbAG4/P//C/3//wG3/P//Cv3//wIAAAAGSgMAAAExAbX8//8L/f//AbT8//8K/f//AAAAAAZNAwAABTE4LjU3B+4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z///z8//8JBQMAAAkGAwAAAa/8///8/P//CQgDAAAJBgMAAAGs/P///Pz//wkLAwAABlYDAAAFLTQxNDIBqfz///z8//8JDgMAAAZZAwAAB0NhbGlicmkBpvz///z8//8JEQMAAAZcAwAAATABo/z///z8//8JFAMAAAZfAwAAAjExAaD8///8/P//CRcDAAAGYgMAAAdSZWd1bGFyB+8BAAAAAQAAAAQAAAAEN0dsb2JlU29mdHdhcmUuQXRsYXM0MC5BdGxhc0NvbW1vbi5UeXBlLkZpZWxkT3V0cHV0RmllbGQCAAAACaUBAAANAwHwAQAA4QEAAAfx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nPz//wv9//8Bm/z//wr9//8GAAAABmYDAAAFVG90YWwBmfz//wv9//8BmPz//wr9//8QAAAABmkDAAAETm9uZQGW/P//C/3//wGV/P//Cv3//wkAAAAJCAAAAAGT/P//C/3//wGS/P//Cv3//wsAAAAGbwMAAAEzAZD8//8L/f//AY/8//8K/f//BAAAAAZyAwAAB0dlbmVyYWwBjfz//wv9//8BjPz//wr9//8CAAAABnUDAAABMQGK/P//C/3//wGJ/P//Cv3//wAAAAAGeAMAAAIxNgHyAQAAEgAAAAf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f8///8/P//BnoDAAAIRm9udEJvbGQJBgMAAAGE/P///Pz//wZ9AwAACkZvbnRJdGFsaWMJBgMAAAGB/P///Pz//waAAwAADUZvbnRVbmRlcmxpbmUGgQMAAAUtNDE0MgF+/P///Pz//waDAwAACEZvbnROYW1lBoQDAAAHQ2FsaWJyaQF7/P///Pz//waGAwAACUZvbnRDb2xvcgaHAwAAATABePz///z8//8GiQMAAAhGb250U2l6ZQaKAwAAAjExAXX8///8/P//BowDAAAJRm9udFN0eWxlBo0DAAAHUmVndWxhcgf0AQAAAAEAAAAEAAAABDdHbG9iZVNvZnR3YXJlLkF0bGFzNDAuQXRsYXNDb21tb24uVHlwZS5GaWVsZE91dHB1dEZpZWxkAgAAAAmoAQAADQMH9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H8//8L/f//AXD8//8K/f//EAAAAAlpAwAAAW78//8L/f//AW38//8K/f//CQAAAAkIAAAAAWv8//8L/f//AWr8//8K/f//CwAAAAaXAwAAATQBaPz//wv9//8BZ/z//wr9//8EAAAABpoDAAAHR2VuZXJhbAFl/P//C/3//wFk/P//Cv3//wIAAAAGnQMAAAExAWL8//8L/f//AWH8//8K/f//AAAAAAagAwAAATkH+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P///Pz//wl6AwAACQYDAAABXPz///z8//8JfQMAAAkGAwAAAVn8///8/P//CYADAAAGqQMAAAUtNDE0MgFW/P///Pz//wmDAwAABqwDAAAHQ2FsaWJyaQFT/P///Pz//wmGAwAABq8DAAABMAFQ/P///Pz//wmJAwAABrIDAAACMTEBTfz///z8//8JjAMAAAa1AwAAB1JlZ3VsYXIH+QEAAAABAAAABAAAAAQ3R2xvYmVTb2Z0d2FyZS5BdGxhczQwLkF0bGFzQ29tbW9uLlR5cGUuRmllbGRPdXRwdXRGaWVsZAIAAAAJ6gIAAA0DB/s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P//C/3//wFI/P//Cv3//wkAAAAJCAAAAAFG/P//C/3//wFF/P//Cv3//wsAAAAGvAMAAAE1AUP8//8L/f//AUL8//8K/f//BAAAAAa/AwAAB0dlbmVyYWwBQPz//wv9//8BP/z//wr9//8CAAAABsIDAAABMQE9/P//C/3//wE8/P//Cv3//wAAAAAGxQMAAAUxMi44Ngf9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r8///8/P//CQUDAAAJBgMAAAE3/P///Pz//wkIAwAACQYDAAABNPz///z8//8JCwMAAAbOAwAABS00MTQyATH8///8/P//CQ4DAAAG0QMAAAdDYWxpYnJpAS78///8/P//CREDAAAG1AMAAAEwASv8///8/P//CRQDAAAG1wMAAAIxMQEo/P///Pz//wkXAwAABtoDAAAHUmVndWxhcgf+AQAAAAEAAAAEAAAABDdHbG9iZVNvZnR3YXJlLkF0bGFzNDAuQXRsYXNDb21tb24uVHlwZS5GaWVsZE91dHB1dEZpZWxkAgAAAAmrAQAADQMHAA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T8//8L/f//ASP8//8K/f//EAAAAAlpAwAAASH8//8L/f//ASD8//8K/f//CQAAAAkIAAAAAR78//8L/f//AR38//8K/f//CwAAAAbkAwAAATYBG/z//wv9//8BGvz//wr9//8EAAAABucDAAAHR2VuZXJhbAEY/P//C/3//wEX/P//Cv3//wIAAAAG6gMAAAExARX8//8L/f//ART8//8K/f//AAAAAAbtAwAABTE0LjQzBwI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vz///z8//8JegMAAAkGAwAAAQ/8///8/P//CX0DAAAJBgMAAAEM/P///Pz//wmAAwAABvYDAAAFLTQxNDIBCfz///z8//8JgwMAAAb5AwAAB0NhbGlicmkBBvz///z8//8JhgMAAAb8AwAAATABA/z///z8//8JiQMAAAb/AwAAAjExAQD8///8/P//CYwDAAAGAgQAAAdSZWd1bGFyBwMCAAAAAQAAAAQAAAAEN0dsb2JlU29mdHdhcmUuQXRsYXM0MC5BdGxhc0NvbW1vbi5UeXBlLkZpZWxkT3V0cHV0RmllbGQCAAAACfACAAANAwcF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/Pv//wv9//8B+/v//wr9//8JAAAACQgAAAAB+fv//wv9//8B+Pv//wr9//8LAAAABgkEAAABNwH2+///C/3//wH1+///Cv3//wQAAAAGDAQAAAdHZW5lcmFsAfP7//8L/f//AfL7//8K/f//AgAAAAYPBAAAATEB8Pv//wv9//8B7/v//wr9//8AAAAABhIEAAAFMjkuMTQHBw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t+////Pz//wkFAwAACQYDAAAB6vv///z8//8JCAMAAAkGAwAAAef7///8/P//CQsDAAAGGwQAAAUtNDE0MgHk+////Pz//wkOAwAABh4EAAAHQ2FsaWJyaQHh+////Pz//wkRAwAABiEEAAABMAHe+////Pz//wkUAwAABiQEAAACMTEB2/v///z8//8JFwMAAAYnBAAAB1JlZ3VsYXIHCAIAAAABAAAABAAAAAQ3R2xvYmVTb2Z0d2FyZS5BdGxhczQwLkF0bGFzQ29tbW9uLlR5cGUuRmllbGRPdXRwdXRGaWVsZAIAAAAJrgEAAA0DBwo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X+///C/3//wHW+///Cv3//wkAAAAJCAAAAAHU+///C/3//wHT+///Cv3//wsAAAAGLgQAAAE4AdH7//8L/f//AdD7//8K/f//BAAAAAYxBAAACG0vZC95eXl5Ac77//8L/f//Ac37//8K/f//AgAAAAY0BAAAATEBy/v//wv9//8Byvv//wr9//8AAAAABjcEAAABOQc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7///8/P//CQUDAAAJBgMAAAHF+////Pz//wkIAwAACQYDAAABwvv///z8//8JCwMAAAZABAAABS00MTQyAb/7///8/P//CQ4DAAAGQwQAAAdDYWxpYnJpAbz7///8/P//CREDAAAGRgQAAAEwAbn7///8/P//CRQDAAAGSQQAAAIxMQG2+////Pz//wkXAwAABkwEAAAHUmVndWxhcgcNAgAAAAEAAAAEAAAABDdHbG9iZVNvZnR3YXJlLkF0bGFzNDAuQXRsYXNDb21tb24uVHlwZS5GaWVsZE91dHB1dEZpZWxkAgAAAAmxAQAADQMHDw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L7//8L/f//AbH7//8K/f//EAAAAAlpAwAAAa/7//8L/f//Aa77//8K/f//CQAAAAkIAAAAAaz7//8L/f//Aav7//8K/f//CwAAAAZWBAAAATkBqfv//wv9//8BqPv//wr9//8EAAAABlkEAAAvXygqICMsIyMwLjAwXyk7XygqICgjLCMjMC4wMCk7XygqICItIj8/Xyk7XyhAXykBpvv//wv9//8Bpfv//wr9//8CAAAABlwEAAABMQGj+///C/3//wGi+///Cv3//wAAAAAGXwQAAAUxMC4yOQcR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7///8/P//CXoDAAAJBgMAAAGd+////Pz//wl9AwAACQYDAAABmvv///z8//8JgAMAAAZoBAAABS00MTQyAZf7///8/P//CYMDAAAGawQAAAdDYWxpYnJpAZT7///8/P//CYYDAAAGbgQAAAEwAZH7///8/P//CYkDAAAGcQQAAAIxMQGO+////Pz//wmMAwAABnQEAAAHUmVndWxhcgcSAgAAAAEAAAAEAAAABDdHbG9iZVNvZnR3YXJlLkF0bGFzNDAuQXRsYXNDb21tb24uVHlwZS5GaWVsZE91dHB1dEZpZWxkAgAAAAm0AQAADQMHFA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r7//8L/f//AYn7//8K/f//CQAAAAkIAAAAAYf7//8L/f//AYb7//8K/f//CwAAAAZ7BAAAAjEwAYT7//8L/f//AYP7//8K/f//BAAAAAZ+BAAAB0dlbmVyYWwBgfv//wv9//8BgPv//wr9//8CAAAABoEEAAABMQF++///C/3//wF9+///Cv3//wAAAAAGhAQAAAQ2LjQzBx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v///z8//8JBQMAAAkGAwAAAXj7///8/P//CQgDAAAJBgMAAAF1+////Pz//wkLAwAABo0EAAAFLTQxNDIBcvv///z8//8JDgMAAAaQBAAAB0NhbGlicmkBb/v///z8//8JEQMAAAaTBAAAATABbPv///z8//8JFAMAAAaWBAAAAjExAWn7///8/P//CRcDAAAGmQQAAAdSZWd1bGFyBxcCAAAAAQAAAAQAAAAEN0dsb2JlU29mdHdhcmUuQXRsYXM0MC5BdGxhc0NvbW1vbi5UeXBlLkZpZWxkT3V0cHV0RmllbGQCAAAACbcBAAANAwcZAg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v//wv9//8BZPv//wr9//8JAAAACQgAAAABYvv//wv9//8BYfv//wr9//8LAAAABqAEAAACMTEBX/v//wv9//8BXvv//wr9//8EAAAABqMEAAAvXygqICMsIyMwLjAwXyk7XygqICgjLCMjMC4wMCk7XygqICItIj8/Xyk7XyhAXykBXPv//wv9//8BW/v//wr9//8CAAAABqYEAAABMQFZ+///C/3//wFY+///Cv3//wAAAAAGqQQAAAUxMS4yOQ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7///8/P//CQUDAAAJBgMAAAFT+////Pz//wkIAwAACQYDAAABUPv///z8//8JCwMAAAayBAAABS00MTQyAU37///8/P//CQ4DAAAGtQQAAAdDYWxpYnJpAUr7///8/P//CREDAAAGuAQAAAEwAUf7///8/P//CRQDAAAGuwQAAAIxMQFE+////Pz//wkXAwAABr4EAAAHUmVndWxhcgccAgAAAAEAAAAEAAAABDdHbG9iZVNvZnR3YXJlLkF0bGFzNDAuQXRsYXNDb21tb24uVHlwZS5GaWVsZE91dHB1dEZpZWxkAgAAAAm6AQAADQMHH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D7//8L/f//AT/7//8K/f//EAAAAAlpAwAAAT37//8L/f//ATz7//8K/f//CQAAAAkIAAAAATr7//8L/f//ATn7//8K/f//CwAAAAbIBAAAAjEyATf7//8L/f//ATb7//8K/f//BAAAAAbLBAAAL18oKiAjLCMjMC4wMF8pO18oKiAoIywjIzAuMDApO18oKiAiLSI/P18pO18oQF8pATT7//8L/f//ATP7//8K/f//AgAAAAbOBAAAATEBMfv//wv9//8BMPv//wr9//8AAAAABtEEAAAEOS43MQcg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77///8/P//CXoDAAAJBgMAAAEr+////Pz//wl9AwAACQYDAAABKPv///z8//8JgAMAAAbaBAAABS00MTQyASX7///8/P//CYMDAAAG3QQAAAdDYWxpYnJpASL7///8/P//CYYDAAAG4AQAAAEwAR/7///8/P//CYkDAAAG4wQAAAIxMQEc+////Pz//wmMAwAABuYEAAAHUmVndWxhcgchAgAAAAEAAAAEAAAABDdHbG9iZVNvZnR3YXJlLkF0bGFzNDAuQXRsYXNDb21tb24uVHlwZS5GaWVsZE91dHB1dEZpZWxkAgAAAAm9AQAADQMHIw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j7//8L/f//ARf7//8K/f//CQAAAAkIAAAAARX7//8L/f//ART7//8K/f//CwAAAAbtBAAAAjEzARL7//8L/f//ARH7//8K/f//BAAAAAbwBAAAB0dlbmVyYWwBD/v//wv9//8BDvv//wr9//8CAAAABvMEAAABMQEM+///C/3//wEL+///Cv3//wAAAAAG9gQAAAUxMC40Mwcl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n7///8/P//CQUDAAAJBgMAAAEG+////Pz//wkIAwAACQYDAAABA/v///z8//8JCwMAAAb/BAAABS00MTQyAQD7///8/P//CQ4DAAAGAgUAAAdDYWxpYnJpAf36///8/P//CREDAAAGBQUAAAEwAfr6///8/P//CRQDAAAGCAUAAAIxMQH3+v///Pz//wkXAwAABgsFAAAHUmVndWxhcgcmAgAAAAEAAAAEAAAABDdHbG9iZVNvZnR3YXJlLkF0bGFzNDAuQXRsYXNDb21tb24uVHlwZS5GaWVsZE91dHB1dEZpZWxkAgAAAAnAAQAADQMHKA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P6//8L/f//AfL6//8K/f//CQAAAAkIAAAAAfD6//8L/f//Ae/6//8K/f//CwAAAAYSBQAAAjE0Ae36//8L/f//Aez6//8K/f//BAAAAAYVBQAAB0dlbmVyYWwB6vr//wv9//8B6fr//wr9//8CAAAABhgFAAABMQHn+v//C/3//wHm+v//Cv3//wAAAAAGGwUAAAUxNC40Mwcq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T6///8/P//CQUDAAAJBgMAAAHh+v///Pz//wkIAwAACQYDAAAB3vr///z8//8JCwMAAAYkBQAABS00MTQyAdv6///8/P//CQ4DAAAGJwUAAAdDYWxpYnJpAdj6///8/P//CREDAAAGKgUAAAEwAdX6///8/P//CRQDAAAGLQUAAAIxMQHS+v///Pz//wkXAwAABjAFAAAHUmVndWxhcgcrAgAAAAEAAAAAAAAABDdHbG9iZVNvZnR3YXJlLkF0bGFzNDAuQXRsYXNDb21tb24uVHlwZS5GaWVsZE91dHB1dEZpZWxkAgAAAAct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/r//wv9//8Bzvr//wr9//8kAAAACZcBAAABzPr//wv9//8By/r//wr9//8LAAAABjYFAAACMTUByfr//wv9//8ByPr//wr9//8EAAAABjkFAAAvXygqICMsIyMwLjAwXyk7XygqICgjLCMjMC4wMCk7XygqICItIj8/Xyk7XyhAXykBxvr//wv9//8Bxfr//wr9//8CAAAABjwFAAABMQHD+v//C/3//wHC+v//Cv3//wAAAAAGPwUAAAUxMy40MwHA+v//C/3//wG/+v//Cv3//wMAAAAGQgUAAIUBPUF0bGFzQmFsYW5jZSgiVUFUIixEYXRhQXJlYUlkLCJULk1hcmt1cFRyYW5zIiwiU3VtfFBvc3RlZHwwIiwiIiwiIiwiIiwiIiwiIiwiIiwiVHJhbnNSZWNJZHxUcmFuc1RhYmxlSWR8TWFya3VwQ29kZSIsJE8zLCI0OTIiLCJUUFAiKQcv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36///8/P//CQUDAAAJBgMAAAG6+v///Pz//wkIAwAACQYDAAABt/r///z8//8JCwMAAAZLBQAABS00MTQyAbT6///8/P//CQ4DAAAGTgUAAAdDYWxpYnJpAbH6///8/P//CREDAAAGUQUAAAEwAa76///8/P//CRQDAAAGVAUAAAIxMQGr+v///Pz//wkXAwAABlcFAAAHUmVndWxhcgEzAgAADgAAAP////8GWAUAABBWZW5kSW52b2ljZVRyYW5zBlkFAAAUVmVuZG9yIGludm9pY2UgbGluZXMJCAAAAAkIAAAACQgAAAABpfr//+D///8AAAAACVwFAAAJXQUAAAGi+v//3f///zepAnSC5CNGg+2euGgAPKUJCAAAAAkIAAAACWAFAAAJNgIAAAoKCgoKAQAAAAGe+v//2f///wAAAAABnfr//9j///8AAAAAAAlkBQAABDw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gAAAAnNAQAAAwAAAAlmBQAAAUECAAAOAAAA7AEAAAZnBQAAEFZlbmRJbnZvaWNlVHJhbnMGaAUAABRWZW5kb3IgaW52b2ljZSBsaW5lcwkIAAAACQgAAAAJCAAAAAGW+v//4P///wAAAAAJawUAAAlsBQAAAZP6///d////59jxwSY130KX5J5ad24e9AkIAAAACQgAAAAJbwUAAAlEAgAACgoKCgoBAAAAAY/6///Z////AAAAAAGO+v//2P///wAAAAAACXMFAAAES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fIBAAADAAAACXUFAAAEW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fIBAAADAAAACXcFAAAEZ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ZAAAACfIBAAADAAAACXkFAAABawIAAA4AAAD/////BnoFAAAQVmVuZEludm9pY2VUcmFucwZ7BQAAFFZlbmRvciBpbnZvaWNlIGxpbmVzCQgAAAAJCAAAAAkIAAAAAYP6///g////AAAAAAl+BQAACX8FAAABgPr//93///+SDjyJ0807TqO6VEhMga5MCQgAAAAJCAAAAAmCBQAACW4CAAAKCgoKCgEAAAABfPr//9n///8AAAAAAXv6///Y////AAAAAAAJhgUAAAR0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4AAAAJzQEAAAMAAAAJiAUAAASC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kAAAAJ8gEAAAMAAAAJigUAAASQ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4AAAAJzQEAAAMAAAAJjAUAAASe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4AAAAJzQEAAAMAAAAJjgUAAASs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kAAAAJ8gEAAAMAAAAJkAUAAAGxAgAADgAAAP////8GkQUAABBWZW5kSW52b2ljZVRyYW5zBpIFAAAUVmVuZG9yIGludm9pY2UgbGluZXMJCAAAAAkIAAAACQgAAAABbPr//+D///8AAAAACZUFAAAJlgUAAAFp+v//3f///8ebO94xUTxEhZMJ4lfqM1wJCAAAAAkIAAAACZkFAAAJtAIAAAoKCgoKAQAAAAFl+v//2f///wAAAAABZPr//9j///8AAAAAAAmdBQAABL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NAQAAAwAAAAmfBQAABMg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nNAQAAAwAAAAmhBQAABNE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AAAAmiBQAAAwAAAAmjBQAABN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AAAAAmiBQAAAwAAAAmlBQAAAd4CAACiAQAAAVr6//83/////////wAGpwUAAAZTdHJpbmcGqAUAAA5WZW5kb3IgYWNjb3VudAkxAAAAAVb6//81////AgAAAAFV+v//y/3//wEAAAAAAAkwAAAACdIAAAAJCAAAAAr/////CTAAAAAKCdIAAAAGsQUAAA9WZW5kSW52b2ljZUpvdXIGsgUAABBWZW5kSW52b2ljZVRyYW5zCgkIAAAACbQFAAAJCAAAAAHhAgAAwwEAAAkwAAAABrcFAAAJVmVuZEdyb3VwCQgAAAAGuQUAAANJQyr/////CTAAAAAKCbcFAAAGvAUAAA9WZW5kSW52b2ljZUpvdXIKCgkIAAAACb4FAAAJCAAAAAHnAgAAogEAAAFA+v//N/////////8ABsEFAAAGU3RyaW5nBsIFAAAETmFtZQk0AAAAATz6//81////AgAAAAE7+v//y/3//wEAAAAAAAkzAAAACeAAAAAJCAAAAAr/////CTMAAAAKCeAAAAAGywUAAAxPcmRlckFjY291bnQGzAUAAA9WZW5kSW52b2ljZUpvdXIKCQgAAAAJzgUAAAkIAAAAAeoCAACiAQAAATD6//83/////////wAG0QUAAAZTdHJpbmcG0gUAAAlXYXJlaG91c2UJNAAAAAEs+v//Nf///wIAAAABK/r//8v9//8BAAAAAAAJMwAAAAkKAQAACQgAAAAK/////wkzAAAACgkKAQAABtsFAAAMT3JkZXJBY2NvdW50BtwFAAAPVmVuZEludm9pY2VKb3VyCgkIAAAACd4FAAAJCAAAAAHtAgAAwwEAAAkzAAAABuEFAAAOSW52ZW50TG9jYXRpb24JCAAAAAbjBQAAASr/////CTMAAAAKCeEFAAAG5gUAAAxPcmRlckFjY291bnQKCgkIAAAACegFAAAJCAAAAAHwAgAAogEAAAEW+v//N/////////8ABusFAAAGU3RyaW5nBuwFAAAJSXRlbSBuYW1lCTcAAAABEvr//zX///8CAAAAARH6///L/f//AQAAAAAACTYAAAAJJgEAAAkIAAAACv////8JNgAAAAoJJgEAAAb1BQAABkl0ZW1JZAb2BQAAEFZlbmRJbnZvaWNlVHJhbnMKCQgAAAAJ+AUAAAkIAAAAAfMCAADDAQAACTYAAAAG+wUAAAhJdGVtVHlwZQkIAAAABv0FAAAIIVNlcnZpY2X/////CTYAAAAKCfsFAAAGAAYAAAZJdGVtSWQKCgkIAAAACQIGAAAJCAAAAAFcBQAAIQAAAAkAAAAJBAYAABEAAAAJBQYAAAFdBQAAIgAAAAEAAAAJBgYAAAMAAAAJBwYAAARg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BAYAAAAAAAABZAUAACkAAAAAAAAACQkGAAAAAAAAB2Y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vn///z8//8GCwYAAAVMYWJlbAkyAgAAAfP5///8/P//Bg4GAAAEVHlwZQkxAgAAAWsFAAAhAAAACAAAAAkQBgAAEQAAAAkRBgAAAWwFAAAiAAAABQAAAAkQBgAABwAAAAkTBgAABG8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QBgAAAAAAAAFzBQAAKQAAAAAAAAAJFQYAAAAAAAAHd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f///Pz//wYXBgAACEhlbHBUZXh0BhgGAAAfQWNoYXQgbGnDqSDDoCBsYSBsaWduZSBhY3R1ZWxsZQHn+f///Pz//wYaBgAABUxhYmVsCUACAAAB5Pn///z8//8GHQYAAARUeXBlCT8CAAAHd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+f///Pz//wkXBgAABiEGAAAcSWRlbnRpZmljYXRpb24gZGUgbGEgZmFjdHVyZQHe+f///Pz//wkaBgAACU4CAAAB2/n///z8//8JHQYAAAlNAgAAB3k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n///z8//8JFwYAAAYqBgAAE0lkZW50aWZpZSBsJ2FydGljbGUB1fn///z8//8JGgYAAAlcAgAAAdL5///8/P//CR0GAAAJWwIAAAF+BQAAIQAAAA8AAAAJMQYAABEAAAAJMgYAAAF/BQAAIgAAAAEAAAAJzQEAAAMAAAAJNAYAAAGCBQAABAAAAAIAAAAJMQYAAAMAAAAJNgYAAAGGBQAAKQAAAAAAAAAJNwYAAAAAAAAHi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I+f///Pz//wkLBgAACWoCAAABxfn///z8//8JDgYAAAlpAgAAB4o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n///z8//8JFwYAAAZABgAAGE5vbWJyZSBkJ3VuaXTDqXMgZCdhY2hhdAG/+f///Pz//wkaBgAACXgCAAABvPn///z8//8JHQYAAAl3AgAAB4w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n///z8//8JCwYAAAmGAgAAAbb5///8/P//CQ4GAAAJhQIAAAeO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5///8/P//CQsGAAAJlAIAAAGw+f///Pz//wkOBgAACZMCAAAHkA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t+f///Pz//wkXBgAABlUGAAARTW9udGFudCBlbiBkZXZpc2UBqvn///z8//8JGgYAAAmiAgAAAaf5///8/P//CR0GAAAJoQIAAAGVBQAAIQAAAAsAAAAJXAYAABEAAAAJXQYAAAGWBQAAIgAAAAEAAAAJzQEAAAMAAAAJXwYAAAGZBQAABAAAAAIAAAAJXAYAAAMAAAAJYQYAAAGdBQAAKQAAAAAAAAAJYgYAAAAAAAAHn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d+f///Pz//wkLBgAACbACAAABmvn///z8//8JDgYAAAmvAgAAB6E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n///z8//8JCwYAAAm+AgAAAZT5///8/P//CQ4GAAAJvQIAAAGiBQAAEgAAAAe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H5///8/P//BnAGAAAEVHlwZQlpAgAAAY75///8/P//BnMGAAAFTGFiZWwJagIAAAGL+f///Pz//wZ2BgAACFJlZmVyc1RvBncGAAAPPVB1cmNoRGF0ZVJhbmdlB6U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Pn///z8//8JcAYAAAlbAgAAAYX5///8/P//CXMGAAAJXAIAAAGC+f///Pz//wl2BgAABoAGAAALPUl0ZW1OdW1iZXIEt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EAAAACc0BAAADAAAACYIGAAAEv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WAAAACaIFAAADAAAACYQGAAAEz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EAAAACc0BAAADAAAACYYGAAAE3g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c0BAAADAAAACYgGAAAE6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aIFAAADAAAACYoGAAAE+AU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+AAAACc0BAAADAAAACYwGAAAEAgY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aIFAAADAAAACY4GAAABBAYAABIAAAAHBQY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fn//2D+//8GkAYAAB5UYWJsZS5WZW5kSW52b2ljZVRyYW5zLlB1cmNoSUQJpQEAAAFu+f//YP7//waTBgAAIVRhYmxlLlZlbmRJbnZvaWNlVHJhbnMuTGluZUFtb3VudAm6AQAAAWv5//9g/v//BpYGAAAhVGFibGUuVmVuZEludm9pY2VUcmFucy5EaXNjQW1vdW50CZcGAAABaPn//2D+//8GmQYAACJUYWJsZS5WZW5kSW52b2ljZVRyYW5zLkRpc2NQZXJjZW50CZoGAAABZfn//2D+//8GnAYAABpUYWJsZS5WZW5kSW52b2ljZVRyYW5zLlF0eQmxAQAAAWL5//9g/v//Bp8GAAAgVGFibGUuVmVuZEludm9pY2VUcmFucy5QcmljZVVuaXQJoAYAAAFf+f//YP7//waiBgAAHVRhYmxlLlZlbmRJbnZvaWNlVHJhbnMuSXRlbUlkCasBAAABXPn//2D+//8GpQYAACBUYWJsZS5WZW5kSW52b2ljZVRyYW5zLkludm9pY2VJZAmoAQAAAVn5//9g/v//BqgGAAAhVGFibGUuVmVuZEludm9pY2VUcmFucy5EYXRhQXJlYUlkCaIBAAABBgYAABIAAAAHBwY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b5//8//v//BqsGAAAiVGFibGUuVmVuZEludm9pY2VUcmFucy5JbnZvaWNlRGF0ZQmsBgAAAQkGAACLAAAAARAGAAASAAAABxEG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VP5//9g/v//Bq4GAAAeVGFibGUuVmVuZEludm9pY2VUcmFucy5QdXJjaElECaUBAAABUPn//2D+//8GsQYAACFUYWJsZS5WZW5kSW52b2ljZVRyYW5zLkxpbmVBbW91bnQJugEAAAFN+f//YP7//wa0BgAAIVRhYmxlLlZlbmRJbnZvaWNlVHJhbnMuRGlzY0Ftb3VudAmXBgAAAUr5//9g/v//BrcGAAAiVGFibGUuVmVuZEludm9pY2VUcmFucy5EaXNjUGVyY2VudAmaBgAAAUf5//9g/v//BroGAAAaVGFibGUuVmVuZEludm9pY2VUcmFucy5RdHkJsQEAAAFE+f//YP7//wa9BgAAIFRhYmxlLlZlbmRJbnZvaWNlVHJhbnMuUHJpY2VVbml0CaAGAAABQfn//2D+//8GwAYAAB1UYWJsZS5WZW5kSW52b2ljZVRyYW5zLkl0ZW1JZAmrAQAAAT75//9g/v//BsMGAAAgVGFibGUuVmVuZEludm9pY2VUcmFucy5JbnZvaWNlSWQJqAEAAAcTBgAAAAEAAAAF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/n//z/+//8GxgYAACFUYWJsZS5WZW5kSW52b2ljZVRyYW5zLkRhdGFBcmVhSWQJxwYAAAE4+f//P/7//wbJBgAAIlRhYmxlLlZlbmRJbnZvaWNlVHJhbnMuSW52b2ljZURhdGUJygYAAAE1+f//P/7//wbMBgAAIFRhYmxlLlZlbmRJbnZvaWNlVHJhbnMuSW52b2ljZUlkCc0GAAABMvn//z/+//8GzwYAAB1UYWJsZS5WZW5kSW52b2ljZVRyYW5zLkl0ZW1JZAnQBgAAAS/5//8//v//BtIGAAAeVGFibGUuVmVuZEludm9pY2VUcmFucy5QdXJjaElECdMGAAABFQYAAIsAAAABMQYAABIAAAAHMgY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LPn//2D+//8G1QYAACFUYWJsZS5WZW5kSW52b2ljZVRyYW5zLkRhdGFBcmVhSWQJogEAAAEp+f//YP7//wbYBgAAHlRhYmxlLlZlbmRJbnZvaWNlVHJhbnMuUHVyY2hJRAmlAQAAASb5//9g/v//BtsGAAAhVGFibGUuVmVuZEludm9pY2VUcmFucy5MaW5lQW1vdW50CboBAAABI/n//2D+//8G3gYAABpUYWJsZS5WZW5kSW52b2ljZVRyYW5zLlF0eQmxAQAAASD5//9g/v//BuEGAAAdVGFibGUuVmVuZEludm9pY2VUcmFucy5JdGVtSWQJqwEAAAEd+f//YP7//wbkBgAAIFRhYmxlLlZlbmRJbnZvaWNlVHJhbnMuSW52b2ljZUlkCagBAAABGvn//2D+//8G5wYAACJUYWJsZS5WZW5kSW52b2ljZVRyYW5zLkludm9pY2VEYXRlCa4BAAABF/n//2D+//8G6gYAACBUYWJsZS5WZW5kSW52b2ljZVRyYW5zLlB1cmNoVW5pdAm0AQAAART5//9g/v//Bu0GAAAhVGFibGUuVmVuZEludm9pY2VUcmFucy5QdXJjaFByaWNlCbcBAAAHNAY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RH5//8//v//BvAGAAAiVGFibGUuVmVuZEludm9pY2VUcmFucy5JbnZvaWNlRGF0ZQmsBgAABzYG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Q75///U////CTAAAAAJMQAAAAEL+f//1P///wk2AAAACTcAAAABNwYAAIsAAAABXAYAABIAAAAHXQY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Pn//2D+//8G+QYAACFUYWJsZS5WZW5kSW52b2ljZVRyYW5zLkRhdGFBcmVhSWQJogEAAAEF+f//YP7//wb8BgAAHlRhYmxlLlZlbmRJbnZvaWNlVHJhbnMuUHVyY2hJRAmlAQAAAQL5//9g/v//Bv8GAAAgVGFibGUuVmVuZEludm9pY2VUcmFucy5JbnZvaWNlSWQJqAEAAAH/+P//YP7//wYCBwAAHVRhYmxlLlZlbmRJbnZvaWNlVHJhbnMuSXRlbUlkCasBAAAB/Pj//2D+//8GBQcAACJUYWJsZS5WZW5kSW52b2ljZVRyYW5zLkludm9pY2VEYXRlCa4BAAAB+fj//2D+//8GCAcAABpUYWJsZS5WZW5kSW52b2ljZVRyYW5zLlF0eQmxAQAAAfb4//9g/v//BgsHAAAgVGFibGUuVmVuZEludm9pY2VUcmFucy5QdXJjaFVuaXQJtAEAAAHz+P//YP7//wYOBwAAIVRhYmxlLlZlbmRJbnZvaWNlVHJhbnMuUHVyY2hQcmljZQm3AQAAAfD4//9g/v//BhEHAAAhVGFibGUuVmVuZEludm9pY2VUcmFucy5MaW5lQW1vdW50CboBAAAB7fj//2D+//8GFAcAACNUYWJsZS5WZW5kSW52b2ljZVRyYW5zLkN1cnJlbmN5Q29kZQm9AQAAAer4//9g/v//BhcHAAAcVGFibGUuVmVuZEludm9pY2VUcmFucy5SZWNJZAnAAQAAB18G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n+P//P/7//wYaBwAAIlRhYmxlLlZlbmRJbnZvaWNlVHJhbnMuSW52b2ljZURhdGUJrAYAAAdhB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k+P//1P///wkwAAAACTEAAAAB4fj//9T///8JNgAAAAk3AAAAAWIGAACLAAAAB4I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j///z8//8JCwYAAAmoBQAAAdv4///8/P//CQ4GAAAJpwUAAAeE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4///8/P//CXAGAAAGKgcAAAZTdHJpbmcB1fj///z8//8JcwYAAAYtBwAADFZlbmRvciBncm91cAeG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L4///8/P//CQsGAAAJwgUAAAHP+P///Pz//wkOBgAACcEFAAAHi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M+P///Pz//wkLBgAACdIFAAAByfj///z8//8JDgYAAAnRBQAAB4o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j///z8//8JcAYAAAnRBQAAAcP4///8/P//CXMGAAAJ0gUAAAHA+P///Pz//wl2BgAABkIHAAAKPVdhcmVob3VzZQeM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34///8/P//CQsGAAAJ7AUAAAG6+P///Pz//wkOBgAACesFAAAHj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+P///Pz//wlwBgAABksHAAAERW51bQG0+P///Pz//wlzBgAABk4HAAAJSXRlbSB0eXBlAbH4///8/P//CXYGAAAGUQcAAAk9SXRlbVR5cGUBlwYAAKIBAAABrvj//zf/////////AAZTBwAABFJlYWwGVAcAAAhEaXNjb3VudAlBAgAAAar4//81////AgAAAAGp+P//y/3//wEAAAAAAAlEAgAABlkHAAAKRGlzY0Ftb3VudAkIAAAACv////8JRAIAAAoJWQcAAAoKCgkIAAAACV4HAAAJCAAAAAGaBgAAogEAAAGg+P//N/////////8ABmEHAAAEUmVhbAZiBwAACkRpc2MuIHBjdC4JQQIAAAGc+P//Nf///wIAAAABm/j//8v9//8BAAAAAAAJRAIAAAZnBwAAC0Rpc2NQZXJjZW50CQgAAAAK/////wlEAgAACglnBwAACgoKCQgAAAAJbAcAAAkIAAAAAaAGAACiAQAAAZL4//83/////////wAGbwcAAARSZWFsBnAHAAAKUHJpY2UgdW5pdAlBAgAAAY74//81////AgAAAAGN+P//y/3//wEAAAAAAAlEAgAABnUHAAAJUHJpY2VVbml0CQgAAAAK/////wlEAgAACgl1BwAACgoKCQgAAAAJegcAAAkIAAAAAawGAADDAQAACUQCAAAJywIAAAkIAAAABn8HAAAYMDguMDEuMjAxNyAuLiAwOC4zMS4yMDE3/////wlEAgAACgnLAgAACgoKCQgAAAAJgwcAAAkIAAAAAccGAADDAQAACUQCAAAGhgcAAApEYXRhQXJlYUlkCQgAAAAJCAAAAP////8JRAIAAAoJhgcAAAoKCgkIAAAACYsHAAAJCAAAAAHKBgAAwwEAAAlEAgAACcsCAAAJCAAAAAkIAAAA/////wlEAgAACgnLAgAACgoKCQgAAAAJkwcAAAkIAAAAAc0GAADDAQAACUQCAAAGlgcAAAlJbnZvaWNlSWQJCAAAAAkIAAAA/////wlEAgAACgmWBwAACgoKCQgAAAAJmwcAAAkIAAAAAdAGAADDAQAACUQCAAAGngcAAAZJdGVtSWQJCAAAAAkIAAAA/////wlEAgAACgmeBwAACgoKCQgAAAAJowcAAAkIAAAAAdMGAADDAQAACUQCAAAGpgcAAAdQdXJjaElECQgAAAAJCAAAAP////8JRAIAAAoJpgcAAAoKCgkIAAAACasHAAAJCAAAAARe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8gEAAAMAAAAJrgcAAARs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8gEAAAMAAAAJsAcAAAR6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8gEAAAMAAAAJsgcAAASDB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MAAAAJ8gEAAAMAAAAJtAcAAAGLBwAAEAAAAAAAAAAJ8gEAAAAAAAABkwcAABAAAAAAAAAACfIBAAAAAAAAAZsHAAAQAAAAAAAAAAnyAQAAAAAAAAGjBwAAEAAAAAAAAAAJ8gEAAAAAAAABqwcAABAAAAAAAAAACfIBAAAAAAAAB64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j///z8//8JFwYAAAlVBgAAAUf4///8/P//CRoGAAAJVAcAAAFE+P///Pz//wkdBgAACVMHAAAHsA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P///Pz//wkXBgAABsEHAAAVUmVtaXNlIGVuIHBvdXJjZW50YWdlAT74///8/P//CRoGAAAJYgcAAAE7+P///Pz//wkdBgAACWEHAAAHsg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4+P///Pz//wkXBgAABsoHAAAxTm9tYnJlIGQndW5pdMOpcyBwb3VyIGxlcXVlbCBsZSBwcml4IGVzdCBpbmRpcXXDqQE1+P///Pz//wkaBgAACXAHAAABMvj///z8//8JHQYAAAlvBwAAB7Q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/j///z8//8JHQYAAAbTBwAABERhdGUBLPj///z8//8JGgYAAAbWBwAABERhdGUBKfj///z8//8G2AcAAAhSZWZlcnNUbwbZBwAACj1EYXRlUmFuZ2UL
    <Output>
      <OutputObject name="AtlasReport_2"/>
    </Output>
  </Query>
</Atlas>
</file>

<file path=customXml/item2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BKg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EAAAABA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EAAAAAQtR2xvYmVTb2Z0d2FyZS5BdGxhczQwLkF0bGFzQ29tbW9uLlR5cGUuQ29sdW1uDgAAAAkUAAAACRUAAAAJFgAAAAkXAAAACRgAAAAJGQAAAAkaAAAACRsAAAAJHAAAAAkdAAAACR4AAAAJHwAAAAkgAAAACSEAAAAJIgAAAAkjAAAADCQ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AAAAAgCAAAABiUAAAAVQXRsYXNSZXBvcnRfMV9UYWJsZV8xCSY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QAAAAICAknAAAABgAAAAY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AAAAAkpAAAACSoAAAAGKwAAAApEYXRhQXJlYUlkBiwAAAAQQ29tcGFueSBhY2NvdW50cwYtAAAABlN0cmluZwYuAAAAAAYvAAAAJDVlY2UwNjgyLTZlYjItNDI5Ny1iZDEzLTBiMzNmNDVhN2M3YwXQ////LUdsb2JlU29mdHdhcmUuQXRsYXM0MC5BdGxhc0NvbW1vbi5BZ2dyZWdhdGlvbgEAAAAHdmFsdWVfXwAIDgAAAP////8AAAAABc////8sR2xvYmVTb2Z0d2FyZS5BdGxhczQwLkF0bGFzQ29tbW9uLkNvbHVtblR5cGUBAAAAB3ZhbHVlX18ACA4AAAAAAAAABc7///8rR2xvYmVTb2Z0d2FyZS5BdGxhczQwLkF0bGFzQ29tbW9uLlNvcnRPcmRlcgEAAAAHdmFsdWVfXwAIDgAAAAIAAAAAAAAAAAXN////QEdsb2JlU29mdHdhcmUuQXRsYXM0MC5BdGxhc0NvbW1vbi5UeXBlLkNvbHVtbitDcm9zc1RhYkNvbHVtblR5cGUBAAAAB3ZhbHVlX18ACA4AAAAAAAAACgEAAAAAAAAAAAAAAAAABjQAAAAkODBkODI3ODMtMmIxYS00YjVmLTljYWUtOGZhYzdkYWFmMDBkBjUAAAAhVGFibGUuQ3VzdEludm9pY2VUcmFucy5EYXRhQXJlYUlkCgoKCgEVAAAAFAAAAAk2AAAACTcAAAAJOAAAAAY5AAAADE9yZGVyQWNjb3VudAY6AAAAEEN1c3RvbWVyIGFjY291bnQGOwAAAAZTdHJpbmcJLgAAAAY9AAAAJDRjMWJmOGJmLTY4ZWItNDJlNy1iODdjLTE0MzA2MjUzYTVkNQHC////0P////////8BAAAAAcH////P////AAAAAAHA////zv///wIAAAAAAAAAAAG/////zf///wAAAAAKAQAAAAAAAAAAAQAAAAAGQgAAACRlNzczM2U0My1iY2QwLTRlZWUtOTgyMC0zMzZmMTVlMzFlMDAGQwAAAENUYWJsZS5DdXN0SW52b2ljZVRyYW5zLkludm9pY2VJZH5UYWJsZS5DdXN0SW52b2ljZUpvdXIuT3JkZXJBY2NvdW50CgoKCgEWAAAAFAAAAAlEAAAACUUAAAAJRgAAAAZHAAAABE5hbWUGSAAAAAROYW1lBkkAAAAGU3RyaW5nCS4AAAAGSwAAACRiMTRhYTFlNy01NGYzLTRkNGYtOTkyNy02N2RkMmE0ODUxYzgBtP///9D/////////AgAAAAGz////z////wAAAAABsv///87///8CAAAAAAAAAAABsf///83///8AAAAACgEAAAAAAAAAAAIAAAAABlAAAAAkOGRmMmNjOTYtMTkyOC00ZGVjLWExZTctODEzNDQ0ZGY5YTdlBlEAAABYVGFibGUuQ3VzdEludm9pY2VUcmFucy5JbnZvaWNlSWR+VGFibGUuQ3VzdEludm9pY2VKb3VyLk9yZGVyQWNjb3VudH5UYWJsZS5DdXN0VGFibGUuTmFtZQoKCgoBFwAAABQAAAAJUgAAAAlTAAAACVQAAAAGVQAAAAdTYWxlc0lkBlYAAAALU2FsZXMgb3JkZXIGVwAAAAZTdHJpbmcJLgAAAAZZAAAAJGQyNWYzYmQ3LTQ5YmUtNDE0MS1iNjJlLTFmMDFjYTRkNTE1NAGm////0P////////8DAAAAAaX////P////AAAAAAGk////zv///wIAAAAAAAAAAAGj////zf///wAAAAAKAQAAAAAAAAAAAwAAAAAGXgAAACRjYzRmMDU0NS00NTI5LTRiYzAtOTg0MS02YWI0MTFkYzY2OWQGXwAAAB5UYWJsZS5DdXN0SW52b2ljZVRyYW5zLlNhbGVzSWQKCgoKARgAAAAUAAAACWAAAAAJYQAAAAliAAAABmMAAAAJSW52b2ljZUlkBmQAAAAHSW52b2ljZQZlAAAABlN0cmluZwkuAAAABmcAAAAkZGUzMGRmOGUtZDBjNC00NjkxLTg5YTEtNmVhMjA3MWM4NWFmAZj////Q/////////wQAAAABl////8////8AAAAAAZb////O////AgAAAAAAAAAAAZX////N////AAAAAAoBAAAAAAAAAAAEAAAAAAZsAAAAJDUyNDM5NTg3LWYxNmYtNGIyMC1iOGU5LWRhYzMzYTAwZjFkYQZtAAAAIFRhYmxlLkN1c3RJbnZvaWNlVHJhbnMuSW52b2ljZUlkCgoKCgEZAAAAFAAAAAluAAAACW8AAAAJcAAAAAZxAAAAEGludmVudExvY2F0aW9uSWQGcgAAAAlXYXJlaG91c2UGcwAAAAZTdHJpbmcJLgAAAAZ1AAAAJDhjYzBmMzExLTY4ODQtNDU1OS1iYzE3LTJiMGRhZDZjMzhlMAGK////0P////////8FAAAAAYn////P////AAAAAAGI////zv///wIAAAAAAAAAAAGH////zf///wAAAAAKAQAAAAAAAAAABQAAAAAGegAAACQxMzE3Y2E5OS0yZjg0LTQ3OWItYWE0ZC04OTM1MzY5YzIyMDgGewAAAEdUYWJsZS5DdXN0SW52b2ljZVRyYW5zLkludm9pY2VJZH5UYWJsZS5DdXN0SW52b2ljZUpvdXIuaW52ZW50TG9jYXRpb25JZAoKCgoBGgAAABQAAAAJfAAAAAl9AAAACX4AAAAGfwAAAAZJdGVtSWQGgAAAAARJdGVtBoEAAAAGU3RyaW5nCS4AAAAGgwAAACQ4ZDYxNTVhZi0xNjViLTQ1MzctOTY2My0wNDk5ZDNmYTJhOWEBfP///9D/////////BgAAAAF7////z////wAAAAABev///87///8CAAAAAAAAAAABef///83///8AAAAACgEAAAAAAAAAAAYAAAAABogAAAAkZDZhOTUxYjctY2RmMC00ODk3LWFhYjAtODNkZjYyYTg1ZTk0BokAAAAdVGFibGUuQ3VzdEludm9pY2VUcmFucy5JdGVtSWQKCgoKARsAAAAUAAAACYoAAAAJiwAAAAmMAAAABo0AAAAISXRlbU5hbWUGjgAAAAlJdGVtIG5hbWUGjwAAAAZTdHJpbmcJLgAAAAaRAAAAJDExMjAyNWI3LWM4OTItNDkxMy04ZjViLTkzYTgyMWY0Y2VkNwFu////0P////////8HAAAAAW3////P////AAAAAAFs////zv///wIAAAAAAAAAAAFr////zf///wAAAAAKAQAAAAAAAAAABwAAAAAGlgAAACQ3ZTMzMjZhNS05OGE1LTQ2ZDctYmI0Yy1hZWUxNmQzMDIzODUGlwAAADhUYWJsZS5DdXN0SW52b2ljZVRyYW5zLkl0ZW1JZH5UYWJsZS5JbnZlbnRUYWJsZS5JdGVtTmFtZQoKCgoBHAAAABQAAAAJmAAAAAmZAAAACZoAAAAGmwAAAAtJbnZvaWNlRGF0ZQacAAAABERhdGUGnQAAAAREYXRlCS4AAAAGnwAAACQ3MWExYzM1OS1mMDljLTQxNmQtOGIyZC03ZGNiMDk5NDU1NTYBYP///9D/////////CAAAAAFf////z////wAAAAABXv///87///8CAAAAAAAAAAABXf///83///8AAAAACgEAAAAAAAAAAAgAAAAABqQAAAAkNjg2NzAxNjEtZTgyNS00MzlhLTgwZjUtZDI2NzMxMDRjMjExBqUAAAAiVGFibGUuQ3VzdEludm9pY2VUcmFucy5JbnZvaWNlRGF0ZQoKCgoBHQAAABQAAAAJpgAAAAmnAAAACagAAAAGqQAAAANRdHkGqgAAAAhRdWFudGl0eQarAAAABFJlYWwJLgAAAAatAAAAJDE1OGFhNDBjLTc1NzctNDEzNi1hY2E0LTRhZWFlNDMyYmQ0YwFS////0P///wEAAAAJAAAAAVH////P////AAAAAAFQ////zv///wIAAAAAAAAAAAFP////zf///wAAAAAKAQAAAAAAAAAACQAAAAAGsgAAACRkNDc1MDRkYi03YTBlLTQwMDQtYTZkOS00YzI2N2Y3ZDg5MDMGswAAABpUYWJsZS5DdXN0SW52b2ljZVRyYW5zLlF0eQoKCgoBHgAAABQAAAAJtAAAAAm1AAAACbYAAAAGtwAAAAlTYWxlc1VuaXQGuAAAAARVbml0BrkAAAAGU3RyaW5nCS4AAAAGuwAAACRjNjljYjllNi1iOTkzLTRlODYtYTcwZi04ODFkZDM1MTAxMGEBRP///9D/////////CgAAAAFD////z////wAAAAABQv///87///8CAAAAAAAAAAABQf///83///8AAAAACgEAAAAAAAAAAAoAAAAABsAAAAAkYzNmZWRkNDUtNWEzZS00MzEyLWI2YjUtZmU3NjBkMjUwMDdlBsEAAAAgVGFibGUuQ3VzdEludm9pY2VUcmFucy5TYWxlc1VuaXQKCgoKAR8AAAAUAAAACcIAAAAJwwAAAAnEAAAABsUAAAAKU2FsZXNQcmljZQbGAAAAClVuaXQgcHJpY2UGxwAAAARSZWFsCS4AAAAGyQAAACQ5NmE0NTYzZi04OWM0LTRhYjYtOTIwMi02ZTBjNGVlY2U4MjEBNv///9D///8BAAAACwAAAAE1////z////wAAAAABNP///87///8CAAAAAAAAAAABM////83///8AAAAACgEAAAAAAAAAAAsAAAAABs4AAAAkMTRiZTcxM2EtYTdkZC00NjU5LWFmNWUtZjA1MDUwNjVhOTg3Bs8AAAAhVGFibGUuQ3VzdEludm9pY2VUcmFucy5TYWxlc1ByaWNlCgoKCgEgAAAAFAAAAAnQAAAACdEAAAAJ0gAAAAbTAAAACkxpbmVBbW91bnQG1AAAAAZBbW91bnQG1QAAAARSZWFsCS4AAAAG1wAAACRiN2ZiN2U1Yi1mNDgxLTQ3NDQtYjFmNC1hN2VmZjUyZjQxNTQBKP///9D///8BAAAADAAAAAEn////z////wAAAAABJv///87///8CAAAAAAAAAAABJf///83///8AAAAACgEAAAAAAAAAAAwAAAAABtwAAAAkYzE1ZmEwZjUtMTk0Ni00YWYzLWIwZTktNGQ2ODQxZjU0ZGFkBt0AAAAhVGFibGUuQ3VzdEludm9pY2VUcmFucy5MaW5lQW1vdW50CgoKCgEhAAAAFAAAAAneAAAACd8AAAAJ4AAAAAbhAAAADEN1cnJlbmN5Q29kZQbiAAAACEN1cnJlbmN5BuMAAAAGU3RyaW5nCS4AAAAG5QAAACQ5N2NiNWZiYy04MTJlLTQxNzctYjM4Ni05YTVlNDdjNjNkNWIBGv///9D/////////DQAAAAEZ////z////wAAAAABGP///87///8CAAAAAAAAAAABF////83///8AAAAACgEAAAAAAAAAAA0AAAAABuoAAAAkNmEzNTE4OWUtMTFhNi00ZDQ2LTg0OWYtZDE4ZGZmZGU0ZDY1BusAAAAjVGFibGUuQ3VzdEludm9pY2VUcmFucy5DdXJyZW5jeUNvZGUKCgoKASIAAAAUAAAACewAAAAJ7QAAAAnuAAAABu8AAAAFUmVjSWQG8AAAAAxSZWNJZCBjb2x1bW4G8QAAAAVJbnQ2NAkuAAAABvMAAAAkMTY0ZWZlMzUtZDRiNi00NjI4LTg0NjctNzA2M2E5ZmI4Mjc1AQz////Q/////////w4AAAABC////8////8AAAAAAQr////O////AgAAAAAAAAAAAQn////N////AAAAAAoBAAAAAAAAAAAOAAAAAAb4AAAAJDRmMzdkNDdmLTYzNjMtNDFjYS05ZjQ5LTNlOTg4NDg1ZThiYgb5AAAAHFRhYmxlLkN1c3RJbnZvaWNlVHJhbnMuUmVjSWQKCgoKASMAAAAUAAAACfoAAAAJ+wAAAAn8AAAABv0AAAA3QXRsYXNNYW5hZ2VkQ29sdW1uX2FhMDY3Mjc0LWU0ZjQtNDQyYy1iZmFjLTU0Yjg3YzNmYmNhOQb+AAAAClRQUCBBbW91bnQJLgAAAAkuAAAABgABAAAkYTNhNzBjZmEtMTRmNi00YWRhLThlNGYtOWJhZTZhMzNjZTEwAf/+///Q////AQAAAA8AAAAB/v7//8////8CAAAAAf3+///O////AgAAAAAAAAAAAfz+///N////AAAAAAoBAAAAAAAAAAAPAAAAAAYFAQAAJDkzM2Q3NWU5LWRjMzAtNDE0OS04YTgwLTgxZDgxMGNmZmNlYQkuAAAACgoKCgUmAAAAOEdsb2JlU29mdHdhcmUuQXRsYXM0MC5BdGxhc0NvbW1vbkNsaWVudC5SZXBvcnQuUmVmZXJlbmNlAQAAAApfcmVmZXJlbmNlBwgkAAAACQcBAAAHJwAAAAABAAAACAAAAAQ8R2xvYmVTb2Z0d2FyZS5BdGxhczQwLkF0bGFzQ29tbW9uQ2xpZW50LkRhdGFTb3VyY2VGaWVsZFZhbHVlJAAAAAkIAQAACQkBAAAJCgEAAAkLAQAACQwBAAAJDQEAAA0CBCg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Q4BAAABAAAAAQAAAAQp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dwAAAAJDwEAAAcAAAAJEAE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EQEAAAcAAAAJEgEAAAE2AAAAKAAAAAkTAQAAAQAAAAEAAAABNwAAACkAAACrAAAACRQBAAAHAAAACRUBAAABOAAAACoAAACoAAAACRYBAAAHAAAACRcBAAABRAAAACgAAAAJGAEAAAEAAAABAAAAAUUAAAApAAAApAAAAAkUAQAABwAAAAkaAQAAAUYAAAAqAAAAoQAAAAkWAQAABwAAAAkcAQAAAVIAAAAoAAAACR0BAAABAAAAAQAAAAFTAAAAKQAAAIgAAAAJHgEAAAcAAAAJHwEAAAFUAAAAKgAAAIUAAAAJIAEAAAcAAAAJIQEAAAFgAAAAKAAAAAkiAQAAAQAAAAEAAAABYQAAACkAAADlAAAACQ8BAAAHAAAACSQBAAABYgAAACoAAADgAAAACREBAAAHAAAACSYBAAABbgAAACgAAAAJJwEAAAEAAAABAAAAAW8AAAApAAAAjwAAAAkeAQAABwAAAAkpAQAAAXAAAAAqAAAAjAAAAAkgAQAABwAAAAkrAQAAAXwAAAAoAAAACSwBAAABAAAAAQAAAAF9AAAAKQAAAOQAAAAJDwEAAAcAAAAJLgEAAAF+AAAAKgAAAOAAAAAJEQEAAAcAAAAJMAEAAAGKAAAAKAAAAAkxAQAAAQAAAAEAAAABiwAAACkAAADOAAAACQ8BAAAHAAAACTMBAAABjAAAACoAAADLAAAACREBAAAHAAAACTUBAAABmAAAACgAAAAJNgEAAAEAAAABAAAAAZkAAAApAAAAxwAAAAkPAQAABwAAAAk4AQAAAZoAAAAqAAAAxAAAAAkRAQAABwAAAAk6AQAAAaYAAAAoAAAACTsBAAABAAAAAQAAAAGnAAAAKQAAAOQAAAAJDwEAAAcAAAAJPQEAAAGoAAAAKgAAAOAAAAAJEQEAAAcAAAAJPwEAAAG0AAAAKAAAAAlAAQAAAQAAAAEAAAABtQAAACkAAACBAAAACUEBAAAHAAAACUIBAAABtgAAACoAAAB+AAAACUMBAAAHAAAACUQBAAABwgAAACgAAAAJRQEAAAEAAAABAAAAAcMAAAApAAAA5AAAAAkPAQAABwAAAAlHAQAAAcQAAAAqAAAA4AAAAAkRAQAABwAAAAlJAQAAAdAAAAAoAAAACUoBAAABAAAAAQAAAAHRAAAAKQAAAOQAAAAJDwEAAAcAAAAJTAEAAAHSAAAAKgAAAOAAAAAJEQEAAAcAAAAJTgEAAAHeAAAAKAAAAAlPAQAAAQAAAAEAAAAB3wAAACkAAADkAAAACQ8BAAAHAAAACVEBAAAB4AAAACoAAADgAAAACREBAAAHAAAACVMBAAAB7AAAACgAAAAJVAEAAAEAAAABAAAAAe0AAAApAAAAegAAAAlVAQAABwAAAAlWAQAAAe4AAAAqAAAAdwAAAAlXAQAABwAAAAlYAQAAAfoAAAAoAAAACVkBAAAAAAAAAAAAAAH7AAAAKQAAAHYAAAAJWgEAAAcAAAAJWwEAAAH8AAAAKgAAAHAAAAAJXAEAAAcAAAAJXQEAAA8HAQAAAQAAAAgBAAAABQgBAAA8R2xvYmVTb2Z0d2FyZS5BdGxhczQwLkF0bGFzQ29tbW9uQ2xpZW50LkRhdGFTb3VyY2VGaWVsZFZhbHVlBAAAABJfaXNEcmlsbERvd25GaWx0ZXIGX2RzS2V5Cl9maWVsZG5hbWULX2ZpZWxkVmFsdWUAAQEBASQAAAAABl4BAAAWVGFibGUuQ3VzdEludm9pY2VUcmFucwZfAQAACkRhdGFBcmVhSWQJBgAAAAEJAQAACAEAAAAJXgEAAAZiAQAABkl0ZW1JZAZjAQAAASoBCgEAAAgBAAAACV4BAAAGZQEAAAtJbnZvaWNlRGF0ZQZmAQAAGDA4LjAxLjIwMTcgLi4gMDguMzEuMjAxNwELAQAACAEAAAAGZwEAAC9UYWJsZS5DdXN0SW52b2ljZVRyYW5zLkl0ZW1JZH5UYWJsZS5JbnZlbnRUYWJsZQZoAQAACEl0ZW1UeXBlBmkBAAAIIVNlcnZpY2UBDAEAAAgBAAAABmoBAAA2VGFibGUuQ3VzdEludm9pY2VUcmFucy5JbnZvaWNlSWR+VGFibGUuQ3VzdEludm9pY2VKb3VyBmsBAAAJQ3VzdEdyb3VwBmwBAAADSUMqAQ0BAAAIAQAAAAlqAQAABm4BAAAQaW52ZW50TG9jYXRpb25JZAZvAQAAASoHDgEAAAABAAAABAAAAAQ3R2xvYmVTb2Z0d2FyZS5BdGxhczQwLkF0bGFzQ29tbW9uLlR5cGUuRmllbGRPdXRwdXRGaWVsZA4AAAAJcAEAAA0DBA8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x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P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Y7+//8yR2xvYmVTb2Z0d2FyZS5BdGxhczQwLkF0bGFzQ29tbW9uLkNvbHVtbkF0dHJpYnV0ZXMBAAAAB3ZhbHVlX18ACA4AAAAJAAAACS4AAAABjP7//4/+//8Bi/7//47+//8LAAAABnYBAAABMAGJ/v//j/7//wGI/v//jv7//wQAAAAGeQEAAAdHZW5lcmFsAYb+//+P/v//AYX+//+O/v//AgAAAAZ8AQAAATEBg/7//4/+//8Bgv7//47+//8AAAAABn8BAAAEMy44NgERAQAADAAAAA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D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gQEAAAhGb250Qm9sZAaCAQAABUZhbHNlAX3+//+A/v//BoQBAAAKRm9udEl0YWxpYwmCAQAAAXr+//+A/v//BocBAAANRm9udFVuZGVybGluZQaIAQAABS00MTQyAXf+//+A/v//BooBAAAIRm9udE5hbWUGiwEAAAdDYWxpYnJpAXT+//+A/v//Bo0BAAAJRm9udENvbG9yBo4BAAABMAFx/v//gP7//waQAQAACEZvbnRTaXplBpEBAAACMTEBbv7//4D+//8GkwEAAAlGb250U3R5bGUGlAEAAAdSZWd1bGFyBxMBAAAAAQAAAAQAAAAEN0dsb2JlU29mdHdhcmUuQXRsYXM0MC5BdGxhc0NvbW1vbi5UeXBlLkZpZWxkT3V0cHV0RmllbGQOAAAACZUBAAANAwEUAQAADwEAAAcV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v7//4/+//8Baf7//47+//8JAAAACS4AAAABZ/7//4/+//8BZv7//47+//8LAAAABpsBAAABMQFk/v//j/7//wFj/v//jv7//wQAAAAGngEAAAdHZW5lcmFsAWH+//+P/v//AWD+//+O/v//AgAAAAahAQAAATEBXv7//4/+//8BXf7//47+//8AAAAABqQBAAAFMTEuNDMBFgEAAAwAAAAHF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v//gP7//wamAQAACEZvbnRCb2xkCYIBAAABWP7//4D+//8GqQEAAApGb250SXRhbGljCYIBAAABVf7//4D+//8GrAEAAA1Gb250VW5kZXJsaW5lBq0BAAAFLTQxNDIBUv7//4D+//8GrwEAAAhGb250TmFtZQawAQAAB0NhbGlicmkBT/7//4D+//8GsgEAAAlGb250Q29sb3IGswEAAAEwAUz+//+A/v//BrUBAAAIRm9udFNpemUGtgEAAAIxMQFJ/v//gP7//wa4AQAACUZvbnRTdHlsZQa5AQAAB1JlZ3VsYXIHGAEAAAABAAAABAAAAAQ3R2xvYmVTb2Z0d2FyZS5BdGxhczQwLkF0bGFzQ29tbW9uLlR5cGUuRmllbGRPdXRwdXRGaWVsZA4AAAAJugEAAA0DBx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F/v//j/7//wFE/v//jv7//wkAAAAJLgAAAAFC/v//j/7//wFB/v//jv7//wsAAAAGwAEAAAEyAT/+//+P/v//AT7+//+O/v//BAAAAAbDAQAAB0dlbmVyYWwBPP7//4/+//8BO/7//47+//8CAAAABsYBAAABMQE5/v//j/7//wE4/v//jv7//wAAAAAGyQEAAAUxNi44Ng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+//+A/v//CaYBAAAJggEAAAEz/v//gP7//wmpAQAACYIBAAABMP7//4D+//8JrAEAAAbSAQAABS00MTQyAS3+//+A/v//Ca8BAAAG1QEAAAdDYWxpYnJpASr+//+A/v//CbIBAAAG2AEAAAEwASf+//+A/v//CbUBAAAG2wEAAAIxMQEk/v//gP7//wm4AQAABt4BAAAHUmVndWxhcgcdAQAAAAEAAAAEAAAABDdHbG9iZVNvZnR3YXJlLkF0bGFzNDAuQXRsYXNDb21tb24uVHlwZS5GaWVsZE91dHB1dEZpZWxkDgAAAAnfAQAADQMBHgEAAA8BAAAHH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D+//+P/v//AR/+//+O/v//CQAAAAkuAAAAAR3+//+P/v//ARz+//+O/v//CwAAAAblAQAAATMBGv7//4/+//8BGf7//47+//8EAAAABugBAAAHR2VuZXJhbAEX/v//j/7//wEW/v//jv7//wIAAAAG6wEAAAExART+//+P/v//ARP+//+O/v//AAAAAAbuAQAAAjE0ASABAAAMAAAABy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f7//4D+//8G8AEAAAhGb250Qm9sZAmCAQAAAQ7+//+A/v//BvMBAAAKRm9udEl0YWxpYwmCAQAAAQv+//+A/v//BvYBAAANRm9udFVuZGVybGluZQb3AQAABS00MTQyAQj+//+A/v//BvkBAAAIRm9udE5hbWUG+gEAAAdDYWxpYnJpAQX+//+A/v//BvwBAAAJRm9udENvbG9yBv0BAAABMAEC/v//gP7//wb/AQAACEZvbnRTaXplBgACAAACMTEB//3//4D+//8GAgIAAAlGb250U3R5bGUGAwIAAAdSZWd1bGFyByIBAAAAAQAAAAQAAAAEN0dsb2JlU29mdHdhcmUuQXRsYXM0MC5BdGxhc0NvbW1vbi5UeXBlLkZpZWxkT3V0cHV0RmllbGQOAAAACQQCAAANAwck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+/3//4/+//8B+v3//47+//8GAAAABgcCAAAFVG90YWwB+P3//4/+//8B9/3//47+//8QAAAABgoCAAAETm9uZQH1/f//j/7//wH0/f//jv7//wkAAAAJLgAAAAHy/f//j/7//wHx/f//jv7//wsAAAAGEAIAAAE0Ae/9//+P/v//Ae79//+O/v//BAAAAAYTAgAAB0dlbmVyYWwB7P3//4/+//8B6/3//47+//8CAAAABhYCAAABMQHp/f//j/7//wHo/f//jv7//wAAAAAGGQIAAAUxMi44Ng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b9//+A/v//CYEBAAAJggEAAAHj/f//gP7//wmEAQAACYIBAAAB4P3//4D+//8JhwEAAAYiAgAABS00MTQyAd39//+A/v//CYoBAAAGJQIAAAdDYWxpYnJpAdr9//+A/v//CY0BAAAGKAIAAAEwAdf9//+A/v//CZABAAAGKwIAAAIxMQHU/f//gP7//wmTAQAABi4CAAAHUmVndWxhcgcnAQAAAAEAAAAEAAAABDdHbG9iZVNvZnR3YXJlLkF0bGFzNDAuQXRsYXNDb21tb24uVHlwZS5GaWVsZE91dHB1dEZpZWxkDgAAAAkvAgAADQMHK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D9//+P/v//Ac/9//+O/v//CQAAAAkuAAAAAc39//+P/v//Acz9//+O/v//CwAAAAY1AgAAATUByv3//4/+//8Byf3//47+//8EAAAABjgCAAAHR2VuZXJhbAHH/f//j/7//wHG/f//jv7//wIAAAAGOwIAAAExAcT9//+P/v//AcP9//+O/v//AAAAAAY+AgAABTEyLjg2Bys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3//4D+//8GQAIAAAhGb250Qm9sZAmCAQAAAb79//+A/v//BkMCAAAKRm9udEl0YWxpYwmCAQAAAbv9//+A/v//BkYCAAANRm9udFVuZGVybGluZQZHAgAABS00MTQyAbj9//+A/v//BkkCAAAIRm9udE5hbWUGSgIAAAdDYWxpYnJpAbX9//+A/v//BkwCAAAJRm9udENvbG9yBk0CAAABMAGy/f//gP7//wZPAgAACEZvbnRTaXplBlACAAACMTEBr/3//4D+//8GUgIAAAlGb250U3R5bGUGUwIAAAdSZWd1bGFyBywBAAAAAQAAAAQAAAAEN0dsb2JlU29mdHdhcmUuQXRsYXM0MC5BdGxhc0NvbW1vbi5UeXBlLkZpZWxkT3V0cHV0RmllbGQOAAAACVQCAAANAwcu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3//4/+//8Bqv3//47+//8QAAAACQoCAAABqP3//4/+//8Bp/3//47+//8JAAAACS4AAAABpf3//4/+//8BpP3//47+//8LAAAABl0CAAABNgGi/f//j/7//wGh/f//jv7//wQAAAAGYAIAAAdHZW5lcmFsAZ/9//+P/v//AZ79//+O/v//AgAAAAZjAgAAATEBnP3//4/+//8Bm/3//47+//8AAAAABmYCAAAFMTguNDMHM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Z/f//gP7//wmBAQAACYIBAAABlv3//4D+//8JhAEAAAmCAQAAAZP9//+A/v//CYcBAAAGbwIAAAUtNDE0MgGQ/f//gP7//wmKAQAABnICAAAHQ2FsaWJyaQGN/f//gP7//wmNAQAABnUCAAABMAGK/f//gP7//wmQAQAABngCAAACMTEBh/3//4D+//8JkwEAAAZ7AgAAB1JlZ3VsYXIHMQEAAAABAAAABAAAAAQ3R2xvYmVTb2Z0d2FyZS5BdGxhczQwLkF0bGFzQ29tbW9uLlR5cGUuRmllbGRPdXRwdXRGaWVsZA4AAAAJfAIAAA0DBzM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D/f//j/7//wGC/f//jv7//wkAAAAJLgAAAAGA/f//j/7//wF//f//jv7//wsAAAAGggIAAAE3AX39//+P/v//AXz9//+O/v//BAAAAAaFAgAAB0dlbmVyYWwBev3//4/+//8Bef3//47+//8CAAAABogCAAABMQF3/f//j/7//wF2/f//jv7//wAAAAAGiwIAAAUyMS40Mwc1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T9//+A/v//CYEBAAAJggEAAAFx/f//gP7//wmEAQAACYIBAAABbv3//4D+//8JhwEAAAaUAgAABS00MTQyAWv9//+A/v//CYoBAAAGlwIAAAdDYWxpYnJpAWj9//+A/v//CY0BAAAGmgIAAAEwAWX9//+A/v//CZABAAAGnQIAAAIxMQFi/f//gP7//wmTAQAABqACAAAHUmVndWxhcgc2AQAAAAEAAAAEAAAABDdHbG9iZVNvZnR3YXJlLkF0bGFzNDAuQXRsYXNDb21tb24uVHlwZS5GaWVsZE91dHB1dEZpZWxkDgAAAAmhAgAADQMHO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79//+P/v//AV39//+O/v//CQAAAAkuAAAAAVv9//+P/v//AVr9//+O/v//CwAAAAanAgAAATgBWP3//4/+//8BV/3//47+//8EAAAABqoCAAAIbS9kL3l5eXkBVf3//4/+//8BVP3//47+//8CAAAABq0CAAABMQFS/f//j/7//wFR/f//jv7//wAAAAAGsAIAAAIxMAc6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9//+A/v//BrICAAAIRm9udEJvbGQJggEAAAFM/f//gP7//wa1AgAACkZvbnRJdGFsaWMJggEAAAFJ/f//gP7//wa4AgAADUZvbnRVbmRlcmxpbmUGuQIAAAUtNDE0MgFG/f//gP7//wa7AgAACEZvbnROYW1lBrwCAAAHQ2FsaWJyaQFD/f//gP7//wa+AgAACUZvbnRDb2xvcga/AgAAATABQP3//4D+//8GwQIAAAhGb250U2l6ZQbCAgAAAjExAT39//+A/v//BsQCAAAJRm9udFN0eWxlBsUCAAAHUmVndWxhcgc7AQAAAAEAAAAEAAAABDdHbG9iZVNvZnR3YXJlLkF0bGFzNDAuQXRsYXNDb21tb24uVHlwZS5GaWVsZE91dHB1dEZpZWxkDgAAAAnGAgAADQMHP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Tn9//+P/v//ATj9//+O/v//EAAAAAkKAgAAATb9//+P/v//ATX9//+O/v//CQAAAAkuAAAAATP9//+P/v//ATL9//+O/v//CwAAAAbPAgAAATkBMP3//4/+//8BL/3//47+//8EAAAABtICAAAvXygqICMsIyMwLjAwXyk7XygqICgjLCMjMC4wMCk7XygqICItIj8/Xyk7XyhAXykBLf3//4/+//8BLP3//47+//8CAAAABtUCAAABMQEq/f//j/7//wEp/f//jv7//wAAAAAG2AIAAAUxMC4yOQc/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f9//+A/v//CYEBAAAJggEAAAEk/f//gP7//wmEAQAACYIBAAABIf3//4D+//8JhwEAAAbhAgAABS00MTQyAR79//+A/v//CYoBAAAG5AIAAAdDYWxpYnJpARv9//+A/v//CY0BAAAG5wIAAAEwARj9//+A/v//CZABAAAG6gIAAAIxMQEV/f//gP7//wmTAQAABu0CAAAHUmVndWxhcgdAAQAAAAEAAAAEAAAABDdHbG9iZVNvZnR3YXJlLkF0bGFzNDAuQXRsYXNDb21tb24uVHlwZS5GaWVsZE91dHB1dEZpZWxkDgAAAAnuAgAADQMBQQEAAA8BAAAHQ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H9//+P/v//ARD9//+O/v//CQAAAAkuAAAAAQ79//+P/v//AQ39//+O/v//CwAAAAb0AgAAAjEwAQv9//+P/v//AQr9//+O/v//BAAAAAb3AgAAB0dlbmVyYWwBCP3//4/+//8BB/3//47+//8CAAAABvoCAAABMQEF/f//j/7//wEE/f//jv7//wAAAAAG/QIAAAQ2LjQzAUMBAAAMAAAAB0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3//4D+//8G/wIAAAhGb250Qm9sZAmCAQAAAf/8//+A/v//BgIDAAAKRm9udEl0YWxpYwmCAQAAAfz8//+A/v//BgUDAAANRm9udFVuZGVybGluZQYGAwAABS00MTQyAfn8//+A/v//BggDAAAIRm9udE5hbWUGCQMAAAdDYWxpYnJpAfb8//+A/v//BgsDAAAJRm9udENvbG9yBgwDAAABMAHz/P//gP7//wYOAwAACEZvbnRTaXplBg8DAAACMTEB8Pz//4D+//8GEQMAAAlGb250U3R5bGUGEgMAAAdSZWd1bGFyB0UBAAAAAQAAAAQAAAAEN0dsb2JlU29mdHdhcmUuQXRsYXM0MC5BdGxhc0NvbW1vbi5UeXBlLkZpZWxkT3V0cHV0RmllbGQOAAAACRMDAAANAwdH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7Pz//4/+//8B6/z//47+//8QAAAACQoCAAAB6fz//4/+//8B6Pz//47+//8JAAAACS4AAAAB5vz//4/+//8B5fz//47+//8LAAAABhwDAAACMTEB4/z//4/+//8B4vz//47+//8EAAAABh8DAAAvXygqICMsIyMwLjAwXyk7XygqICgjLCMjMC4wMCk7XygqICItIj8/Xyk7XyhAXykB4Pz//4/+//8B3/z//47+//8CAAAABiIDAAABMQHd/P//j/7//wHc/P//jv7//wAAAAAGJQMAAAUxMS4yOQd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8//+A/v//CYEBAAAJggEAAAHX/P//gP7//wmEAQAACYIBAAAB1Pz//4D+//8JhwEAAAYuAwAABS00MTQyAdH8//+A/v//CYoBAAAGMQMAAAdDYWxpYnJpAc78//+A/v//CY0BAAAGNAMAAAEwAcv8//+A/v//CZABAAAGNwMAAAIxMQHI/P//gP7//wmTAQAABjoDAAAHUmVndWxhcgdKAQAAAAEAAAAEAAAABDdHbG9iZVNvZnR3YXJlLkF0bGFzNDAuQXRsYXNDb21tb24uVHlwZS5GaWVsZE91dHB1dEZpZWxkDgAAAAk7AwAADQMHT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T8//+P/v//AcP8//+O/v//EAAAAAkKAgAAAcH8//+P/v//AcD8//+O/v//CQAAAAkuAAAAAb78//+P/v//Ab38//+O/v//CwAAAAZEAwAAAjEyAbv8//+P/v//Abr8//+O/v//BAAAAAZHAwAAL18oKiAjLCMjMC4wMF8pO18oKiAoIywjIzAuMDApO18oKiAiLSI/P18pO18oQF8pAbj8//+P/v//Abf8//+O/v//AgAAAAZKAwAAATEBtfz//4/+//8BtPz//47+//8AAAAABk0DAAAFMTEuMjkHT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gP7//wmBAQAACYIBAAABr/z//4D+//8JhAEAAAmCAQAAAaz8//+A/v//CYcBAAAGVgMAAAUtNDE0MgGp/P//gP7//wmKAQAABlkDAAAHQ2FsaWJyaQGm/P//gP7//wmNAQAABlwDAAABMAGj/P//gP7//wmQAQAABl8DAAACMTEBoPz//4D+//8JkwEAAAZiAwAAB1JlZ3VsYXIHTwEAAAABAAAABAAAAAQ3R2xvYmVTb2Z0d2FyZS5BdGxhczQwLkF0bGFzQ29tbW9uLlR5cGUuRmllbGRPdXRwdXRGaWVsZA4AAAAJYwMAAA0DB1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P//j/7//wGb/P//jv7//xAAAAAJCgIAAAGZ/P//j/7//wGY/P//jv7//wkAAAAJLgAAAAGW/P//j/7//wGV/P//jv7//wsAAAAGbAMAAAIxMwGT/P//j/7//wGS/P//jv7//wQAAAAGbwMAAAdHZW5lcmFsAZD8//+P/v//AY/8//+O/v//AgAAAAZyAwAAATEBjfz//4/+//8BjPz//47+//8AAAAABnUDAAAFMTAuNDMHU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K/P//gP7//wmBAQAACYIBAAABh/z//4D+//8JhAEAAAmCAQAAAYT8//+A/v//CYcBAAAGfgMAAAUtNDE0MgGB/P//gP7//wmKAQAABoEDAAAHQ2FsaWJyaQF+/P//gP7//wmNAQAABoQDAAABMAF7/P//gP7//wmQAQAABocDAAACMTEBePz//4D+//8JkwEAAAaKAwAAB1JlZ3VsYXIHVAEAAAABAAAABAAAAAQ3R2xvYmVTb2Z0d2FyZS5BdGxhczQwLkF0bGFzQ29tbW9uLlR5cGUuRmllbGRPdXRwdXRGaWVsZA4AAAAJiwMAAA0DAVUBAAAPAQAAB1Y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0/P//j/7//wFz/P//jv7//wkAAAAJLgAAAAFx/P//j/7//wFw/P//jv7//wsAAAAGkQMAAAIxNAFu/P//j/7//wFt/P//jv7//wQAAAAGlAMAAAdHZW5lcmFsAWv8//+P/v//AWr8//+O/v//AgAAAAaXAwAAATEBaPz//4/+//8BZ/z//47+//8AAAAABpoDAAAFMTQuNDMBVwEAAAwAAAAHW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gP7//wacAwAACEZvbnRCb2xkCYIBAAABYvz//4D+//8GnwMAAApGb250SXRhbGljCYIBAAABX/z//4D+//8GogMAAA1Gb250VW5kZXJsaW5lBqMDAAAFLTQxNDIBXPz//4D+//8GpQMAAAhGb250TmFtZQamAwAAB0NhbGlicmkBWfz//4D+//8GqAMAAAlGb250Q29sb3IGqQMAAAEwAVb8//+A/v//BqsDAAAIRm9udFNpemUGrAMAAAIxMQFT/P//gP7//wauAwAACUZvbnRTdHlsZQavAwAAB1JlZ3VsYXIHWQEAAAABAAAAAAAAAAQ3R2xvYmVTb2Z0d2FyZS5BdGxhczQwLkF0bGFzQ29tbW9uLlR5cGUuRmllbGRPdXRwdXRGaWVsZA4AAAABWgEAAA8BAAA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D8//+P/v//AU/8//+O/v//JAAAAAn+AAAAAU38//+P/v//AUz8//+O/v//CwAAAAa1AwAAAjE1AUr8//+P/v//AUn8//+O/v//BAAAAAa4AwAAL18oKiAjLCMjMC4wMF8pO18oKiAoIywjIzAuMDApO18oKiAiLSI/P18pO18oQF8pAUf8//+P/v//AUb8//+O/v//AgAAAAa7AwAAATEBRPz//4/+//8BQ/z//47+//8AAAAABr4DAAAFMTMuNDMBQfz//4/+//8BQPz//47+//8DAAAABsEDAACEAT1BdGxhc0JhbGFuY2UoIlVBVCIsRGF0YUFyZWFJZCwiVC5NYXJrdXBUcmFucyIsIlN1bXxQb3N0ZWR8MCIsIiIsIiIsIiIsIiIsIiIsIiIsIk1hcmt1cENvZGV8VHJhbnNSZWNJZHxUcmFuc1RhYmxlSWQiLCJUUFAiLCRPMywiNjQiKQFcAQAADAAAAAdd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78//+A/v//BsMDAAAIRm9udEJvbGQJggEAAAE7/P//gP7//wbGAwAACkZvbnRJdGFsaWMJggEAAAE4/P//gP7//wbJAwAADUZvbnRVbmRlcmxpbmUGygMAAAUtNDE0MgE1/P//gP7//wbMAwAACEZvbnROYW1lBs0DAAAHQ2FsaWJyaQEy/P//gP7//wbPAwAACUZvbnRDb2xvcgbQAwAAATABL/z//4D+//8G0gMAAAhGb250U2l6ZQbTAwAAAjExASz8//+A/v//BtUDAAAJRm9udFN0eWxlBtYDAAAHUmVndWxhcgVw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p/P//0P////////8ABtgDAAAGU3RyaW5nBtkDAAAQQ29tcGFueSBhY2NvdW50cwnaAwAAASX8///O////AgAAAAUk/P//OUdsb2JlU29mdHdhcmUuQXRsYXM0MC5BdGxhc0NvbW1vbi5OdW1iZXJTZXF1ZW5jZUNvbmRpdGlvbgEAAAAHdmFsdWVfXwAIDgAAAAEAAAAAAAbdAwAAFlRhYmxlLkN1c3RJbnZvaWNlVHJhbnMJKwAAAAkuAAAACv////8J3QMAAAoJKwAAAAoKCgkuAAAACeMDAAAJLgAAAAGVAQAAcAEAAAEb/P//0P////////8ABuYDAAAGU3RyaW5nBucDAAAQQ3VzdG9tZXIgYWNjb3VudAnoAwAAARf8///O////AgAAAAEW/P//JPz//wEAAAAAAAlqAQAACTkAAAAJLgAAAAr/////CWoBAAAKCTkAAAAG8AMAAAlJbnZvaWNlSWQG8QMAABBDdXN0SW52b2ljZVRyYW5zCgkuAAAACfMDAAAJLgAAAAG6AQAAcAEAAAEL/P//0P////////8ABvYDAAAGU3RyaW5nBvcDAAAETmFtZQn4AwAAAQf8///O////AgAAAAEG/P//JPz//wEAAAAAAAb7AwAAU1RhYmxlLkN1c3RJbnZvaWNlVHJhbnMuSW52b2ljZUlkflRhYmxlLkN1c3RJbnZvaWNlSm91ci5PcmRlckFjY291bnR+VGFibGUuQ3VzdFRhYmxlCUcAAAAJLgAAAAr/////CfsDAAAKCUcAAAAGAAQAAAxPcmRlckFjY291bnQGAQQAAA9DdXN0SW52b2ljZUpvdXIKCS4AAAAJAwQAAAkuAAAAAd8BAABwAQAAAfv7///Q/////////wAGBgQAAAZTdHJpbmcGBwQAAAtTYWxlcyBvcmRlcgkIBAAAAff7///O////AgAAAAH2+///JPz//wEAAAAAAAYLBAAAFlRhYmxlLkN1c3RJbnZvaWNlVHJhbnMJVQAAAAkuAAAACv////8JCwQAAAoJVQAAAAoKCgkuAAAACREEAAAJLgAAAAEEAgAAcAEAAAHt+///0P////////8ABhQEAAAGU3RyaW5nBhUEAAAHSW52b2ljZQkWBAAAAen7///O////AgAAAAHo+///JPz//wEAAAAAAAYZBAAAFlRhYmxlLkN1c3RJbnZvaWNlVHJhbnMJYwAAAAkuAAAACv////8JGQQAAAoJYwAAAAoKCgkuAAAACR8EAAAJLgAAAAEvAgAAcAEAAAHf+///0P////////8ABiIEAAAGU3RyaW5nBiMEAAAJV2FyZWhvdXNlCegDAAAB2/v//87///8CAAAAAdr7//8k/P//AQAAAAAACWoBAAAJcQAAAAkuAAAACv////8JagEAAAoJcQAAAAYsBAAACUludm9pY2VJZAYtBAAAEEN1c3RJbnZvaWNlVHJhbnMKCS4AAAAJLwQAAAkuAAAAAVQCAABwAQAAAc/7///Q/////////wAGMgQAAAZTdHJpbmcGMwQAAARJdGVtCRYEAAABy/v//87///8CAAAAAcr7//8k/P//AQAAAAAACRkEAAAJfwAAAAkuAAAACv////8JGQQAAAoJfwAAAAoKCgkuAAAACT0EAAAJLgAAAAF8AgAAcAEAAAHB+///0P////////8ABkAEAAAGU3RyaW5nBkEEAAAJSXRlbSBuYW1lCUIEAAABvfv//87///8CAAAAAbz7//8k/P//AQAAAAAACWcBAAAJjQAAAAkuAAAACv////8JZwEAAAoJjQAAAAZKBAAABkl0ZW1JZAZLBAAAEEN1c3RJbnZvaWNlVHJhbnMKCS4AAAAJTQQAAAkuAAAAAaECAABwAQAAAbH7///Q/////////wAGUAQAAAREYXRlBlEEAAAERGF0ZQlSBAAAAa37///O////AgAAAAGs+///JPz//wEAAAAAAAZVBAAAFlRhYmxlLkN1c3RJbnZvaWNlVHJhbnMJmwAAAAkuAAAACv////8JVQQAAAoJmwAAAAoKCgkuAAAACVsEAAAJLgAAAAHGAgAAcAEAAAGj+///0P////////8ABl4EAAAEUmVhbAZfBAAACFF1YW50aXR5CRYEAAABn/v//87///8CAAAAAZ77//8k/P//AQAAAAAACRkEAAAJqQAAAAkuAAAACv////8JGQQAAAoJqQAAAAoKCgkuAAAACWkEAAAJLgAAAAHuAgAAcAEAAAGV+///0P////////8ABmwEAAAGU3RyaW5nBm0EAAAEVW5pdAluBAAAAZH7///O////AgAAAAGQ+///JPz//wEAAAAAAAZxBAAAFlRhYmxlLkN1c3RJbnZvaWNlVHJhbnMJtwAAAAkuAAAACv////8JcQQAAAoJtwAAAAoKCgkuAAAACXcEAAAJLgAAAAETAwAAcAEAAAGH+///0P////////8ABnoEAAAEUmVhbAZ7BAAAClVuaXQgcHJpY2UJFgQAAAGD+///zv///wIAAAABgvv//yT8//8BAAAAAAAJGQQAAAnFAAAACS4AAAAK/////wkZBAAACgnFAAAACgoKCS4AAAAJhQQAAAkuAAAAATsDAABwAQAAAXn7///Q/////////wAGiAQAAARSZWFsBokEAAAGQW1vdW50CRYEAAABdfv//87///8CAAAAAXT7//8k/P//AQAAAAAACRkEAAAJ0wAAAAkuAAAACv////8JGQQAAAoJ0wAAAAoKCgkuAAAACZMEAAAJLgAAAAFjAwAAcAEAAAFr+///0P////////8ABpYEAAAGU3RyaW5nBpcEAAAIQ3VycmVuY3kJFgQAAAFn+///zv///wIAAAABZvv//yT8//8BAAAAAAAJGQQAAAnhAAAACS4AAAAK/////wkZBAAACgnhAAAACgoKCS4AAAAJoQQAAAkuAAAAAYsDAABwAQAAAV37///Q/////////wAGpAQAAAVJbnQ2NAalBAAADFJlY0lkIGNvbHVtbgmmBAAAAVn7///O////AgAAAAFY+///JPz//wEAAAAAAAapBAAAFlRhYmxlLkN1c3RJbnZvaWNlVHJhbnMJ7wAAAAkuAAAACv////8JqQQAAAoJ7wAAAAoKCgkuAAAACa8EAAAJLgAAAAXaAw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rEEAAAQQ3VzdEludm9pY2VUcmFucwayBAAAFkN1c3RvbWVyIGludm9pY2UgbGluZXMJLgAAAAkuAAAACS4AAAAFTPv//zBHbG9iZVNvZnR3YXJlLkF0bGFzNDAuQXRsYXNDb21tb24uRGF0YVNvdXJjZVR5cGUBAAAAB3ZhbHVlX18ACA4AAAAAAAAACbUEAAAJtgQAAARJ+///C1N5c3RlbS5HdWlkCwAAAAJfYQJfYgJfYwJfZAJfZQJfZgJfZwJfaAJfaQJfagJfawAAAAAAAAAAAAAACAcHAgICAgICAgLKTU2aLpidS6zqFGRq3UsLCS4AAAAJLgAAAAm5BAAACd0DAAAKCgoKCgEAAAAFRfv//zRHbG9iZVNvZnR3YXJlLkF0bGFzNDAuQXRsYXNDb21tb24uRGF0YVNvdXJjZUpvaW5Nb2RlAQAAAAd2YWx1ZV9fAAgOAAAAAAAAAAVE+///NUdsb2JlU29mdHdhcmUuQXRsYXM0MC5BdGxhc0NvbW1vbi5EYXRhU291cmNlRmV0Y2hNb2RlAQAAAAd2YWx1ZV9fAAgOAAAAAAAAAAAJvQQAAAHjAwAAKgAAAJgAAAAJEQEAAAMAAAAJvwQAAAHoAwAA2gMAAP////8GwAQAAA9DdXN0SW52b2ljZUpvdXIGwQQAABhDdXN0b21lciBpbnZvaWNlIGpvdXJuYWwJLgAAAAkuAAAACS4AAAABPfv//0z7//8AAAAACcQEAAAJxQQAAAE6+///Sfv//7TKUl+MsrJAqHI7x7oz1eQJLgAAAAkuAAAACcgEAAAJagEAAAbKBAAAEEN1c3RJbnZvaWNlVHJhbnMGywQAABZUYWJsZS5DdXN0SW52b2ljZVRyYW5zBswEAAAgVGFibGUuQ3VzdEludm9pY2VUcmFucy5JbnZvaWNlSWQGzQQAAAlJbnZvaWNlSWQGzgQAAAlJbnZvaWNlSWQBAAAAATH7//9F+///AAAAAAEw+///RPv//wAAAAAACdEEAAAB8wMAACoAAABuAAAACRYBAAADAAAACdMEAAAB+AMAANoDAAD/////BtQEAAAJQ3VzdFRhYmxlBtUEAAAJQ3VzdG9tZXJzCS4AAAAJLgAAAAkuAAAAASn7//9M+///AAAAAAnYBAAACdkEAAABJvv//0n7//+tDoc+ZKu6SZd60zMckQ9wCS4AAAAJLgAAAAncBAAACfsDAAAG3gQAAA9DdXN0SW52b2ljZUpvdXIG3wQAADZUYWJsZS5DdXN0SW52b2ljZVRyYW5zLkludm9pY2VJZH5UYWJsZS5DdXN0SW52b2ljZUpvdXIG4AQAAENUYWJsZS5DdXN0SW52b2ljZVRyYW5zLkludm9pY2VJZH5UYWJsZS5DdXN0SW52b2ljZUpvdXIuT3JkZXJBY2NvdW50BuEEAAAMT3JkZXJBY2NvdW50BuIEAAAKQWNjb3VudE51bQEAAAABHfv//0X7//8AAAAAARz7//9E+///AAAAAAAJ5QQAAAEDBAAAKgAAAGgAAAAJFgEAAAMAAAAJ5wQAAAEIBAAA2gMAAP////8G6AQAABBDdXN0SW52b2ljZVRyYW5zBukEAAAWQ3VzdG9tZXIgaW52b2ljZSBsaW5lcwkuAAAACS4AAAAJLgAAAAEV+///TPv//wAAAAAJ7AQAAAntBAAAARL7//9J+///fdPQIwYPaU2eLica6AVPKAkuAAAACS4AAAAJ8AQAAAkLBAAACgoKCgoBAAAAAQ77//9F+///AAAAAAEN+///RPv//wAAAAAACfQEAAABEQQAACoAAABQAAAACSABAAADAAAACfYEAAABFgQAANoDAABAAAAABvcEAAAQQ3VzdEludm9pY2VUcmFucwb4BAAAFkN1c3RvbWVyIGludm9pY2UgbGluZXMJLgAAAAkuAAAACS4AAAABBvv//0z7//8AAAAACfsEAAAJ/AQAAAED+///Sfv//6kO3QJs5+RIkh1lVIhUGHQJLgAAAAkuAAAACf8EAAAJGQQAAAoKCgoKAQAAAAH/+v//Rfv//wAAAAAB/vr//0T7//8AAAAAAAkDBQAAAR8EAAAqAAAAoQAAAAkRAQAAAwAAAAkFBQAAAS8EAAAqAAAAVgAAAAkgAQAAAwAAAAkHBQAAAT0EAAAqAAAAoQAAAAkRAQAAAwAAAAkJBQAAAUIEAADaAwAA/////wYKBQAAC0ludmVudFRhYmxlBgsFAAAFSXRlbXMJLgAAAAkuAAAACS4AAAAB8/r//0z7//8AAAAACQ4FAAAJDwUAAAHw+v//Sfv//4Td9roly0lHrx+A8VvlbFAJLgAAAAkuAAAACRIFAAAJZwEAAAYUBQAAEEN1c3RJbnZvaWNlVHJhbnMGFQUAABZUYWJsZS5DdXN0SW52b2ljZVRyYW5zBhYFAAAdVGFibGUuQ3VzdEludm9pY2VUcmFucy5JdGVtSWQGFwUAAAZJdGVtSWQGGAUAAAZJdGVtSWQBAAAAAef6//9F+///AAAAAAHm+v//RPv//wAAAAAACRsFAAABTQQAACoAAACMAAAACREBAAADAAAACR0FAAABUgQAANoDAAD/////Bh4FAAAQQ3VzdEludm9pY2VUcmFucwYfBQAAFkN1c3RvbWVyIGludm9pY2UgbGluZXMJLgAAAAkuAAAACS4AAAAB3/r//0z7//8AAAAACSIFAAAJIwUAAAHc+v//Sfv//w7o2NwqeC5MmfuRRgusq5YJLgAAAAkuAAAACSYFAAAJVQQAAAoKCgoKAQAAAAHY+v//Rfv//wAAAAAB1/r//0T7//8AAAAAAAkqBQAAAVsEAAAqAAAAhgAAAAkRAQAAAwAAAAksBQAAAWkEAAAqAAAAoQAAAAkRAQAAAwAAAAkuBQAAAW4EAADaAwAA/////wYvBQAAEEN1c3RJbnZvaWNlVHJhbnMGMAUAABZDdXN0b21lciBpbnZvaWNlIGxpbmVzCS4AAAAJLgAAAAkuAAAAAc76//9M+///AAAAAAkzBQAACTQFAAABy/r//0n7//+yLrksWEwuQ6VxolxKTzhICS4AAAAJLgAAAAk3BQAACXEEAAAKCgoKCgEAAAABx/r//0X7//8AAAAAAcb6//9E+///AAAAAAAJOwUAAAF3BAAAKgAAAEoAAAAJQwEAAAMAAAAJPQUAAAGFBAAAKgAAAKEAAAAJEQEAAAMAAAAJPwUAAAGTBAAAKgAAAKEAAAAJEQEAAAMAAAAJQQUAAAGhBAAAKgAAAKEAAAAJEQEAAAMAAAAJQwUAAAGmBAAA2gMAAP////8GRAUAABBDdXN0SW52b2ljZVRyYW5zBkUFAAAWQ3VzdG9tZXIgaW52b2ljZSBsaW5lcwkuAAAACS4AAAAJLgAAAAG5+v//TPv//wAAAAAJSAUAAAlJBQAAAbb6//9J+///xLf5/sUOTUOXMcNT3QnogwkuAAAACS4AAAAJTAUAAAmpBAAACgoKCgoBAAAAAbL6//9F+///AAAAAAGx+v//RPv//wAAAAAACVAFAAABrwQAACoAAABEAAAACVcBAAADAAAACVIFAAAEtQQ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UwUAAAcAAAAJVAUAAAS2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EBAAAAAAAABLkE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TBQAAAAAAAAS9B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XBQAAAAAAAAe/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6//+A/v//BlkFAAAFTGFiZWwJ2QMAAAGl+v//gP7//wZcBQAABFR5cGUJ2AMAAAHEBAAAtQQAAAYAAAAJFgEAAAMAAAAJXwUAAATFB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WAFAAADAAAACWEFAAAEyA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FgEAAAMAAAAJYwUAAAHRBAAAvQQAAAAAAAAJZAUAAAAAAAAH0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+v//gP7//wZmBQAABUxhYmVsCecDAAABmPr//4D+//8GaQUAAARUeXBlCeYDAAAB2AQAALUEAAABAAAACRYBAAADAAAACWwFAAAB2QQAALYEAAAAAAAACWAFAAAAAAAAAdwEAAC5BAAAAAAAAAkWAQAAAAAAAAHlBAAAvQQAAAAAAAAJZAUAAAAAAAAH5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Q+v//gP7//wlmBQAACfcDAAABjfr//4D+//8JaQUAAAn2AwAAAewEAAC1BAAACQAAAAl2BQAAEQAAAAl3BQAABO0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IAEAAAMAAAAJeQUAAATw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l2BQAAAwAAAAl7BQAAAfQEAAC9BAAAAAAAAAl8BQAAAAAAAAf2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P6//+A/v//Bn4FAAAFTGFiZWwJBwQAAAGA+v//gP7//waBBQAABFR5cGUJBgQAAAH7BAAAtQQAAAYAAAAJgwUAAAcAAAAJhAUAAAH8BAAAtgQAAAAAAAAJgwUAAAAAAAAB/wQAALkEAAAAAAAACYMFAAAAAAAAAQMFAAC9BAAAAAAAAAmGBQAAAAAAAAcF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6//+A/v//BogFAAAISGVscFRleHQGiQUAABJOdW3DqXJvIGRlIGZhY3R1cmUBdvr//4D+//8JWQUAAAkVBAAAAXP6//+A/v//CVwFAAAJFAQAAAcH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D6//+A/v//CX4FAAAJIwQAAAFt+v//gP7//wmBBQAACSIEAAAHC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q+v//gP7//wmIBQAABpgFAAATSWRlbnRpZmllIGwnYXJ0aWNsZQFn+v//gP7//wlZBQAACTMEAAABZPr//4D+//8JXAUAAAkyBAAAAQ4FAAC1BAAAAQAAAAkRAQAAAwAAAAmgBQAABA8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YAUAAAMAAAAJogUAAAESBQAAuQQAAAAAAAAJEQEAAAAAAAABGwUAAL0EAAAAAAAACaQFAAAAAAAABx0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/r//4D+//8JWQUAAAlBBAAAAVj6//+A/v//CVwFAAAJQAQAAAEiBQAAtQQAAAgAAAAJqwUAABEAAAAJrAUAAAQj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REBAAADAAAACa4FAAAEJg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qwUAAAMAAAAJsAUAAAEqBQAAvQQAAAAAAAAJsQUAAAAAAAAHL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v//gP7//wlZBQAACVEEAAABS/r//4D+//8JXAUAAAlQBAAABy4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r//4D+//8JiAUAAAa6BQAAJ1F1YW50aXTDqSBmYWN0dXLDqWUgZW4gdW5pdMOpcyBkZSB2ZW50ZQFF+v//gP7//wlZBQAACV8EAAABQvr//4D+//8JXAUAAAleBAAAATMFAAC1BAAACgAAAAnBBQAAEQAAAAnCBQAABDQ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IAAAAJIAEAAAMAAAAJxAUAAAQ3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nBBQAAAwAAAAnGBQAAATsFAAC9BAAAAAAAAAnHBQAAAAAAAAc9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j6//+A/v//BskFAAAFTGFiZWwJbQQAAAE1+v//gP7//wbMBQAABFR5cGUJbAQAAAc/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6//+A/v//CYgFAAAG0AUAAEBWdWUgZCdlbnNlbWJsZSBkdSBwYXJhbcOpdHJhZ2UgZGVzIHByaXggZGUgdmVudGUgcG91ciBsZXMgY2/Du3RzAS/6//+A/v//CVkFAAAJewQAAAEs+v//gP7//wlcBQAACXoEAAAHQQ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p+v//gP7//wmIBQAABtkFAAARTW9udGFudCBlbiBkZXZpc2UBJvr//4D+//8JWQUAAAmJBAAAASP6//+A/v//CVwFAAAJiAQAAAdD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D6//+A/v//CYgFAAAG4gUAABNDb2RlIGRldmlzZSBhY3R1ZWwuAR36//+A/v//CVkFAAAJlwQAAAEa+v//gP7//wlcBQAACZYEAAABSAUAALUEAAALAAAACekFAAARAAAACeoFAAAESQU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lDAQAAAwAAAAnsBQAABEw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ekFAAADAAAACe4FAAABUAUAAL0EAAAAAAAACe8FAAAAAAAAB1I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Pr//4D+//8G8QUAAAVMYWJlbAmlBAAAAQ36//+A/v//BvQFAAAEVHlwZQmkBAAAAVMFAAAMAAAAB1QF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r6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vcFAAAgVGFibGUuQ3VzdEludm9pY2VUcmFucy5JbnZvaWNlSWQJBAIAAAEH+v//Cvr//wb6BQAAHVRhYmxlLkN1c3RJbnZvaWNlVHJhbnMuSXRlbUlkCVQCAAABBPr//wr6//8G/QUAABpUYWJsZS5DdXN0SW52b2ljZVRyYW5zLlF0eQnGAgAAAQH6//8K+v//BgAGAAAhVGFibGUuQ3VzdEludm9pY2VUcmFucy5TYWxlc1ByaWNlCRMDAAAB/vn//wr6//8GAwYAACFUYWJsZS5DdXN0SW52b2ljZVRyYW5zLkxpbmVBbW91bnQJOwMAAAH7+f//Cvr//wYGBgAAI1RhYmxlLkN1c3RJbnZvaWNlVHJhbnMuQ3VycmVuY3lDb2RlCWMDAAAB+Pn//wr6//8GCQYAACFUYWJsZS5DdXN0SW52b2ljZVRyYW5zLkRhdGFBcmVhSWQJcAEAAARXBQ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HXwUAAAABAAAAA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9fn//wr6//8GDAYAAENUYWJsZS5DdXN0SW52b2ljZVRyYW5zLkludm9pY2VJZH5UYWJsZS5DdXN0SW52b2ljZUpvdXIuT3JkZXJBY2NvdW50CZUBAAAB8vn//wr6//8GDwYAAEdUYWJsZS5DdXN0SW52b2ljZVRyYW5zLkludm9pY2VJZH5UYWJsZS5DdXN0SW52b2ljZUpvdXIuaW52ZW50TG9jYXRpb25JZAkvAgAAAWAFAAAMAAAAB2EF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v+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hIGAABAVGFibGUuQ3VzdEludm9pY2VUcmFucy5JbnZvaWNlSWR+VGFibGUuQ3VzdEludm9pY2VKb3VyLkN1c3RHcm91cAkTBgAAAez5///v+f//BhUGAABHVGFibGUuQ3VzdEludm9pY2VUcmFucy5JbnZvaWNlSWR+VGFibGUuQ3VzdEludm9pY2VKb3VyLmludmVudExvY2F0aW9uSWQJFgYAAAdjB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p+f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7AwAACfgDAAABZAUAAFcFAAAHb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5vn//wr6//8GGwYAAFhUYWJsZS5DdXN0SW52b2ljZVRyYW5zLkludm9pY2VJZH5UYWJsZS5DdXN0SW52b2ljZUpvdXIuT3JkZXJBY2NvdW50flRhYmxlLkN1c3RUYWJsZS5OYW1lCboBAAABdgUAAAwAAAAHdwU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/n//wr6//8GHgYAACFUYWJsZS5DdXN0SW52b2ljZVRyYW5zLkRhdGFBcmVhSWQJcAEAAAHg+f//Cvr//wYhBgAAIFRhYmxlLkN1c3RJbnZvaWNlVHJhbnMuSW52b2ljZUlkCQQCAAAB3fn//wr6//8GJAYAAB1UYWJsZS5DdXN0SW52b2ljZVRyYW5zLkl0ZW1JZAlUAgAAAdr5//8K+v//BicGAAAiVGFibGUuQ3VzdEludm9pY2VUcmFucy5JbnZvaWNlRGF0ZQmhAgAAAdf5//8K+v//BioGAAAaVGFibGUuQ3VzdEludm9pY2VUcmFucy5RdHkJxgIAAAHU+f//Cvr//wYtBgAAIVRhYmxlLkN1c3RJbnZvaWNlVHJhbnMuU2FsZXNQcmljZQkTAwAAAdH5//8K+v//BjAGAAAhVGFibGUuQ3VzdEludm9pY2VUcmFucy5MaW5lQW1vdW50CTsDAAABzvn//wr6//8GMwYAACNUYWJsZS5DdXN0SW52b2ljZVRyYW5zLkN1cnJlbmN5Q29kZQljAwAAAcv5//8K+v//BjYGAAAeVGFibGUuQ3VzdEludm9pY2VUcmFucy5TYWxlc0lkCd8BAAAHeQU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cj5///v+f//BjkGAAAdVGFibGUuQ3VzdEludm9pY2VUcmFucy5JdGVtSWQJOgYAAAHF+f//7/n//wY8BgAAIlRhYmxlLkN1c3RJbnZvaWNlVHJhbnMuSW52b2ljZURhdGUJPQYAAAd7BQ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C+f//6fn//wlnAQAACUIEAAABv/n//+n5//8JagEAAAnoAwAAAXwFAABXBQAAAYMFAAAMAAAAB4QF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bz5//8K+v//BkUGAAAgVGFibGUuQ3VzdEludm9pY2VUcmFucy5JbnZvaWNlSWQJBAIAAAG5+f//Cvr//wZIBgAAHVRhYmxlLkN1c3RJbnZvaWNlVHJhbnMuSXRlbUlkCVQCAAABtvn//wr6//8GSwYAABpUYWJsZS5DdXN0SW52b2ljZVRyYW5zLlF0eQnGAgAAAbP5//8K+v//Bk4GAAAhVGFibGUuQ3VzdEludm9pY2VUcmFucy5TYWxlc1ByaWNlCRMDAAABsPn//wr6//8GUQYAACFUYWJsZS5DdXN0SW52b2ljZVRyYW5zLkxpbmVBbW91bnQJOwMAAAGt+f//Cvr//wZUBgAAI1RhYmxlLkN1c3RJbnZvaWNlVHJhbnMuQ3VycmVuY3lDb2RlCWMDAAABhgUAAFcFAAAHoA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qvn//wr6//8GVwYAADhUYWJsZS5DdXN0SW52b2ljZVRyYW5zLkl0ZW1JZH5UYWJsZS5JbnZlbnRUYWJsZS5JdGVtTmFtZQl8AgAAB6I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n+f//7/n//wZaBgAAOFRhYmxlLkN1c3RJbnZvaWNlVHJhbnMuSXRlbUlkflRhYmxlLkludmVudFRhYmxlLkl0ZW1UeXBlCVsGAAABpAUAAFcFAAABqwUAAAwAAAAHrAU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pPn//wr6//8GXQYAACFUYWJsZS5DdXN0SW52b2ljZVRyYW5zLkRhdGFBcmVhSWQJcAEAAAGh+f//Cvr//wZgBgAAIFRhYmxlLkN1c3RJbnZvaWNlVHJhbnMuSW52b2ljZUlkCQQCAAABnvn//wr6//8GYwYAAB1UYWJsZS5DdXN0SW52b2ljZVRyYW5zLkl0ZW1JZAlUAgAAAZv5//8K+v//BmYGAAAaVGFibGUuQ3VzdEludm9pY2VUcmFucy5RdHkJxgIAAAGY+f//Cvr//wZpBgAAIVRhYmxlLkN1c3RJbnZvaWNlVHJhbnMuU2FsZXNQcmljZQkTAwAAAZX5//8K+v//BmwGAAAhVGFibGUuQ3VzdEludm9pY2VUcmFucy5MaW5lQW1vdW50CTsDAAABkvn//wr6//8GbwYAACNUYWJsZS5DdXN0SW52b2ljZVRyYW5zLkN1cnJlbmN5Q29kZQljAwAAAY/5//8K+v//BnIGAAAiVGFibGUuQ3VzdEludm9pY2VUcmFucy5JbnZvaWNlRGF0ZQmhAgAAB64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M+f//7/n//wZ1BgAAHVRhYmxlLkN1c3RJbnZvaWNlVHJhbnMuSXRlbUlkCXYGAAAHsAU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ifn//+n5//8JZwEAAAlCBAAAAbEFAABXBQAAAcEFAAAMAAAAB8IFAAAAAQAAAAo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b5//8K+v//BnsGAAAhVGFibGUuQ3VzdEludm9pY2VUcmFucy5EYXRhQXJlYUlkCXABAAABg/n//wr6//8GfgYAAB5UYWJsZS5DdXN0SW52b2ljZVRyYW5zLlNhbGVzSWQJ3wEAAAGA+f//Cvr//waBBgAAIFRhYmxlLkN1c3RJbnZvaWNlVHJhbnMuSW52b2ljZUlkCQQCAAABffn//wr6//8GhAYAAB1UYWJsZS5DdXN0SW52b2ljZVRyYW5zLkl0ZW1JZAlUAgAAAXr5//8K+v//BocGAAAiVGFibGUuQ3VzdEludm9pY2VUcmFucy5JbnZvaWNlRGF0ZQmhAgAAAXf5//8K+v//BooGAAAaVGFibGUuQ3VzdEludm9pY2VUcmFucy5RdHkJxgIAAAF0+f//Cvr//waNBgAAIVRhYmxlLkN1c3RJbnZvaWNlVHJhbnMuU2FsZXNQcmljZQkTAwAAAXH5//8K+v//BpAGAAAhVGFibGUuQ3VzdEludm9pY2VUcmFucy5MaW5lQW1vdW50CTsDAAABbvn//wr6//8GkwYAACNUYWJsZS5DdXN0SW52b2ljZVRyYW5zLkN1cnJlbmN5Q29kZQljAwAAAWv5//8K+v//BpYGAAAgVGFibGUuQ3VzdEludm9pY2VUcmFucy5TYWxlc1VuaXQJ7gIAAAfEBQ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aPn//+/5//8GmQYAAB1UYWJsZS5DdXN0SW52b2ljZVRyYW5zLkl0ZW1JZAk6BgAAAWX5///v+f//BpwGAAAiVGFibGUuQ3VzdEludm9pY2VUcmFucy5JbnZvaWNlRGF0ZQk9BgAAB8YF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L5///p+f//CWcBAAAJQgQAAAFf+f//6fn//wlqAQAACegDAAABxwUAAFcFAAAB6QUAAAwAAAAH6gU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XPn//wr6//8GpQYAACFUYWJsZS5DdXN0SW52b2ljZVRyYW5zLkRhdGFBcmVhSWQJcAEAAAFZ+f//Cvr//waoBgAAHlRhYmxlLkN1c3RJbnZvaWNlVHJhbnMuU2FsZXNJZAnfAQAAAVb5//8K+v//BqsGAAAgVGFibGUuQ3VzdEludm9pY2VUcmFucy5JbnZvaWNlSWQJBAIAAAFT+f//Cvr//wauBgAAHVRhYmxlLkN1c3RJbnZvaWNlVHJhbnMuSXRlbUlkCVQCAAABUPn//wr6//8GsQYAACJUYWJsZS5DdXN0SW52b2ljZVRyYW5zLkludm9pY2VEYXRlCaECAAABTfn//wr6//8GtAYAABpUYWJsZS5DdXN0SW52b2ljZVRyYW5zLlF0eQnGAgAAAUr5//8K+v//BrcGAAAgVGFibGUuQ3VzdEludm9pY2VUcmFucy5TYWxlc1VuaXQJ7gIAAAFH+f//Cvr//wa6BgAAIVRhYmxlLkN1c3RJbnZvaWNlVHJhbnMuU2FsZXNQcmljZQkTAwAAAUT5//8K+v//Br0GAAAhVGFibGUuQ3VzdEludm9pY2VUcmFucy5MaW5lQW1vdW50CTsDAAABQfn//wr6//8GwAYAACNUYWJsZS5DdXN0SW52b2ljZVRyYW5zLkN1cnJlbmN5Q29kZQljAwAAAT75//8K+v//BsMGAAAcVGFibGUuQ3VzdEludm9pY2VUcmFucy5SZWNJZAmLAwAAB+wF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7+f//7/n//wbGBgAAHVRhYmxlLkN1c3RJbnZvaWNlVHJhbnMuSXRlbUlkCToGAAABOPn//+/5//8GyQYAACJUYWJsZS5DdXN0SW52b2ljZVRyYW5zLkludm9pY2VEYXRlCT0GAAAH7gU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Nfn//+n5//8JZwEAAAlCBAAAATL5///p+f//CWoBAAAJ6AMAAAHvBQAAVwUAAAUTB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agEAAAlrAQAACS4AAAAJbAEAAP////8JagEAAAoJawEAAAbXBgAACUludm9pY2VJZAoKCS4AAAAJ2QYAAAkuAAAAARYGAAATBgAACWoBAAAJbgEAAAkuAAAACW8BAAD/////CWoBAAAKCW4BAAAG4QYAAAlJbnZvaWNlSWQKCgkuAAAACeMGAAAJLgAAAAE6BgAAEwYAAAblBgAAFlRhYmxlLkN1c3RJbnZvaWNlVHJhbnMJYgEAAAkuAAAABugGAAADISIi/////wnlBgAACgliAQAACgoKCS4AAAAJ7AYAAAkuAAAAAT0GAAATBgAACeUGAAAJZQEAAAkuAAAABvEGAAAYMDUuMDEuMjAxNyAuLiAwOC4zMS4yMDE3/////wnlBgAACgllAQAACgoKCS4AAAAJ9QYAAAkuAAAAAVsGAAATBgAACWcBAAAJaAEAAAkuAAAACWkBAAD/////CWcBAAAKCWgBAAAG/QYAAAZJdGVtSWQKCgkuAAAACf8GAAAJLgAAAAF2BgAAEwYAAAYBBwAAFlRhYmxlLkN1c3RJbnZvaWNlVHJhbnMJYgEAAAkuAAAACegGAAD/////CQEHAAAKCWIBAAAKCgoJLgAAAAkIBwAACS4AAAAB2QYAACoAAAAoAAAACQoHAAADAAAACQsHAAAB4wYAACoAAAAtAAAACQoHAAADAAAACQ0HAAAB7AYAACoAAAA2AAAACRYBAAADAAAACQ8HAAAB9QYAACoAAAA+AAAACRYBAAADAAAACREHAAAB/wYAACoAAAAtAAAACQoHAAADAAAACRMHAAABCAcAACoAAAAUAAAACREBAAADAAAACRUHAAABCgcAAAwAAAAHCwc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P//gP7//wYXBwAABFR5cGUGGAcAAAZTdHJpbmcB5/j//4D+//8GGgcAAAVMYWJlbAYbBwAABUdyb3VwBw0H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Pj//4D+//8JFwcAAAkiBAAAAeH4//+A/v//CRoHAAAJIwQAAAHe+P//gP7//wYjBwAACFJlZmVyc1RvBiQHAAAKPVdhcmVob3VzZQcP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v4//+A/v//CWkFAAAGJwcAAAZTdHJpbmcB2Pj//4D+//8JZgUAAAYqBwAABEl0ZW0HEQc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+P//gP7//wlpBQAABi0HAAAERGF0ZQHS+P//gP7//wlmBQAABjAHAAAERGF0ZQHP+P//gP7//wYyBwAACFJlZmVyc1RvBjMHAAAKPURhdGVSYW5nZQcT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4//+A/v//CRcHAAAGNgcAAARFbnVtAcn4//+A/v//CRoHAAAGOQcAAAlJdGVtIHR5cGUBxvj//4D+//8JIwcAAAY8BwAACT1JdGVtVHlwZQcV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P4//+A/v//CVwFAAAGPwcAAAZTdHJpbmcBwPj//4D+//8JWQUAAAZCBwAABEl0ZW0L</Report>
</Atlas>
</file>

<file path=customXml/item3.xml><?xml version="1.0" encoding="utf-8"?>
<Atlas>
  <Query type="ReportList" id="bd06df48-9e25-471c-b09f-23d8e1b8a7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NVQVQEB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QAAAAJEgAAAAcAAAAJEwAAAAQFAAAAuAFTeXN0ZW0uQ29sbGVjdGlvbnMuR2VuZXJpYy5MaXN0YDFbW0dsb2JlU29mdHdhcmUuQXRsYXM0MC5BdGxhc0NvbW1vbi5UeXBlLkNvbHVtbiwgR2xvYmVTb2Z0d2FyZS5BdGxhczQwLkF0bGFzQ29tbW9uLCBWZXJzaW9uPTQuMC4wLjAsIEN1bHR1cmU9bmV1dHJhbCwgUHVibGljS2V5VG9rZW49YWUyMWVjMzU3NWQxMjk5Zl1dAwAAAAZfaXRlbXMFX3NpemUIX3ZlcnNpb24EAAAvR2xvYmVTb2Z0d2FyZS5BdGxhczQwLkF0bGFzQ29tbW9uLlR5cGUuQ29sdW1uW10CAAAACAgJFAAAABAAAAAQAAAABAcAAAB/U3lzdGVtLkNvbGxlY3Rpb25zLkdlbmVyaWMuTGlzdGAxW1tTeXN0ZW0uU3RyaW5nLCBtc2NvcmxpYiwgVmVyc2lvbj00LjAuMC4wLCBDdWx0dXJlPW5ldXRyYWwsIFB1YmxpY0tleVRva2VuPWI3N2E1YzU2MTkzNGUwODldXQMAAAAGX2l0ZW1zBV9zaXplCF92ZXJzaW9uBgAACAgJFQAAAAEAAAABAAAABAkAAADiAVN5c3RlbS5Db2xsZWN0aW9ucy5HZW5lcmljLkRpY3Rpb25hcnlgMltbU3lzdGVtLlN0cmluZywgbXNjb3JsaWIsIFZlcnNpb249NC4wLjAuMCwgQ3VsdHVyZT1uZXV0cmFsLCBQdWJsaWNLZXlUb2tlbj1iNzdhNWM1NjE5MzRlMDg5XSxbU3lzdGVtLk9iamVjdC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VtdBAAAAAkSAAAABwAAAAkXAAAABAoAAAC6AVN5c3RlbS5Db2xsZWN0aW9ucy5HZW5lcmljLkxpc3RgMVtbR2xvYmVTb2Z0d2FyZS5BdGxhczQwLkF0bGFzQ29tbW9uLlR5cGUuRGF0YXZpZXcsIEdsb2JlU29mdHdhcmUuQXRsYXM0MC5BdGxhc0NvbW1vbiwgVmVyc2lvbj00LjAuMC4wLCBDdWx0dXJlPW5ldXRyYWwsIFB1YmxpY0tleVRva2VuPWFlMjFlYzM1NzVkMTI5OWZdXQMAAAAGX2l0ZW1zBV9zaXplCF92ZXJzaW9uBAAAMUdsb2JlU29mdHdhcmUuQXRsYXM0MC5BdGxhc0NvbW1vbi5UeXBlLkRhdGF2aWV3W10CAAAACAgJGAAAAAYAAAACAAAABAsAAACsAlN5c3RlbS5Db2xsZWN0aW9ucy5HZW5lcmljLkRpY3Rpb25hcnl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IsA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VtdNAAAAAkZAAAAEQAAAAkaAAAABAwAAAD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U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1bXQQAAAAJEgAAAAcAAAAJHAAAAAUOAA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C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IAAAA1R2xvYmVTb2Z0d2FyZS5BdGxhczQwLkF0bGFzQ29tbW9uLkRhdGFTb3VyY2VGZXRjaE1vZGUC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D/////Bh0AAAAQQ3VzdEludm9pY2VUcmFucwYeAAAAFkN1c3RvbWVyIGludm9pY2UgbGluZXMJCAAAAAkIAAAACQgAAAAF4P///zBHbG9iZVNvZnR3YXJlLkF0bGFzNDAuQXRsYXNDb21tb24uRGF0YVNvdXJjZVR5cGUBAAAAB3ZhbHVlX18ACAIAAAAAAAAACSEAAAAJIgAAAATd////C1N5c3RlbS5HdWlkCwAAAAJfYQJfYgJfYwJfZAJfZQJfZgJfZwJfaAJfaQJfagJfawAAAAAAAAAAAAAACAcHAgICAgICAgJQx6xgis4kQZJrbIaDCFWoCQgAAAAJCAAAAAklAAAABiYAAAAWVGFibGUuQ3VzdEludm9pY2V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BA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vVGFibGUuQ3VzdEludm9pY2VUcmFucy5JdGVtSWR+VGFibGUuSW52ZW50VGFibGUJMQAAAAHO////1P///wYzAAAANlRhYmxlLkN1c3RJbnZvaWNlVHJhbnMuSW52b2ljZUlkflRhYmxlLkN1c3RJbnZvaWNlSm91cgk0AAAAAcv////U////BjYAAABTVGFibGUuQ3VzdEludm9pY2VUcmFucy5JbnZvaWNlSWR+VGFibGUuQ3VzdEludm9pY2VKb3VyLk9yZGVyQWNjb3VudH5UYWJsZS5DdXN0VGFibGUJNwAAAAcUAAAAAAEAAAAQAAAABC1HbG9iZVNvZnR3YXJlLkF0bGFzNDAuQXRsYXNDb21tb24uVHlwZS5Db2x1bW4CAAAACTgAAAAJOQAAAAk6AAAACTsAAAAJPAAAAAk9AAAACT4AAAAJPwAAAAlAAAAACUEAAAAJQgAAAAlDAAAACUQAAAAJRQAAAAlGAAAACUcAAAARFQAAAAQAAAAGSAAAAA1BdGxhc1JlcG9ydF8x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S3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1////t////wZMAAAAEVRhYmxlLkludmVudFRhYmxlCTAAAAABsv///7f///8GTwAAABVUYWJsZS5DdXN0SW52b2ljZUpvdXIJMwAAAAGv////t////wZSAAAAMlRhYmxlLkN1c3RJbnZvaWNlSm91ci5PcmRlckFjY291bnR+VGFibGUuQ3VzdFRhYmxlCT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Kz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q////z5HbG9iZVNvZnR3YXJlLkF0bGFzNDAuQXRsYXNDb21tb24uVHlwZS5BdGxhc1F1ZXJ5QXR0cmlidXRlTmFtZQEAAAAHdmFsdWVfXwAIAgAAAAIAAAAGVgAAACRiZDA2ZGY0OC05ZTI1LTQ3MWMtYjA5Zi0yM2Q4ZTFiOGE3MjIBqf///6z///8BqP///6v///8AAAAABlkAAAAEdHJ1ZQGm////rP///wGl////q////wsAAAAGXAAAABZDdXN0b21lciBpbnZvaWNlIGxpbmVzAaP///+s////AaL///+r////GwAAAAZfAAAABFRydWUBoP///6z///8Bn////6v///8GAAAABmIAAAAFRmFsc2UBnf///6z///8BnP///6v///8cAAAACV8AAAABmv///6z///8Bmf///6v///8dAAAACWIAAAABl////6z///8Blv///6v///8qAAAACV8AAAABlP///6z///8Bk////6v///8BAAAABm4AAAABKgGR////rP///wGQ////q////ycAAAAGcQAAAAs9RGF0YUFyZWFJZAGO////rP///wGN////q////xkAAAAGdAAAAA9DZWxsc1ZlcnRpY2FsbHkBi////6z///8Biv///6v///8JAAAACgGJ////rP///wGI////q////ygAAAAGeQAAAAIxNgGG////rP///wGF////q////ysAAAAGfA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g/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+AAAAEEN1c3RJbnZvaWNlVHJhbnMBAAAAAYH///+D////BoAAAAALSW52ZW50VGFibGUBAAAAAX////+D////BoIAAAAPQ3VzdEludm9pY2VKb3VyAQAAAAF9////g////waEAAAACUN1c3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sAAAAJhQAAABEAAAAJhg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YgAAAABJQAAAAQAAAACAAAACYUAAAADAAAACYo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iwAAAAAAAAAHKgAAAAABAAAAAAAAAAQtR2xvYmVTb2Z0d2FyZS5BdGxhczQwLkF0bGFzQ29tbW9uLlR5cGUuQ29sdW1uAgAAAAExAAAADgAAAP////8GjAAAAAtJbnZlbnRUYWJsZQaNAAAABUl0ZW1zCQgAAAAJCAAAAAkIAAAAAXH////g////AAAAAAmQAAAACZEAAAABbv///93///+E3fa6JctJR68fgPFb5WxQCQgAAAAJCAAAAAmUAAAACTAAAAAGlgAAABBDdXN0SW52b2ljZVRyYW5zBpcAAAAWVGFibGUuQ3VzdEludm9pY2VUcmFucwaYAAAAHVRhYmxlLkN1c3RJbnZvaWNlVHJhbnMuSXRlbUlkBpkAAAAGSXRlbUlkBpoAAAAGSXRlbUlkAQAAAAFl////2f///wAAAAABZP///9j///8AAAAAAAmdAAAAATQAAAAOAAAA/////waeAAAAD0N1c3RJbnZvaWNlSm91cgafAAAAGEN1c3RvbWVyIGludm9pY2Ugam91cm5hbAkIAAAACQgAAAAJCAAAAAFf////4P///wAAAAAJogAAAAmjAAAAAVz////d////tMpSX4yyskCocjvHujPV5AkIAAAACQgAAAAJpgAAAAkzAAAABqgAAAAQQ3VzdEludm9pY2VUcmFucwapAAAAFlRhYmxlLkN1c3RJbnZvaWNlVHJhbnMGqgAAACBUYWJsZS5DdXN0SW52b2ljZVRyYW5zLkludm9pY2VJZAarAAAACUludm9pY2VJZAasAAAACUludm9pY2VJZAEAAAABU////9n///8AAAAAAVL////Y////AAAAAAAJrwAAAAE3AAAADgAAAP////8GsAAAAAlDdXN0VGFibGUGsQAAAAlDdXN0b21lcnMJCAAAAAkIAAAACQgAAAABTf///+D///8AAAAACbQAAAAJtQAAAAFK////3f///60Ohz5kq7pJl3rTMxyRD3AJCAAAAAkIAAAACbgAAAAJNgAAAAa6AAAAD0N1c3RJbnZvaWNlSm91cga7AAAANlRhYmxlLkN1c3RJbnZvaWNlVHJhbnMuSW52b2ljZUlkflRhYmxlLkN1c3RJbnZvaWNlSm91cga8AAAAQ1RhYmxlLkN1c3RJbnZvaWNlVHJhbnMuSW52b2ljZUlkflRhYmxlLkN1c3RJbnZvaWNlSm91ci5PcmRlckFjY291bnQGvQAAAAxPcmRlckFjY291bnQGvgAAAApBY2NvdW50TnVtAQAAAAFB////2f///wAAAAABQP///9j///8AAAAAAAnBAAAABTg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cIAAAAJwwAAAAnEAAAABsUAAAAKRGF0YUFyZWFJZAbGAAAAEENvbXBhbnkgYWNjb3VudHMGxwAAAAZTdHJpbmcJCAAAAAbJAAAAJDVlY2UwNjgyLTZlYjItNDI5Ny1iZDEzLTBiMzNmNDVhN2M3YwU2////LUdsb2JlU29mdHdhcmUuQXRsYXM0MC5BdGxhc0NvbW1vbi5BZ2dyZWdhdGlvbgEAAAAHdmFsdWVfXwAIAgAAAP////8AAAAABTX///8sR2xvYmVTb2Z0d2FyZS5BdGxhczQwLkF0bGFzQ29tbW9uLkNvbHVtblR5cGUBAAAAB3ZhbHVlX18ACAIAAAAAAAAABTT///8rR2xvYmVTb2Z0d2FyZS5BdGxhczQwLkF0bGFzQ29tbW9uLlNvcnRPcmRlcgEAAAAHdmFsdWVfXwAIAgAAAAIAAAAAAAAAAAUz////QEdsb2JlU29mdHdhcmUuQXRsYXM0MC5BdGxhc0NvbW1vbi5UeXBlLkNvbHVtbitDcm9zc1RhYkNvbHVtblR5cGUBAAAAB3ZhbHVlX18ACAIAAAAAAAAACgEAAAAAAAAAAAAAAAAABs4AAAAkODBkODI3ODMtMmIxYS00YjVmLTljYWUtOGZhYzdkYWFmMDBkBs8AAAAhVGFibGUuQ3VzdEludm9pY2VUcmFucy5EYXRhQXJlYUlkCgoKCgE5AAAAOAAAAAnQAAAACdEAAAAJ0gAAAAbTAAAADE9yZGVyQWNjb3VudAbUAAAAEEN1c3RvbWVyIGFjY291bnQG1QAAAAZTdHJpbmcJCAAAAAbXAAAAJDRjMWJmOGJmLTY4ZWItNDJlNy1iODdjLTE0MzA2MjUzYTVkNQEo////Nv////////8BAAAAASf///81////AAAAAAEm////NP///wIAAAAAAAAAAAEl////M////wAAAAAKAQAAAAAAAAAAAQAAAAAG3AAAACRlNzczM2U0My1iY2QwLTRlZWUtOTgyMC0zMzZmMTVlMzFlMDAG3QAAAENUYWJsZS5DdXN0SW52b2ljZVRyYW5zLkludm9pY2VJZH5UYWJsZS5DdXN0SW52b2ljZUpvdXIuT3JkZXJBY2NvdW50CgoKCgE6AAAAOAAAAAneAAAACd8AAAAJ4AAAAAbhAAAABE5hbWUG4gAAAAROYW1lBuMAAAAGU3RyaW5nCQgAAAAG5QAAACRiMTRhYTFlNy01NGYzLTRkNGYtOTkyNy02N2RkMmE0ODUxYzgBGv///zb/////////AgAAAAEZ////Nf///wAAAAABGP///zT///8CAAAAAAAAAAABF////zP///8AAAAACgEAAAAAAAAAAAIAAAAABuoAAAAkOGRmMmNjOTYtMTkyOC00ZGVjLWExZTctODEzNDQ0ZGY5YTdlBusAAABYVGFibGUuQ3VzdEludm9pY2VUcmFucy5JbnZvaWNlSWR+VGFibGUuQ3VzdEludm9pY2VKb3VyLk9yZGVyQWNjb3VudH5UYWJsZS5DdXN0VGFibGUuTmFtZQoKCgoBOwAAADgAAAAJ7AAAAAntAAAACe4AAAAG7wAAAAdTYWxlc0lkBvAAAAALU2FsZXMgb3JkZXIG8QAAAAZTdHJpbmcJCAAAAAbzAAAAJGQyNWYzYmQ3LTQ5YmUtNDE0MS1iNjJlLTFmMDFjYTRkNTE1NAEM////Nv////////8DAAAAAQv///81////AAAAAAEK////NP///wIAAAAAAAAAAAEJ////M////wAAAAAKAQAAAAAAAAAAAwAAAAAG+AAAACRjYzRmMDU0NS00NTI5LTRiYzAtOTg0MS02YWI0MTFkYzY2OWQG+QAAAB5UYWJsZS5DdXN0SW52b2ljZVRyYW5zLlNhbGVzSWQKCgoKATwAAAA4AAAACfoAAAAJ+wAAAAn8AAAABv0AAAAJSW52b2ljZUlkBv4AAAAHSW52b2ljZQb/AAAABlN0cmluZwkIAAAABgEBAAAkZGUzMGRmOGUtZDBjNC00NjkxLTg5YTEtNmVhMjA3MWM4NWFmAf7+//82/////////wQAAAAB/f7//zX///8AAAAAAfz+//80////AgAAAAAAAAAAAfv+//8z////AAAAAAoBAAAAAAAAAAAEAAAAAAYGAQAAJDUyNDM5NTg3LWYxNmYtNGIyMC1iOGU5LWRhYzMzYTAwZjFkYQYHAQAAIFRhYmxlLkN1c3RJbnZvaWNlVHJhbnMuSW52b2ljZUlkCgoKCgE9AAAAOAAAAAkIAQAACQkBAAAJCgEAAAYLAQAAEGludmVudExvY2F0aW9uSWQGDAEAAAlXYXJlaG91c2UGDQEAAAZTdHJpbmcJCAAAAAYPAQAAJDhjYzBmMzExLTY4ODQtNDU1OS1iYzE3LTJiMGRhZDZjMzhlMAHw/v//Nv////////8FAAAAAe/+//81////AAAAAAHu/v//NP///wIAAAAAAAAAAAHt/v//M////wAAAAAKAQAAAAAAAAAABQAAAAAGFAEAACQxMzE3Y2E5OS0yZjg0LTQ3OWItYWE0ZC04OTM1MzY5YzIyMDgGFQEAAEdUYWJsZS5DdXN0SW52b2ljZVRyYW5zLkludm9pY2VJZH5UYWJsZS5DdXN0SW52b2ljZUpvdXIuaW52ZW50TG9jYXRpb25JZAoKCgoBPgAAADgAAAAJFgEAAAkXAQAACRgBAAAGGQEAAAZJdGVtSWQGGgEAAARJdGVtBhsBAAAGU3RyaW5nCQgAAAAGHQEAACQ4ZDYxNTVhZi0xNjViLTQ1MzctOTY2My0wNDk5ZDNmYTJhOWEB4v7//zb/////////BgAAAAHh/v//Nf///wAAAAAB4P7//zT///8CAAAAAAAAAAAB3/7//zP///8AAAAACgEAAAAAAAAAAAYAAAAABiIBAAAkZDZhOTUxYjctY2RmMC00ODk3LWFhYjAtODNkZjYyYTg1ZTk0BiMBAAAdVGFibGUuQ3VzdEludm9pY2VUcmFucy5JdGVtSWQKCgoKAT8AAAA4AAAACSQBAAAJJQEAAAkmAQAABicBAAAISXRlbU5hbWUGKAEAAAlJdGVtIG5hbWUGKQEAAAZTdHJpbmcJCAAAAAYrAQAAJDExMjAyNWI3LWM4OTItNDkxMy04ZjViLTkzYTgyMWY0Y2VkNwHU/v//Nv////////8HAAAAAdP+//81////AAAAAAHS/v//NP///wIAAAAAAAAAAAHR/v//M////wAAAAAKAQAAAAAAAAAABwAAAAAGMAEAACQ3ZTMzMjZhNS05OGE1LTQ2ZDctYmI0Yy1hZWUxNmQzMDIzODUGMQEAADhUYWJsZS5DdXN0SW52b2ljZVRyYW5zLkl0ZW1JZH5UYWJsZS5JbnZlbnRUYWJsZS5JdGVtTmFtZQoKCgoBQAAAADgAAAAJMgEAAAkzAQAACTQBAAAGNQEAAAtJbnZvaWNlRGF0ZQY2AQAABERhdGUGNwEAAAREYXRlCQgAAAAGOQEAACQ3MWExYzM1OS1mMDljLTQxNmQtOGIyZC03ZGNiMDk5NDU1NTYBxv7//zb/////////CAAAAAHF/v//Nf///wAAAAABxP7//zT///8CAAAAAAAAAAABw/7//zP///8AAAAACgEAAAAAAAAAAAgAAAAABj4BAAAkNjg2NzAxNjEtZTgyNS00MzlhLTgwZjUtZDI2NzMxMDRjMjExBj8BAAAiVGFibGUuQ3VzdEludm9pY2VUcmFucy5JbnZvaWNlRGF0ZQoKCgoBQQAAADgAAAAJQAEAAAlBAQAACUIBAAAGQwEAAANRdHkGRAEAAAhRdWFudGl0eQZFAQAABFJlYWwJCAAAAAZHAQAAJDE1OGFhNDBjLTc1NzctNDEzNi1hY2E0LTRhZWFlNDMyYmQ0YwG4/v//Nv///wEAAAAJAAAAAbf+//81////AAAAAAG2/v//NP///wIAAAAAAAAAAAG1/v//M////wAAAAAKAQAAAAAAAAAACQAAAAAGTAEAACRkNDc1MDRkYi03YTBlLTQwMDQtYTZkOS00YzI2N2Y3ZDg5MDMGTQEAABpUYWJsZS5DdXN0SW52b2ljZVRyYW5zLlF0eQoKCgoBQgAAADgAAAAJTgEAAAlPAQAACVABAAAGUQEAAAlTYWxlc1VuaXQGUgEAAARVbml0BlMBAAAGU3RyaW5nCQgAAAAGVQEAACRjNjljYjllNi1iOTkzLTRlODYtYTcwZi04ODFkZDM1MTAxMGEBqv7//zb/////////CgAAAAGp/v//Nf///wAAAAABqP7//zT///8CAAAAAAAAAAABp/7//zP///8AAAAACgEAAAAAAAAAAAoAAAAABloBAAAkYzNmZWRkNDUtNWEzZS00MzEyLWI2YjUtZmU3NjBkMjUwMDdlBlsBAAAgVGFibGUuQ3VzdEludm9pY2VUcmFucy5TYWxlc1VuaXQKCgoKAUMAAAA4AAAACVwBAAAJXQEAAAleAQAABl8BAAAKU2FsZXNQcmljZQZgAQAAClVuaXQgcHJpY2UGYQEAAARSZWFsCQgAAAAGYwEAACQ5NmE0NTYzZi04OWM0LTRhYjYtOTIwMi02ZTBjNGVlY2U4MjEBnP7//zb///8BAAAACwAAAAGb/v//Nf///wAAAAABmv7//zT///8CAAAAAAAAAAABmf7//zP///8AAAAACgEAAAAAAAAAAAsAAAAABmgBAAAkMTRiZTcxM2EtYTdkZC00NjU5LWFmNWUtZjA1MDUwNjVhOTg3BmkBAAAhVGFibGUuQ3VzdEludm9pY2VUcmFucy5TYWxlc1ByaWNlCgoKCgFEAAAAOAAAAAlqAQAACWsBAAAJbAEAAAZtAQAACkxpbmVBbW91bnQGbgEAAAZBbW91bnQGbwEAAARSZWFsCQgAAAAGcQEAACRiN2ZiN2U1Yi1mNDgxLTQ3NDQtYjFmNC1hN2VmZjUyZjQxNTQBjv7//zb///8BAAAADAAAAAGN/v//Nf///wAAAAABjP7//zT///8CAAAAAAAAAAABi/7//zP///8AAAAACgEAAAAAAAAAAAwAAAAABnYBAAAkYzE1ZmEwZjUtMTk0Ni00YWYzLWIwZTktNGQ2ODQxZjU0ZGFkBncBAAAhVGFibGUuQ3VzdEludm9pY2VUcmFucy5MaW5lQW1vdW50CgoKCgFFAAAAOAAAAAl4AQAACXkBAAAJegEAAAZ7AQAADEN1cnJlbmN5Q29kZQZ8AQAACEN1cnJlbmN5Bn0BAAAGU3RyaW5nCQgAAAAGfwEAACQ5N2NiNWZiYy04MTJlLTQxNzctYjM4Ni05YTVlNDdjNjNkNWIBgP7//zb/////////DQAAAAF//v//Nf///wAAAAABfv7//zT///8CAAAAAAAAAAABff7//zP///8AAAAACgEAAAAAAAAAAA0AAAAABoQBAAAkNmEzNTE4OWUtMTFhNi00ZDQ2LTg0OWYtZDE4ZGZmZGU0ZDY1BoUBAAAjVGFibGUuQ3VzdEludm9pY2VUcmFucy5DdXJyZW5jeUNvZGUKCgoKAUYAAAA4AAAACYYBAAAJhwEAAAmIAQAABokBAAAFUmVjSWQGigEAAAxSZWNJZCBjb2x1bW4GiwEAAAVJbnQ2NAkIAAAABo0BAAAkMTY0ZWZlMzUtZDRiNi00NjI4LTg0NjctNzA2M2E5ZmI4Mjc1AXL+//82/////////w4AAAABcf7//zX///8AAAAAAXD+//80////AgAAAAAAAAAAAW/+//8z////AAAAAAoBAAAAAAAAAAAOAAAAAAaSAQAAJDRmMzdkNDdmLTYzNjMtNDFjYS05ZjQ5LTNlOTg4NDg1ZThiYgaTAQAAHFRhYmxlLkN1c3RJbnZvaWNlVHJhbnMuUmVjSWQKCgoKAUcAAAA4AAAACZQBAAAJlQEAAAmWAQAABpcBAAA3QXRsYXNNYW5hZ2VkQ29sdW1uX2FhMDY3Mjc0LWU0ZjQtNDQyYy1iZmFjLTU0Yjg3YzNmYmNhOQaYAQAAClRQUCBBbW91bnQJCAAAAAkIAAAABpoBAAAkYTNhNzBjZmEtMTRmNi00YWRhLThlNGYtOWJhZTZhMzNjZTEwAWX+//82////AQAAAA8AAAABZP7//zX///8CAAAAAWP+//80////AgAAAAAAAAAAAWL+//8z////AAAAAAoBAAAAAAAAAAAPAAAAAAafAQAAJDkzM2Q3NWU5LWRjMzAtNDE0OS04YTgwLTgxZDgxMGNmZmNlYQkIAAAACgoKCgGFAAAAEgAAAAeGAA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Rf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aiAQAAIVRhYmxlLkN1c3RJbnZvaWNlVHJhbnMuRGF0YUFyZWFJZAmjAQAAAVz+//9f/v//BqUBAAAeVGFibGUuQ3VzdEludm9pY2VUcmFucy5TYWxlc0lkCaYBAAABWf7//1/+//8GqAEAACBUYWJsZS5DdXN0SW52b2ljZVRyYW5zLkludm9pY2VJZAmpAQAAAVb+//9f/v//BqsBAAAdVGFibGUuQ3VzdEludm9pY2VUcmFucy5JdGVtSWQJrAEAAAFT/v//X/7//wauAQAAIlRhYmxlLkN1c3RJbnZvaWNlVHJhbnMuSW52b2ljZURhdGUJrwEAAAFQ/v//X/7//waxAQAAGlRhYmxlLkN1c3RJbnZvaWNlVHJhbnMuUXR5CbIBAAABTf7//1/+//8GtAEAACBUYWJsZS5DdXN0SW52b2ljZVRyYW5zLlNhbGVzVW5pdAm1AQAAAUr+//9f/v//BrcBAAAhVGFibGUuQ3VzdEludm9pY2VUcmFucy5TYWxlc1ByaWNlCbgBAAABR/7//1/+//8GugEAACFUYWJsZS5DdXN0SW52b2ljZVRyYW5zLkxpbmVBbW91bnQJuwEAAAFE/v//X/7//wa9AQAAI1RhYmxlLkN1c3RJbnZvaWNlVHJhbnMuQ3VycmVuY3lDb2RlCb4BAAABQf7//1/+//8GwAEAABxUYWJsZS5DdXN0SW52b2ljZVRyYW5zLlJlY0lkCcEBAAAHiAA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D7+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IAAAAGwwEAAB1UYWJsZS5DdXN0SW52b2ljZVRyYW5zLkl0ZW1JZAnEAQAAATv+//8+/v//BsYBAAAiVGFibGUuQ3VzdEludm9pY2VUcmFucy5JbnZvaWNlRGF0ZQnHAQAAB4o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Tj+///U////CTAAAAAJMQAAAAE1/v//1P///wkzAAAACTQAAAAEi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AZAAAAAhAAAAAQAAAAnOAQAAAwAAAAnPAQAAAZEAAAAiAAAAAQAAAAkSAAAAAwAAAAnRAQAABJ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nOAQAAAAAAAAGdAAAAKQAAAAAAAAAJ0wEAAAAAAAABogAAACEAAAAGAAAACdQBAAADAAAACdUBAAABowAAACIAAAACAAAACRIAAAADAAAACdcBAAABpgAAAAQAAAABAAAACdQBAAADAAAACdkBAAABrwAAACkAAAAAAAAACdoBAAAAAAAAAbQAAAAhAAAAAQAAAAnUAQAAAwAAAAncAQAABLU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Eu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QBAAAAAAAAAcEAAAApAAAAAAAAAAnaAQAAAAAAAATC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gAQAAAQAAAAEAAAAEw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cAAAACeEBAAAHAAAACeIBAAAEx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c4BAAAHAAAACeQBAAAB0AAAAMIAAAAJ5QEAAAEAAAABAAAAAdEAAADDAAAAqwAAAAnmAQAABwAAAAnnAQAABN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nUAQAABwAAAAnpAQAAAd4AAADCAAAACeoBAAABAAAAAQAAAAHfAAAAwwAAAKQAAAAJ5gEAAAcAAAAJ7AEAAAT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1AEAAAcAAAAJ7gEAAAHsAAAAwgAAAAnvAQAAAQAAAAEAAAAB7QAAAMMAAACIAAAACfABAAAHAAAACfEBAAAE7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FAAAACfIBAAAHAAAACfMBAAAB+gAAAMIAAAAJ9AEAAAEAAAABAAAAAfsAAADDAAAA5QAAAAnhAQAABwAAAAn2AQAABP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4AAAAAnOAQAABwAAAAn4AQAAAQgBAADCAAAACfkBAAABAAAAAQAAAAEJAQAAwwAAAI8AAAAJ8AEAAAcAAAAJ+wEAAAQK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YwAAAAJ8gEAAAcAAAAJ/QEAAAEWAQAAwgAAAAn+AQAAAQAAAAEAAAABFwEAAMMAAADkAAAACeEBAAAHAAAACQACAAAEG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gAAAACc4BAAAHAAAACQICAAABJAEAAMIAAAAJAwIAAAEAAAABAAAAASUBAADDAAAAzgAAAAnhAQAABwAAAAkFAgAABCY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wAAAAnOAQAABwAAAAkHAgAAATIBAADCAAAACQgCAAABAAAAAQAAAAEzAQAAwwAAAMcAAAAJ4QEAAAcAAAAJCgIAAAQ0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cQAAAAJzgEAAAcAAAAJDAIAAAFAAQAAwgAAAAkNAgAAAQAAAAEAAAABQQEAAMMAAADkAAAACeEBAAAHAAAACQ8CAAAEQ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gAAAACc4BAAAHAAAACRECAAABTgEAAMIAAAAJEgIAAAEAAAABAAAAAU8BAADDAAAAgQAAAAkTAgAABwAAAAkUAgAABFA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VAgAABwAAAAkWAgAAAVwBAADCAAAACRcCAAABAAAAAQAAAAFdAQAAwwAAAOQAAAAJ4QEAAAcAAAAJGQIAAARe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eAAAAAJzgEAAAcAAAAJGwIAAAFqAQAAwgAAAAkcAgAAAQAAAAEAAAABawEAAMMAAADkAAAACeEBAAAHAAAACR4CAAAEb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gAAAACc4BAAAHAAAACSACAAABeAEAAMIAAAAJIQIAAAEAAAABAAAAAXkBAADDAAAA5AAAAAnhAQAABwAAAAkjAgAABH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4AAAAAnOAQAABwAAAAklAgAAAYYBAADCAAAACSYCAAABAAAAAQAAAAGHAQAAwwAAAHoAAAAJJwIAAAcAAAAJKAIAAASI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XcAAAAJKQIAAAcAAAAJKgIAAAGUAQAAwgAAAAkrAgAAAAAAAAAAAAABlQEAAMMAAAB2AAAACSwCAAAHAAAACS0CAAAEl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wAAAACS4CAAAHAAAACS8CAAAFow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0P3//zb/////////AAYxAgAABlN0cmluZwYyAgAAEENvbXBhbnkgYWNjb3VudHMJMwIAAAHM/f//NP///wIAAAAFy/3//zlHbG9iZVNvZnR3YXJlLkF0bGFzNDAuQXRsYXNDb21tb24uTnVtYmVyU2VxdWVuY2VDb25kaXRpb24BAAAAB3ZhbHVlX18ACAIAAAABAAAAAAAGNgIAABZUYWJsZS5DdXN0SW52b2ljZVRyYW5zCcUAAAAJCAAAAAr/////CTYCAAAKCcUAAAAKCgoJCAAAAAk8AgAACQgAAAABpgEAAKMBAAABwv3//zb/////////AAY/AgAABlN0cmluZwZAAgAAC1NhbGVzIG9yZGVyCUECAAABvv3//zT///8CAAAAAb39///L/f//AQAAAAAABkQCAAAWVGFibGUuQ3VzdEludm9pY2VUcmFucwnvAAAACQgAAAAK/////wlEAgAACgnvAAAACgoKCQgAAAAJSgIAAAkIAAAAAakBAACjAQAAAbT9//82/////////wAGTQIAAAZTdHJpbmcGTgIAAAdJbnZvaWNlCU8CAAABsP3//zT///8CAAAAAa/9///L/f//AQAAAAAABlICAAAWVGFibGUuQ3VzdEludm9pY2VUcmFucwn9AAAACQgAAAAK/////wlSAgAACgn9AAAACgoKCQgAAAAJWAIAAAkIAAAAAawBAACjAQAAAab9//82/////////wAGWwIAAAZTdHJpbmcGXAIAAARJdGVtCU8CAAABov3//zT///8CAAAAAaH9///L/f//AQAAAAAACVICAAAJGQEAAAkIAAAACv////8JUgIAAAoJGQEAAAoKCgkIAAAACWYCAAAJCAAAAAGvAQAAowEAAAGY/f//Nv////////8ABmkCAAAERGF0ZQZqAgAABERhdGUJawIAAAGU/f//NP///wIAAAABk/3//8v9//8BAAAAAAAGbgIAABZUYWJsZS5DdXN0SW52b2ljZVRyYW5zCTUBAAAJCAAAAAr/////CW4CAAAKCTUBAAAKCgoJCAAAAAl0AgAACQgAAAABsgEAAKMBAAABiv3//zb/////////AAZ3AgAABFJlYWwGeAIAAAhRdWFudGl0eQlPAgAAAYb9//80////AgAAAAGF/f//y/3//wEAAAAAAAlSAgAACUMBAAAJCAAAAAr/////CVICAAAKCUMBAAAKCgoJCAAAAAmCAgAACQgAAAABtQEAAKMBAAABfP3//zb/////////AAaFAgAABlN0cmluZwaGAgAABFVuaXQJhwIAAAF4/f//NP///wIAAAABd/3//8v9//8BAAAAAAAGigIAABZUYWJsZS5DdXN0SW52b2ljZVRyYW5zCVEBAAAJCAAAAAr/////CYoCAAAKCVEBAAAKCgoJCAAAAAmQAgAACQgAAAABuAEAAKMBAAABbv3//zb/////////AAaTAgAABFJlYWwGlAIAAApVbml0IHByaWNlCU8CAAABav3//zT///8CAAAAAWn9///L/f//AQAAAAAACVICAAAJXwEAAAkIAAAACv////8JUgIAAAoJXwEAAAoKCgkIAAAACZ4CAAAJCAAAAAG7AQAAowEAAAFg/f//Nv////////8ABqECAAAEUmVhbAaiAgAABkFtb3VudAlPAgAAAVz9//80////AgAAAAFb/f//y/3//wEAAAAAAAlSAgAACW0BAAAJCAAAAAr/////CVICAAAKCW0BAAAKCgoJCAAAAAmsAgAACQgAAAABvgEAAKMBAAABUv3//zb/////////AAavAgAABlN0cmluZwawAgAACEN1cnJlbmN5CU8CAAABTv3//zT///8CAAAAAU39///L/f//AQAAAAAACVICAAAJewEAAAkIAAAACv////8JUgIAAAoJewEAAAoKCgkIAAAACboCAAAJCAAAAAHBAQAAowEAAAFE/f//Nv////////8ABr0CAAAFSW50NjQGvgIAAAxSZWNJZCBjb2x1bW4JvwIAAAFA/f//NP///wIAAAABP/3//8v9//8BAAAAAAAGwgIAABZUYWJsZS5DdXN0SW52b2ljZVRyYW5zCYkBAAAJCAAAAAr/////CcICAAAKCYkBAAAKCgoJCAAAAAnIAgAACQgAAAAFxA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soCAAAWVGFibGUuQ3VzdEludm9pY2VUcmFucwbLAgAABkl0ZW1JZAkIAAAABs0CAAABKv////8JygIAAAoJywIAAAoKCgkIAAAACdECAAAJCAAAAAHHAQAAxAEAAAnKAgAABtQCAAALSW52b2ljZURhdGUJCAAAAAbWAgAAGDA4LjAxLjIwMTcgLi4gMDguMzEuMjAxN/////8JygIAAAoJ1AIAAAoKCgkIAAAACdoCAAAJCAAAAAHOAQAAEgAAAAfP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k/f//X/7//wbdAgAAOFRhYmxlLkN1c3RJbnZvaWNlVHJhbnMuSXRlbUlkflRhYmxlLkludmVudFRhYmxlLkl0ZW1OYW1lCd4CAAAH0Q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H9//8+/v//BuACAAA4VGFibGUuQ3VzdEludm9pY2VUcmFucy5JdGVtSWR+VGFibGUuSW52ZW50VGFibGUuSXRlbVR5cGUJ4QIAAAHTAQAAiwAAAAHUAQAAEgAAAAfVAQAAAAEAAAAC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f//X/7//wbjAgAAQ1RhYmxlLkN1c3RJbnZvaWNlVHJhbnMuSW52b2ljZUlkflRhYmxlLkN1c3RJbnZvaWNlSm91ci5PcmRlckFjY291bnQJ5AIAAAEb/f//X/7//wbmAgAAR1RhYmxlLkN1c3RJbnZvaWNlVHJhbnMuSW52b2ljZUlkflRhYmxlLkN1c3RJbnZvaWNlSm91ci5pbnZlbnRMb2NhdGlvbklkCecCAAAH1wE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Rj9//8+/v//BukCAABAVGFibGUuQ3VzdEludm9pY2VUcmFucy5JbnZvaWNlSWR+VGFibGUuQ3VzdEludm9pY2VKb3VyLkN1c3RHcm91cAnqAgAAARX9//8+/v//BuwCAABHVGFibGUuQ3VzdEludm9pY2VUcmFucy5JbnZvaWNlSWR+VGFibGUuQ3VzdEludm9pY2VKb3VyLmludmVudExvY2F0aW9uSWQJ7QIAAAfZAQ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ES/f//1P///wk2AAAACTcAAAAB2gEAAIsAAAAH3AE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D/3//1/+//8G8gIAAFhUYWJsZS5DdXN0SW52b2ljZVRyYW5zLkludm9pY2VJZH5UYWJsZS5DdXN0SW52b2ljZUpvdXIuT3JkZXJBY2NvdW50flRhYmxlLkN1c3RUYWJsZS5OYW1lCfMCAAAH4AEAAAABAAAABAAAAAQ3R2xvYmVTb2Z0d2FyZS5BdGxhczQwLkF0bGFzQ29tbW9uLlR5cGUuRmllbGRPdXRwdXRGaWVsZAIAAAAJowEAAA0DBOE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+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L/f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Qr9//8yR2xvYmVTb2Z0d2FyZS5BdGxhczQwLkF0bGFzQ29tbW9uLkNvbHVtbkF0dHJpYnV0ZXMBAAAAB3ZhbHVlX18ACAIAAAAJAAAACQgAAAABCP3//wv9//8BB/3//wr9//8LAAAABvoCAAABMAEF/f//C/3//wEE/f//Cv3//wQAAAAG/QIAAAdHZW5lcmFsAQL9//8L/f//AQH9//8K/f//AgAAAAYAAwAAATEB//z//wv9//8B/vz//wr9//8AAAAABgMDAAAEMy44Ngfk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z8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QMAAAhGb250Qm9sZAYGAwAABUZhbHNlAfn8///8/P//BggDAAAKRm9udEl0YWxpYwkGAwAAAfb8///8/P//BgsDAAANRm9udFVuZGVybGluZQYMAwAABS00MTQyAfP8///8/P//Bg4DAAAIRm9udE5hbWUGDwMAAAdDYWxpYnJpAfD8///8/P//BhEDAAAJRm9udENvbG9yBhIDAAABMAHt/P///Pz//wYUAwAACEZvbnRTaXplBhUDAAACMTEB6vz///z8//8GFwMAAAlGb250U3R5bGUGGAMAAAdSZWd1bGFyB+UBAAAAAQAAAAQAAAAEN0dsb2JlU29mdHdhcmUuQXRsYXM0MC5BdGxhc0NvbW1vbi5UeXBlLkZpZWxkT3V0cHV0RmllbGQCAAAACeQCAAANAwHmAQAA4QEAAAfn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z//wv9//8B5fz//wr9//8JAAAACQgAAAAB4/z//wv9//8B4vz//wr9//8LAAAABh8DAAABMQHg/P//C/3//wHf/P//Cv3//wQAAAAGIgMAAAdHZW5lcmFsAd38//8L/f//Adz8//8K/f//AgAAAAYlAwAAATEB2vz//wv9//8B2fz//wr9//8AAAAABigDAAAFMTEuNDMH6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P///Pz//wYqAwAACEZvbnRCb2xkCQYDAAAB1Pz///z8//8GLQMAAApGb250SXRhbGljCQYDAAAB0fz///z8//8GMAMAAA1Gb250VW5kZXJsaW5lBjEDAAAFLTQxNDIBzvz///z8//8GMwMAAAhGb250TmFtZQY0AwAAB0NhbGlicmkBy/z///z8//8GNgMAAAlGb250Q29sb3IGNwMAAAEwAcj8///8/P//BjkDAAAIRm9udFNpemUGOgMAAAIxMQHF/P///Pz//wY8AwAACUZvbnRTdHlsZQY9AwAAB1JlZ3VsYXIH6gEAAAABAAAABAAAAAQ3R2xvYmVTb2Z0d2FyZS5BdGxhczQwLkF0bGFzQ29tbW9uLlR5cGUuRmllbGRPdXRwdXRGaWVsZAIAAAAJ8wIAAA0DB+w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P//C/3//wHA/P//Cv3//wkAAAAJCAAAAAG+/P//C/3//wG9/P//Cv3//wsAAAAGRAMAAAEyAbv8//8L/f//Abr8//8K/f//BAAAAAZHAwAAB0dlbmVyYWwBuPz//wv9//8Bt/z//wr9//8CAAAABkoDAAABMQG1/P//C/3//wG0/P//Cv3//wAAAAAGTQMAAAUxNi44Ngf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8///8/P//CSoDAAAJBgMAAAGv/P///Pz//wktAwAACQYDAAABrPz///z8//8JMAMAAAZWAwAABS00MTQyAan8///8/P//CTMDAAAGWQMAAAdDYWxpYnJpAab8///8/P//CTYDAAAGXAMAAAEwAaP8///8/P//CTkDAAAGXwMAAAIxMQGg/P///Pz//wk8AwAABmIDAAAHUmVndWxhcgfvAQAAAAEAAAAEAAAABDdHbG9iZVNvZnR3YXJlLkF0bGFzNDAuQXRsYXNDb21tb24uVHlwZS5GaWVsZE91dHB1dEZpZWxkAgAAAAmmAQAADQMB8AEAAOEBAAAH8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z8//8L/f//AZv8//8K/f//CQAAAAkIAAAAAZn8//8L/f//AZj8//8K/f//CwAAAAZpAwAAATMBlvz//wv9//8Blfz//wr9//8EAAAABmwDAAAHR2VuZXJhbAGT/P//C/3//wGS/P//Cv3//wIAAAAGbwMAAAExAZD8//8L/f//AY/8//8K/f//AAAAAAZyAwAAAjE0AfIBAAASAAAAB/M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z///z8//8GdAMAAAhGb250Qm9sZAkGAwAAAYr8///8/P//BncDAAAKRm9udEl0YWxpYwkGAwAAAYf8///8/P//BnoDAAANRm9udFVuZGVybGluZQZ7AwAABS00MTQyAYT8///8/P//Bn0DAAAIRm9udE5hbWUGfgMAAAdDYWxpYnJpAYH8///8/P//BoADAAAJRm9udENvbG9yBoEDAAABMAF+/P///Pz//waDAwAACEZvbnRTaXplBoQDAAACMTEBe/z///z8//8GhgMAAAlGb250U3R5bGUGhwMAAAdSZWd1bGFyB/QBAAAAAQAAAAQAAAAEN0dsb2JlU29mdHdhcmUuQXRsYXM0MC5BdGxhc0NvbW1vbi5UeXBlLkZpZWxkT3V0cHV0RmllbGQCAAAACakBAAANAwf2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d/z//wv9//8Bdvz//wr9//8GAAAABosDAAAFVG90YWwBdPz//wv9//8Bc/z//wr9//8QAAAABo4DAAAETm9uZQFx/P//C/3//wFw/P//Cv3//wkAAAAJCAAAAAFu/P//C/3//wFt/P//Cv3//wsAAAAGlAMAAAE0AWv8//8L/f//AWr8//8K/f//BAAAAAaXAwAAB0dlbmVyYWwBaPz//wv9//8BZ/z//wr9//8CAAAABpoDAAABMQFl/P//C/3//wFk/P//Cv3//wAAAAAGnQMAAAUxMi44Ngf4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L8///8/P//CQUDAAAJBgMAAAFf/P///Pz//wkIAwAACQYDAAABXPz///z8//8JCwMAAAamAwAABS00MTQyAVn8///8/P//CQ4DAAAGqQMAAAdDYWxpYnJpAVb8///8/P//CREDAAAGrAMAAAEwAVP8///8/P//CRQDAAAGrwMAAAIxMQFQ/P///Pz//wkXAwAABrIDAAAHUmVndWxhcgf5AQAAAAEAAAAEAAAABDdHbG9iZVNvZnR3YXJlLkF0bGFzNDAuQXRsYXNDb21tb24uVHlwZS5GaWVsZE91dHB1dEZpZWxkAgAAAAnnAgAADQMH+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z8//8L/f//AUv8//8K/f//CQAAAAkIAAAAAUn8//8L/f//AUj8//8K/f//CwAAAAa5AwAAATUBRvz//wv9//8BRfz//wr9//8EAAAABrwDAAAHR2VuZXJhbAFD/P//C/3//wFC/P//Cv3//wIAAAAGvwMAAAExAUD8//8L/f//AT/8//8K/f//AAAAAAbCAwAABTEyLjg2B/0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z///z8//8GxAMAAAhGb250Qm9sZAkGAwAAATr8///8/P//BscDAAAKRm9udEl0YWxpYwkGAwAAATf8///8/P//BsoDAAANRm9udFVuZGVybGluZQbLAwAABS00MTQyATT8///8/P//Bs0DAAAIRm9udE5hbWUGzgMAAAdDYWxpYnJpATH8///8/P//BtADAAAJRm9udENvbG9yBtEDAAABMAEu/P///Pz//wbTAwAACEZvbnRTaXplBtQDAAACMTEBK/z///z8//8G1gMAAAlGb250U3R5bGUG1wMAAAdSZWd1bGFyB/4BAAAAAQAAAAQAAAAEN0dsb2JlU29mdHdhcmUuQXRsYXM0MC5BdGxhc0NvbW1vbi5UeXBlLkZpZWxkT3V0cHV0RmllbGQCAAAACawBAAANAwcA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/z//wv9//8BJvz//wr9//8QAAAACY4DAAABJPz//wv9//8BI/z//wr9//8JAAAACQgAAAABIfz//wv9//8BIPz//wr9//8LAAAABuEDAAABNgEe/P//C/3//wEd/P//Cv3//wQAAAAG5AMAAAdHZW5lcmFsARv8//8L/f//ARr8//8K/f//AgAAAAbnAwAAATEBGPz//wv9//8BF/z//wr9//8AAAAABuoDAAAFMTguNDMHA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V/P///Pz//wkFAwAACQYDAAABEvz///z8//8JCAMAAAkGAwAAAQ/8///8/P//CQsDAAAG8wMAAAUtNDE0MgEM/P///Pz//wkOAwAABvYDAAAHQ2FsaWJyaQEJ/P///Pz//wkRAwAABvkDAAABMAEG/P///Pz//wkUAwAABvwDAAACMTEBA/z///z8//8JFwMAAAb/AwAAB1JlZ3VsYXIHAwIAAAABAAAABAAAAAQ3R2xvYmVTb2Z0d2FyZS5BdGxhczQwLkF0bGFzQ29tbW9uLlR5cGUuRmllbGRPdXRwdXRGaWVsZAIAAAAJ3gIAAA0DBwU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/+///C/3//wH++///Cv3//wkAAAAJCAAAAAH8+///C/3//wH7+///Cv3//wsAAAAGBgQAAAE3Afn7//8L/f//Afj7//8K/f//BAAAAAYJBAAAB0dlbmVyYWwB9vv//wv9//8B9fv//wr9//8CAAAABgwEAAABMQHz+///C/3//wHy+///Cv3//wAAAAAGDwQAAAUyMS40MwcH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D7///8/P//CQUDAAAJBgMAAAHt+////Pz//wkIAwAACQYDAAAB6vv///z8//8JCwMAAAYYBAAABS00MTQyAef7///8/P//CQ4DAAAGGwQAAAdDYWxpYnJpAeT7///8/P//CREDAAAGHgQAAAEwAeH7///8/P//CRQDAAAGIQQAAAIxMQHe+////Pz//wkXAwAABiQEAAAHUmVndWxhcgcIAgAAAAEAAAAEAAAABDdHbG9iZVNvZnR3YXJlLkF0bGFzNDAuQXRsYXNDb21tb24uVHlwZS5GaWVsZE91dHB1dEZpZWxkAgAAAAmvAQAADQMHCg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r7//8L/f//Adn7//8K/f//CQAAAAkIAAAAAdf7//8L/f//Adb7//8K/f//CwAAAAYrBAAAATgB1Pv//wv9//8B0/v//wr9//8EAAAABi4EAAAIbS9kL3l5eXkB0fv//wv9//8B0Pv//wr9//8CAAAABjEEAAABMQHO+///C/3//wHN+///Cv3//wAAAAAGNAQAAAIxMAcM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v7///8/P//BjYEAAAIRm9udEJvbGQJBgMAAAHI+////Pz//wY5BAAACkZvbnRJdGFsaWMJBgMAAAHF+////Pz//wY8BAAADUZvbnRVbmRlcmxpbmUGPQQAAAUtNDE0MgHC+////Pz//wY/BAAACEZvbnROYW1lBkAEAAAHQ2FsaWJyaQG/+////Pz//wZCBAAACUZvbnRDb2xvcgZDBAAAATABvPv///z8//8GRQQAAAhGb250U2l6ZQZGBAAAAjExAbn7///8/P//BkgEAAAJRm9udFN0eWxlBkkEAAAHUmVndWxhcgcNAgAAAAEAAAAEAAAABDdHbG9iZVNvZnR3YXJlLkF0bGFzNDAuQXRsYXNDb21tb24uVHlwZS5GaWVsZE91dHB1dEZpZWxkAgAAAAmyAQAADQMHDw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X7//8L/f//AbT7//8K/f//EAAAAAmOAwAAAbL7//8L/f//AbH7//8K/f//CQAAAAkIAAAAAa/7//8L/f//Aa77//8K/f//CwAAAAZTBAAAATkBrPv//wv9//8Bq/v//wr9//8EAAAABlYEAAAvXygqICMsIyMwLjAwXyk7XygqICgjLCMjMC4wMCk7XygqICItIj8/Xyk7XyhAXykBqfv//wv9//8BqPv//wr9//8CAAAABlkEAAABMQGm+///C/3//wGl+///Cv3//wAAAAAGXAQAAAUxMC4yOQcR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P7///8/P//CQUDAAAJBgMAAAGg+////Pz//wkIAwAACQYDAAABnfv///z8//8JCwMAAAZlBAAABS00MTQyAZr7///8/P//CQ4DAAAGaAQAAAdDYWxpYnJpAZf7///8/P//CREDAAAGawQAAAEwAZT7///8/P//CRQDAAAGbgQAAAIxMQGR+////Pz//wkXAwAABnEEAAAHUmVndWxhcgcSAgAAAAEAAAAEAAAABDdHbG9iZVNvZnR3YXJlLkF0bGFzNDAuQXRsYXNDb21tb24uVHlwZS5GaWVsZE91dHB1dEZpZWxkAgAAAAm1AQAADQMBEwIAAOEBAAAHFAI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37//8L/f//AYz7//8K/f//CQAAAAkIAAAAAYr7//8L/f//AYn7//8K/f//CwAAAAZ4BAAAAjEwAYf7//8L/f//AYb7//8K/f//BAAAAAZ7BAAAB0dlbmVyYWwBhPv//wv9//8Bg/v//wr9//8CAAAABn4EAAABMQGB+///C/3//wGA+///Cv3//wAAAAAGgQQAAAQ2LjQzARUCAAASAAAABxYC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v///z8//8GgwQAAAhGb250Qm9sZAkGAwAAAXv7///8/P//BoYEAAAKRm9udEl0YWxpYwkGAwAAAXj7///8/P//BokEAAANRm9udFVuZGVybGluZQaKBAAABS00MTQyAXX7///8/P//BowEAAAIRm9udE5hbWUGjQQAAAdDYWxpYnJpAXL7///8/P//Bo8EAAAJRm9udENvbG9yBpAEAAABMAFv+////Pz//waSBAAACEZvbnRTaXplBpMEAAACMTEBbPv///z8//8GlQQAAAlGb250U3R5bGUGlgQAAAdSZWd1bGFyBxcCAAAAAQAAAAQAAAAEN0dsb2JlU29mdHdhcmUuQXRsYXM0MC5BdGxhc0NvbW1vbi5UeXBlLkZpZWxkT3V0cHV0RmllbGQCAAAACbgBAAANAwcZAg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Pv//wv9//8BZ/v//wr9//8QAAAACY4DAAABZfv//wv9//8BZPv//wr9//8JAAAACQgAAAABYvv//wv9//8BYfv//wr9//8LAAAABqAEAAACMTEBX/v//wv9//8BXvv//wr9//8EAAAABqMEAAAvXygqICMsIyMwLjAwXyk7XygqICgjLCMjMC4wMCk7XygqICItIj8/Xyk7XyhAXykBXPv//wv9//8BW/v//wr9//8CAAAABqYEAAABMQFZ+///C/3//wFY+///Cv3//wAAAAAGqQQAAAUxMS4yOQcb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7///8/P//CQUDAAAJBgMAAAFT+////Pz//wkIAwAACQYDAAABUPv///z8//8JCwMAAAayBAAABS00MTQyAU37///8/P//CQ4DAAAGtQQAAAdDYWxpYnJpAUr7///8/P//CREDAAAGuAQAAAEwAUf7///8/P//CRQDAAAGuwQAAAIxMQFE+////Pz//wkXAwAABr4EAAAHUmVndWxhcgccAgAAAAEAAAAEAAAABDdHbG9iZVNvZnR3YXJlLkF0bGFzNDAuQXRsYXNDb21tb24uVHlwZS5GaWVsZE91dHB1dEZpZWxkAgAAAAm7AQAADQMHHg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D7//8L/f//AT/7//8K/f//EAAAAAmOAwAAAT37//8L/f//ATz7//8K/f//CQAAAAkIAAAAATr7//8L/f//ATn7//8K/f//CwAAAAbIBAAAAjEyATf7//8L/f//ATb7//8K/f//BAAAAAbLBAAAL18oKiAjLCMjMC4wMF8pO18oKiAoIywjIzAuMDApO18oKiAiLSI/P18pO18oQF8pATT7//8L/f//ATP7//8K/f//AgAAAAbOBAAAATEBMfv//wv9//8BMPv//wr9//8AAAAABtEEAAAFMTEuMjkHIA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u+////Pz//wkFAwAACQYDAAABK/v///z8//8JCAMAAAkGAwAAASj7///8/P//CQsDAAAG2gQAAAUtNDE0MgEl+////Pz//wkOAwAABt0EAAAHQ2FsaWJyaQEi+////Pz//wkRAwAABuAEAAABMAEf+////Pz//wkUAwAABuMEAAACMTEBHPv///z8//8JFwMAAAbmBAAAB1JlZ3VsYXIHIQIAAAABAAAABAAAAAQ3R2xvYmVTb2Z0d2FyZS5BdGxhczQwLkF0bGFzQ29tbW9uLlR5cGUuRmllbGRPdXRwdXRGaWVsZAIAAAAJvgEAAA0DByMC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Y+///C/3//wEX+///Cv3//xAAAAAJjgMAAAEV+///C/3//wEU+///Cv3//wkAAAAJCAAAAAES+///C/3//wER+///Cv3//wsAAAAG8AQAAAIxMwEP+///C/3//wEO+///Cv3//wQAAAAG8wQAAAdHZW5lcmFsAQz7//8L/f//AQv7//8K/f//AgAAAAb2BAAAATEBCfv//wv9//8BCPv//wr9//8AAAAABvkEAAAFMTAuNDMHJQ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G+////Pz//wkFAwAACQYDAAABA/v///z8//8JCAMAAAkGAwAAAQD7///8/P//CQsDAAAGAgUAAAUtNDE0MgH9+v///Pz//wkOAwAABgUFAAAHQ2FsaWJyaQH6+v///Pz//wkRAwAABggFAAABMAH3+v///Pz//wkUAwAABgsFAAACMTEB9Pr///z8//8JFwMAAAYOBQAAB1JlZ3VsYXIHJgIAAAABAAAABAAAAAQ3R2xvYmVTb2Z0d2FyZS5BdGxhczQwLkF0bGFzQ29tbW9uLlR5cGUuRmllbGRPdXRwdXRGaWVsZAIAAAAJwQEAAA0DAScCAADhAQAABygC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w+v//C/3//wHv+v//Cv3//wkAAAAJCAAAAAHt+v//C/3//wHs+v//Cv3//wsAAAAGFQUAAAIxNAHq+v//C/3//wHp+v//Cv3//wQAAAAGGAUAAAdHZW5lcmFsAef6//8L/f//Aeb6//8K/f//AgAAAAYbBQAAATEB5Pr//wv9//8B4/r//wr9//8AAAAABh4FAAAFMTQuNDMBKQIAABIAAAAHKgI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h+v///Pz//wYgBQAACEZvbnRCb2xkCQYDAAAB3vr///z8//8GIwUAAApGb250SXRhbGljCQYDAAAB2/r///z8//8GJgUAAA1Gb250VW5kZXJsaW5lBicFAAAFLTQxNDIB2Pr///z8//8GKQUAAAhGb250TmFtZQYqBQAAB0NhbGlicmkB1fr///z8//8GLAUAAAlGb250Q29sb3IGLQUAAAEwAdL6///8/P//Bi8FAAAIRm9udFNpemUGMAUAAAIxMQHP+v///Pz//wYyBQAACUZvbnRTdHlsZQYzBQAAB1JlZ3VsYXIHKwIAAAABAAAAAAAAAAQ3R2xvYmVTb2Z0d2FyZS5BdGxhczQwLkF0bGFzQ29tbW9uLlR5cGUuRmllbGRPdXRwdXRGaWVsZAIAAAABLAIAAOEBAAAHLQI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z6//8L/f//Acv6//8K/f//JAAAAAmYAQAAAcn6//8L/f//Acj6//8K/f//CwAAAAY5BQAAAjE1Acb6//8L/f//AcX6//8K/f//BAAAAAY8BQAAL18oKiAjLCMjMC4wMF8pO18oKiAoIywjIzAuMDApO18oKiAiLSI/P18pO18oQF8pAcP6//8L/f//AcL6//8K/f//AgAAAAY/BQAAATEBwPr//wv9//8Bv/r//wr9//8AAAAABkIFAAAFMTMuNDMBvfr//wv9//8BvPr//wr9//8DAAAABkUFAACEAT1BdGxhc0JhbGFuY2UoIlVBVCIsRGF0YUFyZWFJZCwiVC5NYXJrdXBUcmFucyIsIlN1bXxQb3N0ZWR8MCIsIiIsIiIsIiIsIiIsIiIsIiIsIk1hcmt1cENvZGV8VHJhbnNSZWNJZHxUcmFuc1RhYmxlSWQiLCJUUFAiLCRPMywiNjQiKQEuAgAAEgAAAAcvAg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r6///8/P//BkcFAAAIRm9udEJvbGQJBgMAAAG3+v///Pz//wZKBQAACkZvbnRJdGFsaWMJBgMAAAG0+v///Pz//wZNBQAADUZvbnRVbmRlcmxpbmUGTgUAAAUtNDE0MgGx+v///Pz//wZQBQAACEZvbnROYW1lBlEFAAAHQ2FsaWJyaQGu+v///Pz//wZTBQAACUZvbnRDb2xvcgZUBQAAATABq/r///z8//8GVgUAAAhGb250U2l6ZQZXBQAAAjExAaj6///8/P//BlkFAAAJRm9udFN0eWxlBloFAAAHUmVndWxhcgEzAgAADgAAAP////8GWwUAABBDdXN0SW52b2ljZVRyYW5zBlwFAAAWQ3VzdG9tZXIgaW52b2ljZSBsaW5lcwkIAAAACQgAAAAJCAAAAAGi+v//4P///wAAAAAJXwUAAAlgBQAAAZ/6///d////yk1Nmi6YnUus6hRkat1LCwkIAAAACQgAAAAJYwUAAAk2AgAACgoKCgoBAAAAAZv6///Z////AAAAAAGa+v//2P///wAAAAAACWcFAAAEP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YAAAACc4BAAADAAAACWkFAAABQQIAAA4AAAD/////BmoFAAAQQ3VzdEludm9pY2VUcmFucwZrBQAAFkN1c3RvbWVyIGludm9pY2UgbGluZXMJCAAAAAkIAAAACQgAAAABk/r//+D///8AAAAACW4FAAAJbwUAAAGQ+v//3f///33T0CMGD2lNni4nGugFTygJCAAAAAkIAAAACXIFAAAJRAIAAAoKCgoKAQAAAAGM+v//2f///wAAAAABi/r//9j///8AAAAAAAl2BQAABE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UAAAAAnyAQAAAwAAAAl4BQAAAU8CAAAOAAAAQAAAAAZ5BQAAEEN1c3RJbnZvaWNlVHJhbnMGegUAABZDdXN0b21lciBpbnZvaWNlIGxpbmVzCQgAAAAJCAAAAAkIAAAAAYT6///g////AAAAAAl9BQAACX4FAAABgfr//93///+pDt0CbOfkSJIdZVSIVBh0CQgAAAAJCAAAAAmBBQAACVICAAAKCgoKCgEAAAABffr//9n///8AAAAAAXz6///Y////AAAAAAAJhQUAAARY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zgEAAAMAAAAJhwUAAARm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EAAAAJzgEAAAMAAAAJiQUAAAFrAgAADgAAAP////8GigUAABBDdXN0SW52b2ljZVRyYW5zBosFAAAWQ3VzdG9tZXIgaW52b2ljZSBsaW5lcwkIAAAACQgAAAAJCAAAAAFz+v//4P///wAAAAAJjgUAAAmPBQAAAXD6///d////DujY3Cp4LkyZ+5FGC6yrlgkIAAAACQgAAAAJkgUAAAluAgAACgoKCgoBAAAAAWz6///Z////AAAAAAFr+v//2P///wAAAAAACZYFAAAEd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GAAAACc4BAAADAAAACZgFAAAEgg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hAAAACc4BAAADAAAACZoFAAABhwIAAA4AAAD/////BpsFAAAQQ3VzdEludm9pY2VUcmFucwacBQAAFkN1c3RvbWVyIGludm9pY2UgbGluZXMJCAAAAAkIAAAACQgAAAABYvr//+D///8AAAAACZ8FAAAJoAUAAAFf+v//3f///7IuuSxYTC5DpXGiXEpPOEgJCAAAAAkIAAAACaMFAAAJigIAAAoKCgoKAQAAAAFb+v//2f///wAAAAABWvr//9j///8AAAAAAAmnBQAABJA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gAAAAkVAgAAAwAAAAmpBQAABJ4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OAQAAAwAAAAmrBQAABKw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OAQAAAwAAAAmtBQAABLoC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QAAAAnOAQAAAwAAAAmvBQAAAb8CAAAOAAAA/////wawBQAAEEN1c3RJbnZvaWNlVHJhbnMGsQUAABZDdXN0b21lciBpbnZvaWNlIGxpbmVzCQgAAAAJCAAAAAkIAAAAAU36///g////AAAAAAm0BQAACbUFAAABSvr//93////Et/n+xQ5NQ5cxw1PdCeiDCQgAAAAJCAAAAAm4BQAACcICAAAKCgoKCgEAAAABRvr//9n///8AAAAAAUX6///Y////AAAAAAAJvAUAAATI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QAAAAJKQIAAAMAAAAJvgUAAATR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oAAAAJvwUAAAMAAAAJwAUAAATaAg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0AAAAJvwUAAAMAAAAJwgUAAAHeAgAAowEAAAE9+v//Nv////////8ABsQFAAAGU3RyaW5nBsUFAAAJSXRlbSBuYW1lCTEAAAABOfr//zT///8CAAAAATj6///L/f//AQAAAAAACTAAAAAJJwEAAAkIAAAACv////8JMAAAAAoJJwEAAAbOBQAABkl0ZW1JZAbPBQAAEEN1c3RJbnZvaWNlVHJhbnMKCQgAAAAJ0QUAAAkIAAAAAeECAADEAQAACTAAAAAG1AUAAAhJdGVtVHlwZQkIAAAABtYFAAAIIVNlcnZpY2X/////CTAAAAAKCdQFAAAG2QUAAAZJdGVtSWQKCgkIAAAACdsFAAAJCAAAAAHkAgAAowEAAAEj+v//Nv////////8ABt4FAAAGU3RyaW5nBt8FAAAQQ3VzdG9tZXIgYWNjb3VudAk0AAAAAR/6//80////AgAAAAEe+v//y/3//wEAAAAAAAkzAAAACdMAAAAJCAAAAAr/////CTMAAAAKCdMAAAAG6AUAAAlJbnZvaWNlSWQG6QUAABBDdXN0SW52b2ljZVRyYW5zCgkIAAAACesFAAAJCAAAAAHnAgAAowEAAAET+v//Nv////////8ABu4FAAAGU3RyaW5nBu8FAAAJV2FyZWhvdXNlCTQAAAABD/r//zT///8CAAAAAQ76///L/f//AQAAAAAACTMAAAAJCwEAAAkIAAAACv////8JMwAAAAoJCwEAAAb4BQAACUludm9pY2VJZAb5BQAAEEN1c3RJbnZvaWNlVHJhbnMKCQgAAAAJ+wUAAAkIAAAAAeoCAADEAQAACTMAAAAG/gUAAAlDdXN0R3JvdXAJCAAAAAYABgAAA0lDKv////8JMwAAAAoJ/gUAAAYDBgAACUludm9pY2VJZAoKCQgAAAAJBQYAAAkIAAAAAe0CAADEAQAACTMAAAAGCAYAABBpbnZlbnRMb2NhdGlvbklkCQgAAAAGCgYAAAEq/////wkzAAAACgkIBgAABg0GAAAJSW52b2ljZUlkCgoJCAAAAAkPBgAACQgAAAAB8wIAAKMBAAAB7/n//zb/////////AAYSBgAABlN0cmluZwYTBgAABE5hbWUJNwAAAAHr+f//NP///wIAAAAB6vn//8v9//8BAAAAAAAJNgAAAAnhAAAACQgAAAAK/////wk2AAAACgnhAAAABhwGAAAMT3JkZXJBY2NvdW50Bh0GAAAPQ3VzdEludm9pY2VKb3VyCgkIAAAACR8GAAAJCAAAAAFfBQAAIQAAAAcAAAAJIQYAAAcAAAAJIgYAAARgB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c4BAAAAAAAABGMF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hBgAAAAAAAAFnBQAAKQAAAAAAAAAJJQYAAAAAAAAHa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+f///Pz//wYnBgAABUxhYmVsCTICAAAB1/n///z8//8GKgYAAARUeXBlCTECAAABbgUAACEAAAAJAAAACSwGAAARAAAACS0GAAABbwUAACIAAAACAAAACfIBAAADAAAACS8GAAABcgUAAAQAAAACAAAACSwGAAADAAAACTEGAAABdgUAACkAAAAAAAAACTIGAAAAAAAAB3g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fn///z8//8GNAYAAAVMYWJlbAlAAgAAAcr5///8/P//BjcGAAAEVHlwZQk/AgAAAX0FAAAhAAAABgAAAAk5BgAABwAAAAk6BgAABH4F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QYAAAAAAAAEg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kGAAAAAAAAAYUFAAApAAAAAAAAAAk8BgAAAAAAAAeH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P5///8/P//Bj4GAAAISGVscFRleHQGPwYAABJOdW3DqXJvIGRlIGZhY3R1cmUBwPn///z8//8JJwYAAAlOAgAAAb35///8/P//CSoGAAAJTQIAAAeJ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r5///8/P//CT4GAAAGSAYAABNJZGVudGlmaWUgbCdhcnRpY2xlAbf5///8/P//CScGAAAJXAIAAAG0+f///Pz//wkqBgAACVsCAAABjgUAACEAAAAIAAAACU8GAAARAAAACVAGAAABjwUAACIAAAABAAAACc4BAAADAAAACVIGAAABkgUAAAQAAAABAAAACU8GAAADAAAACVQGAAABlgUAACkAAAAAAAAACVUGAAAAAAAAB5g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n///z8//8JJwYAAAlqAgAAAaf5///8/P//CSoGAAAJaQIAAAea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T5///8/P//CT4GAAAGXgYAACdRdWFudGl0w6kgZmFjdHVyw6llIGVuIHVuaXTDqXMgZGUgdmVudGUBofn///z8//8JJwYAAAl4AgAAAZ75///8/P//CSoGAAAJdwIAAAGfBQAAIQAAAAoAAAAJZQYAABEAAAAJZgYAAAGgBQAAIgAAAAIAAAAJ8gEAAAMAAAAJaAYAAAGjBQAABAAAAAIAAAAJZQYAAAMAAAAJagYAAAGnBQAAKQAAAAAAAAAJawYAAAAAAAAHqQ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U+f///Pz//wZtBgAABUxhYmVsCYYCAAABkfn///z8//8GcAYAAARUeXBlCYUCAAAHq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O+f///Pz//wk+BgAABnQGAABAVnVlIGQnZW5zZW1ibGUgZHUgcGFyYW3DqXRyYWdlIGRlcyBwcml4IGRlIHZlbnRlIHBvdXIgbGVzIGNvw7t0cwGL+f///Pz//wknBgAACZQCAAABiPn///z8//8JKgYAAAmTAgAAB60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n///z8//8JPgYAAAZ9BgAAEU1vbnRhbnQgZW4gZGV2aXNlAYL5///8/P//CScGAAAJogIAAAF/+f///Pz//wkqBgAACaECAAAHr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8+f///Pz//wk+BgAABoYGAAATQ29kZSBkZXZpc2UgYWN0dWVsLgF5+f///Pz//wknBgAACbACAAABdvn///z8//8JKgYAAAmvAgAAAbQFAAAhAAAACwAAAAmNBgAAEQAAAAmOBgAAAbUFAAAiAAAAAgAAAAkVAgAAAwAAAAmQBgAAAbgFAAAEAAAAAgAAAAmNBgAAAwAAAAmSBgAAAbwFAAApAAAAAAAAAAmTBgAAAAAAAAe+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z5///8/P//BpUGAAAFTGFiZWwJvgIAAAFp+f///Pz//waYBgAABFR5cGUJvQIAAAG/BQAAEgAAAAfABQ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b5///8/P//BpsGAAAEVHlwZQlbAgAAAWP5///8/P//Bp4GAAAFTGFiZWwJXAIAAAFg+f///Pz//wahBgAACFJlZmVyc1RvBqIGAAALPUl0ZW1OdW1iZXIHwg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+f///Pz//wmbBgAACWkCAAABWvn///z8//8JngYAAAlqAgAAAVf5///8/P//BqoGAAAIUmVmZXJzVG8GqwYAAAo9RGF0ZVJhbmdlBNE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nOAQAAAwAAAAmtBgAABN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m/BQAAAwAAAAmvBgAABO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nUAQAAAwAAAAmxBgAABPsF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gAAAAnyAQAAAwAAAAmzBgAABAU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AAAAAm/BQAAAwAAAAm1BgAABA8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LQAAAAm/BQAAAwAAAAm3BgAABB8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AAAAAnUAQAAAwAAAAm5BgAAASEGAAASAAAAByIG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b5//9f/v//BrsGAAAgVGFibGUuQ3VzdEludm9pY2VUcmFucy5JbnZvaWNlSWQJqQEAAAFD+f//X/7//wa+BgAAHVRhYmxlLkN1c3RJbnZvaWNlVHJhbnMuSXRlbUlkCawBAAABQPn//1/+//8GwQYAABpUYWJsZS5DdXN0SW52b2ljZVRyYW5zLlF0eQmyAQAAAT35//9f/v//BsQGAAAhVGFibGUuQ3VzdEludm9pY2VUcmFucy5TYWxlc1ByaWNlCbgBAAABOvn//1/+//8GxwYAACFUYWJsZS5DdXN0SW52b2ljZVRyYW5zLkxpbmVBbW91bnQJuwEAAAE3+f//X/7//wbKBgAAI1RhYmxlLkN1c3RJbnZvaWNlVHJhbnMuQ3VycmVuY3lDb2RlCb4BAAABNPn//1/+//8GzQYAACFUYWJsZS5DdXN0SW52b2ljZVRyYW5zLkRhdGFBcmVhSWQJowEAAAElBgAAiwAAAAEsBgAAEgAAAActBg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x+f//X/7//wbQBgAAIVRhYmxlLkN1c3RJbnZvaWNlVHJhbnMuRGF0YUFyZWFJZAmjAQAAAS75//9f/v//BtMGAAAgVGFibGUuQ3VzdEludm9pY2VUcmFucy5JbnZvaWNlSWQJqQEAAAEr+f//X/7//wbWBgAAHVRhYmxlLkN1c3RJbnZvaWNlVHJhbnMuSXRlbUlkCawBAAABKPn//1/+//8G2QYAACJUYWJsZS5DdXN0SW52b2ljZVRyYW5zLkludm9pY2VEYXRlCa8BAAABJfn//1/+//8G3AYAABpUYWJsZS5DdXN0SW52b2ljZVRyYW5zLlF0eQmyAQAAASL5//9f/v//Bt8GAAAhVGFibGUuQ3VzdEludm9pY2VUcmFucy5TYWxlc1ByaWNlCbgBAAABH/n//1/+//8G4gYAACFUYWJsZS5DdXN0SW52b2ljZVRyYW5zLkxpbmVBbW91bnQJuwEAAAEc+f//X/7//wblBgAAI1RhYmxlLkN1c3RJbnZvaWNlVHJhbnMuQ3VycmVuY3lDb2RlCb4BAAABGfn//1/+//8G6AYAAB5UYWJsZS5DdXN0SW52b2ljZVRyYW5zLlNhbGVzSWQJpgEAAAcvBg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Fvn//z7+//8G6wYAAB1UYWJsZS5DdXN0SW52b2ljZVRyYW5zLkl0ZW1JZAnsBgAAARP5//8+/v//Bu4GAAAiVGFibGUuQ3VzdEludm9pY2VUcmFucy5JbnZvaWNlRGF0ZQnvBgAABzEG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D5///U////CTAAAAAJMQAAAAEN+f//1P///wkzAAAACTQAAAABMgYAAIsAAAABOQYAABIAAAAHOgYAAAABAAAAB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Cvn//1/+//8G9wYAACBUYWJsZS5DdXN0SW52b2ljZVRyYW5zLkludm9pY2VJZAmpAQAAAQf5//9f/v//BvoGAAAdVGFibGUuQ3VzdEludm9pY2VUcmFucy5JdGVtSWQJrAEAAAEE+f//X/7//wb9BgAAGlRhYmxlLkN1c3RJbnZvaWNlVHJhbnMuUXR5CbIBAAABAfn//1/+//8GAAcAACFUYWJsZS5DdXN0SW52b2ljZVRyYW5zLlNhbGVzUHJpY2UJuAEAAAH++P//X/7//wYDBwAAIVRhYmxlLkN1c3RJbnZvaWNlVHJhbnMuTGluZUFtb3VudAm7AQAAAfv4//9f/v//BgYHAAAjVGFibGUuQ3VzdEludm9pY2VUcmFucy5DdXJyZW5jeUNvZGUJvgEAAAE8BgAAiwAAAAFPBgAAEgAAAAdQBg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4+P//X/7//wYJBwAAIVRhYmxlLkN1c3RJbnZvaWNlVHJhbnMuRGF0YUFyZWFJZAmjAQAAAfX4//9f/v//BgwHAAAgVGFibGUuQ3VzdEludm9pY2VUcmFucy5JbnZvaWNlSWQJqQEAAAHy+P//X/7//wYPBwAAHVRhYmxlLkN1c3RJbnZvaWNlVHJhbnMuSXRlbUlkCawBAAAB7/j//1/+//8GEgcAABpUYWJsZS5DdXN0SW52b2ljZVRyYW5zLlF0eQmyAQAAAez4//9f/v//BhUHAAAhVGFibGUuQ3VzdEludm9pY2VUcmFucy5TYWxlc1ByaWNlCbgBAAAB6fj//1/+//8GGAcAACFUYWJsZS5DdXN0SW52b2ljZVRyYW5zLkxpbmVBbW91bnQJuwEAAAHm+P//X/7//wYbBwAAI1RhYmxlLkN1c3RJbnZvaWNlVHJhbnMuQ3VycmVuY3lDb2RlCb4BAAAB4/j//1/+//8GHgcAACJUYWJsZS5DdXN0SW52b2ljZVRyYW5zLkludm9pY2VEYXRlCa8BAAAHUgY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eD4//8+/v//BiEHAAAdVGFibGUuQ3VzdEludm9pY2VUcmFucy5JdGVtSWQJIgcAAAdUB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d+P//1P///wkwAAAACTEAAAABVQYAAIsAAAABZQYAABIAAAAHZgYAAAABAAAACg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vj//1/+//8GJwcAACFUYWJsZS5DdXN0SW52b2ljZVRyYW5zLkRhdGFBcmVhSWQJowEAAAHX+P//X/7//wYqBwAAHlRhYmxlLkN1c3RJbnZvaWNlVHJhbnMuU2FsZXNJZAmmAQAAAdT4//9f/v//Bi0HAAAgVGFibGUuQ3VzdEludm9pY2VUcmFucy5JbnZvaWNlSWQJqQEAAAHR+P//X/7//wYwBwAAHVRhYmxlLkN1c3RJbnZvaWNlVHJhbnMuSXRlbUlkCawBAAABzvj//1/+//8GMwcAACJUYWJsZS5DdXN0SW52b2ljZVRyYW5zLkludm9pY2VEYXRlCa8BAAABy/j//1/+//8GNgcAABpUYWJsZS5DdXN0SW52b2ljZVRyYW5zLlF0eQmyAQAAAcj4//9f/v//BjkHAAAhVGFibGUuQ3VzdEludm9pY2VUcmFucy5TYWxlc1ByaWNlCbgBAAABxfj//1/+//8GPAcAACFUYWJsZS5DdXN0SW52b2ljZVRyYW5zLkxpbmVBbW91bnQJuwEAAAHC+P//X/7//wY/BwAAI1RhYmxlLkN1c3RJbnZvaWNlVHJhbnMuQ3VycmVuY3lDb2RlCb4BAAABv/j//1/+//8GQgcAACBUYWJsZS5DdXN0SW52b2ljZVRyYW5zLlNhbGVzVW5pdAm1AQAAB2gG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8+P//Pv7//wZFBwAAHVRhYmxlLkN1c3RJbnZvaWNlVHJhbnMuSXRlbUlkCewGAAABufj//z7+//8GSAcAACJUYWJsZS5DdXN0SW52b2ljZVRyYW5zLkludm9pY2VEYXRlCe8GAAAHagY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tvj//9T///8JMAAAAAkxAAAAAbP4///U////CTMAAAAJNAAAAAFrBgAAiwAAAAGNBgAAEgAAAAeOBg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w+P//X/7//wZRBwAAIVRhYmxlLkN1c3RJbnZvaWNlVHJhbnMuRGF0YUFyZWFJZAmjAQAAAa34//9f/v//BlQHAAAeVGFibGUuQ3VzdEludm9pY2VUcmFucy5TYWxlc0lkCaYBAAABqvj//1/+//8GVwcAACBUYWJsZS5DdXN0SW52b2ljZVRyYW5zLkludm9pY2VJZAmpAQAAAaf4//9f/v//BloHAAAdVGFibGUuQ3VzdEludm9pY2VUcmFucy5JdGVtSWQJrAEAAAGk+P//X/7//wZdBwAAIlRhYmxlLkN1c3RJbnZvaWNlVHJhbnMuSW52b2ljZURhdGUJrwEAAAGh+P//X/7//wZgBwAAGlRhYmxlLkN1c3RJbnZvaWNlVHJhbnMuUXR5CbIBAAABnvj//1/+//8GYwcAACBUYWJsZS5DdXN0SW52b2ljZVRyYW5zLlNhbGVzVW5pdAm1AQAAAZv4//9f/v//BmYHAAAhVGFibGUuQ3VzdEludm9pY2VUcmFucy5TYWxlc1ByaWNlCbgBAAABmPj//1/+//8GaQcAACFUYWJsZS5DdXN0SW52b2ljZVRyYW5zLkxpbmVBbW91bnQJuwEAAAGV+P//X/7//wZsBwAAI1RhYmxlLkN1c3RJbnZvaWNlVHJhbnMuQ3VycmVuY3lDb2RlCb4BAAABkvj//1/+//8GbwcAABxUYWJsZS5DdXN0SW52b2ljZVRyYW5zLlJlY0lkCcEBAAAHkAY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Y/4//8+/v//BnIHAAAdVGFibGUuQ3VzdEludm9pY2VUcmFucy5JdGVtSWQJ7AYAAAGM+P//Pv7//wZ1BwAAIlRhYmxlLkN1c3RJbnZvaWNlVHJhbnMuSW52b2ljZURhdGUJ7wYAAAeSB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J+P//1P///wkwAAAACTEAAAABhvj//9T///8JMwAAAAk0AAAAAZMGAACLAAAAB60G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/j///z8//8JJwYAAAnFBQAAAYD4///8/P//CSoGAAAJxAUAAAev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34///8/P//CZsGAAAGhQcAAARFbnVtAXr4///8/P//CZ4GAAAGiAcAAAlJdGVtIHR5cGUBd/j///z8//8JqgYAAAaLBwAACT1JdGVtVHlwZQex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T4///8/P//Bo0HAAAFTGFiZWwJ3wUAAAFx+P///Pz//waQBwAABFR5cGUJ3gUAAAezB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74///8/P//CTQGAAAJ7wUAAAFr+P///Pz//wk3BgAACe4FAAAHtQ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+P///Pz//wmbBgAABpoHAAAGU3RyaW5nAWX4///8/P//CZ4GAAAGnQcAAAVHcm91cAe3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L4///8/P//CZsGAAAJ7gUAAAFf+P///Pz//wmeBgAACe8FAAABXPj///z8//8JqgYAAAamBwAACj1XYXJlaG91c2UHuQ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+P///Pz//wmNBwAACRMGAAABVvj///z8//8JkAcAAAkSBgAAAewGAADEAQAABq0HAAAWVGFibGUuQ3VzdEludm9pY2VUcmFucwnLAgAACQgAAAAGsAcAAAMhIiL/////Ca0HAAAKCcsCAAAKCgoJCAAAAAm0BwAACQgAAAAB7wYAAMQBAAAJrQcAAAnUAgAACQgAAAAGuQcAABgwNS4wMS4yMDE3IC4uIDA4LjMxLjIwMTf/////Ca0HAAAKCdQCAAAKCgoJCAAAAAm9BwAACQgAAAABIgcAAMQBAAAGvwcAABZUYWJsZS5DdXN0SW52b2ljZVRyYW5zCcsCAAAJCAAAAAmwBwAA/////wm/BwAACgnLAgAACgoKCQgAAAAJxgcAAAkIAAAABLQ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gAAAAnUAQAAAwAAAAnJBwAABL0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gAAAAnUAQAAAwAAAAnLBwAABMYH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AAAAAnOAQAAAwAAAAnNBwAAB8kH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vj///z8//8JkAcAAAbQBwAABlN0cmluZwEv+P///Pz//wmNBwAABtMHAAAESXRlbQfLB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z4///8/P//CZAHAAAG1gcAAAREYXRlASn4///8/P//CY0HAAAG2QcAAAREYXRlASb4///8/P//BtsHAAAIUmVmZXJzVG8JqwYAAAfNB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P4///8/P//CSoGAAAG3wcAAAZTdHJpbmcBIPj///z8//8JJwYAAAbiBwAABEl0ZW0L
    <Output>
      <OutputObject name="AtlasReport_1"/>
    </Output>
  </Query>
</Atlas>
</file>

<file path=customXml/item4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BKgAJBAAAAAkFAAAACQYAAAAACQoAAAAEAwAAALUBU3lzdGVtLkNvbGxlY3Rpb25zLkdlbmVyaWMuTGlzdGAxW1tHbG9iZVNvZnR3YXJlLkF0bGFzNDAuQUlFeGNlbC5SZXBvcnRMaXN0T2JqZWN0LCBHbG9iZVNvZnR3YXJlLkF0bGFzNDAuQUlFeGNlbCwgVmVyc2lvbj00LjAuMC4wLCBDdWx0dXJlPW5ldXRyYWwsIFB1YmxpY0tleVRva2VuPWFlMjFlYzM1NzVkMTI5OWZdXQMAAAAGX2l0ZW1zBV9zaXplCF92ZXJzaW9uBAAAMEdsb2JlU29mdHdhcmUuQXRsYXM0MC5BSUV4Y2VsLlJlcG9ydExpc3RPYmplY3RbXQIAAAAICAkLAAAAAQAAAAEAAAAEBAAAAK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KY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W10BAAAACQwAAAADAAAACQ0AAAAMDgAAAGRHbG9iZVNvZnR3YXJlLkF0bGFzNDAuQXRsYXNDb21tb24sIFZlcnNpb249NC4wLjAuMCwgQ3VsdHVyZT1uZXV0cmFsLCBQdWJsaWNLZXlUb2tlbj1hZTIxZWMzNTc1ZDEyOTlmBAo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4AAAAICAkPAAAAEAAAABAAAAAHCwAAAAABAAAABAAAAAQuR2xvYmVTb2Z0d2FyZS5BdGxhczQwLkFJRXhjZWwuUmVwb3J0TGlzdE9iamVjdAIAAAAJEAAAAA0DBAwAAACSAVN5c3RlbS5Db2xsZWN0aW9ucy5HZW5lcmljLkdlbmVyaWNFcXVhbGl0eUNvbXBhcmVyYDFbW1N5c3RlbS5TdHJpbmcsIG1zY29ybGliLCBWZXJzaW9uPTQuMC4wLjAsIEN1bHR1cmU9bmV1dHJhbCwgUHVibGljS2V5VG9rZW49Yjc3YTVjNTYxOTM0ZTA4OV1dAAAAAAcNAAAAAAEAAAABAAAAA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O////+kA1N5c3RlbS5Db2xsZWN0aW9ucy5HZW5lcmljLktleVZhbHVlUGFpcm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IAAAADa2V5BXZhbHVlAQPNAVN5c3RlbS5Db2xsZWN0aW9ucy5HZW5lcmljLkxpc3RgMVtbR2xvYmVTb2Z0d2FyZS5BdGxhczQwLkF0bGFzQ29tbW9uQ2xpZW50LkRhdGFTb3VyY2VGaWVsZFZhbHVlLCBHbG9iZVNvZnR3YXJlLkF0bGFzNDAuQXRsYXNDb21tb25DbGllbnQsIFZlcnNpb249NC4wLjAuMCwgQ3VsdHVyZT1uZXV0cmFsLCBQdWJsaWNLZXlUb2tlbj1hZTIxZWMzNTc1ZDEyOTlmXV0GEgAAAAFfCRMAAAAHDwAAAAABAAAAEAAAAAQtR2xvYmVTb2Z0d2FyZS5BdGxhczQwLkF0bGFzQ29tbW9uLlR5cGUuQ29sdW1uDgAAAAkUAAAACRUAAAAJFgAAAAkXAAAACRgAAAAJGQAAAAkaAAAACRsAAAAJHAAAAAkdAAAACR4AAAAJHwAAAAkgAAAACSEAAAAJIgAAAAkjAAAADCQ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JAAAAAgCAAAABiUAAAAVQXRsYXNSZXBvcnRfMl9UYWJsZV8xCSY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SQAAAAICAknAAAABgAAAAY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KAAAAAkpAAAACSoAAAAGKwAAAApEYXRhQXJlYUlkBiwAAAAQQ29tcGFueSBhY2NvdW50cwYtAAAABlN0cmluZwYuAAAAAAYvAAAAJGI5ODY0NTE0LTc2ZGUtNDFjNS1hMWIwLTg2MjcwY2ZiMWUyNAXQ////LUdsb2JlU29mdHdhcmUuQXRsYXM0MC5BdGxhc0NvbW1vbi5BZ2dyZWdhdGlvbgEAAAAHdmFsdWVfXwAIDgAAAP////8AAAAABc////8sR2xvYmVTb2Z0d2FyZS5BdGxhczQwLkF0bGFzQ29tbW9uLkNvbHVtblR5cGUBAAAAB3ZhbHVlX18ACA4AAAAAAAAABc7///8rR2xvYmVTb2Z0d2FyZS5BdGxhczQwLkF0bGFzQ29tbW9uLlNvcnRPcmRlcgEAAAAHdmFsdWVfXwAIDgAAAAIAAAAAAAAAAAXN////QEdsb2JlU29mdHdhcmUuQXRsYXM0MC5BdGxhc0NvbW1vbi5UeXBlLkNvbHVtbitDcm9zc1RhYkNvbHVtblR5cGUBAAAAB3ZhbHVlX18ACA4AAAAAAAAACgEAAAAAAAAAAAAAAAAABjQAAAAkNDUzNjhiN2EtY2NkNS00MGZhLWJlY2ItNDQ1YzFhNGNlYjcxBjUAAAAhVGFibGUuVmVuZEludm9pY2VUcmFucy5EYXRhQXJlYUlkCgoKCgEVAAAAFAAAAAk2AAAACTcAAAAJOAAAAAY5AAAADE9yZGVyQWNjb3VudAY6AAAADlZlbmRvciBhY2NvdW50BjsAAAAGU3RyaW5nCS4AAAAGPQAAACQ4ZjRmYzNhYy03OTY4LTQ3MzEtYWZhNC0yMWI3ZDMzMWM3NmEBwv///9D/////////AQAAAAHB////z////wAAAAABwP///87///8CAAAAAAAAAAABv////83///8AAAAACgEAAAAAAAAAAAEAAAAABkIAAAAkNzM3ZTA3YzgtODBkNy00NzBkLWJmZGItYWQ5ZGQ4NDhlYjRjBkMAAABJVGFibGUuVmVuZEludm9pY2VUcmFucy5WZW5kSW52b2ljZUpvdXJ+VGFibGUuVmVuZEludm9pY2VKb3VyLk9yZGVyQWNjb3VudAoKCgoBFgAAABQAAAAJRAAAAAlFAAAACUYAAAAGRwAAAAROYW1lBkgAAAAETmFtZQZJAAAABlN0cmluZwkuAAAABksAAAAkNTBhOGJiZGYtMWQyNS00OGJhLTlmN2YtMzVhMzJjNjgwYzA1AbT////Q/////////wIAAAABs////8////8AAAAAAbL////O////AgAAAAAAAAAAAbH////N////AAAAAAoBAAAAAAAAAAACAAAAAAZQAAAAJDRlMDg2OGExLWI3YjktNDk3MS05NzE3LTc5M2NmYTE1NTFlZQZRAAAAXlRhYmxlLlZlbmRJbnZvaWNlVHJhbnMuVmVuZEludm9pY2VKb3VyflRhYmxlLlZlbmRJbnZvaWNlSm91ci5PcmRlckFjY291bnR+VGFibGUuVmVuZFRhYmxlLk5hbWUKCgoKARcAAAAUAAAACVIAAAAJUwAAAAlUAAAABlUAAAAHUHVyY2hJRAZWAAAADlB1cmNoYXNlIG9yZGVyBlcAAAAGU3RyaW5nCS4AAAAGWQAAACQwNmFmMzhiZS1jZGFlLTQyNDktYWEyNi03OTc0MGFjMjU1ZDUBpv///9D/////////AwAAAAGl////z////wAAAAABpP///87///8CAAAAAAAAAAABo////83///8AAAAACgEAAAAAAAAAAAMAAAAABl4AAAAkYTVlZDI5ZDktYWMyZS00YWI0LTkyZjYtMTVmYzZiYTQ5NmY2Bl8AAAAeVGFibGUuVmVuZEludm9pY2VUcmFucy5QdXJjaElECgoKCgEYAAAAFAAAAAlgAAAACWEAAAAJYgAAAAZjAAAACUludm9pY2VJZAZkAAAAB0ludm9pY2UGZQAAAAZTdHJpbmcJLgAAAAZnAAAAJDdmNTcyNmE4LTE4NjItNGM5My05YjNmLTQ3MTNhODczYTk0YQGY////0P////////8EAAAAAZf////P////AAAAAAGW////zv///wIAAAAAAAAAAAGV////zf///wAAAAAKAQAAAAAAAAAABAAAAAAGbAAAACQ5NDc0ZmJmZi03NmE2LTQzMjctODM1NC1iNWM0MDk3YWU2MjEGbQAAACBUYWJsZS5WZW5kSW52b2ljZVRyYW5zLkludm9pY2VJZAoKCgoBGQAAABQAAAAJbgAAAAlvAAAACXAAAAAGcQAAAA5JbnZlbnRMb2NhdGlvbgZyAAAACVdhcmVob3VzZQZzAAAABlN0cmluZwkuAAAABnUAAAAkNTYyNTQzZjktZDljMi00NGE5LWEwMGMtZTVkM2M0MzI4OTI4AYr////Q/////////wUAAAABif///8////8AAAAAAYj////O////AgAAAAAAAAAAAYf////N////AAAAAAoBAAAAAAAAAAAFAAAAAAZ6AAAAJDQ0N2VhZWNkLTYwMzYtNDRiZi04NDkwLWRjNjdjMzVkYWRhYQZ7AAAAaFRhYmxlLlZlbmRJbnZvaWNlVHJhbnMuVmVuZEludm9pY2VKb3VyflRhYmxlLlZlbmRJbnZvaWNlSm91ci5PcmRlckFjY291bnR+VGFibGUuVmVuZFRhYmxlLkludmVudExvY2F0aW9uCgoKCgEaAAAAFAAAAAl8AAAACX0AAAAJfgAAAAZ/AAAABkl0ZW1JZAaAAAAABEl0ZW0GgQAAAAZTdHJpbmcJLgAAAAaDAAAAJDM5MTJmYjUyLWJkZGItNDYzMS04YzhhLTgzMDIwOTU2ODczMAF8////0P////////8GAAAAAXv////P////AAAAAAF6////zv///wIAAAAAAAAAAAF5////zf///wAAAAAKAQAAAAAAAAAABgAAAAAGiAAAACRiODY1OTUyMS02MTViLTQwODktODY1ZC1iOGEzYzJhOTM4OGEGiQAAAB1UYWJsZS5WZW5kSW52b2ljZVRyYW5zLkl0ZW1JZAoKCgoBGwAAABQAAAAJigAAAAmLAAAACYwAAAAGjQAAAAhJdGVtTmFtZQaOAAAACUl0ZW0gbmFtZQaPAAAABlN0cmluZwkuAAAABpEAAAAkZmMxYTgzZjQtZDEwNC00NTdkLTk1ZTItNjJlNjVmOGU4ODQ4AW7////Q/////////wcAAAABbf///8////8AAAAAAWz////O////AgAAAAAAAAAAAWv////N////AAAAAAoBAAAAAAAAAAAHAAAAAAaWAAAAJGJjMjllMTgyLTg4YjgtNDEwNC1hOTQ5LWMwMjIwZjUwZTRmNAaXAAAAOFRhYmxlLlZlbmRJbnZvaWNlVHJhbnMuSXRlbUlkflRhYmxlLkludmVudFRhYmxlLkl0ZW1OYW1lCgoKCgEcAAAAFAAAAAmYAAAACZkAAAAJmgAAAAabAAAAC0ludm9pY2VEYXRlBpwAAAAERGF0ZQadAAAABERhdGUJLgAAAAafAAAAJGI2MzY0MGMwLTI2MDEtNGI2MS1hMjJlLTcyNzhjNTM5N2IxMwFg////0P////////8IAAAAAV/////P////AAAAAAFe////zv///wIAAAAAAAAAAAFd////zf///wAAAAAKAQAAAAAAAAAACAAAAAAGpAAAACRhYzRkNzkzZS1lMGQ1LTQ1YTgtOTIxOC01OTJhMjk4NGZiYmYGpQAAACJUYWJsZS5WZW5kSW52b2ljZVRyYW5zLkludm9pY2VEYXRlCgoKCgEdAAAAFAAAAAmmAAAACacAAAAJqAAAAAapAAAAA1F0eQaqAAAACFF1YW50aXR5BqsAAAAEUmVhbAkuAAAABq0AAAAkOThhZDM2NzUtNGQ1ZS00Y2FjLWI0MmYtMTBlNzFjMzg4MTIyAVL////Q////AQAAAAkAAAABUf///8////8AAAAAAVD////O////AgAAAAAAAAAAAU/////N////AAAAAAoBAAAAAAAAAAAJAAAAAAayAAAAJGFiMGU1Mzk0LTE1YTktNDRiNi1hMzI4LTdkYWNmZTExMDM4NgazAAAAGlRhYmxlLlZlbmRJbnZvaWNlVHJhbnMuUXR5CgoKCgEeAAAAFAAAAAm0AAAACbUAAAAJtgAAAAa3AAAACVB1cmNoVW5pdAa4AAAABFVuaXQGuQAAAAZTdHJpbmcJLgAAAAa7AAAAJDkxY2YzM2Y1LWNhM2UtNGFlNi05YzhmLWNiMTQ3MzdhZTJjZQFE////0P////////8KAAAAAUP////P////AAAAAAFC////zv///wIAAAAAAAAAAAFB////zf///wAAAAAKAQAAAAAAAAAACgAAAAAGwAAAACQxMzhlMmFlOS1kOTA0LTQ4NGMtYjUzNi1iMDAwNjZiMWU0ODEGwQAAACBUYWJsZS5WZW5kSW52b2ljZVRyYW5zLlB1cmNoVW5pdAoKCgoBHwAAABQAAAAJwgAAAAnDAAAACcQAAAAGxQAAAApQdXJjaFByaWNlBsYAAAAKVW5pdCBwcmljZQbHAAAABFJlYWwJLgAAAAbJAAAAJDM0ZjZkMmIyLTQyMDgtNGY1Ni05MThmLTU1YWNmODAxMjZmZAE2////0P///wEAAAALAAAAATX////P////AAAAAAE0////zv///wIAAAAAAAAAAAEz////zf///wAAAAAKAQAAAAAAAAAACwAAAAAGzgAAACQxZGY1MDhmMS1iMjE3LTQyZGQtYTQyYi1lNmVmNmIwYjM0YmIGzwAAACFUYWJsZS5WZW5kSW52b2ljZVRyYW5zLlB1cmNoUHJpY2UKCgoKASAAAAAUAAAACdAAAAAJ0QAAAAnSAAAABtMAAAAKTGluZUFtb3VudAbUAAAABkFtb3VudAbVAAAABFJlYWwJLgAAAAbXAAAAJDMzMjNiOGViLWExZWItNGViMy05MDdiLTVkMjI4OTFhYmQzZQEo////0P///wEAAAAMAAAAASf////P////AAAAAAEm////zv///wIAAAAAAAAAAAEl////zf///wAAAAAKAQAAAAAAAAAADAAAAAAG3AAAACRhNjBlMjhkYS1lZjFiLTQ0YzItYTViOC0xYzdjNzhlNDhlNzUG3QAAACFUYWJsZS5WZW5kSW52b2ljZVRyYW5zLkxpbmVBbW91bnQKCgoKASEAAAAUAAAACd4AAAAJ3wAAAAngAAAABuEAAAAMQ3VycmVuY3lDb2RlBuIAAAAIQ3VycmVuY3kG4wAAAAZTdHJpbmcJLgAAAAblAAAAJDc4Y2E0ZGFkLTY3NmMtNDYyYi1iMTdjLWExNjMzYjk1ZDA0YQEa////0P////////8NAAAAARn////P////AAAAAAEY////zv///wIAAAAAAAAAAAEX////zf///wAAAAAKAQAAAAAAAAAADQAAAAAG6gAAACQxZjI4YWNkMy1lZjVjLTQ2ZTgtYjk5MC1hMWQyNWNmMzZmMzQG6wAAACNUYWJsZS5WZW5kSW52b2ljZVRyYW5zLkN1cnJlbmN5Q29kZQoKCgoBIgAAABQAAAAJ7AAAAAntAAAACe4AAAAG7wAAAAVSZWNJZAbwAAAADFJlY0lkIGNvbHVtbgbxAAAABUludDY0CS4AAAAG8wAAACQzOWI5YzkyZi1lZDFhLTRkYTItYWZhNy1lZThlOGU1MjhhZTABDP///9D/////////DgAAAAEL////z////wAAAAABCv///87///8CAAAAAAAAAAABCf///83///8AAAAACgEAAAAAAAAAAA4AAAAABvgAAAAkOTgyZGFkNmEtZjYyMi00MmVjLWJiZmItZDM0ZTdjZmFhNWUyBvkAAAAcVGFibGUuVmVuZEludm9pY2VUcmFucy5SZWNJZAoKCgoBIwAAABQAAAAJ+gAAAAn7AAAACfwAAAAG/QAAADdBdGxhc01hbmFnZWRDb2x1bW5fNmUwOGNkODYtMjViMC00M2VjLWFmYzUtMmM0MjhmNjQzMmZhBv4AAAAKVFBQIEFtb3VudAkuAAAACS4AAAAGAAEAACRmZDk2YzE1ZC05MjY0LTQ2YjYtOGRiYy0yY2FiM2M1NWIyOGQB//7//9D///8BAAAADwAAAAH+/v//z////wIAAAAB/f7//87///8CAAAAAAAAAAAB/P7//83///8AAAAACgEAAAAAAAAAAA8AAAAABgUBAAAkOTIxOWU5YjEtM2FiMC00YmFkLTkxYWItYmZkYTQ4MzJlNzY1CS4AAAAKCgoKBSYAAAA4R2xvYmVTb2Z0d2FyZS5BdGxhczQwLkF0bGFzQ29tbW9uQ2xpZW50LlJlcG9ydC5SZWZlcmVuY2UBAAAACl9yZWZlcmVuY2UHCCQAAAAJBwEAAAcnAAAAAAEAAAAIAAAABDxHbG9iZVNvZnR3YXJlLkF0bGFzNDAuQXRsYXNDb21tb25DbGllbnQuRGF0YVNvdXJjZUZpZWxkVmFsdWUkAAAACQgBAAAJCQEAAAkKAQAACQsBAAAJDAEAAAkNAQAADQIEK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DgEAAAEAAAABAAAABCk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gQAAAAkPAQAABwAAAAkQAQAABC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gAAAAkRAQAABwAAAAkSAQAAATYAAAAoAAAACRMBAAABAAAAAQAAAAE3AAAAKQAAAHoAAAAJDwEAAAcAAAAJFQEAAAE4AAAAKgAAAHcAAAAJEQEAAAcAAAAJFwEAAAFEAAAAKAAAAAkYAQAAAQAAAAEAAAABRQAAACkAAAB6AAAACQ8BAAAHAAAACRoBAAABRgAAACoAAAB3AAAACREBAAAHAAAACRwBAAABUgAAACgAAAAJHQEAAAEAAAABAAAAAVMAAAApAAAAkQAAAAkeAQAABwAAAAkfAQAAAVQAAAAqAAAAjAAAAAkgAQAABwAAAAkhAQAAAWAAAAAoAAAACSIBAAABAAAAAQAAAAFhAAAAKQAAAJAAAAAJHgEAAAcAAAAJJAEAAAFiAAAAKgAAAIwAAAAJIAEAAAcAAAAJJgEAAAFuAAAAKAAAAAknAQAAAQAAAAEAAAABbwAAACkAAABzAAAACQ8BAAAHAAAACSkBAAABcAAAACoAAABwAAAACREBAAAHAAAACSsBAAABfAAAACgAAAAJLAEAAAEAAAABAAAAAX0AAAApAAAAkAAAAAkeAQAABwAAAAkuAQAAAX4AAAAqAAAAjAAAAAkgAQAABwAAAAkwAQAAAYoAAAAoAAAACTEBAAABAAAAAQAAAAGLAAAAKQAAAHMAAAAJDwEAAAcAAAAJMwEAAAGMAAAAKgAAAHAAAAAJEQEAAAcAAAAJNQEAAAGYAAAAKAAAAAk2AQAAAQAAAAEAAAABmQAAACkAAABzAAAACQ8BAAAHAAAACTgBAAABmgAAACoAAABwAAAACREBAAAHAAAACToBAAABpgAAACgAAAAJOwEAAAEAAAABAAAAAacAAAApAAAAkAAAAAkeAQAABwAAAAk9AQAAAagAAAAqAAAAjAAAAAkgAQAABwAAAAk/AQAAAbQAAAAoAAAACUABAAABAAAAAQAAAAG1AAAAKQAAAHMAAAAJDwEAAAcAAAAJQgEAAAG2AAAAKgAAAHAAAAAJEQEAAAcAAAAJRAEAAAHCAAAAKAAAAAlFAQAAAQAAAAEAAAABwwAAACkAAABzAAAACQ8BAAAHAAAACUcBAAABxAAAACoAAABwAAAACREBAAAHAAAACUkBAAAB0AAAACgAAAAJSgEAAAEAAAABAAAAAdEAAAApAAAAkAAAAAkeAQAABwAAAAlMAQAAAdIAAAAqAAAAjAAAAAkgAQAABwAAAAlOAQAAAd4AAAAoAAAACU8BAAABAAAAAQAAAAHfAAAAKQAAAGwAAAAJDwEAAAcAAAAJUQEAAAHgAAAAKgAAAGkAAAAJEQEAAAcAAAAJUwEAAAHsAAAAKAAAAAlUAQAAAQAAAAEAAAAB7QAAACkAAABsAAAACQ8BAAAHAAAACVYBAAAB7gAAACoAAABpAAAACREBAAAHAAAACVgBAAAB+gAAACgAAAAJWQEAAAAAAAAAAAAAAfsAAAApAAAAcAAAAAkPAQAABwAAAAlbAQAAAfwAAAAqAAAAaQAAAAkRAQAABwAAAAldAQAADwcBAAABAAAACAEAAAAFCAEAADxHbG9iZVNvZnR3YXJlLkF0bGFzNDAuQXRsYXNDb21tb25DbGllbnQuRGF0YVNvdXJjZUZpZWxkVmFsdWUEAAAAEl9pc0RyaWxsRG93bkZpbHRlcgZfZHNLZXkKX2ZpZWxkbmFtZQtfZmllbGRWYWx1ZQABAQEBJAAAAAAGXgEAABZUYWJsZS5WZW5kSW52b2ljZVRyYW5zBl8BAAAKRGF0YUFyZWFJZAkGAAAAAQkBAAAIAQAAAAleAQAABmIBAAALSW52b2ljZURhdGUGYwEAABgwMS4wMS4yMDE3IC4uIDA4LjMxLjIwMTcBCgEAAAgBAAAACV4BAAAGZQEAAAZJdGVtSWQGZgEAAAEqAQsBAAAIAQAAAAZnAQAAPFRhYmxlLlZlbmRJbnZvaWNlVHJhbnMuVmVuZEludm9pY2VKb3VyflRhYmxlLlZlbmRJbnZvaWNlSm91cgZoAQAACVZlbmRHcm91cAZpAQAAA0lDKgEMAQAACAEAAAAGagEAAFlUYWJsZS5WZW5kSW52b2ljZVRyYW5zLlZlbmRJbnZvaWNlSm91cn5UYWJsZS5WZW5kSW52b2ljZUpvdXIuT3JkZXJBY2NvdW50flRhYmxlLlZlbmRUYWJsZQZrAQAADkludmVudExvY2F0aW9uBmwBAAABKgENAQAACAEAAAAGbQEAAC9UYWJsZS5WZW5kSW52b2ljZVRyYW5zLkl0ZW1JZH5UYWJsZS5JbnZlbnRUYWJsZQZuAQAACEl0ZW1UeXBlBm8BAAAIIVNlcnZpY2UHDgEAAAABAAAABAAAAAQ3R2xvYmVTb2Z0d2FyZS5BdGxhczQwLkF0bGFzQ29tbW9uLlR5cGUuRmllbGRPdXRwdXRGaWVsZA4AAAAJcAEAAA0DBA8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x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SP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Y7+//8yR2xvYmVTb2Z0d2FyZS5BdGxhczQwLkF0bGFzQ29tbW9uLkNvbHVtbkF0dHJpYnV0ZXMBAAAAB3ZhbHVlX18ACA4AAAAJAAAACS4AAAABjP7//4/+//8Bi/7//47+//8LAAAABnYBAAABMAGJ/v//j/7//wGI/v//jv7//wQAAAAGeQEAAAdHZW5lcmFsAYb+//+P/v//AYX+//+O/v//AgAAAAZ8AQAAATEBg/7//4/+//8Bgv7//47+//8AAAAABn8BAAAENi4xNAERAQAADAAAAA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ID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gQEAAAhGb250Qm9sZAaCAQAABUZhbHNlAX3+//+A/v//BoQBAAAKRm9udEl0YWxpYwmCAQAAAXr+//+A/v//BocBAAANRm9udFVuZGVybGluZQaIAQAABS00MTQyAXf+//+A/v//BooBAAAIRm9udE5hbWUGiwEAAAdDYWxpYnJpAXT+//+A/v//Bo0BAAAJRm9udENvbG9yBo4BAAABMAFx/v//gP7//waQAQAACEZvbnRTaXplBpEBAAACMTEBbv7//4D+//8GkwEAAAlGb250U3R5bGUGlAEAAAdSZWd1bGFyBxMBAAAAAQAAAAQAAAAEN0dsb2JlU29mdHdhcmUuQXRsYXM0MC5BdGxhc0NvbW1vbi5UeXBlLkZpZWxkT3V0cHV0RmllbGQOAAAACZUBAAANAwcV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v7//4/+//8Baf7//47+//8JAAAACS4AAAABZ/7//4/+//8BZv7//47+//8LAAAABpsBAAABMQFk/v//j/7//wFj/v//jv7//wQAAAAGngEAAAdHZW5lcmFsAWH+//+P/v//AWD+//+O/v//AgAAAAahAQAAATEBXv7//4/+//8BXf7//47+//8AAAAABqQBAAAFMTMuMTQHF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v//gP7//wmBAQAACYIBAAABWP7//4D+//8JhAEAAAmCAQAAAVX+//+A/v//CYcBAAAGrQEAAAUtNDE0MgFS/v//gP7//wmKAQAABrABAAAHQ2FsaWJyaQFP/v//gP7//wmNAQAABrMBAAABMAFM/v//gP7//wmQAQAABrYBAAACMTEBSf7//4D+//8JkwEAAAa5AQAAB1JlZ3VsYXIHGAEAAAABAAAABAAAAAQ3R2xvYmVTb2Z0d2FyZS5BdGxhczQwLkF0bGFzQ29tbW9uLlR5cGUuRmllbGRPdXRwdXRGaWVsZA4AAAAJugEAAA0DBx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F/v//j/7//wFE/v//jv7//wkAAAAJLgAAAAFC/v//j/7//wFB/v//jv7//wsAAAAGwAEAAAEyAT/+//+P/v//AT7+//+O/v//BAAAAAbDAQAAB0dlbmVyYWwBPP7//4/+//8BO/7//47+//8CAAAABsYBAAABMQE5/v//j/7//wE4/v//jv7//wAAAAAGyQEAAAUxOC41Nwc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b+//+A/v//CYEBAAAJggEAAAEz/v//gP7//wmEAQAACYIBAAABMP7//4D+//8JhwEAAAbSAQAABS00MTQyAS3+//+A/v//CYoBAAAG1QEAAAdDYWxpYnJpASr+//+A/v//CY0BAAAG2AEAAAEwASf+//+A/v//CZABAAAG2wEAAAIxMQEk/v//gP7//wmTAQAABt4BAAAHUmVndWxhcgcdAQAAAAEAAAAEAAAABDdHbG9iZVNvZnR3YXJlLkF0bGFzNDAuQXRsYXNDb21tb24uVHlwZS5GaWVsZE91dHB1dEZpZWxkDgAAAAnfAQAADQMBHgEAAA8BAAAHH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D+//+P/v//AR/+//+O/v//BgAAAAbiAQAABVRvdGFsAR3+//+P/v//ARz+//+O/v//EAAAAAblAQAABE5vbmUBGv7//4/+//8BGf7//47+//8JAAAACS4AAAABF/7//4/+//8BFv7//47+//8LAAAABusBAAABMwEU/v//j/7//wET/v//jv7//wQAAAAG7gEAAAdHZW5lcmFsARH+//+P/v//ARD+//+O/v//AgAAAAbxAQAAATEBDv7//4/+//8BDf7//47+//8AAAAABvQBAAACMTYBIAEAAAwAAAAHI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L/v//gP7//wb2AQAACEZvbnRCb2xkCYIBAAABCP7//4D+//8G+QEAAApGb250SXRhbGljCYIBAAABBf7//4D+//8G/AEAAA1Gb250VW5kZXJsaW5lBv0BAAAFLTQxNDIBAv7//4D+//8G/wEAAAhGb250TmFtZQYAAgAAB0NhbGlicmkB//3//4D+//8GAgIAAAlGb250Q29sb3IGAwIAAAEwAfz9//+A/v//BgUCAAAIRm9udFNpemUGBgIAAAIxMQH5/f//gP7//wYIAgAACUZvbnRTdHlsZQYJAgAAB1JlZ3VsYXIHIgEAAAABAAAABAAAAAQ3R2xvYmVTb2Z0d2FyZS5BdGxhczQwLkF0bGFzQ29tbW9uLlR5cGUuRmllbGRPdXRwdXRGaWVsZA4AAAAJCgIAAA0DBy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1/f//j/7//wH0/f//jv7//xAAAAAJ5QEAAAHy/f//j/7//wHx/f//jv7//wkAAAAJLgAAAAHv/f//j/7//wHu/f//jv7//wsAAAAGEwIAAAE0Aez9//+P/v//Aev9//+O/v//BAAAAAYWAgAAB0dlbmVyYWwB6f3//4/+//8B6P3//47+//8CAAAABhkCAAABMQHm/f//j/7//wHl/f//jv7//wAAAAAGHAIAAAE5By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/3//4D+//8J9gEAAAmCAQAAAeD9//+A/v//CfkBAAAJggEAAAHd/f//gP7//wn8AQAABiUCAAAFLTQxNDIB2v3//4D+//8J/wEAAAYoAgAAB0NhbGlicmkB1/3//4D+//8JAgIAAAYrAgAAATAB1P3//4D+//8JBQIAAAYuAgAAAjExAdH9//+A/v//CQgCAAAGMQIAAAdSZWd1bGFyBycBAAAAAQAAAAQAAAAEN0dsb2JlU29mdHdhcmUuQXRsYXM0MC5BdGxhc0NvbW1vbi5UeXBlLkZpZWxkT3V0cHV0RmllbGQOAAAACTICAAANAwcp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zf3//4/+//8BzP3//47+//8JAAAACS4AAAAByv3//4/+//8Byf3//47+//8LAAAABjgCAAABNQHH/f//j/7//wHG/f//jv7//wQAAAAGOwIAAAdHZW5lcmFsAcT9//+P/v//AcP9//+O/v//AgAAAAY+AgAAATEBwf3//4/+//8BwP3//47+//8AAAAABkECAAAFMTIuODYHK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/f//gP7//wmBAQAACYIBAAABu/3//4D+//8JhAEAAAmCAQAAAbj9//+A/v//CYcBAAAGSgIAAAUtNDE0MgG1/f//gP7//wmKAQAABk0CAAAHQ2FsaWJyaQGy/f//gP7//wmNAQAABlACAAABMAGv/f//gP7//wmQAQAABlMCAAACMTEBrP3//4D+//8JkwEAAAZWAgAAB1JlZ3VsYXIHLAEAAAABAAAABAAAAAQ3R2xvYmVTb2Z0d2FyZS5BdGxhczQwLkF0bGFzQ29tbW9uLlR5cGUuRmllbGRPdXRwdXRGaWVsZA4AAAAJVwIAAA0DBy4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o/f//j/7//wGn/f//jv7//xAAAAAJ5QEAAAGl/f//j/7//wGk/f//jv7//wkAAAAJLgAAAAGi/f//j/7//wGh/f//jv7//wsAAAAGYAIAAAE2AZ/9//+P/v//AZ79//+O/v//BAAAAAZjAgAAB0dlbmVyYWwBnP3//4/+//8Bm/3//47+//8CAAAABmYCAAABMQGZ/f//j/7//wGY/f//jv7//wAAAAAGaQIAAAUxNC40Mwc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b9//+A/v//CfYBAAAJggEAAAGT/f//gP7//wn5AQAACYIBAAABkP3//4D+//8J/AEAAAZyAgAABS00MTQyAY39//+A/v//Cf8BAAAGdQIAAAdDYWxpYnJpAYr9//+A/v//CQICAAAGeAIAAAEwAYf9//+A/v//CQUCAAAGewIAAAIxMQGE/f//gP7//wkIAgAABn4CAAAHUmVndWxhcgcxAQAAAAEAAAAEAAAABDdHbG9iZVNvZnR3YXJlLkF0bGFzNDAuQXRsYXNDb21tb24uVHlwZS5GaWVsZE91dHB1dEZpZWxkDgAAAAl/AgAADQMHM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D9//+P/v//AX/9//+O/v//CQAAAAkuAAAAAX39//+P/v//AXz9//+O/v//CwAAAAaFAgAAATcBev3//4/+//8Bef3//47+//8EAAAABogCAAAHR2VuZXJhbAF3/f//j/7//wF2/f//jv7//wIAAAAGiwIAAAExAXT9//+P/v//AXP9//+O/v//AAAAAAaOAgAABTI5LjE0BzU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3//4D+//8JgQEAAAmCAQAAAW79//+A/v//CYQBAAAJggEAAAFr/f//gP7//wmHAQAABpcCAAAFLTQxNDIBaP3//4D+//8JigEAAAaaAgAAB0NhbGlicmkBZf3//4D+//8JjQEAAAadAgAAATABYv3//4D+//8JkAEAAAagAgAAAjExAV/9//+A/v//CZMBAAAGowIAAAdSZWd1bGFyBzYBAAAAAQAAAAQAAAAEN0dsb2JlU29mdHdhcmUuQXRsYXM0MC5BdGxhc0NvbW1vbi5UeXBlLkZpZWxkT3V0cHV0RmllbGQOAAAACaQCAAANAwc4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3//4/+//8BWv3//47+//8JAAAACS4AAAABWP3//4/+//8BV/3//47+//8LAAAABqoCAAABOAFV/f//j/7//wFU/f//jv7//wQAAAAGrQIAAAhtL2QveXl5eQFS/f//j/7//wFR/f//jv7//wIAAAAGsAIAAAExAU/9//+P/v//AU79//+O/v//AAAAAAazAgAAATkHO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f//gP7//wmBAQAACYIBAAABSf3//4D+//8JhAEAAAmCAQAAAUb9//+A/v//CYcBAAAGvAIAAAUtNDE0MgFD/f//gP7//wmKAQAABr8CAAAHQ2FsaWJyaQFA/f//gP7//wmNAQAABsICAAABMAE9/f//gP7//wmQAQAABsUCAAACMTEBOv3//4D+//8JkwEAAAbIAgAAB1JlZ3VsYXIHOwEAAAABAAAABAAAAAQ3R2xvYmVTb2Z0d2FyZS5BdGxhczQwLkF0bGFzQ29tbW9uLlR5cGUuRmllbGRPdXRwdXRGaWVsZA4AAAAJyQIAAA0DBz0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2/f//j/7//wE1/f//jv7//xAAAAAJ5QEAAAEz/f//j/7//wEy/f//jv7//wkAAAAJLgAAAAEw/f//j/7//wEv/f//jv7//wsAAAAG0gIAAAE5AS39//+P/v//ASz9//+O/v//BAAAAAbVAgAAL18oKiAjLCMjMC4wMF8pO18oKiAoIywjIzAuMDApO18oKiAiLSI/P18pO18oQF8pASr9//+P/v//ASn9//+O/v//AgAAAAbYAgAAATEBJ/3//4/+//8BJv3//47+//8AAAAABtsCAAAFMTAuMjkHP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k/f//gP7//wn2AQAACYIBAAABIf3//4D+//8J+QEAAAmCAQAAAR79//+A/v//CfwBAAAG5AIAAAUtNDE0MgEb/f//gP7//wn/AQAABucCAAAHQ2FsaWJyaQEY/f//gP7//wkCAgAABuoCAAABMAEV/f//gP7//wkFAgAABu0CAAACMTEBEv3//4D+//8JCAIAAAbwAgAAB1JlZ3VsYXIHQAEAAAABAAAABAAAAAQ3R2xvYmVTb2Z0d2FyZS5BdGxhczQwLkF0bGFzQ29tbW9uLlR5cGUuRmllbGRPdXRwdXRGaWVsZA4AAAAJ8QIAAA0DB0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O/f//j/7//wEN/f//jv7//wkAAAAJLgAAAAEL/f//j/7//wEK/f//jv7//wsAAAAG9wIAAAIxMAEI/f//j/7//wEH/f//jv7//wQAAAAG+gIAAAdHZW5lcmFsAQX9//+P/v//AQT9//+O/v//AgAAAAb9AgAAATEBAv3//4/+//8BAf3//47+//8AAAAABgADAAAENi40MwdE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/8//+A/v//CYEBAAAJggEAAAH8/P//gP7//wmEAQAACYIBAAAB+fz//4D+//8JhwEAAAYJAwAABS00MTQyAfb8//+A/v//CYoBAAAGDAMAAAdDYWxpYnJpAfP8//+A/v//CY0BAAAGDwMAAAEwAfD8//+A/v//CZABAAAGEgMAAAIxMQHt/P//gP7//wmTAQAABhUDAAAHUmVndWxhcgdFAQAAAAEAAAAEAAAABDdHbG9iZVNvZnR3YXJlLkF0bGFzNDAuQXRsYXNDb21tb24uVHlwZS5GaWVsZE91dHB1dEZpZWxkDgAAAAkWAwAADQMHR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n8//+P/v//Aej8//+O/v//CQAAAAkuAAAAAeb8//+P/v//AeX8//+O/v//CwAAAAYcAwAAAjExAeP8//+P/v//AeL8//+O/v//BAAAAAYfAwAAL18oKiAjLCMjMC4wMF8pO18oKiAoIywjIzAuMDApO18oKiAiLSI/P18pO18oQF8pAeD8//+P/v//Ad/8//+O/v//AgAAAAYiAwAAATEB3fz//4/+//8B3Pz//47+//8AAAAABiUDAAAFMTEuMjkHS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a/P//gP7//wmBAQAACYIBAAAB1/z//4D+//8JhAEAAAmCAQAAAdT8//+A/v//CYcBAAAGLgMAAAUtNDE0MgHR/P//gP7//wmKAQAABjEDAAAHQ2FsaWJyaQHO/P//gP7//wmNAQAABjQDAAABMAHL/P//gP7//wmQAQAABjcDAAACMTEByPz//4D+//8JkwEAAAY6AwAAB1JlZ3VsYXIHSgEAAAABAAAABAAAAAQ3R2xvYmVTb2Z0d2FyZS5BdGxhczQwLkF0bGFzQ29tbW9uLlR5cGUuRmllbGRPdXRwdXRGaWVsZA4AAAAJOwMAAA0DB0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E/P//j/7//wHD/P//jv7//xAAAAAJ5QEAAAHB/P//j/7//wHA/P//jv7//wkAAAAJLgAAAAG+/P//j/7//wG9/P//jv7//wsAAAAGRAMAAAIxMgG7/P//j/7//wG6/P//jv7//wQAAAAGRwMAAC9fKCogIywjIzAuMDBfKTtfKCogKCMsIyMwLjAwKTtfKCogIi0iPz9fKTtfKEBfKQG4/P//j/7//wG3/P//jv7//wIAAAAGSgMAAAExAbX8//+P/v//AbT8//+O/v//AAAAAAZNAwAABDkuNzEHT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gP7//wn2AQAACYIBAAABr/z//4D+//8J+QEAAAmCAQAAAaz8//+A/v//CfwBAAAGVgMAAAUtNDE0MgGp/P//gP7//wn/AQAABlkDAAAHQ2FsaWJyaQGm/P//gP7//wkCAgAABlwDAAABMAGj/P//gP7//wkFAgAABl8DAAACMTEBoPz//4D+//8JCAIAAAZiAwAAB1JlZ3VsYXIHTwEAAAABAAAABAAAAAQ3R2xvYmVTb2Z0d2FyZS5BdGxhczQwLkF0bGFzQ29tbW9uLlR5cGUuRmllbGRPdXRwdXRGaWVsZA4AAAAJYwMAAA0DB1E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c/P//j/7//wGb/P//jv7//wkAAAAJLgAAAAGZ/P//j/7//wGY/P//jv7//wsAAAAGaQMAAAIxMwGW/P//j/7//wGV/P//jv7//wQAAAAGbAMAAAdHZW5lcmFsAZP8//+P/v//AZL8//+O/v//AgAAAAZvAwAAATEBkPz//4/+//8Bj/z//47+//8AAAAABnIDAAAFMTAuNDMHU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N/P//gP7//wmBAQAACYIBAAABivz//4D+//8JhAEAAAmCAQAAAYf8//+A/v//CYcBAAAGewMAAAUtNDE0MgGE/P//gP7//wmKAQAABn4DAAAHQ2FsaWJyaQGB/P//gP7//wmNAQAABoEDAAABMAF+/P//gP7//wmQAQAABoQDAAACMTEBe/z//4D+//8JkwEAAAaHAwAAB1JlZ3VsYXIHVAEAAAABAAAABAAAAAQ3R2xvYmVTb2Z0d2FyZS5BdGxhczQwLkF0bGFzQ29tbW9uLlR5cGUuRmllbGRPdXRwdXRGaWVsZA4AAAAJiAMAAA0DB1Y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3/P//j/7//wF2/P//jv7//wkAAAAJLgAAAAF0/P//j/7//wFz/P//jv7//wsAAAAGjgMAAAIxNAFx/P//j/7//wFw/P//jv7//wQAAAAGkQMAAAdHZW5lcmFsAW78//+P/v//AW38//+O/v//AgAAAAaUAwAAATEBa/z//4/+//8Bavz//47+//8AAAAABpcDAAAFMTQuNDMHW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o/P//gP7//wmBAQAACYIBAAABZfz//4D+//8JhAEAAAmCAQAAAWL8//+A/v//CYcBAAAGoAMAAAUtNDE0MgFf/P//gP7//wmKAQAABqMDAAAHQ2FsaWJyaQFc/P//gP7//wmNAQAABqYDAAABMAFZ/P//gP7//wmQAQAABqkDAAACMTEBVvz//4D+//8JkwEAAAasAwAAB1JlZ3VsYXIHWQEAAAABAAAAAAAAAAQ3R2xvYmVTb2Z0d2FyZS5BdGxhczQwLkF0bGFzQ29tbW9uLlR5cGUuRmllbGRPdXRwdXRGaWVsZA4AAAAHW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VP8//+P/v//AVL8//+O/v//JAAAAAn+AAAAAVD8//+P/v//AU/8//+O/v//CwAAAAayAwAAAjE1AU38//+P/v//AUz8//+O/v//BAAAAAa1AwAAL18oKiAjLCMjMC4wMF8pO18oKiAoIywjIzAuMDApO18oKiAiLSI/P18pO18oQF8pAUr8//+P/v//AUn8//+O/v//AgAAAAa4AwAAATEBR/z//4/+//8BRvz//47+//8AAAAABrsDAAAFMTMuNDMBRPz//4/+//8BQ/z//47+//8DAAAABr4DAACFAT1BdGxhc0JhbGFuY2UoIlVBVCIsRGF0YUFyZWFJZCwiVC5NYXJrdXBUcmFucyIsIlN1bXxQb3N0ZWR8MCIsIiIsIiIsIiIsIiIsIiIsIiIsIlRyYW5zUmVjSWR8VHJhbnNUYWJsZUlkfE1hcmt1cENvZGUiLCRPMywiNDkyIiwiVFBQIikHX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/P//gP7//wmBAQAACYIBAAABPvz//4D+//8JhAEAAAmCAQAAATv8//+A/v//CYcBAAAGxwMAAAUtNDE0MgE4/P//gP7//wmKAQAABsoDAAAHQ2FsaWJyaQE1/P//gP7//wmNAQAABs0DAAABMAEy/P//gP7//wmQAQAABtADAAACMTEBL/z//4D+//8JkwEAAAbTAwAAB1JlZ3VsYXIFcAE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LPz//9D/////////AAbVAwAABlN0cmluZwbWAwAAEENvbXBhbnkgYWNjb3VudHMJ1wMAAAEo/P//zv///wIAAAAFJ/z//zlHbG9iZVNvZnR3YXJlLkF0bGFzNDAuQXRsYXNDb21tb24uTnVtYmVyU2VxdWVuY2VDb25kaXRpb24BAAAAB3ZhbHVlX18ACA4AAAABAAAAAAAG2gMAABZUYWJsZS5WZW5kSW52b2ljZVRyYW5zCSsAAAAJLgAAAAr/////CdoDAAAKCSsAAAAKCgoJLgAAAAngAwAACS4AAAABlQEAAHABAAABHvz//9D/////////AAbjAwAABlN0cmluZwbkAwAADlZlbmRvciBhY2NvdW50CeUDAAABGvz//87///8CAAAAARn8//8n/P//AQAAAAAACWcBAAAJOQAAAAkuAAAACv////8JZwEAAAoJOQAAAAbtAwAAD1ZlbmRJbnZvaWNlSm91cgbuAwAAEFZlbmRJbnZvaWNlVHJhbnMKCS4AAAAJ8AMAAAkuAAAAAboBAABwAQAAAQ78///Q/////////wAG8wMAAAZTdHJpbmcG9AMAAAROYW1lCfUDAAABCvz//87///8CAAAAAQn8//8n/P//AQAAAAAACWoBAAAJRwAAAAkuAAAACv////8JagEAAAoJRwAAAAb9AwAADE9yZGVyQWNjb3VudAb+AwAAD1ZlbmRJbnZvaWNlSm91cgoJLgAAAAkABAAACS4AAAAB3wEAAHABAAAB/vv//9D/////////AAYDBAAABlN0cmluZwYEBAAADlB1cmNoYXNlIG9yZGVyCQUEAAAB+vv//87///8CAAAAAfn7//8n/P//AQAAAAAABggEAAAWVGFibGUuVmVuZEludm9pY2VUcmFucwlVAAAACS4AAAAK/////wkIBAAACglVAAAACgoKCS4AAAAJDgQAAAkuAAAAAQoCAABwAQAAAfD7///Q/////////wAGEQQAAAZTdHJpbmcGEgQAAAdJbnZvaWNlCQUEAAAB7Pv//87///8CAAAAAev7//8n/P//AQAAAAAACQgEAAAJYwAAAAkuAAAACv////8JCAQAAAoJYwAAAAoKCgkuAAAACRwEAAAJLgAAAAEyAgAAcAEAAAHi+///0P////////8ABh8EAAAGU3RyaW5nBiAEAAAJV2FyZWhvdXNlCfUDAAAB3vv//87///8CAAAAAd37//8n/P//AQAAAAAACWoBAAAJcQAAAAkuAAAACv////8JagEAAAoJcQAAAAYpBAAADE9yZGVyQWNjb3VudAYqBAAAD1ZlbmRJbnZvaWNlSm91cgoJLgAAAAksBAAACS4AAAABVwIAAHABAAAB0vv//9D/////////AAYvBAAABlN0cmluZwYwBAAABEl0ZW0JBQQAAAHO+///zv///wIAAAABzfv//yf8//8BAAAAAAAJCAQAAAl/AAAACS4AAAAK/////wkIBAAACgl/AAAACgoKCS4AAAAJOgQAAAkuAAAAAX8CAABwAQAAAcT7///Q/////////wAGPQQAAAZTdHJpbmcGPgQAAAlJdGVtIG5hbWUJPwQAAAHA+///zv///wIAAAABv/v//yf8//8BAAAAAAAJbQEAAAmNAAAACS4AAAAK/////wltAQAACgmNAAAABkcEAAAGSXRlbUlkBkgEAAAQVmVuZEludm9pY2VUcmFucwoJLgAAAAlKBAAACS4AAAABpAIAAHABAAABtPv//9D/////////AAZNBAAABERhdGUGTgQAAAREYXRlCU8EAAABsPv//87///8CAAAAAa/7//8n/P//AQAAAAAABlIEAAAWVGFibGUuVmVuZEludm9pY2VUcmFucwmbAAAACS4AAAAK/////wlSBAAACgmbAAAACgoKCS4AAAAJWAQAAAkuAAAAAckCAABwAQAAAab7///Q/////////wAGWwQAAARSZWFsBlwEAAAIUXVhbnRpdHkJBQQAAAGi+///zv///wIAAAABofv//yf8//8BAAAAAAAJCAQAAAmpAAAACS4AAAAK/////wkIBAAACgmpAAAACgoKCS4AAAAJZgQAAAkuAAAAAfECAABwAQAAAZj7///Q/////////wAGaQQAAAZTdHJpbmcGagQAAARVbml0CU8EAAABlPv//87///8CAAAAAZP7//8n/P//AQAAAAAACVIEAAAJtwAAAAkuAAAACv////8JUgQAAAoJtwAAAAoKCgkuAAAACXQEAAAJLgAAAAEWAwAAcAEAAAGK+///0P////////8ABncEAAAEUmVhbAZ4BAAAClVuaXQgcHJpY2UJTwQAAAGG+///zv///wIAAAABhfv//yf8//8BAAAAAAAJUgQAAAnFAAAACS4AAAAK/////wlSBAAACgnFAAAACgoKCS4AAAAJggQAAAkuAAAAATsDAABwAQAAAXz7///Q/////////wAGhQQAAARSZWFsBoYEAAAGQW1vdW50CQUEAAABePv//87///8CAAAAAXf7//8n/P//AQAAAAAACQgEAAAJ0wAAAAkuAAAACv////8JCAQAAAoJ0wAAAAoKCgkuAAAACZAEAAAJLgAAAAFjAwAAcAEAAAFu+///0P////////8ABpMEAAAGU3RyaW5nBpQEAAAIQ3VycmVuY3kJlQQAAAFq+///zv///wIAAAABafv//yf8//8BAAAAAAAGmAQAABZUYWJsZS5WZW5kSW52b2ljZVRyYW5zCeEAAAAJLgAAAAr/////CZgEAAAKCeEAAAAKCgoJLgAAAAmeBAAACS4AAAABiAMAAHABAAABYPv//9D/////////AAahBAAABUludDY0BqIEAAAMUmVjSWQgY29sdW1uCZUEAAABXPv//87///8CAAAAAVv7//8n/P//AQAAAAAACZgEAAAJ7wAAAAkuAAAACv////8JmAQAAAoJ7wAAAAoKCgkuAAAACawEAAAJLgAAAAXXAw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q4EAAAQVmVuZEludm9pY2VUcmFucwavBAAAFFZlbmRvciBpbnZvaWNlIGxpbmVzCS4AAAAJLgAAAAkuAAAABU/7//8wR2xvYmVTb2Z0d2FyZS5BdGxhczQwLkF0bGFzQ29tbW9uLkRhdGFTb3VyY2VUeXBlAQAAAAd2YWx1ZV9fAAgOAAAAAAAAAAmyBAAACbMEAAAETPv//wtTeXN0ZW0uR3VpZAsAAAACX2ECX2ICX2MCX2QCX2UCX2YCX2cCX2gCX2kCX2oCX2sAAAAAAAAAAAAAAAgHBwICAgICAgICN6kCdILkI0aD7Z64aAA8pQkuAAAACS4AAAAJtgQAAAnaAwAACgoKCgoBAAAABUj7//80R2xvYmVTb2Z0d2FyZS5BdGxhczQwLkF0bGFzQ29tbW9uLkRhdGFTb3VyY2VKb2luTW9kZQEAAAAHdmFsdWVfXwAIDgAAAAAAAAAFR/v//zVHbG9iZVNvZnR3YXJlLkF0bGFzNDAuQXRsYXNDb21tb24uRGF0YVNvdXJjZUZldGNoTW9kZQEAAAAHdmFsdWVfXwAIDgAAAAAAAAAACboEAAAB4AMAACoAAABKAAAACREBAAADAAAACbwEAAAB5QMAANcDAAD/////Br0EAAAPVmVuZEludm9pY2VKb3VyBr4EAAAWVmVuZG9yIGludm9pY2Ugam91cm5hbAkuAAAACS4AAAAJLgAAAAFA+///T/v//wAAAAAJwQQAAAnCBAAAAT37//9M+///IwsaeV87cEqwKeR8rx3zMAkuAAAACS4AAAAJxQQAAAlnAQAABscEAAAQVmVuZEludm9pY2VUcmFucwbIBAAAFlRhYmxlLlZlbmRJbnZvaWNlVHJhbnMGyQQAACZUYWJsZS5WZW5kSW52b2ljZVRyYW5zLlZlbmRJbnZvaWNlSm91cgbKBAAAD1ZlbmRJbnZvaWNlSm91cgoBAAAAATX7//9I+///AAAAAAE0+///R/v//wAAAAAACc0EAAAB8AMAACoAAABEAAAACREBAAADAAAACc8EAAAB9QMAANcDAAD/////BtAEAAAJVmVuZFRhYmxlBtEEAAAHVmVuZG9ycwkuAAAACS4AAAAJLgAAAAEt+///T/v//wAAAAAJ1AQAAAnVBAAAASr7//9M+///OZRMal//IkyuYLGfVZf1CwkuAAAACS4AAAAJ2AQAAAlqAQAABtoEAAAPVmVuZEludm9pY2VKb3VyBtsEAAA8VGFibGUuVmVuZEludm9pY2VUcmFucy5WZW5kSW52b2ljZUpvdXJ+VGFibGUuVmVuZEludm9pY2VKb3VyBtwEAABJVGFibGUuVmVuZEludm9pY2VUcmFucy5WZW5kSW52b2ljZUpvdXJ+VGFibGUuVmVuZEludm9pY2VKb3VyLk9yZGVyQWNjb3VudAbdBAAADE9yZGVyQWNjb3VudAbeBAAACkFjY291bnROdW0BAAAAASH7//9I+///AAAAAAEg+///R/v//wAAAAAACeEEAAABAAQAACoAAABEAAAACREBAAADAAAACeMEAAABBQQAANcDAADsAQAABuQEAAAQVmVuZEludm9pY2VUcmFucwblBAAAFFZlbmRvciBpbnZvaWNlIGxpbmVzCS4AAAAJLgAAAAkuAAAAARn7//9P+///AAAAAAnoBAAACekEAAABFvv//0z7///n2PHBJjXfQpfknlp3bh70CS4AAAAJLgAAAAnsBAAACQgEAAAKCgoKCgEAAAABEvv//0j7//8AAAAAARH7//9H+///AAAAAAAJ8AQAAAEOBAAAKgAAAFkAAAAJIAEAAAMAAAAJ8gQAAAEcBAAAKgAAAFkAAAAJIAEAAAMAAAAJ9AQAAAEsBAAAKgAAAD4AAAAJEQEAAAMAAAAJ9gQAAAE6BAAAKgAAAFkAAAAJIAEAAAMAAAAJ+AQAAAE/BAAA1wMAAP////8G+QQAAAtJbnZlbnRUYWJsZQb6BAAABUl0ZW1zCS4AAAAJLgAAAAkuAAAAAQT7//9P+///AAAAAAn9BAAACf4EAAABAfv//0z7//9vye3e5zAcRrYb4ZNj5CsqCS4AAAAJLgAAAAkBBQAACW0BAAAGAwUAABBWZW5kSW52b2ljZVRyYW5zBgQFAAAWVGFibGUuVmVuZEludm9pY2VUcmFucwYFBQAAHVRhYmxlLlZlbmRJbnZvaWNlVHJhbnMuSXRlbUlkBgYFAAAGSXRlbUlkBgcFAAAGSXRlbUlkAQAAAAH4+v//SPv//wAAAAAB9/r//0f7//8AAAAAAAkKBQAAAUoEAAAqAAAAPgAAAAkRAQAAAwAAAAkMBQAAAU8EAADXAwAA/////wYNBQAAEFZlbmRJbnZvaWNlVHJhbnMGDgUAABRWZW5kb3IgaW52b2ljZSBsaW5lcwkuAAAACS4AAAAJLgAAAAHw+v//T/v//wAAAAAJEQUAAAkSBQAAAe36//9M+///kg48idPNO06julRITIGuTAkuAAAACS4AAAAJFQUAAAlSBAAACgoKCgoBAAAAAen6//9I+///AAAAAAHo+v//R/v//wAAAAAACRkFAAABWAQAACoAAAA+AAAACREBAAADAAAACRsFAAABZgQAACoAAABZAAAACSABAAADAAAACR0FAAABdAQAACoAAAA+AAAACREBAAADAAAACR8FAAABggQAACoAAAA+AAAACREBAAADAAAACSEFAAABkAQAACoAAABZAAAACSABAAADAAAACSMFAAABlQQAANcDAAD/////BiQFAAAQVmVuZEludm9pY2VUcmFucwYlBQAAFFZlbmRvciBpbnZvaWNlIGxpbmVzCS4AAAAJLgAAAAkuAAAAAdn6//9P+///AAAAAAkoBQAACSkFAAAB1vr//0z7///HmzveMVE8RIWTCeJX6jNcCS4AAAAJLgAAAAksBQAACZgEAAAKCgoKCgEAAAAB0vr//0j7//8AAAAAAdH6//9H+///AAAAAAAJMAUAAAGeBAAAKgAAADgAAAAJEQEAAAMAAAAJMgUAAAGsBAAAKgAAADgAAAAJEQEAAAMAAAAJNAUAAASyB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QAAAAk1BQAAEQAAAAk2BQAABLME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NwUAAAMAAAAJOAUAAAS2B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NQUAAAAAAAAEugQ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OgUAAAAAAAAHvA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+v//gP7//wY8BQAABUxhYmVsCdYDAAABwvr//4D+//8GPwUAAARUeXBlCdUDAAABwQQAALIEAAABAAAACREBAAADAAAACUIFAAABwgQAALMEAAABAAAACUMFAAADAAAACUQFAAAExQQ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EQEAAAMAAAAJRgUAAAHNBAAAugQAAAAAAAAJRwUAAAAAAAAHz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v//gP7//wk8BQAACeQDAAABtfr//4D+//8JPwUAAAnjAwAAAdQEAACyBAAAAgAAAAkRAQAAAwAAAAlPBQAAAdUEAACzBAAAAQAAAAlDBQAAAwAAAAlRBQAAAdgEAAC2BAAAAAAAAAkRAQAAAAAAAAHhBAAAugQAAAAAAAAJRwUAAAAAAAAH4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s+v//gP7//wk8BQAACfQDAAABqfr//4D+//8JPwUAAAnzAwAAAegEAACyBAAACAAAAAlaBQAAEQAAAAlbBQAAAekEAACzBAAABQAAAAlaBQAABwAAAAldBQAAAewEAAC2BAAAAAAAAAlaBQAAAAAAAAHwBAAAugQAAAAAAAAJXwUAAAAAAAAH8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g+v//gP7//wZhBQAACEhlbHBUZXh0BmIFAAAfQWNoYXQgbGnDqSDDoCBsYSBsaWduZSBhY3R1ZWxsZQGd+v//gP7//wZkBQAABUxhYmVsCQQEAAABmvr//4D+//8GZwUAAARUeXBlCQMEAAAH9A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+v//gP7//wlhBQAABmsFAAAcSWRlbnRpZmljYXRpb24gZGUgbGEgZmFjdHVyZQGU+v//gP7//wlkBQAACRIEAAABkfr//4D+//8JZwUAAAkRBAAAB/Y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r//4D+//8JPAUAAAkgBAAAAYv6//+A/v//CT8FAAAJHwQAAAf4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j6//+A/v//CWEFAAAGegUAABNJZGVudGlmaWUgbCdhcnRpY2xlAYX6//+A/v//CWQFAAAJMAQAAAGC+v//gP7//wlnBQAACS8EAAAB/QQAALIEAAABAAAACREBAAADAAAACYIFAAAB/gQAALMEAAABAAAACUMFAAADAAAACYQFAAABAQUAALYEAAAAAAAACREBAAAAAAAAAQoFAAC6BAAAAAAAAAlHBQAAAAAAAAcM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n6//+A/v//CTwFAAAJPgQAAAF2+v//gP7//wk/BQAACT0EAAABEQUAALIEAAAPAAAACY0FAAARAAAACY4FAAABEgUAALMEAAABAAAACREBAAADAAAACZAFAAAEFQU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IAAAAJjQUAAAMAAAAJkgUAAAEZBQAAugQAAAAAAAAJkwUAAAAAAAAHGw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+v//gP7//wk8BQAACU4EAAABafr//4D+//8JPwUAAAlNBAAABx0F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vr//4D+//8JYQUAAAacBQAAGE5vbWJyZSBkJ3VuaXTDqXMgZCdhY2hhdAFj+v//gP7//wlkBQAACVwEAAABYPr//4D+//8JZwUAAAlbBAAABx8F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r//4D+//8JPAUAAAlqBAAAAVr6//+A/v//CT8FAAAJaQQAAAch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f6//+A/v//CTwFAAAJeAQAAAFU+v//gP7//wk/BQAACXcEAAAHIwU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+v//gP7//wlhBQAABrEFAAARTW9udGFudCBlbiBkZXZpc2UBTvr//4D+//8JZAUAAAmGBAAAAUv6//+A/v//CWcFAAAJhQQAAAEoBQAAsgQAAAsAAAAJuAUAABEAAAAJuQUAAAEpBQAAswQAAAEAAAAJEQEAAAMAAAAJuwUAAAQsBQ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m4BQAAAwAAAAm9BQAAATAFAAC6BAAAAAAAAAm+BQAAAAAAAAcyBQ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6//+A/v//CTwFAAAJlAQAAAE++v//gP7//wk/BQAACZMEAAAHNAU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+v//gP7//wk8BQAACaIEAAABOPr//4D+//8JPwUAAAmhBAAAATUFAAAMAAAABzYF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DX6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swFAAAeVGFibGUuVmVuZEludm9pY2VUcmFucy5QdXJjaElECd8BAAABMvr//zX6//8GzwUAACFUYWJsZS5WZW5kSW52b2ljZVRyYW5zLkxpbmVBbW91bnQJOwMAAAEv+v//Nfr//wbSBQAAIVRhYmxlLlZlbmRJbnZvaWNlVHJhbnMuRGlzY0Ftb3VudAnTBQAAASz6//81+v//BtUFAAAiVGFibGUuVmVuZEludm9pY2VUcmFucy5EaXNjUGVyY2VudAnWBQAAASn6//81+v//BtgFAAAaVGFibGUuVmVuZEludm9pY2VUcmFucy5RdHkJyQIAAAEm+v//Nfr//wbbBQAAIFRhYmxlLlZlbmRJbnZvaWNlVHJhbnMuUHJpY2VVbml0CdwFAAABI/r//zX6//8G3gUAAB1UYWJsZS5WZW5kSW52b2ljZVRyYW5zLkl0ZW1JZAlXAgAAASD6//81+v//BuEFAAAgVGFibGUuVmVuZEludm9pY2VUcmFucy5JbnZvaWNlSWQJCgIAAAEd+v//Nfr//wbkBQAAIVRhYmxlLlZlbmRJbnZvaWNlVHJhbnMuRGF0YUFyZWFJZAlwAQAAATcFAAAMAAAABzg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+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ucFAAAiVGFibGUuVmVuZEludm9pY2VUcmFucy5JbnZvaWNlRGF0ZQnoBQAABDoF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dCB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X+v//Nfr//wbqBQAASVRhYmxlLlZlbmRJbnZvaWNlVHJhbnMuVmVuZEludm9pY2VKb3VyflRhYmxlLlZlbmRJbnZvaWNlSm91ci5PcmRlckFjY291bnQJlQEAAAFDBQAADAAAAAdE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FPr//xr6//8G7QUAAEZUYWJsZS5WZW5kSW52b2ljZVRyYW5zLlZlbmRJbnZvaWNlSm91cn5UYWJsZS5WZW5kSW52b2ljZUpvdXIuVmVuZEdyb3VwCe4FAAAHRgU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Efr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4AAAAJagEAAAn1AwAAAUcFAAA6BQAAB08FAAAAAQAAAAI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76//81+v//BvMFAABeVGFibGUuVmVuZEludm9pY2VUcmFucy5WZW5kSW52b2ljZUpvdXJ+VGFibGUuVmVuZEludm9pY2VKb3VyLk9yZGVyQWNjb3VudH5UYWJsZS5WZW5kVGFibGUuTmFtZQm6AQAAAQv6//81+v//BvYFAABoVGFibGUuVmVuZEludm9pY2VUcmFucy5WZW5kSW52b2ljZUpvdXJ+VGFibGUuVmVuZEludm9pY2VKb3VyLk9yZGVyQWNjb3VudH5UYWJsZS5WZW5kVGFibGUuSW52ZW50TG9jYXRpb24JMgIAAAdRB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CPr//xr6//8G+QUAAGhUYWJsZS5WZW5kSW52b2ljZVRyYW5zLlZlbmRJbnZvaWNlSm91cn5UYWJsZS5WZW5kSW52b2ljZUpvdXIuT3JkZXJBY2NvdW50flRhYmxlLlZlbmRUYWJsZS5JbnZlbnRMb2NhdGlvbgn6BQAAAVoFAAAMAAAAB1sF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QX6//81+v//BvwFAAAeVGFibGUuVmVuZEludm9pY2VUcmFucy5QdXJjaElECd8BAAABAvr//zX6//8G/wUAACFUYWJsZS5WZW5kSW52b2ljZVRyYW5zLkxpbmVBbW91bnQJOwMAAAH/+f//Nfr//wYCBgAAIVRhYmxlLlZlbmRJbnZvaWNlVHJhbnMuRGlzY0Ftb3VudAnTBQAAAfz5//81+v//BgUGAAAiVGFibGUuVmVuZEludm9pY2VUcmFucy5EaXNjUGVyY2VudAnWBQAAAfn5//81+v//BggGAAAaVGFibGUuVmVuZEludm9pY2VUcmFucy5RdHkJyQIAAAH2+f//Nfr//wYLBgAAIFRhYmxlLlZlbmRJbnZvaWNlVHJhbnMuUHJpY2VVbml0CdwFAAAB8/n//zX6//8GDgYAAB1UYWJsZS5WZW5kSW52b2ljZVRyYW5zLkl0ZW1JZAlXAgAAAfD5//81+v//BhEGAAAgVGFibGUuVmVuZEludm9pY2VUcmFucy5JbnZvaWNlSWQJCgIAAAddBQAAAAEAAAAF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7fn//xr6//8GFAYAACFUYWJsZS5WZW5kSW52b2ljZVRyYW5zLkRhdGFBcmVhSWQJFQYAAAHq+f//Gvr//wYXBgAAIlRhYmxlLlZlbmRJbnZvaWNlVHJhbnMuSW52b2ljZURhdGUJGAYAAAHn+f//Gvr//wYaBgAAIFRhYmxlLlZlbmRJbnZvaWNlVHJhbnMuSW52b2ljZUlkCRsGAAAB5Pn//xr6//8GHQYAAB1UYWJsZS5WZW5kSW52b2ljZVRyYW5zLkl0ZW1JZAkeBgAAAeH5//8a+v//BiAGAAAeVGFibGUuVmVuZEludm9pY2VUcmFucy5QdXJjaElECSEGAAABXwUAADoFAAAHggUAAAABAAAAA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3vn//zX6//8GIwYAADhUYWJsZS5WZW5kSW52b2ljZVRyYW5zLkl0ZW1JZH5UYWJsZS5JbnZlbnRUYWJsZS5JdGVtTmFtZQl/AgAAB4Q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Hb+f//Gvr//wYmBgAAOFRhYmxlLlZlbmRJbnZvaWNlVHJhbnMuSXRlbUlkflRhYmxlLkludmVudFRhYmxlLkl0ZW1UeXBlCScGAAABjQUAAAwAAAAHjgU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2Pn//zX6//8GKQYAACFUYWJsZS5WZW5kSW52b2ljZVRyYW5zLkRhdGFBcmVhSWQJcAEAAAHV+f//Nfr//wYsBgAAHlRhYmxlLlZlbmRJbnZvaWNlVHJhbnMuUHVyY2hJRAnfAQAAAdL5//81+v//Bi8GAAAhVGFibGUuVmVuZEludm9pY2VUcmFucy5MaW5lQW1vdW50CTsDAAABz/n//zX6//8GMgYAABpUYWJsZS5WZW5kSW52b2ljZVRyYW5zLlF0eQnJAgAAAcz5//81+v//BjUGAAAdVGFibGUuVmVuZEludm9pY2VUcmFucy5JdGVtSWQJVwIAAAHJ+f//Nfr//wY4BgAAIFRhYmxlLlZlbmRJbnZvaWNlVHJhbnMuSW52b2ljZUlkCQoCAAABxvn//zX6//8GOwYAACJUYWJsZS5WZW5kSW52b2ljZVRyYW5zLkludm9pY2VEYXRlCaQCAAABw/n//zX6//8GPgYAACBUYWJsZS5WZW5kSW52b2ljZVRyYW5zLlB1cmNoVW5pdAnxAgAAAcD5//81+v//BkEGAAAhVGFibGUuVmVuZEludm9pY2VUcmFucy5QdXJjaFByaWNlCRYDAAAHkAU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b35//8a+v//BkQGAAAiVGFibGUuVmVuZEludm9pY2VUcmFucy5JbnZvaWNlRGF0ZQnoBQAAB5IF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br5//8R+v//CWcBAAAJ5QMAAAG3+f//Efr//wltAQAACT8EAAABkwUAADoFAAABuAUAAAwAAAAHuQUAAAABAAAAC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tPn//zX6//8GTQYAACFUYWJsZS5WZW5kSW52b2ljZVRyYW5zLkRhdGFBcmVhSWQJcAEAAAGx+f//Nfr//wZQBgAAHlRhYmxlLlZlbmRJbnZvaWNlVHJhbnMuUHVyY2hJRAnfAQAAAa75//81+v//BlMGAAAgVGFibGUuVmVuZEludm9pY2VUcmFucy5JbnZvaWNlSWQJCgIAAAGr+f//Nfr//wZWBgAAHVRhYmxlLlZlbmRJbnZvaWNlVHJhbnMuSXRlbUlkCVcCAAABqPn//zX6//8GWQYAACJUYWJsZS5WZW5kSW52b2ljZVRyYW5zLkludm9pY2VEYXRlCaQCAAABpfn//zX6//8GXAYAABpUYWJsZS5WZW5kSW52b2ljZVRyYW5zLlF0eQnJAgAAAaL5//81+v//Bl8GAAAgVGFibGUuVmVuZEludm9pY2VUcmFucy5QdXJjaFVuaXQJ8QIAAAGf+f//Nfr//wZiBgAAIVRhYmxlLlZlbmRJbnZvaWNlVHJhbnMuUHVyY2hQcmljZQkWAwAAAZz5//81+v//BmUGAAAhVGFibGUuVmVuZEludm9pY2VUcmFucy5MaW5lQW1vdW50CTsDAAABmfn//zX6//8GaAYAACNUYWJsZS5WZW5kSW52b2ljZVRyYW5zLkN1cnJlbmN5Q29kZQljAwAAAZb5//81+v//BmsGAAAcVGFibGUuVmVuZEludm9pY2VUcmFucy5SZWNJZAmIAwAAB7sF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T+f//Gvr//wZuBgAAIlRhYmxlLlZlbmRJbnZvaWNlVHJhbnMuSW52b2ljZURhdGUJ6AUAAAe9BQ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Q+f//Efr//wlnAQAACeUDAAABjfn//xH6//8JbQEAAAk/BAAAAb4FAAA6BQAAAdMFAABwAQAAAYr5///Q/////////wAGdwYAAARSZWFsBngGAAAIRGlzY291bnQJBQQAAAGG+f//zv///wIAAAABhfn//yf8//8BAAAAAAAJCAQAAAZ9BgAACkRpc2NBbW91bnQJLgAAAAr/////CQgEAAAKCX0GAAAKCgoJLgAAAAmCBgAACS4AAAAB1gUAAHABAAABfPn//9D/////////AAaFBgAABFJlYWwGhgYAAApEaXNjLiBwY3QuCQUEAAABePn//87///8CAAAAAXf5//8n/P//AQAAAAAACQgEAAAGiwYAAAtEaXNjUGVyY2VudAkuAAAACv////8JCAQAAAoJiwYAAAoKCgkuAAAACZAGAAAJLgAAAAHcBQAAcAEAAAFu+f//0P////////8ABpMGAAAEUmVhbAaUBgAAClByaWNlIHVuaXQJBQQAAAFq+f//zv///wIAAAABafn//yf8//8BAAAAAAAJCAQAAAaZBgAACVByaWNlVW5pdAkuAAAACv////8JCAQAAAoJmQYAAAoKCgkuAAAACZ4GAAAJLgAAAAXoB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CAQAAAliAQAACS4AAAAGowYAABgwOC4wMS4yMDE3IC4uIDA4LjMxLjIwMTf/////CQgEAAAKCWIBAAAKCgoJLgAAAAmnBgAACS4AAAAB7gUAAOgFAAAJZwEAAAloAQAACS4AAAAJaQEAAP////8JZwEAAAoJaAEAAAavBgAAD1ZlbmRJbnZvaWNlSm91cgoKCS4AAAAJsQYAAAkuAAAAAfoFAADoBQAACWoBAAAJawEAAAkuAAAACWwBAAD/////CWoBAAAKCWsBAAAGuQYAAAxPcmRlckFjY291bnQKCgkuAAAACbsGAAAJLgAAAAEVBgAA6AUAAAkIBAAABr4GAAAKRGF0YUFyZWFJZAkuAAAACS4AAAD/////CQgEAAAKCb4GAAAKCgoJLgAAAAnDBgAACS4AAAABGAYAAOgFAAAJCAQAAAliAQAACS4AAAAJLgAAAP////8JCAQAAAoJYgEAAAoKCgkuAAAACcsGAAAJLgAAAAEbBgAA6AUAAAkIBAAABs4GAAAJSW52b2ljZUlkCS4AAAAJLgAAAP////8JCAQAAAoJzgYAAAoKCgkuAAAACdMGAAAJLgAAAAEeBgAA6AUAAAkIBAAABtYGAAAGSXRlbUlkCS4AAAAJLgAAAP////8JCAQAAAoJ1gYAAAoKCgkuAAAACdsGAAAJLgAAAAEhBgAA6AUAAAkIBAAABt4GAAAHUHVyY2hJRAkuAAAACS4AAAD/////CQgEAAAKCd4GAAAKCgoJLgAAAAnjBgAACS4AAAABJwYAAOgFAAAJbQEAAAluAQAACS4AAAAJbwEAAP////8JbQEAAAoJbgEAAAbrBgAABkl0ZW1JZAoKCS4AAAAJ7QYAAAkuAAAAAYIGAAAqAAAAGwAAAAkgAQAAAwAAAAnwBgAAAZAGAAAqAAAAGwAAAAkgAQAAAwAAAAnyBgAAAZ4GAAAqAAAAGwAAAAkgAQAAAwAAAAn0BgAAAacGAAAqAAAAMwAAAAkgAQAAAwAAAAn2BgAAAbEGAAAqAAAAFgAAAAn3BgAAAwAAAAn4BgAAAbsGAAAqAAAAGAAAAAn3BgAAAwAAAAn6BgAABMM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SABAAAAAAAABMs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SABAAAAAAAABNM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SABAAAAAAAABNs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SABAAAAAAAABOMG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SABAAAAAAAAAe0GAAAqAAAAGAAAAAn3BgAAAwAAAAn9BgAAB/A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n//4D+//8JYQUAAAmxBQAAAf/4//+A/v//CWQFAAAJeAYAAAH8+P//gP7//wlnBQAACXcGAAAH8g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5+P//gP7//wlhBQAABgkHAAAVUmVtaXNlIGVuIHBvdXJjZW50YWdlAfb4//+A/v//CWQFAAAJhgYAAAHz+P//gP7//wlnBQAACYUGAAAH9A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w+P//gP7//wlhBQAABhIHAAAxTm9tYnJlIGQndW5pdMOpcyBwb3VyIGxlcXVlbCBsZSBwcml4IGVzdCBpbmRpcXXDqQHt+P//gP7//wlkBQAACZQGAAAB6vj//4D+//8JZwUAAAmTBgAAB/YG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5/j//4D+//8JZwUAAAYbBwAABERhdGUB5Pj//4D+//8JZAUAAAYeBwAABERhdGUB4fj//4D+//8GIAcAAAhSZWZlcnNUbwYhBwAACj1EYXRlUmFuZ2UB9wYAAAwAAAAH+AY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P//gP7//wYjBwAABFR5cGUGJAcAAAZTdHJpbmcB2/j//4D+//8GJgcAAAVMYWJlbAYnBwAADFZlbmRvciBncm91cAf6B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4//+A/v//CSMHAAAJHwQAAAHV+P//gP7//wkmBwAACSAEAAAB0vj//4D+//8GLwcAAAhSZWZlcnNUbwYwBwAACj1XYXJlaG91c2UH/QY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P//gP7//wkjBwAABjMHAAAERW51bQHM+P//gP7//wkmBwAABjYHAAAJSXRlbSB0eXBlAcn4//+A/v//CS8HAAAGOQcAAAk9SXRlbVR5cGUL</Report>
</Atlas>
</file>

<file path=customXml/itemProps1.xml><?xml version="1.0" encoding="utf-8"?>
<ds:datastoreItem xmlns:ds="http://schemas.openxmlformats.org/officeDocument/2006/customXml" ds:itemID="{6015D38B-BC31-4106-9E59-6C53D71B04FE}">
  <ds:schemaRefs/>
</ds:datastoreItem>
</file>

<file path=customXml/itemProps2.xml><?xml version="1.0" encoding="utf-8"?>
<ds:datastoreItem xmlns:ds="http://schemas.openxmlformats.org/officeDocument/2006/customXml" ds:itemID="{6B9503F7-63CC-4AB9-9B5F-9423AE540A90}">
  <ds:schemaRefs/>
</ds:datastoreItem>
</file>

<file path=customXml/itemProps3.xml><?xml version="1.0" encoding="utf-8"?>
<ds:datastoreItem xmlns:ds="http://schemas.openxmlformats.org/officeDocument/2006/customXml" ds:itemID="{C7C711F4-4778-46C5-9371-BB2C283D1852}">
  <ds:schemaRefs/>
</ds:datastoreItem>
</file>

<file path=customXml/itemProps4.xml><?xml version="1.0" encoding="utf-8"?>
<ds:datastoreItem xmlns:ds="http://schemas.openxmlformats.org/officeDocument/2006/customXml" ds:itemID="{1E31EFF4-2B0D-444E-9DF2-2EC24B1567F1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General</vt:lpstr>
      <vt:lpstr>Sales</vt:lpstr>
      <vt:lpstr>Purchase</vt:lpstr>
      <vt:lpstr>ReSale List</vt:lpstr>
      <vt:lpstr>Sales!AtlasReport_1</vt:lpstr>
      <vt:lpstr>Purchase!AtlasReport_2</vt:lpstr>
      <vt:lpstr>DataAreaId</vt:lpstr>
      <vt:lpstr>DateFormat</vt:lpstr>
      <vt:lpstr>DateRange</vt:lpstr>
      <vt:lpstr>DateRegion</vt:lpstr>
      <vt:lpstr>FromDate</vt:lpstr>
      <vt:lpstr>ItemNumber</vt:lpstr>
      <vt:lpstr>ItemType</vt:lpstr>
      <vt:lpstr>PurchDateRange</vt:lpstr>
      <vt:lpstr>PurchFromDate</vt:lpstr>
      <vt:lpstr>PurchToDate</vt:lpstr>
      <vt:lpstr>Region</vt:lpstr>
      <vt:lpstr>ToDate</vt:lpstr>
      <vt:lpstr>Warehouse</vt:lpstr>
    </vt:vector>
  </TitlesOfParts>
  <Company>Simpson Strong-Tie Company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2017-12-26T07:57:00Z</dcterms:created>
  <dcterms:modified xsi:type="dcterms:W3CDTF">2017-12-26T15:29:37Z</dcterms:modified>
</cp:coreProperties>
</file>