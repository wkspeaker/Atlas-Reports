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1075" windowHeight="10035"/>
  </bookViews>
  <sheets>
    <sheet name="General" sheetId="1" r:id="rId1"/>
    <sheet name="Sales" sheetId="2" r:id="rId2"/>
    <sheet name="Purchase" sheetId="3" r:id="rId3"/>
    <sheet name="ReSale List" sheetId="4" r:id="rId4"/>
  </sheets>
  <functionGroups builtInGroupCount="17"/>
  <definedNames>
    <definedName name="AtlasReport_1" localSheetId="1">Sales!$A$1:$P$426</definedName>
    <definedName name="AtlasReport_2" localSheetId="2">Purchase!$A$1:$P$6</definedName>
    <definedName name="DataAreaId">General!$D$1</definedName>
    <definedName name="DateFormat">General!$J$1</definedName>
    <definedName name="DateRange">General!$D$3</definedName>
    <definedName name="DateRegion">General!$M$1</definedName>
    <definedName name="FromDate">General!$D$2</definedName>
    <definedName name="ItemNumber">General!$D$6</definedName>
    <definedName name="ItemType">General!$D$5</definedName>
    <definedName name="Region">Table6[Region]</definedName>
    <definedName name="ToDate">General!$G$2</definedName>
    <definedName name="Warehouse">General!$D$4</definedName>
  </definedNames>
  <calcPr calcId="145621"/>
</workbook>
</file>

<file path=xl/calcChain.xml><?xml version="1.0" encoding="utf-8"?>
<calcChain xmlns="http://schemas.openxmlformats.org/spreadsheetml/2006/main">
  <c r="M5" i="3" l="1"/>
  <c r="L5" i="3"/>
  <c r="J5" i="3"/>
  <c r="M425" i="2"/>
  <c r="L425" i="2"/>
  <c r="J425" i="2"/>
  <c r="M12" i="4"/>
  <c r="J12" i="4"/>
  <c r="P12" i="4"/>
  <c r="P3" i="3"/>
  <c r="P4" i="3"/>
  <c r="P3" i="2"/>
  <c r="P7" i="2"/>
  <c r="P11" i="2"/>
  <c r="P15" i="2"/>
  <c r="P19" i="2"/>
  <c r="P23" i="2"/>
  <c r="P27" i="2"/>
  <c r="P31" i="2"/>
  <c r="P35" i="2"/>
  <c r="P39" i="2"/>
  <c r="P43" i="2"/>
  <c r="P47" i="2"/>
  <c r="P51" i="2"/>
  <c r="P55" i="2"/>
  <c r="P59" i="2"/>
  <c r="P63" i="2"/>
  <c r="P67" i="2"/>
  <c r="P71" i="2"/>
  <c r="P75" i="2"/>
  <c r="P79" i="2"/>
  <c r="P83" i="2"/>
  <c r="P87" i="2"/>
  <c r="P91" i="2"/>
  <c r="P95" i="2"/>
  <c r="P99" i="2"/>
  <c r="P103" i="2"/>
  <c r="P107" i="2"/>
  <c r="P111" i="2"/>
  <c r="P115" i="2"/>
  <c r="P119" i="2"/>
  <c r="P123" i="2"/>
  <c r="P127" i="2"/>
  <c r="P131" i="2"/>
  <c r="P135" i="2"/>
  <c r="P139" i="2"/>
  <c r="P143" i="2"/>
  <c r="P147" i="2"/>
  <c r="P151" i="2"/>
  <c r="P155" i="2"/>
  <c r="P159" i="2"/>
  <c r="P163" i="2"/>
  <c r="P167" i="2"/>
  <c r="P171" i="2"/>
  <c r="P175" i="2"/>
  <c r="P179" i="2"/>
  <c r="P183" i="2"/>
  <c r="P187" i="2"/>
  <c r="P191" i="2"/>
  <c r="P195" i="2"/>
  <c r="P199" i="2"/>
  <c r="P203" i="2"/>
  <c r="P207" i="2"/>
  <c r="P211" i="2"/>
  <c r="P215" i="2"/>
  <c r="P219" i="2"/>
  <c r="P223" i="2"/>
  <c r="P227" i="2"/>
  <c r="P231" i="2"/>
  <c r="P235" i="2"/>
  <c r="P239" i="2"/>
  <c r="P243" i="2"/>
  <c r="P247" i="2"/>
  <c r="P251" i="2"/>
  <c r="P255" i="2"/>
  <c r="P259" i="2"/>
  <c r="P263" i="2"/>
  <c r="P267" i="2"/>
  <c r="P271" i="2"/>
  <c r="P275" i="2"/>
  <c r="P279" i="2"/>
  <c r="P283" i="2"/>
  <c r="P287" i="2"/>
  <c r="P291" i="2"/>
  <c r="P295" i="2"/>
  <c r="P299" i="2"/>
  <c r="P303" i="2"/>
  <c r="P307" i="2"/>
  <c r="P311" i="2"/>
  <c r="P315" i="2"/>
  <c r="P319" i="2"/>
  <c r="P323" i="2"/>
  <c r="P327" i="2"/>
  <c r="P331" i="2"/>
  <c r="P335" i="2"/>
  <c r="P339" i="2"/>
  <c r="P343" i="2"/>
  <c r="P347" i="2"/>
  <c r="P351" i="2"/>
  <c r="P355" i="2"/>
  <c r="P359" i="2"/>
  <c r="P363" i="2"/>
  <c r="P367" i="2"/>
  <c r="P371" i="2"/>
  <c r="P375" i="2"/>
  <c r="P379" i="2"/>
  <c r="P383" i="2"/>
  <c r="P387" i="2"/>
  <c r="P391" i="2"/>
  <c r="P395" i="2"/>
  <c r="P399" i="2"/>
  <c r="P403" i="2"/>
  <c r="P407" i="2"/>
  <c r="P411" i="2"/>
  <c r="P415" i="2"/>
  <c r="P419" i="2"/>
  <c r="P423" i="2"/>
  <c r="P4" i="2"/>
  <c r="P8" i="2"/>
  <c r="P12" i="2"/>
  <c r="P16" i="2"/>
  <c r="P20" i="2"/>
  <c r="P24" i="2"/>
  <c r="P28" i="2"/>
  <c r="P32" i="2"/>
  <c r="P36" i="2"/>
  <c r="P40" i="2"/>
  <c r="P44" i="2"/>
  <c r="P48" i="2"/>
  <c r="P52" i="2"/>
  <c r="P56" i="2"/>
  <c r="P60" i="2"/>
  <c r="P64" i="2"/>
  <c r="P68" i="2"/>
  <c r="P72" i="2"/>
  <c r="P76" i="2"/>
  <c r="P80" i="2"/>
  <c r="P84" i="2"/>
  <c r="P88" i="2"/>
  <c r="P92" i="2"/>
  <c r="P96" i="2"/>
  <c r="P100" i="2"/>
  <c r="P104" i="2"/>
  <c r="P108" i="2"/>
  <c r="P112" i="2"/>
  <c r="P116" i="2"/>
  <c r="P120" i="2"/>
  <c r="P124" i="2"/>
  <c r="P128" i="2"/>
  <c r="P132" i="2"/>
  <c r="P136" i="2"/>
  <c r="P140" i="2"/>
  <c r="P144" i="2"/>
  <c r="P148" i="2"/>
  <c r="P152" i="2"/>
  <c r="P156" i="2"/>
  <c r="P160" i="2"/>
  <c r="P164" i="2"/>
  <c r="P168" i="2"/>
  <c r="P172" i="2"/>
  <c r="P176" i="2"/>
  <c r="P180" i="2"/>
  <c r="P184" i="2"/>
  <c r="P188" i="2"/>
  <c r="P192" i="2"/>
  <c r="P196" i="2"/>
  <c r="P200" i="2"/>
  <c r="P204" i="2"/>
  <c r="P208" i="2"/>
  <c r="P212" i="2"/>
  <c r="P216" i="2"/>
  <c r="P220" i="2"/>
  <c r="P224" i="2"/>
  <c r="P228" i="2"/>
  <c r="P232" i="2"/>
  <c r="P236" i="2"/>
  <c r="P240" i="2"/>
  <c r="P244" i="2"/>
  <c r="P248" i="2"/>
  <c r="P252" i="2"/>
  <c r="P256" i="2"/>
  <c r="P260" i="2"/>
  <c r="P264" i="2"/>
  <c r="P268" i="2"/>
  <c r="P272" i="2"/>
  <c r="P276" i="2"/>
  <c r="P280" i="2"/>
  <c r="P284" i="2"/>
  <c r="P288" i="2"/>
  <c r="P292" i="2"/>
  <c r="P296" i="2"/>
  <c r="P300" i="2"/>
  <c r="P304" i="2"/>
  <c r="P308" i="2"/>
  <c r="P312" i="2"/>
  <c r="P316" i="2"/>
  <c r="P320" i="2"/>
  <c r="P324" i="2"/>
  <c r="P328" i="2"/>
  <c r="P332" i="2"/>
  <c r="P336" i="2"/>
  <c r="P340" i="2"/>
  <c r="P344" i="2"/>
  <c r="P348" i="2"/>
  <c r="P352" i="2"/>
  <c r="P356" i="2"/>
  <c r="P360" i="2"/>
  <c r="P364" i="2"/>
  <c r="P368" i="2"/>
  <c r="P372" i="2"/>
  <c r="P376" i="2"/>
  <c r="P380" i="2"/>
  <c r="P384" i="2"/>
  <c r="P388" i="2"/>
  <c r="P392" i="2"/>
  <c r="P396" i="2"/>
  <c r="P400" i="2"/>
  <c r="P404" i="2"/>
  <c r="P408" i="2"/>
  <c r="P412" i="2"/>
  <c r="P416" i="2"/>
  <c r="P420" i="2"/>
  <c r="P424" i="2"/>
  <c r="P5" i="2"/>
  <c r="P9" i="2"/>
  <c r="P13" i="2"/>
  <c r="P17" i="2"/>
  <c r="P21" i="2"/>
  <c r="P25" i="2"/>
  <c r="P29" i="2"/>
  <c r="P33" i="2"/>
  <c r="P37" i="2"/>
  <c r="P41" i="2"/>
  <c r="P45" i="2"/>
  <c r="P49" i="2"/>
  <c r="P53" i="2"/>
  <c r="P57" i="2"/>
  <c r="P61" i="2"/>
  <c r="P65" i="2"/>
  <c r="P69" i="2"/>
  <c r="P73" i="2"/>
  <c r="P77" i="2"/>
  <c r="P81" i="2"/>
  <c r="P85" i="2"/>
  <c r="P89" i="2"/>
  <c r="P93" i="2"/>
  <c r="P97" i="2"/>
  <c r="P101" i="2"/>
  <c r="P105" i="2"/>
  <c r="P109" i="2"/>
  <c r="P113" i="2"/>
  <c r="P117" i="2"/>
  <c r="P121" i="2"/>
  <c r="P125" i="2"/>
  <c r="P129" i="2"/>
  <c r="P133" i="2"/>
  <c r="P137" i="2"/>
  <c r="P141" i="2"/>
  <c r="P145" i="2"/>
  <c r="P149" i="2"/>
  <c r="P153" i="2"/>
  <c r="P157" i="2"/>
  <c r="P161" i="2"/>
  <c r="P165" i="2"/>
  <c r="P169" i="2"/>
  <c r="P173" i="2"/>
  <c r="P177" i="2"/>
  <c r="P181" i="2"/>
  <c r="P185" i="2"/>
  <c r="P189" i="2"/>
  <c r="P193" i="2"/>
  <c r="P197" i="2"/>
  <c r="P201" i="2"/>
  <c r="P205" i="2"/>
  <c r="P209" i="2"/>
  <c r="P213" i="2"/>
  <c r="P217" i="2"/>
  <c r="P221" i="2"/>
  <c r="P225" i="2"/>
  <c r="P229" i="2"/>
  <c r="P233" i="2"/>
  <c r="P237" i="2"/>
  <c r="P241" i="2"/>
  <c r="P245" i="2"/>
  <c r="P249" i="2"/>
  <c r="P253" i="2"/>
  <c r="P257" i="2"/>
  <c r="P261" i="2"/>
  <c r="P265" i="2"/>
  <c r="P269" i="2"/>
  <c r="P273" i="2"/>
  <c r="P277" i="2"/>
  <c r="P281" i="2"/>
  <c r="P285" i="2"/>
  <c r="P289" i="2"/>
  <c r="P293" i="2"/>
  <c r="P297" i="2"/>
  <c r="P301" i="2"/>
  <c r="P305" i="2"/>
  <c r="P309" i="2"/>
  <c r="P313" i="2"/>
  <c r="P317" i="2"/>
  <c r="P321" i="2"/>
  <c r="P325" i="2"/>
  <c r="P329" i="2"/>
  <c r="P333" i="2"/>
  <c r="P337" i="2"/>
  <c r="P341" i="2"/>
  <c r="P345" i="2"/>
  <c r="P349" i="2"/>
  <c r="P353" i="2"/>
  <c r="P357" i="2"/>
  <c r="P361" i="2"/>
  <c r="P365" i="2"/>
  <c r="P369" i="2"/>
  <c r="P373" i="2"/>
  <c r="P377" i="2"/>
  <c r="P381" i="2"/>
  <c r="P385" i="2"/>
  <c r="P389" i="2"/>
  <c r="P393" i="2"/>
  <c r="P397" i="2"/>
  <c r="P401" i="2"/>
  <c r="P405" i="2"/>
  <c r="P409" i="2"/>
  <c r="P413" i="2"/>
  <c r="P417" i="2"/>
  <c r="P421" i="2"/>
  <c r="P6" i="2"/>
  <c r="P10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4" i="2"/>
  <c r="P98" i="2"/>
  <c r="P102" i="2"/>
  <c r="P106" i="2"/>
  <c r="P110" i="2"/>
  <c r="P114" i="2"/>
  <c r="P118" i="2"/>
  <c r="P122" i="2"/>
  <c r="P126" i="2"/>
  <c r="P130" i="2"/>
  <c r="P134" i="2"/>
  <c r="P138" i="2"/>
  <c r="P142" i="2"/>
  <c r="P146" i="2"/>
  <c r="P150" i="2"/>
  <c r="P154" i="2"/>
  <c r="P158" i="2"/>
  <c r="P162" i="2"/>
  <c r="P166" i="2"/>
  <c r="P170" i="2"/>
  <c r="P174" i="2"/>
  <c r="P178" i="2"/>
  <c r="P182" i="2"/>
  <c r="P186" i="2"/>
  <c r="P190" i="2"/>
  <c r="P194" i="2"/>
  <c r="P198" i="2"/>
  <c r="P202" i="2"/>
  <c r="P206" i="2"/>
  <c r="P210" i="2"/>
  <c r="P214" i="2"/>
  <c r="P218" i="2"/>
  <c r="P222" i="2"/>
  <c r="P226" i="2"/>
  <c r="P230" i="2"/>
  <c r="P234" i="2"/>
  <c r="P238" i="2"/>
  <c r="P242" i="2"/>
  <c r="P246" i="2"/>
  <c r="P250" i="2"/>
  <c r="P254" i="2"/>
  <c r="P258" i="2"/>
  <c r="P262" i="2"/>
  <c r="P266" i="2"/>
  <c r="P270" i="2"/>
  <c r="P274" i="2"/>
  <c r="P278" i="2"/>
  <c r="P282" i="2"/>
  <c r="P286" i="2"/>
  <c r="P290" i="2"/>
  <c r="P294" i="2"/>
  <c r="P298" i="2"/>
  <c r="P302" i="2"/>
  <c r="P306" i="2"/>
  <c r="P310" i="2"/>
  <c r="P314" i="2"/>
  <c r="P318" i="2"/>
  <c r="P322" i="2"/>
  <c r="P326" i="2"/>
  <c r="P330" i="2"/>
  <c r="P334" i="2"/>
  <c r="P338" i="2"/>
  <c r="P342" i="2"/>
  <c r="P346" i="2"/>
  <c r="P350" i="2"/>
  <c r="P354" i="2"/>
  <c r="P358" i="2"/>
  <c r="P362" i="2"/>
  <c r="P366" i="2"/>
  <c r="P370" i="2"/>
  <c r="P374" i="2"/>
  <c r="P378" i="2"/>
  <c r="P382" i="2"/>
  <c r="P386" i="2"/>
  <c r="P390" i="2"/>
  <c r="P394" i="2"/>
  <c r="P398" i="2"/>
  <c r="P402" i="2"/>
  <c r="P406" i="2"/>
  <c r="P410" i="2"/>
  <c r="P414" i="2"/>
  <c r="P418" i="2"/>
  <c r="P422" i="2"/>
  <c r="P5" i="3" l="1"/>
  <c r="P425" i="2"/>
  <c r="J1" i="1"/>
  <c r="D3" i="1" s="1"/>
</calcChain>
</file>

<file path=xl/sharedStrings.xml><?xml version="1.0" encoding="utf-8"?>
<sst xmlns="http://schemas.openxmlformats.org/spreadsheetml/2006/main" count="4415" uniqueCount="325">
  <si>
    <t>Company:</t>
  </si>
  <si>
    <t>Customer invoice lines</t>
  </si>
  <si>
    <t>Invoice</t>
  </si>
  <si>
    <t>Item</t>
  </si>
  <si>
    <t>Quantity</t>
  </si>
  <si>
    <t>Unit price</t>
  </si>
  <si>
    <t>Amount</t>
  </si>
  <si>
    <t>Currency</t>
  </si>
  <si>
    <t>EUR</t>
  </si>
  <si>
    <t>CHF</t>
  </si>
  <si>
    <t>TRSPEDI001</t>
  </si>
  <si>
    <t>LA15010012</t>
  </si>
  <si>
    <t>LARESI22015</t>
  </si>
  <si>
    <t>LA15005012</t>
  </si>
  <si>
    <t>CS240300300</t>
  </si>
  <si>
    <t>CS240300600</t>
  </si>
  <si>
    <t>ACMOPPRC019</t>
  </si>
  <si>
    <t>LAFRPTO002</t>
  </si>
  <si>
    <t>TRPAKET001</t>
  </si>
  <si>
    <t>VERDIE0625</t>
  </si>
  <si>
    <t>VERDIE0627</t>
  </si>
  <si>
    <t>VERDIE0630</t>
  </si>
  <si>
    <t>VERDIE0628</t>
  </si>
  <si>
    <t>VERDIE0631</t>
  </si>
  <si>
    <t>VERMIE0100</t>
  </si>
  <si>
    <t>VERDIE0626</t>
  </si>
  <si>
    <t>USD</t>
  </si>
  <si>
    <t>ARAPTOOL003</t>
  </si>
  <si>
    <t>VERDIE0624</t>
  </si>
  <si>
    <t>VEDI670001</t>
  </si>
  <si>
    <t>Hand tools - small</t>
  </si>
  <si>
    <t>VERDIE0623</t>
  </si>
  <si>
    <t>VERDIE0629</t>
  </si>
  <si>
    <t>VERDIE0633</t>
  </si>
  <si>
    <t>VERDIE0634</t>
  </si>
  <si>
    <t>Taxes - pass on</t>
  </si>
  <si>
    <t>VERDIE0637</t>
  </si>
  <si>
    <t>VERDIE0638</t>
  </si>
  <si>
    <t>VERDIE0642</t>
  </si>
  <si>
    <t>VERDIE0643</t>
  </si>
  <si>
    <t>VERDIE0639</t>
  </si>
  <si>
    <t>SHRESEPO55HP6KG</t>
  </si>
  <si>
    <t>VERDIE0645</t>
  </si>
  <si>
    <t>VERDIE0646</t>
  </si>
  <si>
    <t>VERDIE0647</t>
  </si>
  <si>
    <t>VERDIE0648</t>
  </si>
  <si>
    <t>VERDIE0649</t>
  </si>
  <si>
    <t>VERDIE0650</t>
  </si>
  <si>
    <t>VERDIE0644</t>
  </si>
  <si>
    <t>VERDIE0652</t>
  </si>
  <si>
    <t>111004567</t>
  </si>
  <si>
    <t>111004582</t>
  </si>
  <si>
    <t>111004587</t>
  </si>
  <si>
    <t>111004589</t>
  </si>
  <si>
    <t>111004590</t>
  </si>
  <si>
    <t>111004611</t>
  </si>
  <si>
    <t>2222000328</t>
  </si>
  <si>
    <t>111004614</t>
  </si>
  <si>
    <t>111004615</t>
  </si>
  <si>
    <t>111004616</t>
  </si>
  <si>
    <t>111004617</t>
  </si>
  <si>
    <t>111004618</t>
  </si>
  <si>
    <t>111004619</t>
  </si>
  <si>
    <t>2222000329</t>
  </si>
  <si>
    <t>111004648</t>
  </si>
  <si>
    <t>111004669</t>
  </si>
  <si>
    <t>111004670</t>
  </si>
  <si>
    <t>111004671</t>
  </si>
  <si>
    <t>111004675</t>
  </si>
  <si>
    <t>111004679</t>
  </si>
  <si>
    <t>111004682</t>
  </si>
  <si>
    <t>111004710</t>
  </si>
  <si>
    <t>111004732</t>
  </si>
  <si>
    <t>111004733</t>
  </si>
  <si>
    <t>111004734</t>
  </si>
  <si>
    <t>111004751</t>
  </si>
  <si>
    <t>111004735</t>
  </si>
  <si>
    <t>111004736</t>
  </si>
  <si>
    <t>SHWETLAYMANUF1</t>
  </si>
  <si>
    <t>111004752</t>
  </si>
  <si>
    <t>111004783</t>
  </si>
  <si>
    <t>111004787</t>
  </si>
  <si>
    <t>111004799</t>
  </si>
  <si>
    <t>2222000338</t>
  </si>
  <si>
    <t>111004813</t>
  </si>
  <si>
    <t>111004814</t>
  </si>
  <si>
    <t>111004815</t>
  </si>
  <si>
    <t>111004816</t>
  </si>
  <si>
    <t>2222000339</t>
  </si>
  <si>
    <t>111004817</t>
  </si>
  <si>
    <t>111004823</t>
  </si>
  <si>
    <t>111004824</t>
  </si>
  <si>
    <t>111004825</t>
  </si>
  <si>
    <t>111004826</t>
  </si>
  <si>
    <t>111004827</t>
  </si>
  <si>
    <t>111004828</t>
  </si>
  <si>
    <t>111004829</t>
  </si>
  <si>
    <t>111004830</t>
  </si>
  <si>
    <t>111004888</t>
  </si>
  <si>
    <t>111004916</t>
  </si>
  <si>
    <t>111004926</t>
  </si>
  <si>
    <t>111004963</t>
  </si>
  <si>
    <t>111004987</t>
  </si>
  <si>
    <t>111004988</t>
  </si>
  <si>
    <t>111004996</t>
  </si>
  <si>
    <t>2222000346</t>
  </si>
  <si>
    <t>111005009</t>
  </si>
  <si>
    <t>111005010</t>
  </si>
  <si>
    <t>111005011</t>
  </si>
  <si>
    <t>2222000347</t>
  </si>
  <si>
    <t>111005012</t>
  </si>
  <si>
    <t>111005013</t>
  </si>
  <si>
    <t>111005020</t>
  </si>
  <si>
    <t>111005025</t>
  </si>
  <si>
    <t>Total</t>
  </si>
  <si>
    <t>Company accounts</t>
  </si>
  <si>
    <t>360</t>
  </si>
  <si>
    <t>Item name</t>
  </si>
  <si>
    <t>S&amp;P RC Power Pack,bag of 19 kg.</t>
  </si>
  <si>
    <t>S&amp;P Asphalt Abrollgerät maschinell</t>
  </si>
  <si>
    <t>S&amp;P C-Sheet 240 300 g/m2</t>
  </si>
  <si>
    <t>S&amp;P C-Laminate SM (150/2000) 50/1.2</t>
  </si>
  <si>
    <t>S&amp;P C-Laminate SM (150/2000) 100/1.2</t>
  </si>
  <si>
    <t>S&amp;P Aufziehgerät Kleber Lamellen</t>
  </si>
  <si>
    <t>S&amp;P Resin 220 (Set of 15 kg)</t>
  </si>
  <si>
    <t>S&amp;P Resin 55 HP
(Set à 6kg)</t>
  </si>
  <si>
    <t>Sheet gluing machine or 
wet-lay-up machine</t>
  </si>
  <si>
    <t>Taxes paid - pass on</t>
  </si>
  <si>
    <t>Transportkosten (Paketversand)</t>
  </si>
  <si>
    <t>Transportkosten (Spedition)</t>
  </si>
  <si>
    <t>Interest on I/C loan</t>
  </si>
  <si>
    <t>Misc. Charges - Selling</t>
  </si>
  <si>
    <t>Misc. Charges - Admin</t>
  </si>
  <si>
    <t>Group charges - Marketing</t>
  </si>
  <si>
    <t>Group Charges - Selling</t>
  </si>
  <si>
    <t>Group Charges - Admin</t>
  </si>
  <si>
    <t>Group &amp; misc. charges Below - Marketing</t>
  </si>
  <si>
    <t>Group &amp; misc. charges Below - Selling</t>
  </si>
  <si>
    <t>Group &amp; misc. charges Below - Admin</t>
  </si>
  <si>
    <t>Group Charges – Tpp</t>
  </si>
  <si>
    <t>Group Charges - Engineering</t>
  </si>
  <si>
    <t>Group charges - Sales &amp; Product Management</t>
  </si>
  <si>
    <t>Group Charges - IT Operations</t>
  </si>
  <si>
    <t>Group &amp; misc. charges Below - IT Operations</t>
  </si>
  <si>
    <t>S&amp;P Manufacturing Fee - own used products</t>
  </si>
  <si>
    <t>Group Charges - IT General</t>
  </si>
  <si>
    <t>Group &amp; misc. charges Below - IT General</t>
  </si>
  <si>
    <t>Misc. Charges - Admin. 
SAP Implementation</t>
  </si>
  <si>
    <t>Group Charges - Finance</t>
  </si>
  <si>
    <t>Group Charges - IT Development</t>
  </si>
  <si>
    <t>Group Charges - SAP Implementation</t>
  </si>
  <si>
    <t>Group Charges - SAP On-going</t>
  </si>
  <si>
    <t>Group Charges - HRIS Implementation</t>
  </si>
  <si>
    <t>Group Charges - HRIS On-going</t>
  </si>
  <si>
    <t>Group charges below - Finance</t>
  </si>
  <si>
    <t>Miete Liegenschaft Elvas</t>
  </si>
  <si>
    <t>Date</t>
  </si>
  <si>
    <t>From date:</t>
  </si>
  <si>
    <t>To date:</t>
  </si>
  <si>
    <t>Date Range:</t>
  </si>
  <si>
    <t>Purchase order</t>
  </si>
  <si>
    <t>Sales order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</si>
  <si>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</si>
  <si>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</si>
  <si>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</si>
  <si>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</si>
  <si>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</si>
  <si>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</si>
  <si>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</si>
  <si>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</si>
  <si>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</si>
  <si>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MM.DD.YYYY</t>
  </si>
  <si>
    <t>DateFormat:</t>
  </si>
  <si>
    <t>Customer account</t>
  </si>
  <si>
    <t>Name</t>
  </si>
  <si>
    <t>3600000822</t>
  </si>
  <si>
    <t>S&amp;P Clever Reinforcement GmbH</t>
  </si>
  <si>
    <t>S&amp;P Clever Reinforcement Company Benelux</t>
  </si>
  <si>
    <t>S&amp;P Reinforcement Nordic ApS</t>
  </si>
  <si>
    <t>Warehouse</t>
  </si>
  <si>
    <t>SW</t>
  </si>
  <si>
    <t>SO0005153</t>
  </si>
  <si>
    <t>Unit</t>
  </si>
  <si>
    <t>M²</t>
  </si>
  <si>
    <t>PCS</t>
  </si>
  <si>
    <t>RecId column</t>
  </si>
  <si>
    <t>TPP Amount</t>
  </si>
  <si>
    <t>Vendor invoice lines</t>
  </si>
  <si>
    <t>Vendor account</t>
  </si>
  <si>
    <t>3600000954</t>
  </si>
  <si>
    <t>Simpson Strong-Tie Company Inc.</t>
  </si>
  <si>
    <t>SO0005087</t>
  </si>
  <si>
    <t>Clever Reinforcement Ibérica Lda</t>
  </si>
  <si>
    <t>S&amp;P Reinforcement Nordic Filial</t>
  </si>
  <si>
    <t>S&amp;P Handels GmbH</t>
  </si>
  <si>
    <t>3600000603</t>
  </si>
  <si>
    <t>Simpson Strong-Tie South Africa PTY. Limited</t>
  </si>
  <si>
    <t>SO0004884</t>
  </si>
  <si>
    <t>SO0005010</t>
  </si>
  <si>
    <t>SO0004908</t>
  </si>
  <si>
    <t>3600000896</t>
  </si>
  <si>
    <t>Socom SAS</t>
  </si>
  <si>
    <t>SO0005067</t>
  </si>
  <si>
    <t>S&amp;P Reinforcement France</t>
  </si>
  <si>
    <t>M</t>
  </si>
  <si>
    <t>3600000380</t>
  </si>
  <si>
    <t>Simpson Strong-Tie Switzerland GmbH</t>
  </si>
  <si>
    <t>SO0004933</t>
  </si>
  <si>
    <t>3600000004</t>
  </si>
  <si>
    <t>Simpson Strong-Tie France</t>
  </si>
  <si>
    <t>SO0004781</t>
  </si>
  <si>
    <t>3600000785</t>
  </si>
  <si>
    <t>SO0004866</t>
  </si>
  <si>
    <t>3600000825</t>
  </si>
  <si>
    <t>SO0004870</t>
  </si>
  <si>
    <t>3600000823</t>
  </si>
  <si>
    <t>SO0004868</t>
  </si>
  <si>
    <t>SO0004867</t>
  </si>
  <si>
    <t>SO0004872</t>
  </si>
  <si>
    <t>SO0004871</t>
  </si>
  <si>
    <t>SO0004982</t>
  </si>
  <si>
    <t>SO0004984</t>
  </si>
  <si>
    <t>SO0004983</t>
  </si>
  <si>
    <t>SO0004985</t>
  </si>
  <si>
    <t>3600000821</t>
  </si>
  <si>
    <t>S&amp;P Polska Sp.z.o.o.</t>
  </si>
  <si>
    <t>SO0004981</t>
  </si>
  <si>
    <t>3600000824</t>
  </si>
  <si>
    <t>SO0004783</t>
  </si>
  <si>
    <t>3600000900</t>
  </si>
  <si>
    <t>Simpson Strong-Tie GmbH</t>
  </si>
  <si>
    <t>SO0004785</t>
  </si>
  <si>
    <t>SO0004951</t>
  </si>
  <si>
    <t>SO0004964</t>
  </si>
  <si>
    <t>SO0005113</t>
  </si>
  <si>
    <t>SO0005114</t>
  </si>
  <si>
    <t>SO0004850</t>
  </si>
  <si>
    <t>SO0004849</t>
  </si>
  <si>
    <t>SO0004907</t>
  </si>
  <si>
    <t>3600000786</t>
  </si>
  <si>
    <t>SO0004910</t>
  </si>
  <si>
    <t>SO0004911</t>
  </si>
  <si>
    <t>SO0004808</t>
  </si>
  <si>
    <t>SO0004812</t>
  </si>
  <si>
    <t>3600000826</t>
  </si>
  <si>
    <t>SO0004815</t>
  </si>
  <si>
    <t>SO0004811</t>
  </si>
  <si>
    <t>SO0004813</t>
  </si>
  <si>
    <t>SO0004816</t>
  </si>
  <si>
    <t>SO0004988</t>
  </si>
  <si>
    <t>SO0004987</t>
  </si>
  <si>
    <t>SO0004991</t>
  </si>
  <si>
    <t>SO0004993</t>
  </si>
  <si>
    <t>SO0004990</t>
  </si>
  <si>
    <t>SO0004994</t>
  </si>
  <si>
    <t>SO0005145</t>
  </si>
  <si>
    <t>SO0005146</t>
  </si>
  <si>
    <t>SO0005138</t>
  </si>
  <si>
    <t>SO0005141</t>
  </si>
  <si>
    <t>SO0005143</t>
  </si>
  <si>
    <t>SO0005137</t>
  </si>
  <si>
    <t>3600000002</t>
  </si>
  <si>
    <t>Simpson Strong-Tie Australia PTY. Ltd.</t>
  </si>
  <si>
    <t>SO0004906</t>
  </si>
  <si>
    <t>SO0004992</t>
  </si>
  <si>
    <t>SO0005142</t>
  </si>
  <si>
    <t>SO0004979</t>
  </si>
  <si>
    <t>SO0004980</t>
  </si>
  <si>
    <t>SO0004810</t>
  </si>
  <si>
    <t>SO0005144</t>
  </si>
  <si>
    <t>3600000001</t>
  </si>
  <si>
    <t>SO0004786</t>
  </si>
  <si>
    <t>SO0004954</t>
  </si>
  <si>
    <t>SO0005126</t>
  </si>
  <si>
    <t>SO0004814</t>
  </si>
  <si>
    <t>SO0004995</t>
  </si>
  <si>
    <t>SO0004771</t>
  </si>
  <si>
    <t>SO0004905</t>
  </si>
  <si>
    <t>SO0005071</t>
  </si>
  <si>
    <t>360-200009</t>
  </si>
  <si>
    <t>ApP0001746</t>
  </si>
  <si>
    <t>4091903M</t>
  </si>
  <si>
    <t>ApP0001775</t>
  </si>
  <si>
    <t>4091873M</t>
  </si>
  <si>
    <t>Company</t>
  </si>
  <si>
    <t>Cust/Vend</t>
  </si>
  <si>
    <t>Cust/Vend Name</t>
  </si>
  <si>
    <t>Order Number</t>
  </si>
  <si>
    <t>Invoice Id</t>
  </si>
  <si>
    <t>Item Number</t>
  </si>
  <si>
    <t>Item Name</t>
  </si>
  <si>
    <t>Unit Price</t>
  </si>
  <si>
    <t>Order Type</t>
  </si>
  <si>
    <t>Purchase Order</t>
  </si>
  <si>
    <t>Sales Order</t>
  </si>
  <si>
    <t>Warehouse:</t>
  </si>
  <si>
    <t>!IC-Transit</t>
  </si>
  <si>
    <t>366-000922</t>
  </si>
  <si>
    <t>SO0000620</t>
  </si>
  <si>
    <t>DE</t>
  </si>
  <si>
    <t>S&amp;P Clever Reinforcement Company Benelux BV</t>
  </si>
  <si>
    <t>S&amp;P Clever Reinforcement Company AG</t>
  </si>
  <si>
    <t>366-2000025</t>
  </si>
  <si>
    <t>ApP0000132</t>
  </si>
  <si>
    <t>ApP0000134</t>
  </si>
  <si>
    <t>ApP0000136</t>
  </si>
  <si>
    <t>ApP0000143</t>
  </si>
  <si>
    <t>ApP0000145</t>
  </si>
  <si>
    <t>ApP0000147</t>
  </si>
  <si>
    <t>366-2000016</t>
  </si>
  <si>
    <t>ApP0000151</t>
  </si>
  <si>
    <t>ApP0000153</t>
  </si>
  <si>
    <t>ApP0000155</t>
  </si>
  <si>
    <t>Item Type:</t>
  </si>
  <si>
    <t>!Service</t>
  </si>
  <si>
    <t>Item Number:</t>
  </si>
  <si>
    <t>*</t>
  </si>
  <si>
    <t>Steps:</t>
  </si>
  <si>
    <t>Fill in the criterions from range D1 to D6 and G2</t>
  </si>
  <si>
    <t>Specify proper date format in M1</t>
  </si>
  <si>
    <t>Refresh the report via Atlas 5.1 -&gt; Refresh</t>
  </si>
  <si>
    <t>Version:</t>
  </si>
  <si>
    <t>V1</t>
  </si>
  <si>
    <t>Initial version</t>
  </si>
  <si>
    <t>Click button "Generate Report", the report will be generated in sheet "ReSale List"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</si>
</sst>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14" fontId="0" fillId="0" borderId="0" xfId="0" applyNumberFormat="1"/>
    <xf numFmtId="14" fontId="0" fillId="0" borderId="0" xfId="0" applyNumberFormat="1" applyAlignment="1"/>
    <xf numFmtId="14" fontId="2" fillId="0" borderId="0" xfId="0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49" fontId="0" fillId="0" borderId="0" xfId="0" applyNumberFormat="1"/>
  </cellXfs>
  <cellStyles count="2">
    <cellStyle name="Normal" xfId="0" builtinId="0"/>
    <cellStyle name="Title" xfId="1" builtinId="15"/>
  </cellStyles>
  <dxfs count="67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3</xdr:row>
          <xdr:rowOff>161925</xdr:rowOff>
        </xdr:from>
        <xdr:to>
          <xdr:col>12</xdr:col>
          <xdr:colOff>57150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Table6" displayName="Table6" ref="AQ2:AR6" totalsRowShown="0">
  <autoFilter ref="AQ2:AR6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AtlasReport_1_Table_1" displayName="AtlasReport_1_Table_1" ref="A2:P425" totalsRowCount="1">
  <autoFilter ref="A2:P424"/>
  <tableColumns count="16">
    <tableColumn id="1" name="Company accounts" totalsRowLabel="Total" dataDxfId="63" totalsRowDxfId="48"/>
    <tableColumn id="2" name="Customer account" dataDxfId="62" totalsRowDxfId="47"/>
    <tableColumn id="3" name="Name" dataDxfId="61" totalsRowDxfId="46"/>
    <tableColumn id="4" name="Sales order" dataDxfId="60" totalsRowDxfId="45"/>
    <tableColumn id="5" name="Invoice" totalsRowLabel="Total" dataDxfId="59" totalsRowDxfId="44"/>
    <tableColumn id="6" name="Warehouse" dataDxfId="58" totalsRowDxfId="43"/>
    <tableColumn id="7" name="Item" dataDxfId="57" totalsRowDxfId="42"/>
    <tableColumn id="8" name="Item name" dataDxfId="56" totalsRowDxfId="41"/>
    <tableColumn id="9" name="Date" dataDxfId="55" totalsRowDxfId="40"/>
    <tableColumn id="10" name="Quantity" totalsRowFunction="sum" dataDxfId="54" totalsRowDxfId="39"/>
    <tableColumn id="11" name="Unit" dataDxfId="53" totalsRowDxfId="38"/>
    <tableColumn id="12" name="Unit price" totalsRowFunction="sum" dataDxfId="52" totalsRowDxfId="37"/>
    <tableColumn id="13" name="Amount" totalsRowFunction="sum" dataDxfId="51" totalsRowDxfId="36"/>
    <tableColumn id="14" name="Currency" dataDxfId="50" totalsRowDxfId="35"/>
    <tableColumn id="15" name="RecId column" dataDxfId="49" totalsRowDxfId="34"/>
    <tableColumn id="16" name="TPP Amount" totalsRowFunction="sum" dataDxfId="32" totalsRowDxfId="33">
      <calculatedColumnFormula>_xll.AtlasFormulas.AtlasFunctions.AtlasBalance("UAT",DataAreaId,"T.MarkupTrans","Sum|Posted|0","","","","","","","MarkupCode|TransRecId|TransTableId","TPP",$O3,"64")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AtlasReport_2_Table_1" displayName="AtlasReport_2_Table_1" ref="A2:P5" totalsRowCount="1">
  <autoFilter ref="A2:P4"/>
  <tableColumns count="16">
    <tableColumn id="1" name="Company accounts" totalsRowLabel="Total" dataDxfId="31" totalsRowDxfId="16"/>
    <tableColumn id="2" name="Vendor account" dataDxfId="30" totalsRowDxfId="15"/>
    <tableColumn id="3" name="Name" dataDxfId="29" totalsRowDxfId="14"/>
    <tableColumn id="4" name="Purchase order" totalsRowLabel="Total" dataDxfId="28" totalsRowDxfId="13"/>
    <tableColumn id="5" name="Invoice" dataDxfId="27" totalsRowDxfId="12"/>
    <tableColumn id="6" name="Warehouse" dataDxfId="26" totalsRowDxfId="11"/>
    <tableColumn id="7" name="Item" dataDxfId="25" totalsRowDxfId="10"/>
    <tableColumn id="8" name="Item name" dataDxfId="24" totalsRowDxfId="9"/>
    <tableColumn id="9" name="Date" dataDxfId="23" totalsRowDxfId="8"/>
    <tableColumn id="10" name="Quantity" totalsRowFunction="sum" dataDxfId="22" totalsRowDxfId="7"/>
    <tableColumn id="11" name="Unit" dataDxfId="21" totalsRowDxfId="6"/>
    <tableColumn id="12" name="Unit price" totalsRowFunction="sum" dataDxfId="20" totalsRowDxfId="5"/>
    <tableColumn id="13" name="Amount" totalsRowFunction="sum" dataDxfId="19" totalsRowDxfId="4"/>
    <tableColumn id="14" name="Currency" dataDxfId="18" totalsRowDxfId="3"/>
    <tableColumn id="15" name="RecId column" dataDxfId="17" totalsRowDxfId="2"/>
    <tableColumn id="16" name="TPP Amount" totalsRowFunction="sum" dataDxfId="0" totalsRowDxfId="1">
      <calculatedColumnFormula>_xll.AtlasFormulas.AtlasFunctions.AtlasBalance("UAT",DataAreaId,"T.MarkupTrans","Sum|Posted|0","","","","","","","TransRecId|TransTableId|MarkupCode",$O3,"492","TPP")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ReSaleList" displayName="ReSaleList" ref="A1:P12" totalsRowCount="1">
  <autoFilter ref="A1:P11"/>
  <sortState ref="A2:P11">
    <sortCondition ref="G2:G11"/>
    <sortCondition ref="I2:I11"/>
  </sortState>
  <tableColumns count="16">
    <tableColumn id="1" name="Company" totalsRowLabel="Total"/>
    <tableColumn id="2" name="Cust/Vend" dataDxfId="65"/>
    <tableColumn id="3" name="Cust/Vend Name"/>
    <tableColumn id="4" name="Order Number"/>
    <tableColumn id="5" name="Invoice Id" dataDxfId="64"/>
    <tableColumn id="6" name="Warehouse"/>
    <tableColumn id="7" name="Item Number"/>
    <tableColumn id="8" name="Item Name"/>
    <tableColumn id="9" name="Date" dataDxfId="66"/>
    <tableColumn id="10" name="Quantity" totalsRowFunction="sum"/>
    <tableColumn id="11" name="Unit"/>
    <tableColumn id="12" name="Unit Price"/>
    <tableColumn id="13" name="Amount" totalsRowFunction="sum"/>
    <tableColumn id="14" name="Currency"/>
    <tableColumn id="15" name="Order Type"/>
    <tableColumn id="16" name="TPP Amount" totalsRowFunction="s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R19"/>
  <sheetViews>
    <sheetView tabSelected="1" workbookViewId="0">
      <selection activeCell="C16" sqref="C16"/>
    </sheetView>
  </sheetViews>
  <sheetFormatPr defaultRowHeight="15" x14ac:dyDescent="0.25"/>
  <cols>
    <col min="3" max="3" width="13.5703125" bestFit="1" customWidth="1"/>
    <col min="7" max="7" width="9.7109375" bestFit="1" customWidth="1"/>
    <col min="10" max="10" width="12.140625" bestFit="1" customWidth="1"/>
    <col min="12" max="12" width="12" bestFit="1" customWidth="1"/>
    <col min="13" max="13" width="13.28515625" bestFit="1" customWidth="1"/>
    <col min="43" max="43" width="13.5703125" customWidth="1"/>
    <col min="44" max="44" width="13.7109375" customWidth="1"/>
  </cols>
  <sheetData>
    <row r="1" spans="2:44" x14ac:dyDescent="0.25">
      <c r="C1" t="s">
        <v>0</v>
      </c>
      <c r="D1">
        <v>360</v>
      </c>
      <c r="J1" t="str">
        <f>VLOOKUP(DateRegion,Table6[#All],2,0)</f>
        <v>MM.DD.YYYY</v>
      </c>
      <c r="L1" t="s">
        <v>172</v>
      </c>
      <c r="M1" t="s">
        <v>170</v>
      </c>
    </row>
    <row r="2" spans="2:44" x14ac:dyDescent="0.25">
      <c r="C2" t="s">
        <v>157</v>
      </c>
      <c r="D2" s="7">
        <v>42856</v>
      </c>
      <c r="F2" t="s">
        <v>158</v>
      </c>
      <c r="G2" s="7">
        <v>42978</v>
      </c>
      <c r="AQ2" t="s">
        <v>163</v>
      </c>
      <c r="AR2" t="s">
        <v>164</v>
      </c>
    </row>
    <row r="3" spans="2:44" x14ac:dyDescent="0.25">
      <c r="C3" t="s">
        <v>159</v>
      </c>
      <c r="D3" t="str">
        <f>TEXT(FromDate,DateFormat) &amp; " .. " &amp; TEXT(ToDate,DateFormat)</f>
        <v>05.01.2017 .. 08.31.2017</v>
      </c>
      <c r="AQ3" t="s">
        <v>165</v>
      </c>
      <c r="AR3" t="s">
        <v>162</v>
      </c>
    </row>
    <row r="4" spans="2:44" x14ac:dyDescent="0.25">
      <c r="C4" t="s">
        <v>295</v>
      </c>
      <c r="D4" t="s">
        <v>296</v>
      </c>
      <c r="AQ4" t="s">
        <v>166</v>
      </c>
      <c r="AR4" t="s">
        <v>167</v>
      </c>
    </row>
    <row r="5" spans="2:44" x14ac:dyDescent="0.25">
      <c r="C5" t="s">
        <v>313</v>
      </c>
      <c r="D5" t="s">
        <v>314</v>
      </c>
      <c r="AQ5" t="s">
        <v>168</v>
      </c>
      <c r="AR5" t="s">
        <v>169</v>
      </c>
    </row>
    <row r="6" spans="2:44" x14ac:dyDescent="0.25">
      <c r="C6" t="s">
        <v>315</v>
      </c>
      <c r="D6" t="s">
        <v>316</v>
      </c>
      <c r="AQ6" t="s">
        <v>170</v>
      </c>
      <c r="AR6" t="s">
        <v>171</v>
      </c>
    </row>
    <row r="11" spans="2:44" x14ac:dyDescent="0.25">
      <c r="B11" t="s">
        <v>317</v>
      </c>
    </row>
    <row r="12" spans="2:44" x14ac:dyDescent="0.25">
      <c r="B12">
        <v>1</v>
      </c>
      <c r="C12" t="s">
        <v>319</v>
      </c>
    </row>
    <row r="13" spans="2:44" x14ac:dyDescent="0.25">
      <c r="B13">
        <v>2</v>
      </c>
      <c r="C13" t="s">
        <v>318</v>
      </c>
    </row>
    <row r="14" spans="2:44" x14ac:dyDescent="0.25">
      <c r="B14">
        <v>3</v>
      </c>
      <c r="C14" t="s">
        <v>320</v>
      </c>
    </row>
    <row r="15" spans="2:44" x14ac:dyDescent="0.25">
      <c r="B15">
        <v>4</v>
      </c>
      <c r="C15" t="s">
        <v>324</v>
      </c>
    </row>
    <row r="18" spans="2:4" x14ac:dyDescent="0.25">
      <c r="B18" t="s">
        <v>321</v>
      </c>
    </row>
    <row r="19" spans="2:4" x14ac:dyDescent="0.25">
      <c r="B19" t="s">
        <v>322</v>
      </c>
      <c r="C19" s="7">
        <v>43095</v>
      </c>
      <c r="D19" t="s">
        <v>323</v>
      </c>
    </row>
  </sheetData>
  <dataValidations count="1">
    <dataValidation type="list" allowBlank="1" showInputMessage="1" showErrorMessage="1" sqref="M1">
      <formula1>Region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8</xdr:col>
                    <xdr:colOff>381000</xdr:colOff>
                    <xdr:row>3</xdr:row>
                    <xdr:rowOff>161925</xdr:rowOff>
                  </from>
                  <to>
                    <xdr:col>12</xdr:col>
                    <xdr:colOff>57150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7"/>
  <sheetViews>
    <sheetView workbookViewId="0">
      <selection activeCell="D3" sqref="D3"/>
    </sheetView>
  </sheetViews>
  <sheetFormatPr defaultRowHeight="15" x14ac:dyDescent="0.25"/>
  <cols>
    <col min="1" max="1" width="4.5703125" customWidth="1"/>
    <col min="2" max="2" width="12.140625" customWidth="1"/>
    <col min="3" max="3" width="17.5703125" customWidth="1"/>
    <col min="4" max="4" width="14.7109375" customWidth="1"/>
    <col min="5" max="6" width="13.5703125" customWidth="1"/>
    <col min="7" max="7" width="19.140625" customWidth="1"/>
    <col min="8" max="8" width="22.140625" customWidth="1"/>
    <col min="9" max="9" width="10.7109375" customWidth="1"/>
    <col min="10" max="10" width="11" customWidth="1"/>
    <col min="11" max="11" width="7.140625" customWidth="1"/>
    <col min="12" max="13" width="12" customWidth="1"/>
    <col min="14" max="14" width="11.140625" customWidth="1"/>
    <col min="15" max="15" width="15.140625" customWidth="1"/>
    <col min="16" max="16" width="14.140625" customWidth="1"/>
  </cols>
  <sheetData>
    <row r="1" spans="1:16" ht="22.5" x14ac:dyDescent="0.3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2" t="s">
        <v>115</v>
      </c>
      <c r="B2" s="2" t="s">
        <v>173</v>
      </c>
      <c r="C2" s="2" t="s">
        <v>174</v>
      </c>
      <c r="D2" s="2" t="s">
        <v>161</v>
      </c>
      <c r="E2" s="2" t="s">
        <v>2</v>
      </c>
      <c r="F2" s="2" t="s">
        <v>179</v>
      </c>
      <c r="G2" s="2" t="s">
        <v>3</v>
      </c>
      <c r="H2" s="2" t="s">
        <v>117</v>
      </c>
      <c r="I2" s="8" t="s">
        <v>156</v>
      </c>
      <c r="J2" s="10" t="s">
        <v>4</v>
      </c>
      <c r="K2" s="2" t="s">
        <v>182</v>
      </c>
      <c r="L2" s="10" t="s">
        <v>5</v>
      </c>
      <c r="M2" s="10" t="s">
        <v>6</v>
      </c>
      <c r="N2" s="2" t="s">
        <v>7</v>
      </c>
      <c r="O2" s="2" t="s">
        <v>185</v>
      </c>
      <c r="P2" s="10" t="s">
        <v>186</v>
      </c>
    </row>
    <row r="3" spans="1:16" x14ac:dyDescent="0.25">
      <c r="A3" s="4" t="s">
        <v>116</v>
      </c>
      <c r="B3" s="4" t="s">
        <v>189</v>
      </c>
      <c r="C3" s="4" t="s">
        <v>190</v>
      </c>
      <c r="D3" s="4" t="s">
        <v>191</v>
      </c>
      <c r="E3" s="4" t="s">
        <v>101</v>
      </c>
      <c r="F3" s="4" t="s">
        <v>180</v>
      </c>
      <c r="G3" s="4" t="s">
        <v>16</v>
      </c>
      <c r="H3" s="4" t="s">
        <v>118</v>
      </c>
      <c r="I3" s="9">
        <v>42942</v>
      </c>
      <c r="J3" s="11">
        <v>2</v>
      </c>
      <c r="K3" s="4" t="s">
        <v>184</v>
      </c>
      <c r="L3" s="11">
        <v>107</v>
      </c>
      <c r="M3" s="11">
        <v>214</v>
      </c>
      <c r="N3" s="4" t="s">
        <v>26</v>
      </c>
      <c r="O3" s="5">
        <v>5637369304</v>
      </c>
      <c r="P3" s="11">
        <f>_xll.AtlasFormulas.AtlasFunctions.AtlasBalance("UAT",DataAreaId,"T.MarkupTrans","Sum|Posted|0","","","","","","","MarkupCode|TransRecId|TransTableId","TPP",$O3,"64")</f>
        <v>0</v>
      </c>
    </row>
    <row r="4" spans="1:16" x14ac:dyDescent="0.25">
      <c r="A4" s="4" t="s">
        <v>116</v>
      </c>
      <c r="B4" s="4" t="s">
        <v>195</v>
      </c>
      <c r="C4" s="4" t="s">
        <v>196</v>
      </c>
      <c r="D4" s="4" t="s">
        <v>197</v>
      </c>
      <c r="E4" s="4" t="s">
        <v>71</v>
      </c>
      <c r="F4" s="4" t="s">
        <v>180</v>
      </c>
      <c r="G4" s="4" t="s">
        <v>14</v>
      </c>
      <c r="H4" s="4" t="s">
        <v>120</v>
      </c>
      <c r="I4" s="9">
        <v>42907</v>
      </c>
      <c r="J4" s="11">
        <v>45</v>
      </c>
      <c r="K4" s="4" t="s">
        <v>183</v>
      </c>
      <c r="L4" s="11">
        <v>6.56</v>
      </c>
      <c r="M4" s="11">
        <v>295.2</v>
      </c>
      <c r="N4" s="4" t="s">
        <v>8</v>
      </c>
      <c r="O4" s="5">
        <v>5637365549</v>
      </c>
      <c r="P4" s="11">
        <f>_xll.AtlasFormulas.AtlasFunctions.AtlasBalance("UAT",DataAreaId,"T.MarkupTrans","Sum|Posted|0","","","","","","","MarkupCode|TransRecId|TransTableId","TPP",$O4,"64")</f>
        <v>-44.28</v>
      </c>
    </row>
    <row r="5" spans="1:16" x14ac:dyDescent="0.25">
      <c r="A5" s="4" t="s">
        <v>116</v>
      </c>
      <c r="B5" s="4" t="s">
        <v>195</v>
      </c>
      <c r="C5" s="4" t="s">
        <v>196</v>
      </c>
      <c r="D5" s="4" t="s">
        <v>198</v>
      </c>
      <c r="E5" s="4" t="s">
        <v>98</v>
      </c>
      <c r="F5" s="4" t="s">
        <v>180</v>
      </c>
      <c r="G5" s="4" t="s">
        <v>14</v>
      </c>
      <c r="H5" s="4" t="s">
        <v>120</v>
      </c>
      <c r="I5" s="9">
        <v>42930</v>
      </c>
      <c r="J5" s="11">
        <v>510</v>
      </c>
      <c r="K5" s="4" t="s">
        <v>183</v>
      </c>
      <c r="L5" s="11">
        <v>6.74</v>
      </c>
      <c r="M5" s="11">
        <v>3437.4</v>
      </c>
      <c r="N5" s="4" t="s">
        <v>8</v>
      </c>
      <c r="O5" s="5">
        <v>5637368422</v>
      </c>
      <c r="P5" s="11">
        <f>_xll.AtlasFormulas.AtlasFunctions.AtlasBalance("UAT",DataAreaId,"T.MarkupTrans","Sum|Posted|0","","","","","","","MarkupCode|TransRecId|TransTableId","TPP",$O5,"64")</f>
        <v>-515.61</v>
      </c>
    </row>
    <row r="6" spans="1:16" x14ac:dyDescent="0.25">
      <c r="A6" s="4" t="s">
        <v>116</v>
      </c>
      <c r="B6" s="4" t="s">
        <v>195</v>
      </c>
      <c r="C6" s="4" t="s">
        <v>196</v>
      </c>
      <c r="D6" s="4" t="s">
        <v>199</v>
      </c>
      <c r="E6" s="4" t="s">
        <v>75</v>
      </c>
      <c r="F6" s="4" t="s">
        <v>180</v>
      </c>
      <c r="G6" s="4" t="s">
        <v>15</v>
      </c>
      <c r="H6" s="4" t="s">
        <v>120</v>
      </c>
      <c r="I6" s="9">
        <v>42913</v>
      </c>
      <c r="J6" s="11">
        <v>12</v>
      </c>
      <c r="K6" s="4" t="s">
        <v>183</v>
      </c>
      <c r="L6" s="11">
        <v>6.25</v>
      </c>
      <c r="M6" s="11">
        <v>75</v>
      </c>
      <c r="N6" s="4" t="s">
        <v>8</v>
      </c>
      <c r="O6" s="5">
        <v>5637366348</v>
      </c>
      <c r="P6" s="11">
        <f>_xll.AtlasFormulas.AtlasFunctions.AtlasBalance("UAT",DataAreaId,"T.MarkupTrans","Sum|Posted|0","","","","","","","MarkupCode|TransRecId|TransTableId","TPP",$O6,"64")</f>
        <v>-11.25</v>
      </c>
    </row>
    <row r="7" spans="1:16" x14ac:dyDescent="0.25">
      <c r="A7" s="4" t="s">
        <v>116</v>
      </c>
      <c r="B7" s="4" t="s">
        <v>200</v>
      </c>
      <c r="C7" s="4" t="s">
        <v>201</v>
      </c>
      <c r="D7" s="4" t="s">
        <v>202</v>
      </c>
      <c r="E7" s="4" t="s">
        <v>99</v>
      </c>
      <c r="F7" s="4" t="s">
        <v>180</v>
      </c>
      <c r="G7" s="4" t="s">
        <v>30</v>
      </c>
      <c r="H7" s="4" t="s">
        <v>30</v>
      </c>
      <c r="I7" s="9">
        <v>42935</v>
      </c>
      <c r="J7" s="11">
        <v>1</v>
      </c>
      <c r="K7" s="4" t="s">
        <v>184</v>
      </c>
      <c r="L7" s="11">
        <v>350</v>
      </c>
      <c r="M7" s="11">
        <v>350</v>
      </c>
      <c r="N7" s="4" t="s">
        <v>8</v>
      </c>
      <c r="O7" s="5">
        <v>5637368726</v>
      </c>
      <c r="P7" s="11">
        <f>_xll.AtlasFormulas.AtlasFunctions.AtlasBalance("UAT",DataAreaId,"T.MarkupTrans","Sum|Posted|0","","","","","","","MarkupCode|TransRecId|TransTableId","TPP",$O7,"64")</f>
        <v>0</v>
      </c>
    </row>
    <row r="8" spans="1:16" x14ac:dyDescent="0.25">
      <c r="A8" s="4" t="s">
        <v>116</v>
      </c>
      <c r="B8" s="4" t="s">
        <v>195</v>
      </c>
      <c r="C8" s="4" t="s">
        <v>196</v>
      </c>
      <c r="D8" s="4" t="s">
        <v>198</v>
      </c>
      <c r="E8" s="4" t="s">
        <v>98</v>
      </c>
      <c r="F8" s="4" t="s">
        <v>180</v>
      </c>
      <c r="G8" s="4" t="s">
        <v>13</v>
      </c>
      <c r="H8" s="4" t="s">
        <v>121</v>
      </c>
      <c r="I8" s="9">
        <v>42930</v>
      </c>
      <c r="J8" s="11">
        <v>1400</v>
      </c>
      <c r="K8" s="4" t="s">
        <v>204</v>
      </c>
      <c r="L8" s="11">
        <v>2.94</v>
      </c>
      <c r="M8" s="11">
        <v>4116</v>
      </c>
      <c r="N8" s="4" t="s">
        <v>8</v>
      </c>
      <c r="O8" s="5">
        <v>5637368419</v>
      </c>
      <c r="P8" s="11">
        <f>_xll.AtlasFormulas.AtlasFunctions.AtlasBalance("UAT",DataAreaId,"T.MarkupTrans","Sum|Posted|0","","","","","","","MarkupCode|TransRecId|TransTableId","TPP",$O8,"64")</f>
        <v>-617.4</v>
      </c>
    </row>
    <row r="9" spans="1:16" x14ac:dyDescent="0.25">
      <c r="A9" s="4" t="s">
        <v>116</v>
      </c>
      <c r="B9" s="4" t="s">
        <v>195</v>
      </c>
      <c r="C9" s="4" t="s">
        <v>196</v>
      </c>
      <c r="D9" s="4" t="s">
        <v>198</v>
      </c>
      <c r="E9" s="4" t="s">
        <v>98</v>
      </c>
      <c r="F9" s="4" t="s">
        <v>180</v>
      </c>
      <c r="G9" s="4" t="s">
        <v>11</v>
      </c>
      <c r="H9" s="4" t="s">
        <v>122</v>
      </c>
      <c r="I9" s="9">
        <v>42930</v>
      </c>
      <c r="J9" s="11">
        <v>900</v>
      </c>
      <c r="K9" s="4" t="s">
        <v>204</v>
      </c>
      <c r="L9" s="11">
        <v>4.6399999999999997</v>
      </c>
      <c r="M9" s="11">
        <v>4176</v>
      </c>
      <c r="N9" s="4" t="s">
        <v>8</v>
      </c>
      <c r="O9" s="5">
        <v>5637368420</v>
      </c>
      <c r="P9" s="11">
        <f>_xll.AtlasFormulas.AtlasFunctions.AtlasBalance("UAT",DataAreaId,"T.MarkupTrans","Sum|Posted|0","","","","","","","MarkupCode|TransRecId|TransTableId","TPP",$O9,"64")</f>
        <v>-626.4</v>
      </c>
    </row>
    <row r="10" spans="1:16" x14ac:dyDescent="0.25">
      <c r="A10" s="4" t="s">
        <v>116</v>
      </c>
      <c r="B10" s="4" t="s">
        <v>195</v>
      </c>
      <c r="C10" s="4" t="s">
        <v>196</v>
      </c>
      <c r="D10" s="4" t="s">
        <v>197</v>
      </c>
      <c r="E10" s="4" t="s">
        <v>71</v>
      </c>
      <c r="F10" s="4" t="s">
        <v>180</v>
      </c>
      <c r="G10" s="4" t="s">
        <v>17</v>
      </c>
      <c r="H10" s="4" t="s">
        <v>123</v>
      </c>
      <c r="I10" s="9">
        <v>42907</v>
      </c>
      <c r="J10" s="11">
        <v>2</v>
      </c>
      <c r="K10" s="4" t="s">
        <v>184</v>
      </c>
      <c r="L10" s="11">
        <v>77</v>
      </c>
      <c r="M10" s="11">
        <v>154</v>
      </c>
      <c r="N10" s="4" t="s">
        <v>8</v>
      </c>
      <c r="O10" s="5">
        <v>5637365551</v>
      </c>
      <c r="P10" s="11">
        <f>_xll.AtlasFormulas.AtlasFunctions.AtlasBalance("UAT",DataAreaId,"T.MarkupTrans","Sum|Posted|0","","","","","","","MarkupCode|TransRecId|TransTableId","TPP",$O10,"64")</f>
        <v>-23.1</v>
      </c>
    </row>
    <row r="11" spans="1:16" x14ac:dyDescent="0.25">
      <c r="A11" s="4" t="s">
        <v>116</v>
      </c>
      <c r="B11" s="4" t="s">
        <v>195</v>
      </c>
      <c r="C11" s="4" t="s">
        <v>196</v>
      </c>
      <c r="D11" s="4" t="s">
        <v>198</v>
      </c>
      <c r="E11" s="4" t="s">
        <v>98</v>
      </c>
      <c r="F11" s="4" t="s">
        <v>180</v>
      </c>
      <c r="G11" s="4" t="s">
        <v>12</v>
      </c>
      <c r="H11" s="4" t="s">
        <v>124</v>
      </c>
      <c r="I11" s="9">
        <v>42930</v>
      </c>
      <c r="J11" s="11">
        <v>35</v>
      </c>
      <c r="K11" s="4" t="s">
        <v>184</v>
      </c>
      <c r="L11" s="11">
        <v>52.25</v>
      </c>
      <c r="M11" s="11">
        <v>1828.75</v>
      </c>
      <c r="N11" s="4" t="s">
        <v>8</v>
      </c>
      <c r="O11" s="5">
        <v>5637368421</v>
      </c>
      <c r="P11" s="11">
        <f>_xll.AtlasFormulas.AtlasFunctions.AtlasBalance("UAT",DataAreaId,"T.MarkupTrans","Sum|Posted|0","","","","","","","MarkupCode|TransRecId|TransTableId","TPP",$O11,"64")</f>
        <v>-274.31</v>
      </c>
    </row>
    <row r="12" spans="1:16" ht="30" x14ac:dyDescent="0.25">
      <c r="A12" s="4" t="s">
        <v>116</v>
      </c>
      <c r="B12" s="4" t="s">
        <v>195</v>
      </c>
      <c r="C12" s="4" t="s">
        <v>196</v>
      </c>
      <c r="D12" s="4" t="s">
        <v>197</v>
      </c>
      <c r="E12" s="4" t="s">
        <v>71</v>
      </c>
      <c r="F12" s="4" t="s">
        <v>180</v>
      </c>
      <c r="G12" s="4" t="s">
        <v>41</v>
      </c>
      <c r="H12" s="6" t="s">
        <v>125</v>
      </c>
      <c r="I12" s="9">
        <v>42907</v>
      </c>
      <c r="J12" s="11">
        <v>7</v>
      </c>
      <c r="K12" s="4" t="s">
        <v>184</v>
      </c>
      <c r="L12" s="11">
        <v>36.544600000000003</v>
      </c>
      <c r="M12" s="11">
        <v>255.81</v>
      </c>
      <c r="N12" s="4" t="s">
        <v>8</v>
      </c>
      <c r="O12" s="5">
        <v>5637365550</v>
      </c>
      <c r="P12" s="11">
        <f>_xll.AtlasFormulas.AtlasFunctions.AtlasBalance("UAT",DataAreaId,"T.MarkupTrans","Sum|Posted|0","","","","","","","MarkupCode|TransRecId|TransTableId","TPP",$O12,"64")</f>
        <v>-38.369999999999997</v>
      </c>
    </row>
    <row r="13" spans="1:16" ht="30" x14ac:dyDescent="0.25">
      <c r="A13" s="4" t="s">
        <v>116</v>
      </c>
      <c r="B13" s="4" t="s">
        <v>195</v>
      </c>
      <c r="C13" s="4" t="s">
        <v>196</v>
      </c>
      <c r="D13" s="4" t="s">
        <v>199</v>
      </c>
      <c r="E13" s="4" t="s">
        <v>75</v>
      </c>
      <c r="F13" s="4" t="s">
        <v>180</v>
      </c>
      <c r="G13" s="4" t="s">
        <v>41</v>
      </c>
      <c r="H13" s="6" t="s">
        <v>125</v>
      </c>
      <c r="I13" s="9">
        <v>42913</v>
      </c>
      <c r="J13" s="11">
        <v>2</v>
      </c>
      <c r="K13" s="4" t="s">
        <v>184</v>
      </c>
      <c r="L13" s="11">
        <v>36.544600000000003</v>
      </c>
      <c r="M13" s="11">
        <v>73.09</v>
      </c>
      <c r="N13" s="4" t="s">
        <v>8</v>
      </c>
      <c r="O13" s="5">
        <v>5637366349</v>
      </c>
      <c r="P13" s="11">
        <f>_xll.AtlasFormulas.AtlasFunctions.AtlasBalance("UAT",DataAreaId,"T.MarkupTrans","Sum|Posted|0","","","","","","","MarkupCode|TransRecId|TransTableId","TPP",$O13,"64")</f>
        <v>-10.96</v>
      </c>
    </row>
    <row r="14" spans="1:16" ht="30" x14ac:dyDescent="0.25">
      <c r="A14" s="4" t="s">
        <v>116</v>
      </c>
      <c r="B14" s="4" t="s">
        <v>195</v>
      </c>
      <c r="C14" s="4" t="s">
        <v>196</v>
      </c>
      <c r="D14" s="4" t="s">
        <v>198</v>
      </c>
      <c r="E14" s="4" t="s">
        <v>98</v>
      </c>
      <c r="F14" s="4" t="s">
        <v>180</v>
      </c>
      <c r="G14" s="4" t="s">
        <v>41</v>
      </c>
      <c r="H14" s="6" t="s">
        <v>125</v>
      </c>
      <c r="I14" s="9">
        <v>42930</v>
      </c>
      <c r="J14" s="11">
        <v>45</v>
      </c>
      <c r="K14" s="4" t="s">
        <v>184</v>
      </c>
      <c r="L14" s="11">
        <v>36.544600000000003</v>
      </c>
      <c r="M14" s="11">
        <v>1644.51</v>
      </c>
      <c r="N14" s="4" t="s">
        <v>8</v>
      </c>
      <c r="O14" s="5">
        <v>5637368423</v>
      </c>
      <c r="P14" s="11">
        <f>_xll.AtlasFormulas.AtlasFunctions.AtlasBalance("UAT",DataAreaId,"T.MarkupTrans","Sum|Posted|0","","","","","","","MarkupCode|TransRecId|TransTableId","TPP",$O14,"64")</f>
        <v>-246.68</v>
      </c>
    </row>
    <row r="15" spans="1:16" x14ac:dyDescent="0.25">
      <c r="A15" s="4" t="s">
        <v>116</v>
      </c>
      <c r="B15" s="4" t="s">
        <v>205</v>
      </c>
      <c r="C15" s="4" t="s">
        <v>206</v>
      </c>
      <c r="D15" s="4" t="s">
        <v>207</v>
      </c>
      <c r="E15" s="4" t="s">
        <v>79</v>
      </c>
      <c r="F15" s="4" t="s">
        <v>180</v>
      </c>
      <c r="G15" s="4" t="s">
        <v>35</v>
      </c>
      <c r="H15" s="4" t="s">
        <v>127</v>
      </c>
      <c r="I15" s="9">
        <v>42913</v>
      </c>
      <c r="J15" s="11">
        <v>1</v>
      </c>
      <c r="K15" s="4" t="s">
        <v>184</v>
      </c>
      <c r="L15" s="11">
        <v>5669.65</v>
      </c>
      <c r="M15" s="11">
        <v>5669.65</v>
      </c>
      <c r="N15" s="4" t="s">
        <v>9</v>
      </c>
      <c r="O15" s="5">
        <v>5637366353</v>
      </c>
      <c r="P15" s="11">
        <f>_xll.AtlasFormulas.AtlasFunctions.AtlasBalance("UAT",DataAreaId,"T.MarkupTrans","Sum|Posted|0","","","","","","","MarkupCode|TransRecId|TransTableId","TPP",$O15,"64")</f>
        <v>0</v>
      </c>
    </row>
    <row r="16" spans="1:16" x14ac:dyDescent="0.25">
      <c r="A16" s="4" t="s">
        <v>116</v>
      </c>
      <c r="B16" s="4" t="s">
        <v>200</v>
      </c>
      <c r="C16" s="4" t="s">
        <v>201</v>
      </c>
      <c r="D16" s="4" t="s">
        <v>202</v>
      </c>
      <c r="E16" s="4" t="s">
        <v>99</v>
      </c>
      <c r="F16" s="4" t="s">
        <v>180</v>
      </c>
      <c r="G16" s="4" t="s">
        <v>18</v>
      </c>
      <c r="H16" s="4" t="s">
        <v>128</v>
      </c>
      <c r="I16" s="9">
        <v>42935</v>
      </c>
      <c r="J16" s="11">
        <v>1</v>
      </c>
      <c r="K16" s="4" t="s">
        <v>184</v>
      </c>
      <c r="L16" s="11">
        <v>145</v>
      </c>
      <c r="M16" s="11">
        <v>145</v>
      </c>
      <c r="N16" s="4" t="s">
        <v>8</v>
      </c>
      <c r="O16" s="5">
        <v>5637368727</v>
      </c>
      <c r="P16" s="11">
        <f>_xll.AtlasFormulas.AtlasFunctions.AtlasBalance("UAT",DataAreaId,"T.MarkupTrans","Sum|Posted|0","","","","","","","MarkupCode|TransRecId|TransTableId","TPP",$O16,"64")</f>
        <v>0</v>
      </c>
    </row>
    <row r="17" spans="1:16" x14ac:dyDescent="0.25">
      <c r="A17" s="4" t="s">
        <v>116</v>
      </c>
      <c r="B17" s="4" t="s">
        <v>208</v>
      </c>
      <c r="C17" s="4" t="s">
        <v>209</v>
      </c>
      <c r="D17" s="4" t="s">
        <v>210</v>
      </c>
      <c r="E17" s="4" t="s">
        <v>51</v>
      </c>
      <c r="F17" s="4" t="s">
        <v>180</v>
      </c>
      <c r="G17" s="4" t="s">
        <v>10</v>
      </c>
      <c r="H17" s="4" t="s">
        <v>129</v>
      </c>
      <c r="I17" s="9">
        <v>42884</v>
      </c>
      <c r="J17" s="11">
        <v>1</v>
      </c>
      <c r="K17" s="4" t="s">
        <v>184</v>
      </c>
      <c r="L17" s="11">
        <v>360</v>
      </c>
      <c r="M17" s="11">
        <v>360</v>
      </c>
      <c r="N17" s="4" t="s">
        <v>8</v>
      </c>
      <c r="O17" s="5">
        <v>5637364272</v>
      </c>
      <c r="P17" s="11">
        <f>_xll.AtlasFormulas.AtlasFunctions.AtlasBalance("UAT",DataAreaId,"T.MarkupTrans","Sum|Posted|0","","","","","","","MarkupCode|TransRecId|TransTableId","TPP",$O17,"64")</f>
        <v>0</v>
      </c>
    </row>
    <row r="18" spans="1:16" x14ac:dyDescent="0.25">
      <c r="A18" s="4" t="s">
        <v>116</v>
      </c>
      <c r="B18" s="4" t="s">
        <v>195</v>
      </c>
      <c r="C18" s="4" t="s">
        <v>196</v>
      </c>
      <c r="D18" s="4" t="s">
        <v>197</v>
      </c>
      <c r="E18" s="4" t="s">
        <v>71</v>
      </c>
      <c r="F18" s="4" t="s">
        <v>180</v>
      </c>
      <c r="G18" s="4" t="s">
        <v>10</v>
      </c>
      <c r="H18" s="4" t="s">
        <v>129</v>
      </c>
      <c r="I18" s="9">
        <v>42907</v>
      </c>
      <c r="J18" s="11">
        <v>1</v>
      </c>
      <c r="K18" s="4" t="s">
        <v>184</v>
      </c>
      <c r="L18" s="11">
        <v>1485</v>
      </c>
      <c r="M18" s="11">
        <v>1485</v>
      </c>
      <c r="N18" s="4" t="s">
        <v>8</v>
      </c>
      <c r="O18" s="5">
        <v>5637365552</v>
      </c>
      <c r="P18" s="11">
        <f>_xll.AtlasFormulas.AtlasFunctions.AtlasBalance("UAT",DataAreaId,"T.MarkupTrans","Sum|Posted|0","","","","","","","MarkupCode|TransRecId|TransTableId","TPP",$O18,"64")</f>
        <v>0</v>
      </c>
    </row>
    <row r="19" spans="1:16" x14ac:dyDescent="0.25">
      <c r="A19" s="4" t="s">
        <v>116</v>
      </c>
      <c r="B19" s="4" t="s">
        <v>195</v>
      </c>
      <c r="C19" s="4" t="s">
        <v>196</v>
      </c>
      <c r="D19" s="4" t="s">
        <v>199</v>
      </c>
      <c r="E19" s="4" t="s">
        <v>75</v>
      </c>
      <c r="F19" s="4" t="s">
        <v>180</v>
      </c>
      <c r="G19" s="4" t="s">
        <v>10</v>
      </c>
      <c r="H19" s="4" t="s">
        <v>129</v>
      </c>
      <c r="I19" s="9">
        <v>42913</v>
      </c>
      <c r="J19" s="11">
        <v>1</v>
      </c>
      <c r="K19" s="4" t="s">
        <v>184</v>
      </c>
      <c r="L19" s="11">
        <v>1076</v>
      </c>
      <c r="M19" s="11">
        <v>1076</v>
      </c>
      <c r="N19" s="4" t="s">
        <v>8</v>
      </c>
      <c r="O19" s="5">
        <v>5637366350</v>
      </c>
      <c r="P19" s="11">
        <f>_xll.AtlasFormulas.AtlasFunctions.AtlasBalance("UAT",DataAreaId,"T.MarkupTrans","Sum|Posted|0","","","","","","","MarkupCode|TransRecId|TransTableId","TPP",$O19,"64")</f>
        <v>0</v>
      </c>
    </row>
    <row r="20" spans="1:16" x14ac:dyDescent="0.25">
      <c r="A20" s="4" t="s">
        <v>116</v>
      </c>
      <c r="B20" s="4" t="s">
        <v>195</v>
      </c>
      <c r="C20" s="4" t="s">
        <v>196</v>
      </c>
      <c r="D20" s="4" t="s">
        <v>198</v>
      </c>
      <c r="E20" s="4" t="s">
        <v>98</v>
      </c>
      <c r="F20" s="4" t="s">
        <v>180</v>
      </c>
      <c r="G20" s="4" t="s">
        <v>10</v>
      </c>
      <c r="H20" s="4" t="s">
        <v>129</v>
      </c>
      <c r="I20" s="9">
        <v>42930</v>
      </c>
      <c r="J20" s="11">
        <v>1</v>
      </c>
      <c r="K20" s="4" t="s">
        <v>184</v>
      </c>
      <c r="L20" s="11">
        <v>1090</v>
      </c>
      <c r="M20" s="11">
        <v>1090</v>
      </c>
      <c r="N20" s="4" t="s">
        <v>8</v>
      </c>
      <c r="O20" s="5">
        <v>5637368424</v>
      </c>
      <c r="P20" s="11">
        <f>_xll.AtlasFormulas.AtlasFunctions.AtlasBalance("UAT",DataAreaId,"T.MarkupTrans","Sum|Posted|0","","","","","","","MarkupCode|TransRecId|TransTableId","TPP",$O20,"64")</f>
        <v>0</v>
      </c>
    </row>
    <row r="21" spans="1:16" x14ac:dyDescent="0.25">
      <c r="A21" s="4" t="s">
        <v>116</v>
      </c>
      <c r="B21" s="4" t="s">
        <v>189</v>
      </c>
      <c r="C21" s="4" t="s">
        <v>190</v>
      </c>
      <c r="D21" s="4" t="s">
        <v>191</v>
      </c>
      <c r="E21" s="4" t="s">
        <v>101</v>
      </c>
      <c r="F21" s="4" t="s">
        <v>180</v>
      </c>
      <c r="G21" s="4" t="s">
        <v>10</v>
      </c>
      <c r="H21" s="4" t="s">
        <v>129</v>
      </c>
      <c r="I21" s="9">
        <v>42942</v>
      </c>
      <c r="J21" s="11">
        <v>1</v>
      </c>
      <c r="K21" s="4" t="s">
        <v>184</v>
      </c>
      <c r="L21" s="11">
        <v>350</v>
      </c>
      <c r="M21" s="11">
        <v>350</v>
      </c>
      <c r="N21" s="4" t="s">
        <v>26</v>
      </c>
      <c r="O21" s="5">
        <v>5637369305</v>
      </c>
      <c r="P21" s="11">
        <f>_xll.AtlasFormulas.AtlasFunctions.AtlasBalance("UAT",DataAreaId,"T.MarkupTrans","Sum|Posted|0","","","","","","","MarkupCode|TransRecId|TransTableId","TPP",$O21,"64")</f>
        <v>0</v>
      </c>
    </row>
    <row r="22" spans="1:16" x14ac:dyDescent="0.25">
      <c r="A22" s="4" t="s">
        <v>116</v>
      </c>
      <c r="B22" s="4" t="s">
        <v>213</v>
      </c>
      <c r="C22" s="4" t="s">
        <v>178</v>
      </c>
      <c r="D22" s="4" t="s">
        <v>218</v>
      </c>
      <c r="E22" s="4" t="s">
        <v>70</v>
      </c>
      <c r="F22" s="4" t="s">
        <v>180</v>
      </c>
      <c r="G22" s="4" t="s">
        <v>29</v>
      </c>
      <c r="H22" s="4" t="s">
        <v>130</v>
      </c>
      <c r="I22" s="9">
        <v>42899</v>
      </c>
      <c r="J22" s="11">
        <v>1</v>
      </c>
      <c r="K22" s="4" t="s">
        <v>184</v>
      </c>
      <c r="L22" s="11">
        <v>7500</v>
      </c>
      <c r="M22" s="11">
        <v>7500</v>
      </c>
      <c r="N22" s="4" t="s">
        <v>8</v>
      </c>
      <c r="O22" s="5">
        <v>5637365247</v>
      </c>
      <c r="P22" s="11">
        <f>_xll.AtlasFormulas.AtlasFunctions.AtlasBalance("UAT",DataAreaId,"T.MarkupTrans","Sum|Posted|0","","","","","","","MarkupCode|TransRecId|TransTableId","TPP",$O22,"64")</f>
        <v>0</v>
      </c>
    </row>
    <row r="23" spans="1:16" x14ac:dyDescent="0.25">
      <c r="A23" s="4" t="s">
        <v>116</v>
      </c>
      <c r="B23" s="4" t="s">
        <v>213</v>
      </c>
      <c r="C23" s="4" t="s">
        <v>178</v>
      </c>
      <c r="D23" s="4" t="s">
        <v>219</v>
      </c>
      <c r="E23" s="4" t="s">
        <v>69</v>
      </c>
      <c r="F23" s="4" t="s">
        <v>180</v>
      </c>
      <c r="G23" s="4" t="s">
        <v>29</v>
      </c>
      <c r="H23" s="4" t="s">
        <v>130</v>
      </c>
      <c r="I23" s="9">
        <v>42899</v>
      </c>
      <c r="J23" s="11">
        <v>1</v>
      </c>
      <c r="K23" s="4" t="s">
        <v>184</v>
      </c>
      <c r="L23" s="11">
        <v>1875</v>
      </c>
      <c r="M23" s="11">
        <v>1875</v>
      </c>
      <c r="N23" s="4" t="s">
        <v>8</v>
      </c>
      <c r="O23" s="5">
        <v>5637365238</v>
      </c>
      <c r="P23" s="11">
        <f>_xll.AtlasFormulas.AtlasFunctions.AtlasBalance("UAT",DataAreaId,"T.MarkupTrans","Sum|Posted|0","","","","","","","MarkupCode|TransRecId|TransTableId","TPP",$O23,"64")</f>
        <v>0</v>
      </c>
    </row>
    <row r="24" spans="1:16" x14ac:dyDescent="0.25">
      <c r="A24" s="4" t="s">
        <v>116</v>
      </c>
      <c r="B24" s="4" t="s">
        <v>213</v>
      </c>
      <c r="C24" s="4" t="s">
        <v>178</v>
      </c>
      <c r="D24" s="4" t="s">
        <v>214</v>
      </c>
      <c r="E24" s="4" t="s">
        <v>68</v>
      </c>
      <c r="F24" s="4" t="s">
        <v>180</v>
      </c>
      <c r="G24" s="4" t="s">
        <v>29</v>
      </c>
      <c r="H24" s="4" t="s">
        <v>130</v>
      </c>
      <c r="I24" s="9">
        <v>42899</v>
      </c>
      <c r="J24" s="11">
        <v>1</v>
      </c>
      <c r="K24" s="4" t="s">
        <v>184</v>
      </c>
      <c r="L24" s="11">
        <v>3750</v>
      </c>
      <c r="M24" s="11">
        <v>3750</v>
      </c>
      <c r="N24" s="4" t="s">
        <v>8</v>
      </c>
      <c r="O24" s="5">
        <v>5637365228</v>
      </c>
      <c r="P24" s="11">
        <f>_xll.AtlasFormulas.AtlasFunctions.AtlasBalance("UAT",DataAreaId,"T.MarkupTrans","Sum|Posted|0","","","","","","","MarkupCode|TransRecId|TransTableId","TPP",$O24,"64")</f>
        <v>0</v>
      </c>
    </row>
    <row r="25" spans="1:16" x14ac:dyDescent="0.25">
      <c r="A25" s="4" t="s">
        <v>116</v>
      </c>
      <c r="B25" s="4" t="s">
        <v>211</v>
      </c>
      <c r="C25" s="4" t="s">
        <v>194</v>
      </c>
      <c r="D25" s="4" t="s">
        <v>212</v>
      </c>
      <c r="E25" s="4" t="s">
        <v>65</v>
      </c>
      <c r="F25" s="4" t="s">
        <v>180</v>
      </c>
      <c r="G25" s="4" t="s">
        <v>29</v>
      </c>
      <c r="H25" s="4" t="s">
        <v>130</v>
      </c>
      <c r="I25" s="9">
        <v>42899</v>
      </c>
      <c r="J25" s="11">
        <v>1</v>
      </c>
      <c r="K25" s="4" t="s">
        <v>184</v>
      </c>
      <c r="L25" s="11">
        <v>625</v>
      </c>
      <c r="M25" s="11">
        <v>625</v>
      </c>
      <c r="N25" s="4" t="s">
        <v>8</v>
      </c>
      <c r="O25" s="5">
        <v>5637365204</v>
      </c>
      <c r="P25" s="11">
        <f>_xll.AtlasFormulas.AtlasFunctions.AtlasBalance("UAT",DataAreaId,"T.MarkupTrans","Sum|Posted|0","","","","","","","MarkupCode|TransRecId|TransTableId","TPP",$O25,"64")</f>
        <v>0</v>
      </c>
    </row>
    <row r="26" spans="1:16" x14ac:dyDescent="0.25">
      <c r="A26" s="4" t="s">
        <v>116</v>
      </c>
      <c r="B26" s="4" t="s">
        <v>215</v>
      </c>
      <c r="C26" s="4" t="s">
        <v>192</v>
      </c>
      <c r="D26" s="4" t="s">
        <v>216</v>
      </c>
      <c r="E26" s="4" t="s">
        <v>67</v>
      </c>
      <c r="F26" s="4" t="s">
        <v>180</v>
      </c>
      <c r="G26" s="4" t="s">
        <v>29</v>
      </c>
      <c r="H26" s="4" t="s">
        <v>130</v>
      </c>
      <c r="I26" s="9">
        <v>42899</v>
      </c>
      <c r="J26" s="11">
        <v>1</v>
      </c>
      <c r="K26" s="4" t="s">
        <v>184</v>
      </c>
      <c r="L26" s="11">
        <v>9737.85</v>
      </c>
      <c r="M26" s="11">
        <v>9737.85</v>
      </c>
      <c r="N26" s="4" t="s">
        <v>8</v>
      </c>
      <c r="O26" s="5">
        <v>5637365219</v>
      </c>
      <c r="P26" s="11">
        <f>_xll.AtlasFormulas.AtlasFunctions.AtlasBalance("UAT",DataAreaId,"T.MarkupTrans","Sum|Posted|0","","","","","","","MarkupCode|TransRecId|TransTableId","TPP",$O26,"64")</f>
        <v>0</v>
      </c>
    </row>
    <row r="27" spans="1:16" x14ac:dyDescent="0.25">
      <c r="A27" s="4" t="s">
        <v>116</v>
      </c>
      <c r="B27" s="4" t="s">
        <v>215</v>
      </c>
      <c r="C27" s="4" t="s">
        <v>192</v>
      </c>
      <c r="D27" s="4" t="s">
        <v>217</v>
      </c>
      <c r="E27" s="4" t="s">
        <v>66</v>
      </c>
      <c r="F27" s="4" t="s">
        <v>180</v>
      </c>
      <c r="G27" s="4" t="s">
        <v>29</v>
      </c>
      <c r="H27" s="4" t="s">
        <v>130</v>
      </c>
      <c r="I27" s="9">
        <v>42899</v>
      </c>
      <c r="J27" s="11">
        <v>1</v>
      </c>
      <c r="K27" s="4" t="s">
        <v>184</v>
      </c>
      <c r="L27" s="11">
        <v>5000.09</v>
      </c>
      <c r="M27" s="11">
        <v>5000.09</v>
      </c>
      <c r="N27" s="4" t="s">
        <v>8</v>
      </c>
      <c r="O27" s="5">
        <v>5637365216</v>
      </c>
      <c r="P27" s="11">
        <f>_xll.AtlasFormulas.AtlasFunctions.AtlasBalance("UAT",DataAreaId,"T.MarkupTrans","Sum|Posted|0","","","","","","","MarkupCode|TransRecId|TransTableId","TPP",$O27,"64")</f>
        <v>0</v>
      </c>
    </row>
    <row r="28" spans="1:16" x14ac:dyDescent="0.25">
      <c r="A28" s="4" t="s">
        <v>116</v>
      </c>
      <c r="B28" s="4" t="s">
        <v>215</v>
      </c>
      <c r="C28" s="4" t="s">
        <v>192</v>
      </c>
      <c r="D28" s="4" t="s">
        <v>223</v>
      </c>
      <c r="E28" s="4" t="s">
        <v>89</v>
      </c>
      <c r="F28" s="4" t="s">
        <v>180</v>
      </c>
      <c r="G28" s="4" t="s">
        <v>29</v>
      </c>
      <c r="H28" s="4" t="s">
        <v>130</v>
      </c>
      <c r="I28" s="9">
        <v>42916</v>
      </c>
      <c r="J28" s="11">
        <v>1</v>
      </c>
      <c r="K28" s="4" t="s">
        <v>184</v>
      </c>
      <c r="L28" s="11">
        <v>3611.92</v>
      </c>
      <c r="M28" s="11">
        <v>3611.92</v>
      </c>
      <c r="N28" s="4" t="s">
        <v>8</v>
      </c>
      <c r="O28" s="5">
        <v>5637367201</v>
      </c>
      <c r="P28" s="11">
        <f>_xll.AtlasFormulas.AtlasFunctions.AtlasBalance("UAT",DataAreaId,"T.MarkupTrans","Sum|Posted|0","","","","","","","MarkupCode|TransRecId|TransTableId","TPP",$O28,"64")</f>
        <v>0</v>
      </c>
    </row>
    <row r="29" spans="1:16" x14ac:dyDescent="0.25">
      <c r="A29" s="4" t="s">
        <v>116</v>
      </c>
      <c r="B29" s="4" t="s">
        <v>211</v>
      </c>
      <c r="C29" s="4" t="s">
        <v>194</v>
      </c>
      <c r="D29" s="4" t="s">
        <v>220</v>
      </c>
      <c r="E29" s="4" t="s">
        <v>86</v>
      </c>
      <c r="F29" s="4" t="s">
        <v>180</v>
      </c>
      <c r="G29" s="4" t="s">
        <v>29</v>
      </c>
      <c r="H29" s="4" t="s">
        <v>130</v>
      </c>
      <c r="I29" s="9">
        <v>42916</v>
      </c>
      <c r="J29" s="11">
        <v>1</v>
      </c>
      <c r="K29" s="4" t="s">
        <v>184</v>
      </c>
      <c r="L29" s="11">
        <v>3879.69</v>
      </c>
      <c r="M29" s="11">
        <v>3879.69</v>
      </c>
      <c r="N29" s="4" t="s">
        <v>8</v>
      </c>
      <c r="O29" s="5">
        <v>5637367195</v>
      </c>
      <c r="P29" s="11">
        <f>_xll.AtlasFormulas.AtlasFunctions.AtlasBalance("UAT",DataAreaId,"T.MarkupTrans","Sum|Posted|0","","","","","","","MarkupCode|TransRecId|TransTableId","TPP",$O29,"64")</f>
        <v>0</v>
      </c>
    </row>
    <row r="30" spans="1:16" x14ac:dyDescent="0.25">
      <c r="A30" s="4" t="s">
        <v>116</v>
      </c>
      <c r="B30" s="4" t="s">
        <v>224</v>
      </c>
      <c r="C30" s="4" t="s">
        <v>225</v>
      </c>
      <c r="D30" s="4" t="s">
        <v>226</v>
      </c>
      <c r="E30" s="4" t="s">
        <v>85</v>
      </c>
      <c r="F30" s="4" t="s">
        <v>180</v>
      </c>
      <c r="G30" s="4" t="s">
        <v>29</v>
      </c>
      <c r="H30" s="4" t="s">
        <v>130</v>
      </c>
      <c r="I30" s="9">
        <v>42916</v>
      </c>
      <c r="J30" s="11">
        <v>1</v>
      </c>
      <c r="K30" s="4" t="s">
        <v>184</v>
      </c>
      <c r="L30" s="11">
        <v>4402.3999999999996</v>
      </c>
      <c r="M30" s="11">
        <v>4402.3999999999996</v>
      </c>
      <c r="N30" s="4" t="s">
        <v>8</v>
      </c>
      <c r="O30" s="5">
        <v>5637367193</v>
      </c>
      <c r="P30" s="11">
        <f>_xll.AtlasFormulas.AtlasFunctions.AtlasBalance("UAT",DataAreaId,"T.MarkupTrans","Sum|Posted|0","","","","","","","MarkupCode|TransRecId|TransTableId","TPP",$O30,"64")</f>
        <v>0</v>
      </c>
    </row>
    <row r="31" spans="1:16" x14ac:dyDescent="0.25">
      <c r="A31" s="4" t="s">
        <v>116</v>
      </c>
      <c r="B31" s="4" t="s">
        <v>213</v>
      </c>
      <c r="C31" s="4" t="s">
        <v>178</v>
      </c>
      <c r="D31" s="4" t="s">
        <v>221</v>
      </c>
      <c r="E31" s="4" t="s">
        <v>88</v>
      </c>
      <c r="F31" s="4" t="s">
        <v>180</v>
      </c>
      <c r="G31" s="4" t="s">
        <v>29</v>
      </c>
      <c r="H31" s="4" t="s">
        <v>130</v>
      </c>
      <c r="I31" s="9">
        <v>42916</v>
      </c>
      <c r="J31" s="11">
        <v>-1</v>
      </c>
      <c r="K31" s="4" t="s">
        <v>184</v>
      </c>
      <c r="L31" s="11">
        <v>3611.92</v>
      </c>
      <c r="M31" s="11">
        <v>-3611.92</v>
      </c>
      <c r="N31" s="4" t="s">
        <v>8</v>
      </c>
      <c r="O31" s="5">
        <v>5637367199</v>
      </c>
      <c r="P31" s="11">
        <f>_xll.AtlasFormulas.AtlasFunctions.AtlasBalance("UAT",DataAreaId,"T.MarkupTrans","Sum|Posted|0","","","","","","","MarkupCode|TransRecId|TransTableId","TPP",$O31,"64")</f>
        <v>0</v>
      </c>
    </row>
    <row r="32" spans="1:16" x14ac:dyDescent="0.25">
      <c r="A32" s="4" t="s">
        <v>116</v>
      </c>
      <c r="B32" s="4" t="s">
        <v>213</v>
      </c>
      <c r="C32" s="4" t="s">
        <v>178</v>
      </c>
      <c r="D32" s="4" t="s">
        <v>222</v>
      </c>
      <c r="E32" s="4" t="s">
        <v>87</v>
      </c>
      <c r="F32" s="4" t="s">
        <v>180</v>
      </c>
      <c r="G32" s="4" t="s">
        <v>29</v>
      </c>
      <c r="H32" s="4" t="s">
        <v>130</v>
      </c>
      <c r="I32" s="9">
        <v>42916</v>
      </c>
      <c r="J32" s="11">
        <v>1</v>
      </c>
      <c r="K32" s="4" t="s">
        <v>184</v>
      </c>
      <c r="L32" s="11">
        <v>3611.92</v>
      </c>
      <c r="M32" s="11">
        <v>3611.92</v>
      </c>
      <c r="N32" s="4" t="s">
        <v>8</v>
      </c>
      <c r="O32" s="5">
        <v>5637367197</v>
      </c>
      <c r="P32" s="11">
        <f>_xll.AtlasFormulas.AtlasFunctions.AtlasBalance("UAT",DataAreaId,"T.MarkupTrans","Sum|Posted|0","","","","","","","MarkupCode|TransRecId|TransTableId","TPP",$O32,"64")</f>
        <v>0</v>
      </c>
    </row>
    <row r="33" spans="1:16" x14ac:dyDescent="0.25">
      <c r="A33" s="4" t="s">
        <v>116</v>
      </c>
      <c r="B33" s="4" t="s">
        <v>229</v>
      </c>
      <c r="C33" s="4" t="s">
        <v>230</v>
      </c>
      <c r="D33" s="4" t="s">
        <v>231</v>
      </c>
      <c r="E33" s="4" t="s">
        <v>53</v>
      </c>
      <c r="F33" s="4" t="s">
        <v>180</v>
      </c>
      <c r="G33" s="4" t="s">
        <v>31</v>
      </c>
      <c r="H33" s="4" t="s">
        <v>131</v>
      </c>
      <c r="I33" s="9">
        <v>42884</v>
      </c>
      <c r="J33" s="11">
        <v>1</v>
      </c>
      <c r="K33" s="4" t="s">
        <v>184</v>
      </c>
      <c r="L33" s="11">
        <v>10179.880000000001</v>
      </c>
      <c r="M33" s="11">
        <v>10179.880000000001</v>
      </c>
      <c r="N33" s="4" t="s">
        <v>8</v>
      </c>
      <c r="O33" s="5">
        <v>5637364311</v>
      </c>
      <c r="P33" s="11">
        <f>_xll.AtlasFormulas.AtlasFunctions.AtlasBalance("UAT",DataAreaId,"T.MarkupTrans","Sum|Posted|0","","","","","","","MarkupCode|TransRecId|TransTableId","TPP",$O33,"64")</f>
        <v>0</v>
      </c>
    </row>
    <row r="34" spans="1:16" x14ac:dyDescent="0.25">
      <c r="A34" s="4" t="s">
        <v>116</v>
      </c>
      <c r="B34" s="4" t="s">
        <v>227</v>
      </c>
      <c r="C34" s="4" t="s">
        <v>203</v>
      </c>
      <c r="D34" s="4" t="s">
        <v>228</v>
      </c>
      <c r="E34" s="4" t="s">
        <v>52</v>
      </c>
      <c r="F34" s="4" t="s">
        <v>180</v>
      </c>
      <c r="G34" s="4" t="s">
        <v>31</v>
      </c>
      <c r="H34" s="4" t="s">
        <v>131</v>
      </c>
      <c r="I34" s="9">
        <v>42884</v>
      </c>
      <c r="J34" s="11">
        <v>1</v>
      </c>
      <c r="K34" s="4" t="s">
        <v>184</v>
      </c>
      <c r="L34" s="11">
        <v>14117.88</v>
      </c>
      <c r="M34" s="11">
        <v>14117.88</v>
      </c>
      <c r="N34" s="4" t="s">
        <v>8</v>
      </c>
      <c r="O34" s="5">
        <v>5637364297</v>
      </c>
      <c r="P34" s="11">
        <f>_xll.AtlasFormulas.AtlasFunctions.AtlasBalance("UAT",DataAreaId,"T.MarkupTrans","Sum|Posted|0","","","","","","","MarkupCode|TransRecId|TransTableId","TPP",$O34,"64")</f>
        <v>0</v>
      </c>
    </row>
    <row r="35" spans="1:16" x14ac:dyDescent="0.25">
      <c r="A35" s="4" t="s">
        <v>116</v>
      </c>
      <c r="B35" s="4" t="s">
        <v>227</v>
      </c>
      <c r="C35" s="4" t="s">
        <v>203</v>
      </c>
      <c r="D35" s="4" t="s">
        <v>232</v>
      </c>
      <c r="E35" s="4" t="s">
        <v>80</v>
      </c>
      <c r="F35" s="4" t="s">
        <v>180</v>
      </c>
      <c r="G35" s="4" t="s">
        <v>31</v>
      </c>
      <c r="H35" s="4" t="s">
        <v>131</v>
      </c>
      <c r="I35" s="9">
        <v>42915</v>
      </c>
      <c r="J35" s="11">
        <v>1</v>
      </c>
      <c r="K35" s="4" t="s">
        <v>184</v>
      </c>
      <c r="L35" s="11">
        <v>19556.189999999999</v>
      </c>
      <c r="M35" s="11">
        <v>19556.189999999999</v>
      </c>
      <c r="N35" s="4" t="s">
        <v>8</v>
      </c>
      <c r="O35" s="5">
        <v>5637366999</v>
      </c>
      <c r="P35" s="11">
        <f>_xll.AtlasFormulas.AtlasFunctions.AtlasBalance("UAT",DataAreaId,"T.MarkupTrans","Sum|Posted|0","","","","","","","MarkupCode|TransRecId|TransTableId","TPP",$O35,"64")</f>
        <v>0</v>
      </c>
    </row>
    <row r="36" spans="1:16" x14ac:dyDescent="0.25">
      <c r="A36" s="4" t="s">
        <v>116</v>
      </c>
      <c r="B36" s="4" t="s">
        <v>229</v>
      </c>
      <c r="C36" s="4" t="s">
        <v>230</v>
      </c>
      <c r="D36" s="4" t="s">
        <v>233</v>
      </c>
      <c r="E36" s="4" t="s">
        <v>82</v>
      </c>
      <c r="F36" s="4" t="s">
        <v>180</v>
      </c>
      <c r="G36" s="4" t="s">
        <v>31</v>
      </c>
      <c r="H36" s="4" t="s">
        <v>131</v>
      </c>
      <c r="I36" s="9">
        <v>42916</v>
      </c>
      <c r="J36" s="11">
        <v>1</v>
      </c>
      <c r="K36" s="4" t="s">
        <v>184</v>
      </c>
      <c r="L36" s="11">
        <v>9979.2900000000009</v>
      </c>
      <c r="M36" s="11">
        <v>9979.2900000000009</v>
      </c>
      <c r="N36" s="4" t="s">
        <v>8</v>
      </c>
      <c r="O36" s="5">
        <v>5637367105</v>
      </c>
      <c r="P36" s="11">
        <f>_xll.AtlasFormulas.AtlasFunctions.AtlasBalance("UAT",DataAreaId,"T.MarkupTrans","Sum|Posted|0","","","","","","","MarkupCode|TransRecId|TransTableId","TPP",$O36,"64")</f>
        <v>0</v>
      </c>
    </row>
    <row r="37" spans="1:16" x14ac:dyDescent="0.25">
      <c r="A37" s="4" t="s">
        <v>116</v>
      </c>
      <c r="B37" s="4" t="s">
        <v>229</v>
      </c>
      <c r="C37" s="4" t="s">
        <v>230</v>
      </c>
      <c r="D37" s="4" t="s">
        <v>234</v>
      </c>
      <c r="E37" s="4" t="s">
        <v>102</v>
      </c>
      <c r="F37" s="4" t="s">
        <v>180</v>
      </c>
      <c r="G37" s="4" t="s">
        <v>31</v>
      </c>
      <c r="H37" s="4" t="s">
        <v>131</v>
      </c>
      <c r="I37" s="9">
        <v>42943</v>
      </c>
      <c r="J37" s="11">
        <v>1</v>
      </c>
      <c r="K37" s="4" t="s">
        <v>184</v>
      </c>
      <c r="L37" s="11">
        <v>8428.26</v>
      </c>
      <c r="M37" s="11">
        <v>8428.26</v>
      </c>
      <c r="N37" s="4" t="s">
        <v>8</v>
      </c>
      <c r="O37" s="5">
        <v>5637369408</v>
      </c>
      <c r="P37" s="11">
        <f>_xll.AtlasFormulas.AtlasFunctions.AtlasBalance("UAT",DataAreaId,"T.MarkupTrans","Sum|Posted|0","","","","","","","MarkupCode|TransRecId|TransTableId","TPP",$O37,"64")</f>
        <v>0</v>
      </c>
    </row>
    <row r="38" spans="1:16" x14ac:dyDescent="0.25">
      <c r="A38" s="4" t="s">
        <v>116</v>
      </c>
      <c r="B38" s="4" t="s">
        <v>227</v>
      </c>
      <c r="C38" s="4" t="s">
        <v>203</v>
      </c>
      <c r="D38" s="4" t="s">
        <v>235</v>
      </c>
      <c r="E38" s="4" t="s">
        <v>103</v>
      </c>
      <c r="F38" s="4" t="s">
        <v>180</v>
      </c>
      <c r="G38" s="4" t="s">
        <v>31</v>
      </c>
      <c r="H38" s="4" t="s">
        <v>131</v>
      </c>
      <c r="I38" s="9">
        <v>42943</v>
      </c>
      <c r="J38" s="11">
        <v>1</v>
      </c>
      <c r="K38" s="4" t="s">
        <v>184</v>
      </c>
      <c r="L38" s="11">
        <v>13056.45</v>
      </c>
      <c r="M38" s="11">
        <v>13056.45</v>
      </c>
      <c r="N38" s="4" t="s">
        <v>8</v>
      </c>
      <c r="O38" s="5">
        <v>5637369415</v>
      </c>
      <c r="P38" s="11">
        <f>_xll.AtlasFormulas.AtlasFunctions.AtlasBalance("UAT",DataAreaId,"T.MarkupTrans","Sum|Posted|0","","","","","","","MarkupCode|TransRecId|TransTableId","TPP",$O38,"64")</f>
        <v>0</v>
      </c>
    </row>
    <row r="39" spans="1:16" x14ac:dyDescent="0.25">
      <c r="A39" s="4" t="s">
        <v>116</v>
      </c>
      <c r="B39" s="4" t="s">
        <v>215</v>
      </c>
      <c r="C39" s="4" t="s">
        <v>192</v>
      </c>
      <c r="D39" s="4" t="s">
        <v>237</v>
      </c>
      <c r="E39" s="4" t="s">
        <v>63</v>
      </c>
      <c r="F39" s="4" t="s">
        <v>180</v>
      </c>
      <c r="G39" s="4" t="s">
        <v>28</v>
      </c>
      <c r="H39" s="4" t="s">
        <v>132</v>
      </c>
      <c r="I39" s="9">
        <v>42895</v>
      </c>
      <c r="J39" s="11">
        <v>-1</v>
      </c>
      <c r="K39" s="4" t="s">
        <v>184</v>
      </c>
      <c r="L39" s="11">
        <v>558.71</v>
      </c>
      <c r="M39" s="11">
        <v>-558.71</v>
      </c>
      <c r="N39" s="4" t="s">
        <v>8</v>
      </c>
      <c r="O39" s="5">
        <v>5637365045</v>
      </c>
      <c r="P39" s="11">
        <f>_xll.AtlasFormulas.AtlasFunctions.AtlasBalance("UAT",DataAreaId,"T.MarkupTrans","Sum|Posted|0","","","","","","","MarkupCode|TransRecId|TransTableId","TPP",$O39,"64")</f>
        <v>0</v>
      </c>
    </row>
    <row r="40" spans="1:16" x14ac:dyDescent="0.25">
      <c r="A40" s="4" t="s">
        <v>116</v>
      </c>
      <c r="B40" s="4" t="s">
        <v>175</v>
      </c>
      <c r="C40" s="4" t="s">
        <v>177</v>
      </c>
      <c r="D40" s="4" t="s">
        <v>236</v>
      </c>
      <c r="E40" s="4" t="s">
        <v>64</v>
      </c>
      <c r="F40" s="4" t="s">
        <v>180</v>
      </c>
      <c r="G40" s="4" t="s">
        <v>28</v>
      </c>
      <c r="H40" s="4" t="s">
        <v>132</v>
      </c>
      <c r="I40" s="9">
        <v>42895</v>
      </c>
      <c r="J40" s="11">
        <v>1</v>
      </c>
      <c r="K40" s="4" t="s">
        <v>184</v>
      </c>
      <c r="L40" s="11">
        <v>7579.1</v>
      </c>
      <c r="M40" s="11">
        <v>7579.1</v>
      </c>
      <c r="N40" s="4" t="s">
        <v>8</v>
      </c>
      <c r="O40" s="5">
        <v>5637365062</v>
      </c>
      <c r="P40" s="11">
        <f>_xll.AtlasFormulas.AtlasFunctions.AtlasBalance("UAT",DataAreaId,"T.MarkupTrans","Sum|Posted|0","","","","","","","MarkupCode|TransRecId|TransTableId","TPP",$O40,"64")</f>
        <v>0</v>
      </c>
    </row>
    <row r="41" spans="1:16" x14ac:dyDescent="0.25">
      <c r="A41" s="4" t="s">
        <v>116</v>
      </c>
      <c r="B41" s="4" t="s">
        <v>175</v>
      </c>
      <c r="C41" s="4" t="s">
        <v>177</v>
      </c>
      <c r="D41" s="4" t="s">
        <v>238</v>
      </c>
      <c r="E41" s="4" t="s">
        <v>74</v>
      </c>
      <c r="F41" s="4" t="s">
        <v>180</v>
      </c>
      <c r="G41" s="4" t="s">
        <v>28</v>
      </c>
      <c r="H41" s="4" t="s">
        <v>132</v>
      </c>
      <c r="I41" s="9">
        <v>42908</v>
      </c>
      <c r="J41" s="11">
        <v>1</v>
      </c>
      <c r="K41" s="4" t="s">
        <v>184</v>
      </c>
      <c r="L41" s="11">
        <v>12950.28</v>
      </c>
      <c r="M41" s="11">
        <v>12950.28</v>
      </c>
      <c r="N41" s="4" t="s">
        <v>8</v>
      </c>
      <c r="O41" s="5">
        <v>5637365638</v>
      </c>
      <c r="P41" s="11">
        <f>_xll.AtlasFormulas.AtlasFunctions.AtlasBalance("UAT",DataAreaId,"T.MarkupTrans","Sum|Posted|0","","","","","","","MarkupCode|TransRecId|TransTableId","TPP",$O41,"64")</f>
        <v>0</v>
      </c>
    </row>
    <row r="42" spans="1:16" x14ac:dyDescent="0.25">
      <c r="A42" s="4" t="s">
        <v>116</v>
      </c>
      <c r="B42" s="4" t="s">
        <v>215</v>
      </c>
      <c r="C42" s="4" t="s">
        <v>192</v>
      </c>
      <c r="D42" s="4" t="s">
        <v>241</v>
      </c>
      <c r="E42" s="4" t="s">
        <v>77</v>
      </c>
      <c r="F42" s="4" t="s">
        <v>180</v>
      </c>
      <c r="G42" s="4" t="s">
        <v>28</v>
      </c>
      <c r="H42" s="4" t="s">
        <v>132</v>
      </c>
      <c r="I42" s="9">
        <v>42908</v>
      </c>
      <c r="J42" s="11">
        <v>1</v>
      </c>
      <c r="K42" s="4" t="s">
        <v>184</v>
      </c>
      <c r="L42" s="11">
        <v>2293.58</v>
      </c>
      <c r="M42" s="11">
        <v>2293.58</v>
      </c>
      <c r="N42" s="4" t="s">
        <v>8</v>
      </c>
      <c r="O42" s="5">
        <v>5637365642</v>
      </c>
      <c r="P42" s="11">
        <f>_xll.AtlasFormulas.AtlasFunctions.AtlasBalance("UAT",DataAreaId,"T.MarkupTrans","Sum|Posted|0","","","","","","","MarkupCode|TransRecId|TransTableId","TPP",$O42,"64")</f>
        <v>0</v>
      </c>
    </row>
    <row r="43" spans="1:16" x14ac:dyDescent="0.25">
      <c r="A43" s="4" t="s">
        <v>116</v>
      </c>
      <c r="B43" s="4" t="s">
        <v>239</v>
      </c>
      <c r="C43" s="4" t="s">
        <v>176</v>
      </c>
      <c r="D43" s="4" t="s">
        <v>240</v>
      </c>
      <c r="E43" s="4" t="s">
        <v>76</v>
      </c>
      <c r="F43" s="4" t="s">
        <v>180</v>
      </c>
      <c r="G43" s="4" t="s">
        <v>28</v>
      </c>
      <c r="H43" s="4" t="s">
        <v>132</v>
      </c>
      <c r="I43" s="9">
        <v>42908</v>
      </c>
      <c r="J43" s="11">
        <v>1</v>
      </c>
      <c r="K43" s="4" t="s">
        <v>184</v>
      </c>
      <c r="L43" s="11">
        <v>1834.86</v>
      </c>
      <c r="M43" s="11">
        <v>1834.86</v>
      </c>
      <c r="N43" s="4" t="s">
        <v>8</v>
      </c>
      <c r="O43" s="5">
        <v>5637365640</v>
      </c>
      <c r="P43" s="11">
        <f>_xll.AtlasFormulas.AtlasFunctions.AtlasBalance("UAT",DataAreaId,"T.MarkupTrans","Sum|Posted|0","","","","","","","MarkupCode|TransRecId|TransTableId","TPP",$O43,"64")</f>
        <v>0</v>
      </c>
    </row>
    <row r="44" spans="1:16" x14ac:dyDescent="0.25">
      <c r="A44" s="4" t="s">
        <v>116</v>
      </c>
      <c r="B44" s="4" t="s">
        <v>239</v>
      </c>
      <c r="C44" s="4" t="s">
        <v>176</v>
      </c>
      <c r="D44" s="4" t="s">
        <v>243</v>
      </c>
      <c r="E44" s="4" t="s">
        <v>58</v>
      </c>
      <c r="F44" s="4" t="s">
        <v>180</v>
      </c>
      <c r="G44" s="4" t="s">
        <v>19</v>
      </c>
      <c r="H44" s="4" t="s">
        <v>133</v>
      </c>
      <c r="I44" s="9">
        <v>42886</v>
      </c>
      <c r="J44" s="11">
        <v>1</v>
      </c>
      <c r="K44" s="4" t="s">
        <v>184</v>
      </c>
      <c r="L44" s="11">
        <v>3910</v>
      </c>
      <c r="M44" s="11">
        <v>3910</v>
      </c>
      <c r="N44" s="4" t="s">
        <v>8</v>
      </c>
      <c r="O44" s="5">
        <v>5637364683</v>
      </c>
      <c r="P44" s="11">
        <f>_xll.AtlasFormulas.AtlasFunctions.AtlasBalance("UAT",DataAreaId,"T.MarkupTrans","Sum|Posted|0","","","","","","","MarkupCode|TransRecId|TransTableId","TPP",$O44,"64")</f>
        <v>0</v>
      </c>
    </row>
    <row r="45" spans="1:16" x14ac:dyDescent="0.25">
      <c r="A45" s="4" t="s">
        <v>116</v>
      </c>
      <c r="B45" s="4" t="s">
        <v>224</v>
      </c>
      <c r="C45" s="4" t="s">
        <v>225</v>
      </c>
      <c r="D45" s="4" t="s">
        <v>247</v>
      </c>
      <c r="E45" s="4" t="s">
        <v>59</v>
      </c>
      <c r="F45" s="4" t="s">
        <v>180</v>
      </c>
      <c r="G45" s="4" t="s">
        <v>19</v>
      </c>
      <c r="H45" s="4" t="s">
        <v>133</v>
      </c>
      <c r="I45" s="9">
        <v>42886</v>
      </c>
      <c r="J45" s="11">
        <v>1</v>
      </c>
      <c r="K45" s="4" t="s">
        <v>184</v>
      </c>
      <c r="L45" s="11">
        <v>4356</v>
      </c>
      <c r="M45" s="11">
        <v>4356</v>
      </c>
      <c r="N45" s="4" t="s">
        <v>8</v>
      </c>
      <c r="O45" s="5">
        <v>5637364721</v>
      </c>
      <c r="P45" s="11">
        <f>_xll.AtlasFormulas.AtlasFunctions.AtlasBalance("UAT",DataAreaId,"T.MarkupTrans","Sum|Posted|0","","","","","","","MarkupCode|TransRecId|TransTableId","TPP",$O45,"64")</f>
        <v>0</v>
      </c>
    </row>
    <row r="46" spans="1:16" x14ac:dyDescent="0.25">
      <c r="A46" s="4" t="s">
        <v>116</v>
      </c>
      <c r="B46" s="4" t="s">
        <v>215</v>
      </c>
      <c r="C46" s="4" t="s">
        <v>192</v>
      </c>
      <c r="D46" s="4" t="s">
        <v>242</v>
      </c>
      <c r="E46" s="4" t="s">
        <v>55</v>
      </c>
      <c r="F46" s="4" t="s">
        <v>180</v>
      </c>
      <c r="G46" s="4" t="s">
        <v>19</v>
      </c>
      <c r="H46" s="4" t="s">
        <v>133</v>
      </c>
      <c r="I46" s="9">
        <v>42886</v>
      </c>
      <c r="J46" s="11">
        <v>1</v>
      </c>
      <c r="K46" s="4" t="s">
        <v>184</v>
      </c>
      <c r="L46" s="11">
        <v>2429</v>
      </c>
      <c r="M46" s="11">
        <v>2429</v>
      </c>
      <c r="N46" s="4" t="s">
        <v>8</v>
      </c>
      <c r="O46" s="5">
        <v>5637364594</v>
      </c>
      <c r="P46" s="11">
        <f>_xll.AtlasFormulas.AtlasFunctions.AtlasBalance("UAT",DataAreaId,"T.MarkupTrans","Sum|Posted|0","","","","","","","MarkupCode|TransRecId|TransTableId","TPP",$O46,"64")</f>
        <v>0</v>
      </c>
    </row>
    <row r="47" spans="1:16" x14ac:dyDescent="0.25">
      <c r="A47" s="4" t="s">
        <v>116</v>
      </c>
      <c r="B47" s="4" t="s">
        <v>175</v>
      </c>
      <c r="C47" s="4" t="s">
        <v>177</v>
      </c>
      <c r="D47" s="4" t="s">
        <v>246</v>
      </c>
      <c r="E47" s="4" t="s">
        <v>57</v>
      </c>
      <c r="F47" s="4" t="s">
        <v>180</v>
      </c>
      <c r="G47" s="4" t="s">
        <v>19</v>
      </c>
      <c r="H47" s="4" t="s">
        <v>133</v>
      </c>
      <c r="I47" s="9">
        <v>42886</v>
      </c>
      <c r="J47" s="11">
        <v>1</v>
      </c>
      <c r="K47" s="4" t="s">
        <v>184</v>
      </c>
      <c r="L47" s="11">
        <v>4926</v>
      </c>
      <c r="M47" s="11">
        <v>4926</v>
      </c>
      <c r="N47" s="4" t="s">
        <v>8</v>
      </c>
      <c r="O47" s="5">
        <v>5637364645</v>
      </c>
      <c r="P47" s="11">
        <f>_xll.AtlasFormulas.AtlasFunctions.AtlasBalance("UAT",DataAreaId,"T.MarkupTrans","Sum|Posted|0","","","","","","","MarkupCode|TransRecId|TransTableId","TPP",$O47,"64")</f>
        <v>0</v>
      </c>
    </row>
    <row r="48" spans="1:16" x14ac:dyDescent="0.25">
      <c r="A48" s="4" t="s">
        <v>116</v>
      </c>
      <c r="B48" s="4" t="s">
        <v>244</v>
      </c>
      <c r="C48" s="4" t="s">
        <v>193</v>
      </c>
      <c r="D48" s="4" t="s">
        <v>245</v>
      </c>
      <c r="E48" s="4" t="s">
        <v>61</v>
      </c>
      <c r="F48" s="4" t="s">
        <v>180</v>
      </c>
      <c r="G48" s="4" t="s">
        <v>19</v>
      </c>
      <c r="H48" s="4" t="s">
        <v>133</v>
      </c>
      <c r="I48" s="9">
        <v>42886</v>
      </c>
      <c r="J48" s="11">
        <v>1</v>
      </c>
      <c r="K48" s="4" t="s">
        <v>184</v>
      </c>
      <c r="L48" s="11">
        <v>3007</v>
      </c>
      <c r="M48" s="11">
        <v>3007</v>
      </c>
      <c r="N48" s="4" t="s">
        <v>8</v>
      </c>
      <c r="O48" s="5">
        <v>5637364763</v>
      </c>
      <c r="P48" s="11">
        <f>_xll.AtlasFormulas.AtlasFunctions.AtlasBalance("UAT",DataAreaId,"T.MarkupTrans","Sum|Posted|0","","","","","","","MarkupCode|TransRecId|TransTableId","TPP",$O48,"64")</f>
        <v>0</v>
      </c>
    </row>
    <row r="49" spans="1:16" x14ac:dyDescent="0.25">
      <c r="A49" s="4" t="s">
        <v>116</v>
      </c>
      <c r="B49" s="4" t="s">
        <v>213</v>
      </c>
      <c r="C49" s="4" t="s">
        <v>178</v>
      </c>
      <c r="D49" s="4" t="s">
        <v>248</v>
      </c>
      <c r="E49" s="4" t="s">
        <v>62</v>
      </c>
      <c r="F49" s="4" t="s">
        <v>180</v>
      </c>
      <c r="G49" s="4" t="s">
        <v>19</v>
      </c>
      <c r="H49" s="4" t="s">
        <v>133</v>
      </c>
      <c r="I49" s="9">
        <v>42886</v>
      </c>
      <c r="J49" s="11">
        <v>1</v>
      </c>
      <c r="K49" s="4" t="s">
        <v>184</v>
      </c>
      <c r="L49" s="11">
        <v>1485</v>
      </c>
      <c r="M49" s="11">
        <v>1485</v>
      </c>
      <c r="N49" s="4" t="s">
        <v>8</v>
      </c>
      <c r="O49" s="5">
        <v>5637364797</v>
      </c>
      <c r="P49" s="11">
        <f>_xll.AtlasFormulas.AtlasFunctions.AtlasBalance("UAT",DataAreaId,"T.MarkupTrans","Sum|Posted|0","","","","","","","MarkupCode|TransRecId|TransTableId","TPP",$O49,"64")</f>
        <v>0</v>
      </c>
    </row>
    <row r="50" spans="1:16" x14ac:dyDescent="0.25">
      <c r="A50" s="4" t="s">
        <v>116</v>
      </c>
      <c r="B50" s="4" t="s">
        <v>213</v>
      </c>
      <c r="C50" s="4" t="s">
        <v>178</v>
      </c>
      <c r="D50" s="4" t="s">
        <v>250</v>
      </c>
      <c r="E50" s="4" t="s">
        <v>90</v>
      </c>
      <c r="F50" s="4" t="s">
        <v>180</v>
      </c>
      <c r="G50" s="4" t="s">
        <v>19</v>
      </c>
      <c r="H50" s="4" t="s">
        <v>133</v>
      </c>
      <c r="I50" s="9">
        <v>42916</v>
      </c>
      <c r="J50" s="11">
        <v>1</v>
      </c>
      <c r="K50" s="4" t="s">
        <v>184</v>
      </c>
      <c r="L50" s="11">
        <v>5156</v>
      </c>
      <c r="M50" s="11">
        <v>5156</v>
      </c>
      <c r="N50" s="4" t="s">
        <v>8</v>
      </c>
      <c r="O50" s="5">
        <v>5637367244</v>
      </c>
      <c r="P50" s="11">
        <f>_xll.AtlasFormulas.AtlasFunctions.AtlasBalance("UAT",DataAreaId,"T.MarkupTrans","Sum|Posted|0","","","","","","","MarkupCode|TransRecId|TransTableId","TPP",$O50,"64")</f>
        <v>0</v>
      </c>
    </row>
    <row r="51" spans="1:16" x14ac:dyDescent="0.25">
      <c r="A51" s="4" t="s">
        <v>116</v>
      </c>
      <c r="B51" s="4" t="s">
        <v>244</v>
      </c>
      <c r="C51" s="4" t="s">
        <v>193</v>
      </c>
      <c r="D51" s="4" t="s">
        <v>249</v>
      </c>
      <c r="E51" s="4" t="s">
        <v>91</v>
      </c>
      <c r="F51" s="4" t="s">
        <v>180</v>
      </c>
      <c r="G51" s="4" t="s">
        <v>19</v>
      </c>
      <c r="H51" s="4" t="s">
        <v>133</v>
      </c>
      <c r="I51" s="9">
        <v>42916</v>
      </c>
      <c r="J51" s="11">
        <v>1</v>
      </c>
      <c r="K51" s="4" t="s">
        <v>184</v>
      </c>
      <c r="L51" s="11">
        <v>10401</v>
      </c>
      <c r="M51" s="11">
        <v>10401</v>
      </c>
      <c r="N51" s="4" t="s">
        <v>8</v>
      </c>
      <c r="O51" s="5">
        <v>5637367278</v>
      </c>
      <c r="P51" s="11">
        <f>_xll.AtlasFormulas.AtlasFunctions.AtlasBalance("UAT",DataAreaId,"T.MarkupTrans","Sum|Posted|0","","","","","","","MarkupCode|TransRecId|TransTableId","TPP",$O51,"64")</f>
        <v>0</v>
      </c>
    </row>
    <row r="52" spans="1:16" x14ac:dyDescent="0.25">
      <c r="A52" s="4" t="s">
        <v>116</v>
      </c>
      <c r="B52" s="4" t="s">
        <v>175</v>
      </c>
      <c r="C52" s="4" t="s">
        <v>177</v>
      </c>
      <c r="D52" s="4" t="s">
        <v>252</v>
      </c>
      <c r="E52" s="4" t="s">
        <v>95</v>
      </c>
      <c r="F52" s="4" t="s">
        <v>180</v>
      </c>
      <c r="G52" s="4" t="s">
        <v>19</v>
      </c>
      <c r="H52" s="4" t="s">
        <v>133</v>
      </c>
      <c r="I52" s="9">
        <v>42916</v>
      </c>
      <c r="J52" s="11">
        <v>1</v>
      </c>
      <c r="K52" s="4" t="s">
        <v>184</v>
      </c>
      <c r="L52" s="11">
        <v>10685</v>
      </c>
      <c r="M52" s="11">
        <v>10685</v>
      </c>
      <c r="N52" s="4" t="s">
        <v>8</v>
      </c>
      <c r="O52" s="5">
        <v>5637367398</v>
      </c>
      <c r="P52" s="11">
        <f>_xll.AtlasFormulas.AtlasFunctions.AtlasBalance("UAT",DataAreaId,"T.MarkupTrans","Sum|Posted|0","","","","","","","MarkupCode|TransRecId|TransTableId","TPP",$O52,"64")</f>
        <v>0</v>
      </c>
    </row>
    <row r="53" spans="1:16" x14ac:dyDescent="0.25">
      <c r="A53" s="4" t="s">
        <v>116</v>
      </c>
      <c r="B53" s="4" t="s">
        <v>215</v>
      </c>
      <c r="C53" s="4" t="s">
        <v>192</v>
      </c>
      <c r="D53" s="4" t="s">
        <v>253</v>
      </c>
      <c r="E53" s="4" t="s">
        <v>92</v>
      </c>
      <c r="F53" s="4" t="s">
        <v>180</v>
      </c>
      <c r="G53" s="4" t="s">
        <v>19</v>
      </c>
      <c r="H53" s="4" t="s">
        <v>133</v>
      </c>
      <c r="I53" s="9">
        <v>42916</v>
      </c>
      <c r="J53" s="11">
        <v>1</v>
      </c>
      <c r="K53" s="4" t="s">
        <v>184</v>
      </c>
      <c r="L53" s="11">
        <v>4167</v>
      </c>
      <c r="M53" s="11">
        <v>4167</v>
      </c>
      <c r="N53" s="4" t="s">
        <v>8</v>
      </c>
      <c r="O53" s="5">
        <v>5637367312</v>
      </c>
      <c r="P53" s="11">
        <f>_xll.AtlasFormulas.AtlasFunctions.AtlasBalance("UAT",DataAreaId,"T.MarkupTrans","Sum|Posted|0","","","","","","","MarkupCode|TransRecId|TransTableId","TPP",$O53,"64")</f>
        <v>0</v>
      </c>
    </row>
    <row r="54" spans="1:16" x14ac:dyDescent="0.25">
      <c r="A54" s="4" t="s">
        <v>116</v>
      </c>
      <c r="B54" s="4" t="s">
        <v>224</v>
      </c>
      <c r="C54" s="4" t="s">
        <v>225</v>
      </c>
      <c r="D54" s="4" t="s">
        <v>251</v>
      </c>
      <c r="E54" s="4" t="s">
        <v>93</v>
      </c>
      <c r="F54" s="4" t="s">
        <v>180</v>
      </c>
      <c r="G54" s="4" t="s">
        <v>19</v>
      </c>
      <c r="H54" s="4" t="s">
        <v>133</v>
      </c>
      <c r="I54" s="9">
        <v>42916</v>
      </c>
      <c r="J54" s="11">
        <v>1</v>
      </c>
      <c r="K54" s="4" t="s">
        <v>184</v>
      </c>
      <c r="L54" s="11">
        <v>11861</v>
      </c>
      <c r="M54" s="11">
        <v>11861</v>
      </c>
      <c r="N54" s="4" t="s">
        <v>8</v>
      </c>
      <c r="O54" s="5">
        <v>5637367350</v>
      </c>
      <c r="P54" s="11">
        <f>_xll.AtlasFormulas.AtlasFunctions.AtlasBalance("UAT",DataAreaId,"T.MarkupTrans","Sum|Posted|0","","","","","","","MarkupCode|TransRecId|TransTableId","TPP",$O54,"64")</f>
        <v>0</v>
      </c>
    </row>
    <row r="55" spans="1:16" x14ac:dyDescent="0.25">
      <c r="A55" s="4" t="s">
        <v>116</v>
      </c>
      <c r="B55" s="4" t="s">
        <v>239</v>
      </c>
      <c r="C55" s="4" t="s">
        <v>176</v>
      </c>
      <c r="D55" s="4" t="s">
        <v>254</v>
      </c>
      <c r="E55" s="4" t="s">
        <v>96</v>
      </c>
      <c r="F55" s="4" t="s">
        <v>180</v>
      </c>
      <c r="G55" s="4" t="s">
        <v>19</v>
      </c>
      <c r="H55" s="4" t="s">
        <v>133</v>
      </c>
      <c r="I55" s="9">
        <v>42916</v>
      </c>
      <c r="J55" s="11">
        <v>1</v>
      </c>
      <c r="K55" s="4" t="s">
        <v>184</v>
      </c>
      <c r="L55" s="11">
        <v>5863</v>
      </c>
      <c r="M55" s="11">
        <v>5863</v>
      </c>
      <c r="N55" s="4" t="s">
        <v>8</v>
      </c>
      <c r="O55" s="5">
        <v>5637367436</v>
      </c>
      <c r="P55" s="11">
        <f>_xll.AtlasFormulas.AtlasFunctions.AtlasBalance("UAT",DataAreaId,"T.MarkupTrans","Sum|Posted|0","","","","","","","MarkupCode|TransRecId|TransTableId","TPP",$O55,"64")</f>
        <v>0</v>
      </c>
    </row>
    <row r="56" spans="1:16" x14ac:dyDescent="0.25">
      <c r="A56" s="4" t="s">
        <v>116</v>
      </c>
      <c r="B56" s="4" t="s">
        <v>239</v>
      </c>
      <c r="C56" s="4" t="s">
        <v>176</v>
      </c>
      <c r="D56" s="4" t="s">
        <v>255</v>
      </c>
      <c r="E56" s="4" t="s">
        <v>111</v>
      </c>
      <c r="F56" s="4" t="s">
        <v>180</v>
      </c>
      <c r="G56" s="4" t="s">
        <v>19</v>
      </c>
      <c r="H56" s="4" t="s">
        <v>133</v>
      </c>
      <c r="I56" s="9">
        <v>42947</v>
      </c>
      <c r="J56" s="11">
        <v>1</v>
      </c>
      <c r="K56" s="4" t="s">
        <v>184</v>
      </c>
      <c r="L56" s="11">
        <v>2185</v>
      </c>
      <c r="M56" s="11">
        <v>2185</v>
      </c>
      <c r="N56" s="4" t="s">
        <v>8</v>
      </c>
      <c r="O56" s="5">
        <v>5637370489</v>
      </c>
      <c r="P56" s="11">
        <f>_xll.AtlasFormulas.AtlasFunctions.AtlasBalance("UAT",DataAreaId,"T.MarkupTrans","Sum|Posted|0","","","","","","","MarkupCode|TransRecId|TransTableId","TPP",$O56,"64")</f>
        <v>0</v>
      </c>
    </row>
    <row r="57" spans="1:16" x14ac:dyDescent="0.25">
      <c r="A57" s="4" t="s">
        <v>116</v>
      </c>
      <c r="B57" s="4" t="s">
        <v>224</v>
      </c>
      <c r="C57" s="4" t="s">
        <v>225</v>
      </c>
      <c r="D57" s="4" t="s">
        <v>258</v>
      </c>
      <c r="E57" s="4" t="s">
        <v>107</v>
      </c>
      <c r="F57" s="4" t="s">
        <v>180</v>
      </c>
      <c r="G57" s="4" t="s">
        <v>19</v>
      </c>
      <c r="H57" s="4" t="s">
        <v>133</v>
      </c>
      <c r="I57" s="9">
        <v>42947</v>
      </c>
      <c r="J57" s="11">
        <v>1</v>
      </c>
      <c r="K57" s="4" t="s">
        <v>184</v>
      </c>
      <c r="L57" s="11">
        <v>5298</v>
      </c>
      <c r="M57" s="11">
        <v>5298</v>
      </c>
      <c r="N57" s="4" t="s">
        <v>8</v>
      </c>
      <c r="O57" s="5">
        <v>5637370393</v>
      </c>
      <c r="P57" s="11">
        <f>_xll.AtlasFormulas.AtlasFunctions.AtlasBalance("UAT",DataAreaId,"T.MarkupTrans","Sum|Posted|0","","","","","","","MarkupCode|TransRecId|TransTableId","TPP",$O57,"64")</f>
        <v>0</v>
      </c>
    </row>
    <row r="58" spans="1:16" x14ac:dyDescent="0.25">
      <c r="A58" s="4" t="s">
        <v>116</v>
      </c>
      <c r="B58" s="4" t="s">
        <v>215</v>
      </c>
      <c r="C58" s="4" t="s">
        <v>192</v>
      </c>
      <c r="D58" s="4" t="s">
        <v>259</v>
      </c>
      <c r="E58" s="4" t="s">
        <v>109</v>
      </c>
      <c r="F58" s="4" t="s">
        <v>180</v>
      </c>
      <c r="G58" s="4" t="s">
        <v>19</v>
      </c>
      <c r="H58" s="4" t="s">
        <v>133</v>
      </c>
      <c r="I58" s="9">
        <v>42947</v>
      </c>
      <c r="J58" s="11">
        <v>-1</v>
      </c>
      <c r="K58" s="4" t="s">
        <v>184</v>
      </c>
      <c r="L58" s="11">
        <v>1578</v>
      </c>
      <c r="M58" s="11">
        <v>-1578</v>
      </c>
      <c r="N58" s="4" t="s">
        <v>8</v>
      </c>
      <c r="O58" s="5">
        <v>5637370441</v>
      </c>
      <c r="P58" s="11">
        <f>_xll.AtlasFormulas.AtlasFunctions.AtlasBalance("UAT",DataAreaId,"T.MarkupTrans","Sum|Posted|0","","","","","","","MarkupCode|TransRecId|TransTableId","TPP",$O58,"64")</f>
        <v>0</v>
      </c>
    </row>
    <row r="59" spans="1:16" x14ac:dyDescent="0.25">
      <c r="A59" s="4" t="s">
        <v>116</v>
      </c>
      <c r="B59" s="4" t="s">
        <v>175</v>
      </c>
      <c r="C59" s="4" t="s">
        <v>177</v>
      </c>
      <c r="D59" s="4" t="s">
        <v>256</v>
      </c>
      <c r="E59" s="4" t="s">
        <v>112</v>
      </c>
      <c r="F59" s="4" t="s">
        <v>180</v>
      </c>
      <c r="G59" s="4" t="s">
        <v>19</v>
      </c>
      <c r="H59" s="4" t="s">
        <v>133</v>
      </c>
      <c r="I59" s="9">
        <v>42947</v>
      </c>
      <c r="J59" s="11">
        <v>1</v>
      </c>
      <c r="K59" s="4" t="s">
        <v>184</v>
      </c>
      <c r="L59" s="11">
        <v>6219</v>
      </c>
      <c r="M59" s="11">
        <v>6219</v>
      </c>
      <c r="N59" s="4" t="s">
        <v>8</v>
      </c>
      <c r="O59" s="5">
        <v>5637370785</v>
      </c>
      <c r="P59" s="11">
        <f>_xll.AtlasFormulas.AtlasFunctions.AtlasBalance("UAT",DataAreaId,"T.MarkupTrans","Sum|Posted|0","","","","","","","MarkupCode|TransRecId|TransTableId","TPP",$O59,"64")</f>
        <v>0</v>
      </c>
    </row>
    <row r="60" spans="1:16" x14ac:dyDescent="0.25">
      <c r="A60" s="4" t="s">
        <v>116</v>
      </c>
      <c r="B60" s="4" t="s">
        <v>244</v>
      </c>
      <c r="C60" s="4" t="s">
        <v>193</v>
      </c>
      <c r="D60" s="4" t="s">
        <v>257</v>
      </c>
      <c r="E60" s="4" t="s">
        <v>106</v>
      </c>
      <c r="F60" s="4" t="s">
        <v>180</v>
      </c>
      <c r="G60" s="4" t="s">
        <v>19</v>
      </c>
      <c r="H60" s="4" t="s">
        <v>133</v>
      </c>
      <c r="I60" s="9">
        <v>42947</v>
      </c>
      <c r="J60" s="11">
        <v>1</v>
      </c>
      <c r="K60" s="4" t="s">
        <v>184</v>
      </c>
      <c r="L60" s="11">
        <v>2361</v>
      </c>
      <c r="M60" s="11">
        <v>2361</v>
      </c>
      <c r="N60" s="4" t="s">
        <v>8</v>
      </c>
      <c r="O60" s="5">
        <v>5637370340</v>
      </c>
      <c r="P60" s="11">
        <f>_xll.AtlasFormulas.AtlasFunctions.AtlasBalance("UAT",DataAreaId,"T.MarkupTrans","Sum|Posted|0","","","","","","","MarkupCode|TransRecId|TransTableId","TPP",$O60,"64")</f>
        <v>0</v>
      </c>
    </row>
    <row r="61" spans="1:16" x14ac:dyDescent="0.25">
      <c r="A61" s="4" t="s">
        <v>116</v>
      </c>
      <c r="B61" s="4" t="s">
        <v>213</v>
      </c>
      <c r="C61" s="4" t="s">
        <v>178</v>
      </c>
      <c r="D61" s="4" t="s">
        <v>260</v>
      </c>
      <c r="E61" s="4" t="s">
        <v>105</v>
      </c>
      <c r="F61" s="4" t="s">
        <v>180</v>
      </c>
      <c r="G61" s="4" t="s">
        <v>19</v>
      </c>
      <c r="H61" s="4" t="s">
        <v>133</v>
      </c>
      <c r="I61" s="9">
        <v>42947</v>
      </c>
      <c r="J61" s="11">
        <v>-1</v>
      </c>
      <c r="K61" s="4" t="s">
        <v>184</v>
      </c>
      <c r="L61" s="11">
        <v>4872</v>
      </c>
      <c r="M61" s="11">
        <v>-4872</v>
      </c>
      <c r="N61" s="4" t="s">
        <v>8</v>
      </c>
      <c r="O61" s="5">
        <v>5637370306</v>
      </c>
      <c r="P61" s="11">
        <f>_xll.AtlasFormulas.AtlasFunctions.AtlasBalance("UAT",DataAreaId,"T.MarkupTrans","Sum|Posted|0","","","","","","","MarkupCode|TransRecId|TransTableId","TPP",$O61,"64")</f>
        <v>0</v>
      </c>
    </row>
    <row r="62" spans="1:16" x14ac:dyDescent="0.25">
      <c r="A62" s="4" t="s">
        <v>116</v>
      </c>
      <c r="B62" s="4" t="s">
        <v>213</v>
      </c>
      <c r="C62" s="4" t="s">
        <v>178</v>
      </c>
      <c r="D62" s="4" t="s">
        <v>248</v>
      </c>
      <c r="E62" s="4" t="s">
        <v>62</v>
      </c>
      <c r="F62" s="4" t="s">
        <v>180</v>
      </c>
      <c r="G62" s="4" t="s">
        <v>25</v>
      </c>
      <c r="H62" s="4" t="s">
        <v>134</v>
      </c>
      <c r="I62" s="9">
        <v>42886</v>
      </c>
      <c r="J62" s="11">
        <v>1</v>
      </c>
      <c r="K62" s="4" t="s">
        <v>184</v>
      </c>
      <c r="L62" s="11">
        <v>98</v>
      </c>
      <c r="M62" s="11">
        <v>98</v>
      </c>
      <c r="N62" s="4" t="s">
        <v>8</v>
      </c>
      <c r="O62" s="5">
        <v>5637364796</v>
      </c>
      <c r="P62" s="11">
        <f>_xll.AtlasFormulas.AtlasFunctions.AtlasBalance("UAT",DataAreaId,"T.MarkupTrans","Sum|Posted|0","","","","","","","MarkupCode|TransRecId|TransTableId","TPP",$O62,"64")</f>
        <v>0</v>
      </c>
    </row>
    <row r="63" spans="1:16" x14ac:dyDescent="0.25">
      <c r="A63" s="4" t="s">
        <v>116</v>
      </c>
      <c r="B63" s="4" t="s">
        <v>244</v>
      </c>
      <c r="C63" s="4" t="s">
        <v>193</v>
      </c>
      <c r="D63" s="4" t="s">
        <v>245</v>
      </c>
      <c r="E63" s="4" t="s">
        <v>61</v>
      </c>
      <c r="F63" s="4" t="s">
        <v>180</v>
      </c>
      <c r="G63" s="4" t="s">
        <v>25</v>
      </c>
      <c r="H63" s="4" t="s">
        <v>134</v>
      </c>
      <c r="I63" s="9">
        <v>42886</v>
      </c>
      <c r="J63" s="11">
        <v>-1</v>
      </c>
      <c r="K63" s="4" t="s">
        <v>184</v>
      </c>
      <c r="L63" s="11">
        <v>3</v>
      </c>
      <c r="M63" s="11">
        <v>-3</v>
      </c>
      <c r="N63" s="4" t="s">
        <v>8</v>
      </c>
      <c r="O63" s="5">
        <v>5637364762</v>
      </c>
      <c r="P63" s="11">
        <f>_xll.AtlasFormulas.AtlasFunctions.AtlasBalance("UAT",DataAreaId,"T.MarkupTrans","Sum|Posted|0","","","","","","","MarkupCode|TransRecId|TransTableId","TPP",$O63,"64")</f>
        <v>0</v>
      </c>
    </row>
    <row r="64" spans="1:16" x14ac:dyDescent="0.25">
      <c r="A64" s="4" t="s">
        <v>116</v>
      </c>
      <c r="B64" s="4" t="s">
        <v>175</v>
      </c>
      <c r="C64" s="4" t="s">
        <v>177</v>
      </c>
      <c r="D64" s="4" t="s">
        <v>246</v>
      </c>
      <c r="E64" s="4" t="s">
        <v>57</v>
      </c>
      <c r="F64" s="4" t="s">
        <v>180</v>
      </c>
      <c r="G64" s="4" t="s">
        <v>25</v>
      </c>
      <c r="H64" s="4" t="s">
        <v>134</v>
      </c>
      <c r="I64" s="9">
        <v>42886</v>
      </c>
      <c r="J64" s="11">
        <v>-1</v>
      </c>
      <c r="K64" s="4" t="s">
        <v>184</v>
      </c>
      <c r="L64" s="11">
        <v>120</v>
      </c>
      <c r="M64" s="11">
        <v>-120</v>
      </c>
      <c r="N64" s="4" t="s">
        <v>8</v>
      </c>
      <c r="O64" s="5">
        <v>5637364644</v>
      </c>
      <c r="P64" s="11">
        <f>_xll.AtlasFormulas.AtlasFunctions.AtlasBalance("UAT",DataAreaId,"T.MarkupTrans","Sum|Posted|0","","","","","","","MarkupCode|TransRecId|TransTableId","TPP",$O64,"64")</f>
        <v>0</v>
      </c>
    </row>
    <row r="65" spans="1:16" x14ac:dyDescent="0.25">
      <c r="A65" s="4" t="s">
        <v>116</v>
      </c>
      <c r="B65" s="4" t="s">
        <v>215</v>
      </c>
      <c r="C65" s="4" t="s">
        <v>192</v>
      </c>
      <c r="D65" s="4" t="s">
        <v>242</v>
      </c>
      <c r="E65" s="4" t="s">
        <v>55</v>
      </c>
      <c r="F65" s="4" t="s">
        <v>180</v>
      </c>
      <c r="G65" s="4" t="s">
        <v>25</v>
      </c>
      <c r="H65" s="4" t="s">
        <v>134</v>
      </c>
      <c r="I65" s="9">
        <v>42886</v>
      </c>
      <c r="J65" s="11">
        <v>1</v>
      </c>
      <c r="K65" s="4" t="s">
        <v>184</v>
      </c>
      <c r="L65" s="11">
        <v>47</v>
      </c>
      <c r="M65" s="11">
        <v>47</v>
      </c>
      <c r="N65" s="4" t="s">
        <v>8</v>
      </c>
      <c r="O65" s="5">
        <v>5637364593</v>
      </c>
      <c r="P65" s="11">
        <f>_xll.AtlasFormulas.AtlasFunctions.AtlasBalance("UAT",DataAreaId,"T.MarkupTrans","Sum|Posted|0","","","","","","","MarkupCode|TransRecId|TransTableId","TPP",$O65,"64")</f>
        <v>0</v>
      </c>
    </row>
    <row r="66" spans="1:16" x14ac:dyDescent="0.25">
      <c r="A66" s="4" t="s">
        <v>116</v>
      </c>
      <c r="B66" s="4" t="s">
        <v>224</v>
      </c>
      <c r="C66" s="4" t="s">
        <v>225</v>
      </c>
      <c r="D66" s="4" t="s">
        <v>247</v>
      </c>
      <c r="E66" s="4" t="s">
        <v>59</v>
      </c>
      <c r="F66" s="4" t="s">
        <v>180</v>
      </c>
      <c r="G66" s="4" t="s">
        <v>25</v>
      </c>
      <c r="H66" s="4" t="s">
        <v>134</v>
      </c>
      <c r="I66" s="9">
        <v>42886</v>
      </c>
      <c r="J66" s="11">
        <v>1</v>
      </c>
      <c r="K66" s="4" t="s">
        <v>184</v>
      </c>
      <c r="L66" s="11">
        <v>4</v>
      </c>
      <c r="M66" s="11">
        <v>4</v>
      </c>
      <c r="N66" s="4" t="s">
        <v>8</v>
      </c>
      <c r="O66" s="5">
        <v>5637364720</v>
      </c>
      <c r="P66" s="11">
        <f>_xll.AtlasFormulas.AtlasFunctions.AtlasBalance("UAT",DataAreaId,"T.MarkupTrans","Sum|Posted|0","","","","","","","MarkupCode|TransRecId|TransTableId","TPP",$O66,"64")</f>
        <v>0</v>
      </c>
    </row>
    <row r="67" spans="1:16" x14ac:dyDescent="0.25">
      <c r="A67" s="4" t="s">
        <v>116</v>
      </c>
      <c r="B67" s="4" t="s">
        <v>239</v>
      </c>
      <c r="C67" s="4" t="s">
        <v>176</v>
      </c>
      <c r="D67" s="4" t="s">
        <v>243</v>
      </c>
      <c r="E67" s="4" t="s">
        <v>58</v>
      </c>
      <c r="F67" s="4" t="s">
        <v>180</v>
      </c>
      <c r="G67" s="4" t="s">
        <v>25</v>
      </c>
      <c r="H67" s="4" t="s">
        <v>134</v>
      </c>
      <c r="I67" s="9">
        <v>42886</v>
      </c>
      <c r="J67" s="11">
        <v>-1</v>
      </c>
      <c r="K67" s="4" t="s">
        <v>184</v>
      </c>
      <c r="L67" s="11">
        <v>8</v>
      </c>
      <c r="M67" s="11">
        <v>-8</v>
      </c>
      <c r="N67" s="4" t="s">
        <v>8</v>
      </c>
      <c r="O67" s="5">
        <v>5637364682</v>
      </c>
      <c r="P67" s="11">
        <f>_xll.AtlasFormulas.AtlasFunctions.AtlasBalance("UAT",DataAreaId,"T.MarkupTrans","Sum|Posted|0","","","","","","","MarkupCode|TransRecId|TransTableId","TPP",$O67,"64")</f>
        <v>0</v>
      </c>
    </row>
    <row r="68" spans="1:16" x14ac:dyDescent="0.25">
      <c r="A68" s="4" t="s">
        <v>116</v>
      </c>
      <c r="B68" s="4" t="s">
        <v>239</v>
      </c>
      <c r="C68" s="4" t="s">
        <v>176</v>
      </c>
      <c r="D68" s="4" t="s">
        <v>254</v>
      </c>
      <c r="E68" s="4" t="s">
        <v>96</v>
      </c>
      <c r="F68" s="4" t="s">
        <v>180</v>
      </c>
      <c r="G68" s="4" t="s">
        <v>25</v>
      </c>
      <c r="H68" s="4" t="s">
        <v>134</v>
      </c>
      <c r="I68" s="9">
        <v>42916</v>
      </c>
      <c r="J68" s="11">
        <v>1</v>
      </c>
      <c r="K68" s="4" t="s">
        <v>184</v>
      </c>
      <c r="L68" s="11">
        <v>1314</v>
      </c>
      <c r="M68" s="11">
        <v>1314</v>
      </c>
      <c r="N68" s="4" t="s">
        <v>8</v>
      </c>
      <c r="O68" s="5">
        <v>5637367435</v>
      </c>
      <c r="P68" s="11">
        <f>_xll.AtlasFormulas.AtlasFunctions.AtlasBalance("UAT",DataAreaId,"T.MarkupTrans","Sum|Posted|0","","","","","","","MarkupCode|TransRecId|TransTableId","TPP",$O68,"64")</f>
        <v>0</v>
      </c>
    </row>
    <row r="69" spans="1:16" x14ac:dyDescent="0.25">
      <c r="A69" s="4" t="s">
        <v>116</v>
      </c>
      <c r="B69" s="4" t="s">
        <v>224</v>
      </c>
      <c r="C69" s="4" t="s">
        <v>225</v>
      </c>
      <c r="D69" s="4" t="s">
        <v>251</v>
      </c>
      <c r="E69" s="4" t="s">
        <v>93</v>
      </c>
      <c r="F69" s="4" t="s">
        <v>180</v>
      </c>
      <c r="G69" s="4" t="s">
        <v>25</v>
      </c>
      <c r="H69" s="4" t="s">
        <v>134</v>
      </c>
      <c r="I69" s="9">
        <v>42916</v>
      </c>
      <c r="J69" s="11">
        <v>1</v>
      </c>
      <c r="K69" s="4" t="s">
        <v>184</v>
      </c>
      <c r="L69" s="11">
        <v>2070</v>
      </c>
      <c r="M69" s="11">
        <v>2070</v>
      </c>
      <c r="N69" s="4" t="s">
        <v>8</v>
      </c>
      <c r="O69" s="5">
        <v>5637367349</v>
      </c>
      <c r="P69" s="11">
        <f>_xll.AtlasFormulas.AtlasFunctions.AtlasBalance("UAT",DataAreaId,"T.MarkupTrans","Sum|Posted|0","","","","","","","MarkupCode|TransRecId|TransTableId","TPP",$O69,"64")</f>
        <v>0</v>
      </c>
    </row>
    <row r="70" spans="1:16" x14ac:dyDescent="0.25">
      <c r="A70" s="4" t="s">
        <v>116</v>
      </c>
      <c r="B70" s="4" t="s">
        <v>215</v>
      </c>
      <c r="C70" s="4" t="s">
        <v>192</v>
      </c>
      <c r="D70" s="4" t="s">
        <v>253</v>
      </c>
      <c r="E70" s="4" t="s">
        <v>92</v>
      </c>
      <c r="F70" s="4" t="s">
        <v>180</v>
      </c>
      <c r="G70" s="4" t="s">
        <v>25</v>
      </c>
      <c r="H70" s="4" t="s">
        <v>134</v>
      </c>
      <c r="I70" s="9">
        <v>42916</v>
      </c>
      <c r="J70" s="11">
        <v>1</v>
      </c>
      <c r="K70" s="4" t="s">
        <v>184</v>
      </c>
      <c r="L70" s="11">
        <v>803</v>
      </c>
      <c r="M70" s="11">
        <v>803</v>
      </c>
      <c r="N70" s="4" t="s">
        <v>8</v>
      </c>
      <c r="O70" s="5">
        <v>5637367311</v>
      </c>
      <c r="P70" s="11">
        <f>_xll.AtlasFormulas.AtlasFunctions.AtlasBalance("UAT",DataAreaId,"T.MarkupTrans","Sum|Posted|0","","","","","","","MarkupCode|TransRecId|TransTableId","TPP",$O70,"64")</f>
        <v>0</v>
      </c>
    </row>
    <row r="71" spans="1:16" x14ac:dyDescent="0.25">
      <c r="A71" s="4" t="s">
        <v>116</v>
      </c>
      <c r="B71" s="4" t="s">
        <v>175</v>
      </c>
      <c r="C71" s="4" t="s">
        <v>177</v>
      </c>
      <c r="D71" s="4" t="s">
        <v>252</v>
      </c>
      <c r="E71" s="4" t="s">
        <v>95</v>
      </c>
      <c r="F71" s="4" t="s">
        <v>180</v>
      </c>
      <c r="G71" s="4" t="s">
        <v>25</v>
      </c>
      <c r="H71" s="4" t="s">
        <v>134</v>
      </c>
      <c r="I71" s="9">
        <v>42916</v>
      </c>
      <c r="J71" s="11">
        <v>1</v>
      </c>
      <c r="K71" s="4" t="s">
        <v>184</v>
      </c>
      <c r="L71" s="11">
        <v>2155</v>
      </c>
      <c r="M71" s="11">
        <v>2155</v>
      </c>
      <c r="N71" s="4" t="s">
        <v>8</v>
      </c>
      <c r="O71" s="5">
        <v>5637367397</v>
      </c>
      <c r="P71" s="11">
        <f>_xll.AtlasFormulas.AtlasFunctions.AtlasBalance("UAT",DataAreaId,"T.MarkupTrans","Sum|Posted|0","","","","","","","MarkupCode|TransRecId|TransTableId","TPP",$O71,"64")</f>
        <v>0</v>
      </c>
    </row>
    <row r="72" spans="1:16" x14ac:dyDescent="0.25">
      <c r="A72" s="4" t="s">
        <v>116</v>
      </c>
      <c r="B72" s="4" t="s">
        <v>244</v>
      </c>
      <c r="C72" s="4" t="s">
        <v>193</v>
      </c>
      <c r="D72" s="4" t="s">
        <v>249</v>
      </c>
      <c r="E72" s="4" t="s">
        <v>91</v>
      </c>
      <c r="F72" s="4" t="s">
        <v>180</v>
      </c>
      <c r="G72" s="4" t="s">
        <v>25</v>
      </c>
      <c r="H72" s="4" t="s">
        <v>134</v>
      </c>
      <c r="I72" s="9">
        <v>42916</v>
      </c>
      <c r="J72" s="11">
        <v>1</v>
      </c>
      <c r="K72" s="4" t="s">
        <v>184</v>
      </c>
      <c r="L72" s="11">
        <v>1698</v>
      </c>
      <c r="M72" s="11">
        <v>1698</v>
      </c>
      <c r="N72" s="4" t="s">
        <v>8</v>
      </c>
      <c r="O72" s="5">
        <v>5637367277</v>
      </c>
      <c r="P72" s="11">
        <f>_xll.AtlasFormulas.AtlasFunctions.AtlasBalance("UAT",DataAreaId,"T.MarkupTrans","Sum|Posted|0","","","","","","","MarkupCode|TransRecId|TransTableId","TPP",$O72,"64")</f>
        <v>0</v>
      </c>
    </row>
    <row r="73" spans="1:16" x14ac:dyDescent="0.25">
      <c r="A73" s="4" t="s">
        <v>116</v>
      </c>
      <c r="B73" s="4" t="s">
        <v>213</v>
      </c>
      <c r="C73" s="4" t="s">
        <v>178</v>
      </c>
      <c r="D73" s="4" t="s">
        <v>250</v>
      </c>
      <c r="E73" s="4" t="s">
        <v>90</v>
      </c>
      <c r="F73" s="4" t="s">
        <v>180</v>
      </c>
      <c r="G73" s="4" t="s">
        <v>25</v>
      </c>
      <c r="H73" s="4" t="s">
        <v>134</v>
      </c>
      <c r="I73" s="9">
        <v>42916</v>
      </c>
      <c r="J73" s="11">
        <v>1</v>
      </c>
      <c r="K73" s="4" t="s">
        <v>184</v>
      </c>
      <c r="L73" s="11">
        <v>696</v>
      </c>
      <c r="M73" s="11">
        <v>696</v>
      </c>
      <c r="N73" s="4" t="s">
        <v>8</v>
      </c>
      <c r="O73" s="5">
        <v>5637367243</v>
      </c>
      <c r="P73" s="11">
        <f>_xll.AtlasFormulas.AtlasFunctions.AtlasBalance("UAT",DataAreaId,"T.MarkupTrans","Sum|Posted|0","","","","","","","MarkupCode|TransRecId|TransTableId","TPP",$O73,"64")</f>
        <v>0</v>
      </c>
    </row>
    <row r="74" spans="1:16" x14ac:dyDescent="0.25">
      <c r="A74" s="4" t="s">
        <v>116</v>
      </c>
      <c r="B74" s="4" t="s">
        <v>213</v>
      </c>
      <c r="C74" s="4" t="s">
        <v>178</v>
      </c>
      <c r="D74" s="4" t="s">
        <v>260</v>
      </c>
      <c r="E74" s="4" t="s">
        <v>105</v>
      </c>
      <c r="F74" s="4" t="s">
        <v>180</v>
      </c>
      <c r="G74" s="4" t="s">
        <v>25</v>
      </c>
      <c r="H74" s="4" t="s">
        <v>134</v>
      </c>
      <c r="I74" s="9">
        <v>42947</v>
      </c>
      <c r="J74" s="11">
        <v>-1</v>
      </c>
      <c r="K74" s="4" t="s">
        <v>184</v>
      </c>
      <c r="L74" s="11">
        <v>614</v>
      </c>
      <c r="M74" s="11">
        <v>-614</v>
      </c>
      <c r="N74" s="4" t="s">
        <v>8</v>
      </c>
      <c r="O74" s="5">
        <v>5637370305</v>
      </c>
      <c r="P74" s="11">
        <f>_xll.AtlasFormulas.AtlasFunctions.AtlasBalance("UAT",DataAreaId,"T.MarkupTrans","Sum|Posted|0","","","","","","","MarkupCode|TransRecId|TransTableId","TPP",$O74,"64")</f>
        <v>0</v>
      </c>
    </row>
    <row r="75" spans="1:16" x14ac:dyDescent="0.25">
      <c r="A75" s="4" t="s">
        <v>116</v>
      </c>
      <c r="B75" s="4" t="s">
        <v>244</v>
      </c>
      <c r="C75" s="4" t="s">
        <v>193</v>
      </c>
      <c r="D75" s="4" t="s">
        <v>257</v>
      </c>
      <c r="E75" s="4" t="s">
        <v>106</v>
      </c>
      <c r="F75" s="4" t="s">
        <v>180</v>
      </c>
      <c r="G75" s="4" t="s">
        <v>25</v>
      </c>
      <c r="H75" s="4" t="s">
        <v>134</v>
      </c>
      <c r="I75" s="9">
        <v>42947</v>
      </c>
      <c r="J75" s="11">
        <v>-1</v>
      </c>
      <c r="K75" s="4" t="s">
        <v>184</v>
      </c>
      <c r="L75" s="11">
        <v>84</v>
      </c>
      <c r="M75" s="11">
        <v>-84</v>
      </c>
      <c r="N75" s="4" t="s">
        <v>8</v>
      </c>
      <c r="O75" s="5">
        <v>5637370339</v>
      </c>
      <c r="P75" s="11">
        <f>_xll.AtlasFormulas.AtlasFunctions.AtlasBalance("UAT",DataAreaId,"T.MarkupTrans","Sum|Posted|0","","","","","","","MarkupCode|TransRecId|TransTableId","TPP",$O75,"64")</f>
        <v>0</v>
      </c>
    </row>
    <row r="76" spans="1:16" x14ac:dyDescent="0.25">
      <c r="A76" s="4" t="s">
        <v>116</v>
      </c>
      <c r="B76" s="4" t="s">
        <v>175</v>
      </c>
      <c r="C76" s="4" t="s">
        <v>177</v>
      </c>
      <c r="D76" s="4" t="s">
        <v>256</v>
      </c>
      <c r="E76" s="4" t="s">
        <v>112</v>
      </c>
      <c r="F76" s="4" t="s">
        <v>180</v>
      </c>
      <c r="G76" s="4" t="s">
        <v>25</v>
      </c>
      <c r="H76" s="4" t="s">
        <v>134</v>
      </c>
      <c r="I76" s="9">
        <v>42947</v>
      </c>
      <c r="J76" s="11">
        <v>1</v>
      </c>
      <c r="K76" s="4" t="s">
        <v>184</v>
      </c>
      <c r="L76" s="11">
        <v>138</v>
      </c>
      <c r="M76" s="11">
        <v>138</v>
      </c>
      <c r="N76" s="4" t="s">
        <v>8</v>
      </c>
      <c r="O76" s="5">
        <v>5637370784</v>
      </c>
      <c r="P76" s="11">
        <f>_xll.AtlasFormulas.AtlasFunctions.AtlasBalance("UAT",DataAreaId,"T.MarkupTrans","Sum|Posted|0","","","","","","","MarkupCode|TransRecId|TransTableId","TPP",$O76,"64")</f>
        <v>0</v>
      </c>
    </row>
    <row r="77" spans="1:16" x14ac:dyDescent="0.25">
      <c r="A77" s="4" t="s">
        <v>116</v>
      </c>
      <c r="B77" s="4" t="s">
        <v>215</v>
      </c>
      <c r="C77" s="4" t="s">
        <v>192</v>
      </c>
      <c r="D77" s="4" t="s">
        <v>259</v>
      </c>
      <c r="E77" s="4" t="s">
        <v>109</v>
      </c>
      <c r="F77" s="4" t="s">
        <v>180</v>
      </c>
      <c r="G77" s="4" t="s">
        <v>25</v>
      </c>
      <c r="H77" s="4" t="s">
        <v>134</v>
      </c>
      <c r="I77" s="9">
        <v>42947</v>
      </c>
      <c r="J77" s="11">
        <v>-1</v>
      </c>
      <c r="K77" s="4" t="s">
        <v>184</v>
      </c>
      <c r="L77" s="11">
        <v>350</v>
      </c>
      <c r="M77" s="11">
        <v>-350</v>
      </c>
      <c r="N77" s="4" t="s">
        <v>8</v>
      </c>
      <c r="O77" s="5">
        <v>5637370440</v>
      </c>
      <c r="P77" s="11">
        <f>_xll.AtlasFormulas.AtlasFunctions.AtlasBalance("UAT",DataAreaId,"T.MarkupTrans","Sum|Posted|0","","","","","","","MarkupCode|TransRecId|TransTableId","TPP",$O77,"64")</f>
        <v>0</v>
      </c>
    </row>
    <row r="78" spans="1:16" x14ac:dyDescent="0.25">
      <c r="A78" s="4" t="s">
        <v>116</v>
      </c>
      <c r="B78" s="4" t="s">
        <v>224</v>
      </c>
      <c r="C78" s="4" t="s">
        <v>225</v>
      </c>
      <c r="D78" s="4" t="s">
        <v>258</v>
      </c>
      <c r="E78" s="4" t="s">
        <v>107</v>
      </c>
      <c r="F78" s="4" t="s">
        <v>180</v>
      </c>
      <c r="G78" s="4" t="s">
        <v>25</v>
      </c>
      <c r="H78" s="4" t="s">
        <v>134</v>
      </c>
      <c r="I78" s="9">
        <v>42947</v>
      </c>
      <c r="J78" s="11">
        <v>1</v>
      </c>
      <c r="K78" s="4" t="s">
        <v>184</v>
      </c>
      <c r="L78" s="11">
        <v>121</v>
      </c>
      <c r="M78" s="11">
        <v>121</v>
      </c>
      <c r="N78" s="4" t="s">
        <v>8</v>
      </c>
      <c r="O78" s="5">
        <v>5637370392</v>
      </c>
      <c r="P78" s="11">
        <f>_xll.AtlasFormulas.AtlasFunctions.AtlasBalance("UAT",DataAreaId,"T.MarkupTrans","Sum|Posted|0","","","","","","","MarkupCode|TransRecId|TransTableId","TPP",$O78,"64")</f>
        <v>0</v>
      </c>
    </row>
    <row r="79" spans="1:16" x14ac:dyDescent="0.25">
      <c r="A79" s="4" t="s">
        <v>116</v>
      </c>
      <c r="B79" s="4" t="s">
        <v>239</v>
      </c>
      <c r="C79" s="4" t="s">
        <v>176</v>
      </c>
      <c r="D79" s="4" t="s">
        <v>255</v>
      </c>
      <c r="E79" s="4" t="s">
        <v>111</v>
      </c>
      <c r="F79" s="4" t="s">
        <v>180</v>
      </c>
      <c r="G79" s="4" t="s">
        <v>25</v>
      </c>
      <c r="H79" s="4" t="s">
        <v>134</v>
      </c>
      <c r="I79" s="9">
        <v>42947</v>
      </c>
      <c r="J79" s="11">
        <v>-1</v>
      </c>
      <c r="K79" s="4" t="s">
        <v>184</v>
      </c>
      <c r="L79" s="11">
        <v>108</v>
      </c>
      <c r="M79" s="11">
        <v>-108</v>
      </c>
      <c r="N79" s="4" t="s">
        <v>8</v>
      </c>
      <c r="O79" s="5">
        <v>5637370488</v>
      </c>
      <c r="P79" s="11">
        <f>_xll.AtlasFormulas.AtlasFunctions.AtlasBalance("UAT",DataAreaId,"T.MarkupTrans","Sum|Posted|0","","","","","","","MarkupCode|TransRecId|TransTableId","TPP",$O79,"64")</f>
        <v>0</v>
      </c>
    </row>
    <row r="80" spans="1:16" x14ac:dyDescent="0.25">
      <c r="A80" s="4" t="s">
        <v>116</v>
      </c>
      <c r="B80" s="4" t="s">
        <v>239</v>
      </c>
      <c r="C80" s="4" t="s">
        <v>176</v>
      </c>
      <c r="D80" s="4" t="s">
        <v>243</v>
      </c>
      <c r="E80" s="4" t="s">
        <v>58</v>
      </c>
      <c r="F80" s="4" t="s">
        <v>180</v>
      </c>
      <c r="G80" s="4" t="s">
        <v>20</v>
      </c>
      <c r="H80" s="4" t="s">
        <v>135</v>
      </c>
      <c r="I80" s="9">
        <v>42886</v>
      </c>
      <c r="J80" s="11">
        <v>1</v>
      </c>
      <c r="K80" s="4" t="s">
        <v>184</v>
      </c>
      <c r="L80" s="11">
        <v>11347</v>
      </c>
      <c r="M80" s="11">
        <v>11347</v>
      </c>
      <c r="N80" s="4" t="s">
        <v>8</v>
      </c>
      <c r="O80" s="5">
        <v>5637364685</v>
      </c>
      <c r="P80" s="11">
        <f>_xll.AtlasFormulas.AtlasFunctions.AtlasBalance("UAT",DataAreaId,"T.MarkupTrans","Sum|Posted|0","","","","","","","MarkupCode|TransRecId|TransTableId","TPP",$O80,"64")</f>
        <v>0</v>
      </c>
    </row>
    <row r="81" spans="1:16" x14ac:dyDescent="0.25">
      <c r="A81" s="4" t="s">
        <v>116</v>
      </c>
      <c r="B81" s="4" t="s">
        <v>224</v>
      </c>
      <c r="C81" s="4" t="s">
        <v>225</v>
      </c>
      <c r="D81" s="4" t="s">
        <v>247</v>
      </c>
      <c r="E81" s="4" t="s">
        <v>59</v>
      </c>
      <c r="F81" s="4" t="s">
        <v>180</v>
      </c>
      <c r="G81" s="4" t="s">
        <v>20</v>
      </c>
      <c r="H81" s="4" t="s">
        <v>135</v>
      </c>
      <c r="I81" s="9">
        <v>42886</v>
      </c>
      <c r="J81" s="11">
        <v>1</v>
      </c>
      <c r="K81" s="4" t="s">
        <v>184</v>
      </c>
      <c r="L81" s="11">
        <v>12614</v>
      </c>
      <c r="M81" s="11">
        <v>12614</v>
      </c>
      <c r="N81" s="4" t="s">
        <v>8</v>
      </c>
      <c r="O81" s="5">
        <v>5637364723</v>
      </c>
      <c r="P81" s="11">
        <f>_xll.AtlasFormulas.AtlasFunctions.AtlasBalance("UAT",DataAreaId,"T.MarkupTrans","Sum|Posted|0","","","","","","","MarkupCode|TransRecId|TransTableId","TPP",$O81,"64")</f>
        <v>0</v>
      </c>
    </row>
    <row r="82" spans="1:16" x14ac:dyDescent="0.25">
      <c r="A82" s="4" t="s">
        <v>116</v>
      </c>
      <c r="B82" s="4" t="s">
        <v>215</v>
      </c>
      <c r="C82" s="4" t="s">
        <v>192</v>
      </c>
      <c r="D82" s="4" t="s">
        <v>242</v>
      </c>
      <c r="E82" s="4" t="s">
        <v>55</v>
      </c>
      <c r="F82" s="4" t="s">
        <v>180</v>
      </c>
      <c r="G82" s="4" t="s">
        <v>20</v>
      </c>
      <c r="H82" s="4" t="s">
        <v>135</v>
      </c>
      <c r="I82" s="9">
        <v>42886</v>
      </c>
      <c r="J82" s="11">
        <v>1</v>
      </c>
      <c r="K82" s="4" t="s">
        <v>184</v>
      </c>
      <c r="L82" s="11">
        <v>6953</v>
      </c>
      <c r="M82" s="11">
        <v>6953</v>
      </c>
      <c r="N82" s="4" t="s">
        <v>8</v>
      </c>
      <c r="O82" s="5">
        <v>5637364596</v>
      </c>
      <c r="P82" s="11">
        <f>_xll.AtlasFormulas.AtlasFunctions.AtlasBalance("UAT",DataAreaId,"T.MarkupTrans","Sum|Posted|0","","","","","","","MarkupCode|TransRecId|TransTableId","TPP",$O82,"64")</f>
        <v>0</v>
      </c>
    </row>
    <row r="83" spans="1:16" x14ac:dyDescent="0.25">
      <c r="A83" s="4" t="s">
        <v>116</v>
      </c>
      <c r="B83" s="4" t="s">
        <v>175</v>
      </c>
      <c r="C83" s="4" t="s">
        <v>177</v>
      </c>
      <c r="D83" s="4" t="s">
        <v>246</v>
      </c>
      <c r="E83" s="4" t="s">
        <v>57</v>
      </c>
      <c r="F83" s="4" t="s">
        <v>180</v>
      </c>
      <c r="G83" s="4" t="s">
        <v>20</v>
      </c>
      <c r="H83" s="4" t="s">
        <v>135</v>
      </c>
      <c r="I83" s="9">
        <v>42886</v>
      </c>
      <c r="J83" s="11">
        <v>1</v>
      </c>
      <c r="K83" s="4" t="s">
        <v>184</v>
      </c>
      <c r="L83" s="11">
        <v>13620</v>
      </c>
      <c r="M83" s="11">
        <v>13620</v>
      </c>
      <c r="N83" s="4" t="s">
        <v>8</v>
      </c>
      <c r="O83" s="5">
        <v>5637364647</v>
      </c>
      <c r="P83" s="11">
        <f>_xll.AtlasFormulas.AtlasFunctions.AtlasBalance("UAT",DataAreaId,"T.MarkupTrans","Sum|Posted|0","","","","","","","MarkupCode|TransRecId|TransTableId","TPP",$O83,"64")</f>
        <v>0</v>
      </c>
    </row>
    <row r="84" spans="1:16" x14ac:dyDescent="0.25">
      <c r="A84" s="4" t="s">
        <v>116</v>
      </c>
      <c r="B84" s="4" t="s">
        <v>244</v>
      </c>
      <c r="C84" s="4" t="s">
        <v>193</v>
      </c>
      <c r="D84" s="4" t="s">
        <v>245</v>
      </c>
      <c r="E84" s="4" t="s">
        <v>61</v>
      </c>
      <c r="F84" s="4" t="s">
        <v>180</v>
      </c>
      <c r="G84" s="4" t="s">
        <v>20</v>
      </c>
      <c r="H84" s="4" t="s">
        <v>135</v>
      </c>
      <c r="I84" s="9">
        <v>42886</v>
      </c>
      <c r="J84" s="11">
        <v>1</v>
      </c>
      <c r="K84" s="4" t="s">
        <v>184</v>
      </c>
      <c r="L84" s="11">
        <v>8718</v>
      </c>
      <c r="M84" s="11">
        <v>8718</v>
      </c>
      <c r="N84" s="4" t="s">
        <v>8</v>
      </c>
      <c r="O84" s="5">
        <v>5637364765</v>
      </c>
      <c r="P84" s="11">
        <f>_xll.AtlasFormulas.AtlasFunctions.AtlasBalance("UAT",DataAreaId,"T.MarkupTrans","Sum|Posted|0","","","","","","","MarkupCode|TransRecId|TransTableId","TPP",$O84,"64")</f>
        <v>0</v>
      </c>
    </row>
    <row r="85" spans="1:16" x14ac:dyDescent="0.25">
      <c r="A85" s="4" t="s">
        <v>116</v>
      </c>
      <c r="B85" s="4" t="s">
        <v>213</v>
      </c>
      <c r="C85" s="4" t="s">
        <v>178</v>
      </c>
      <c r="D85" s="4" t="s">
        <v>248</v>
      </c>
      <c r="E85" s="4" t="s">
        <v>62</v>
      </c>
      <c r="F85" s="4" t="s">
        <v>180</v>
      </c>
      <c r="G85" s="4" t="s">
        <v>20</v>
      </c>
      <c r="H85" s="4" t="s">
        <v>135</v>
      </c>
      <c r="I85" s="9">
        <v>42886</v>
      </c>
      <c r="J85" s="11">
        <v>1</v>
      </c>
      <c r="K85" s="4" t="s">
        <v>184</v>
      </c>
      <c r="L85" s="11">
        <v>4124</v>
      </c>
      <c r="M85" s="11">
        <v>4124</v>
      </c>
      <c r="N85" s="4" t="s">
        <v>8</v>
      </c>
      <c r="O85" s="5">
        <v>5637364799</v>
      </c>
      <c r="P85" s="11">
        <f>_xll.AtlasFormulas.AtlasFunctions.AtlasBalance("UAT",DataAreaId,"T.MarkupTrans","Sum|Posted|0","","","","","","","MarkupCode|TransRecId|TransTableId","TPP",$O85,"64")</f>
        <v>0</v>
      </c>
    </row>
    <row r="86" spans="1:16" x14ac:dyDescent="0.25">
      <c r="A86" s="4" t="s">
        <v>116</v>
      </c>
      <c r="B86" s="4" t="s">
        <v>261</v>
      </c>
      <c r="C86" s="4" t="s">
        <v>262</v>
      </c>
      <c r="D86" s="4" t="s">
        <v>263</v>
      </c>
      <c r="E86" s="4" t="s">
        <v>73</v>
      </c>
      <c r="F86" s="4" t="s">
        <v>180</v>
      </c>
      <c r="G86" s="4" t="s">
        <v>20</v>
      </c>
      <c r="H86" s="4" t="s">
        <v>135</v>
      </c>
      <c r="I86" s="9">
        <v>42908</v>
      </c>
      <c r="J86" s="11">
        <v>1</v>
      </c>
      <c r="K86" s="4" t="s">
        <v>184</v>
      </c>
      <c r="L86" s="11">
        <v>10000</v>
      </c>
      <c r="M86" s="11">
        <v>10000</v>
      </c>
      <c r="N86" s="4" t="s">
        <v>9</v>
      </c>
      <c r="O86" s="5">
        <v>5637365630</v>
      </c>
      <c r="P86" s="11">
        <f>_xll.AtlasFormulas.AtlasFunctions.AtlasBalance("UAT",DataAreaId,"T.MarkupTrans","Sum|Posted|0","","","","","","","MarkupCode|TransRecId|TransTableId","TPP",$O86,"64")</f>
        <v>0</v>
      </c>
    </row>
    <row r="87" spans="1:16" x14ac:dyDescent="0.25">
      <c r="A87" s="4" t="s">
        <v>116</v>
      </c>
      <c r="B87" s="4" t="s">
        <v>239</v>
      </c>
      <c r="C87" s="4" t="s">
        <v>176</v>
      </c>
      <c r="D87" s="4" t="s">
        <v>254</v>
      </c>
      <c r="E87" s="4" t="s">
        <v>96</v>
      </c>
      <c r="F87" s="4" t="s">
        <v>180</v>
      </c>
      <c r="G87" s="4" t="s">
        <v>20</v>
      </c>
      <c r="H87" s="4" t="s">
        <v>135</v>
      </c>
      <c r="I87" s="9">
        <v>42916</v>
      </c>
      <c r="J87" s="11">
        <v>1</v>
      </c>
      <c r="K87" s="4" t="s">
        <v>184</v>
      </c>
      <c r="L87" s="11">
        <v>2516</v>
      </c>
      <c r="M87" s="11">
        <v>2516</v>
      </c>
      <c r="N87" s="4" t="s">
        <v>8</v>
      </c>
      <c r="O87" s="5">
        <v>5637367438</v>
      </c>
      <c r="P87" s="11">
        <f>_xll.AtlasFormulas.AtlasFunctions.AtlasBalance("UAT",DataAreaId,"T.MarkupTrans","Sum|Posted|0","","","","","","","MarkupCode|TransRecId|TransTableId","TPP",$O87,"64")</f>
        <v>0</v>
      </c>
    </row>
    <row r="88" spans="1:16" x14ac:dyDescent="0.25">
      <c r="A88" s="4" t="s">
        <v>116</v>
      </c>
      <c r="B88" s="4" t="s">
        <v>224</v>
      </c>
      <c r="C88" s="4" t="s">
        <v>225</v>
      </c>
      <c r="D88" s="4" t="s">
        <v>251</v>
      </c>
      <c r="E88" s="4" t="s">
        <v>93</v>
      </c>
      <c r="F88" s="4" t="s">
        <v>180</v>
      </c>
      <c r="G88" s="4" t="s">
        <v>20</v>
      </c>
      <c r="H88" s="4" t="s">
        <v>135</v>
      </c>
      <c r="I88" s="9">
        <v>42916</v>
      </c>
      <c r="J88" s="11">
        <v>1</v>
      </c>
      <c r="K88" s="4" t="s">
        <v>184</v>
      </c>
      <c r="L88" s="11">
        <v>14241</v>
      </c>
      <c r="M88" s="11">
        <v>14241</v>
      </c>
      <c r="N88" s="4" t="s">
        <v>8</v>
      </c>
      <c r="O88" s="5">
        <v>5637367352</v>
      </c>
      <c r="P88" s="11">
        <f>_xll.AtlasFormulas.AtlasFunctions.AtlasBalance("UAT",DataAreaId,"T.MarkupTrans","Sum|Posted|0","","","","","","","MarkupCode|TransRecId|TransTableId","TPP",$O88,"64")</f>
        <v>0</v>
      </c>
    </row>
    <row r="89" spans="1:16" x14ac:dyDescent="0.25">
      <c r="A89" s="4" t="s">
        <v>116</v>
      </c>
      <c r="B89" s="4" t="s">
        <v>175</v>
      </c>
      <c r="C89" s="4" t="s">
        <v>177</v>
      </c>
      <c r="D89" s="4" t="s">
        <v>252</v>
      </c>
      <c r="E89" s="4" t="s">
        <v>95</v>
      </c>
      <c r="F89" s="4" t="s">
        <v>180</v>
      </c>
      <c r="G89" s="4" t="s">
        <v>20</v>
      </c>
      <c r="H89" s="4" t="s">
        <v>135</v>
      </c>
      <c r="I89" s="9">
        <v>42916</v>
      </c>
      <c r="J89" s="11">
        <v>1</v>
      </c>
      <c r="K89" s="4" t="s">
        <v>184</v>
      </c>
      <c r="L89" s="11">
        <v>5828</v>
      </c>
      <c r="M89" s="11">
        <v>5828</v>
      </c>
      <c r="N89" s="4" t="s">
        <v>8</v>
      </c>
      <c r="O89" s="5">
        <v>5637367400</v>
      </c>
      <c r="P89" s="11">
        <f>_xll.AtlasFormulas.AtlasFunctions.AtlasBalance("UAT",DataAreaId,"T.MarkupTrans","Sum|Posted|0","","","","","","","MarkupCode|TransRecId|TransTableId","TPP",$O89,"64")</f>
        <v>0</v>
      </c>
    </row>
    <row r="90" spans="1:16" x14ac:dyDescent="0.25">
      <c r="A90" s="4" t="s">
        <v>116</v>
      </c>
      <c r="B90" s="4" t="s">
        <v>215</v>
      </c>
      <c r="C90" s="4" t="s">
        <v>192</v>
      </c>
      <c r="D90" s="4" t="s">
        <v>253</v>
      </c>
      <c r="E90" s="4" t="s">
        <v>92</v>
      </c>
      <c r="F90" s="4" t="s">
        <v>180</v>
      </c>
      <c r="G90" s="4" t="s">
        <v>20</v>
      </c>
      <c r="H90" s="4" t="s">
        <v>135</v>
      </c>
      <c r="I90" s="9">
        <v>42916</v>
      </c>
      <c r="J90" s="11">
        <v>-1</v>
      </c>
      <c r="K90" s="4" t="s">
        <v>184</v>
      </c>
      <c r="L90" s="11">
        <v>147</v>
      </c>
      <c r="M90" s="11">
        <v>-147</v>
      </c>
      <c r="N90" s="4" t="s">
        <v>8</v>
      </c>
      <c r="O90" s="5">
        <v>5637367314</v>
      </c>
      <c r="P90" s="11">
        <f>_xll.AtlasFormulas.AtlasFunctions.AtlasBalance("UAT",DataAreaId,"T.MarkupTrans","Sum|Posted|0","","","","","","","MarkupCode|TransRecId|TransTableId","TPP",$O90,"64")</f>
        <v>0</v>
      </c>
    </row>
    <row r="91" spans="1:16" x14ac:dyDescent="0.25">
      <c r="A91" s="4" t="s">
        <v>116</v>
      </c>
      <c r="B91" s="4" t="s">
        <v>213</v>
      </c>
      <c r="C91" s="4" t="s">
        <v>178</v>
      </c>
      <c r="D91" s="4" t="s">
        <v>250</v>
      </c>
      <c r="E91" s="4" t="s">
        <v>90</v>
      </c>
      <c r="F91" s="4" t="s">
        <v>180</v>
      </c>
      <c r="G91" s="4" t="s">
        <v>20</v>
      </c>
      <c r="H91" s="4" t="s">
        <v>135</v>
      </c>
      <c r="I91" s="9">
        <v>42916</v>
      </c>
      <c r="J91" s="11">
        <v>1</v>
      </c>
      <c r="K91" s="4" t="s">
        <v>184</v>
      </c>
      <c r="L91" s="11">
        <v>10800</v>
      </c>
      <c r="M91" s="11">
        <v>10800</v>
      </c>
      <c r="N91" s="4" t="s">
        <v>8</v>
      </c>
      <c r="O91" s="5">
        <v>5637367246</v>
      </c>
      <c r="P91" s="11">
        <f>_xll.AtlasFormulas.AtlasFunctions.AtlasBalance("UAT",DataAreaId,"T.MarkupTrans","Sum|Posted|0","","","","","","","MarkupCode|TransRecId|TransTableId","TPP",$O91,"64")</f>
        <v>0</v>
      </c>
    </row>
    <row r="92" spans="1:16" x14ac:dyDescent="0.25">
      <c r="A92" s="4" t="s">
        <v>116</v>
      </c>
      <c r="B92" s="4" t="s">
        <v>227</v>
      </c>
      <c r="C92" s="4" t="s">
        <v>203</v>
      </c>
      <c r="D92" s="4" t="s">
        <v>264</v>
      </c>
      <c r="E92" s="4" t="s">
        <v>94</v>
      </c>
      <c r="F92" s="4" t="s">
        <v>180</v>
      </c>
      <c r="G92" s="4" t="s">
        <v>20</v>
      </c>
      <c r="H92" s="4" t="s">
        <v>135</v>
      </c>
      <c r="I92" s="9">
        <v>42916</v>
      </c>
      <c r="J92" s="11">
        <v>1</v>
      </c>
      <c r="K92" s="4" t="s">
        <v>184</v>
      </c>
      <c r="L92" s="11">
        <v>285</v>
      </c>
      <c r="M92" s="11">
        <v>285</v>
      </c>
      <c r="N92" s="4" t="s">
        <v>8</v>
      </c>
      <c r="O92" s="5">
        <v>5637367372</v>
      </c>
      <c r="P92" s="11">
        <f>_xll.AtlasFormulas.AtlasFunctions.AtlasBalance("UAT",DataAreaId,"T.MarkupTrans","Sum|Posted|0","","","","","","","MarkupCode|TransRecId|TransTableId","TPP",$O92,"64")</f>
        <v>0</v>
      </c>
    </row>
    <row r="93" spans="1:16" x14ac:dyDescent="0.25">
      <c r="A93" s="4" t="s">
        <v>116</v>
      </c>
      <c r="B93" s="4" t="s">
        <v>244</v>
      </c>
      <c r="C93" s="4" t="s">
        <v>193</v>
      </c>
      <c r="D93" s="4" t="s">
        <v>249</v>
      </c>
      <c r="E93" s="4" t="s">
        <v>91</v>
      </c>
      <c r="F93" s="4" t="s">
        <v>180</v>
      </c>
      <c r="G93" s="4" t="s">
        <v>20</v>
      </c>
      <c r="H93" s="4" t="s">
        <v>135</v>
      </c>
      <c r="I93" s="9">
        <v>42916</v>
      </c>
      <c r="J93" s="11">
        <v>1</v>
      </c>
      <c r="K93" s="4" t="s">
        <v>184</v>
      </c>
      <c r="L93" s="11">
        <v>16971</v>
      </c>
      <c r="M93" s="11">
        <v>16971</v>
      </c>
      <c r="N93" s="4" t="s">
        <v>8</v>
      </c>
      <c r="O93" s="5">
        <v>5637367280</v>
      </c>
      <c r="P93" s="11">
        <f>_xll.AtlasFormulas.AtlasFunctions.AtlasBalance("UAT",DataAreaId,"T.MarkupTrans","Sum|Posted|0","","","","","","","MarkupCode|TransRecId|TransTableId","TPP",$O93,"64")</f>
        <v>0</v>
      </c>
    </row>
    <row r="94" spans="1:16" x14ac:dyDescent="0.25">
      <c r="A94" s="4" t="s">
        <v>116</v>
      </c>
      <c r="B94" s="4" t="s">
        <v>244</v>
      </c>
      <c r="C94" s="4" t="s">
        <v>193</v>
      </c>
      <c r="D94" s="4" t="s">
        <v>257</v>
      </c>
      <c r="E94" s="4" t="s">
        <v>106</v>
      </c>
      <c r="F94" s="4" t="s">
        <v>180</v>
      </c>
      <c r="G94" s="4" t="s">
        <v>20</v>
      </c>
      <c r="H94" s="4" t="s">
        <v>135</v>
      </c>
      <c r="I94" s="9">
        <v>42947</v>
      </c>
      <c r="J94" s="11">
        <v>1</v>
      </c>
      <c r="K94" s="4" t="s">
        <v>184</v>
      </c>
      <c r="L94" s="11">
        <v>1725</v>
      </c>
      <c r="M94" s="11">
        <v>1725</v>
      </c>
      <c r="N94" s="4" t="s">
        <v>8</v>
      </c>
      <c r="O94" s="5">
        <v>5637370342</v>
      </c>
      <c r="P94" s="11">
        <f>_xll.AtlasFormulas.AtlasFunctions.AtlasBalance("UAT",DataAreaId,"T.MarkupTrans","Sum|Posted|0","","","","","","","MarkupCode|TransRecId|TransTableId","TPP",$O94,"64")</f>
        <v>0</v>
      </c>
    </row>
    <row r="95" spans="1:16" x14ac:dyDescent="0.25">
      <c r="A95" s="4" t="s">
        <v>116</v>
      </c>
      <c r="B95" s="4" t="s">
        <v>227</v>
      </c>
      <c r="C95" s="4" t="s">
        <v>203</v>
      </c>
      <c r="D95" s="4" t="s">
        <v>265</v>
      </c>
      <c r="E95" s="4" t="s">
        <v>108</v>
      </c>
      <c r="F95" s="4" t="s">
        <v>180</v>
      </c>
      <c r="G95" s="4" t="s">
        <v>20</v>
      </c>
      <c r="H95" s="4" t="s">
        <v>135</v>
      </c>
      <c r="I95" s="9">
        <v>42947</v>
      </c>
      <c r="J95" s="11">
        <v>1</v>
      </c>
      <c r="K95" s="4" t="s">
        <v>184</v>
      </c>
      <c r="L95" s="11">
        <v>57</v>
      </c>
      <c r="M95" s="11">
        <v>57</v>
      </c>
      <c r="N95" s="4" t="s">
        <v>8</v>
      </c>
      <c r="O95" s="5">
        <v>5637370415</v>
      </c>
      <c r="P95" s="11">
        <f>_xll.AtlasFormulas.AtlasFunctions.AtlasBalance("UAT",DataAreaId,"T.MarkupTrans","Sum|Posted|0","","","","","","","MarkupCode|TransRecId|TransTableId","TPP",$O95,"64")</f>
        <v>0</v>
      </c>
    </row>
    <row r="96" spans="1:16" x14ac:dyDescent="0.25">
      <c r="A96" s="4" t="s">
        <v>116</v>
      </c>
      <c r="B96" s="4" t="s">
        <v>213</v>
      </c>
      <c r="C96" s="4" t="s">
        <v>178</v>
      </c>
      <c r="D96" s="4" t="s">
        <v>260</v>
      </c>
      <c r="E96" s="4" t="s">
        <v>105</v>
      </c>
      <c r="F96" s="4" t="s">
        <v>180</v>
      </c>
      <c r="G96" s="4" t="s">
        <v>20</v>
      </c>
      <c r="H96" s="4" t="s">
        <v>135</v>
      </c>
      <c r="I96" s="9">
        <v>42947</v>
      </c>
      <c r="J96" s="11">
        <v>-1</v>
      </c>
      <c r="K96" s="4" t="s">
        <v>184</v>
      </c>
      <c r="L96" s="11">
        <v>11596</v>
      </c>
      <c r="M96" s="11">
        <v>-11596</v>
      </c>
      <c r="N96" s="4" t="s">
        <v>8</v>
      </c>
      <c r="O96" s="5">
        <v>5637370308</v>
      </c>
      <c r="P96" s="11">
        <f>_xll.AtlasFormulas.AtlasFunctions.AtlasBalance("UAT",DataAreaId,"T.MarkupTrans","Sum|Posted|0","","","","","","","MarkupCode|TransRecId|TransTableId","TPP",$O96,"64")</f>
        <v>0</v>
      </c>
    </row>
    <row r="97" spans="1:16" x14ac:dyDescent="0.25">
      <c r="A97" s="4" t="s">
        <v>116</v>
      </c>
      <c r="B97" s="4" t="s">
        <v>215</v>
      </c>
      <c r="C97" s="4" t="s">
        <v>192</v>
      </c>
      <c r="D97" s="4" t="s">
        <v>259</v>
      </c>
      <c r="E97" s="4" t="s">
        <v>109</v>
      </c>
      <c r="F97" s="4" t="s">
        <v>180</v>
      </c>
      <c r="G97" s="4" t="s">
        <v>20</v>
      </c>
      <c r="H97" s="4" t="s">
        <v>135</v>
      </c>
      <c r="I97" s="9">
        <v>42947</v>
      </c>
      <c r="J97" s="11">
        <v>-1</v>
      </c>
      <c r="K97" s="4" t="s">
        <v>184</v>
      </c>
      <c r="L97" s="11">
        <v>4539</v>
      </c>
      <c r="M97" s="11">
        <v>-4539</v>
      </c>
      <c r="N97" s="4" t="s">
        <v>8</v>
      </c>
      <c r="O97" s="5">
        <v>5637370443</v>
      </c>
      <c r="P97" s="11">
        <f>_xll.AtlasFormulas.AtlasFunctions.AtlasBalance("UAT",DataAreaId,"T.MarkupTrans","Sum|Posted|0","","","","","","","MarkupCode|TransRecId|TransTableId","TPP",$O97,"64")</f>
        <v>0</v>
      </c>
    </row>
    <row r="98" spans="1:16" x14ac:dyDescent="0.25">
      <c r="A98" s="4" t="s">
        <v>116</v>
      </c>
      <c r="B98" s="4" t="s">
        <v>175</v>
      </c>
      <c r="C98" s="4" t="s">
        <v>177</v>
      </c>
      <c r="D98" s="4" t="s">
        <v>256</v>
      </c>
      <c r="E98" s="4" t="s">
        <v>112</v>
      </c>
      <c r="F98" s="4" t="s">
        <v>180</v>
      </c>
      <c r="G98" s="4" t="s">
        <v>20</v>
      </c>
      <c r="H98" s="4" t="s">
        <v>135</v>
      </c>
      <c r="I98" s="9">
        <v>42947</v>
      </c>
      <c r="J98" s="11">
        <v>1</v>
      </c>
      <c r="K98" s="4" t="s">
        <v>184</v>
      </c>
      <c r="L98" s="11">
        <v>8877</v>
      </c>
      <c r="M98" s="11">
        <v>8877</v>
      </c>
      <c r="N98" s="4" t="s">
        <v>8</v>
      </c>
      <c r="O98" s="5">
        <v>5637370787</v>
      </c>
      <c r="P98" s="11">
        <f>_xll.AtlasFormulas.AtlasFunctions.AtlasBalance("UAT",DataAreaId,"T.MarkupTrans","Sum|Posted|0","","","","","","","MarkupCode|TransRecId|TransTableId","TPP",$O98,"64")</f>
        <v>0</v>
      </c>
    </row>
    <row r="99" spans="1:16" x14ac:dyDescent="0.25">
      <c r="A99" s="4" t="s">
        <v>116</v>
      </c>
      <c r="B99" s="4" t="s">
        <v>224</v>
      </c>
      <c r="C99" s="4" t="s">
        <v>225</v>
      </c>
      <c r="D99" s="4" t="s">
        <v>258</v>
      </c>
      <c r="E99" s="4" t="s">
        <v>107</v>
      </c>
      <c r="F99" s="4" t="s">
        <v>180</v>
      </c>
      <c r="G99" s="4" t="s">
        <v>20</v>
      </c>
      <c r="H99" s="4" t="s">
        <v>135</v>
      </c>
      <c r="I99" s="9">
        <v>42947</v>
      </c>
      <c r="J99" s="11">
        <v>1</v>
      </c>
      <c r="K99" s="4" t="s">
        <v>184</v>
      </c>
      <c r="L99" s="11">
        <v>9351</v>
      </c>
      <c r="M99" s="11">
        <v>9351</v>
      </c>
      <c r="N99" s="4" t="s">
        <v>8</v>
      </c>
      <c r="O99" s="5">
        <v>5637370395</v>
      </c>
      <c r="P99" s="11">
        <f>_xll.AtlasFormulas.AtlasFunctions.AtlasBalance("UAT",DataAreaId,"T.MarkupTrans","Sum|Posted|0","","","","","","","MarkupCode|TransRecId|TransTableId","TPP",$O99,"64")</f>
        <v>0</v>
      </c>
    </row>
    <row r="100" spans="1:16" x14ac:dyDescent="0.25">
      <c r="A100" s="4" t="s">
        <v>116</v>
      </c>
      <c r="B100" s="4" t="s">
        <v>239</v>
      </c>
      <c r="C100" s="4" t="s">
        <v>176</v>
      </c>
      <c r="D100" s="4" t="s">
        <v>255</v>
      </c>
      <c r="E100" s="4" t="s">
        <v>111</v>
      </c>
      <c r="F100" s="4" t="s">
        <v>180</v>
      </c>
      <c r="G100" s="4" t="s">
        <v>20</v>
      </c>
      <c r="H100" s="4" t="s">
        <v>135</v>
      </c>
      <c r="I100" s="9">
        <v>42947</v>
      </c>
      <c r="J100" s="11">
        <v>1</v>
      </c>
      <c r="K100" s="4" t="s">
        <v>184</v>
      </c>
      <c r="L100" s="11">
        <v>2634</v>
      </c>
      <c r="M100" s="11">
        <v>2634</v>
      </c>
      <c r="N100" s="4" t="s">
        <v>8</v>
      </c>
      <c r="O100" s="5">
        <v>5637370491</v>
      </c>
      <c r="P100" s="11">
        <f>_xll.AtlasFormulas.AtlasFunctions.AtlasBalance("UAT",DataAreaId,"T.MarkupTrans","Sum|Posted|0","","","","","","","MarkupCode|TransRecId|TransTableId","TPP",$O100,"64")</f>
        <v>0</v>
      </c>
    </row>
    <row r="101" spans="1:16" x14ac:dyDescent="0.25">
      <c r="A101" s="4" t="s">
        <v>116</v>
      </c>
      <c r="B101" s="4" t="s">
        <v>175</v>
      </c>
      <c r="C101" s="4" t="s">
        <v>177</v>
      </c>
      <c r="D101" s="4" t="s">
        <v>181</v>
      </c>
      <c r="E101" s="4" t="s">
        <v>113</v>
      </c>
      <c r="F101" s="4" t="s">
        <v>180</v>
      </c>
      <c r="G101" s="4" t="s">
        <v>20</v>
      </c>
      <c r="H101" s="4" t="s">
        <v>135</v>
      </c>
      <c r="I101" s="9">
        <v>42951</v>
      </c>
      <c r="J101" s="11">
        <v>1</v>
      </c>
      <c r="K101" s="4" t="s">
        <v>184</v>
      </c>
      <c r="L101" s="11">
        <v>1141.44</v>
      </c>
      <c r="M101" s="11">
        <v>1141.44</v>
      </c>
      <c r="N101" s="4" t="s">
        <v>8</v>
      </c>
      <c r="O101" s="5">
        <v>5637370817</v>
      </c>
      <c r="P101" s="11">
        <f>_xll.AtlasFormulas.AtlasFunctions.AtlasBalance("UAT",DataAreaId,"T.MarkupTrans","Sum|Posted|0","","","","","","","MarkupCode|TransRecId|TransTableId","TPP",$O101,"64")</f>
        <v>0</v>
      </c>
    </row>
    <row r="102" spans="1:16" x14ac:dyDescent="0.25">
      <c r="A102" s="4" t="s">
        <v>116</v>
      </c>
      <c r="B102" s="4" t="s">
        <v>175</v>
      </c>
      <c r="C102" s="4" t="s">
        <v>177</v>
      </c>
      <c r="D102" s="4" t="s">
        <v>246</v>
      </c>
      <c r="E102" s="4" t="s">
        <v>57</v>
      </c>
      <c r="F102" s="4" t="s">
        <v>180</v>
      </c>
      <c r="G102" s="4" t="s">
        <v>22</v>
      </c>
      <c r="H102" s="4" t="s">
        <v>136</v>
      </c>
      <c r="I102" s="9">
        <v>42886</v>
      </c>
      <c r="J102" s="11">
        <v>1</v>
      </c>
      <c r="K102" s="4" t="s">
        <v>184</v>
      </c>
      <c r="L102" s="11">
        <v>235</v>
      </c>
      <c r="M102" s="11">
        <v>235</v>
      </c>
      <c r="N102" s="4" t="s">
        <v>8</v>
      </c>
      <c r="O102" s="5">
        <v>5637364656</v>
      </c>
      <c r="P102" s="11">
        <f>_xll.AtlasFormulas.AtlasFunctions.AtlasBalance("UAT",DataAreaId,"T.MarkupTrans","Sum|Posted|0","","","","","","","MarkupCode|TransRecId|TransTableId","TPP",$O102,"64")</f>
        <v>0</v>
      </c>
    </row>
    <row r="103" spans="1:16" x14ac:dyDescent="0.25">
      <c r="A103" s="4" t="s">
        <v>116</v>
      </c>
      <c r="B103" s="4" t="s">
        <v>215</v>
      </c>
      <c r="C103" s="4" t="s">
        <v>192</v>
      </c>
      <c r="D103" s="4" t="s">
        <v>242</v>
      </c>
      <c r="E103" s="4" t="s">
        <v>55</v>
      </c>
      <c r="F103" s="4" t="s">
        <v>180</v>
      </c>
      <c r="G103" s="4" t="s">
        <v>22</v>
      </c>
      <c r="H103" s="4" t="s">
        <v>136</v>
      </c>
      <c r="I103" s="9">
        <v>42886</v>
      </c>
      <c r="J103" s="11">
        <v>1</v>
      </c>
      <c r="K103" s="4" t="s">
        <v>184</v>
      </c>
      <c r="L103" s="11">
        <v>129</v>
      </c>
      <c r="M103" s="11">
        <v>129</v>
      </c>
      <c r="N103" s="4" t="s">
        <v>8</v>
      </c>
      <c r="O103" s="5">
        <v>5637364605</v>
      </c>
      <c r="P103" s="11">
        <f>_xll.AtlasFormulas.AtlasFunctions.AtlasBalance("UAT",DataAreaId,"T.MarkupTrans","Sum|Posted|0","","","","","","","MarkupCode|TransRecId|TransTableId","TPP",$O103,"64")</f>
        <v>0</v>
      </c>
    </row>
    <row r="104" spans="1:16" x14ac:dyDescent="0.25">
      <c r="A104" s="4" t="s">
        <v>116</v>
      </c>
      <c r="B104" s="4" t="s">
        <v>239</v>
      </c>
      <c r="C104" s="4" t="s">
        <v>176</v>
      </c>
      <c r="D104" s="4" t="s">
        <v>243</v>
      </c>
      <c r="E104" s="4" t="s">
        <v>58</v>
      </c>
      <c r="F104" s="4" t="s">
        <v>180</v>
      </c>
      <c r="G104" s="4" t="s">
        <v>22</v>
      </c>
      <c r="H104" s="4" t="s">
        <v>136</v>
      </c>
      <c r="I104" s="9">
        <v>42886</v>
      </c>
      <c r="J104" s="11">
        <v>1</v>
      </c>
      <c r="K104" s="4" t="s">
        <v>184</v>
      </c>
      <c r="L104" s="11">
        <v>203</v>
      </c>
      <c r="M104" s="11">
        <v>203</v>
      </c>
      <c r="N104" s="4" t="s">
        <v>8</v>
      </c>
      <c r="O104" s="5">
        <v>5637364694</v>
      </c>
      <c r="P104" s="11">
        <f>_xll.AtlasFormulas.AtlasFunctions.AtlasBalance("UAT",DataAreaId,"T.MarkupTrans","Sum|Posted|0","","","","","","","MarkupCode|TransRecId|TransTableId","TPP",$O104,"64")</f>
        <v>0</v>
      </c>
    </row>
    <row r="105" spans="1:16" x14ac:dyDescent="0.25">
      <c r="A105" s="4" t="s">
        <v>116</v>
      </c>
      <c r="B105" s="4" t="s">
        <v>224</v>
      </c>
      <c r="C105" s="4" t="s">
        <v>225</v>
      </c>
      <c r="D105" s="4" t="s">
        <v>247</v>
      </c>
      <c r="E105" s="4" t="s">
        <v>59</v>
      </c>
      <c r="F105" s="4" t="s">
        <v>180</v>
      </c>
      <c r="G105" s="4" t="s">
        <v>22</v>
      </c>
      <c r="H105" s="4" t="s">
        <v>136</v>
      </c>
      <c r="I105" s="9">
        <v>42886</v>
      </c>
      <c r="J105" s="11">
        <v>1</v>
      </c>
      <c r="K105" s="4" t="s">
        <v>184</v>
      </c>
      <c r="L105" s="11">
        <v>227</v>
      </c>
      <c r="M105" s="11">
        <v>227</v>
      </c>
      <c r="N105" s="4" t="s">
        <v>8</v>
      </c>
      <c r="O105" s="5">
        <v>5637364732</v>
      </c>
      <c r="P105" s="11">
        <f>_xll.AtlasFormulas.AtlasFunctions.AtlasBalance("UAT",DataAreaId,"T.MarkupTrans","Sum|Posted|0","","","","","","","MarkupCode|TransRecId|TransTableId","TPP",$O105,"64")</f>
        <v>0</v>
      </c>
    </row>
    <row r="106" spans="1:16" x14ac:dyDescent="0.25">
      <c r="A106" s="4" t="s">
        <v>116</v>
      </c>
      <c r="B106" s="4" t="s">
        <v>213</v>
      </c>
      <c r="C106" s="4" t="s">
        <v>178</v>
      </c>
      <c r="D106" s="4" t="s">
        <v>248</v>
      </c>
      <c r="E106" s="4" t="s">
        <v>62</v>
      </c>
      <c r="F106" s="4" t="s">
        <v>180</v>
      </c>
      <c r="G106" s="4" t="s">
        <v>22</v>
      </c>
      <c r="H106" s="4" t="s">
        <v>136</v>
      </c>
      <c r="I106" s="9">
        <v>42886</v>
      </c>
      <c r="J106" s="11">
        <v>1</v>
      </c>
      <c r="K106" s="4" t="s">
        <v>184</v>
      </c>
      <c r="L106" s="11">
        <v>82</v>
      </c>
      <c r="M106" s="11">
        <v>82</v>
      </c>
      <c r="N106" s="4" t="s">
        <v>8</v>
      </c>
      <c r="O106" s="5">
        <v>5637364808</v>
      </c>
      <c r="P106" s="11">
        <f>_xll.AtlasFormulas.AtlasFunctions.AtlasBalance("UAT",DataAreaId,"T.MarkupTrans","Sum|Posted|0","","","","","","","MarkupCode|TransRecId|TransTableId","TPP",$O106,"64")</f>
        <v>0</v>
      </c>
    </row>
    <row r="107" spans="1:16" x14ac:dyDescent="0.25">
      <c r="A107" s="4" t="s">
        <v>116</v>
      </c>
      <c r="B107" s="4" t="s">
        <v>244</v>
      </c>
      <c r="C107" s="4" t="s">
        <v>193</v>
      </c>
      <c r="D107" s="4" t="s">
        <v>245</v>
      </c>
      <c r="E107" s="4" t="s">
        <v>61</v>
      </c>
      <c r="F107" s="4" t="s">
        <v>180</v>
      </c>
      <c r="G107" s="4" t="s">
        <v>22</v>
      </c>
      <c r="H107" s="4" t="s">
        <v>136</v>
      </c>
      <c r="I107" s="9">
        <v>42886</v>
      </c>
      <c r="J107" s="11">
        <v>1</v>
      </c>
      <c r="K107" s="4" t="s">
        <v>184</v>
      </c>
      <c r="L107" s="11">
        <v>157</v>
      </c>
      <c r="M107" s="11">
        <v>157</v>
      </c>
      <c r="N107" s="4" t="s">
        <v>8</v>
      </c>
      <c r="O107" s="5">
        <v>5637364770</v>
      </c>
      <c r="P107" s="11">
        <f>_xll.AtlasFormulas.AtlasFunctions.AtlasBalance("UAT",DataAreaId,"T.MarkupTrans","Sum|Posted|0","","","","","","","MarkupCode|TransRecId|TransTableId","TPP",$O107,"64")</f>
        <v>0</v>
      </c>
    </row>
    <row r="108" spans="1:16" x14ac:dyDescent="0.25">
      <c r="A108" s="4" t="s">
        <v>116</v>
      </c>
      <c r="B108" s="4" t="s">
        <v>244</v>
      </c>
      <c r="C108" s="4" t="s">
        <v>193</v>
      </c>
      <c r="D108" s="4" t="s">
        <v>249</v>
      </c>
      <c r="E108" s="4" t="s">
        <v>91</v>
      </c>
      <c r="F108" s="4" t="s">
        <v>180</v>
      </c>
      <c r="G108" s="4" t="s">
        <v>22</v>
      </c>
      <c r="H108" s="4" t="s">
        <v>136</v>
      </c>
      <c r="I108" s="9">
        <v>42916</v>
      </c>
      <c r="J108" s="11">
        <v>1</v>
      </c>
      <c r="K108" s="4" t="s">
        <v>184</v>
      </c>
      <c r="L108" s="11">
        <v>541</v>
      </c>
      <c r="M108" s="11">
        <v>541</v>
      </c>
      <c r="N108" s="4" t="s">
        <v>8</v>
      </c>
      <c r="O108" s="5">
        <v>5637367285</v>
      </c>
      <c r="P108" s="11">
        <f>_xll.AtlasFormulas.AtlasFunctions.AtlasBalance("UAT",DataAreaId,"T.MarkupTrans","Sum|Posted|0","","","","","","","MarkupCode|TransRecId|TransTableId","TPP",$O108,"64")</f>
        <v>0</v>
      </c>
    </row>
    <row r="109" spans="1:16" x14ac:dyDescent="0.25">
      <c r="A109" s="4" t="s">
        <v>116</v>
      </c>
      <c r="B109" s="4" t="s">
        <v>213</v>
      </c>
      <c r="C109" s="4" t="s">
        <v>178</v>
      </c>
      <c r="D109" s="4" t="s">
        <v>250</v>
      </c>
      <c r="E109" s="4" t="s">
        <v>90</v>
      </c>
      <c r="F109" s="4" t="s">
        <v>180</v>
      </c>
      <c r="G109" s="4" t="s">
        <v>22</v>
      </c>
      <c r="H109" s="4" t="s">
        <v>136</v>
      </c>
      <c r="I109" s="9">
        <v>42916</v>
      </c>
      <c r="J109" s="11">
        <v>1</v>
      </c>
      <c r="K109" s="4" t="s">
        <v>184</v>
      </c>
      <c r="L109" s="11">
        <v>278</v>
      </c>
      <c r="M109" s="11">
        <v>278</v>
      </c>
      <c r="N109" s="4" t="s">
        <v>8</v>
      </c>
      <c r="O109" s="5">
        <v>5637367255</v>
      </c>
      <c r="P109" s="11">
        <f>_xll.AtlasFormulas.AtlasFunctions.AtlasBalance("UAT",DataAreaId,"T.MarkupTrans","Sum|Posted|0","","","","","","","MarkupCode|TransRecId|TransTableId","TPP",$O109,"64")</f>
        <v>0</v>
      </c>
    </row>
    <row r="110" spans="1:16" x14ac:dyDescent="0.25">
      <c r="A110" s="4" t="s">
        <v>116</v>
      </c>
      <c r="B110" s="4" t="s">
        <v>224</v>
      </c>
      <c r="C110" s="4" t="s">
        <v>225</v>
      </c>
      <c r="D110" s="4" t="s">
        <v>251</v>
      </c>
      <c r="E110" s="4" t="s">
        <v>93</v>
      </c>
      <c r="F110" s="4" t="s">
        <v>180</v>
      </c>
      <c r="G110" s="4" t="s">
        <v>22</v>
      </c>
      <c r="H110" s="4" t="s">
        <v>136</v>
      </c>
      <c r="I110" s="9">
        <v>42916</v>
      </c>
      <c r="J110" s="11">
        <v>1</v>
      </c>
      <c r="K110" s="4" t="s">
        <v>184</v>
      </c>
      <c r="L110" s="11">
        <v>610</v>
      </c>
      <c r="M110" s="11">
        <v>610</v>
      </c>
      <c r="N110" s="4" t="s">
        <v>8</v>
      </c>
      <c r="O110" s="5">
        <v>5637367361</v>
      </c>
      <c r="P110" s="11">
        <f>_xll.AtlasFormulas.AtlasFunctions.AtlasBalance("UAT",DataAreaId,"T.MarkupTrans","Sum|Posted|0","","","","","","","MarkupCode|TransRecId|TransTableId","TPP",$O110,"64")</f>
        <v>0</v>
      </c>
    </row>
    <row r="111" spans="1:16" x14ac:dyDescent="0.25">
      <c r="A111" s="4" t="s">
        <v>116</v>
      </c>
      <c r="B111" s="4" t="s">
        <v>239</v>
      </c>
      <c r="C111" s="4" t="s">
        <v>176</v>
      </c>
      <c r="D111" s="4" t="s">
        <v>254</v>
      </c>
      <c r="E111" s="4" t="s">
        <v>96</v>
      </c>
      <c r="F111" s="4" t="s">
        <v>180</v>
      </c>
      <c r="G111" s="4" t="s">
        <v>22</v>
      </c>
      <c r="H111" s="4" t="s">
        <v>136</v>
      </c>
      <c r="I111" s="9">
        <v>42916</v>
      </c>
      <c r="J111" s="11">
        <v>1</v>
      </c>
      <c r="K111" s="4" t="s">
        <v>184</v>
      </c>
      <c r="L111" s="11">
        <v>284</v>
      </c>
      <c r="M111" s="11">
        <v>284</v>
      </c>
      <c r="N111" s="4" t="s">
        <v>8</v>
      </c>
      <c r="O111" s="5">
        <v>5637367447</v>
      </c>
      <c r="P111" s="11">
        <f>_xll.AtlasFormulas.AtlasFunctions.AtlasBalance("UAT",DataAreaId,"T.MarkupTrans","Sum|Posted|0","","","","","","","MarkupCode|TransRecId|TransTableId","TPP",$O111,"64")</f>
        <v>0</v>
      </c>
    </row>
    <row r="112" spans="1:16" x14ac:dyDescent="0.25">
      <c r="A112" s="4" t="s">
        <v>116</v>
      </c>
      <c r="B112" s="4" t="s">
        <v>215</v>
      </c>
      <c r="C112" s="4" t="s">
        <v>192</v>
      </c>
      <c r="D112" s="4" t="s">
        <v>253</v>
      </c>
      <c r="E112" s="4" t="s">
        <v>92</v>
      </c>
      <c r="F112" s="4" t="s">
        <v>180</v>
      </c>
      <c r="G112" s="4" t="s">
        <v>22</v>
      </c>
      <c r="H112" s="4" t="s">
        <v>136</v>
      </c>
      <c r="I112" s="9">
        <v>42916</v>
      </c>
      <c r="J112" s="11">
        <v>1</v>
      </c>
      <c r="K112" s="4" t="s">
        <v>184</v>
      </c>
      <c r="L112" s="11">
        <v>209</v>
      </c>
      <c r="M112" s="11">
        <v>209</v>
      </c>
      <c r="N112" s="4" t="s">
        <v>8</v>
      </c>
      <c r="O112" s="5">
        <v>5637367323</v>
      </c>
      <c r="P112" s="11">
        <f>_xll.AtlasFormulas.AtlasFunctions.AtlasBalance("UAT",DataAreaId,"T.MarkupTrans","Sum|Posted|0","","","","","","","MarkupCode|TransRecId|TransTableId","TPP",$O112,"64")</f>
        <v>0</v>
      </c>
    </row>
    <row r="113" spans="1:16" x14ac:dyDescent="0.25">
      <c r="A113" s="4" t="s">
        <v>116</v>
      </c>
      <c r="B113" s="4" t="s">
        <v>175</v>
      </c>
      <c r="C113" s="4" t="s">
        <v>177</v>
      </c>
      <c r="D113" s="4" t="s">
        <v>252</v>
      </c>
      <c r="E113" s="4" t="s">
        <v>95</v>
      </c>
      <c r="F113" s="4" t="s">
        <v>180</v>
      </c>
      <c r="G113" s="4" t="s">
        <v>22</v>
      </c>
      <c r="H113" s="4" t="s">
        <v>136</v>
      </c>
      <c r="I113" s="9">
        <v>42916</v>
      </c>
      <c r="J113" s="11">
        <v>1</v>
      </c>
      <c r="K113" s="4" t="s">
        <v>184</v>
      </c>
      <c r="L113" s="11">
        <v>532</v>
      </c>
      <c r="M113" s="11">
        <v>532</v>
      </c>
      <c r="N113" s="4" t="s">
        <v>8</v>
      </c>
      <c r="O113" s="5">
        <v>5637367409</v>
      </c>
      <c r="P113" s="11">
        <f>_xll.AtlasFormulas.AtlasFunctions.AtlasBalance("UAT",DataAreaId,"T.MarkupTrans","Sum|Posted|0","","","","","","","MarkupCode|TransRecId|TransTableId","TPP",$O113,"64")</f>
        <v>0</v>
      </c>
    </row>
    <row r="114" spans="1:16" x14ac:dyDescent="0.25">
      <c r="A114" s="4" t="s">
        <v>116</v>
      </c>
      <c r="B114" s="4" t="s">
        <v>175</v>
      </c>
      <c r="C114" s="4" t="s">
        <v>177</v>
      </c>
      <c r="D114" s="4" t="s">
        <v>256</v>
      </c>
      <c r="E114" s="4" t="s">
        <v>112</v>
      </c>
      <c r="F114" s="4" t="s">
        <v>180</v>
      </c>
      <c r="G114" s="4" t="s">
        <v>22</v>
      </c>
      <c r="H114" s="4" t="s">
        <v>136</v>
      </c>
      <c r="I114" s="9">
        <v>42947</v>
      </c>
      <c r="J114" s="11">
        <v>1</v>
      </c>
      <c r="K114" s="4" t="s">
        <v>184</v>
      </c>
      <c r="L114" s="11">
        <v>1337</v>
      </c>
      <c r="M114" s="11">
        <v>1337</v>
      </c>
      <c r="N114" s="4" t="s">
        <v>8</v>
      </c>
      <c r="O114" s="5">
        <v>5637370796</v>
      </c>
      <c r="P114" s="11">
        <f>_xll.AtlasFormulas.AtlasFunctions.AtlasBalance("UAT",DataAreaId,"T.MarkupTrans","Sum|Posted|0","","","","","","","MarkupCode|TransRecId|TransTableId","TPP",$O114,"64")</f>
        <v>0</v>
      </c>
    </row>
    <row r="115" spans="1:16" x14ac:dyDescent="0.25">
      <c r="A115" s="4" t="s">
        <v>116</v>
      </c>
      <c r="B115" s="4" t="s">
        <v>215</v>
      </c>
      <c r="C115" s="4" t="s">
        <v>192</v>
      </c>
      <c r="D115" s="4" t="s">
        <v>259</v>
      </c>
      <c r="E115" s="4" t="s">
        <v>109</v>
      </c>
      <c r="F115" s="4" t="s">
        <v>180</v>
      </c>
      <c r="G115" s="4" t="s">
        <v>22</v>
      </c>
      <c r="H115" s="4" t="s">
        <v>136</v>
      </c>
      <c r="I115" s="9">
        <v>42947</v>
      </c>
      <c r="J115" s="11">
        <v>1</v>
      </c>
      <c r="K115" s="4" t="s">
        <v>184</v>
      </c>
      <c r="L115" s="11">
        <v>191</v>
      </c>
      <c r="M115" s="11">
        <v>191</v>
      </c>
      <c r="N115" s="4" t="s">
        <v>8</v>
      </c>
      <c r="O115" s="5">
        <v>5637370452</v>
      </c>
      <c r="P115" s="11">
        <f>_xll.AtlasFormulas.AtlasFunctions.AtlasBalance("UAT",DataAreaId,"T.MarkupTrans","Sum|Posted|0","","","","","","","MarkupCode|TransRecId|TransTableId","TPP",$O115,"64")</f>
        <v>0</v>
      </c>
    </row>
    <row r="116" spans="1:16" x14ac:dyDescent="0.25">
      <c r="A116" s="4" t="s">
        <v>116</v>
      </c>
      <c r="B116" s="4" t="s">
        <v>239</v>
      </c>
      <c r="C116" s="4" t="s">
        <v>176</v>
      </c>
      <c r="D116" s="4" t="s">
        <v>255</v>
      </c>
      <c r="E116" s="4" t="s">
        <v>111</v>
      </c>
      <c r="F116" s="4" t="s">
        <v>180</v>
      </c>
      <c r="G116" s="4" t="s">
        <v>22</v>
      </c>
      <c r="H116" s="4" t="s">
        <v>136</v>
      </c>
      <c r="I116" s="9">
        <v>42947</v>
      </c>
      <c r="J116" s="11">
        <v>1</v>
      </c>
      <c r="K116" s="4" t="s">
        <v>184</v>
      </c>
      <c r="L116" s="11">
        <v>735</v>
      </c>
      <c r="M116" s="11">
        <v>735</v>
      </c>
      <c r="N116" s="4" t="s">
        <v>8</v>
      </c>
      <c r="O116" s="5">
        <v>5637370750</v>
      </c>
      <c r="P116" s="11">
        <f>_xll.AtlasFormulas.AtlasFunctions.AtlasBalance("UAT",DataAreaId,"T.MarkupTrans","Sum|Posted|0","","","","","","","MarkupCode|TransRecId|TransTableId","TPP",$O116,"64")</f>
        <v>0</v>
      </c>
    </row>
    <row r="117" spans="1:16" x14ac:dyDescent="0.25">
      <c r="A117" s="4" t="s">
        <v>116</v>
      </c>
      <c r="B117" s="4" t="s">
        <v>224</v>
      </c>
      <c r="C117" s="4" t="s">
        <v>225</v>
      </c>
      <c r="D117" s="4" t="s">
        <v>258</v>
      </c>
      <c r="E117" s="4" t="s">
        <v>107</v>
      </c>
      <c r="F117" s="4" t="s">
        <v>180</v>
      </c>
      <c r="G117" s="4" t="s">
        <v>22</v>
      </c>
      <c r="H117" s="4" t="s">
        <v>136</v>
      </c>
      <c r="I117" s="9">
        <v>42947</v>
      </c>
      <c r="J117" s="11">
        <v>1</v>
      </c>
      <c r="K117" s="4" t="s">
        <v>184</v>
      </c>
      <c r="L117" s="11">
        <v>1134</v>
      </c>
      <c r="M117" s="11">
        <v>1134</v>
      </c>
      <c r="N117" s="4" t="s">
        <v>8</v>
      </c>
      <c r="O117" s="5">
        <v>5637370404</v>
      </c>
      <c r="P117" s="11">
        <f>_xll.AtlasFormulas.AtlasFunctions.AtlasBalance("UAT",DataAreaId,"T.MarkupTrans","Sum|Posted|0","","","","","","","MarkupCode|TransRecId|TransTableId","TPP",$O117,"64")</f>
        <v>0</v>
      </c>
    </row>
    <row r="118" spans="1:16" x14ac:dyDescent="0.25">
      <c r="A118" s="4" t="s">
        <v>116</v>
      </c>
      <c r="B118" s="4" t="s">
        <v>213</v>
      </c>
      <c r="C118" s="4" t="s">
        <v>178</v>
      </c>
      <c r="D118" s="4" t="s">
        <v>260</v>
      </c>
      <c r="E118" s="4" t="s">
        <v>105</v>
      </c>
      <c r="F118" s="4" t="s">
        <v>180</v>
      </c>
      <c r="G118" s="4" t="s">
        <v>22</v>
      </c>
      <c r="H118" s="4" t="s">
        <v>136</v>
      </c>
      <c r="I118" s="9">
        <v>42947</v>
      </c>
      <c r="J118" s="11">
        <v>-1</v>
      </c>
      <c r="K118" s="4" t="s">
        <v>184</v>
      </c>
      <c r="L118" s="11">
        <v>197</v>
      </c>
      <c r="M118" s="11">
        <v>-197</v>
      </c>
      <c r="N118" s="4" t="s">
        <v>8</v>
      </c>
      <c r="O118" s="5">
        <v>5637370317</v>
      </c>
      <c r="P118" s="11">
        <f>_xll.AtlasFormulas.AtlasFunctions.AtlasBalance("UAT",DataAreaId,"T.MarkupTrans","Sum|Posted|0","","","","","","","MarkupCode|TransRecId|TransTableId","TPP",$O118,"64")</f>
        <v>0</v>
      </c>
    </row>
    <row r="119" spans="1:16" x14ac:dyDescent="0.25">
      <c r="A119" s="4" t="s">
        <v>116</v>
      </c>
      <c r="B119" s="4" t="s">
        <v>244</v>
      </c>
      <c r="C119" s="4" t="s">
        <v>193</v>
      </c>
      <c r="D119" s="4" t="s">
        <v>257</v>
      </c>
      <c r="E119" s="4" t="s">
        <v>106</v>
      </c>
      <c r="F119" s="4" t="s">
        <v>180</v>
      </c>
      <c r="G119" s="4" t="s">
        <v>22</v>
      </c>
      <c r="H119" s="4" t="s">
        <v>136</v>
      </c>
      <c r="I119" s="9">
        <v>42947</v>
      </c>
      <c r="J119" s="11">
        <v>1</v>
      </c>
      <c r="K119" s="4" t="s">
        <v>184</v>
      </c>
      <c r="L119" s="11">
        <v>737</v>
      </c>
      <c r="M119" s="11">
        <v>737</v>
      </c>
      <c r="N119" s="4" t="s">
        <v>8</v>
      </c>
      <c r="O119" s="5">
        <v>5637370347</v>
      </c>
      <c r="P119" s="11">
        <f>_xll.AtlasFormulas.AtlasFunctions.AtlasBalance("UAT",DataAreaId,"T.MarkupTrans","Sum|Posted|0","","","","","","","MarkupCode|TransRecId|TransTableId","TPP",$O119,"64")</f>
        <v>0</v>
      </c>
    </row>
    <row r="120" spans="1:16" x14ac:dyDescent="0.25">
      <c r="A120" s="4" t="s">
        <v>116</v>
      </c>
      <c r="B120" s="4" t="s">
        <v>229</v>
      </c>
      <c r="C120" s="4" t="s">
        <v>230</v>
      </c>
      <c r="D120" s="4" t="s">
        <v>231</v>
      </c>
      <c r="E120" s="4" t="s">
        <v>53</v>
      </c>
      <c r="F120" s="4" t="s">
        <v>180</v>
      </c>
      <c r="G120" s="4" t="s">
        <v>32</v>
      </c>
      <c r="H120" s="4" t="s">
        <v>137</v>
      </c>
      <c r="I120" s="9">
        <v>42884</v>
      </c>
      <c r="J120" s="11">
        <v>1</v>
      </c>
      <c r="K120" s="4" t="s">
        <v>184</v>
      </c>
      <c r="L120" s="11">
        <v>613.43999999999994</v>
      </c>
      <c r="M120" s="11">
        <v>613.43999999999994</v>
      </c>
      <c r="N120" s="4" t="s">
        <v>8</v>
      </c>
      <c r="O120" s="5">
        <v>5637364312</v>
      </c>
      <c r="P120" s="11">
        <f>_xll.AtlasFormulas.AtlasFunctions.AtlasBalance("UAT",DataAreaId,"T.MarkupTrans","Sum|Posted|0","","","","","","","MarkupCode|TransRecId|TransTableId","TPP",$O120,"64")</f>
        <v>0</v>
      </c>
    </row>
    <row r="121" spans="1:16" x14ac:dyDescent="0.25">
      <c r="A121" s="4" t="s">
        <v>116</v>
      </c>
      <c r="B121" s="4" t="s">
        <v>227</v>
      </c>
      <c r="C121" s="4" t="s">
        <v>203</v>
      </c>
      <c r="D121" s="4" t="s">
        <v>228</v>
      </c>
      <c r="E121" s="4" t="s">
        <v>52</v>
      </c>
      <c r="F121" s="4" t="s">
        <v>180</v>
      </c>
      <c r="G121" s="4" t="s">
        <v>32</v>
      </c>
      <c r="H121" s="4" t="s">
        <v>137</v>
      </c>
      <c r="I121" s="9">
        <v>42884</v>
      </c>
      <c r="J121" s="11">
        <v>1</v>
      </c>
      <c r="K121" s="4" t="s">
        <v>184</v>
      </c>
      <c r="L121" s="11">
        <v>589.66999999999996</v>
      </c>
      <c r="M121" s="11">
        <v>589.66999999999996</v>
      </c>
      <c r="N121" s="4" t="s">
        <v>8</v>
      </c>
      <c r="O121" s="5">
        <v>5637364298</v>
      </c>
      <c r="P121" s="11">
        <f>_xll.AtlasFormulas.AtlasFunctions.AtlasBalance("UAT",DataAreaId,"T.MarkupTrans","Sum|Posted|0","","","","","","","MarkupCode|TransRecId|TransTableId","TPP",$O121,"64")</f>
        <v>0</v>
      </c>
    </row>
    <row r="122" spans="1:16" x14ac:dyDescent="0.25">
      <c r="A122" s="4" t="s">
        <v>116</v>
      </c>
      <c r="B122" s="4" t="s">
        <v>227</v>
      </c>
      <c r="C122" s="4" t="s">
        <v>203</v>
      </c>
      <c r="D122" s="4" t="s">
        <v>232</v>
      </c>
      <c r="E122" s="4" t="s">
        <v>80</v>
      </c>
      <c r="F122" s="4" t="s">
        <v>180</v>
      </c>
      <c r="G122" s="4" t="s">
        <v>32</v>
      </c>
      <c r="H122" s="4" t="s">
        <v>137</v>
      </c>
      <c r="I122" s="9">
        <v>42915</v>
      </c>
      <c r="J122" s="11">
        <v>1</v>
      </c>
      <c r="K122" s="4" t="s">
        <v>184</v>
      </c>
      <c r="L122" s="11">
        <v>584.58000000000004</v>
      </c>
      <c r="M122" s="11">
        <v>584.58000000000004</v>
      </c>
      <c r="N122" s="4" t="s">
        <v>8</v>
      </c>
      <c r="O122" s="5">
        <v>5637367000</v>
      </c>
      <c r="P122" s="11">
        <f>_xll.AtlasFormulas.AtlasFunctions.AtlasBalance("UAT",DataAreaId,"T.MarkupTrans","Sum|Posted|0","","","","","","","MarkupCode|TransRecId|TransTableId","TPP",$O122,"64")</f>
        <v>0</v>
      </c>
    </row>
    <row r="123" spans="1:16" x14ac:dyDescent="0.25">
      <c r="A123" s="4" t="s">
        <v>116</v>
      </c>
      <c r="B123" s="4" t="s">
        <v>229</v>
      </c>
      <c r="C123" s="4" t="s">
        <v>230</v>
      </c>
      <c r="D123" s="4" t="s">
        <v>233</v>
      </c>
      <c r="E123" s="4" t="s">
        <v>82</v>
      </c>
      <c r="F123" s="4" t="s">
        <v>180</v>
      </c>
      <c r="G123" s="4" t="s">
        <v>32</v>
      </c>
      <c r="H123" s="4" t="s">
        <v>137</v>
      </c>
      <c r="I123" s="9">
        <v>42916</v>
      </c>
      <c r="J123" s="11">
        <v>1</v>
      </c>
      <c r="K123" s="4" t="s">
        <v>184</v>
      </c>
      <c r="L123" s="11">
        <v>614.14</v>
      </c>
      <c r="M123" s="11">
        <v>614.14</v>
      </c>
      <c r="N123" s="4" t="s">
        <v>8</v>
      </c>
      <c r="O123" s="5">
        <v>5637367106</v>
      </c>
      <c r="P123" s="11">
        <f>_xll.AtlasFormulas.AtlasFunctions.AtlasBalance("UAT",DataAreaId,"T.MarkupTrans","Sum|Posted|0","","","","","","","MarkupCode|TransRecId|TransTableId","TPP",$O123,"64")</f>
        <v>0</v>
      </c>
    </row>
    <row r="124" spans="1:16" x14ac:dyDescent="0.25">
      <c r="A124" s="4" t="s">
        <v>116</v>
      </c>
      <c r="B124" s="4" t="s">
        <v>229</v>
      </c>
      <c r="C124" s="4" t="s">
        <v>230</v>
      </c>
      <c r="D124" s="4" t="s">
        <v>234</v>
      </c>
      <c r="E124" s="4" t="s">
        <v>102</v>
      </c>
      <c r="F124" s="4" t="s">
        <v>180</v>
      </c>
      <c r="G124" s="4" t="s">
        <v>32</v>
      </c>
      <c r="H124" s="4" t="s">
        <v>137</v>
      </c>
      <c r="I124" s="9">
        <v>42943</v>
      </c>
      <c r="J124" s="11">
        <v>1</v>
      </c>
      <c r="K124" s="4" t="s">
        <v>184</v>
      </c>
      <c r="L124" s="11">
        <v>534.48</v>
      </c>
      <c r="M124" s="11">
        <v>534.48</v>
      </c>
      <c r="N124" s="4" t="s">
        <v>8</v>
      </c>
      <c r="O124" s="5">
        <v>5637369409</v>
      </c>
      <c r="P124" s="11">
        <f>_xll.AtlasFormulas.AtlasFunctions.AtlasBalance("UAT",DataAreaId,"T.MarkupTrans","Sum|Posted|0","","","","","","","MarkupCode|TransRecId|TransTableId","TPP",$O124,"64")</f>
        <v>0</v>
      </c>
    </row>
    <row r="125" spans="1:16" x14ac:dyDescent="0.25">
      <c r="A125" s="4" t="s">
        <v>116</v>
      </c>
      <c r="B125" s="4" t="s">
        <v>227</v>
      </c>
      <c r="C125" s="4" t="s">
        <v>203</v>
      </c>
      <c r="D125" s="4" t="s">
        <v>235</v>
      </c>
      <c r="E125" s="4" t="s">
        <v>103</v>
      </c>
      <c r="F125" s="4" t="s">
        <v>180</v>
      </c>
      <c r="G125" s="4" t="s">
        <v>32</v>
      </c>
      <c r="H125" s="4" t="s">
        <v>137</v>
      </c>
      <c r="I125" s="9">
        <v>42943</v>
      </c>
      <c r="J125" s="11">
        <v>1</v>
      </c>
      <c r="K125" s="4" t="s">
        <v>184</v>
      </c>
      <c r="L125" s="11">
        <v>9603.8799999999992</v>
      </c>
      <c r="M125" s="11">
        <v>9603.8799999999992</v>
      </c>
      <c r="N125" s="4" t="s">
        <v>8</v>
      </c>
      <c r="O125" s="5">
        <v>5637369416</v>
      </c>
      <c r="P125" s="11">
        <f>_xll.AtlasFormulas.AtlasFunctions.AtlasBalance("UAT",DataAreaId,"T.MarkupTrans","Sum|Posted|0","","","","","","","MarkupCode|TransRecId|TransTableId","TPP",$O125,"64")</f>
        <v>0</v>
      </c>
    </row>
    <row r="126" spans="1:16" x14ac:dyDescent="0.25">
      <c r="A126" s="4" t="s">
        <v>116</v>
      </c>
      <c r="B126" s="4" t="s">
        <v>175</v>
      </c>
      <c r="C126" s="4" t="s">
        <v>177</v>
      </c>
      <c r="D126" s="4" t="s">
        <v>246</v>
      </c>
      <c r="E126" s="4" t="s">
        <v>57</v>
      </c>
      <c r="F126" s="4" t="s">
        <v>180</v>
      </c>
      <c r="G126" s="4" t="s">
        <v>21</v>
      </c>
      <c r="H126" s="4" t="s">
        <v>138</v>
      </c>
      <c r="I126" s="9">
        <v>42886</v>
      </c>
      <c r="J126" s="11">
        <v>1</v>
      </c>
      <c r="K126" s="4" t="s">
        <v>184</v>
      </c>
      <c r="L126" s="11">
        <v>5177</v>
      </c>
      <c r="M126" s="11">
        <v>5177</v>
      </c>
      <c r="N126" s="4" t="s">
        <v>8</v>
      </c>
      <c r="O126" s="5">
        <v>5637364661</v>
      </c>
      <c r="P126" s="11">
        <f>_xll.AtlasFormulas.AtlasFunctions.AtlasBalance("UAT",DataAreaId,"T.MarkupTrans","Sum|Posted|0","","","","","","","MarkupCode|TransRecId|TransTableId","TPP",$O126,"64")</f>
        <v>0</v>
      </c>
    </row>
    <row r="127" spans="1:16" x14ac:dyDescent="0.25">
      <c r="A127" s="4" t="s">
        <v>116</v>
      </c>
      <c r="B127" s="4" t="s">
        <v>215</v>
      </c>
      <c r="C127" s="4" t="s">
        <v>192</v>
      </c>
      <c r="D127" s="4" t="s">
        <v>242</v>
      </c>
      <c r="E127" s="4" t="s">
        <v>55</v>
      </c>
      <c r="F127" s="4" t="s">
        <v>180</v>
      </c>
      <c r="G127" s="4" t="s">
        <v>21</v>
      </c>
      <c r="H127" s="4" t="s">
        <v>138</v>
      </c>
      <c r="I127" s="9">
        <v>42886</v>
      </c>
      <c r="J127" s="11">
        <v>1</v>
      </c>
      <c r="K127" s="4" t="s">
        <v>184</v>
      </c>
      <c r="L127" s="11">
        <v>2098</v>
      </c>
      <c r="M127" s="11">
        <v>2098</v>
      </c>
      <c r="N127" s="4" t="s">
        <v>8</v>
      </c>
      <c r="O127" s="5">
        <v>5637364606</v>
      </c>
      <c r="P127" s="11">
        <f>_xll.AtlasFormulas.AtlasFunctions.AtlasBalance("UAT",DataAreaId,"T.MarkupTrans","Sum|Posted|0","","","","","","","MarkupCode|TransRecId|TransTableId","TPP",$O127,"64")</f>
        <v>0</v>
      </c>
    </row>
    <row r="128" spans="1:16" x14ac:dyDescent="0.25">
      <c r="A128" s="4" t="s">
        <v>116</v>
      </c>
      <c r="B128" s="4" t="s">
        <v>224</v>
      </c>
      <c r="C128" s="4" t="s">
        <v>225</v>
      </c>
      <c r="D128" s="4" t="s">
        <v>247</v>
      </c>
      <c r="E128" s="4" t="s">
        <v>59</v>
      </c>
      <c r="F128" s="4" t="s">
        <v>180</v>
      </c>
      <c r="G128" s="4" t="s">
        <v>21</v>
      </c>
      <c r="H128" s="4" t="s">
        <v>138</v>
      </c>
      <c r="I128" s="9">
        <v>42886</v>
      </c>
      <c r="J128" s="11">
        <v>1</v>
      </c>
      <c r="K128" s="4" t="s">
        <v>184</v>
      </c>
      <c r="L128" s="11">
        <v>4212</v>
      </c>
      <c r="M128" s="11">
        <v>4212</v>
      </c>
      <c r="N128" s="4" t="s">
        <v>8</v>
      </c>
      <c r="O128" s="5">
        <v>5637364733</v>
      </c>
      <c r="P128" s="11">
        <f>_xll.AtlasFormulas.AtlasFunctions.AtlasBalance("UAT",DataAreaId,"T.MarkupTrans","Sum|Posted|0","","","","","","","MarkupCode|TransRecId|TransTableId","TPP",$O128,"64")</f>
        <v>0</v>
      </c>
    </row>
    <row r="129" spans="1:16" x14ac:dyDescent="0.25">
      <c r="A129" s="4" t="s">
        <v>116</v>
      </c>
      <c r="B129" s="4" t="s">
        <v>239</v>
      </c>
      <c r="C129" s="4" t="s">
        <v>176</v>
      </c>
      <c r="D129" s="4" t="s">
        <v>243</v>
      </c>
      <c r="E129" s="4" t="s">
        <v>58</v>
      </c>
      <c r="F129" s="4" t="s">
        <v>180</v>
      </c>
      <c r="G129" s="4" t="s">
        <v>21</v>
      </c>
      <c r="H129" s="4" t="s">
        <v>138</v>
      </c>
      <c r="I129" s="9">
        <v>42886</v>
      </c>
      <c r="J129" s="11">
        <v>1</v>
      </c>
      <c r="K129" s="4" t="s">
        <v>184</v>
      </c>
      <c r="L129" s="11">
        <v>3853</v>
      </c>
      <c r="M129" s="11">
        <v>3853</v>
      </c>
      <c r="N129" s="4" t="s">
        <v>8</v>
      </c>
      <c r="O129" s="5">
        <v>5637364695</v>
      </c>
      <c r="P129" s="11">
        <f>_xll.AtlasFormulas.AtlasFunctions.AtlasBalance("UAT",DataAreaId,"T.MarkupTrans","Sum|Posted|0","","","","","","","MarkupCode|TransRecId|TransTableId","TPP",$O129,"64")</f>
        <v>0</v>
      </c>
    </row>
    <row r="130" spans="1:16" x14ac:dyDescent="0.25">
      <c r="A130" s="4" t="s">
        <v>116</v>
      </c>
      <c r="B130" s="4" t="s">
        <v>244</v>
      </c>
      <c r="C130" s="4" t="s">
        <v>193</v>
      </c>
      <c r="D130" s="4" t="s">
        <v>245</v>
      </c>
      <c r="E130" s="4" t="s">
        <v>61</v>
      </c>
      <c r="F130" s="4" t="s">
        <v>180</v>
      </c>
      <c r="G130" s="4" t="s">
        <v>21</v>
      </c>
      <c r="H130" s="4" t="s">
        <v>138</v>
      </c>
      <c r="I130" s="9">
        <v>42886</v>
      </c>
      <c r="J130" s="11">
        <v>1</v>
      </c>
      <c r="K130" s="4" t="s">
        <v>184</v>
      </c>
      <c r="L130" s="11">
        <v>2940</v>
      </c>
      <c r="M130" s="11">
        <v>2940</v>
      </c>
      <c r="N130" s="4" t="s">
        <v>8</v>
      </c>
      <c r="O130" s="5">
        <v>5637364771</v>
      </c>
      <c r="P130" s="11">
        <f>_xll.AtlasFormulas.AtlasFunctions.AtlasBalance("UAT",DataAreaId,"T.MarkupTrans","Sum|Posted|0","","","","","","","MarkupCode|TransRecId|TransTableId","TPP",$O130,"64")</f>
        <v>0</v>
      </c>
    </row>
    <row r="131" spans="1:16" x14ac:dyDescent="0.25">
      <c r="A131" s="4" t="s">
        <v>116</v>
      </c>
      <c r="B131" s="4" t="s">
        <v>213</v>
      </c>
      <c r="C131" s="4" t="s">
        <v>178</v>
      </c>
      <c r="D131" s="4" t="s">
        <v>248</v>
      </c>
      <c r="E131" s="4" t="s">
        <v>62</v>
      </c>
      <c r="F131" s="4" t="s">
        <v>180</v>
      </c>
      <c r="G131" s="4" t="s">
        <v>21</v>
      </c>
      <c r="H131" s="4" t="s">
        <v>138</v>
      </c>
      <c r="I131" s="9">
        <v>42886</v>
      </c>
      <c r="J131" s="11">
        <v>1</v>
      </c>
      <c r="K131" s="4" t="s">
        <v>184</v>
      </c>
      <c r="L131" s="11">
        <v>888</v>
      </c>
      <c r="M131" s="11">
        <v>888</v>
      </c>
      <c r="N131" s="4" t="s">
        <v>8</v>
      </c>
      <c r="O131" s="5">
        <v>5637364809</v>
      </c>
      <c r="P131" s="11">
        <f>_xll.AtlasFormulas.AtlasFunctions.AtlasBalance("UAT",DataAreaId,"T.MarkupTrans","Sum|Posted|0","","","","","","","MarkupCode|TransRecId|TransTableId","TPP",$O131,"64")</f>
        <v>0</v>
      </c>
    </row>
    <row r="132" spans="1:16" x14ac:dyDescent="0.25">
      <c r="A132" s="4" t="s">
        <v>116</v>
      </c>
      <c r="B132" s="4" t="s">
        <v>213</v>
      </c>
      <c r="C132" s="4" t="s">
        <v>178</v>
      </c>
      <c r="D132" s="4" t="s">
        <v>250</v>
      </c>
      <c r="E132" s="4" t="s">
        <v>90</v>
      </c>
      <c r="F132" s="4" t="s">
        <v>180</v>
      </c>
      <c r="G132" s="4" t="s">
        <v>21</v>
      </c>
      <c r="H132" s="4" t="s">
        <v>138</v>
      </c>
      <c r="I132" s="9">
        <v>42916</v>
      </c>
      <c r="J132" s="11">
        <v>1</v>
      </c>
      <c r="K132" s="4" t="s">
        <v>184</v>
      </c>
      <c r="L132" s="11">
        <v>1542</v>
      </c>
      <c r="M132" s="11">
        <v>1542</v>
      </c>
      <c r="N132" s="4" t="s">
        <v>8</v>
      </c>
      <c r="O132" s="5">
        <v>5637367256</v>
      </c>
      <c r="P132" s="11">
        <f>_xll.AtlasFormulas.AtlasFunctions.AtlasBalance("UAT",DataAreaId,"T.MarkupTrans","Sum|Posted|0","","","","","","","MarkupCode|TransRecId|TransTableId","TPP",$O132,"64")</f>
        <v>0</v>
      </c>
    </row>
    <row r="133" spans="1:16" x14ac:dyDescent="0.25">
      <c r="A133" s="4" t="s">
        <v>116</v>
      </c>
      <c r="B133" s="4" t="s">
        <v>244</v>
      </c>
      <c r="C133" s="4" t="s">
        <v>193</v>
      </c>
      <c r="D133" s="4" t="s">
        <v>249</v>
      </c>
      <c r="E133" s="4" t="s">
        <v>91</v>
      </c>
      <c r="F133" s="4" t="s">
        <v>180</v>
      </c>
      <c r="G133" s="4" t="s">
        <v>21</v>
      </c>
      <c r="H133" s="4" t="s">
        <v>138</v>
      </c>
      <c r="I133" s="9">
        <v>42916</v>
      </c>
      <c r="J133" s="11">
        <v>1</v>
      </c>
      <c r="K133" s="4" t="s">
        <v>184</v>
      </c>
      <c r="L133" s="11">
        <v>2008</v>
      </c>
      <c r="M133" s="11">
        <v>2008</v>
      </c>
      <c r="N133" s="4" t="s">
        <v>8</v>
      </c>
      <c r="O133" s="5">
        <v>5637367286</v>
      </c>
      <c r="P133" s="11">
        <f>_xll.AtlasFormulas.AtlasFunctions.AtlasBalance("UAT",DataAreaId,"T.MarkupTrans","Sum|Posted|0","","","","","","","MarkupCode|TransRecId|TransTableId","TPP",$O133,"64")</f>
        <v>0</v>
      </c>
    </row>
    <row r="134" spans="1:16" x14ac:dyDescent="0.25">
      <c r="A134" s="4" t="s">
        <v>116</v>
      </c>
      <c r="B134" s="4" t="s">
        <v>239</v>
      </c>
      <c r="C134" s="4" t="s">
        <v>176</v>
      </c>
      <c r="D134" s="4" t="s">
        <v>254</v>
      </c>
      <c r="E134" s="4" t="s">
        <v>96</v>
      </c>
      <c r="F134" s="4" t="s">
        <v>180</v>
      </c>
      <c r="G134" s="4" t="s">
        <v>21</v>
      </c>
      <c r="H134" s="4" t="s">
        <v>138</v>
      </c>
      <c r="I134" s="9">
        <v>42916</v>
      </c>
      <c r="J134" s="11">
        <v>-1</v>
      </c>
      <c r="K134" s="4" t="s">
        <v>184</v>
      </c>
      <c r="L134" s="11">
        <v>215</v>
      </c>
      <c r="M134" s="11">
        <v>-215</v>
      </c>
      <c r="N134" s="4" t="s">
        <v>8</v>
      </c>
      <c r="O134" s="5">
        <v>5637367448</v>
      </c>
      <c r="P134" s="11">
        <f>_xll.AtlasFormulas.AtlasFunctions.AtlasBalance("UAT",DataAreaId,"T.MarkupTrans","Sum|Posted|0","","","","","","","MarkupCode|TransRecId|TransTableId","TPP",$O134,"64")</f>
        <v>0</v>
      </c>
    </row>
    <row r="135" spans="1:16" x14ac:dyDescent="0.25">
      <c r="A135" s="4" t="s">
        <v>116</v>
      </c>
      <c r="B135" s="4" t="s">
        <v>224</v>
      </c>
      <c r="C135" s="4" t="s">
        <v>225</v>
      </c>
      <c r="D135" s="4" t="s">
        <v>251</v>
      </c>
      <c r="E135" s="4" t="s">
        <v>93</v>
      </c>
      <c r="F135" s="4" t="s">
        <v>180</v>
      </c>
      <c r="G135" s="4" t="s">
        <v>21</v>
      </c>
      <c r="H135" s="4" t="s">
        <v>138</v>
      </c>
      <c r="I135" s="9">
        <v>42916</v>
      </c>
      <c r="J135" s="11">
        <v>1</v>
      </c>
      <c r="K135" s="4" t="s">
        <v>184</v>
      </c>
      <c r="L135" s="11">
        <v>1782</v>
      </c>
      <c r="M135" s="11">
        <v>1782</v>
      </c>
      <c r="N135" s="4" t="s">
        <v>8</v>
      </c>
      <c r="O135" s="5">
        <v>5637367362</v>
      </c>
      <c r="P135" s="11">
        <f>_xll.AtlasFormulas.AtlasFunctions.AtlasBalance("UAT",DataAreaId,"T.MarkupTrans","Sum|Posted|0","","","","","","","MarkupCode|TransRecId|TransTableId","TPP",$O135,"64")</f>
        <v>0</v>
      </c>
    </row>
    <row r="136" spans="1:16" x14ac:dyDescent="0.25">
      <c r="A136" s="4" t="s">
        <v>116</v>
      </c>
      <c r="B136" s="4" t="s">
        <v>215</v>
      </c>
      <c r="C136" s="4" t="s">
        <v>192</v>
      </c>
      <c r="D136" s="4" t="s">
        <v>253</v>
      </c>
      <c r="E136" s="4" t="s">
        <v>92</v>
      </c>
      <c r="F136" s="4" t="s">
        <v>180</v>
      </c>
      <c r="G136" s="4" t="s">
        <v>21</v>
      </c>
      <c r="H136" s="4" t="s">
        <v>138</v>
      </c>
      <c r="I136" s="9">
        <v>42916</v>
      </c>
      <c r="J136" s="11">
        <v>1</v>
      </c>
      <c r="K136" s="4" t="s">
        <v>184</v>
      </c>
      <c r="L136" s="11">
        <v>343</v>
      </c>
      <c r="M136" s="11">
        <v>343</v>
      </c>
      <c r="N136" s="4" t="s">
        <v>8</v>
      </c>
      <c r="O136" s="5">
        <v>5637367324</v>
      </c>
      <c r="P136" s="11">
        <f>_xll.AtlasFormulas.AtlasFunctions.AtlasBalance("UAT",DataAreaId,"T.MarkupTrans","Sum|Posted|0","","","","","","","MarkupCode|TransRecId|TransTableId","TPP",$O136,"64")</f>
        <v>0</v>
      </c>
    </row>
    <row r="137" spans="1:16" x14ac:dyDescent="0.25">
      <c r="A137" s="4" t="s">
        <v>116</v>
      </c>
      <c r="B137" s="4" t="s">
        <v>175</v>
      </c>
      <c r="C137" s="4" t="s">
        <v>177</v>
      </c>
      <c r="D137" s="4" t="s">
        <v>252</v>
      </c>
      <c r="E137" s="4" t="s">
        <v>95</v>
      </c>
      <c r="F137" s="4" t="s">
        <v>180</v>
      </c>
      <c r="G137" s="4" t="s">
        <v>21</v>
      </c>
      <c r="H137" s="4" t="s">
        <v>138</v>
      </c>
      <c r="I137" s="9">
        <v>42916</v>
      </c>
      <c r="J137" s="11">
        <v>1</v>
      </c>
      <c r="K137" s="4" t="s">
        <v>184</v>
      </c>
      <c r="L137" s="11">
        <v>532</v>
      </c>
      <c r="M137" s="11">
        <v>532</v>
      </c>
      <c r="N137" s="4" t="s">
        <v>8</v>
      </c>
      <c r="O137" s="5">
        <v>5637367410</v>
      </c>
      <c r="P137" s="11">
        <f>_xll.AtlasFormulas.AtlasFunctions.AtlasBalance("UAT",DataAreaId,"T.MarkupTrans","Sum|Posted|0","","","","","","","MarkupCode|TransRecId|TransTableId","TPP",$O137,"64")</f>
        <v>0</v>
      </c>
    </row>
    <row r="138" spans="1:16" x14ac:dyDescent="0.25">
      <c r="A138" s="4" t="s">
        <v>116</v>
      </c>
      <c r="B138" s="4" t="s">
        <v>175</v>
      </c>
      <c r="C138" s="4" t="s">
        <v>177</v>
      </c>
      <c r="D138" s="4" t="s">
        <v>256</v>
      </c>
      <c r="E138" s="4" t="s">
        <v>112</v>
      </c>
      <c r="F138" s="4" t="s">
        <v>180</v>
      </c>
      <c r="G138" s="4" t="s">
        <v>21</v>
      </c>
      <c r="H138" s="4" t="s">
        <v>138</v>
      </c>
      <c r="I138" s="9">
        <v>42947</v>
      </c>
      <c r="J138" s="11">
        <v>1</v>
      </c>
      <c r="K138" s="4" t="s">
        <v>184</v>
      </c>
      <c r="L138" s="11">
        <v>3091</v>
      </c>
      <c r="M138" s="11">
        <v>3091</v>
      </c>
      <c r="N138" s="4" t="s">
        <v>8</v>
      </c>
      <c r="O138" s="5">
        <v>5637370797</v>
      </c>
      <c r="P138" s="11">
        <f>_xll.AtlasFormulas.AtlasFunctions.AtlasBalance("UAT",DataAreaId,"T.MarkupTrans","Sum|Posted|0","","","","","","","MarkupCode|TransRecId|TransTableId","TPP",$O138,"64")</f>
        <v>0</v>
      </c>
    </row>
    <row r="139" spans="1:16" x14ac:dyDescent="0.25">
      <c r="A139" s="4" t="s">
        <v>116</v>
      </c>
      <c r="B139" s="4" t="s">
        <v>215</v>
      </c>
      <c r="C139" s="4" t="s">
        <v>192</v>
      </c>
      <c r="D139" s="4" t="s">
        <v>259</v>
      </c>
      <c r="E139" s="4" t="s">
        <v>109</v>
      </c>
      <c r="F139" s="4" t="s">
        <v>180</v>
      </c>
      <c r="G139" s="4" t="s">
        <v>21</v>
      </c>
      <c r="H139" s="4" t="s">
        <v>138</v>
      </c>
      <c r="I139" s="9">
        <v>42947</v>
      </c>
      <c r="J139" s="11">
        <v>-1</v>
      </c>
      <c r="K139" s="4" t="s">
        <v>184</v>
      </c>
      <c r="L139" s="11">
        <v>400</v>
      </c>
      <c r="M139" s="11">
        <v>-400</v>
      </c>
      <c r="N139" s="4" t="s">
        <v>8</v>
      </c>
      <c r="O139" s="5">
        <v>5637370453</v>
      </c>
      <c r="P139" s="11">
        <f>_xll.AtlasFormulas.AtlasFunctions.AtlasBalance("UAT",DataAreaId,"T.MarkupTrans","Sum|Posted|0","","","","","","","MarkupCode|TransRecId|TransTableId","TPP",$O139,"64")</f>
        <v>0</v>
      </c>
    </row>
    <row r="140" spans="1:16" x14ac:dyDescent="0.25">
      <c r="A140" s="4" t="s">
        <v>116</v>
      </c>
      <c r="B140" s="4" t="s">
        <v>224</v>
      </c>
      <c r="C140" s="4" t="s">
        <v>225</v>
      </c>
      <c r="D140" s="4" t="s">
        <v>258</v>
      </c>
      <c r="E140" s="4" t="s">
        <v>107</v>
      </c>
      <c r="F140" s="4" t="s">
        <v>180</v>
      </c>
      <c r="G140" s="4" t="s">
        <v>21</v>
      </c>
      <c r="H140" s="4" t="s">
        <v>138</v>
      </c>
      <c r="I140" s="9">
        <v>42947</v>
      </c>
      <c r="J140" s="11">
        <v>1</v>
      </c>
      <c r="K140" s="4" t="s">
        <v>184</v>
      </c>
      <c r="L140" s="11">
        <v>2467</v>
      </c>
      <c r="M140" s="11">
        <v>2467</v>
      </c>
      <c r="N140" s="4" t="s">
        <v>8</v>
      </c>
      <c r="O140" s="5">
        <v>5637370405</v>
      </c>
      <c r="P140" s="11">
        <f>_xll.AtlasFormulas.AtlasFunctions.AtlasBalance("UAT",DataAreaId,"T.MarkupTrans","Sum|Posted|0","","","","","","","MarkupCode|TransRecId|TransTableId","TPP",$O140,"64")</f>
        <v>0</v>
      </c>
    </row>
    <row r="141" spans="1:16" x14ac:dyDescent="0.25">
      <c r="A141" s="4" t="s">
        <v>116</v>
      </c>
      <c r="B141" s="4" t="s">
        <v>239</v>
      </c>
      <c r="C141" s="4" t="s">
        <v>176</v>
      </c>
      <c r="D141" s="4" t="s">
        <v>255</v>
      </c>
      <c r="E141" s="4" t="s">
        <v>111</v>
      </c>
      <c r="F141" s="4" t="s">
        <v>180</v>
      </c>
      <c r="G141" s="4" t="s">
        <v>21</v>
      </c>
      <c r="H141" s="4" t="s">
        <v>138</v>
      </c>
      <c r="I141" s="9">
        <v>42947</v>
      </c>
      <c r="J141" s="11">
        <v>1</v>
      </c>
      <c r="K141" s="4" t="s">
        <v>184</v>
      </c>
      <c r="L141" s="11">
        <v>1187</v>
      </c>
      <c r="M141" s="11">
        <v>1187</v>
      </c>
      <c r="N141" s="4" t="s">
        <v>8</v>
      </c>
      <c r="O141" s="5">
        <v>5637370751</v>
      </c>
      <c r="P141" s="11">
        <f>_xll.AtlasFormulas.AtlasFunctions.AtlasBalance("UAT",DataAreaId,"T.MarkupTrans","Sum|Posted|0","","","","","","","MarkupCode|TransRecId|TransTableId","TPP",$O141,"64")</f>
        <v>0</v>
      </c>
    </row>
    <row r="142" spans="1:16" x14ac:dyDescent="0.25">
      <c r="A142" s="4" t="s">
        <v>116</v>
      </c>
      <c r="B142" s="4" t="s">
        <v>244</v>
      </c>
      <c r="C142" s="4" t="s">
        <v>193</v>
      </c>
      <c r="D142" s="4" t="s">
        <v>257</v>
      </c>
      <c r="E142" s="4" t="s">
        <v>106</v>
      </c>
      <c r="F142" s="4" t="s">
        <v>180</v>
      </c>
      <c r="G142" s="4" t="s">
        <v>21</v>
      </c>
      <c r="H142" s="4" t="s">
        <v>138</v>
      </c>
      <c r="I142" s="9">
        <v>42947</v>
      </c>
      <c r="J142" s="11">
        <v>1</v>
      </c>
      <c r="K142" s="4" t="s">
        <v>184</v>
      </c>
      <c r="L142" s="11">
        <v>1245</v>
      </c>
      <c r="M142" s="11">
        <v>1245</v>
      </c>
      <c r="N142" s="4" t="s">
        <v>8</v>
      </c>
      <c r="O142" s="5">
        <v>5637370348</v>
      </c>
      <c r="P142" s="11">
        <f>_xll.AtlasFormulas.AtlasFunctions.AtlasBalance("UAT",DataAreaId,"T.MarkupTrans","Sum|Posted|0","","","","","","","MarkupCode|TransRecId|TransTableId","TPP",$O142,"64")</f>
        <v>0</v>
      </c>
    </row>
    <row r="143" spans="1:16" x14ac:dyDescent="0.25">
      <c r="A143" s="4" t="s">
        <v>116</v>
      </c>
      <c r="B143" s="4" t="s">
        <v>213</v>
      </c>
      <c r="C143" s="4" t="s">
        <v>178</v>
      </c>
      <c r="D143" s="4" t="s">
        <v>260</v>
      </c>
      <c r="E143" s="4" t="s">
        <v>105</v>
      </c>
      <c r="F143" s="4" t="s">
        <v>180</v>
      </c>
      <c r="G143" s="4" t="s">
        <v>21</v>
      </c>
      <c r="H143" s="4" t="s">
        <v>138</v>
      </c>
      <c r="I143" s="9">
        <v>42947</v>
      </c>
      <c r="J143" s="11">
        <v>-1</v>
      </c>
      <c r="K143" s="4" t="s">
        <v>184</v>
      </c>
      <c r="L143" s="11">
        <v>1733</v>
      </c>
      <c r="M143" s="11">
        <v>-1733</v>
      </c>
      <c r="N143" s="4" t="s">
        <v>8</v>
      </c>
      <c r="O143" s="5">
        <v>5637370318</v>
      </c>
      <c r="P143" s="11">
        <f>_xll.AtlasFormulas.AtlasFunctions.AtlasBalance("UAT",DataAreaId,"T.MarkupTrans","Sum|Posted|0","","","","","","","MarkupCode|TransRecId|TransTableId","TPP",$O143,"64")</f>
        <v>0</v>
      </c>
    </row>
    <row r="144" spans="1:16" x14ac:dyDescent="0.25">
      <c r="A144" s="4" t="s">
        <v>116</v>
      </c>
      <c r="B144" s="4" t="s">
        <v>229</v>
      </c>
      <c r="C144" s="4" t="s">
        <v>230</v>
      </c>
      <c r="D144" s="4" t="s">
        <v>231</v>
      </c>
      <c r="E144" s="4" t="s">
        <v>53</v>
      </c>
      <c r="F144" s="4" t="s">
        <v>180</v>
      </c>
      <c r="G144" s="4" t="s">
        <v>23</v>
      </c>
      <c r="H144" s="4" t="s">
        <v>139</v>
      </c>
      <c r="I144" s="9">
        <v>42884</v>
      </c>
      <c r="J144" s="11">
        <v>1</v>
      </c>
      <c r="K144" s="4" t="s">
        <v>184</v>
      </c>
      <c r="L144" s="11">
        <v>756.35</v>
      </c>
      <c r="M144" s="11">
        <v>756.35</v>
      </c>
      <c r="N144" s="4" t="s">
        <v>8</v>
      </c>
      <c r="O144" s="5">
        <v>5637364313</v>
      </c>
      <c r="P144" s="11">
        <f>_xll.AtlasFormulas.AtlasFunctions.AtlasBalance("UAT",DataAreaId,"T.MarkupTrans","Sum|Posted|0","","","","","","","MarkupCode|TransRecId|TransTableId","TPP",$O144,"64")</f>
        <v>0</v>
      </c>
    </row>
    <row r="145" spans="1:16" x14ac:dyDescent="0.25">
      <c r="A145" s="4" t="s">
        <v>116</v>
      </c>
      <c r="B145" s="4" t="s">
        <v>227</v>
      </c>
      <c r="C145" s="4" t="s">
        <v>203</v>
      </c>
      <c r="D145" s="4" t="s">
        <v>228</v>
      </c>
      <c r="E145" s="4" t="s">
        <v>52</v>
      </c>
      <c r="F145" s="4" t="s">
        <v>180</v>
      </c>
      <c r="G145" s="4" t="s">
        <v>23</v>
      </c>
      <c r="H145" s="4" t="s">
        <v>139</v>
      </c>
      <c r="I145" s="9">
        <v>42884</v>
      </c>
      <c r="J145" s="11">
        <v>1</v>
      </c>
      <c r="K145" s="4" t="s">
        <v>184</v>
      </c>
      <c r="L145" s="11">
        <v>972.45</v>
      </c>
      <c r="M145" s="11">
        <v>972.45</v>
      </c>
      <c r="N145" s="4" t="s">
        <v>8</v>
      </c>
      <c r="O145" s="5">
        <v>5637364299</v>
      </c>
      <c r="P145" s="11">
        <f>_xll.AtlasFormulas.AtlasFunctions.AtlasBalance("UAT",DataAreaId,"T.MarkupTrans","Sum|Posted|0","","","","","","","MarkupCode|TransRecId|TransTableId","TPP",$O145,"64")</f>
        <v>0</v>
      </c>
    </row>
    <row r="146" spans="1:16" x14ac:dyDescent="0.25">
      <c r="A146" s="4" t="s">
        <v>116</v>
      </c>
      <c r="B146" s="4" t="s">
        <v>215</v>
      </c>
      <c r="C146" s="4" t="s">
        <v>192</v>
      </c>
      <c r="D146" s="4" t="s">
        <v>242</v>
      </c>
      <c r="E146" s="4" t="s">
        <v>55</v>
      </c>
      <c r="F146" s="4" t="s">
        <v>180</v>
      </c>
      <c r="G146" s="4" t="s">
        <v>23</v>
      </c>
      <c r="H146" s="4" t="s">
        <v>139</v>
      </c>
      <c r="I146" s="9">
        <v>42886</v>
      </c>
      <c r="J146" s="11">
        <v>1</v>
      </c>
      <c r="K146" s="4" t="s">
        <v>184</v>
      </c>
      <c r="L146" s="11">
        <v>563</v>
      </c>
      <c r="M146" s="11">
        <v>563</v>
      </c>
      <c r="N146" s="4" t="s">
        <v>8</v>
      </c>
      <c r="O146" s="5">
        <v>5637364610</v>
      </c>
      <c r="P146" s="11">
        <f>_xll.AtlasFormulas.AtlasFunctions.AtlasBalance("UAT",DataAreaId,"T.MarkupTrans","Sum|Posted|0","","","","","","","MarkupCode|TransRecId|TransTableId","TPP",$O146,"64")</f>
        <v>0</v>
      </c>
    </row>
    <row r="147" spans="1:16" x14ac:dyDescent="0.25">
      <c r="A147" s="4" t="s">
        <v>116</v>
      </c>
      <c r="B147" s="4" t="s">
        <v>175</v>
      </c>
      <c r="C147" s="4" t="s">
        <v>177</v>
      </c>
      <c r="D147" s="4" t="s">
        <v>246</v>
      </c>
      <c r="E147" s="4" t="s">
        <v>57</v>
      </c>
      <c r="F147" s="4" t="s">
        <v>180</v>
      </c>
      <c r="G147" s="4" t="s">
        <v>23</v>
      </c>
      <c r="H147" s="4" t="s">
        <v>139</v>
      </c>
      <c r="I147" s="9">
        <v>42886</v>
      </c>
      <c r="J147" s="11">
        <v>1</v>
      </c>
      <c r="K147" s="4" t="s">
        <v>184</v>
      </c>
      <c r="L147" s="11">
        <v>1147</v>
      </c>
      <c r="M147" s="11">
        <v>1147</v>
      </c>
      <c r="N147" s="4" t="s">
        <v>8</v>
      </c>
      <c r="O147" s="5">
        <v>5637364660</v>
      </c>
      <c r="P147" s="11">
        <f>_xll.AtlasFormulas.AtlasFunctions.AtlasBalance("UAT",DataAreaId,"T.MarkupTrans","Sum|Posted|0","","","","","","","MarkupCode|TransRecId|TransTableId","TPP",$O147,"64")</f>
        <v>0</v>
      </c>
    </row>
    <row r="148" spans="1:16" x14ac:dyDescent="0.25">
      <c r="A148" s="4" t="s">
        <v>116</v>
      </c>
      <c r="B148" s="4" t="s">
        <v>224</v>
      </c>
      <c r="C148" s="4" t="s">
        <v>225</v>
      </c>
      <c r="D148" s="4" t="s">
        <v>247</v>
      </c>
      <c r="E148" s="4" t="s">
        <v>59</v>
      </c>
      <c r="F148" s="4" t="s">
        <v>180</v>
      </c>
      <c r="G148" s="4" t="s">
        <v>23</v>
      </c>
      <c r="H148" s="4" t="s">
        <v>139</v>
      </c>
      <c r="I148" s="9">
        <v>42886</v>
      </c>
      <c r="J148" s="11">
        <v>1</v>
      </c>
      <c r="K148" s="4" t="s">
        <v>184</v>
      </c>
      <c r="L148" s="11">
        <v>1039</v>
      </c>
      <c r="M148" s="11">
        <v>1039</v>
      </c>
      <c r="N148" s="4" t="s">
        <v>8</v>
      </c>
      <c r="O148" s="5">
        <v>5637364737</v>
      </c>
      <c r="P148" s="11">
        <f>_xll.AtlasFormulas.AtlasFunctions.AtlasBalance("UAT",DataAreaId,"T.MarkupTrans","Sum|Posted|0","","","","","","","MarkupCode|TransRecId|TransTableId","TPP",$O148,"64")</f>
        <v>0</v>
      </c>
    </row>
    <row r="149" spans="1:16" x14ac:dyDescent="0.25">
      <c r="A149" s="4" t="s">
        <v>116</v>
      </c>
      <c r="B149" s="4" t="s">
        <v>239</v>
      </c>
      <c r="C149" s="4" t="s">
        <v>176</v>
      </c>
      <c r="D149" s="4" t="s">
        <v>243</v>
      </c>
      <c r="E149" s="4" t="s">
        <v>58</v>
      </c>
      <c r="F149" s="4" t="s">
        <v>180</v>
      </c>
      <c r="G149" s="4" t="s">
        <v>23</v>
      </c>
      <c r="H149" s="4" t="s">
        <v>139</v>
      </c>
      <c r="I149" s="9">
        <v>42886</v>
      </c>
      <c r="J149" s="11">
        <v>1</v>
      </c>
      <c r="K149" s="4" t="s">
        <v>184</v>
      </c>
      <c r="L149" s="11">
        <v>937</v>
      </c>
      <c r="M149" s="11">
        <v>937</v>
      </c>
      <c r="N149" s="4" t="s">
        <v>8</v>
      </c>
      <c r="O149" s="5">
        <v>5637364699</v>
      </c>
      <c r="P149" s="11">
        <f>_xll.AtlasFormulas.AtlasFunctions.AtlasBalance("UAT",DataAreaId,"T.MarkupTrans","Sum|Posted|0","","","","","","","MarkupCode|TransRecId|TransTableId","TPP",$O149,"64")</f>
        <v>0</v>
      </c>
    </row>
    <row r="150" spans="1:16" x14ac:dyDescent="0.25">
      <c r="A150" s="4" t="s">
        <v>116</v>
      </c>
      <c r="B150" s="4" t="s">
        <v>244</v>
      </c>
      <c r="C150" s="4" t="s">
        <v>193</v>
      </c>
      <c r="D150" s="4" t="s">
        <v>245</v>
      </c>
      <c r="E150" s="4" t="s">
        <v>61</v>
      </c>
      <c r="F150" s="4" t="s">
        <v>180</v>
      </c>
      <c r="G150" s="4" t="s">
        <v>23</v>
      </c>
      <c r="H150" s="4" t="s">
        <v>139</v>
      </c>
      <c r="I150" s="9">
        <v>42886</v>
      </c>
      <c r="J150" s="11">
        <v>1</v>
      </c>
      <c r="K150" s="4" t="s">
        <v>184</v>
      </c>
      <c r="L150" s="11">
        <v>719</v>
      </c>
      <c r="M150" s="11">
        <v>719</v>
      </c>
      <c r="N150" s="4" t="s">
        <v>8</v>
      </c>
      <c r="O150" s="5">
        <v>5637364775</v>
      </c>
      <c r="P150" s="11">
        <f>_xll.AtlasFormulas.AtlasFunctions.AtlasBalance("UAT",DataAreaId,"T.MarkupTrans","Sum|Posted|0","","","","","","","MarkupCode|TransRecId|TransTableId","TPP",$O150,"64")</f>
        <v>0</v>
      </c>
    </row>
    <row r="151" spans="1:16" x14ac:dyDescent="0.25">
      <c r="A151" s="4" t="s">
        <v>116</v>
      </c>
      <c r="B151" s="4" t="s">
        <v>213</v>
      </c>
      <c r="C151" s="4" t="s">
        <v>178</v>
      </c>
      <c r="D151" s="4" t="s">
        <v>248</v>
      </c>
      <c r="E151" s="4" t="s">
        <v>62</v>
      </c>
      <c r="F151" s="4" t="s">
        <v>180</v>
      </c>
      <c r="G151" s="4" t="s">
        <v>23</v>
      </c>
      <c r="H151" s="4" t="s">
        <v>139</v>
      </c>
      <c r="I151" s="9">
        <v>42886</v>
      </c>
      <c r="J151" s="11">
        <v>1</v>
      </c>
      <c r="K151" s="4" t="s">
        <v>184</v>
      </c>
      <c r="L151" s="11">
        <v>318</v>
      </c>
      <c r="M151" s="11">
        <v>318</v>
      </c>
      <c r="N151" s="4" t="s">
        <v>8</v>
      </c>
      <c r="O151" s="5">
        <v>5637364813</v>
      </c>
      <c r="P151" s="11">
        <f>_xll.AtlasFormulas.AtlasFunctions.AtlasBalance("UAT",DataAreaId,"T.MarkupTrans","Sum|Posted|0","","","","","","","MarkupCode|TransRecId|TransTableId","TPP",$O151,"64")</f>
        <v>0</v>
      </c>
    </row>
    <row r="152" spans="1:16" x14ac:dyDescent="0.25">
      <c r="A152" s="4" t="s">
        <v>116</v>
      </c>
      <c r="B152" s="4" t="s">
        <v>261</v>
      </c>
      <c r="C152" s="4" t="s">
        <v>262</v>
      </c>
      <c r="D152" s="4" t="s">
        <v>263</v>
      </c>
      <c r="E152" s="4" t="s">
        <v>73</v>
      </c>
      <c r="F152" s="4" t="s">
        <v>180</v>
      </c>
      <c r="G152" s="4" t="s">
        <v>23</v>
      </c>
      <c r="H152" s="4" t="s">
        <v>139</v>
      </c>
      <c r="I152" s="9">
        <v>42908</v>
      </c>
      <c r="J152" s="11">
        <v>1</v>
      </c>
      <c r="K152" s="4" t="s">
        <v>184</v>
      </c>
      <c r="L152" s="11">
        <v>750</v>
      </c>
      <c r="M152" s="11">
        <v>750</v>
      </c>
      <c r="N152" s="4" t="s">
        <v>9</v>
      </c>
      <c r="O152" s="5">
        <v>5637365631</v>
      </c>
      <c r="P152" s="11">
        <f>_xll.AtlasFormulas.AtlasFunctions.AtlasBalance("UAT",DataAreaId,"T.MarkupTrans","Sum|Posted|0","","","","","","","MarkupCode|TransRecId|TransTableId","TPP",$O152,"64")</f>
        <v>0</v>
      </c>
    </row>
    <row r="153" spans="1:16" x14ac:dyDescent="0.25">
      <c r="A153" s="4" t="s">
        <v>116</v>
      </c>
      <c r="B153" s="4" t="s">
        <v>227</v>
      </c>
      <c r="C153" s="4" t="s">
        <v>203</v>
      </c>
      <c r="D153" s="4" t="s">
        <v>232</v>
      </c>
      <c r="E153" s="4" t="s">
        <v>80</v>
      </c>
      <c r="F153" s="4" t="s">
        <v>180</v>
      </c>
      <c r="G153" s="4" t="s">
        <v>23</v>
      </c>
      <c r="H153" s="4" t="s">
        <v>139</v>
      </c>
      <c r="I153" s="9">
        <v>42915</v>
      </c>
      <c r="J153" s="11">
        <v>1</v>
      </c>
      <c r="K153" s="4" t="s">
        <v>184</v>
      </c>
      <c r="L153" s="11">
        <v>964.05</v>
      </c>
      <c r="M153" s="11">
        <v>964.05</v>
      </c>
      <c r="N153" s="4" t="s">
        <v>8</v>
      </c>
      <c r="O153" s="5">
        <v>5637367001</v>
      </c>
      <c r="P153" s="11">
        <f>_xll.AtlasFormulas.AtlasFunctions.AtlasBalance("UAT",DataAreaId,"T.MarkupTrans","Sum|Posted|0","","","","","","","MarkupCode|TransRecId|TransTableId","TPP",$O153,"64")</f>
        <v>0</v>
      </c>
    </row>
    <row r="154" spans="1:16" x14ac:dyDescent="0.25">
      <c r="A154" s="4" t="s">
        <v>116</v>
      </c>
      <c r="B154" s="4" t="s">
        <v>215</v>
      </c>
      <c r="C154" s="4" t="s">
        <v>192</v>
      </c>
      <c r="D154" s="4" t="s">
        <v>253</v>
      </c>
      <c r="E154" s="4" t="s">
        <v>92</v>
      </c>
      <c r="F154" s="4" t="s">
        <v>180</v>
      </c>
      <c r="G154" s="4" t="s">
        <v>23</v>
      </c>
      <c r="H154" s="4" t="s">
        <v>139</v>
      </c>
      <c r="I154" s="9">
        <v>42916</v>
      </c>
      <c r="J154" s="11">
        <v>1</v>
      </c>
      <c r="K154" s="4" t="s">
        <v>184</v>
      </c>
      <c r="L154" s="11">
        <v>362</v>
      </c>
      <c r="M154" s="11">
        <v>362</v>
      </c>
      <c r="N154" s="4" t="s">
        <v>8</v>
      </c>
      <c r="O154" s="5">
        <v>5637367328</v>
      </c>
      <c r="P154" s="11">
        <f>_xll.AtlasFormulas.AtlasFunctions.AtlasBalance("UAT",DataAreaId,"T.MarkupTrans","Sum|Posted|0","","","","","","","MarkupCode|TransRecId|TransTableId","TPP",$O154,"64")</f>
        <v>0</v>
      </c>
    </row>
    <row r="155" spans="1:16" x14ac:dyDescent="0.25">
      <c r="A155" s="4" t="s">
        <v>116</v>
      </c>
      <c r="B155" s="4" t="s">
        <v>175</v>
      </c>
      <c r="C155" s="4" t="s">
        <v>177</v>
      </c>
      <c r="D155" s="4" t="s">
        <v>252</v>
      </c>
      <c r="E155" s="4" t="s">
        <v>95</v>
      </c>
      <c r="F155" s="4" t="s">
        <v>180</v>
      </c>
      <c r="G155" s="4" t="s">
        <v>23</v>
      </c>
      <c r="H155" s="4" t="s">
        <v>139</v>
      </c>
      <c r="I155" s="9">
        <v>42916</v>
      </c>
      <c r="J155" s="11">
        <v>1</v>
      </c>
      <c r="K155" s="4" t="s">
        <v>184</v>
      </c>
      <c r="L155" s="11">
        <v>820</v>
      </c>
      <c r="M155" s="11">
        <v>820</v>
      </c>
      <c r="N155" s="4" t="s">
        <v>8</v>
      </c>
      <c r="O155" s="5">
        <v>5637367414</v>
      </c>
      <c r="P155" s="11">
        <f>_xll.AtlasFormulas.AtlasFunctions.AtlasBalance("UAT",DataAreaId,"T.MarkupTrans","Sum|Posted|0","","","","","","","MarkupCode|TransRecId|TransTableId","TPP",$O155,"64")</f>
        <v>0</v>
      </c>
    </row>
    <row r="156" spans="1:16" x14ac:dyDescent="0.25">
      <c r="A156" s="4" t="s">
        <v>116</v>
      </c>
      <c r="B156" s="4" t="s">
        <v>239</v>
      </c>
      <c r="C156" s="4" t="s">
        <v>176</v>
      </c>
      <c r="D156" s="4" t="s">
        <v>254</v>
      </c>
      <c r="E156" s="4" t="s">
        <v>96</v>
      </c>
      <c r="F156" s="4" t="s">
        <v>180</v>
      </c>
      <c r="G156" s="4" t="s">
        <v>23</v>
      </c>
      <c r="H156" s="4" t="s">
        <v>139</v>
      </c>
      <c r="I156" s="9">
        <v>42916</v>
      </c>
      <c r="J156" s="11">
        <v>1</v>
      </c>
      <c r="K156" s="4" t="s">
        <v>184</v>
      </c>
      <c r="L156" s="11">
        <v>298</v>
      </c>
      <c r="M156" s="11">
        <v>298</v>
      </c>
      <c r="N156" s="4" t="s">
        <v>8</v>
      </c>
      <c r="O156" s="5">
        <v>5637367452</v>
      </c>
      <c r="P156" s="11">
        <f>_xll.AtlasFormulas.AtlasFunctions.AtlasBalance("UAT",DataAreaId,"T.MarkupTrans","Sum|Posted|0","","","","","","","MarkupCode|TransRecId|TransTableId","TPP",$O156,"64")</f>
        <v>0</v>
      </c>
    </row>
    <row r="157" spans="1:16" x14ac:dyDescent="0.25">
      <c r="A157" s="4" t="s">
        <v>116</v>
      </c>
      <c r="B157" s="4" t="s">
        <v>224</v>
      </c>
      <c r="C157" s="4" t="s">
        <v>225</v>
      </c>
      <c r="D157" s="4" t="s">
        <v>251</v>
      </c>
      <c r="E157" s="4" t="s">
        <v>93</v>
      </c>
      <c r="F157" s="4" t="s">
        <v>180</v>
      </c>
      <c r="G157" s="4" t="s">
        <v>23</v>
      </c>
      <c r="H157" s="4" t="s">
        <v>139</v>
      </c>
      <c r="I157" s="9">
        <v>42916</v>
      </c>
      <c r="J157" s="11">
        <v>1</v>
      </c>
      <c r="K157" s="4" t="s">
        <v>184</v>
      </c>
      <c r="L157" s="11">
        <v>1276</v>
      </c>
      <c r="M157" s="11">
        <v>1276</v>
      </c>
      <c r="N157" s="4" t="s">
        <v>8</v>
      </c>
      <c r="O157" s="5">
        <v>5637367366</v>
      </c>
      <c r="P157" s="11">
        <f>_xll.AtlasFormulas.AtlasFunctions.AtlasBalance("UAT",DataAreaId,"T.MarkupTrans","Sum|Posted|0","","","","","","","MarkupCode|TransRecId|TransTableId","TPP",$O157,"64")</f>
        <v>0</v>
      </c>
    </row>
    <row r="158" spans="1:16" x14ac:dyDescent="0.25">
      <c r="A158" s="4" t="s">
        <v>116</v>
      </c>
      <c r="B158" s="4" t="s">
        <v>213</v>
      </c>
      <c r="C158" s="4" t="s">
        <v>178</v>
      </c>
      <c r="D158" s="4" t="s">
        <v>250</v>
      </c>
      <c r="E158" s="4" t="s">
        <v>90</v>
      </c>
      <c r="F158" s="4" t="s">
        <v>180</v>
      </c>
      <c r="G158" s="4" t="s">
        <v>23</v>
      </c>
      <c r="H158" s="4" t="s">
        <v>139</v>
      </c>
      <c r="I158" s="9">
        <v>42916</v>
      </c>
      <c r="J158" s="11">
        <v>1</v>
      </c>
      <c r="K158" s="4" t="s">
        <v>184</v>
      </c>
      <c r="L158" s="11">
        <v>789</v>
      </c>
      <c r="M158" s="11">
        <v>789</v>
      </c>
      <c r="N158" s="4" t="s">
        <v>8</v>
      </c>
      <c r="O158" s="5">
        <v>5637367260</v>
      </c>
      <c r="P158" s="11">
        <f>_xll.AtlasFormulas.AtlasFunctions.AtlasBalance("UAT",DataAreaId,"T.MarkupTrans","Sum|Posted|0","","","","","","","MarkupCode|TransRecId|TransTableId","TPP",$O158,"64")</f>
        <v>0</v>
      </c>
    </row>
    <row r="159" spans="1:16" x14ac:dyDescent="0.25">
      <c r="A159" s="4" t="s">
        <v>116</v>
      </c>
      <c r="B159" s="4" t="s">
        <v>244</v>
      </c>
      <c r="C159" s="4" t="s">
        <v>193</v>
      </c>
      <c r="D159" s="4" t="s">
        <v>249</v>
      </c>
      <c r="E159" s="4" t="s">
        <v>91</v>
      </c>
      <c r="F159" s="4" t="s">
        <v>180</v>
      </c>
      <c r="G159" s="4" t="s">
        <v>23</v>
      </c>
      <c r="H159" s="4" t="s">
        <v>139</v>
      </c>
      <c r="I159" s="9">
        <v>42916</v>
      </c>
      <c r="J159" s="11">
        <v>1</v>
      </c>
      <c r="K159" s="4" t="s">
        <v>184</v>
      </c>
      <c r="L159" s="11">
        <v>1254</v>
      </c>
      <c r="M159" s="11">
        <v>1254</v>
      </c>
      <c r="N159" s="4" t="s">
        <v>8</v>
      </c>
      <c r="O159" s="5">
        <v>5637367290</v>
      </c>
      <c r="P159" s="11">
        <f>_xll.AtlasFormulas.AtlasFunctions.AtlasBalance("UAT",DataAreaId,"T.MarkupTrans","Sum|Posted|0","","","","","","","MarkupCode|TransRecId|TransTableId","TPP",$O159,"64")</f>
        <v>0</v>
      </c>
    </row>
    <row r="160" spans="1:16" x14ac:dyDescent="0.25">
      <c r="A160" s="4" t="s">
        <v>116</v>
      </c>
      <c r="B160" s="4" t="s">
        <v>229</v>
      </c>
      <c r="C160" s="4" t="s">
        <v>230</v>
      </c>
      <c r="D160" s="4" t="s">
        <v>233</v>
      </c>
      <c r="E160" s="4" t="s">
        <v>82</v>
      </c>
      <c r="F160" s="4" t="s">
        <v>180</v>
      </c>
      <c r="G160" s="4" t="s">
        <v>23</v>
      </c>
      <c r="H160" s="4" t="s">
        <v>139</v>
      </c>
      <c r="I160" s="9">
        <v>42916</v>
      </c>
      <c r="J160" s="11">
        <v>1</v>
      </c>
      <c r="K160" s="4" t="s">
        <v>184</v>
      </c>
      <c r="L160" s="11">
        <v>757.21</v>
      </c>
      <c r="M160" s="11">
        <v>757.21</v>
      </c>
      <c r="N160" s="4" t="s">
        <v>8</v>
      </c>
      <c r="O160" s="5">
        <v>5637367107</v>
      </c>
      <c r="P160" s="11">
        <f>_xll.AtlasFormulas.AtlasFunctions.AtlasBalance("UAT",DataAreaId,"T.MarkupTrans","Sum|Posted|0","","","","","","","MarkupCode|TransRecId|TransTableId","TPP",$O160,"64")</f>
        <v>0</v>
      </c>
    </row>
    <row r="161" spans="1:16" x14ac:dyDescent="0.25">
      <c r="A161" s="4" t="s">
        <v>116</v>
      </c>
      <c r="B161" s="4" t="s">
        <v>229</v>
      </c>
      <c r="C161" s="4" t="s">
        <v>230</v>
      </c>
      <c r="D161" s="4" t="s">
        <v>234</v>
      </c>
      <c r="E161" s="4" t="s">
        <v>102</v>
      </c>
      <c r="F161" s="4" t="s">
        <v>180</v>
      </c>
      <c r="G161" s="4" t="s">
        <v>23</v>
      </c>
      <c r="H161" s="4" t="s">
        <v>139</v>
      </c>
      <c r="I161" s="9">
        <v>42943</v>
      </c>
      <c r="J161" s="11">
        <v>1</v>
      </c>
      <c r="K161" s="4" t="s">
        <v>184</v>
      </c>
      <c r="L161" s="11">
        <v>658.99</v>
      </c>
      <c r="M161" s="11">
        <v>658.99</v>
      </c>
      <c r="N161" s="4" t="s">
        <v>8</v>
      </c>
      <c r="O161" s="5">
        <v>5637369410</v>
      </c>
      <c r="P161" s="11">
        <f>_xll.AtlasFormulas.AtlasFunctions.AtlasBalance("UAT",DataAreaId,"T.MarkupTrans","Sum|Posted|0","","","","","","","MarkupCode|TransRecId|TransTableId","TPP",$O161,"64")</f>
        <v>0</v>
      </c>
    </row>
    <row r="162" spans="1:16" x14ac:dyDescent="0.25">
      <c r="A162" s="4" t="s">
        <v>116</v>
      </c>
      <c r="B162" s="4" t="s">
        <v>227</v>
      </c>
      <c r="C162" s="4" t="s">
        <v>203</v>
      </c>
      <c r="D162" s="4" t="s">
        <v>235</v>
      </c>
      <c r="E162" s="4" t="s">
        <v>103</v>
      </c>
      <c r="F162" s="4" t="s">
        <v>180</v>
      </c>
      <c r="G162" s="4" t="s">
        <v>23</v>
      </c>
      <c r="H162" s="4" t="s">
        <v>139</v>
      </c>
      <c r="I162" s="9">
        <v>42943</v>
      </c>
      <c r="J162" s="11">
        <v>1</v>
      </c>
      <c r="K162" s="4" t="s">
        <v>184</v>
      </c>
      <c r="L162" s="11">
        <v>1581.83</v>
      </c>
      <c r="M162" s="11">
        <v>1581.83</v>
      </c>
      <c r="N162" s="4" t="s">
        <v>8</v>
      </c>
      <c r="O162" s="5">
        <v>5637369417</v>
      </c>
      <c r="P162" s="11">
        <f>_xll.AtlasFormulas.AtlasFunctions.AtlasBalance("UAT",DataAreaId,"T.MarkupTrans","Sum|Posted|0","","","","","","","MarkupCode|TransRecId|TransTableId","TPP",$O162,"64")</f>
        <v>0</v>
      </c>
    </row>
    <row r="163" spans="1:16" x14ac:dyDescent="0.25">
      <c r="A163" s="4" t="s">
        <v>116</v>
      </c>
      <c r="B163" s="4" t="s">
        <v>215</v>
      </c>
      <c r="C163" s="4" t="s">
        <v>192</v>
      </c>
      <c r="D163" s="4" t="s">
        <v>259</v>
      </c>
      <c r="E163" s="4" t="s">
        <v>109</v>
      </c>
      <c r="F163" s="4" t="s">
        <v>180</v>
      </c>
      <c r="G163" s="4" t="s">
        <v>23</v>
      </c>
      <c r="H163" s="4" t="s">
        <v>139</v>
      </c>
      <c r="I163" s="9">
        <v>42947</v>
      </c>
      <c r="J163" s="11">
        <v>-1</v>
      </c>
      <c r="K163" s="4" t="s">
        <v>184</v>
      </c>
      <c r="L163" s="11">
        <v>452</v>
      </c>
      <c r="M163" s="11">
        <v>-452</v>
      </c>
      <c r="N163" s="4" t="s">
        <v>8</v>
      </c>
      <c r="O163" s="5">
        <v>5637370457</v>
      </c>
      <c r="P163" s="11">
        <f>_xll.AtlasFormulas.AtlasFunctions.AtlasBalance("UAT",DataAreaId,"T.MarkupTrans","Sum|Posted|0","","","","","","","MarkupCode|TransRecId|TransTableId","TPP",$O163,"64")</f>
        <v>0</v>
      </c>
    </row>
    <row r="164" spans="1:16" x14ac:dyDescent="0.25">
      <c r="A164" s="4" t="s">
        <v>116</v>
      </c>
      <c r="B164" s="4" t="s">
        <v>175</v>
      </c>
      <c r="C164" s="4" t="s">
        <v>177</v>
      </c>
      <c r="D164" s="4" t="s">
        <v>256</v>
      </c>
      <c r="E164" s="4" t="s">
        <v>112</v>
      </c>
      <c r="F164" s="4" t="s">
        <v>180</v>
      </c>
      <c r="G164" s="4" t="s">
        <v>23</v>
      </c>
      <c r="H164" s="4" t="s">
        <v>139</v>
      </c>
      <c r="I164" s="9">
        <v>42947</v>
      </c>
      <c r="J164" s="11">
        <v>1</v>
      </c>
      <c r="K164" s="4" t="s">
        <v>184</v>
      </c>
      <c r="L164" s="11">
        <v>431</v>
      </c>
      <c r="M164" s="11">
        <v>431</v>
      </c>
      <c r="N164" s="4" t="s">
        <v>8</v>
      </c>
      <c r="O164" s="5">
        <v>5637370801</v>
      </c>
      <c r="P164" s="11">
        <f>_xll.AtlasFormulas.AtlasFunctions.AtlasBalance("UAT",DataAreaId,"T.MarkupTrans","Sum|Posted|0","","","","","","","MarkupCode|TransRecId|TransTableId","TPP",$O164,"64")</f>
        <v>0</v>
      </c>
    </row>
    <row r="165" spans="1:16" x14ac:dyDescent="0.25">
      <c r="A165" s="4" t="s">
        <v>116</v>
      </c>
      <c r="B165" s="4" t="s">
        <v>224</v>
      </c>
      <c r="C165" s="4" t="s">
        <v>225</v>
      </c>
      <c r="D165" s="4" t="s">
        <v>258</v>
      </c>
      <c r="E165" s="4" t="s">
        <v>107</v>
      </c>
      <c r="F165" s="4" t="s">
        <v>180</v>
      </c>
      <c r="G165" s="4" t="s">
        <v>23</v>
      </c>
      <c r="H165" s="4" t="s">
        <v>139</v>
      </c>
      <c r="I165" s="9">
        <v>42947</v>
      </c>
      <c r="J165" s="11">
        <v>1</v>
      </c>
      <c r="K165" s="4" t="s">
        <v>184</v>
      </c>
      <c r="L165" s="11">
        <v>371</v>
      </c>
      <c r="M165" s="11">
        <v>371</v>
      </c>
      <c r="N165" s="4" t="s">
        <v>8</v>
      </c>
      <c r="O165" s="5">
        <v>5637370409</v>
      </c>
      <c r="P165" s="11">
        <f>_xll.AtlasFormulas.AtlasFunctions.AtlasBalance("UAT",DataAreaId,"T.MarkupTrans","Sum|Posted|0","","","","","","","MarkupCode|TransRecId|TransTableId","TPP",$O165,"64")</f>
        <v>0</v>
      </c>
    </row>
    <row r="166" spans="1:16" x14ac:dyDescent="0.25">
      <c r="A166" s="4" t="s">
        <v>116</v>
      </c>
      <c r="B166" s="4" t="s">
        <v>239</v>
      </c>
      <c r="C166" s="4" t="s">
        <v>176</v>
      </c>
      <c r="D166" s="4" t="s">
        <v>255</v>
      </c>
      <c r="E166" s="4" t="s">
        <v>111</v>
      </c>
      <c r="F166" s="4" t="s">
        <v>180</v>
      </c>
      <c r="G166" s="4" t="s">
        <v>23</v>
      </c>
      <c r="H166" s="4" t="s">
        <v>139</v>
      </c>
      <c r="I166" s="9">
        <v>42947</v>
      </c>
      <c r="J166" s="11">
        <v>-1</v>
      </c>
      <c r="K166" s="4" t="s">
        <v>184</v>
      </c>
      <c r="L166" s="11">
        <v>20</v>
      </c>
      <c r="M166" s="11">
        <v>-20</v>
      </c>
      <c r="N166" s="4" t="s">
        <v>8</v>
      </c>
      <c r="O166" s="5">
        <v>5637370755</v>
      </c>
      <c r="P166" s="11">
        <f>_xll.AtlasFormulas.AtlasFunctions.AtlasBalance("UAT",DataAreaId,"T.MarkupTrans","Sum|Posted|0","","","","","","","MarkupCode|TransRecId|TransTableId","TPP",$O166,"64")</f>
        <v>0</v>
      </c>
    </row>
    <row r="167" spans="1:16" x14ac:dyDescent="0.25">
      <c r="A167" s="4" t="s">
        <v>116</v>
      </c>
      <c r="B167" s="4" t="s">
        <v>244</v>
      </c>
      <c r="C167" s="4" t="s">
        <v>193</v>
      </c>
      <c r="D167" s="4" t="s">
        <v>257</v>
      </c>
      <c r="E167" s="4" t="s">
        <v>106</v>
      </c>
      <c r="F167" s="4" t="s">
        <v>180</v>
      </c>
      <c r="G167" s="4" t="s">
        <v>23</v>
      </c>
      <c r="H167" s="4" t="s">
        <v>139</v>
      </c>
      <c r="I167" s="9">
        <v>42947</v>
      </c>
      <c r="J167" s="11">
        <v>1</v>
      </c>
      <c r="K167" s="4" t="s">
        <v>184</v>
      </c>
      <c r="L167" s="11">
        <v>16</v>
      </c>
      <c r="M167" s="11">
        <v>16</v>
      </c>
      <c r="N167" s="4" t="s">
        <v>8</v>
      </c>
      <c r="O167" s="5">
        <v>5637370352</v>
      </c>
      <c r="P167" s="11">
        <f>_xll.AtlasFormulas.AtlasFunctions.AtlasBalance("UAT",DataAreaId,"T.MarkupTrans","Sum|Posted|0","","","","","","","MarkupCode|TransRecId|TransTableId","TPP",$O167,"64")</f>
        <v>0</v>
      </c>
    </row>
    <row r="168" spans="1:16" x14ac:dyDescent="0.25">
      <c r="A168" s="4" t="s">
        <v>116</v>
      </c>
      <c r="B168" s="4" t="s">
        <v>213</v>
      </c>
      <c r="C168" s="4" t="s">
        <v>178</v>
      </c>
      <c r="D168" s="4" t="s">
        <v>260</v>
      </c>
      <c r="E168" s="4" t="s">
        <v>105</v>
      </c>
      <c r="F168" s="4" t="s">
        <v>180</v>
      </c>
      <c r="G168" s="4" t="s">
        <v>23</v>
      </c>
      <c r="H168" s="4" t="s">
        <v>139</v>
      </c>
      <c r="I168" s="9">
        <v>42947</v>
      </c>
      <c r="J168" s="11">
        <v>-1</v>
      </c>
      <c r="K168" s="4" t="s">
        <v>184</v>
      </c>
      <c r="L168" s="11">
        <v>888</v>
      </c>
      <c r="M168" s="11">
        <v>-888</v>
      </c>
      <c r="N168" s="4" t="s">
        <v>8</v>
      </c>
      <c r="O168" s="5">
        <v>5637370322</v>
      </c>
      <c r="P168" s="11">
        <f>_xll.AtlasFormulas.AtlasFunctions.AtlasBalance("UAT",DataAreaId,"T.MarkupTrans","Sum|Posted|0","","","","","","","MarkupCode|TransRecId|TransTableId","TPP",$O168,"64")</f>
        <v>0</v>
      </c>
    </row>
    <row r="169" spans="1:16" x14ac:dyDescent="0.25">
      <c r="A169" s="4" t="s">
        <v>116</v>
      </c>
      <c r="B169" s="4" t="s">
        <v>213</v>
      </c>
      <c r="C169" s="4" t="s">
        <v>178</v>
      </c>
      <c r="D169" s="4" t="s">
        <v>248</v>
      </c>
      <c r="E169" s="4" t="s">
        <v>62</v>
      </c>
      <c r="F169" s="4" t="s">
        <v>180</v>
      </c>
      <c r="G169" s="4" t="s">
        <v>33</v>
      </c>
      <c r="H169" s="4" t="s">
        <v>140</v>
      </c>
      <c r="I169" s="9">
        <v>42886</v>
      </c>
      <c r="J169" s="11">
        <v>1</v>
      </c>
      <c r="K169" s="4" t="s">
        <v>184</v>
      </c>
      <c r="L169" s="11">
        <v>498</v>
      </c>
      <c r="M169" s="11">
        <v>498</v>
      </c>
      <c r="N169" s="4" t="s">
        <v>8</v>
      </c>
      <c r="O169" s="5">
        <v>5637364795</v>
      </c>
      <c r="P169" s="11">
        <f>_xll.AtlasFormulas.AtlasFunctions.AtlasBalance("UAT",DataAreaId,"T.MarkupTrans","Sum|Posted|0","","","","","","","MarkupCode|TransRecId|TransTableId","TPP",$O169,"64")</f>
        <v>0</v>
      </c>
    </row>
    <row r="170" spans="1:16" x14ac:dyDescent="0.25">
      <c r="A170" s="4" t="s">
        <v>116</v>
      </c>
      <c r="B170" s="4" t="s">
        <v>244</v>
      </c>
      <c r="C170" s="4" t="s">
        <v>193</v>
      </c>
      <c r="D170" s="4" t="s">
        <v>245</v>
      </c>
      <c r="E170" s="4" t="s">
        <v>61</v>
      </c>
      <c r="F170" s="4" t="s">
        <v>180</v>
      </c>
      <c r="G170" s="4" t="s">
        <v>33</v>
      </c>
      <c r="H170" s="4" t="s">
        <v>140</v>
      </c>
      <c r="I170" s="9">
        <v>42886</v>
      </c>
      <c r="J170" s="11">
        <v>1</v>
      </c>
      <c r="K170" s="4" t="s">
        <v>184</v>
      </c>
      <c r="L170" s="11">
        <v>1819</v>
      </c>
      <c r="M170" s="11">
        <v>1819</v>
      </c>
      <c r="N170" s="4" t="s">
        <v>8</v>
      </c>
      <c r="O170" s="5">
        <v>5637364761</v>
      </c>
      <c r="P170" s="11">
        <f>_xll.AtlasFormulas.AtlasFunctions.AtlasBalance("UAT",DataAreaId,"T.MarkupTrans","Sum|Posted|0","","","","","","","MarkupCode|TransRecId|TransTableId","TPP",$O170,"64")</f>
        <v>0</v>
      </c>
    </row>
    <row r="171" spans="1:16" x14ac:dyDescent="0.25">
      <c r="A171" s="4" t="s">
        <v>116</v>
      </c>
      <c r="B171" s="4" t="s">
        <v>239</v>
      </c>
      <c r="C171" s="4" t="s">
        <v>176</v>
      </c>
      <c r="D171" s="4" t="s">
        <v>243</v>
      </c>
      <c r="E171" s="4" t="s">
        <v>58</v>
      </c>
      <c r="F171" s="4" t="s">
        <v>180</v>
      </c>
      <c r="G171" s="4" t="s">
        <v>33</v>
      </c>
      <c r="H171" s="4" t="s">
        <v>140</v>
      </c>
      <c r="I171" s="9">
        <v>42886</v>
      </c>
      <c r="J171" s="11">
        <v>1</v>
      </c>
      <c r="K171" s="4" t="s">
        <v>184</v>
      </c>
      <c r="L171" s="11">
        <v>2142</v>
      </c>
      <c r="M171" s="11">
        <v>2142</v>
      </c>
      <c r="N171" s="4" t="s">
        <v>8</v>
      </c>
      <c r="O171" s="5">
        <v>5637364681</v>
      </c>
      <c r="P171" s="11">
        <f>_xll.AtlasFormulas.AtlasFunctions.AtlasBalance("UAT",DataAreaId,"T.MarkupTrans","Sum|Posted|0","","","","","","","MarkupCode|TransRecId|TransTableId","TPP",$O171,"64")</f>
        <v>0</v>
      </c>
    </row>
    <row r="172" spans="1:16" x14ac:dyDescent="0.25">
      <c r="A172" s="4" t="s">
        <v>116</v>
      </c>
      <c r="B172" s="4" t="s">
        <v>224</v>
      </c>
      <c r="C172" s="4" t="s">
        <v>225</v>
      </c>
      <c r="D172" s="4" t="s">
        <v>247</v>
      </c>
      <c r="E172" s="4" t="s">
        <v>59</v>
      </c>
      <c r="F172" s="4" t="s">
        <v>180</v>
      </c>
      <c r="G172" s="4" t="s">
        <v>33</v>
      </c>
      <c r="H172" s="4" t="s">
        <v>140</v>
      </c>
      <c r="I172" s="9">
        <v>42886</v>
      </c>
      <c r="J172" s="11">
        <v>1</v>
      </c>
      <c r="K172" s="4" t="s">
        <v>184</v>
      </c>
      <c r="L172" s="11">
        <v>2607</v>
      </c>
      <c r="M172" s="11">
        <v>2607</v>
      </c>
      <c r="N172" s="4" t="s">
        <v>8</v>
      </c>
      <c r="O172" s="5">
        <v>5637364719</v>
      </c>
      <c r="P172" s="11">
        <f>_xll.AtlasFormulas.AtlasFunctions.AtlasBalance("UAT",DataAreaId,"T.MarkupTrans","Sum|Posted|0","","","","","","","MarkupCode|TransRecId|TransTableId","TPP",$O172,"64")</f>
        <v>0</v>
      </c>
    </row>
    <row r="173" spans="1:16" x14ac:dyDescent="0.25">
      <c r="A173" s="4" t="s">
        <v>116</v>
      </c>
      <c r="B173" s="4" t="s">
        <v>175</v>
      </c>
      <c r="C173" s="4" t="s">
        <v>177</v>
      </c>
      <c r="D173" s="4" t="s">
        <v>246</v>
      </c>
      <c r="E173" s="4" t="s">
        <v>57</v>
      </c>
      <c r="F173" s="4" t="s">
        <v>180</v>
      </c>
      <c r="G173" s="4" t="s">
        <v>33</v>
      </c>
      <c r="H173" s="4" t="s">
        <v>140</v>
      </c>
      <c r="I173" s="9">
        <v>42886</v>
      </c>
      <c r="J173" s="11">
        <v>1</v>
      </c>
      <c r="K173" s="4" t="s">
        <v>184</v>
      </c>
      <c r="L173" s="11">
        <v>3194</v>
      </c>
      <c r="M173" s="11">
        <v>3194</v>
      </c>
      <c r="N173" s="4" t="s">
        <v>8</v>
      </c>
      <c r="O173" s="5">
        <v>5637364643</v>
      </c>
      <c r="P173" s="11">
        <f>_xll.AtlasFormulas.AtlasFunctions.AtlasBalance("UAT",DataAreaId,"T.MarkupTrans","Sum|Posted|0","","","","","","","MarkupCode|TransRecId|TransTableId","TPP",$O173,"64")</f>
        <v>0</v>
      </c>
    </row>
    <row r="174" spans="1:16" x14ac:dyDescent="0.25">
      <c r="A174" s="4" t="s">
        <v>116</v>
      </c>
      <c r="B174" s="4" t="s">
        <v>215</v>
      </c>
      <c r="C174" s="4" t="s">
        <v>192</v>
      </c>
      <c r="D174" s="4" t="s">
        <v>242</v>
      </c>
      <c r="E174" s="4" t="s">
        <v>55</v>
      </c>
      <c r="F174" s="4" t="s">
        <v>180</v>
      </c>
      <c r="G174" s="4" t="s">
        <v>33</v>
      </c>
      <c r="H174" s="4" t="s">
        <v>140</v>
      </c>
      <c r="I174" s="9">
        <v>42886</v>
      </c>
      <c r="J174" s="11">
        <v>1</v>
      </c>
      <c r="K174" s="4" t="s">
        <v>184</v>
      </c>
      <c r="L174" s="11">
        <v>1303</v>
      </c>
      <c r="M174" s="11">
        <v>1303</v>
      </c>
      <c r="N174" s="4" t="s">
        <v>8</v>
      </c>
      <c r="O174" s="5">
        <v>5637364592</v>
      </c>
      <c r="P174" s="11">
        <f>_xll.AtlasFormulas.AtlasFunctions.AtlasBalance("UAT",DataAreaId,"T.MarkupTrans","Sum|Posted|0","","","","","","","MarkupCode|TransRecId|TransTableId","TPP",$O174,"64")</f>
        <v>0</v>
      </c>
    </row>
    <row r="175" spans="1:16" x14ac:dyDescent="0.25">
      <c r="A175" s="4" t="s">
        <v>116</v>
      </c>
      <c r="B175" s="4" t="s">
        <v>215</v>
      </c>
      <c r="C175" s="4" t="s">
        <v>192</v>
      </c>
      <c r="D175" s="4" t="s">
        <v>253</v>
      </c>
      <c r="E175" s="4" t="s">
        <v>92</v>
      </c>
      <c r="F175" s="4" t="s">
        <v>180</v>
      </c>
      <c r="G175" s="4" t="s">
        <v>33</v>
      </c>
      <c r="H175" s="4" t="s">
        <v>140</v>
      </c>
      <c r="I175" s="9">
        <v>42916</v>
      </c>
      <c r="J175" s="11">
        <v>1</v>
      </c>
      <c r="K175" s="4" t="s">
        <v>184</v>
      </c>
      <c r="L175" s="11">
        <v>419</v>
      </c>
      <c r="M175" s="11">
        <v>419</v>
      </c>
      <c r="N175" s="4" t="s">
        <v>8</v>
      </c>
      <c r="O175" s="5">
        <v>5637367310</v>
      </c>
      <c r="P175" s="11">
        <f>_xll.AtlasFormulas.AtlasFunctions.AtlasBalance("UAT",DataAreaId,"T.MarkupTrans","Sum|Posted|0","","","","","","","MarkupCode|TransRecId|TransTableId","TPP",$O175,"64")</f>
        <v>0</v>
      </c>
    </row>
    <row r="176" spans="1:16" x14ac:dyDescent="0.25">
      <c r="A176" s="4" t="s">
        <v>116</v>
      </c>
      <c r="B176" s="4" t="s">
        <v>175</v>
      </c>
      <c r="C176" s="4" t="s">
        <v>177</v>
      </c>
      <c r="D176" s="4" t="s">
        <v>252</v>
      </c>
      <c r="E176" s="4" t="s">
        <v>95</v>
      </c>
      <c r="F176" s="4" t="s">
        <v>180</v>
      </c>
      <c r="G176" s="4" t="s">
        <v>33</v>
      </c>
      <c r="H176" s="4" t="s">
        <v>140</v>
      </c>
      <c r="I176" s="9">
        <v>42916</v>
      </c>
      <c r="J176" s="11">
        <v>1</v>
      </c>
      <c r="K176" s="4" t="s">
        <v>184</v>
      </c>
      <c r="L176" s="11">
        <v>889</v>
      </c>
      <c r="M176" s="11">
        <v>889</v>
      </c>
      <c r="N176" s="4" t="s">
        <v>8</v>
      </c>
      <c r="O176" s="5">
        <v>5637367396</v>
      </c>
      <c r="P176" s="11">
        <f>_xll.AtlasFormulas.AtlasFunctions.AtlasBalance("UAT",DataAreaId,"T.MarkupTrans","Sum|Posted|0","","","","","","","MarkupCode|TransRecId|TransTableId","TPP",$O176,"64")</f>
        <v>0</v>
      </c>
    </row>
    <row r="177" spans="1:16" x14ac:dyDescent="0.25">
      <c r="A177" s="4" t="s">
        <v>116</v>
      </c>
      <c r="B177" s="4" t="s">
        <v>224</v>
      </c>
      <c r="C177" s="4" t="s">
        <v>225</v>
      </c>
      <c r="D177" s="4" t="s">
        <v>251</v>
      </c>
      <c r="E177" s="4" t="s">
        <v>93</v>
      </c>
      <c r="F177" s="4" t="s">
        <v>180</v>
      </c>
      <c r="G177" s="4" t="s">
        <v>33</v>
      </c>
      <c r="H177" s="4" t="s">
        <v>140</v>
      </c>
      <c r="I177" s="9">
        <v>42916</v>
      </c>
      <c r="J177" s="11">
        <v>1</v>
      </c>
      <c r="K177" s="4" t="s">
        <v>184</v>
      </c>
      <c r="L177" s="11">
        <v>1606</v>
      </c>
      <c r="M177" s="11">
        <v>1606</v>
      </c>
      <c r="N177" s="4" t="s">
        <v>8</v>
      </c>
      <c r="O177" s="5">
        <v>5637367348</v>
      </c>
      <c r="P177" s="11">
        <f>_xll.AtlasFormulas.AtlasFunctions.AtlasBalance("UAT",DataAreaId,"T.MarkupTrans","Sum|Posted|0","","","","","","","MarkupCode|TransRecId|TransTableId","TPP",$O177,"64")</f>
        <v>0</v>
      </c>
    </row>
    <row r="178" spans="1:16" x14ac:dyDescent="0.25">
      <c r="A178" s="4" t="s">
        <v>116</v>
      </c>
      <c r="B178" s="4" t="s">
        <v>239</v>
      </c>
      <c r="C178" s="4" t="s">
        <v>176</v>
      </c>
      <c r="D178" s="4" t="s">
        <v>254</v>
      </c>
      <c r="E178" s="4" t="s">
        <v>96</v>
      </c>
      <c r="F178" s="4" t="s">
        <v>180</v>
      </c>
      <c r="G178" s="4" t="s">
        <v>33</v>
      </c>
      <c r="H178" s="4" t="s">
        <v>140</v>
      </c>
      <c r="I178" s="9">
        <v>42916</v>
      </c>
      <c r="J178" s="11">
        <v>1</v>
      </c>
      <c r="K178" s="4" t="s">
        <v>184</v>
      </c>
      <c r="L178" s="11">
        <v>232</v>
      </c>
      <c r="M178" s="11">
        <v>232</v>
      </c>
      <c r="N178" s="4" t="s">
        <v>8</v>
      </c>
      <c r="O178" s="5">
        <v>5637367434</v>
      </c>
      <c r="P178" s="11">
        <f>_xll.AtlasFormulas.AtlasFunctions.AtlasBalance("UAT",DataAreaId,"T.MarkupTrans","Sum|Posted|0","","","","","","","MarkupCode|TransRecId|TransTableId","TPP",$O178,"64")</f>
        <v>0</v>
      </c>
    </row>
    <row r="179" spans="1:16" x14ac:dyDescent="0.25">
      <c r="A179" s="4" t="s">
        <v>116</v>
      </c>
      <c r="B179" s="4" t="s">
        <v>244</v>
      </c>
      <c r="C179" s="4" t="s">
        <v>193</v>
      </c>
      <c r="D179" s="4" t="s">
        <v>249</v>
      </c>
      <c r="E179" s="4" t="s">
        <v>91</v>
      </c>
      <c r="F179" s="4" t="s">
        <v>180</v>
      </c>
      <c r="G179" s="4" t="s">
        <v>33</v>
      </c>
      <c r="H179" s="4" t="s">
        <v>140</v>
      </c>
      <c r="I179" s="9">
        <v>42916</v>
      </c>
      <c r="J179" s="11">
        <v>1</v>
      </c>
      <c r="K179" s="4" t="s">
        <v>184</v>
      </c>
      <c r="L179" s="11">
        <v>1636</v>
      </c>
      <c r="M179" s="11">
        <v>1636</v>
      </c>
      <c r="N179" s="4" t="s">
        <v>8</v>
      </c>
      <c r="O179" s="5">
        <v>5637367276</v>
      </c>
      <c r="P179" s="11">
        <f>_xll.AtlasFormulas.AtlasFunctions.AtlasBalance("UAT",DataAreaId,"T.MarkupTrans","Sum|Posted|0","","","","","","","MarkupCode|TransRecId|TransTableId","TPP",$O179,"64")</f>
        <v>0</v>
      </c>
    </row>
    <row r="180" spans="1:16" x14ac:dyDescent="0.25">
      <c r="A180" s="4" t="s">
        <v>116</v>
      </c>
      <c r="B180" s="4" t="s">
        <v>213</v>
      </c>
      <c r="C180" s="4" t="s">
        <v>178</v>
      </c>
      <c r="D180" s="4" t="s">
        <v>250</v>
      </c>
      <c r="E180" s="4" t="s">
        <v>90</v>
      </c>
      <c r="F180" s="4" t="s">
        <v>180</v>
      </c>
      <c r="G180" s="4" t="s">
        <v>33</v>
      </c>
      <c r="H180" s="4" t="s">
        <v>140</v>
      </c>
      <c r="I180" s="9">
        <v>42916</v>
      </c>
      <c r="J180" s="11">
        <v>1</v>
      </c>
      <c r="K180" s="4" t="s">
        <v>184</v>
      </c>
      <c r="L180" s="11">
        <v>1091</v>
      </c>
      <c r="M180" s="11">
        <v>1091</v>
      </c>
      <c r="N180" s="4" t="s">
        <v>8</v>
      </c>
      <c r="O180" s="5">
        <v>5637367242</v>
      </c>
      <c r="P180" s="11">
        <f>_xll.AtlasFormulas.AtlasFunctions.AtlasBalance("UAT",DataAreaId,"T.MarkupTrans","Sum|Posted|0","","","","","","","MarkupCode|TransRecId|TransTableId","TPP",$O180,"64")</f>
        <v>0</v>
      </c>
    </row>
    <row r="181" spans="1:16" x14ac:dyDescent="0.25">
      <c r="A181" s="4" t="s">
        <v>116</v>
      </c>
      <c r="B181" s="4" t="s">
        <v>213</v>
      </c>
      <c r="C181" s="4" t="s">
        <v>178</v>
      </c>
      <c r="D181" s="4" t="s">
        <v>260</v>
      </c>
      <c r="E181" s="4" t="s">
        <v>105</v>
      </c>
      <c r="F181" s="4" t="s">
        <v>180</v>
      </c>
      <c r="G181" s="4" t="s">
        <v>33</v>
      </c>
      <c r="H181" s="4" t="s">
        <v>140</v>
      </c>
      <c r="I181" s="9">
        <v>42947</v>
      </c>
      <c r="J181" s="11">
        <v>-1</v>
      </c>
      <c r="K181" s="4" t="s">
        <v>184</v>
      </c>
      <c r="L181" s="11">
        <v>937</v>
      </c>
      <c r="M181" s="11">
        <v>-937</v>
      </c>
      <c r="N181" s="4" t="s">
        <v>8</v>
      </c>
      <c r="O181" s="5">
        <v>5637370304</v>
      </c>
      <c r="P181" s="11">
        <f>_xll.AtlasFormulas.AtlasFunctions.AtlasBalance("UAT",DataAreaId,"T.MarkupTrans","Sum|Posted|0","","","","","","","MarkupCode|TransRecId|TransTableId","TPP",$O181,"64")</f>
        <v>0</v>
      </c>
    </row>
    <row r="182" spans="1:16" x14ac:dyDescent="0.25">
      <c r="A182" s="4" t="s">
        <v>116</v>
      </c>
      <c r="B182" s="4" t="s">
        <v>244</v>
      </c>
      <c r="C182" s="4" t="s">
        <v>193</v>
      </c>
      <c r="D182" s="4" t="s">
        <v>257</v>
      </c>
      <c r="E182" s="4" t="s">
        <v>106</v>
      </c>
      <c r="F182" s="4" t="s">
        <v>180</v>
      </c>
      <c r="G182" s="4" t="s">
        <v>33</v>
      </c>
      <c r="H182" s="4" t="s">
        <v>140</v>
      </c>
      <c r="I182" s="9">
        <v>42947</v>
      </c>
      <c r="J182" s="11">
        <v>1</v>
      </c>
      <c r="K182" s="4" t="s">
        <v>184</v>
      </c>
      <c r="L182" s="11">
        <v>2812</v>
      </c>
      <c r="M182" s="11">
        <v>2812</v>
      </c>
      <c r="N182" s="4" t="s">
        <v>8</v>
      </c>
      <c r="O182" s="5">
        <v>5637370338</v>
      </c>
      <c r="P182" s="11">
        <f>_xll.AtlasFormulas.AtlasFunctions.AtlasBalance("UAT",DataAreaId,"T.MarkupTrans","Sum|Posted|0","","","","","","","MarkupCode|TransRecId|TransTableId","TPP",$O182,"64")</f>
        <v>0</v>
      </c>
    </row>
    <row r="183" spans="1:16" x14ac:dyDescent="0.25">
      <c r="A183" s="4" t="s">
        <v>116</v>
      </c>
      <c r="B183" s="4" t="s">
        <v>239</v>
      </c>
      <c r="C183" s="4" t="s">
        <v>176</v>
      </c>
      <c r="D183" s="4" t="s">
        <v>255</v>
      </c>
      <c r="E183" s="4" t="s">
        <v>111</v>
      </c>
      <c r="F183" s="4" t="s">
        <v>180</v>
      </c>
      <c r="G183" s="4" t="s">
        <v>33</v>
      </c>
      <c r="H183" s="4" t="s">
        <v>140</v>
      </c>
      <c r="I183" s="9">
        <v>42947</v>
      </c>
      <c r="J183" s="11">
        <v>1</v>
      </c>
      <c r="K183" s="4" t="s">
        <v>184</v>
      </c>
      <c r="L183" s="11">
        <v>2797</v>
      </c>
      <c r="M183" s="11">
        <v>2797</v>
      </c>
      <c r="N183" s="4" t="s">
        <v>8</v>
      </c>
      <c r="O183" s="5">
        <v>5637370487</v>
      </c>
      <c r="P183" s="11">
        <f>_xll.AtlasFormulas.AtlasFunctions.AtlasBalance("UAT",DataAreaId,"T.MarkupTrans","Sum|Posted|0","","","","","","","MarkupCode|TransRecId|TransTableId","TPP",$O183,"64")</f>
        <v>0</v>
      </c>
    </row>
    <row r="184" spans="1:16" x14ac:dyDescent="0.25">
      <c r="A184" s="4" t="s">
        <v>116</v>
      </c>
      <c r="B184" s="4" t="s">
        <v>224</v>
      </c>
      <c r="C184" s="4" t="s">
        <v>225</v>
      </c>
      <c r="D184" s="4" t="s">
        <v>258</v>
      </c>
      <c r="E184" s="4" t="s">
        <v>107</v>
      </c>
      <c r="F184" s="4" t="s">
        <v>180</v>
      </c>
      <c r="G184" s="4" t="s">
        <v>33</v>
      </c>
      <c r="H184" s="4" t="s">
        <v>140</v>
      </c>
      <c r="I184" s="9">
        <v>42947</v>
      </c>
      <c r="J184" s="11">
        <v>1</v>
      </c>
      <c r="K184" s="4" t="s">
        <v>184</v>
      </c>
      <c r="L184" s="11">
        <v>4400</v>
      </c>
      <c r="M184" s="11">
        <v>4400</v>
      </c>
      <c r="N184" s="4" t="s">
        <v>8</v>
      </c>
      <c r="O184" s="5">
        <v>5637370391</v>
      </c>
      <c r="P184" s="11">
        <f>_xll.AtlasFormulas.AtlasFunctions.AtlasBalance("UAT",DataAreaId,"T.MarkupTrans","Sum|Posted|0","","","","","","","MarkupCode|TransRecId|TransTableId","TPP",$O184,"64")</f>
        <v>0</v>
      </c>
    </row>
    <row r="185" spans="1:16" x14ac:dyDescent="0.25">
      <c r="A185" s="4" t="s">
        <v>116</v>
      </c>
      <c r="B185" s="4" t="s">
        <v>175</v>
      </c>
      <c r="C185" s="4" t="s">
        <v>177</v>
      </c>
      <c r="D185" s="4" t="s">
        <v>256</v>
      </c>
      <c r="E185" s="4" t="s">
        <v>112</v>
      </c>
      <c r="F185" s="4" t="s">
        <v>180</v>
      </c>
      <c r="G185" s="4" t="s">
        <v>33</v>
      </c>
      <c r="H185" s="4" t="s">
        <v>140</v>
      </c>
      <c r="I185" s="9">
        <v>42947</v>
      </c>
      <c r="J185" s="11">
        <v>1</v>
      </c>
      <c r="K185" s="4" t="s">
        <v>184</v>
      </c>
      <c r="L185" s="11">
        <v>5187</v>
      </c>
      <c r="M185" s="11">
        <v>5187</v>
      </c>
      <c r="N185" s="4" t="s">
        <v>8</v>
      </c>
      <c r="O185" s="5">
        <v>5637370783</v>
      </c>
      <c r="P185" s="11">
        <f>_xll.AtlasFormulas.AtlasFunctions.AtlasBalance("UAT",DataAreaId,"T.MarkupTrans","Sum|Posted|0","","","","","","","MarkupCode|TransRecId|TransTableId","TPP",$O185,"64")</f>
        <v>0</v>
      </c>
    </row>
    <row r="186" spans="1:16" x14ac:dyDescent="0.25">
      <c r="A186" s="4" t="s">
        <v>116</v>
      </c>
      <c r="B186" s="4" t="s">
        <v>215</v>
      </c>
      <c r="C186" s="4" t="s">
        <v>192</v>
      </c>
      <c r="D186" s="4" t="s">
        <v>259</v>
      </c>
      <c r="E186" s="4" t="s">
        <v>109</v>
      </c>
      <c r="F186" s="4" t="s">
        <v>180</v>
      </c>
      <c r="G186" s="4" t="s">
        <v>33</v>
      </c>
      <c r="H186" s="4" t="s">
        <v>140</v>
      </c>
      <c r="I186" s="9">
        <v>42947</v>
      </c>
      <c r="J186" s="11">
        <v>1</v>
      </c>
      <c r="K186" s="4" t="s">
        <v>184</v>
      </c>
      <c r="L186" s="11">
        <v>632</v>
      </c>
      <c r="M186" s="11">
        <v>632</v>
      </c>
      <c r="N186" s="4" t="s">
        <v>8</v>
      </c>
      <c r="O186" s="5">
        <v>5637370439</v>
      </c>
      <c r="P186" s="11">
        <f>_xll.AtlasFormulas.AtlasFunctions.AtlasBalance("UAT",DataAreaId,"T.MarkupTrans","Sum|Posted|0","","","","","","","MarkupCode|TransRecId|TransTableId","TPP",$O186,"64")</f>
        <v>0</v>
      </c>
    </row>
    <row r="187" spans="1:16" x14ac:dyDescent="0.25">
      <c r="A187" s="4" t="s">
        <v>116</v>
      </c>
      <c r="B187" s="4" t="s">
        <v>215</v>
      </c>
      <c r="C187" s="4" t="s">
        <v>192</v>
      </c>
      <c r="D187" s="4" t="s">
        <v>242</v>
      </c>
      <c r="E187" s="4" t="s">
        <v>55</v>
      </c>
      <c r="F187" s="4" t="s">
        <v>180</v>
      </c>
      <c r="G187" s="4" t="s">
        <v>34</v>
      </c>
      <c r="H187" s="4" t="s">
        <v>141</v>
      </c>
      <c r="I187" s="9">
        <v>42886</v>
      </c>
      <c r="J187" s="11">
        <v>1</v>
      </c>
      <c r="K187" s="4" t="s">
        <v>184</v>
      </c>
      <c r="L187" s="11">
        <v>500</v>
      </c>
      <c r="M187" s="11">
        <v>500</v>
      </c>
      <c r="N187" s="4" t="s">
        <v>8</v>
      </c>
      <c r="O187" s="5">
        <v>5637364595</v>
      </c>
      <c r="P187" s="11">
        <f>_xll.AtlasFormulas.AtlasFunctions.AtlasBalance("UAT",DataAreaId,"T.MarkupTrans","Sum|Posted|0","","","","","","","MarkupCode|TransRecId|TransTableId","TPP",$O187,"64")</f>
        <v>0</v>
      </c>
    </row>
    <row r="188" spans="1:16" x14ac:dyDescent="0.25">
      <c r="A188" s="4" t="s">
        <v>116</v>
      </c>
      <c r="B188" s="4" t="s">
        <v>175</v>
      </c>
      <c r="C188" s="4" t="s">
        <v>177</v>
      </c>
      <c r="D188" s="4" t="s">
        <v>246</v>
      </c>
      <c r="E188" s="4" t="s">
        <v>57</v>
      </c>
      <c r="F188" s="4" t="s">
        <v>180</v>
      </c>
      <c r="G188" s="4" t="s">
        <v>34</v>
      </c>
      <c r="H188" s="4" t="s">
        <v>141</v>
      </c>
      <c r="I188" s="9">
        <v>42886</v>
      </c>
      <c r="J188" s="11">
        <v>1</v>
      </c>
      <c r="K188" s="4" t="s">
        <v>184</v>
      </c>
      <c r="L188" s="11">
        <v>787</v>
      </c>
      <c r="M188" s="11">
        <v>787</v>
      </c>
      <c r="N188" s="4" t="s">
        <v>8</v>
      </c>
      <c r="O188" s="5">
        <v>5637364646</v>
      </c>
      <c r="P188" s="11">
        <f>_xll.AtlasFormulas.AtlasFunctions.AtlasBalance("UAT",DataAreaId,"T.MarkupTrans","Sum|Posted|0","","","","","","","MarkupCode|TransRecId|TransTableId","TPP",$O188,"64")</f>
        <v>0</v>
      </c>
    </row>
    <row r="189" spans="1:16" x14ac:dyDescent="0.25">
      <c r="A189" s="4" t="s">
        <v>116</v>
      </c>
      <c r="B189" s="4" t="s">
        <v>224</v>
      </c>
      <c r="C189" s="4" t="s">
        <v>225</v>
      </c>
      <c r="D189" s="4" t="s">
        <v>247</v>
      </c>
      <c r="E189" s="4" t="s">
        <v>59</v>
      </c>
      <c r="F189" s="4" t="s">
        <v>180</v>
      </c>
      <c r="G189" s="4" t="s">
        <v>34</v>
      </c>
      <c r="H189" s="4" t="s">
        <v>141</v>
      </c>
      <c r="I189" s="9">
        <v>42886</v>
      </c>
      <c r="J189" s="11">
        <v>1</v>
      </c>
      <c r="K189" s="4" t="s">
        <v>184</v>
      </c>
      <c r="L189" s="11">
        <v>948</v>
      </c>
      <c r="M189" s="11">
        <v>948</v>
      </c>
      <c r="N189" s="4" t="s">
        <v>8</v>
      </c>
      <c r="O189" s="5">
        <v>5637364722</v>
      </c>
      <c r="P189" s="11">
        <f>_xll.AtlasFormulas.AtlasFunctions.AtlasBalance("UAT",DataAreaId,"T.MarkupTrans","Sum|Posted|0","","","","","","","MarkupCode|TransRecId|TransTableId","TPP",$O189,"64")</f>
        <v>0</v>
      </c>
    </row>
    <row r="190" spans="1:16" x14ac:dyDescent="0.25">
      <c r="A190" s="4" t="s">
        <v>116</v>
      </c>
      <c r="B190" s="4" t="s">
        <v>239</v>
      </c>
      <c r="C190" s="4" t="s">
        <v>176</v>
      </c>
      <c r="D190" s="4" t="s">
        <v>243</v>
      </c>
      <c r="E190" s="4" t="s">
        <v>58</v>
      </c>
      <c r="F190" s="4" t="s">
        <v>180</v>
      </c>
      <c r="G190" s="4" t="s">
        <v>34</v>
      </c>
      <c r="H190" s="4" t="s">
        <v>141</v>
      </c>
      <c r="I190" s="9">
        <v>42886</v>
      </c>
      <c r="J190" s="11">
        <v>1</v>
      </c>
      <c r="K190" s="4" t="s">
        <v>184</v>
      </c>
      <c r="L190" s="11">
        <v>859</v>
      </c>
      <c r="M190" s="11">
        <v>859</v>
      </c>
      <c r="N190" s="4" t="s">
        <v>8</v>
      </c>
      <c r="O190" s="5">
        <v>5637364684</v>
      </c>
      <c r="P190" s="11">
        <f>_xll.AtlasFormulas.AtlasFunctions.AtlasBalance("UAT",DataAreaId,"T.MarkupTrans","Sum|Posted|0","","","","","","","MarkupCode|TransRecId|TransTableId","TPP",$O190,"64")</f>
        <v>0</v>
      </c>
    </row>
    <row r="191" spans="1:16" x14ac:dyDescent="0.25">
      <c r="A191" s="4" t="s">
        <v>116</v>
      </c>
      <c r="B191" s="4" t="s">
        <v>244</v>
      </c>
      <c r="C191" s="4" t="s">
        <v>193</v>
      </c>
      <c r="D191" s="4" t="s">
        <v>245</v>
      </c>
      <c r="E191" s="4" t="s">
        <v>61</v>
      </c>
      <c r="F191" s="4" t="s">
        <v>180</v>
      </c>
      <c r="G191" s="4" t="s">
        <v>34</v>
      </c>
      <c r="H191" s="4" t="s">
        <v>141</v>
      </c>
      <c r="I191" s="9">
        <v>42886</v>
      </c>
      <c r="J191" s="11">
        <v>1</v>
      </c>
      <c r="K191" s="4" t="s">
        <v>184</v>
      </c>
      <c r="L191" s="11">
        <v>658</v>
      </c>
      <c r="M191" s="11">
        <v>658</v>
      </c>
      <c r="N191" s="4" t="s">
        <v>8</v>
      </c>
      <c r="O191" s="5">
        <v>5637364764</v>
      </c>
      <c r="P191" s="11">
        <f>_xll.AtlasFormulas.AtlasFunctions.AtlasBalance("UAT",DataAreaId,"T.MarkupTrans","Sum|Posted|0","","","","","","","MarkupCode|TransRecId|TransTableId","TPP",$O191,"64")</f>
        <v>0</v>
      </c>
    </row>
    <row r="192" spans="1:16" x14ac:dyDescent="0.25">
      <c r="A192" s="4" t="s">
        <v>116</v>
      </c>
      <c r="B192" s="4" t="s">
        <v>213</v>
      </c>
      <c r="C192" s="4" t="s">
        <v>178</v>
      </c>
      <c r="D192" s="4" t="s">
        <v>248</v>
      </c>
      <c r="E192" s="4" t="s">
        <v>62</v>
      </c>
      <c r="F192" s="4" t="s">
        <v>180</v>
      </c>
      <c r="G192" s="4" t="s">
        <v>34</v>
      </c>
      <c r="H192" s="4" t="s">
        <v>141</v>
      </c>
      <c r="I192" s="9">
        <v>42886</v>
      </c>
      <c r="J192" s="11">
        <v>1</v>
      </c>
      <c r="K192" s="4" t="s">
        <v>184</v>
      </c>
      <c r="L192" s="11">
        <v>259</v>
      </c>
      <c r="M192" s="11">
        <v>259</v>
      </c>
      <c r="N192" s="4" t="s">
        <v>8</v>
      </c>
      <c r="O192" s="5">
        <v>5637364798</v>
      </c>
      <c r="P192" s="11">
        <f>_xll.AtlasFormulas.AtlasFunctions.AtlasBalance("UAT",DataAreaId,"T.MarkupTrans","Sum|Posted|0","","","","","","","MarkupCode|TransRecId|TransTableId","TPP",$O192,"64")</f>
        <v>0</v>
      </c>
    </row>
    <row r="193" spans="1:16" x14ac:dyDescent="0.25">
      <c r="A193" s="4" t="s">
        <v>116</v>
      </c>
      <c r="B193" s="4" t="s">
        <v>213</v>
      </c>
      <c r="C193" s="4" t="s">
        <v>178</v>
      </c>
      <c r="D193" s="4" t="s">
        <v>250</v>
      </c>
      <c r="E193" s="4" t="s">
        <v>90</v>
      </c>
      <c r="F193" s="4" t="s">
        <v>180</v>
      </c>
      <c r="G193" s="4" t="s">
        <v>34</v>
      </c>
      <c r="H193" s="4" t="s">
        <v>141</v>
      </c>
      <c r="I193" s="9">
        <v>42916</v>
      </c>
      <c r="J193" s="11">
        <v>1</v>
      </c>
      <c r="K193" s="4" t="s">
        <v>184</v>
      </c>
      <c r="L193" s="11">
        <v>701</v>
      </c>
      <c r="M193" s="11">
        <v>701</v>
      </c>
      <c r="N193" s="4" t="s">
        <v>8</v>
      </c>
      <c r="O193" s="5">
        <v>5637367245</v>
      </c>
      <c r="P193" s="11">
        <f>_xll.AtlasFormulas.AtlasFunctions.AtlasBalance("UAT",DataAreaId,"T.MarkupTrans","Sum|Posted|0","","","","","","","MarkupCode|TransRecId|TransTableId","TPP",$O193,"64")</f>
        <v>0</v>
      </c>
    </row>
    <row r="194" spans="1:16" x14ac:dyDescent="0.25">
      <c r="A194" s="4" t="s">
        <v>116</v>
      </c>
      <c r="B194" s="4" t="s">
        <v>244</v>
      </c>
      <c r="C194" s="4" t="s">
        <v>193</v>
      </c>
      <c r="D194" s="4" t="s">
        <v>249</v>
      </c>
      <c r="E194" s="4" t="s">
        <v>91</v>
      </c>
      <c r="F194" s="4" t="s">
        <v>180</v>
      </c>
      <c r="G194" s="4" t="s">
        <v>34</v>
      </c>
      <c r="H194" s="4" t="s">
        <v>141</v>
      </c>
      <c r="I194" s="9">
        <v>42916</v>
      </c>
      <c r="J194" s="11">
        <v>1</v>
      </c>
      <c r="K194" s="4" t="s">
        <v>184</v>
      </c>
      <c r="L194" s="11">
        <v>1263</v>
      </c>
      <c r="M194" s="11">
        <v>1263</v>
      </c>
      <c r="N194" s="4" t="s">
        <v>8</v>
      </c>
      <c r="O194" s="5">
        <v>5637367279</v>
      </c>
      <c r="P194" s="11">
        <f>_xll.AtlasFormulas.AtlasFunctions.AtlasBalance("UAT",DataAreaId,"T.MarkupTrans","Sum|Posted|0","","","","","","","MarkupCode|TransRecId|TransTableId","TPP",$O194,"64")</f>
        <v>0</v>
      </c>
    </row>
    <row r="195" spans="1:16" x14ac:dyDescent="0.25">
      <c r="A195" s="4" t="s">
        <v>116</v>
      </c>
      <c r="B195" s="4" t="s">
        <v>239</v>
      </c>
      <c r="C195" s="4" t="s">
        <v>176</v>
      </c>
      <c r="D195" s="4" t="s">
        <v>254</v>
      </c>
      <c r="E195" s="4" t="s">
        <v>96</v>
      </c>
      <c r="F195" s="4" t="s">
        <v>180</v>
      </c>
      <c r="G195" s="4" t="s">
        <v>34</v>
      </c>
      <c r="H195" s="4" t="s">
        <v>141</v>
      </c>
      <c r="I195" s="9">
        <v>42916</v>
      </c>
      <c r="J195" s="11">
        <v>1</v>
      </c>
      <c r="K195" s="4" t="s">
        <v>184</v>
      </c>
      <c r="L195" s="11">
        <v>526</v>
      </c>
      <c r="M195" s="11">
        <v>526</v>
      </c>
      <c r="N195" s="4" t="s">
        <v>8</v>
      </c>
      <c r="O195" s="5">
        <v>5637367437</v>
      </c>
      <c r="P195" s="11">
        <f>_xll.AtlasFormulas.AtlasFunctions.AtlasBalance("UAT",DataAreaId,"T.MarkupTrans","Sum|Posted|0","","","","","","","MarkupCode|TransRecId|TransTableId","TPP",$O195,"64")</f>
        <v>0</v>
      </c>
    </row>
    <row r="196" spans="1:16" x14ac:dyDescent="0.25">
      <c r="A196" s="4" t="s">
        <v>116</v>
      </c>
      <c r="B196" s="4" t="s">
        <v>224</v>
      </c>
      <c r="C196" s="4" t="s">
        <v>225</v>
      </c>
      <c r="D196" s="4" t="s">
        <v>251</v>
      </c>
      <c r="E196" s="4" t="s">
        <v>93</v>
      </c>
      <c r="F196" s="4" t="s">
        <v>180</v>
      </c>
      <c r="G196" s="4" t="s">
        <v>34</v>
      </c>
      <c r="H196" s="4" t="s">
        <v>141</v>
      </c>
      <c r="I196" s="9">
        <v>42916</v>
      </c>
      <c r="J196" s="11">
        <v>1</v>
      </c>
      <c r="K196" s="4" t="s">
        <v>184</v>
      </c>
      <c r="L196" s="11">
        <v>1370</v>
      </c>
      <c r="M196" s="11">
        <v>1370</v>
      </c>
      <c r="N196" s="4" t="s">
        <v>8</v>
      </c>
      <c r="O196" s="5">
        <v>5637367351</v>
      </c>
      <c r="P196" s="11">
        <f>_xll.AtlasFormulas.AtlasFunctions.AtlasBalance("UAT",DataAreaId,"T.MarkupTrans","Sum|Posted|0","","","","","","","MarkupCode|TransRecId|TransTableId","TPP",$O196,"64")</f>
        <v>0</v>
      </c>
    </row>
    <row r="197" spans="1:16" x14ac:dyDescent="0.25">
      <c r="A197" s="4" t="s">
        <v>116</v>
      </c>
      <c r="B197" s="4" t="s">
        <v>175</v>
      </c>
      <c r="C197" s="4" t="s">
        <v>177</v>
      </c>
      <c r="D197" s="4" t="s">
        <v>252</v>
      </c>
      <c r="E197" s="4" t="s">
        <v>95</v>
      </c>
      <c r="F197" s="4" t="s">
        <v>180</v>
      </c>
      <c r="G197" s="4" t="s">
        <v>34</v>
      </c>
      <c r="H197" s="4" t="s">
        <v>141</v>
      </c>
      <c r="I197" s="9">
        <v>42916</v>
      </c>
      <c r="J197" s="11">
        <v>1</v>
      </c>
      <c r="K197" s="4" t="s">
        <v>184</v>
      </c>
      <c r="L197" s="11">
        <v>1084</v>
      </c>
      <c r="M197" s="11">
        <v>1084</v>
      </c>
      <c r="N197" s="4" t="s">
        <v>8</v>
      </c>
      <c r="O197" s="5">
        <v>5637367399</v>
      </c>
      <c r="P197" s="11">
        <f>_xll.AtlasFormulas.AtlasFunctions.AtlasBalance("UAT",DataAreaId,"T.MarkupTrans","Sum|Posted|0","","","","","","","MarkupCode|TransRecId|TransTableId","TPP",$O197,"64")</f>
        <v>0</v>
      </c>
    </row>
    <row r="198" spans="1:16" x14ac:dyDescent="0.25">
      <c r="A198" s="4" t="s">
        <v>116</v>
      </c>
      <c r="B198" s="4" t="s">
        <v>215</v>
      </c>
      <c r="C198" s="4" t="s">
        <v>192</v>
      </c>
      <c r="D198" s="4" t="s">
        <v>253</v>
      </c>
      <c r="E198" s="4" t="s">
        <v>92</v>
      </c>
      <c r="F198" s="4" t="s">
        <v>180</v>
      </c>
      <c r="G198" s="4" t="s">
        <v>34</v>
      </c>
      <c r="H198" s="4" t="s">
        <v>141</v>
      </c>
      <c r="I198" s="9">
        <v>42916</v>
      </c>
      <c r="J198" s="11">
        <v>1</v>
      </c>
      <c r="K198" s="4" t="s">
        <v>184</v>
      </c>
      <c r="L198" s="11">
        <v>442</v>
      </c>
      <c r="M198" s="11">
        <v>442</v>
      </c>
      <c r="N198" s="4" t="s">
        <v>8</v>
      </c>
      <c r="O198" s="5">
        <v>5637367313</v>
      </c>
      <c r="P198" s="11">
        <f>_xll.AtlasFormulas.AtlasFunctions.AtlasBalance("UAT",DataAreaId,"T.MarkupTrans","Sum|Posted|0","","","","","","","MarkupCode|TransRecId|TransTableId","TPP",$O198,"64")</f>
        <v>0</v>
      </c>
    </row>
    <row r="199" spans="1:16" x14ac:dyDescent="0.25">
      <c r="A199" s="4" t="s">
        <v>116</v>
      </c>
      <c r="B199" s="4" t="s">
        <v>215</v>
      </c>
      <c r="C199" s="4" t="s">
        <v>192</v>
      </c>
      <c r="D199" s="4" t="s">
        <v>259</v>
      </c>
      <c r="E199" s="4" t="s">
        <v>109</v>
      </c>
      <c r="F199" s="4" t="s">
        <v>180</v>
      </c>
      <c r="G199" s="4" t="s">
        <v>34</v>
      </c>
      <c r="H199" s="4" t="s">
        <v>141</v>
      </c>
      <c r="I199" s="9">
        <v>42947</v>
      </c>
      <c r="J199" s="11">
        <v>-1</v>
      </c>
      <c r="K199" s="4" t="s">
        <v>184</v>
      </c>
      <c r="L199" s="11">
        <v>1</v>
      </c>
      <c r="M199" s="11">
        <v>-1</v>
      </c>
      <c r="N199" s="4" t="s">
        <v>8</v>
      </c>
      <c r="O199" s="5">
        <v>5637370442</v>
      </c>
      <c r="P199" s="11">
        <f>_xll.AtlasFormulas.AtlasFunctions.AtlasBalance("UAT",DataAreaId,"T.MarkupTrans","Sum|Posted|0","","","","","","","MarkupCode|TransRecId|TransTableId","TPP",$O199,"64")</f>
        <v>0</v>
      </c>
    </row>
    <row r="200" spans="1:16" x14ac:dyDescent="0.25">
      <c r="A200" s="4" t="s">
        <v>116</v>
      </c>
      <c r="B200" s="4" t="s">
        <v>175</v>
      </c>
      <c r="C200" s="4" t="s">
        <v>177</v>
      </c>
      <c r="D200" s="4" t="s">
        <v>256</v>
      </c>
      <c r="E200" s="4" t="s">
        <v>112</v>
      </c>
      <c r="F200" s="4" t="s">
        <v>180</v>
      </c>
      <c r="G200" s="4" t="s">
        <v>34</v>
      </c>
      <c r="H200" s="4" t="s">
        <v>141</v>
      </c>
      <c r="I200" s="9">
        <v>42947</v>
      </c>
      <c r="J200" s="11">
        <v>1</v>
      </c>
      <c r="K200" s="4" t="s">
        <v>184</v>
      </c>
      <c r="L200" s="11">
        <v>1720</v>
      </c>
      <c r="M200" s="11">
        <v>1720</v>
      </c>
      <c r="N200" s="4" t="s">
        <v>8</v>
      </c>
      <c r="O200" s="5">
        <v>5637370786</v>
      </c>
      <c r="P200" s="11">
        <f>_xll.AtlasFormulas.AtlasFunctions.AtlasBalance("UAT",DataAreaId,"T.MarkupTrans","Sum|Posted|0","","","","","","","MarkupCode|TransRecId|TransTableId","TPP",$O200,"64")</f>
        <v>0</v>
      </c>
    </row>
    <row r="201" spans="1:16" x14ac:dyDescent="0.25">
      <c r="A201" s="4" t="s">
        <v>116</v>
      </c>
      <c r="B201" s="4" t="s">
        <v>224</v>
      </c>
      <c r="C201" s="4" t="s">
        <v>225</v>
      </c>
      <c r="D201" s="4" t="s">
        <v>258</v>
      </c>
      <c r="E201" s="4" t="s">
        <v>107</v>
      </c>
      <c r="F201" s="4" t="s">
        <v>180</v>
      </c>
      <c r="G201" s="4" t="s">
        <v>34</v>
      </c>
      <c r="H201" s="4" t="s">
        <v>141</v>
      </c>
      <c r="I201" s="9">
        <v>42947</v>
      </c>
      <c r="J201" s="11">
        <v>1</v>
      </c>
      <c r="K201" s="4" t="s">
        <v>184</v>
      </c>
      <c r="L201" s="11">
        <v>1461</v>
      </c>
      <c r="M201" s="11">
        <v>1461</v>
      </c>
      <c r="N201" s="4" t="s">
        <v>8</v>
      </c>
      <c r="O201" s="5">
        <v>5637370394</v>
      </c>
      <c r="P201" s="11">
        <f>_xll.AtlasFormulas.AtlasFunctions.AtlasBalance("UAT",DataAreaId,"T.MarkupTrans","Sum|Posted|0","","","","","","","MarkupCode|TransRecId|TransTableId","TPP",$O201,"64")</f>
        <v>0</v>
      </c>
    </row>
    <row r="202" spans="1:16" x14ac:dyDescent="0.25">
      <c r="A202" s="4" t="s">
        <v>116</v>
      </c>
      <c r="B202" s="4" t="s">
        <v>239</v>
      </c>
      <c r="C202" s="4" t="s">
        <v>176</v>
      </c>
      <c r="D202" s="4" t="s">
        <v>255</v>
      </c>
      <c r="E202" s="4" t="s">
        <v>111</v>
      </c>
      <c r="F202" s="4" t="s">
        <v>180</v>
      </c>
      <c r="G202" s="4" t="s">
        <v>34</v>
      </c>
      <c r="H202" s="4" t="s">
        <v>141</v>
      </c>
      <c r="I202" s="9">
        <v>42947</v>
      </c>
      <c r="J202" s="11">
        <v>1</v>
      </c>
      <c r="K202" s="4" t="s">
        <v>184</v>
      </c>
      <c r="L202" s="11">
        <v>823</v>
      </c>
      <c r="M202" s="11">
        <v>823</v>
      </c>
      <c r="N202" s="4" t="s">
        <v>8</v>
      </c>
      <c r="O202" s="5">
        <v>5637370490</v>
      </c>
      <c r="P202" s="11">
        <f>_xll.AtlasFormulas.AtlasFunctions.AtlasBalance("UAT",DataAreaId,"T.MarkupTrans","Sum|Posted|0","","","","","","","MarkupCode|TransRecId|TransTableId","TPP",$O202,"64")</f>
        <v>0</v>
      </c>
    </row>
    <row r="203" spans="1:16" x14ac:dyDescent="0.25">
      <c r="A203" s="4" t="s">
        <v>116</v>
      </c>
      <c r="B203" s="4" t="s">
        <v>244</v>
      </c>
      <c r="C203" s="4" t="s">
        <v>193</v>
      </c>
      <c r="D203" s="4" t="s">
        <v>257</v>
      </c>
      <c r="E203" s="4" t="s">
        <v>106</v>
      </c>
      <c r="F203" s="4" t="s">
        <v>180</v>
      </c>
      <c r="G203" s="4" t="s">
        <v>34</v>
      </c>
      <c r="H203" s="4" t="s">
        <v>141</v>
      </c>
      <c r="I203" s="9">
        <v>42947</v>
      </c>
      <c r="J203" s="11">
        <v>1</v>
      </c>
      <c r="K203" s="4" t="s">
        <v>184</v>
      </c>
      <c r="L203" s="11">
        <v>841</v>
      </c>
      <c r="M203" s="11">
        <v>841</v>
      </c>
      <c r="N203" s="4" t="s">
        <v>8</v>
      </c>
      <c r="O203" s="5">
        <v>5637370341</v>
      </c>
      <c r="P203" s="11">
        <f>_xll.AtlasFormulas.AtlasFunctions.AtlasBalance("UAT",DataAreaId,"T.MarkupTrans","Sum|Posted|0","","","","","","","MarkupCode|TransRecId|TransTableId","TPP",$O203,"64")</f>
        <v>0</v>
      </c>
    </row>
    <row r="204" spans="1:16" x14ac:dyDescent="0.25">
      <c r="A204" s="4" t="s">
        <v>116</v>
      </c>
      <c r="B204" s="4" t="s">
        <v>213</v>
      </c>
      <c r="C204" s="4" t="s">
        <v>178</v>
      </c>
      <c r="D204" s="4" t="s">
        <v>260</v>
      </c>
      <c r="E204" s="4" t="s">
        <v>105</v>
      </c>
      <c r="F204" s="4" t="s">
        <v>180</v>
      </c>
      <c r="G204" s="4" t="s">
        <v>34</v>
      </c>
      <c r="H204" s="4" t="s">
        <v>141</v>
      </c>
      <c r="I204" s="9">
        <v>42947</v>
      </c>
      <c r="J204" s="11">
        <v>-1</v>
      </c>
      <c r="K204" s="4" t="s">
        <v>184</v>
      </c>
      <c r="L204" s="11">
        <v>649</v>
      </c>
      <c r="M204" s="11">
        <v>-649</v>
      </c>
      <c r="N204" s="4" t="s">
        <v>8</v>
      </c>
      <c r="O204" s="5">
        <v>5637370307</v>
      </c>
      <c r="P204" s="11">
        <f>_xll.AtlasFormulas.AtlasFunctions.AtlasBalance("UAT",DataAreaId,"T.MarkupTrans","Sum|Posted|0","","","","","","","MarkupCode|TransRecId|TransTableId","TPP",$O204,"64")</f>
        <v>0</v>
      </c>
    </row>
    <row r="205" spans="1:16" x14ac:dyDescent="0.25">
      <c r="A205" s="4" t="s">
        <v>116</v>
      </c>
      <c r="B205" s="4" t="s">
        <v>213</v>
      </c>
      <c r="C205" s="4" t="s">
        <v>178</v>
      </c>
      <c r="D205" s="4" t="s">
        <v>248</v>
      </c>
      <c r="E205" s="4" t="s">
        <v>62</v>
      </c>
      <c r="F205" s="4" t="s">
        <v>180</v>
      </c>
      <c r="G205" s="4" t="s">
        <v>36</v>
      </c>
      <c r="H205" s="4" t="s">
        <v>142</v>
      </c>
      <c r="I205" s="9">
        <v>42886</v>
      </c>
      <c r="J205" s="11">
        <v>1</v>
      </c>
      <c r="K205" s="4" t="s">
        <v>184</v>
      </c>
      <c r="L205" s="11">
        <v>445</v>
      </c>
      <c r="M205" s="11">
        <v>445</v>
      </c>
      <c r="N205" s="4" t="s">
        <v>8</v>
      </c>
      <c r="O205" s="5">
        <v>5637364802</v>
      </c>
      <c r="P205" s="11">
        <f>_xll.AtlasFormulas.AtlasFunctions.AtlasBalance("UAT",DataAreaId,"T.MarkupTrans","Sum|Posted|0","","","","","","","MarkupCode|TransRecId|TransTableId","TPP",$O205,"64")</f>
        <v>0</v>
      </c>
    </row>
    <row r="206" spans="1:16" x14ac:dyDescent="0.25">
      <c r="A206" s="4" t="s">
        <v>116</v>
      </c>
      <c r="B206" s="4" t="s">
        <v>244</v>
      </c>
      <c r="C206" s="4" t="s">
        <v>193</v>
      </c>
      <c r="D206" s="4" t="s">
        <v>245</v>
      </c>
      <c r="E206" s="4" t="s">
        <v>61</v>
      </c>
      <c r="F206" s="4" t="s">
        <v>180</v>
      </c>
      <c r="G206" s="4" t="s">
        <v>36</v>
      </c>
      <c r="H206" s="4" t="s">
        <v>142</v>
      </c>
      <c r="I206" s="9">
        <v>42886</v>
      </c>
      <c r="J206" s="11">
        <v>1</v>
      </c>
      <c r="K206" s="4" t="s">
        <v>184</v>
      </c>
      <c r="L206" s="11">
        <v>938</v>
      </c>
      <c r="M206" s="11">
        <v>938</v>
      </c>
      <c r="N206" s="4" t="s">
        <v>8</v>
      </c>
      <c r="O206" s="5">
        <v>5637364768</v>
      </c>
      <c r="P206" s="11">
        <f>_xll.AtlasFormulas.AtlasFunctions.AtlasBalance("UAT",DataAreaId,"T.MarkupTrans","Sum|Posted|0","","","","","","","MarkupCode|TransRecId|TransTableId","TPP",$O206,"64")</f>
        <v>0</v>
      </c>
    </row>
    <row r="207" spans="1:16" x14ac:dyDescent="0.25">
      <c r="A207" s="4" t="s">
        <v>116</v>
      </c>
      <c r="B207" s="4" t="s">
        <v>239</v>
      </c>
      <c r="C207" s="4" t="s">
        <v>176</v>
      </c>
      <c r="D207" s="4" t="s">
        <v>243</v>
      </c>
      <c r="E207" s="4" t="s">
        <v>58</v>
      </c>
      <c r="F207" s="4" t="s">
        <v>180</v>
      </c>
      <c r="G207" s="4" t="s">
        <v>36</v>
      </c>
      <c r="H207" s="4" t="s">
        <v>142</v>
      </c>
      <c r="I207" s="9">
        <v>42886</v>
      </c>
      <c r="J207" s="11">
        <v>1</v>
      </c>
      <c r="K207" s="4" t="s">
        <v>184</v>
      </c>
      <c r="L207" s="11">
        <v>1221</v>
      </c>
      <c r="M207" s="11">
        <v>1221</v>
      </c>
      <c r="N207" s="4" t="s">
        <v>8</v>
      </c>
      <c r="O207" s="5">
        <v>5637364688</v>
      </c>
      <c r="P207" s="11">
        <f>_xll.AtlasFormulas.AtlasFunctions.AtlasBalance("UAT",DataAreaId,"T.MarkupTrans","Sum|Posted|0","","","","","","","MarkupCode|TransRecId|TransTableId","TPP",$O207,"64")</f>
        <v>0</v>
      </c>
    </row>
    <row r="208" spans="1:16" x14ac:dyDescent="0.25">
      <c r="A208" s="4" t="s">
        <v>116</v>
      </c>
      <c r="B208" s="4" t="s">
        <v>224</v>
      </c>
      <c r="C208" s="4" t="s">
        <v>225</v>
      </c>
      <c r="D208" s="4" t="s">
        <v>247</v>
      </c>
      <c r="E208" s="4" t="s">
        <v>59</v>
      </c>
      <c r="F208" s="4" t="s">
        <v>180</v>
      </c>
      <c r="G208" s="4" t="s">
        <v>36</v>
      </c>
      <c r="H208" s="4" t="s">
        <v>142</v>
      </c>
      <c r="I208" s="9">
        <v>42886</v>
      </c>
      <c r="J208" s="11">
        <v>1</v>
      </c>
      <c r="K208" s="4" t="s">
        <v>184</v>
      </c>
      <c r="L208" s="11">
        <v>1357</v>
      </c>
      <c r="M208" s="11">
        <v>1357</v>
      </c>
      <c r="N208" s="4" t="s">
        <v>8</v>
      </c>
      <c r="O208" s="5">
        <v>5637364726</v>
      </c>
      <c r="P208" s="11">
        <f>_xll.AtlasFormulas.AtlasFunctions.AtlasBalance("UAT",DataAreaId,"T.MarkupTrans","Sum|Posted|0","","","","","","","MarkupCode|TransRecId|TransTableId","TPP",$O208,"64")</f>
        <v>0</v>
      </c>
    </row>
    <row r="209" spans="1:16" x14ac:dyDescent="0.25">
      <c r="A209" s="4" t="s">
        <v>116</v>
      </c>
      <c r="B209" s="4" t="s">
        <v>175</v>
      </c>
      <c r="C209" s="4" t="s">
        <v>177</v>
      </c>
      <c r="D209" s="4" t="s">
        <v>246</v>
      </c>
      <c r="E209" s="4" t="s">
        <v>57</v>
      </c>
      <c r="F209" s="4" t="s">
        <v>180</v>
      </c>
      <c r="G209" s="4" t="s">
        <v>36</v>
      </c>
      <c r="H209" s="4" t="s">
        <v>142</v>
      </c>
      <c r="I209" s="9">
        <v>42886</v>
      </c>
      <c r="J209" s="11">
        <v>1</v>
      </c>
      <c r="K209" s="4" t="s">
        <v>184</v>
      </c>
      <c r="L209" s="11">
        <v>1464</v>
      </c>
      <c r="M209" s="11">
        <v>1464</v>
      </c>
      <c r="N209" s="4" t="s">
        <v>8</v>
      </c>
      <c r="O209" s="5">
        <v>5637364650</v>
      </c>
      <c r="P209" s="11">
        <f>_xll.AtlasFormulas.AtlasFunctions.AtlasBalance("UAT",DataAreaId,"T.MarkupTrans","Sum|Posted|0","","","","","","","MarkupCode|TransRecId|TransTableId","TPP",$O209,"64")</f>
        <v>0</v>
      </c>
    </row>
    <row r="210" spans="1:16" x14ac:dyDescent="0.25">
      <c r="A210" s="4" t="s">
        <v>116</v>
      </c>
      <c r="B210" s="4" t="s">
        <v>215</v>
      </c>
      <c r="C210" s="4" t="s">
        <v>192</v>
      </c>
      <c r="D210" s="4" t="s">
        <v>242</v>
      </c>
      <c r="E210" s="4" t="s">
        <v>55</v>
      </c>
      <c r="F210" s="4" t="s">
        <v>180</v>
      </c>
      <c r="G210" s="4" t="s">
        <v>36</v>
      </c>
      <c r="H210" s="4" t="s">
        <v>142</v>
      </c>
      <c r="I210" s="9">
        <v>42886</v>
      </c>
      <c r="J210" s="11">
        <v>1</v>
      </c>
      <c r="K210" s="4" t="s">
        <v>184</v>
      </c>
      <c r="L210" s="11">
        <v>749</v>
      </c>
      <c r="M210" s="11">
        <v>749</v>
      </c>
      <c r="N210" s="4" t="s">
        <v>8</v>
      </c>
      <c r="O210" s="5">
        <v>5637364599</v>
      </c>
      <c r="P210" s="11">
        <f>_xll.AtlasFormulas.AtlasFunctions.AtlasBalance("UAT",DataAreaId,"T.MarkupTrans","Sum|Posted|0","","","","","","","MarkupCode|TransRecId|TransTableId","TPP",$O210,"64")</f>
        <v>0</v>
      </c>
    </row>
    <row r="211" spans="1:16" x14ac:dyDescent="0.25">
      <c r="A211" s="4" t="s">
        <v>116</v>
      </c>
      <c r="B211" s="4" t="s">
        <v>215</v>
      </c>
      <c r="C211" s="4" t="s">
        <v>192</v>
      </c>
      <c r="D211" s="4" t="s">
        <v>253</v>
      </c>
      <c r="E211" s="4" t="s">
        <v>92</v>
      </c>
      <c r="F211" s="4" t="s">
        <v>180</v>
      </c>
      <c r="G211" s="4" t="s">
        <v>36</v>
      </c>
      <c r="H211" s="4" t="s">
        <v>142</v>
      </c>
      <c r="I211" s="9">
        <v>42916</v>
      </c>
      <c r="J211" s="11">
        <v>1</v>
      </c>
      <c r="K211" s="4" t="s">
        <v>184</v>
      </c>
      <c r="L211" s="11">
        <v>577</v>
      </c>
      <c r="M211" s="11">
        <v>577</v>
      </c>
      <c r="N211" s="4" t="s">
        <v>8</v>
      </c>
      <c r="O211" s="5">
        <v>5637367317</v>
      </c>
      <c r="P211" s="11">
        <f>_xll.AtlasFormulas.AtlasFunctions.AtlasBalance("UAT",DataAreaId,"T.MarkupTrans","Sum|Posted|0","","","","","","","MarkupCode|TransRecId|TransTableId","TPP",$O211,"64")</f>
        <v>0</v>
      </c>
    </row>
    <row r="212" spans="1:16" x14ac:dyDescent="0.25">
      <c r="A212" s="4" t="s">
        <v>116</v>
      </c>
      <c r="B212" s="4" t="s">
        <v>175</v>
      </c>
      <c r="C212" s="4" t="s">
        <v>177</v>
      </c>
      <c r="D212" s="4" t="s">
        <v>252</v>
      </c>
      <c r="E212" s="4" t="s">
        <v>95</v>
      </c>
      <c r="F212" s="4" t="s">
        <v>180</v>
      </c>
      <c r="G212" s="4" t="s">
        <v>36</v>
      </c>
      <c r="H212" s="4" t="s">
        <v>142</v>
      </c>
      <c r="I212" s="9">
        <v>42916</v>
      </c>
      <c r="J212" s="11">
        <v>1</v>
      </c>
      <c r="K212" s="4" t="s">
        <v>184</v>
      </c>
      <c r="L212" s="11">
        <v>1335</v>
      </c>
      <c r="M212" s="11">
        <v>1335</v>
      </c>
      <c r="N212" s="4" t="s">
        <v>8</v>
      </c>
      <c r="O212" s="5">
        <v>5637367403</v>
      </c>
      <c r="P212" s="11">
        <f>_xll.AtlasFormulas.AtlasFunctions.AtlasBalance("UAT",DataAreaId,"T.MarkupTrans","Sum|Posted|0","","","","","","","MarkupCode|TransRecId|TransTableId","TPP",$O212,"64")</f>
        <v>0</v>
      </c>
    </row>
    <row r="213" spans="1:16" x14ac:dyDescent="0.25">
      <c r="A213" s="4" t="s">
        <v>116</v>
      </c>
      <c r="B213" s="4" t="s">
        <v>224</v>
      </c>
      <c r="C213" s="4" t="s">
        <v>225</v>
      </c>
      <c r="D213" s="4" t="s">
        <v>251</v>
      </c>
      <c r="E213" s="4" t="s">
        <v>93</v>
      </c>
      <c r="F213" s="4" t="s">
        <v>180</v>
      </c>
      <c r="G213" s="4" t="s">
        <v>36</v>
      </c>
      <c r="H213" s="4" t="s">
        <v>142</v>
      </c>
      <c r="I213" s="9">
        <v>42916</v>
      </c>
      <c r="J213" s="11">
        <v>1</v>
      </c>
      <c r="K213" s="4" t="s">
        <v>184</v>
      </c>
      <c r="L213" s="11">
        <v>1964</v>
      </c>
      <c r="M213" s="11">
        <v>1964</v>
      </c>
      <c r="N213" s="4" t="s">
        <v>8</v>
      </c>
      <c r="O213" s="5">
        <v>5637367355</v>
      </c>
      <c r="P213" s="11">
        <f>_xll.AtlasFormulas.AtlasFunctions.AtlasBalance("UAT",DataAreaId,"T.MarkupTrans","Sum|Posted|0","","","","","","","MarkupCode|TransRecId|TransTableId","TPP",$O213,"64")</f>
        <v>0</v>
      </c>
    </row>
    <row r="214" spans="1:16" x14ac:dyDescent="0.25">
      <c r="A214" s="4" t="s">
        <v>116</v>
      </c>
      <c r="B214" s="4" t="s">
        <v>239</v>
      </c>
      <c r="C214" s="4" t="s">
        <v>176</v>
      </c>
      <c r="D214" s="4" t="s">
        <v>254</v>
      </c>
      <c r="E214" s="4" t="s">
        <v>96</v>
      </c>
      <c r="F214" s="4" t="s">
        <v>180</v>
      </c>
      <c r="G214" s="4" t="s">
        <v>36</v>
      </c>
      <c r="H214" s="4" t="s">
        <v>142</v>
      </c>
      <c r="I214" s="9">
        <v>42916</v>
      </c>
      <c r="J214" s="11">
        <v>1</v>
      </c>
      <c r="K214" s="4" t="s">
        <v>184</v>
      </c>
      <c r="L214" s="11">
        <v>534</v>
      </c>
      <c r="M214" s="11">
        <v>534</v>
      </c>
      <c r="N214" s="4" t="s">
        <v>8</v>
      </c>
      <c r="O214" s="5">
        <v>5637367441</v>
      </c>
      <c r="P214" s="11">
        <f>_xll.AtlasFormulas.AtlasFunctions.AtlasBalance("UAT",DataAreaId,"T.MarkupTrans","Sum|Posted|0","","","","","","","MarkupCode|TransRecId|TransTableId","TPP",$O214,"64")</f>
        <v>0</v>
      </c>
    </row>
    <row r="215" spans="1:16" x14ac:dyDescent="0.25">
      <c r="A215" s="4" t="s">
        <v>116</v>
      </c>
      <c r="B215" s="4" t="s">
        <v>244</v>
      </c>
      <c r="C215" s="4" t="s">
        <v>193</v>
      </c>
      <c r="D215" s="4" t="s">
        <v>249</v>
      </c>
      <c r="E215" s="4" t="s">
        <v>91</v>
      </c>
      <c r="F215" s="4" t="s">
        <v>180</v>
      </c>
      <c r="G215" s="4" t="s">
        <v>36</v>
      </c>
      <c r="H215" s="4" t="s">
        <v>142</v>
      </c>
      <c r="I215" s="9">
        <v>42916</v>
      </c>
      <c r="J215" s="11">
        <v>1</v>
      </c>
      <c r="K215" s="4" t="s">
        <v>184</v>
      </c>
      <c r="L215" s="11">
        <v>1899</v>
      </c>
      <c r="M215" s="11">
        <v>1899</v>
      </c>
      <c r="N215" s="4" t="s">
        <v>8</v>
      </c>
      <c r="O215" s="5">
        <v>5637367283</v>
      </c>
      <c r="P215" s="11">
        <f>_xll.AtlasFormulas.AtlasFunctions.AtlasBalance("UAT",DataAreaId,"T.MarkupTrans","Sum|Posted|0","","","","","","","MarkupCode|TransRecId|TransTableId","TPP",$O215,"64")</f>
        <v>0</v>
      </c>
    </row>
    <row r="216" spans="1:16" x14ac:dyDescent="0.25">
      <c r="A216" s="4" t="s">
        <v>116</v>
      </c>
      <c r="B216" s="4" t="s">
        <v>213</v>
      </c>
      <c r="C216" s="4" t="s">
        <v>178</v>
      </c>
      <c r="D216" s="4" t="s">
        <v>250</v>
      </c>
      <c r="E216" s="4" t="s">
        <v>90</v>
      </c>
      <c r="F216" s="4" t="s">
        <v>180</v>
      </c>
      <c r="G216" s="4" t="s">
        <v>36</v>
      </c>
      <c r="H216" s="4" t="s">
        <v>142</v>
      </c>
      <c r="I216" s="9">
        <v>42916</v>
      </c>
      <c r="J216" s="11">
        <v>1</v>
      </c>
      <c r="K216" s="4" t="s">
        <v>184</v>
      </c>
      <c r="L216" s="11">
        <v>1160</v>
      </c>
      <c r="M216" s="11">
        <v>1160</v>
      </c>
      <c r="N216" s="4" t="s">
        <v>8</v>
      </c>
      <c r="O216" s="5">
        <v>5637367249</v>
      </c>
      <c r="P216" s="11">
        <f>_xll.AtlasFormulas.AtlasFunctions.AtlasBalance("UAT",DataAreaId,"T.MarkupTrans","Sum|Posted|0","","","","","","","MarkupCode|TransRecId|TransTableId","TPP",$O216,"64")</f>
        <v>0</v>
      </c>
    </row>
    <row r="217" spans="1:16" x14ac:dyDescent="0.25">
      <c r="A217" s="4" t="s">
        <v>116</v>
      </c>
      <c r="B217" s="4" t="s">
        <v>213</v>
      </c>
      <c r="C217" s="4" t="s">
        <v>178</v>
      </c>
      <c r="D217" s="4" t="s">
        <v>260</v>
      </c>
      <c r="E217" s="4" t="s">
        <v>105</v>
      </c>
      <c r="F217" s="4" t="s">
        <v>180</v>
      </c>
      <c r="G217" s="4" t="s">
        <v>36</v>
      </c>
      <c r="H217" s="4" t="s">
        <v>142</v>
      </c>
      <c r="I217" s="9">
        <v>42947</v>
      </c>
      <c r="J217" s="11">
        <v>-1</v>
      </c>
      <c r="K217" s="4" t="s">
        <v>184</v>
      </c>
      <c r="L217" s="11">
        <v>1177</v>
      </c>
      <c r="M217" s="11">
        <v>-1177</v>
      </c>
      <c r="N217" s="4" t="s">
        <v>8</v>
      </c>
      <c r="O217" s="5">
        <v>5637370311</v>
      </c>
      <c r="P217" s="11">
        <f>_xll.AtlasFormulas.AtlasFunctions.AtlasBalance("UAT",DataAreaId,"T.MarkupTrans","Sum|Posted|0","","","","","","","MarkupCode|TransRecId|TransTableId","TPP",$O217,"64")</f>
        <v>0</v>
      </c>
    </row>
    <row r="218" spans="1:16" x14ac:dyDescent="0.25">
      <c r="A218" s="4" t="s">
        <v>116</v>
      </c>
      <c r="B218" s="4" t="s">
        <v>244</v>
      </c>
      <c r="C218" s="4" t="s">
        <v>193</v>
      </c>
      <c r="D218" s="4" t="s">
        <v>257</v>
      </c>
      <c r="E218" s="4" t="s">
        <v>106</v>
      </c>
      <c r="F218" s="4" t="s">
        <v>180</v>
      </c>
      <c r="G218" s="4" t="s">
        <v>36</v>
      </c>
      <c r="H218" s="4" t="s">
        <v>142</v>
      </c>
      <c r="I218" s="9">
        <v>42947</v>
      </c>
      <c r="J218" s="11">
        <v>1</v>
      </c>
      <c r="K218" s="4" t="s">
        <v>184</v>
      </c>
      <c r="L218" s="11">
        <v>1003</v>
      </c>
      <c r="M218" s="11">
        <v>1003</v>
      </c>
      <c r="N218" s="4" t="s">
        <v>8</v>
      </c>
      <c r="O218" s="5">
        <v>5637370345</v>
      </c>
      <c r="P218" s="11">
        <f>_xll.AtlasFormulas.AtlasFunctions.AtlasBalance("UAT",DataAreaId,"T.MarkupTrans","Sum|Posted|0","","","","","","","MarkupCode|TransRecId|TransTableId","TPP",$O218,"64")</f>
        <v>0</v>
      </c>
    </row>
    <row r="219" spans="1:16" x14ac:dyDescent="0.25">
      <c r="A219" s="4" t="s">
        <v>116</v>
      </c>
      <c r="B219" s="4" t="s">
        <v>239</v>
      </c>
      <c r="C219" s="4" t="s">
        <v>176</v>
      </c>
      <c r="D219" s="4" t="s">
        <v>255</v>
      </c>
      <c r="E219" s="4" t="s">
        <v>111</v>
      </c>
      <c r="F219" s="4" t="s">
        <v>180</v>
      </c>
      <c r="G219" s="4" t="s">
        <v>36</v>
      </c>
      <c r="H219" s="4" t="s">
        <v>142</v>
      </c>
      <c r="I219" s="9">
        <v>42947</v>
      </c>
      <c r="J219" s="11">
        <v>1</v>
      </c>
      <c r="K219" s="4" t="s">
        <v>184</v>
      </c>
      <c r="L219" s="11">
        <v>964</v>
      </c>
      <c r="M219" s="11">
        <v>964</v>
      </c>
      <c r="N219" s="4" t="s">
        <v>8</v>
      </c>
      <c r="O219" s="5">
        <v>5637370494</v>
      </c>
      <c r="P219" s="11">
        <f>_xll.AtlasFormulas.AtlasFunctions.AtlasBalance("UAT",DataAreaId,"T.MarkupTrans","Sum|Posted|0","","","","","","","MarkupCode|TransRecId|TransTableId","TPP",$O219,"64")</f>
        <v>0</v>
      </c>
    </row>
    <row r="220" spans="1:16" x14ac:dyDescent="0.25">
      <c r="A220" s="4" t="s">
        <v>116</v>
      </c>
      <c r="B220" s="4" t="s">
        <v>224</v>
      </c>
      <c r="C220" s="4" t="s">
        <v>225</v>
      </c>
      <c r="D220" s="4" t="s">
        <v>258</v>
      </c>
      <c r="E220" s="4" t="s">
        <v>107</v>
      </c>
      <c r="F220" s="4" t="s">
        <v>180</v>
      </c>
      <c r="G220" s="4" t="s">
        <v>36</v>
      </c>
      <c r="H220" s="4" t="s">
        <v>142</v>
      </c>
      <c r="I220" s="9">
        <v>42947</v>
      </c>
      <c r="J220" s="11">
        <v>1</v>
      </c>
      <c r="K220" s="4" t="s">
        <v>184</v>
      </c>
      <c r="L220" s="11">
        <v>1899</v>
      </c>
      <c r="M220" s="11">
        <v>1899</v>
      </c>
      <c r="N220" s="4" t="s">
        <v>8</v>
      </c>
      <c r="O220" s="5">
        <v>5637370398</v>
      </c>
      <c r="P220" s="11">
        <f>_xll.AtlasFormulas.AtlasFunctions.AtlasBalance("UAT",DataAreaId,"T.MarkupTrans","Sum|Posted|0","","","","","","","MarkupCode|TransRecId|TransTableId","TPP",$O220,"64")</f>
        <v>0</v>
      </c>
    </row>
    <row r="221" spans="1:16" x14ac:dyDescent="0.25">
      <c r="A221" s="4" t="s">
        <v>116</v>
      </c>
      <c r="B221" s="4" t="s">
        <v>175</v>
      </c>
      <c r="C221" s="4" t="s">
        <v>177</v>
      </c>
      <c r="D221" s="4" t="s">
        <v>256</v>
      </c>
      <c r="E221" s="4" t="s">
        <v>112</v>
      </c>
      <c r="F221" s="4" t="s">
        <v>180</v>
      </c>
      <c r="G221" s="4" t="s">
        <v>36</v>
      </c>
      <c r="H221" s="4" t="s">
        <v>142</v>
      </c>
      <c r="I221" s="9">
        <v>42947</v>
      </c>
      <c r="J221" s="11">
        <v>1</v>
      </c>
      <c r="K221" s="4" t="s">
        <v>184</v>
      </c>
      <c r="L221" s="11">
        <v>2234</v>
      </c>
      <c r="M221" s="11">
        <v>2234</v>
      </c>
      <c r="N221" s="4" t="s">
        <v>8</v>
      </c>
      <c r="O221" s="5">
        <v>5637370790</v>
      </c>
      <c r="P221" s="11">
        <f>_xll.AtlasFormulas.AtlasFunctions.AtlasBalance("UAT",DataAreaId,"T.MarkupTrans","Sum|Posted|0","","","","","","","MarkupCode|TransRecId|TransTableId","TPP",$O221,"64")</f>
        <v>0</v>
      </c>
    </row>
    <row r="222" spans="1:16" x14ac:dyDescent="0.25">
      <c r="A222" s="4" t="s">
        <v>116</v>
      </c>
      <c r="B222" s="4" t="s">
        <v>215</v>
      </c>
      <c r="C222" s="4" t="s">
        <v>192</v>
      </c>
      <c r="D222" s="4" t="s">
        <v>259</v>
      </c>
      <c r="E222" s="4" t="s">
        <v>109</v>
      </c>
      <c r="F222" s="4" t="s">
        <v>180</v>
      </c>
      <c r="G222" s="4" t="s">
        <v>36</v>
      </c>
      <c r="H222" s="4" t="s">
        <v>142</v>
      </c>
      <c r="I222" s="9">
        <v>42947</v>
      </c>
      <c r="J222" s="11">
        <v>-1</v>
      </c>
      <c r="K222" s="4" t="s">
        <v>184</v>
      </c>
      <c r="L222" s="11">
        <v>209</v>
      </c>
      <c r="M222" s="11">
        <v>-209</v>
      </c>
      <c r="N222" s="4" t="s">
        <v>8</v>
      </c>
      <c r="O222" s="5">
        <v>5637370446</v>
      </c>
      <c r="P222" s="11">
        <f>_xll.AtlasFormulas.AtlasFunctions.AtlasBalance("UAT",DataAreaId,"T.MarkupTrans","Sum|Posted|0","","","","","","","MarkupCode|TransRecId|TransTableId","TPP",$O222,"64")</f>
        <v>0</v>
      </c>
    </row>
    <row r="223" spans="1:16" x14ac:dyDescent="0.25">
      <c r="A223" s="4" t="s">
        <v>116</v>
      </c>
      <c r="B223" s="4" t="s">
        <v>215</v>
      </c>
      <c r="C223" s="4" t="s">
        <v>192</v>
      </c>
      <c r="D223" s="4" t="s">
        <v>242</v>
      </c>
      <c r="E223" s="4" t="s">
        <v>55</v>
      </c>
      <c r="F223" s="4" t="s">
        <v>180</v>
      </c>
      <c r="G223" s="4" t="s">
        <v>37</v>
      </c>
      <c r="H223" s="4" t="s">
        <v>143</v>
      </c>
      <c r="I223" s="9">
        <v>42886</v>
      </c>
      <c r="J223" s="11">
        <v>1</v>
      </c>
      <c r="K223" s="4" t="s">
        <v>184</v>
      </c>
      <c r="L223" s="11">
        <v>54</v>
      </c>
      <c r="M223" s="11">
        <v>54</v>
      </c>
      <c r="N223" s="4" t="s">
        <v>8</v>
      </c>
      <c r="O223" s="5">
        <v>5637364608</v>
      </c>
      <c r="P223" s="11">
        <f>_xll.AtlasFormulas.AtlasFunctions.AtlasBalance("UAT",DataAreaId,"T.MarkupTrans","Sum|Posted|0","","","","","","","MarkupCode|TransRecId|TransTableId","TPP",$O223,"64")</f>
        <v>0</v>
      </c>
    </row>
    <row r="224" spans="1:16" x14ac:dyDescent="0.25">
      <c r="A224" s="4" t="s">
        <v>116</v>
      </c>
      <c r="B224" s="4" t="s">
        <v>175</v>
      </c>
      <c r="C224" s="4" t="s">
        <v>177</v>
      </c>
      <c r="D224" s="4" t="s">
        <v>246</v>
      </c>
      <c r="E224" s="4" t="s">
        <v>57</v>
      </c>
      <c r="F224" s="4" t="s">
        <v>180</v>
      </c>
      <c r="G224" s="4" t="s">
        <v>37</v>
      </c>
      <c r="H224" s="4" t="s">
        <v>143</v>
      </c>
      <c r="I224" s="9">
        <v>42886</v>
      </c>
      <c r="J224" s="11">
        <v>1</v>
      </c>
      <c r="K224" s="4" t="s">
        <v>184</v>
      </c>
      <c r="L224" s="11">
        <v>107</v>
      </c>
      <c r="M224" s="11">
        <v>107</v>
      </c>
      <c r="N224" s="4" t="s">
        <v>8</v>
      </c>
      <c r="O224" s="5">
        <v>5637364658</v>
      </c>
      <c r="P224" s="11">
        <f>_xll.AtlasFormulas.AtlasFunctions.AtlasBalance("UAT",DataAreaId,"T.MarkupTrans","Sum|Posted|0","","","","","","","MarkupCode|TransRecId|TransTableId","TPP",$O224,"64")</f>
        <v>0</v>
      </c>
    </row>
    <row r="225" spans="1:16" x14ac:dyDescent="0.25">
      <c r="A225" s="4" t="s">
        <v>116</v>
      </c>
      <c r="B225" s="4" t="s">
        <v>224</v>
      </c>
      <c r="C225" s="4" t="s">
        <v>225</v>
      </c>
      <c r="D225" s="4" t="s">
        <v>247</v>
      </c>
      <c r="E225" s="4" t="s">
        <v>59</v>
      </c>
      <c r="F225" s="4" t="s">
        <v>180</v>
      </c>
      <c r="G225" s="4" t="s">
        <v>37</v>
      </c>
      <c r="H225" s="4" t="s">
        <v>143</v>
      </c>
      <c r="I225" s="9">
        <v>42886</v>
      </c>
      <c r="J225" s="11">
        <v>1</v>
      </c>
      <c r="K225" s="4" t="s">
        <v>184</v>
      </c>
      <c r="L225" s="11">
        <v>99</v>
      </c>
      <c r="M225" s="11">
        <v>99</v>
      </c>
      <c r="N225" s="4" t="s">
        <v>8</v>
      </c>
      <c r="O225" s="5">
        <v>5637364735</v>
      </c>
      <c r="P225" s="11">
        <f>_xll.AtlasFormulas.AtlasFunctions.AtlasBalance("UAT",DataAreaId,"T.MarkupTrans","Sum|Posted|0","","","","","","","MarkupCode|TransRecId|TransTableId","TPP",$O225,"64")</f>
        <v>0</v>
      </c>
    </row>
    <row r="226" spans="1:16" x14ac:dyDescent="0.25">
      <c r="A226" s="4" t="s">
        <v>116</v>
      </c>
      <c r="B226" s="4" t="s">
        <v>239</v>
      </c>
      <c r="C226" s="4" t="s">
        <v>176</v>
      </c>
      <c r="D226" s="4" t="s">
        <v>243</v>
      </c>
      <c r="E226" s="4" t="s">
        <v>58</v>
      </c>
      <c r="F226" s="4" t="s">
        <v>180</v>
      </c>
      <c r="G226" s="4" t="s">
        <v>37</v>
      </c>
      <c r="H226" s="4" t="s">
        <v>143</v>
      </c>
      <c r="I226" s="9">
        <v>42886</v>
      </c>
      <c r="J226" s="11">
        <v>1</v>
      </c>
      <c r="K226" s="4" t="s">
        <v>184</v>
      </c>
      <c r="L226" s="11">
        <v>89</v>
      </c>
      <c r="M226" s="11">
        <v>89</v>
      </c>
      <c r="N226" s="4" t="s">
        <v>8</v>
      </c>
      <c r="O226" s="5">
        <v>5637364697</v>
      </c>
      <c r="P226" s="11">
        <f>_xll.AtlasFormulas.AtlasFunctions.AtlasBalance("UAT",DataAreaId,"T.MarkupTrans","Sum|Posted|0","","","","","","","MarkupCode|TransRecId|TransTableId","TPP",$O226,"64")</f>
        <v>0</v>
      </c>
    </row>
    <row r="227" spans="1:16" x14ac:dyDescent="0.25">
      <c r="A227" s="4" t="s">
        <v>116</v>
      </c>
      <c r="B227" s="4" t="s">
        <v>244</v>
      </c>
      <c r="C227" s="4" t="s">
        <v>193</v>
      </c>
      <c r="D227" s="4" t="s">
        <v>245</v>
      </c>
      <c r="E227" s="4" t="s">
        <v>61</v>
      </c>
      <c r="F227" s="4" t="s">
        <v>180</v>
      </c>
      <c r="G227" s="4" t="s">
        <v>37</v>
      </c>
      <c r="H227" s="4" t="s">
        <v>143</v>
      </c>
      <c r="I227" s="9">
        <v>42886</v>
      </c>
      <c r="J227" s="11">
        <v>1</v>
      </c>
      <c r="K227" s="4" t="s">
        <v>184</v>
      </c>
      <c r="L227" s="11">
        <v>68</v>
      </c>
      <c r="M227" s="11">
        <v>68</v>
      </c>
      <c r="N227" s="4" t="s">
        <v>8</v>
      </c>
      <c r="O227" s="5">
        <v>5637364773</v>
      </c>
      <c r="P227" s="11">
        <f>_xll.AtlasFormulas.AtlasFunctions.AtlasBalance("UAT",DataAreaId,"T.MarkupTrans","Sum|Posted|0","","","","","","","MarkupCode|TransRecId|TransTableId","TPP",$O227,"64")</f>
        <v>0</v>
      </c>
    </row>
    <row r="228" spans="1:16" x14ac:dyDescent="0.25">
      <c r="A228" s="4" t="s">
        <v>116</v>
      </c>
      <c r="B228" s="4" t="s">
        <v>213</v>
      </c>
      <c r="C228" s="4" t="s">
        <v>178</v>
      </c>
      <c r="D228" s="4" t="s">
        <v>248</v>
      </c>
      <c r="E228" s="4" t="s">
        <v>62</v>
      </c>
      <c r="F228" s="4" t="s">
        <v>180</v>
      </c>
      <c r="G228" s="4" t="s">
        <v>37</v>
      </c>
      <c r="H228" s="4" t="s">
        <v>143</v>
      </c>
      <c r="I228" s="9">
        <v>42886</v>
      </c>
      <c r="J228" s="11">
        <v>1</v>
      </c>
      <c r="K228" s="4" t="s">
        <v>184</v>
      </c>
      <c r="L228" s="11">
        <v>32</v>
      </c>
      <c r="M228" s="11">
        <v>32</v>
      </c>
      <c r="N228" s="4" t="s">
        <v>8</v>
      </c>
      <c r="O228" s="5">
        <v>5637364811</v>
      </c>
      <c r="P228" s="11">
        <f>_xll.AtlasFormulas.AtlasFunctions.AtlasBalance("UAT",DataAreaId,"T.MarkupTrans","Sum|Posted|0","","","","","","","MarkupCode|TransRecId|TransTableId","TPP",$O228,"64")</f>
        <v>0</v>
      </c>
    </row>
    <row r="229" spans="1:16" x14ac:dyDescent="0.25">
      <c r="A229" s="4" t="s">
        <v>116</v>
      </c>
      <c r="B229" s="4" t="s">
        <v>213</v>
      </c>
      <c r="C229" s="4" t="s">
        <v>178</v>
      </c>
      <c r="D229" s="4" t="s">
        <v>250</v>
      </c>
      <c r="E229" s="4" t="s">
        <v>90</v>
      </c>
      <c r="F229" s="4" t="s">
        <v>180</v>
      </c>
      <c r="G229" s="4" t="s">
        <v>37</v>
      </c>
      <c r="H229" s="4" t="s">
        <v>143</v>
      </c>
      <c r="I229" s="9">
        <v>42916</v>
      </c>
      <c r="J229" s="11">
        <v>1</v>
      </c>
      <c r="K229" s="4" t="s">
        <v>184</v>
      </c>
      <c r="L229" s="11">
        <v>87</v>
      </c>
      <c r="M229" s="11">
        <v>87</v>
      </c>
      <c r="N229" s="4" t="s">
        <v>8</v>
      </c>
      <c r="O229" s="5">
        <v>5637367258</v>
      </c>
      <c r="P229" s="11">
        <f>_xll.AtlasFormulas.AtlasFunctions.AtlasBalance("UAT",DataAreaId,"T.MarkupTrans","Sum|Posted|0","","","","","","","MarkupCode|TransRecId|TransTableId","TPP",$O229,"64")</f>
        <v>0</v>
      </c>
    </row>
    <row r="230" spans="1:16" x14ac:dyDescent="0.25">
      <c r="A230" s="4" t="s">
        <v>116</v>
      </c>
      <c r="B230" s="4" t="s">
        <v>244</v>
      </c>
      <c r="C230" s="4" t="s">
        <v>193</v>
      </c>
      <c r="D230" s="4" t="s">
        <v>249</v>
      </c>
      <c r="E230" s="4" t="s">
        <v>91</v>
      </c>
      <c r="F230" s="4" t="s">
        <v>180</v>
      </c>
      <c r="G230" s="4" t="s">
        <v>37</v>
      </c>
      <c r="H230" s="4" t="s">
        <v>143</v>
      </c>
      <c r="I230" s="9">
        <v>42916</v>
      </c>
      <c r="J230" s="11">
        <v>1</v>
      </c>
      <c r="K230" s="4" t="s">
        <v>184</v>
      </c>
      <c r="L230" s="11">
        <v>147</v>
      </c>
      <c r="M230" s="11">
        <v>147</v>
      </c>
      <c r="N230" s="4" t="s">
        <v>8</v>
      </c>
      <c r="O230" s="5">
        <v>5637367288</v>
      </c>
      <c r="P230" s="11">
        <f>_xll.AtlasFormulas.AtlasFunctions.AtlasBalance("UAT",DataAreaId,"T.MarkupTrans","Sum|Posted|0","","","","","","","MarkupCode|TransRecId|TransTableId","TPP",$O230,"64")</f>
        <v>0</v>
      </c>
    </row>
    <row r="231" spans="1:16" x14ac:dyDescent="0.25">
      <c r="A231" s="4" t="s">
        <v>116</v>
      </c>
      <c r="B231" s="4" t="s">
        <v>239</v>
      </c>
      <c r="C231" s="4" t="s">
        <v>176</v>
      </c>
      <c r="D231" s="4" t="s">
        <v>254</v>
      </c>
      <c r="E231" s="4" t="s">
        <v>96</v>
      </c>
      <c r="F231" s="4" t="s">
        <v>180</v>
      </c>
      <c r="G231" s="4" t="s">
        <v>37</v>
      </c>
      <c r="H231" s="4" t="s">
        <v>143</v>
      </c>
      <c r="I231" s="9">
        <v>42916</v>
      </c>
      <c r="J231" s="11">
        <v>1</v>
      </c>
      <c r="K231" s="4" t="s">
        <v>184</v>
      </c>
      <c r="L231" s="11">
        <v>48</v>
      </c>
      <c r="M231" s="11">
        <v>48</v>
      </c>
      <c r="N231" s="4" t="s">
        <v>8</v>
      </c>
      <c r="O231" s="5">
        <v>5637367450</v>
      </c>
      <c r="P231" s="11">
        <f>_xll.AtlasFormulas.AtlasFunctions.AtlasBalance("UAT",DataAreaId,"T.MarkupTrans","Sum|Posted|0","","","","","","","MarkupCode|TransRecId|TransTableId","TPP",$O231,"64")</f>
        <v>0</v>
      </c>
    </row>
    <row r="232" spans="1:16" x14ac:dyDescent="0.25">
      <c r="A232" s="4" t="s">
        <v>116</v>
      </c>
      <c r="B232" s="4" t="s">
        <v>224</v>
      </c>
      <c r="C232" s="4" t="s">
        <v>225</v>
      </c>
      <c r="D232" s="4" t="s">
        <v>251</v>
      </c>
      <c r="E232" s="4" t="s">
        <v>93</v>
      </c>
      <c r="F232" s="4" t="s">
        <v>180</v>
      </c>
      <c r="G232" s="4" t="s">
        <v>37</v>
      </c>
      <c r="H232" s="4" t="s">
        <v>143</v>
      </c>
      <c r="I232" s="9">
        <v>42916</v>
      </c>
      <c r="J232" s="11">
        <v>1</v>
      </c>
      <c r="K232" s="4" t="s">
        <v>184</v>
      </c>
      <c r="L232" s="11">
        <v>154</v>
      </c>
      <c r="M232" s="11">
        <v>154</v>
      </c>
      <c r="N232" s="4" t="s">
        <v>8</v>
      </c>
      <c r="O232" s="5">
        <v>5637367364</v>
      </c>
      <c r="P232" s="11">
        <f>_xll.AtlasFormulas.AtlasFunctions.AtlasBalance("UAT",DataAreaId,"T.MarkupTrans","Sum|Posted|0","","","","","","","MarkupCode|TransRecId|TransTableId","TPP",$O232,"64")</f>
        <v>0</v>
      </c>
    </row>
    <row r="233" spans="1:16" x14ac:dyDescent="0.25">
      <c r="A233" s="4" t="s">
        <v>116</v>
      </c>
      <c r="B233" s="4" t="s">
        <v>175</v>
      </c>
      <c r="C233" s="4" t="s">
        <v>177</v>
      </c>
      <c r="D233" s="4" t="s">
        <v>252</v>
      </c>
      <c r="E233" s="4" t="s">
        <v>95</v>
      </c>
      <c r="F233" s="4" t="s">
        <v>180</v>
      </c>
      <c r="G233" s="4" t="s">
        <v>37</v>
      </c>
      <c r="H233" s="4" t="s">
        <v>143</v>
      </c>
      <c r="I233" s="9">
        <v>42916</v>
      </c>
      <c r="J233" s="11">
        <v>1</v>
      </c>
      <c r="K233" s="4" t="s">
        <v>184</v>
      </c>
      <c r="L233" s="11">
        <v>111</v>
      </c>
      <c r="M233" s="11">
        <v>111</v>
      </c>
      <c r="N233" s="4" t="s">
        <v>8</v>
      </c>
      <c r="O233" s="5">
        <v>5637367412</v>
      </c>
      <c r="P233" s="11">
        <f>_xll.AtlasFormulas.AtlasFunctions.AtlasBalance("UAT",DataAreaId,"T.MarkupTrans","Sum|Posted|0","","","","","","","MarkupCode|TransRecId|TransTableId","TPP",$O233,"64")</f>
        <v>0</v>
      </c>
    </row>
    <row r="234" spans="1:16" x14ac:dyDescent="0.25">
      <c r="A234" s="4" t="s">
        <v>116</v>
      </c>
      <c r="B234" s="4" t="s">
        <v>215</v>
      </c>
      <c r="C234" s="4" t="s">
        <v>192</v>
      </c>
      <c r="D234" s="4" t="s">
        <v>253</v>
      </c>
      <c r="E234" s="4" t="s">
        <v>92</v>
      </c>
      <c r="F234" s="4" t="s">
        <v>180</v>
      </c>
      <c r="G234" s="4" t="s">
        <v>37</v>
      </c>
      <c r="H234" s="4" t="s">
        <v>143</v>
      </c>
      <c r="I234" s="9">
        <v>42916</v>
      </c>
      <c r="J234" s="11">
        <v>1</v>
      </c>
      <c r="K234" s="4" t="s">
        <v>184</v>
      </c>
      <c r="L234" s="11">
        <v>47</v>
      </c>
      <c r="M234" s="11">
        <v>47</v>
      </c>
      <c r="N234" s="4" t="s">
        <v>8</v>
      </c>
      <c r="O234" s="5">
        <v>5637367326</v>
      </c>
      <c r="P234" s="11">
        <f>_xll.AtlasFormulas.AtlasFunctions.AtlasBalance("UAT",DataAreaId,"T.MarkupTrans","Sum|Posted|0","","","","","","","MarkupCode|TransRecId|TransTableId","TPP",$O234,"64")</f>
        <v>0</v>
      </c>
    </row>
    <row r="235" spans="1:16" x14ac:dyDescent="0.25">
      <c r="A235" s="4" t="s">
        <v>116</v>
      </c>
      <c r="B235" s="4" t="s">
        <v>215</v>
      </c>
      <c r="C235" s="4" t="s">
        <v>192</v>
      </c>
      <c r="D235" s="4" t="s">
        <v>259</v>
      </c>
      <c r="E235" s="4" t="s">
        <v>109</v>
      </c>
      <c r="F235" s="4" t="s">
        <v>180</v>
      </c>
      <c r="G235" s="4" t="s">
        <v>37</v>
      </c>
      <c r="H235" s="4" t="s">
        <v>143</v>
      </c>
      <c r="I235" s="9">
        <v>42947</v>
      </c>
      <c r="J235" s="11">
        <v>-1</v>
      </c>
      <c r="K235" s="4" t="s">
        <v>184</v>
      </c>
      <c r="L235" s="11">
        <v>19</v>
      </c>
      <c r="M235" s="11">
        <v>-19</v>
      </c>
      <c r="N235" s="4" t="s">
        <v>8</v>
      </c>
      <c r="O235" s="5">
        <v>5637370455</v>
      </c>
      <c r="P235" s="11">
        <f>_xll.AtlasFormulas.AtlasFunctions.AtlasBalance("UAT",DataAreaId,"T.MarkupTrans","Sum|Posted|0","","","","","","","MarkupCode|TransRecId|TransTableId","TPP",$O235,"64")</f>
        <v>0</v>
      </c>
    </row>
    <row r="236" spans="1:16" x14ac:dyDescent="0.25">
      <c r="A236" s="4" t="s">
        <v>116</v>
      </c>
      <c r="B236" s="4" t="s">
        <v>175</v>
      </c>
      <c r="C236" s="4" t="s">
        <v>177</v>
      </c>
      <c r="D236" s="4" t="s">
        <v>256</v>
      </c>
      <c r="E236" s="4" t="s">
        <v>112</v>
      </c>
      <c r="F236" s="4" t="s">
        <v>180</v>
      </c>
      <c r="G236" s="4" t="s">
        <v>37</v>
      </c>
      <c r="H236" s="4" t="s">
        <v>143</v>
      </c>
      <c r="I236" s="9">
        <v>42947</v>
      </c>
      <c r="J236" s="11">
        <v>-1</v>
      </c>
      <c r="K236" s="4" t="s">
        <v>184</v>
      </c>
      <c r="L236" s="11">
        <v>285</v>
      </c>
      <c r="M236" s="11">
        <v>-285</v>
      </c>
      <c r="N236" s="4" t="s">
        <v>8</v>
      </c>
      <c r="O236" s="5">
        <v>5637370799</v>
      </c>
      <c r="P236" s="11">
        <f>_xll.AtlasFormulas.AtlasFunctions.AtlasBalance("UAT",DataAreaId,"T.MarkupTrans","Sum|Posted|0","","","","","","","MarkupCode|TransRecId|TransTableId","TPP",$O236,"64")</f>
        <v>0</v>
      </c>
    </row>
    <row r="237" spans="1:16" x14ac:dyDescent="0.25">
      <c r="A237" s="4" t="s">
        <v>116</v>
      </c>
      <c r="B237" s="4" t="s">
        <v>224</v>
      </c>
      <c r="C237" s="4" t="s">
        <v>225</v>
      </c>
      <c r="D237" s="4" t="s">
        <v>258</v>
      </c>
      <c r="E237" s="4" t="s">
        <v>107</v>
      </c>
      <c r="F237" s="4" t="s">
        <v>180</v>
      </c>
      <c r="G237" s="4" t="s">
        <v>37</v>
      </c>
      <c r="H237" s="4" t="s">
        <v>143</v>
      </c>
      <c r="I237" s="9">
        <v>42947</v>
      </c>
      <c r="J237" s="11">
        <v>1</v>
      </c>
      <c r="K237" s="4" t="s">
        <v>184</v>
      </c>
      <c r="L237" s="11">
        <v>129</v>
      </c>
      <c r="M237" s="11">
        <v>129</v>
      </c>
      <c r="N237" s="4" t="s">
        <v>8</v>
      </c>
      <c r="O237" s="5">
        <v>5637370407</v>
      </c>
      <c r="P237" s="11">
        <f>_xll.AtlasFormulas.AtlasFunctions.AtlasBalance("UAT",DataAreaId,"T.MarkupTrans","Sum|Posted|0","","","","","","","MarkupCode|TransRecId|TransTableId","TPP",$O237,"64")</f>
        <v>0</v>
      </c>
    </row>
    <row r="238" spans="1:16" x14ac:dyDescent="0.25">
      <c r="A238" s="4" t="s">
        <v>116</v>
      </c>
      <c r="B238" s="4" t="s">
        <v>239</v>
      </c>
      <c r="C238" s="4" t="s">
        <v>176</v>
      </c>
      <c r="D238" s="4" t="s">
        <v>255</v>
      </c>
      <c r="E238" s="4" t="s">
        <v>111</v>
      </c>
      <c r="F238" s="4" t="s">
        <v>180</v>
      </c>
      <c r="G238" s="4" t="s">
        <v>37</v>
      </c>
      <c r="H238" s="4" t="s">
        <v>143</v>
      </c>
      <c r="I238" s="9">
        <v>42947</v>
      </c>
      <c r="J238" s="11">
        <v>1</v>
      </c>
      <c r="K238" s="4" t="s">
        <v>184</v>
      </c>
      <c r="L238" s="11">
        <v>63</v>
      </c>
      <c r="M238" s="11">
        <v>63</v>
      </c>
      <c r="N238" s="4" t="s">
        <v>8</v>
      </c>
      <c r="O238" s="5">
        <v>5637370753</v>
      </c>
      <c r="P238" s="11">
        <f>_xll.AtlasFormulas.AtlasFunctions.AtlasBalance("UAT",DataAreaId,"T.MarkupTrans","Sum|Posted|0","","","","","","","MarkupCode|TransRecId|TransTableId","TPP",$O238,"64")</f>
        <v>0</v>
      </c>
    </row>
    <row r="239" spans="1:16" x14ac:dyDescent="0.25">
      <c r="A239" s="4" t="s">
        <v>116</v>
      </c>
      <c r="B239" s="4" t="s">
        <v>244</v>
      </c>
      <c r="C239" s="4" t="s">
        <v>193</v>
      </c>
      <c r="D239" s="4" t="s">
        <v>257</v>
      </c>
      <c r="E239" s="4" t="s">
        <v>106</v>
      </c>
      <c r="F239" s="4" t="s">
        <v>180</v>
      </c>
      <c r="G239" s="4" t="s">
        <v>37</v>
      </c>
      <c r="H239" s="4" t="s">
        <v>143</v>
      </c>
      <c r="I239" s="9">
        <v>42947</v>
      </c>
      <c r="J239" s="11">
        <v>1</v>
      </c>
      <c r="K239" s="4" t="s">
        <v>184</v>
      </c>
      <c r="L239" s="11">
        <v>66</v>
      </c>
      <c r="M239" s="11">
        <v>66</v>
      </c>
      <c r="N239" s="4" t="s">
        <v>8</v>
      </c>
      <c r="O239" s="5">
        <v>5637370350</v>
      </c>
      <c r="P239" s="11">
        <f>_xll.AtlasFormulas.AtlasFunctions.AtlasBalance("UAT",DataAreaId,"T.MarkupTrans","Sum|Posted|0","","","","","","","MarkupCode|TransRecId|TransTableId","TPP",$O239,"64")</f>
        <v>0</v>
      </c>
    </row>
    <row r="240" spans="1:16" x14ac:dyDescent="0.25">
      <c r="A240" s="4" t="s">
        <v>116</v>
      </c>
      <c r="B240" s="4" t="s">
        <v>213</v>
      </c>
      <c r="C240" s="4" t="s">
        <v>178</v>
      </c>
      <c r="D240" s="4" t="s">
        <v>260</v>
      </c>
      <c r="E240" s="4" t="s">
        <v>105</v>
      </c>
      <c r="F240" s="4" t="s">
        <v>180</v>
      </c>
      <c r="G240" s="4" t="s">
        <v>37</v>
      </c>
      <c r="H240" s="4" t="s">
        <v>143</v>
      </c>
      <c r="I240" s="9">
        <v>42947</v>
      </c>
      <c r="J240" s="11">
        <v>-1</v>
      </c>
      <c r="K240" s="4" t="s">
        <v>184</v>
      </c>
      <c r="L240" s="11">
        <v>88</v>
      </c>
      <c r="M240" s="11">
        <v>-88</v>
      </c>
      <c r="N240" s="4" t="s">
        <v>8</v>
      </c>
      <c r="O240" s="5">
        <v>5637370320</v>
      </c>
      <c r="P240" s="11">
        <f>_xll.AtlasFormulas.AtlasFunctions.AtlasBalance("UAT",DataAreaId,"T.MarkupTrans","Sum|Posted|0","","","","","","","MarkupCode|TransRecId|TransTableId","TPP",$O240,"64")</f>
        <v>0</v>
      </c>
    </row>
    <row r="241" spans="1:16" x14ac:dyDescent="0.25">
      <c r="A241" s="4" t="s">
        <v>116</v>
      </c>
      <c r="B241" s="4" t="s">
        <v>224</v>
      </c>
      <c r="C241" s="4" t="s">
        <v>225</v>
      </c>
      <c r="D241" s="4" t="s">
        <v>267</v>
      </c>
      <c r="E241" s="4" t="s">
        <v>84</v>
      </c>
      <c r="F241" s="4" t="s">
        <v>180</v>
      </c>
      <c r="G241" s="4" t="s">
        <v>40</v>
      </c>
      <c r="H241" s="4" t="s">
        <v>144</v>
      </c>
      <c r="I241" s="9">
        <v>42916</v>
      </c>
      <c r="J241" s="11">
        <v>1</v>
      </c>
      <c r="K241" s="4" t="s">
        <v>184</v>
      </c>
      <c r="L241" s="11">
        <v>232903.8</v>
      </c>
      <c r="M241" s="11">
        <v>232903.8</v>
      </c>
      <c r="N241" s="4" t="s">
        <v>8</v>
      </c>
      <c r="O241" s="5">
        <v>5637367191</v>
      </c>
      <c r="P241" s="11">
        <f>_xll.AtlasFormulas.AtlasFunctions.AtlasBalance("UAT",DataAreaId,"T.MarkupTrans","Sum|Posted|0","","","","","","","MarkupCode|TransRecId|TransTableId","TPP",$O241,"64")</f>
        <v>0</v>
      </c>
    </row>
    <row r="242" spans="1:16" x14ac:dyDescent="0.25">
      <c r="A242" s="4" t="s">
        <v>116</v>
      </c>
      <c r="B242" s="4" t="s">
        <v>215</v>
      </c>
      <c r="C242" s="4" t="s">
        <v>192</v>
      </c>
      <c r="D242" s="4" t="s">
        <v>266</v>
      </c>
      <c r="E242" s="4" t="s">
        <v>83</v>
      </c>
      <c r="F242" s="4" t="s">
        <v>180</v>
      </c>
      <c r="G242" s="4" t="s">
        <v>40</v>
      </c>
      <c r="H242" s="4" t="s">
        <v>144</v>
      </c>
      <c r="I242" s="9">
        <v>42916</v>
      </c>
      <c r="J242" s="11">
        <v>-1</v>
      </c>
      <c r="K242" s="4" t="s">
        <v>184</v>
      </c>
      <c r="L242" s="11">
        <v>24909.829999999998</v>
      </c>
      <c r="M242" s="11">
        <v>-24909.829999999998</v>
      </c>
      <c r="N242" s="4" t="s">
        <v>8</v>
      </c>
      <c r="O242" s="5">
        <v>5637367189</v>
      </c>
      <c r="P242" s="11">
        <f>_xll.AtlasFormulas.AtlasFunctions.AtlasBalance("UAT",DataAreaId,"T.MarkupTrans","Sum|Posted|0","","","","","","","MarkupCode|TransRecId|TransTableId","TPP",$O242,"64")</f>
        <v>0</v>
      </c>
    </row>
    <row r="243" spans="1:16" x14ac:dyDescent="0.25">
      <c r="A243" s="4" t="s">
        <v>116</v>
      </c>
      <c r="B243" s="4" t="s">
        <v>215</v>
      </c>
      <c r="C243" s="4" t="s">
        <v>192</v>
      </c>
      <c r="D243" s="4" t="s">
        <v>242</v>
      </c>
      <c r="E243" s="4" t="s">
        <v>55</v>
      </c>
      <c r="F243" s="4" t="s">
        <v>180</v>
      </c>
      <c r="G243" s="4" t="s">
        <v>38</v>
      </c>
      <c r="H243" s="4" t="s">
        <v>145</v>
      </c>
      <c r="I243" s="9">
        <v>42886</v>
      </c>
      <c r="J243" s="11">
        <v>-1</v>
      </c>
      <c r="K243" s="4" t="s">
        <v>184</v>
      </c>
      <c r="L243" s="11">
        <v>4256</v>
      </c>
      <c r="M243" s="11">
        <v>-4256</v>
      </c>
      <c r="N243" s="4" t="s">
        <v>8</v>
      </c>
      <c r="O243" s="5">
        <v>5637364598</v>
      </c>
      <c r="P243" s="11">
        <f>_xll.AtlasFormulas.AtlasFunctions.AtlasBalance("UAT",DataAreaId,"T.MarkupTrans","Sum|Posted|0","","","","","","","MarkupCode|TransRecId|TransTableId","TPP",$O243,"64")</f>
        <v>0</v>
      </c>
    </row>
    <row r="244" spans="1:16" x14ac:dyDescent="0.25">
      <c r="A244" s="4" t="s">
        <v>116</v>
      </c>
      <c r="B244" s="4" t="s">
        <v>175</v>
      </c>
      <c r="C244" s="4" t="s">
        <v>177</v>
      </c>
      <c r="D244" s="4" t="s">
        <v>246</v>
      </c>
      <c r="E244" s="4" t="s">
        <v>57</v>
      </c>
      <c r="F244" s="4" t="s">
        <v>180</v>
      </c>
      <c r="G244" s="4" t="s">
        <v>38</v>
      </c>
      <c r="H244" s="4" t="s">
        <v>145</v>
      </c>
      <c r="I244" s="9">
        <v>42886</v>
      </c>
      <c r="J244" s="11">
        <v>-1</v>
      </c>
      <c r="K244" s="4" t="s">
        <v>184</v>
      </c>
      <c r="L244" s="11">
        <v>2403</v>
      </c>
      <c r="M244" s="11">
        <v>-2403</v>
      </c>
      <c r="N244" s="4" t="s">
        <v>8</v>
      </c>
      <c r="O244" s="5">
        <v>5637364649</v>
      </c>
      <c r="P244" s="11">
        <f>_xll.AtlasFormulas.AtlasFunctions.AtlasBalance("UAT",DataAreaId,"T.MarkupTrans","Sum|Posted|0","","","","","","","MarkupCode|TransRecId|TransTableId","TPP",$O244,"64")</f>
        <v>0</v>
      </c>
    </row>
    <row r="245" spans="1:16" x14ac:dyDescent="0.25">
      <c r="A245" s="4" t="s">
        <v>116</v>
      </c>
      <c r="B245" s="4" t="s">
        <v>224</v>
      </c>
      <c r="C245" s="4" t="s">
        <v>225</v>
      </c>
      <c r="D245" s="4" t="s">
        <v>247</v>
      </c>
      <c r="E245" s="4" t="s">
        <v>59</v>
      </c>
      <c r="F245" s="4" t="s">
        <v>180</v>
      </c>
      <c r="G245" s="4" t="s">
        <v>38</v>
      </c>
      <c r="H245" s="4" t="s">
        <v>145</v>
      </c>
      <c r="I245" s="9">
        <v>42886</v>
      </c>
      <c r="J245" s="11">
        <v>-1</v>
      </c>
      <c r="K245" s="4" t="s">
        <v>184</v>
      </c>
      <c r="L245" s="11">
        <v>2318</v>
      </c>
      <c r="M245" s="11">
        <v>-2318</v>
      </c>
      <c r="N245" s="4" t="s">
        <v>8</v>
      </c>
      <c r="O245" s="5">
        <v>5637364725</v>
      </c>
      <c r="P245" s="11">
        <f>_xll.AtlasFormulas.AtlasFunctions.AtlasBalance("UAT",DataAreaId,"T.MarkupTrans","Sum|Posted|0","","","","","","","MarkupCode|TransRecId|TransTableId","TPP",$O245,"64")</f>
        <v>0</v>
      </c>
    </row>
    <row r="246" spans="1:16" x14ac:dyDescent="0.25">
      <c r="A246" s="4" t="s">
        <v>116</v>
      </c>
      <c r="B246" s="4" t="s">
        <v>239</v>
      </c>
      <c r="C246" s="4" t="s">
        <v>176</v>
      </c>
      <c r="D246" s="4" t="s">
        <v>243</v>
      </c>
      <c r="E246" s="4" t="s">
        <v>58</v>
      </c>
      <c r="F246" s="4" t="s">
        <v>180</v>
      </c>
      <c r="G246" s="4" t="s">
        <v>38</v>
      </c>
      <c r="H246" s="4" t="s">
        <v>145</v>
      </c>
      <c r="I246" s="9">
        <v>42886</v>
      </c>
      <c r="J246" s="11">
        <v>-1</v>
      </c>
      <c r="K246" s="4" t="s">
        <v>184</v>
      </c>
      <c r="L246" s="11">
        <v>3656</v>
      </c>
      <c r="M246" s="11">
        <v>-3656</v>
      </c>
      <c r="N246" s="4" t="s">
        <v>8</v>
      </c>
      <c r="O246" s="5">
        <v>5637364687</v>
      </c>
      <c r="P246" s="11">
        <f>_xll.AtlasFormulas.AtlasFunctions.AtlasBalance("UAT",DataAreaId,"T.MarkupTrans","Sum|Posted|0","","","","","","","MarkupCode|TransRecId|TransTableId","TPP",$O246,"64")</f>
        <v>0</v>
      </c>
    </row>
    <row r="247" spans="1:16" x14ac:dyDescent="0.25">
      <c r="A247" s="4" t="s">
        <v>116</v>
      </c>
      <c r="B247" s="4" t="s">
        <v>211</v>
      </c>
      <c r="C247" s="4" t="s">
        <v>194</v>
      </c>
      <c r="D247" s="4" t="s">
        <v>268</v>
      </c>
      <c r="E247" s="4" t="s">
        <v>56</v>
      </c>
      <c r="F247" s="4" t="s">
        <v>180</v>
      </c>
      <c r="G247" s="4" t="s">
        <v>38</v>
      </c>
      <c r="H247" s="4" t="s">
        <v>145</v>
      </c>
      <c r="I247" s="9">
        <v>42886</v>
      </c>
      <c r="J247" s="11">
        <v>-1</v>
      </c>
      <c r="K247" s="4" t="s">
        <v>184</v>
      </c>
      <c r="L247" s="11">
        <v>1690</v>
      </c>
      <c r="M247" s="11">
        <v>-1690</v>
      </c>
      <c r="N247" s="4" t="s">
        <v>8</v>
      </c>
      <c r="O247" s="5">
        <v>5637364616</v>
      </c>
      <c r="P247" s="11">
        <f>_xll.AtlasFormulas.AtlasFunctions.AtlasBalance("UAT",DataAreaId,"T.MarkupTrans","Sum|Posted|0","","","","","","","MarkupCode|TransRecId|TransTableId","TPP",$O247,"64")</f>
        <v>0</v>
      </c>
    </row>
    <row r="248" spans="1:16" x14ac:dyDescent="0.25">
      <c r="A248" s="4" t="s">
        <v>116</v>
      </c>
      <c r="B248" s="4" t="s">
        <v>213</v>
      </c>
      <c r="C248" s="4" t="s">
        <v>178</v>
      </c>
      <c r="D248" s="4" t="s">
        <v>248</v>
      </c>
      <c r="E248" s="4" t="s">
        <v>62</v>
      </c>
      <c r="F248" s="4" t="s">
        <v>180</v>
      </c>
      <c r="G248" s="4" t="s">
        <v>38</v>
      </c>
      <c r="H248" s="4" t="s">
        <v>145</v>
      </c>
      <c r="I248" s="9">
        <v>42886</v>
      </c>
      <c r="J248" s="11">
        <v>1</v>
      </c>
      <c r="K248" s="4" t="s">
        <v>184</v>
      </c>
      <c r="L248" s="11">
        <v>115</v>
      </c>
      <c r="M248" s="11">
        <v>115</v>
      </c>
      <c r="N248" s="4" t="s">
        <v>8</v>
      </c>
      <c r="O248" s="5">
        <v>5637364801</v>
      </c>
      <c r="P248" s="11">
        <f>_xll.AtlasFormulas.AtlasFunctions.AtlasBalance("UAT",DataAreaId,"T.MarkupTrans","Sum|Posted|0","","","","","","","MarkupCode|TransRecId|TransTableId","TPP",$O248,"64")</f>
        <v>0</v>
      </c>
    </row>
    <row r="249" spans="1:16" x14ac:dyDescent="0.25">
      <c r="A249" s="4" t="s">
        <v>116</v>
      </c>
      <c r="B249" s="4" t="s">
        <v>244</v>
      </c>
      <c r="C249" s="4" t="s">
        <v>193</v>
      </c>
      <c r="D249" s="4" t="s">
        <v>245</v>
      </c>
      <c r="E249" s="4" t="s">
        <v>61</v>
      </c>
      <c r="F249" s="4" t="s">
        <v>180</v>
      </c>
      <c r="G249" s="4" t="s">
        <v>38</v>
      </c>
      <c r="H249" s="4" t="s">
        <v>145</v>
      </c>
      <c r="I249" s="9">
        <v>42886</v>
      </c>
      <c r="J249" s="11">
        <v>1</v>
      </c>
      <c r="K249" s="4" t="s">
        <v>184</v>
      </c>
      <c r="L249" s="11">
        <v>81</v>
      </c>
      <c r="M249" s="11">
        <v>81</v>
      </c>
      <c r="N249" s="4" t="s">
        <v>8</v>
      </c>
      <c r="O249" s="5">
        <v>5637364767</v>
      </c>
      <c r="P249" s="11">
        <f>_xll.AtlasFormulas.AtlasFunctions.AtlasBalance("UAT",DataAreaId,"T.MarkupTrans","Sum|Posted|0","","","","","","","MarkupCode|TransRecId|TransTableId","TPP",$O249,"64")</f>
        <v>0</v>
      </c>
    </row>
    <row r="250" spans="1:16" x14ac:dyDescent="0.25">
      <c r="A250" s="4" t="s">
        <v>116</v>
      </c>
      <c r="B250" s="4" t="s">
        <v>244</v>
      </c>
      <c r="C250" s="4" t="s">
        <v>193</v>
      </c>
      <c r="D250" s="4" t="s">
        <v>249</v>
      </c>
      <c r="E250" s="4" t="s">
        <v>91</v>
      </c>
      <c r="F250" s="4" t="s">
        <v>180</v>
      </c>
      <c r="G250" s="4" t="s">
        <v>38</v>
      </c>
      <c r="H250" s="4" t="s">
        <v>145</v>
      </c>
      <c r="I250" s="9">
        <v>42916</v>
      </c>
      <c r="J250" s="11">
        <v>1</v>
      </c>
      <c r="K250" s="4" t="s">
        <v>184</v>
      </c>
      <c r="L250" s="11">
        <v>2323</v>
      </c>
      <c r="M250" s="11">
        <v>2323</v>
      </c>
      <c r="N250" s="4" t="s">
        <v>8</v>
      </c>
      <c r="O250" s="5">
        <v>5637367282</v>
      </c>
      <c r="P250" s="11">
        <f>_xll.AtlasFormulas.AtlasFunctions.AtlasBalance("UAT",DataAreaId,"T.MarkupTrans","Sum|Posted|0","","","","","","","MarkupCode|TransRecId|TransTableId","TPP",$O250,"64")</f>
        <v>0</v>
      </c>
    </row>
    <row r="251" spans="1:16" x14ac:dyDescent="0.25">
      <c r="A251" s="4" t="s">
        <v>116</v>
      </c>
      <c r="B251" s="4" t="s">
        <v>213</v>
      </c>
      <c r="C251" s="4" t="s">
        <v>178</v>
      </c>
      <c r="D251" s="4" t="s">
        <v>250</v>
      </c>
      <c r="E251" s="4" t="s">
        <v>90</v>
      </c>
      <c r="F251" s="4" t="s">
        <v>180</v>
      </c>
      <c r="G251" s="4" t="s">
        <v>38</v>
      </c>
      <c r="H251" s="4" t="s">
        <v>145</v>
      </c>
      <c r="I251" s="9">
        <v>42916</v>
      </c>
      <c r="J251" s="11">
        <v>1</v>
      </c>
      <c r="K251" s="4" t="s">
        <v>184</v>
      </c>
      <c r="L251" s="11">
        <v>900</v>
      </c>
      <c r="M251" s="11">
        <v>900</v>
      </c>
      <c r="N251" s="4" t="s">
        <v>8</v>
      </c>
      <c r="O251" s="5">
        <v>5637367248</v>
      </c>
      <c r="P251" s="11">
        <f>_xll.AtlasFormulas.AtlasFunctions.AtlasBalance("UAT",DataAreaId,"T.MarkupTrans","Sum|Posted|0","","","","","","","MarkupCode|TransRecId|TransTableId","TPP",$O251,"64")</f>
        <v>0</v>
      </c>
    </row>
    <row r="252" spans="1:16" x14ac:dyDescent="0.25">
      <c r="A252" s="4" t="s">
        <v>116</v>
      </c>
      <c r="B252" s="4" t="s">
        <v>224</v>
      </c>
      <c r="C252" s="4" t="s">
        <v>225</v>
      </c>
      <c r="D252" s="4" t="s">
        <v>251</v>
      </c>
      <c r="E252" s="4" t="s">
        <v>93</v>
      </c>
      <c r="F252" s="4" t="s">
        <v>180</v>
      </c>
      <c r="G252" s="4" t="s">
        <v>38</v>
      </c>
      <c r="H252" s="4" t="s">
        <v>145</v>
      </c>
      <c r="I252" s="9">
        <v>42916</v>
      </c>
      <c r="J252" s="11">
        <v>1</v>
      </c>
      <c r="K252" s="4" t="s">
        <v>184</v>
      </c>
      <c r="L252" s="11">
        <v>2882</v>
      </c>
      <c r="M252" s="11">
        <v>2882</v>
      </c>
      <c r="N252" s="4" t="s">
        <v>8</v>
      </c>
      <c r="O252" s="5">
        <v>5637367354</v>
      </c>
      <c r="P252" s="11">
        <f>_xll.AtlasFormulas.AtlasFunctions.AtlasBalance("UAT",DataAreaId,"T.MarkupTrans","Sum|Posted|0","","","","","","","MarkupCode|TransRecId|TransTableId","TPP",$O252,"64")</f>
        <v>0</v>
      </c>
    </row>
    <row r="253" spans="1:16" x14ac:dyDescent="0.25">
      <c r="A253" s="4" t="s">
        <v>116</v>
      </c>
      <c r="B253" s="4" t="s">
        <v>239</v>
      </c>
      <c r="C253" s="4" t="s">
        <v>176</v>
      </c>
      <c r="D253" s="4" t="s">
        <v>254</v>
      </c>
      <c r="E253" s="4" t="s">
        <v>96</v>
      </c>
      <c r="F253" s="4" t="s">
        <v>180</v>
      </c>
      <c r="G253" s="4" t="s">
        <v>38</v>
      </c>
      <c r="H253" s="4" t="s">
        <v>145</v>
      </c>
      <c r="I253" s="9">
        <v>42916</v>
      </c>
      <c r="J253" s="11">
        <v>1</v>
      </c>
      <c r="K253" s="4" t="s">
        <v>184</v>
      </c>
      <c r="L253" s="11">
        <v>1927</v>
      </c>
      <c r="M253" s="11">
        <v>1927</v>
      </c>
      <c r="N253" s="4" t="s">
        <v>8</v>
      </c>
      <c r="O253" s="5">
        <v>5637367440</v>
      </c>
      <c r="P253" s="11">
        <f>_xll.AtlasFormulas.AtlasFunctions.AtlasBalance("UAT",DataAreaId,"T.MarkupTrans","Sum|Posted|0","","","","","","","MarkupCode|TransRecId|TransTableId","TPP",$O253,"64")</f>
        <v>0</v>
      </c>
    </row>
    <row r="254" spans="1:16" x14ac:dyDescent="0.25">
      <c r="A254" s="4" t="s">
        <v>116</v>
      </c>
      <c r="B254" s="4" t="s">
        <v>175</v>
      </c>
      <c r="C254" s="4" t="s">
        <v>177</v>
      </c>
      <c r="D254" s="4" t="s">
        <v>252</v>
      </c>
      <c r="E254" s="4" t="s">
        <v>95</v>
      </c>
      <c r="F254" s="4" t="s">
        <v>180</v>
      </c>
      <c r="G254" s="4" t="s">
        <v>38</v>
      </c>
      <c r="H254" s="4" t="s">
        <v>145</v>
      </c>
      <c r="I254" s="9">
        <v>42916</v>
      </c>
      <c r="J254" s="11">
        <v>1</v>
      </c>
      <c r="K254" s="4" t="s">
        <v>184</v>
      </c>
      <c r="L254" s="11">
        <v>3095</v>
      </c>
      <c r="M254" s="11">
        <v>3095</v>
      </c>
      <c r="N254" s="4" t="s">
        <v>8</v>
      </c>
      <c r="O254" s="5">
        <v>5637367402</v>
      </c>
      <c r="P254" s="11">
        <f>_xll.AtlasFormulas.AtlasFunctions.AtlasBalance("UAT",DataAreaId,"T.MarkupTrans","Sum|Posted|0","","","","","","","MarkupCode|TransRecId|TransTableId","TPP",$O254,"64")</f>
        <v>0</v>
      </c>
    </row>
    <row r="255" spans="1:16" x14ac:dyDescent="0.25">
      <c r="A255" s="4" t="s">
        <v>116</v>
      </c>
      <c r="B255" s="4" t="s">
        <v>215</v>
      </c>
      <c r="C255" s="4" t="s">
        <v>192</v>
      </c>
      <c r="D255" s="4" t="s">
        <v>253</v>
      </c>
      <c r="E255" s="4" t="s">
        <v>92</v>
      </c>
      <c r="F255" s="4" t="s">
        <v>180</v>
      </c>
      <c r="G255" s="4" t="s">
        <v>38</v>
      </c>
      <c r="H255" s="4" t="s">
        <v>145</v>
      </c>
      <c r="I255" s="9">
        <v>42916</v>
      </c>
      <c r="J255" s="11">
        <v>1</v>
      </c>
      <c r="K255" s="4" t="s">
        <v>184</v>
      </c>
      <c r="L255" s="11">
        <v>1142</v>
      </c>
      <c r="M255" s="11">
        <v>1142</v>
      </c>
      <c r="N255" s="4" t="s">
        <v>8</v>
      </c>
      <c r="O255" s="5">
        <v>5637367316</v>
      </c>
      <c r="P255" s="11">
        <f>_xll.AtlasFormulas.AtlasFunctions.AtlasBalance("UAT",DataAreaId,"T.MarkupTrans","Sum|Posted|0","","","","","","","MarkupCode|TransRecId|TransTableId","TPP",$O255,"64")</f>
        <v>0</v>
      </c>
    </row>
    <row r="256" spans="1:16" x14ac:dyDescent="0.25">
      <c r="A256" s="4" t="s">
        <v>116</v>
      </c>
      <c r="B256" s="4" t="s">
        <v>215</v>
      </c>
      <c r="C256" s="4" t="s">
        <v>192</v>
      </c>
      <c r="D256" s="4" t="s">
        <v>259</v>
      </c>
      <c r="E256" s="4" t="s">
        <v>109</v>
      </c>
      <c r="F256" s="4" t="s">
        <v>180</v>
      </c>
      <c r="G256" s="4" t="s">
        <v>38</v>
      </c>
      <c r="H256" s="4" t="s">
        <v>145</v>
      </c>
      <c r="I256" s="9">
        <v>42947</v>
      </c>
      <c r="J256" s="11">
        <v>-1</v>
      </c>
      <c r="K256" s="4" t="s">
        <v>184</v>
      </c>
      <c r="L256" s="11">
        <v>378</v>
      </c>
      <c r="M256" s="11">
        <v>-378</v>
      </c>
      <c r="N256" s="4" t="s">
        <v>8</v>
      </c>
      <c r="O256" s="5">
        <v>5637370445</v>
      </c>
      <c r="P256" s="11">
        <f>_xll.AtlasFormulas.AtlasFunctions.AtlasBalance("UAT",DataAreaId,"T.MarkupTrans","Sum|Posted|0","","","","","","","MarkupCode|TransRecId|TransTableId","TPP",$O256,"64")</f>
        <v>0</v>
      </c>
    </row>
    <row r="257" spans="1:16" x14ac:dyDescent="0.25">
      <c r="A257" s="4" t="s">
        <v>116</v>
      </c>
      <c r="B257" s="4" t="s">
        <v>175</v>
      </c>
      <c r="C257" s="4" t="s">
        <v>177</v>
      </c>
      <c r="D257" s="4" t="s">
        <v>256</v>
      </c>
      <c r="E257" s="4" t="s">
        <v>112</v>
      </c>
      <c r="F257" s="4" t="s">
        <v>180</v>
      </c>
      <c r="G257" s="4" t="s">
        <v>38</v>
      </c>
      <c r="H257" s="4" t="s">
        <v>145</v>
      </c>
      <c r="I257" s="9">
        <v>42947</v>
      </c>
      <c r="J257" s="11">
        <v>1</v>
      </c>
      <c r="K257" s="4" t="s">
        <v>184</v>
      </c>
      <c r="L257" s="11">
        <v>371</v>
      </c>
      <c r="M257" s="11">
        <v>371</v>
      </c>
      <c r="N257" s="4" t="s">
        <v>8</v>
      </c>
      <c r="O257" s="5">
        <v>5637370789</v>
      </c>
      <c r="P257" s="11">
        <f>_xll.AtlasFormulas.AtlasFunctions.AtlasBalance("UAT",DataAreaId,"T.MarkupTrans","Sum|Posted|0","","","","","","","MarkupCode|TransRecId|TransTableId","TPP",$O257,"64")</f>
        <v>0</v>
      </c>
    </row>
    <row r="258" spans="1:16" x14ac:dyDescent="0.25">
      <c r="A258" s="4" t="s">
        <v>116</v>
      </c>
      <c r="B258" s="4" t="s">
        <v>224</v>
      </c>
      <c r="C258" s="4" t="s">
        <v>225</v>
      </c>
      <c r="D258" s="4" t="s">
        <v>258</v>
      </c>
      <c r="E258" s="4" t="s">
        <v>107</v>
      </c>
      <c r="F258" s="4" t="s">
        <v>180</v>
      </c>
      <c r="G258" s="4" t="s">
        <v>38</v>
      </c>
      <c r="H258" s="4" t="s">
        <v>145</v>
      </c>
      <c r="I258" s="9">
        <v>42947</v>
      </c>
      <c r="J258" s="11">
        <v>1</v>
      </c>
      <c r="K258" s="4" t="s">
        <v>184</v>
      </c>
      <c r="L258" s="11">
        <v>318</v>
      </c>
      <c r="M258" s="11">
        <v>318</v>
      </c>
      <c r="N258" s="4" t="s">
        <v>8</v>
      </c>
      <c r="O258" s="5">
        <v>5637370397</v>
      </c>
      <c r="P258" s="11">
        <f>_xll.AtlasFormulas.AtlasFunctions.AtlasBalance("UAT",DataAreaId,"T.MarkupTrans","Sum|Posted|0","","","","","","","MarkupCode|TransRecId|TransTableId","TPP",$O258,"64")</f>
        <v>0</v>
      </c>
    </row>
    <row r="259" spans="1:16" x14ac:dyDescent="0.25">
      <c r="A259" s="4" t="s">
        <v>116</v>
      </c>
      <c r="B259" s="4" t="s">
        <v>211</v>
      </c>
      <c r="C259" s="4" t="s">
        <v>194</v>
      </c>
      <c r="D259" s="4" t="s">
        <v>269</v>
      </c>
      <c r="E259" s="4" t="s">
        <v>110</v>
      </c>
      <c r="F259" s="4" t="s">
        <v>180</v>
      </c>
      <c r="G259" s="4" t="s">
        <v>38</v>
      </c>
      <c r="H259" s="4" t="s">
        <v>145</v>
      </c>
      <c r="I259" s="9">
        <v>42947</v>
      </c>
      <c r="J259" s="11">
        <v>-1</v>
      </c>
      <c r="K259" s="4" t="s">
        <v>184</v>
      </c>
      <c r="L259" s="11">
        <v>1</v>
      </c>
      <c r="M259" s="11">
        <v>-1</v>
      </c>
      <c r="N259" s="4" t="s">
        <v>8</v>
      </c>
      <c r="O259" s="5">
        <v>5637370463</v>
      </c>
      <c r="P259" s="11">
        <f>_xll.AtlasFormulas.AtlasFunctions.AtlasBalance("UAT",DataAreaId,"T.MarkupTrans","Sum|Posted|0","","","","","","","MarkupCode|TransRecId|TransTableId","TPP",$O259,"64")</f>
        <v>0</v>
      </c>
    </row>
    <row r="260" spans="1:16" x14ac:dyDescent="0.25">
      <c r="A260" s="4" t="s">
        <v>116</v>
      </c>
      <c r="B260" s="4" t="s">
        <v>239</v>
      </c>
      <c r="C260" s="4" t="s">
        <v>176</v>
      </c>
      <c r="D260" s="4" t="s">
        <v>255</v>
      </c>
      <c r="E260" s="4" t="s">
        <v>111</v>
      </c>
      <c r="F260" s="4" t="s">
        <v>180</v>
      </c>
      <c r="G260" s="4" t="s">
        <v>38</v>
      </c>
      <c r="H260" s="4" t="s">
        <v>145</v>
      </c>
      <c r="I260" s="9">
        <v>42947</v>
      </c>
      <c r="J260" s="11">
        <v>-1</v>
      </c>
      <c r="K260" s="4" t="s">
        <v>184</v>
      </c>
      <c r="L260" s="11">
        <v>12</v>
      </c>
      <c r="M260" s="11">
        <v>-12</v>
      </c>
      <c r="N260" s="4" t="s">
        <v>8</v>
      </c>
      <c r="O260" s="5">
        <v>5637370493</v>
      </c>
      <c r="P260" s="11">
        <f>_xll.AtlasFormulas.AtlasFunctions.AtlasBalance("UAT",DataAreaId,"T.MarkupTrans","Sum|Posted|0","","","","","","","MarkupCode|TransRecId|TransTableId","TPP",$O260,"64")</f>
        <v>0</v>
      </c>
    </row>
    <row r="261" spans="1:16" x14ac:dyDescent="0.25">
      <c r="A261" s="4" t="s">
        <v>116</v>
      </c>
      <c r="B261" s="4" t="s">
        <v>213</v>
      </c>
      <c r="C261" s="4" t="s">
        <v>178</v>
      </c>
      <c r="D261" s="4" t="s">
        <v>260</v>
      </c>
      <c r="E261" s="4" t="s">
        <v>105</v>
      </c>
      <c r="F261" s="4" t="s">
        <v>180</v>
      </c>
      <c r="G261" s="4" t="s">
        <v>38</v>
      </c>
      <c r="H261" s="4" t="s">
        <v>145</v>
      </c>
      <c r="I261" s="9">
        <v>42947</v>
      </c>
      <c r="J261" s="11">
        <v>-1</v>
      </c>
      <c r="K261" s="4" t="s">
        <v>184</v>
      </c>
      <c r="L261" s="11">
        <v>741</v>
      </c>
      <c r="M261" s="11">
        <v>-741</v>
      </c>
      <c r="N261" s="4" t="s">
        <v>8</v>
      </c>
      <c r="O261" s="5">
        <v>5637370310</v>
      </c>
      <c r="P261" s="11">
        <f>_xll.AtlasFormulas.AtlasFunctions.AtlasBalance("UAT",DataAreaId,"T.MarkupTrans","Sum|Posted|0","","","","","","","MarkupCode|TransRecId|TransTableId","TPP",$O261,"64")</f>
        <v>0</v>
      </c>
    </row>
    <row r="262" spans="1:16" x14ac:dyDescent="0.25">
      <c r="A262" s="4" t="s">
        <v>116</v>
      </c>
      <c r="B262" s="4" t="s">
        <v>244</v>
      </c>
      <c r="C262" s="4" t="s">
        <v>193</v>
      </c>
      <c r="D262" s="4" t="s">
        <v>257</v>
      </c>
      <c r="E262" s="4" t="s">
        <v>106</v>
      </c>
      <c r="F262" s="4" t="s">
        <v>180</v>
      </c>
      <c r="G262" s="4" t="s">
        <v>38</v>
      </c>
      <c r="H262" s="4" t="s">
        <v>145</v>
      </c>
      <c r="I262" s="9">
        <v>42947</v>
      </c>
      <c r="J262" s="11">
        <v>1</v>
      </c>
      <c r="K262" s="4" t="s">
        <v>184</v>
      </c>
      <c r="L262" s="11">
        <v>21</v>
      </c>
      <c r="M262" s="11">
        <v>21</v>
      </c>
      <c r="N262" s="4" t="s">
        <v>8</v>
      </c>
      <c r="O262" s="5">
        <v>5637370344</v>
      </c>
      <c r="P262" s="11">
        <f>_xll.AtlasFormulas.AtlasFunctions.AtlasBalance("UAT",DataAreaId,"T.MarkupTrans","Sum|Posted|0","","","","","","","MarkupCode|TransRecId|TransTableId","TPP",$O262,"64")</f>
        <v>0</v>
      </c>
    </row>
    <row r="263" spans="1:16" x14ac:dyDescent="0.25">
      <c r="A263" s="4" t="s">
        <v>116</v>
      </c>
      <c r="B263" s="4" t="s">
        <v>244</v>
      </c>
      <c r="C263" s="4" t="s">
        <v>193</v>
      </c>
      <c r="D263" s="4" t="s">
        <v>245</v>
      </c>
      <c r="E263" s="4" t="s">
        <v>61</v>
      </c>
      <c r="F263" s="4" t="s">
        <v>180</v>
      </c>
      <c r="G263" s="4" t="s">
        <v>39</v>
      </c>
      <c r="H263" s="4" t="s">
        <v>146</v>
      </c>
      <c r="I263" s="9">
        <v>42886</v>
      </c>
      <c r="J263" s="11">
        <v>-1</v>
      </c>
      <c r="K263" s="4" t="s">
        <v>184</v>
      </c>
      <c r="L263" s="11">
        <v>1</v>
      </c>
      <c r="M263" s="11">
        <v>-1</v>
      </c>
      <c r="N263" s="4" t="s">
        <v>8</v>
      </c>
      <c r="O263" s="5">
        <v>5637364772</v>
      </c>
      <c r="P263" s="11">
        <f>_xll.AtlasFormulas.AtlasFunctions.AtlasBalance("UAT",DataAreaId,"T.MarkupTrans","Sum|Posted|0","","","","","","","MarkupCode|TransRecId|TransTableId","TPP",$O263,"64")</f>
        <v>0</v>
      </c>
    </row>
    <row r="264" spans="1:16" x14ac:dyDescent="0.25">
      <c r="A264" s="4" t="s">
        <v>116</v>
      </c>
      <c r="B264" s="4" t="s">
        <v>213</v>
      </c>
      <c r="C264" s="4" t="s">
        <v>178</v>
      </c>
      <c r="D264" s="4" t="s">
        <v>248</v>
      </c>
      <c r="E264" s="4" t="s">
        <v>62</v>
      </c>
      <c r="F264" s="4" t="s">
        <v>180</v>
      </c>
      <c r="G264" s="4" t="s">
        <v>39</v>
      </c>
      <c r="H264" s="4" t="s">
        <v>146</v>
      </c>
      <c r="I264" s="9">
        <v>42886</v>
      </c>
      <c r="J264" s="11">
        <v>1</v>
      </c>
      <c r="K264" s="4" t="s">
        <v>184</v>
      </c>
      <c r="L264" s="11">
        <v>13</v>
      </c>
      <c r="M264" s="11">
        <v>13</v>
      </c>
      <c r="N264" s="4" t="s">
        <v>8</v>
      </c>
      <c r="O264" s="5">
        <v>5637364810</v>
      </c>
      <c r="P264" s="11">
        <f>_xll.AtlasFormulas.AtlasFunctions.AtlasBalance("UAT",DataAreaId,"T.MarkupTrans","Sum|Posted|0","","","","","","","MarkupCode|TransRecId|TransTableId","TPP",$O264,"64")</f>
        <v>0</v>
      </c>
    </row>
    <row r="265" spans="1:16" x14ac:dyDescent="0.25">
      <c r="A265" s="4" t="s">
        <v>116</v>
      </c>
      <c r="B265" s="4" t="s">
        <v>239</v>
      </c>
      <c r="C265" s="4" t="s">
        <v>176</v>
      </c>
      <c r="D265" s="4" t="s">
        <v>243</v>
      </c>
      <c r="E265" s="4" t="s">
        <v>58</v>
      </c>
      <c r="F265" s="4" t="s">
        <v>180</v>
      </c>
      <c r="G265" s="4" t="s">
        <v>39</v>
      </c>
      <c r="H265" s="4" t="s">
        <v>146</v>
      </c>
      <c r="I265" s="9">
        <v>42886</v>
      </c>
      <c r="J265" s="11">
        <v>-1</v>
      </c>
      <c r="K265" s="4" t="s">
        <v>184</v>
      </c>
      <c r="L265" s="11">
        <v>1</v>
      </c>
      <c r="M265" s="11">
        <v>-1</v>
      </c>
      <c r="N265" s="4" t="s">
        <v>8</v>
      </c>
      <c r="O265" s="5">
        <v>5637364696</v>
      </c>
      <c r="P265" s="11">
        <f>_xll.AtlasFormulas.AtlasFunctions.AtlasBalance("UAT",DataAreaId,"T.MarkupTrans","Sum|Posted|0","","","","","","","MarkupCode|TransRecId|TransTableId","TPP",$O265,"64")</f>
        <v>0</v>
      </c>
    </row>
    <row r="266" spans="1:16" x14ac:dyDescent="0.25">
      <c r="A266" s="4" t="s">
        <v>116</v>
      </c>
      <c r="B266" s="4" t="s">
        <v>224</v>
      </c>
      <c r="C266" s="4" t="s">
        <v>225</v>
      </c>
      <c r="D266" s="4" t="s">
        <v>247</v>
      </c>
      <c r="E266" s="4" t="s">
        <v>59</v>
      </c>
      <c r="F266" s="4" t="s">
        <v>180</v>
      </c>
      <c r="G266" s="4" t="s">
        <v>39</v>
      </c>
      <c r="H266" s="4" t="s">
        <v>146</v>
      </c>
      <c r="I266" s="9">
        <v>42886</v>
      </c>
      <c r="J266" s="11">
        <v>1</v>
      </c>
      <c r="K266" s="4" t="s">
        <v>184</v>
      </c>
      <c r="L266" s="11">
        <v>1</v>
      </c>
      <c r="M266" s="11">
        <v>1</v>
      </c>
      <c r="N266" s="4" t="s">
        <v>8</v>
      </c>
      <c r="O266" s="5">
        <v>5637364734</v>
      </c>
      <c r="P266" s="11">
        <f>_xll.AtlasFormulas.AtlasFunctions.AtlasBalance("UAT",DataAreaId,"T.MarkupTrans","Sum|Posted|0","","","","","","","MarkupCode|TransRecId|TransTableId","TPP",$O266,"64")</f>
        <v>0</v>
      </c>
    </row>
    <row r="267" spans="1:16" x14ac:dyDescent="0.25">
      <c r="A267" s="4" t="s">
        <v>116</v>
      </c>
      <c r="B267" s="4" t="s">
        <v>175</v>
      </c>
      <c r="C267" s="4" t="s">
        <v>177</v>
      </c>
      <c r="D267" s="4" t="s">
        <v>246</v>
      </c>
      <c r="E267" s="4" t="s">
        <v>57</v>
      </c>
      <c r="F267" s="4" t="s">
        <v>180</v>
      </c>
      <c r="G267" s="4" t="s">
        <v>39</v>
      </c>
      <c r="H267" s="4" t="s">
        <v>146</v>
      </c>
      <c r="I267" s="9">
        <v>42886</v>
      </c>
      <c r="J267" s="11">
        <v>-1</v>
      </c>
      <c r="K267" s="4" t="s">
        <v>184</v>
      </c>
      <c r="L267" s="11">
        <v>16</v>
      </c>
      <c r="M267" s="11">
        <v>-16</v>
      </c>
      <c r="N267" s="4" t="s">
        <v>8</v>
      </c>
      <c r="O267" s="5">
        <v>5637364657</v>
      </c>
      <c r="P267" s="11">
        <f>_xll.AtlasFormulas.AtlasFunctions.AtlasBalance("UAT",DataAreaId,"T.MarkupTrans","Sum|Posted|0","","","","","","","MarkupCode|TransRecId|TransTableId","TPP",$O267,"64")</f>
        <v>0</v>
      </c>
    </row>
    <row r="268" spans="1:16" x14ac:dyDescent="0.25">
      <c r="A268" s="4" t="s">
        <v>116</v>
      </c>
      <c r="B268" s="4" t="s">
        <v>215</v>
      </c>
      <c r="C268" s="4" t="s">
        <v>192</v>
      </c>
      <c r="D268" s="4" t="s">
        <v>242</v>
      </c>
      <c r="E268" s="4" t="s">
        <v>55</v>
      </c>
      <c r="F268" s="4" t="s">
        <v>180</v>
      </c>
      <c r="G268" s="4" t="s">
        <v>39</v>
      </c>
      <c r="H268" s="4" t="s">
        <v>146</v>
      </c>
      <c r="I268" s="9">
        <v>42886</v>
      </c>
      <c r="J268" s="11">
        <v>1</v>
      </c>
      <c r="K268" s="4" t="s">
        <v>184</v>
      </c>
      <c r="L268" s="11">
        <v>6</v>
      </c>
      <c r="M268" s="11">
        <v>6</v>
      </c>
      <c r="N268" s="4" t="s">
        <v>8</v>
      </c>
      <c r="O268" s="5">
        <v>5637364607</v>
      </c>
      <c r="P268" s="11">
        <f>_xll.AtlasFormulas.AtlasFunctions.AtlasBalance("UAT",DataAreaId,"T.MarkupTrans","Sum|Posted|0","","","","","","","MarkupCode|TransRecId|TransTableId","TPP",$O268,"64")</f>
        <v>0</v>
      </c>
    </row>
    <row r="269" spans="1:16" x14ac:dyDescent="0.25">
      <c r="A269" s="4" t="s">
        <v>116</v>
      </c>
      <c r="B269" s="4" t="s">
        <v>215</v>
      </c>
      <c r="C269" s="4" t="s">
        <v>192</v>
      </c>
      <c r="D269" s="4" t="s">
        <v>253</v>
      </c>
      <c r="E269" s="4" t="s">
        <v>92</v>
      </c>
      <c r="F269" s="4" t="s">
        <v>180</v>
      </c>
      <c r="G269" s="4" t="s">
        <v>39</v>
      </c>
      <c r="H269" s="4" t="s">
        <v>146</v>
      </c>
      <c r="I269" s="9">
        <v>42916</v>
      </c>
      <c r="J269" s="11">
        <v>1</v>
      </c>
      <c r="K269" s="4" t="s">
        <v>184</v>
      </c>
      <c r="L269" s="11">
        <v>176</v>
      </c>
      <c r="M269" s="11">
        <v>176</v>
      </c>
      <c r="N269" s="4" t="s">
        <v>8</v>
      </c>
      <c r="O269" s="5">
        <v>5637367325</v>
      </c>
      <c r="P269" s="11">
        <f>_xll.AtlasFormulas.AtlasFunctions.AtlasBalance("UAT",DataAreaId,"T.MarkupTrans","Sum|Posted|0","","","","","","","MarkupCode|TransRecId|TransTableId","TPP",$O269,"64")</f>
        <v>0</v>
      </c>
    </row>
    <row r="270" spans="1:16" x14ac:dyDescent="0.25">
      <c r="A270" s="4" t="s">
        <v>116</v>
      </c>
      <c r="B270" s="4" t="s">
        <v>175</v>
      </c>
      <c r="C270" s="4" t="s">
        <v>177</v>
      </c>
      <c r="D270" s="4" t="s">
        <v>252</v>
      </c>
      <c r="E270" s="4" t="s">
        <v>95</v>
      </c>
      <c r="F270" s="4" t="s">
        <v>180</v>
      </c>
      <c r="G270" s="4" t="s">
        <v>39</v>
      </c>
      <c r="H270" s="4" t="s">
        <v>146</v>
      </c>
      <c r="I270" s="9">
        <v>42916</v>
      </c>
      <c r="J270" s="11">
        <v>-1</v>
      </c>
      <c r="K270" s="4" t="s">
        <v>184</v>
      </c>
      <c r="L270" s="11">
        <v>191</v>
      </c>
      <c r="M270" s="11">
        <v>-191</v>
      </c>
      <c r="N270" s="4" t="s">
        <v>8</v>
      </c>
      <c r="O270" s="5">
        <v>5637367411</v>
      </c>
      <c r="P270" s="11">
        <f>_xll.AtlasFormulas.AtlasFunctions.AtlasBalance("UAT",DataAreaId,"T.MarkupTrans","Sum|Posted|0","","","","","","","MarkupCode|TransRecId|TransTableId","TPP",$O270,"64")</f>
        <v>0</v>
      </c>
    </row>
    <row r="271" spans="1:16" x14ac:dyDescent="0.25">
      <c r="A271" s="4" t="s">
        <v>116</v>
      </c>
      <c r="B271" s="4" t="s">
        <v>224</v>
      </c>
      <c r="C271" s="4" t="s">
        <v>225</v>
      </c>
      <c r="D271" s="4" t="s">
        <v>251</v>
      </c>
      <c r="E271" s="4" t="s">
        <v>93</v>
      </c>
      <c r="F271" s="4" t="s">
        <v>180</v>
      </c>
      <c r="G271" s="4" t="s">
        <v>39</v>
      </c>
      <c r="H271" s="4" t="s">
        <v>146</v>
      </c>
      <c r="I271" s="9">
        <v>42916</v>
      </c>
      <c r="J271" s="11">
        <v>1</v>
      </c>
      <c r="K271" s="4" t="s">
        <v>184</v>
      </c>
      <c r="L271" s="11">
        <v>439</v>
      </c>
      <c r="M271" s="11">
        <v>439</v>
      </c>
      <c r="N271" s="4" t="s">
        <v>8</v>
      </c>
      <c r="O271" s="5">
        <v>5637367363</v>
      </c>
      <c r="P271" s="11">
        <f>_xll.AtlasFormulas.AtlasFunctions.AtlasBalance("UAT",DataAreaId,"T.MarkupTrans","Sum|Posted|0","","","","","","","MarkupCode|TransRecId|TransTableId","TPP",$O271,"64")</f>
        <v>0</v>
      </c>
    </row>
    <row r="272" spans="1:16" x14ac:dyDescent="0.25">
      <c r="A272" s="4" t="s">
        <v>116</v>
      </c>
      <c r="B272" s="4" t="s">
        <v>239</v>
      </c>
      <c r="C272" s="4" t="s">
        <v>176</v>
      </c>
      <c r="D272" s="4" t="s">
        <v>254</v>
      </c>
      <c r="E272" s="4" t="s">
        <v>96</v>
      </c>
      <c r="F272" s="4" t="s">
        <v>180</v>
      </c>
      <c r="G272" s="4" t="s">
        <v>39</v>
      </c>
      <c r="H272" s="4" t="s">
        <v>146</v>
      </c>
      <c r="I272" s="9">
        <v>42916</v>
      </c>
      <c r="J272" s="11">
        <v>1</v>
      </c>
      <c r="K272" s="4" t="s">
        <v>184</v>
      </c>
      <c r="L272" s="11">
        <v>301</v>
      </c>
      <c r="M272" s="11">
        <v>301</v>
      </c>
      <c r="N272" s="4" t="s">
        <v>8</v>
      </c>
      <c r="O272" s="5">
        <v>5637367449</v>
      </c>
      <c r="P272" s="11">
        <f>_xll.AtlasFormulas.AtlasFunctions.AtlasBalance("UAT",DataAreaId,"T.MarkupTrans","Sum|Posted|0","","","","","","","MarkupCode|TransRecId|TransTableId","TPP",$O272,"64")</f>
        <v>0</v>
      </c>
    </row>
    <row r="273" spans="1:16" x14ac:dyDescent="0.25">
      <c r="A273" s="4" t="s">
        <v>116</v>
      </c>
      <c r="B273" s="4" t="s">
        <v>213</v>
      </c>
      <c r="C273" s="4" t="s">
        <v>178</v>
      </c>
      <c r="D273" s="4" t="s">
        <v>250</v>
      </c>
      <c r="E273" s="4" t="s">
        <v>90</v>
      </c>
      <c r="F273" s="4" t="s">
        <v>180</v>
      </c>
      <c r="G273" s="4" t="s">
        <v>39</v>
      </c>
      <c r="H273" s="4" t="s">
        <v>146</v>
      </c>
      <c r="I273" s="9">
        <v>42916</v>
      </c>
      <c r="J273" s="11">
        <v>1</v>
      </c>
      <c r="K273" s="4" t="s">
        <v>184</v>
      </c>
      <c r="L273" s="11">
        <v>132</v>
      </c>
      <c r="M273" s="11">
        <v>132</v>
      </c>
      <c r="N273" s="4" t="s">
        <v>8</v>
      </c>
      <c r="O273" s="5">
        <v>5637367257</v>
      </c>
      <c r="P273" s="11">
        <f>_xll.AtlasFormulas.AtlasFunctions.AtlasBalance("UAT",DataAreaId,"T.MarkupTrans","Sum|Posted|0","","","","","","","MarkupCode|TransRecId|TransTableId","TPP",$O273,"64")</f>
        <v>0</v>
      </c>
    </row>
    <row r="274" spans="1:16" x14ac:dyDescent="0.25">
      <c r="A274" s="4" t="s">
        <v>116</v>
      </c>
      <c r="B274" s="4" t="s">
        <v>244</v>
      </c>
      <c r="C274" s="4" t="s">
        <v>193</v>
      </c>
      <c r="D274" s="4" t="s">
        <v>249</v>
      </c>
      <c r="E274" s="4" t="s">
        <v>91</v>
      </c>
      <c r="F274" s="4" t="s">
        <v>180</v>
      </c>
      <c r="G274" s="4" t="s">
        <v>39</v>
      </c>
      <c r="H274" s="4" t="s">
        <v>146</v>
      </c>
      <c r="I274" s="9">
        <v>42916</v>
      </c>
      <c r="J274" s="11">
        <v>1</v>
      </c>
      <c r="K274" s="4" t="s">
        <v>184</v>
      </c>
      <c r="L274" s="11">
        <v>351</v>
      </c>
      <c r="M274" s="11">
        <v>351</v>
      </c>
      <c r="N274" s="4" t="s">
        <v>8</v>
      </c>
      <c r="O274" s="5">
        <v>5637367287</v>
      </c>
      <c r="P274" s="11">
        <f>_xll.AtlasFormulas.AtlasFunctions.AtlasBalance("UAT",DataAreaId,"T.MarkupTrans","Sum|Posted|0","","","","","","","MarkupCode|TransRecId|TransTableId","TPP",$O274,"64")</f>
        <v>0</v>
      </c>
    </row>
    <row r="275" spans="1:16" x14ac:dyDescent="0.25">
      <c r="A275" s="4" t="s">
        <v>116</v>
      </c>
      <c r="B275" s="4" t="s">
        <v>213</v>
      </c>
      <c r="C275" s="4" t="s">
        <v>178</v>
      </c>
      <c r="D275" s="4" t="s">
        <v>260</v>
      </c>
      <c r="E275" s="4" t="s">
        <v>105</v>
      </c>
      <c r="F275" s="4" t="s">
        <v>180</v>
      </c>
      <c r="G275" s="4" t="s">
        <v>39</v>
      </c>
      <c r="H275" s="4" t="s">
        <v>146</v>
      </c>
      <c r="I275" s="9">
        <v>42947</v>
      </c>
      <c r="J275" s="11">
        <v>-1</v>
      </c>
      <c r="K275" s="4" t="s">
        <v>184</v>
      </c>
      <c r="L275" s="11">
        <v>107</v>
      </c>
      <c r="M275" s="11">
        <v>-107</v>
      </c>
      <c r="N275" s="4" t="s">
        <v>8</v>
      </c>
      <c r="O275" s="5">
        <v>5637370319</v>
      </c>
      <c r="P275" s="11">
        <f>_xll.AtlasFormulas.AtlasFunctions.AtlasBalance("UAT",DataAreaId,"T.MarkupTrans","Sum|Posted|0","","","","","","","MarkupCode|TransRecId|TransTableId","TPP",$O275,"64")</f>
        <v>0</v>
      </c>
    </row>
    <row r="276" spans="1:16" x14ac:dyDescent="0.25">
      <c r="A276" s="4" t="s">
        <v>116</v>
      </c>
      <c r="B276" s="4" t="s">
        <v>244</v>
      </c>
      <c r="C276" s="4" t="s">
        <v>193</v>
      </c>
      <c r="D276" s="4" t="s">
        <v>257</v>
      </c>
      <c r="E276" s="4" t="s">
        <v>106</v>
      </c>
      <c r="F276" s="4" t="s">
        <v>180</v>
      </c>
      <c r="G276" s="4" t="s">
        <v>39</v>
      </c>
      <c r="H276" s="4" t="s">
        <v>146</v>
      </c>
      <c r="I276" s="9">
        <v>42947</v>
      </c>
      <c r="J276" s="11">
        <v>-1</v>
      </c>
      <c r="K276" s="4" t="s">
        <v>184</v>
      </c>
      <c r="L276" s="11">
        <v>14</v>
      </c>
      <c r="M276" s="11">
        <v>-14</v>
      </c>
      <c r="N276" s="4" t="s">
        <v>8</v>
      </c>
      <c r="O276" s="5">
        <v>5637370349</v>
      </c>
      <c r="P276" s="11">
        <f>_xll.AtlasFormulas.AtlasFunctions.AtlasBalance("UAT",DataAreaId,"T.MarkupTrans","Sum|Posted|0","","","","","","","MarkupCode|TransRecId|TransTableId","TPP",$O276,"64")</f>
        <v>0</v>
      </c>
    </row>
    <row r="277" spans="1:16" x14ac:dyDescent="0.25">
      <c r="A277" s="4" t="s">
        <v>116</v>
      </c>
      <c r="B277" s="4" t="s">
        <v>239</v>
      </c>
      <c r="C277" s="4" t="s">
        <v>176</v>
      </c>
      <c r="D277" s="4" t="s">
        <v>255</v>
      </c>
      <c r="E277" s="4" t="s">
        <v>111</v>
      </c>
      <c r="F277" s="4" t="s">
        <v>180</v>
      </c>
      <c r="G277" s="4" t="s">
        <v>39</v>
      </c>
      <c r="H277" s="4" t="s">
        <v>146</v>
      </c>
      <c r="I277" s="9">
        <v>42947</v>
      </c>
      <c r="J277" s="11">
        <v>-1</v>
      </c>
      <c r="K277" s="4" t="s">
        <v>184</v>
      </c>
      <c r="L277" s="11">
        <v>18</v>
      </c>
      <c r="M277" s="11">
        <v>-18</v>
      </c>
      <c r="N277" s="4" t="s">
        <v>8</v>
      </c>
      <c r="O277" s="5">
        <v>5637370752</v>
      </c>
      <c r="P277" s="11">
        <f>_xll.AtlasFormulas.AtlasFunctions.AtlasBalance("UAT",DataAreaId,"T.MarkupTrans","Sum|Posted|0","","","","","","","MarkupCode|TransRecId|TransTableId","TPP",$O277,"64")</f>
        <v>0</v>
      </c>
    </row>
    <row r="278" spans="1:16" x14ac:dyDescent="0.25">
      <c r="A278" s="4" t="s">
        <v>116</v>
      </c>
      <c r="B278" s="4" t="s">
        <v>224</v>
      </c>
      <c r="C278" s="4" t="s">
        <v>225</v>
      </c>
      <c r="D278" s="4" t="s">
        <v>258</v>
      </c>
      <c r="E278" s="4" t="s">
        <v>107</v>
      </c>
      <c r="F278" s="4" t="s">
        <v>180</v>
      </c>
      <c r="G278" s="4" t="s">
        <v>39</v>
      </c>
      <c r="H278" s="4" t="s">
        <v>146</v>
      </c>
      <c r="I278" s="9">
        <v>42947</v>
      </c>
      <c r="J278" s="11">
        <v>1</v>
      </c>
      <c r="K278" s="4" t="s">
        <v>184</v>
      </c>
      <c r="L278" s="11">
        <v>21</v>
      </c>
      <c r="M278" s="11">
        <v>21</v>
      </c>
      <c r="N278" s="4" t="s">
        <v>8</v>
      </c>
      <c r="O278" s="5">
        <v>5637370406</v>
      </c>
      <c r="P278" s="11">
        <f>_xll.AtlasFormulas.AtlasFunctions.AtlasBalance("UAT",DataAreaId,"T.MarkupTrans","Sum|Posted|0","","","","","","","MarkupCode|TransRecId|TransTableId","TPP",$O278,"64")</f>
        <v>0</v>
      </c>
    </row>
    <row r="279" spans="1:16" x14ac:dyDescent="0.25">
      <c r="A279" s="4" t="s">
        <v>116</v>
      </c>
      <c r="B279" s="4" t="s">
        <v>175</v>
      </c>
      <c r="C279" s="4" t="s">
        <v>177</v>
      </c>
      <c r="D279" s="4" t="s">
        <v>256</v>
      </c>
      <c r="E279" s="4" t="s">
        <v>112</v>
      </c>
      <c r="F279" s="4" t="s">
        <v>180</v>
      </c>
      <c r="G279" s="4" t="s">
        <v>39</v>
      </c>
      <c r="H279" s="4" t="s">
        <v>146</v>
      </c>
      <c r="I279" s="9">
        <v>42947</v>
      </c>
      <c r="J279" s="11">
        <v>-1</v>
      </c>
      <c r="K279" s="4" t="s">
        <v>184</v>
      </c>
      <c r="L279" s="11">
        <v>1743</v>
      </c>
      <c r="M279" s="11">
        <v>-1743</v>
      </c>
      <c r="N279" s="4" t="s">
        <v>8</v>
      </c>
      <c r="O279" s="5">
        <v>5637370798</v>
      </c>
      <c r="P279" s="11">
        <f>_xll.AtlasFormulas.AtlasFunctions.AtlasBalance("UAT",DataAreaId,"T.MarkupTrans","Sum|Posted|0","","","","","","","MarkupCode|TransRecId|TransTableId","TPP",$O279,"64")</f>
        <v>0</v>
      </c>
    </row>
    <row r="280" spans="1:16" x14ac:dyDescent="0.25">
      <c r="A280" s="4" t="s">
        <v>116</v>
      </c>
      <c r="B280" s="4" t="s">
        <v>215</v>
      </c>
      <c r="C280" s="4" t="s">
        <v>192</v>
      </c>
      <c r="D280" s="4" t="s">
        <v>259</v>
      </c>
      <c r="E280" s="4" t="s">
        <v>109</v>
      </c>
      <c r="F280" s="4" t="s">
        <v>180</v>
      </c>
      <c r="G280" s="4" t="s">
        <v>39</v>
      </c>
      <c r="H280" s="4" t="s">
        <v>146</v>
      </c>
      <c r="I280" s="9">
        <v>42947</v>
      </c>
      <c r="J280" s="11">
        <v>-1</v>
      </c>
      <c r="K280" s="4" t="s">
        <v>184</v>
      </c>
      <c r="L280" s="11">
        <v>61</v>
      </c>
      <c r="M280" s="11">
        <v>-61</v>
      </c>
      <c r="N280" s="4" t="s">
        <v>8</v>
      </c>
      <c r="O280" s="5">
        <v>5637370454</v>
      </c>
      <c r="P280" s="11">
        <f>_xll.AtlasFormulas.AtlasFunctions.AtlasBalance("UAT",DataAreaId,"T.MarkupTrans","Sum|Posted|0","","","","","","","MarkupCode|TransRecId|TransTableId","TPP",$O280,"64")</f>
        <v>0</v>
      </c>
    </row>
    <row r="281" spans="1:16" ht="30" x14ac:dyDescent="0.25">
      <c r="A281" s="4" t="s">
        <v>116</v>
      </c>
      <c r="B281" s="4" t="s">
        <v>270</v>
      </c>
      <c r="C281" s="4" t="s">
        <v>190</v>
      </c>
      <c r="D281" s="4" t="s">
        <v>271</v>
      </c>
      <c r="E281" s="4" t="s">
        <v>54</v>
      </c>
      <c r="F281" s="4" t="s">
        <v>180</v>
      </c>
      <c r="G281" s="4" t="s">
        <v>48</v>
      </c>
      <c r="H281" s="6" t="s">
        <v>147</v>
      </c>
      <c r="I281" s="9">
        <v>42884</v>
      </c>
      <c r="J281" s="11">
        <v>1</v>
      </c>
      <c r="K281" s="4" t="s">
        <v>184</v>
      </c>
      <c r="L281" s="11">
        <v>5855.06</v>
      </c>
      <c r="M281" s="11">
        <v>5855.06</v>
      </c>
      <c r="N281" s="4" t="s">
        <v>26</v>
      </c>
      <c r="O281" s="5">
        <v>5637364316</v>
      </c>
      <c r="P281" s="11">
        <f>_xll.AtlasFormulas.AtlasFunctions.AtlasBalance("UAT",DataAreaId,"T.MarkupTrans","Sum|Posted|0","","","","","","","MarkupCode|TransRecId|TransTableId","TPP",$O281,"64")</f>
        <v>0</v>
      </c>
    </row>
    <row r="282" spans="1:16" ht="30" x14ac:dyDescent="0.25">
      <c r="A282" s="4" t="s">
        <v>116</v>
      </c>
      <c r="B282" s="4" t="s">
        <v>270</v>
      </c>
      <c r="C282" s="4" t="s">
        <v>190</v>
      </c>
      <c r="D282" s="4" t="s">
        <v>272</v>
      </c>
      <c r="E282" s="4" t="s">
        <v>81</v>
      </c>
      <c r="F282" s="4" t="s">
        <v>180</v>
      </c>
      <c r="G282" s="4" t="s">
        <v>48</v>
      </c>
      <c r="H282" s="6" t="s">
        <v>147</v>
      </c>
      <c r="I282" s="9">
        <v>42915</v>
      </c>
      <c r="J282" s="11">
        <v>1</v>
      </c>
      <c r="K282" s="4" t="s">
        <v>184</v>
      </c>
      <c r="L282" s="11">
        <v>506.95</v>
      </c>
      <c r="M282" s="11">
        <v>506.95</v>
      </c>
      <c r="N282" s="4" t="s">
        <v>26</v>
      </c>
      <c r="O282" s="5">
        <v>5637367020</v>
      </c>
      <c r="P282" s="11">
        <f>_xll.AtlasFormulas.AtlasFunctions.AtlasBalance("UAT",DataAreaId,"T.MarkupTrans","Sum|Posted|0","","","","","","","MarkupCode|TransRecId|TransTableId","TPP",$O282,"64")</f>
        <v>0</v>
      </c>
    </row>
    <row r="283" spans="1:16" ht="30" x14ac:dyDescent="0.25">
      <c r="A283" s="4" t="s">
        <v>116</v>
      </c>
      <c r="B283" s="4" t="s">
        <v>270</v>
      </c>
      <c r="C283" s="4" t="s">
        <v>190</v>
      </c>
      <c r="D283" s="4" t="s">
        <v>273</v>
      </c>
      <c r="E283" s="4" t="s">
        <v>104</v>
      </c>
      <c r="F283" s="4" t="s">
        <v>180</v>
      </c>
      <c r="G283" s="4" t="s">
        <v>48</v>
      </c>
      <c r="H283" s="6" t="s">
        <v>147</v>
      </c>
      <c r="I283" s="9">
        <v>42944</v>
      </c>
      <c r="J283" s="11">
        <v>1</v>
      </c>
      <c r="K283" s="4" t="s">
        <v>184</v>
      </c>
      <c r="L283" s="11">
        <v>715.42</v>
      </c>
      <c r="M283" s="11">
        <v>715.42</v>
      </c>
      <c r="N283" s="4" t="s">
        <v>26</v>
      </c>
      <c r="O283" s="5">
        <v>5637369463</v>
      </c>
      <c r="P283" s="11">
        <f>_xll.AtlasFormulas.AtlasFunctions.AtlasBalance("UAT",DataAreaId,"T.MarkupTrans","Sum|Posted|0","","","","","","","MarkupCode|TransRecId|TransTableId","TPP",$O283,"64")</f>
        <v>0</v>
      </c>
    </row>
    <row r="284" spans="1:16" x14ac:dyDescent="0.25">
      <c r="A284" s="4" t="s">
        <v>116</v>
      </c>
      <c r="B284" s="4" t="s">
        <v>239</v>
      </c>
      <c r="C284" s="4" t="s">
        <v>176</v>
      </c>
      <c r="D284" s="4" t="s">
        <v>243</v>
      </c>
      <c r="E284" s="4" t="s">
        <v>58</v>
      </c>
      <c r="F284" s="4" t="s">
        <v>180</v>
      </c>
      <c r="G284" s="4" t="s">
        <v>42</v>
      </c>
      <c r="H284" s="4" t="s">
        <v>148</v>
      </c>
      <c r="I284" s="9">
        <v>42886</v>
      </c>
      <c r="J284" s="11">
        <v>1</v>
      </c>
      <c r="K284" s="4" t="s">
        <v>184</v>
      </c>
      <c r="L284" s="11">
        <v>116</v>
      </c>
      <c r="M284" s="11">
        <v>116</v>
      </c>
      <c r="N284" s="4" t="s">
        <v>8</v>
      </c>
      <c r="O284" s="5">
        <v>5637364686</v>
      </c>
      <c r="P284" s="11">
        <f>_xll.AtlasFormulas.AtlasFunctions.AtlasBalance("UAT",DataAreaId,"T.MarkupTrans","Sum|Posted|0","","","","","","","MarkupCode|TransRecId|TransTableId","TPP",$O284,"64")</f>
        <v>0</v>
      </c>
    </row>
    <row r="285" spans="1:16" x14ac:dyDescent="0.25">
      <c r="A285" s="4" t="s">
        <v>116</v>
      </c>
      <c r="B285" s="4" t="s">
        <v>224</v>
      </c>
      <c r="C285" s="4" t="s">
        <v>225</v>
      </c>
      <c r="D285" s="4" t="s">
        <v>247</v>
      </c>
      <c r="E285" s="4" t="s">
        <v>59</v>
      </c>
      <c r="F285" s="4" t="s">
        <v>180</v>
      </c>
      <c r="G285" s="4" t="s">
        <v>42</v>
      </c>
      <c r="H285" s="4" t="s">
        <v>148</v>
      </c>
      <c r="I285" s="9">
        <v>42886</v>
      </c>
      <c r="J285" s="11">
        <v>1</v>
      </c>
      <c r="K285" s="4" t="s">
        <v>184</v>
      </c>
      <c r="L285" s="11">
        <v>140</v>
      </c>
      <c r="M285" s="11">
        <v>140</v>
      </c>
      <c r="N285" s="4" t="s">
        <v>8</v>
      </c>
      <c r="O285" s="5">
        <v>5637364724</v>
      </c>
      <c r="P285" s="11">
        <f>_xll.AtlasFormulas.AtlasFunctions.AtlasBalance("UAT",DataAreaId,"T.MarkupTrans","Sum|Posted|0","","","","","","","MarkupCode|TransRecId|TransTableId","TPP",$O285,"64")</f>
        <v>0</v>
      </c>
    </row>
    <row r="286" spans="1:16" x14ac:dyDescent="0.25">
      <c r="A286" s="4" t="s">
        <v>116</v>
      </c>
      <c r="B286" s="4" t="s">
        <v>215</v>
      </c>
      <c r="C286" s="4" t="s">
        <v>192</v>
      </c>
      <c r="D286" s="4" t="s">
        <v>242</v>
      </c>
      <c r="E286" s="4" t="s">
        <v>55</v>
      </c>
      <c r="F286" s="4" t="s">
        <v>180</v>
      </c>
      <c r="G286" s="4" t="s">
        <v>42</v>
      </c>
      <c r="H286" s="4" t="s">
        <v>148</v>
      </c>
      <c r="I286" s="9">
        <v>42886</v>
      </c>
      <c r="J286" s="11">
        <v>1</v>
      </c>
      <c r="K286" s="4" t="s">
        <v>184</v>
      </c>
      <c r="L286" s="11">
        <v>114</v>
      </c>
      <c r="M286" s="11">
        <v>114</v>
      </c>
      <c r="N286" s="4" t="s">
        <v>8</v>
      </c>
      <c r="O286" s="5">
        <v>5637364597</v>
      </c>
      <c r="P286" s="11">
        <f>_xll.AtlasFormulas.AtlasFunctions.AtlasBalance("UAT",DataAreaId,"T.MarkupTrans","Sum|Posted|0","","","","","","","MarkupCode|TransRecId|TransTableId","TPP",$O286,"64")</f>
        <v>0</v>
      </c>
    </row>
    <row r="287" spans="1:16" x14ac:dyDescent="0.25">
      <c r="A287" s="4" t="s">
        <v>116</v>
      </c>
      <c r="B287" s="4" t="s">
        <v>175</v>
      </c>
      <c r="C287" s="4" t="s">
        <v>177</v>
      </c>
      <c r="D287" s="4" t="s">
        <v>246</v>
      </c>
      <c r="E287" s="4" t="s">
        <v>57</v>
      </c>
      <c r="F287" s="4" t="s">
        <v>180</v>
      </c>
      <c r="G287" s="4" t="s">
        <v>42</v>
      </c>
      <c r="H287" s="4" t="s">
        <v>148</v>
      </c>
      <c r="I287" s="9">
        <v>42886</v>
      </c>
      <c r="J287" s="11">
        <v>1</v>
      </c>
      <c r="K287" s="4" t="s">
        <v>184</v>
      </c>
      <c r="L287" s="11">
        <v>49</v>
      </c>
      <c r="M287" s="11">
        <v>49</v>
      </c>
      <c r="N287" s="4" t="s">
        <v>8</v>
      </c>
      <c r="O287" s="5">
        <v>5637364648</v>
      </c>
      <c r="P287" s="11">
        <f>_xll.AtlasFormulas.AtlasFunctions.AtlasBalance("UAT",DataAreaId,"T.MarkupTrans","Sum|Posted|0","","","","","","","MarkupCode|TransRecId|TransTableId","TPP",$O287,"64")</f>
        <v>0</v>
      </c>
    </row>
    <row r="288" spans="1:16" x14ac:dyDescent="0.25">
      <c r="A288" s="4" t="s">
        <v>116</v>
      </c>
      <c r="B288" s="4" t="s">
        <v>244</v>
      </c>
      <c r="C288" s="4" t="s">
        <v>193</v>
      </c>
      <c r="D288" s="4" t="s">
        <v>245</v>
      </c>
      <c r="E288" s="4" t="s">
        <v>61</v>
      </c>
      <c r="F288" s="4" t="s">
        <v>180</v>
      </c>
      <c r="G288" s="4" t="s">
        <v>42</v>
      </c>
      <c r="H288" s="4" t="s">
        <v>148</v>
      </c>
      <c r="I288" s="9">
        <v>42886</v>
      </c>
      <c r="J288" s="11">
        <v>1</v>
      </c>
      <c r="K288" s="4" t="s">
        <v>184</v>
      </c>
      <c r="L288" s="11">
        <v>92</v>
      </c>
      <c r="M288" s="11">
        <v>92</v>
      </c>
      <c r="N288" s="4" t="s">
        <v>8</v>
      </c>
      <c r="O288" s="5">
        <v>5637364766</v>
      </c>
      <c r="P288" s="11">
        <f>_xll.AtlasFormulas.AtlasFunctions.AtlasBalance("UAT",DataAreaId,"T.MarkupTrans","Sum|Posted|0","","","","","","","MarkupCode|TransRecId|TransTableId","TPP",$O288,"64")</f>
        <v>0</v>
      </c>
    </row>
    <row r="289" spans="1:16" x14ac:dyDescent="0.25">
      <c r="A289" s="4" t="s">
        <v>116</v>
      </c>
      <c r="B289" s="4" t="s">
        <v>213</v>
      </c>
      <c r="C289" s="4" t="s">
        <v>178</v>
      </c>
      <c r="D289" s="4" t="s">
        <v>248</v>
      </c>
      <c r="E289" s="4" t="s">
        <v>62</v>
      </c>
      <c r="F289" s="4" t="s">
        <v>180</v>
      </c>
      <c r="G289" s="4" t="s">
        <v>42</v>
      </c>
      <c r="H289" s="4" t="s">
        <v>148</v>
      </c>
      <c r="I289" s="9">
        <v>42886</v>
      </c>
      <c r="J289" s="11">
        <v>1</v>
      </c>
      <c r="K289" s="4" t="s">
        <v>184</v>
      </c>
      <c r="L289" s="11">
        <v>126</v>
      </c>
      <c r="M289" s="11">
        <v>126</v>
      </c>
      <c r="N289" s="4" t="s">
        <v>8</v>
      </c>
      <c r="O289" s="5">
        <v>5637364800</v>
      </c>
      <c r="P289" s="11">
        <f>_xll.AtlasFormulas.AtlasFunctions.AtlasBalance("UAT",DataAreaId,"T.MarkupTrans","Sum|Posted|0","","","","","","","MarkupCode|TransRecId|TransTableId","TPP",$O289,"64")</f>
        <v>0</v>
      </c>
    </row>
    <row r="290" spans="1:16" x14ac:dyDescent="0.25">
      <c r="A290" s="4" t="s">
        <v>116</v>
      </c>
      <c r="B290" s="4" t="s">
        <v>213</v>
      </c>
      <c r="C290" s="4" t="s">
        <v>178</v>
      </c>
      <c r="D290" s="4" t="s">
        <v>250</v>
      </c>
      <c r="E290" s="4" t="s">
        <v>90</v>
      </c>
      <c r="F290" s="4" t="s">
        <v>180</v>
      </c>
      <c r="G290" s="4" t="s">
        <v>42</v>
      </c>
      <c r="H290" s="4" t="s">
        <v>148</v>
      </c>
      <c r="I290" s="9">
        <v>42916</v>
      </c>
      <c r="J290" s="11">
        <v>1</v>
      </c>
      <c r="K290" s="4" t="s">
        <v>184</v>
      </c>
      <c r="L290" s="11">
        <v>1025</v>
      </c>
      <c r="M290" s="11">
        <v>1025</v>
      </c>
      <c r="N290" s="4" t="s">
        <v>8</v>
      </c>
      <c r="O290" s="5">
        <v>5637367247</v>
      </c>
      <c r="P290" s="11">
        <f>_xll.AtlasFormulas.AtlasFunctions.AtlasBalance("UAT",DataAreaId,"T.MarkupTrans","Sum|Posted|0","","","","","","","MarkupCode|TransRecId|TransTableId","TPP",$O290,"64")</f>
        <v>0</v>
      </c>
    </row>
    <row r="291" spans="1:16" x14ac:dyDescent="0.25">
      <c r="A291" s="4" t="s">
        <v>116</v>
      </c>
      <c r="B291" s="4" t="s">
        <v>244</v>
      </c>
      <c r="C291" s="4" t="s">
        <v>193</v>
      </c>
      <c r="D291" s="4" t="s">
        <v>249</v>
      </c>
      <c r="E291" s="4" t="s">
        <v>91</v>
      </c>
      <c r="F291" s="4" t="s">
        <v>180</v>
      </c>
      <c r="G291" s="4" t="s">
        <v>42</v>
      </c>
      <c r="H291" s="4" t="s">
        <v>148</v>
      </c>
      <c r="I291" s="9">
        <v>42916</v>
      </c>
      <c r="J291" s="11">
        <v>1</v>
      </c>
      <c r="K291" s="4" t="s">
        <v>184</v>
      </c>
      <c r="L291" s="11">
        <v>2671</v>
      </c>
      <c r="M291" s="11">
        <v>2671</v>
      </c>
      <c r="N291" s="4" t="s">
        <v>8</v>
      </c>
      <c r="O291" s="5">
        <v>5637367281</v>
      </c>
      <c r="P291" s="11">
        <f>_xll.AtlasFormulas.AtlasFunctions.AtlasBalance("UAT",DataAreaId,"T.MarkupTrans","Sum|Posted|0","","","","","","","MarkupCode|TransRecId|TransTableId","TPP",$O291,"64")</f>
        <v>0</v>
      </c>
    </row>
    <row r="292" spans="1:16" x14ac:dyDescent="0.25">
      <c r="A292" s="4" t="s">
        <v>116</v>
      </c>
      <c r="B292" s="4" t="s">
        <v>175</v>
      </c>
      <c r="C292" s="4" t="s">
        <v>177</v>
      </c>
      <c r="D292" s="4" t="s">
        <v>252</v>
      </c>
      <c r="E292" s="4" t="s">
        <v>95</v>
      </c>
      <c r="F292" s="4" t="s">
        <v>180</v>
      </c>
      <c r="G292" s="4" t="s">
        <v>42</v>
      </c>
      <c r="H292" s="4" t="s">
        <v>148</v>
      </c>
      <c r="I292" s="9">
        <v>42916</v>
      </c>
      <c r="J292" s="11">
        <v>1</v>
      </c>
      <c r="K292" s="4" t="s">
        <v>184</v>
      </c>
      <c r="L292" s="11">
        <v>3585</v>
      </c>
      <c r="M292" s="11">
        <v>3585</v>
      </c>
      <c r="N292" s="4" t="s">
        <v>8</v>
      </c>
      <c r="O292" s="5">
        <v>5637367401</v>
      </c>
      <c r="P292" s="11">
        <f>_xll.AtlasFormulas.AtlasFunctions.AtlasBalance("UAT",DataAreaId,"T.MarkupTrans","Sum|Posted|0","","","","","","","MarkupCode|TransRecId|TransTableId","TPP",$O292,"64")</f>
        <v>0</v>
      </c>
    </row>
    <row r="293" spans="1:16" x14ac:dyDescent="0.25">
      <c r="A293" s="4" t="s">
        <v>116</v>
      </c>
      <c r="B293" s="4" t="s">
        <v>215</v>
      </c>
      <c r="C293" s="4" t="s">
        <v>192</v>
      </c>
      <c r="D293" s="4" t="s">
        <v>253</v>
      </c>
      <c r="E293" s="4" t="s">
        <v>92</v>
      </c>
      <c r="F293" s="4" t="s">
        <v>180</v>
      </c>
      <c r="G293" s="4" t="s">
        <v>42</v>
      </c>
      <c r="H293" s="4" t="s">
        <v>148</v>
      </c>
      <c r="I293" s="9">
        <v>42916</v>
      </c>
      <c r="J293" s="11">
        <v>1</v>
      </c>
      <c r="K293" s="4" t="s">
        <v>184</v>
      </c>
      <c r="L293" s="11">
        <v>1321</v>
      </c>
      <c r="M293" s="11">
        <v>1321</v>
      </c>
      <c r="N293" s="4" t="s">
        <v>8</v>
      </c>
      <c r="O293" s="5">
        <v>5637367315</v>
      </c>
      <c r="P293" s="11">
        <f>_xll.AtlasFormulas.AtlasFunctions.AtlasBalance("UAT",DataAreaId,"T.MarkupTrans","Sum|Posted|0","","","","","","","MarkupCode|TransRecId|TransTableId","TPP",$O293,"64")</f>
        <v>0</v>
      </c>
    </row>
    <row r="294" spans="1:16" x14ac:dyDescent="0.25">
      <c r="A294" s="4" t="s">
        <v>116</v>
      </c>
      <c r="B294" s="4" t="s">
        <v>224</v>
      </c>
      <c r="C294" s="4" t="s">
        <v>225</v>
      </c>
      <c r="D294" s="4" t="s">
        <v>251</v>
      </c>
      <c r="E294" s="4" t="s">
        <v>93</v>
      </c>
      <c r="F294" s="4" t="s">
        <v>180</v>
      </c>
      <c r="G294" s="4" t="s">
        <v>42</v>
      </c>
      <c r="H294" s="4" t="s">
        <v>148</v>
      </c>
      <c r="I294" s="9">
        <v>42916</v>
      </c>
      <c r="J294" s="11">
        <v>1</v>
      </c>
      <c r="K294" s="4" t="s">
        <v>184</v>
      </c>
      <c r="L294" s="11">
        <v>3322</v>
      </c>
      <c r="M294" s="11">
        <v>3322</v>
      </c>
      <c r="N294" s="4" t="s">
        <v>8</v>
      </c>
      <c r="O294" s="5">
        <v>5637367353</v>
      </c>
      <c r="P294" s="11">
        <f>_xll.AtlasFormulas.AtlasFunctions.AtlasBalance("UAT",DataAreaId,"T.MarkupTrans","Sum|Posted|0","","","","","","","MarkupCode|TransRecId|TransTableId","TPP",$O294,"64")</f>
        <v>0</v>
      </c>
    </row>
    <row r="295" spans="1:16" x14ac:dyDescent="0.25">
      <c r="A295" s="4" t="s">
        <v>116</v>
      </c>
      <c r="B295" s="4" t="s">
        <v>239</v>
      </c>
      <c r="C295" s="4" t="s">
        <v>176</v>
      </c>
      <c r="D295" s="4" t="s">
        <v>254</v>
      </c>
      <c r="E295" s="4" t="s">
        <v>96</v>
      </c>
      <c r="F295" s="4" t="s">
        <v>180</v>
      </c>
      <c r="G295" s="4" t="s">
        <v>42</v>
      </c>
      <c r="H295" s="4" t="s">
        <v>148</v>
      </c>
      <c r="I295" s="9">
        <v>42916</v>
      </c>
      <c r="J295" s="11">
        <v>1</v>
      </c>
      <c r="K295" s="4" t="s">
        <v>184</v>
      </c>
      <c r="L295" s="11">
        <v>2239</v>
      </c>
      <c r="M295" s="11">
        <v>2239</v>
      </c>
      <c r="N295" s="4" t="s">
        <v>8</v>
      </c>
      <c r="O295" s="5">
        <v>5637367439</v>
      </c>
      <c r="P295" s="11">
        <f>_xll.AtlasFormulas.AtlasFunctions.AtlasBalance("UAT",DataAreaId,"T.MarkupTrans","Sum|Posted|0","","","","","","","MarkupCode|TransRecId|TransTableId","TPP",$O295,"64")</f>
        <v>0</v>
      </c>
    </row>
    <row r="296" spans="1:16" x14ac:dyDescent="0.25">
      <c r="A296" s="4" t="s">
        <v>116</v>
      </c>
      <c r="B296" s="4" t="s">
        <v>239</v>
      </c>
      <c r="C296" s="4" t="s">
        <v>176</v>
      </c>
      <c r="D296" s="4" t="s">
        <v>255</v>
      </c>
      <c r="E296" s="4" t="s">
        <v>111</v>
      </c>
      <c r="F296" s="4" t="s">
        <v>180</v>
      </c>
      <c r="G296" s="4" t="s">
        <v>42</v>
      </c>
      <c r="H296" s="4" t="s">
        <v>148</v>
      </c>
      <c r="I296" s="9">
        <v>42947</v>
      </c>
      <c r="J296" s="11">
        <v>1</v>
      </c>
      <c r="K296" s="4" t="s">
        <v>184</v>
      </c>
      <c r="L296" s="11">
        <v>720</v>
      </c>
      <c r="M296" s="11">
        <v>720</v>
      </c>
      <c r="N296" s="4" t="s">
        <v>8</v>
      </c>
      <c r="O296" s="5">
        <v>5637370492</v>
      </c>
      <c r="P296" s="11">
        <f>_xll.AtlasFormulas.AtlasFunctions.AtlasBalance("UAT",DataAreaId,"T.MarkupTrans","Sum|Posted|0","","","","","","","MarkupCode|TransRecId|TransTableId","TPP",$O296,"64")</f>
        <v>0</v>
      </c>
    </row>
    <row r="297" spans="1:16" x14ac:dyDescent="0.25">
      <c r="A297" s="4" t="s">
        <v>116</v>
      </c>
      <c r="B297" s="4" t="s">
        <v>224</v>
      </c>
      <c r="C297" s="4" t="s">
        <v>225</v>
      </c>
      <c r="D297" s="4" t="s">
        <v>258</v>
      </c>
      <c r="E297" s="4" t="s">
        <v>107</v>
      </c>
      <c r="F297" s="4" t="s">
        <v>180</v>
      </c>
      <c r="G297" s="4" t="s">
        <v>42</v>
      </c>
      <c r="H297" s="4" t="s">
        <v>148</v>
      </c>
      <c r="I297" s="9">
        <v>42947</v>
      </c>
      <c r="J297" s="11">
        <v>1</v>
      </c>
      <c r="K297" s="4" t="s">
        <v>184</v>
      </c>
      <c r="L297" s="11">
        <v>1361</v>
      </c>
      <c r="M297" s="11">
        <v>1361</v>
      </c>
      <c r="N297" s="4" t="s">
        <v>8</v>
      </c>
      <c r="O297" s="5">
        <v>5637370396</v>
      </c>
      <c r="P297" s="11">
        <f>_xll.AtlasFormulas.AtlasFunctions.AtlasBalance("UAT",DataAreaId,"T.MarkupTrans","Sum|Posted|0","","","","","","","MarkupCode|TransRecId|TransTableId","TPP",$O297,"64")</f>
        <v>0</v>
      </c>
    </row>
    <row r="298" spans="1:16" x14ac:dyDescent="0.25">
      <c r="A298" s="4" t="s">
        <v>116</v>
      </c>
      <c r="B298" s="4" t="s">
        <v>215</v>
      </c>
      <c r="C298" s="4" t="s">
        <v>192</v>
      </c>
      <c r="D298" s="4" t="s">
        <v>259</v>
      </c>
      <c r="E298" s="4" t="s">
        <v>109</v>
      </c>
      <c r="F298" s="4" t="s">
        <v>180</v>
      </c>
      <c r="G298" s="4" t="s">
        <v>42</v>
      </c>
      <c r="H298" s="4" t="s">
        <v>148</v>
      </c>
      <c r="I298" s="9">
        <v>42947</v>
      </c>
      <c r="J298" s="11">
        <v>-1</v>
      </c>
      <c r="K298" s="4" t="s">
        <v>184</v>
      </c>
      <c r="L298" s="11">
        <v>93</v>
      </c>
      <c r="M298" s="11">
        <v>-93</v>
      </c>
      <c r="N298" s="4" t="s">
        <v>8</v>
      </c>
      <c r="O298" s="5">
        <v>5637370444</v>
      </c>
      <c r="P298" s="11">
        <f>_xll.AtlasFormulas.AtlasFunctions.AtlasBalance("UAT",DataAreaId,"T.MarkupTrans","Sum|Posted|0","","","","","","","MarkupCode|TransRecId|TransTableId","TPP",$O298,"64")</f>
        <v>0</v>
      </c>
    </row>
    <row r="299" spans="1:16" x14ac:dyDescent="0.25">
      <c r="A299" s="4" t="s">
        <v>116</v>
      </c>
      <c r="B299" s="4" t="s">
        <v>175</v>
      </c>
      <c r="C299" s="4" t="s">
        <v>177</v>
      </c>
      <c r="D299" s="4" t="s">
        <v>256</v>
      </c>
      <c r="E299" s="4" t="s">
        <v>112</v>
      </c>
      <c r="F299" s="4" t="s">
        <v>180</v>
      </c>
      <c r="G299" s="4" t="s">
        <v>42</v>
      </c>
      <c r="H299" s="4" t="s">
        <v>148</v>
      </c>
      <c r="I299" s="9">
        <v>42947</v>
      </c>
      <c r="J299" s="11">
        <v>1</v>
      </c>
      <c r="K299" s="4" t="s">
        <v>184</v>
      </c>
      <c r="L299" s="11">
        <v>1602</v>
      </c>
      <c r="M299" s="11">
        <v>1602</v>
      </c>
      <c r="N299" s="4" t="s">
        <v>8</v>
      </c>
      <c r="O299" s="5">
        <v>5637370788</v>
      </c>
      <c r="P299" s="11">
        <f>_xll.AtlasFormulas.AtlasFunctions.AtlasBalance("UAT",DataAreaId,"T.MarkupTrans","Sum|Posted|0","","","","","","","MarkupCode|TransRecId|TransTableId","TPP",$O299,"64")</f>
        <v>0</v>
      </c>
    </row>
    <row r="300" spans="1:16" x14ac:dyDescent="0.25">
      <c r="A300" s="4" t="s">
        <v>116</v>
      </c>
      <c r="B300" s="4" t="s">
        <v>213</v>
      </c>
      <c r="C300" s="4" t="s">
        <v>178</v>
      </c>
      <c r="D300" s="4" t="s">
        <v>260</v>
      </c>
      <c r="E300" s="4" t="s">
        <v>105</v>
      </c>
      <c r="F300" s="4" t="s">
        <v>180</v>
      </c>
      <c r="G300" s="4" t="s">
        <v>42</v>
      </c>
      <c r="H300" s="4" t="s">
        <v>148</v>
      </c>
      <c r="I300" s="9">
        <v>42947</v>
      </c>
      <c r="J300" s="11">
        <v>-1</v>
      </c>
      <c r="K300" s="4" t="s">
        <v>184</v>
      </c>
      <c r="L300" s="11">
        <v>752</v>
      </c>
      <c r="M300" s="11">
        <v>-752</v>
      </c>
      <c r="N300" s="4" t="s">
        <v>8</v>
      </c>
      <c r="O300" s="5">
        <v>5637370309</v>
      </c>
      <c r="P300" s="11">
        <f>_xll.AtlasFormulas.AtlasFunctions.AtlasBalance("UAT",DataAreaId,"T.MarkupTrans","Sum|Posted|0","","","","","","","MarkupCode|TransRecId|TransTableId","TPP",$O300,"64")</f>
        <v>0</v>
      </c>
    </row>
    <row r="301" spans="1:16" x14ac:dyDescent="0.25">
      <c r="A301" s="4" t="s">
        <v>116</v>
      </c>
      <c r="B301" s="4" t="s">
        <v>244</v>
      </c>
      <c r="C301" s="4" t="s">
        <v>193</v>
      </c>
      <c r="D301" s="4" t="s">
        <v>257</v>
      </c>
      <c r="E301" s="4" t="s">
        <v>106</v>
      </c>
      <c r="F301" s="4" t="s">
        <v>180</v>
      </c>
      <c r="G301" s="4" t="s">
        <v>42</v>
      </c>
      <c r="H301" s="4" t="s">
        <v>148</v>
      </c>
      <c r="I301" s="9">
        <v>42947</v>
      </c>
      <c r="J301" s="11">
        <v>1</v>
      </c>
      <c r="K301" s="4" t="s">
        <v>184</v>
      </c>
      <c r="L301" s="11">
        <v>743</v>
      </c>
      <c r="M301" s="11">
        <v>743</v>
      </c>
      <c r="N301" s="4" t="s">
        <v>8</v>
      </c>
      <c r="O301" s="5">
        <v>5637370343</v>
      </c>
      <c r="P301" s="11">
        <f>_xll.AtlasFormulas.AtlasFunctions.AtlasBalance("UAT",DataAreaId,"T.MarkupTrans","Sum|Posted|0","","","","","","","MarkupCode|TransRecId|TransTableId","TPP",$O301,"64")</f>
        <v>0</v>
      </c>
    </row>
    <row r="302" spans="1:16" x14ac:dyDescent="0.25">
      <c r="A302" s="4" t="s">
        <v>116</v>
      </c>
      <c r="B302" s="4" t="s">
        <v>244</v>
      </c>
      <c r="C302" s="4" t="s">
        <v>193</v>
      </c>
      <c r="D302" s="4" t="s">
        <v>245</v>
      </c>
      <c r="E302" s="4" t="s">
        <v>61</v>
      </c>
      <c r="F302" s="4" t="s">
        <v>180</v>
      </c>
      <c r="G302" s="4" t="s">
        <v>43</v>
      </c>
      <c r="H302" s="4" t="s">
        <v>149</v>
      </c>
      <c r="I302" s="9">
        <v>42886</v>
      </c>
      <c r="J302" s="11">
        <v>1</v>
      </c>
      <c r="K302" s="4" t="s">
        <v>184</v>
      </c>
      <c r="L302" s="11">
        <v>154</v>
      </c>
      <c r="M302" s="11">
        <v>154</v>
      </c>
      <c r="N302" s="4" t="s">
        <v>8</v>
      </c>
      <c r="O302" s="5">
        <v>5637364769</v>
      </c>
      <c r="P302" s="11">
        <f>_xll.AtlasFormulas.AtlasFunctions.AtlasBalance("UAT",DataAreaId,"T.MarkupTrans","Sum|Posted|0","","","","","","","MarkupCode|TransRecId|TransTableId","TPP",$O302,"64")</f>
        <v>0</v>
      </c>
    </row>
    <row r="303" spans="1:16" x14ac:dyDescent="0.25">
      <c r="A303" s="4" t="s">
        <v>116</v>
      </c>
      <c r="B303" s="4" t="s">
        <v>213</v>
      </c>
      <c r="C303" s="4" t="s">
        <v>178</v>
      </c>
      <c r="D303" s="4" t="s">
        <v>248</v>
      </c>
      <c r="E303" s="4" t="s">
        <v>62</v>
      </c>
      <c r="F303" s="4" t="s">
        <v>180</v>
      </c>
      <c r="G303" s="4" t="s">
        <v>43</v>
      </c>
      <c r="H303" s="4" t="s">
        <v>149</v>
      </c>
      <c r="I303" s="9">
        <v>42886</v>
      </c>
      <c r="J303" s="11">
        <v>1</v>
      </c>
      <c r="K303" s="4" t="s">
        <v>184</v>
      </c>
      <c r="L303" s="11">
        <v>56</v>
      </c>
      <c r="M303" s="11">
        <v>56</v>
      </c>
      <c r="N303" s="4" t="s">
        <v>8</v>
      </c>
      <c r="O303" s="5">
        <v>5637364803</v>
      </c>
      <c r="P303" s="11">
        <f>_xll.AtlasFormulas.AtlasFunctions.AtlasBalance("UAT",DataAreaId,"T.MarkupTrans","Sum|Posted|0","","","","","","","MarkupCode|TransRecId|TransTableId","TPP",$O303,"64")</f>
        <v>0</v>
      </c>
    </row>
    <row r="304" spans="1:16" x14ac:dyDescent="0.25">
      <c r="A304" s="4" t="s">
        <v>116</v>
      </c>
      <c r="B304" s="4" t="s">
        <v>175</v>
      </c>
      <c r="C304" s="4" t="s">
        <v>177</v>
      </c>
      <c r="D304" s="4" t="s">
        <v>246</v>
      </c>
      <c r="E304" s="4" t="s">
        <v>57</v>
      </c>
      <c r="F304" s="4" t="s">
        <v>180</v>
      </c>
      <c r="G304" s="4" t="s">
        <v>43</v>
      </c>
      <c r="H304" s="4" t="s">
        <v>149</v>
      </c>
      <c r="I304" s="9">
        <v>42886</v>
      </c>
      <c r="J304" s="11">
        <v>1</v>
      </c>
      <c r="K304" s="4" t="s">
        <v>184</v>
      </c>
      <c r="L304" s="11">
        <v>260</v>
      </c>
      <c r="M304" s="11">
        <v>260</v>
      </c>
      <c r="N304" s="4" t="s">
        <v>8</v>
      </c>
      <c r="O304" s="5">
        <v>5637364651</v>
      </c>
      <c r="P304" s="11">
        <f>_xll.AtlasFormulas.AtlasFunctions.AtlasBalance("UAT",DataAreaId,"T.MarkupTrans","Sum|Posted|0","","","","","","","MarkupCode|TransRecId|TransTableId","TPP",$O304,"64")</f>
        <v>0</v>
      </c>
    </row>
    <row r="305" spans="1:16" x14ac:dyDescent="0.25">
      <c r="A305" s="4" t="s">
        <v>116</v>
      </c>
      <c r="B305" s="4" t="s">
        <v>215</v>
      </c>
      <c r="C305" s="4" t="s">
        <v>192</v>
      </c>
      <c r="D305" s="4" t="s">
        <v>242</v>
      </c>
      <c r="E305" s="4" t="s">
        <v>55</v>
      </c>
      <c r="F305" s="4" t="s">
        <v>180</v>
      </c>
      <c r="G305" s="4" t="s">
        <v>43</v>
      </c>
      <c r="H305" s="4" t="s">
        <v>149</v>
      </c>
      <c r="I305" s="9">
        <v>42886</v>
      </c>
      <c r="J305" s="11">
        <v>1</v>
      </c>
      <c r="K305" s="4" t="s">
        <v>184</v>
      </c>
      <c r="L305" s="11">
        <v>114</v>
      </c>
      <c r="M305" s="11">
        <v>114</v>
      </c>
      <c r="N305" s="4" t="s">
        <v>8</v>
      </c>
      <c r="O305" s="5">
        <v>5637364600</v>
      </c>
      <c r="P305" s="11">
        <f>_xll.AtlasFormulas.AtlasFunctions.AtlasBalance("UAT",DataAreaId,"T.MarkupTrans","Sum|Posted|0","","","","","","","MarkupCode|TransRecId|TransTableId","TPP",$O305,"64")</f>
        <v>0</v>
      </c>
    </row>
    <row r="306" spans="1:16" x14ac:dyDescent="0.25">
      <c r="A306" s="4" t="s">
        <v>116</v>
      </c>
      <c r="B306" s="4" t="s">
        <v>224</v>
      </c>
      <c r="C306" s="4" t="s">
        <v>225</v>
      </c>
      <c r="D306" s="4" t="s">
        <v>247</v>
      </c>
      <c r="E306" s="4" t="s">
        <v>59</v>
      </c>
      <c r="F306" s="4" t="s">
        <v>180</v>
      </c>
      <c r="G306" s="4" t="s">
        <v>43</v>
      </c>
      <c r="H306" s="4" t="s">
        <v>149</v>
      </c>
      <c r="I306" s="9">
        <v>42886</v>
      </c>
      <c r="J306" s="11">
        <v>1</v>
      </c>
      <c r="K306" s="4" t="s">
        <v>184</v>
      </c>
      <c r="L306" s="11">
        <v>221</v>
      </c>
      <c r="M306" s="11">
        <v>221</v>
      </c>
      <c r="N306" s="4" t="s">
        <v>8</v>
      </c>
      <c r="O306" s="5">
        <v>5637364727</v>
      </c>
      <c r="P306" s="11">
        <f>_xll.AtlasFormulas.AtlasFunctions.AtlasBalance("UAT",DataAreaId,"T.MarkupTrans","Sum|Posted|0","","","","","","","MarkupCode|TransRecId|TransTableId","TPP",$O306,"64")</f>
        <v>0</v>
      </c>
    </row>
    <row r="307" spans="1:16" x14ac:dyDescent="0.25">
      <c r="A307" s="4" t="s">
        <v>116</v>
      </c>
      <c r="B307" s="4" t="s">
        <v>239</v>
      </c>
      <c r="C307" s="4" t="s">
        <v>176</v>
      </c>
      <c r="D307" s="4" t="s">
        <v>243</v>
      </c>
      <c r="E307" s="4" t="s">
        <v>58</v>
      </c>
      <c r="F307" s="4" t="s">
        <v>180</v>
      </c>
      <c r="G307" s="4" t="s">
        <v>43</v>
      </c>
      <c r="H307" s="4" t="s">
        <v>149</v>
      </c>
      <c r="I307" s="9">
        <v>42886</v>
      </c>
      <c r="J307" s="11">
        <v>1</v>
      </c>
      <c r="K307" s="4" t="s">
        <v>184</v>
      </c>
      <c r="L307" s="11">
        <v>201</v>
      </c>
      <c r="M307" s="11">
        <v>201</v>
      </c>
      <c r="N307" s="4" t="s">
        <v>8</v>
      </c>
      <c r="O307" s="5">
        <v>5637364689</v>
      </c>
      <c r="P307" s="11">
        <f>_xll.AtlasFormulas.AtlasFunctions.AtlasBalance("UAT",DataAreaId,"T.MarkupTrans","Sum|Posted|0","","","","","","","MarkupCode|TransRecId|TransTableId","TPP",$O307,"64")</f>
        <v>0</v>
      </c>
    </row>
    <row r="308" spans="1:16" x14ac:dyDescent="0.25">
      <c r="A308" s="4" t="s">
        <v>116</v>
      </c>
      <c r="B308" s="4" t="s">
        <v>239</v>
      </c>
      <c r="C308" s="4" t="s">
        <v>176</v>
      </c>
      <c r="D308" s="4" t="s">
        <v>254</v>
      </c>
      <c r="E308" s="4" t="s">
        <v>96</v>
      </c>
      <c r="F308" s="4" t="s">
        <v>180</v>
      </c>
      <c r="G308" s="4" t="s">
        <v>43</v>
      </c>
      <c r="H308" s="4" t="s">
        <v>149</v>
      </c>
      <c r="I308" s="9">
        <v>42916</v>
      </c>
      <c r="J308" s="11">
        <v>1</v>
      </c>
      <c r="K308" s="4" t="s">
        <v>184</v>
      </c>
      <c r="L308" s="11">
        <v>169</v>
      </c>
      <c r="M308" s="11">
        <v>169</v>
      </c>
      <c r="N308" s="4" t="s">
        <v>8</v>
      </c>
      <c r="O308" s="5">
        <v>5637367442</v>
      </c>
      <c r="P308" s="11">
        <f>_xll.AtlasFormulas.AtlasFunctions.AtlasBalance("UAT",DataAreaId,"T.MarkupTrans","Sum|Posted|0","","","","","","","MarkupCode|TransRecId|TransTableId","TPP",$O308,"64")</f>
        <v>0</v>
      </c>
    </row>
    <row r="309" spans="1:16" x14ac:dyDescent="0.25">
      <c r="A309" s="4" t="s">
        <v>116</v>
      </c>
      <c r="B309" s="4" t="s">
        <v>224</v>
      </c>
      <c r="C309" s="4" t="s">
        <v>225</v>
      </c>
      <c r="D309" s="4" t="s">
        <v>251</v>
      </c>
      <c r="E309" s="4" t="s">
        <v>93</v>
      </c>
      <c r="F309" s="4" t="s">
        <v>180</v>
      </c>
      <c r="G309" s="4" t="s">
        <v>43</v>
      </c>
      <c r="H309" s="4" t="s">
        <v>149</v>
      </c>
      <c r="I309" s="9">
        <v>42916</v>
      </c>
      <c r="J309" s="11">
        <v>1</v>
      </c>
      <c r="K309" s="4" t="s">
        <v>184</v>
      </c>
      <c r="L309" s="11">
        <v>363</v>
      </c>
      <c r="M309" s="11">
        <v>363</v>
      </c>
      <c r="N309" s="4" t="s">
        <v>8</v>
      </c>
      <c r="O309" s="5">
        <v>5637367356</v>
      </c>
      <c r="P309" s="11">
        <f>_xll.AtlasFormulas.AtlasFunctions.AtlasBalance("UAT",DataAreaId,"T.MarkupTrans","Sum|Posted|0","","","","","","","MarkupCode|TransRecId|TransTableId","TPP",$O309,"64")</f>
        <v>0</v>
      </c>
    </row>
    <row r="310" spans="1:16" x14ac:dyDescent="0.25">
      <c r="A310" s="4" t="s">
        <v>116</v>
      </c>
      <c r="B310" s="4" t="s">
        <v>215</v>
      </c>
      <c r="C310" s="4" t="s">
        <v>192</v>
      </c>
      <c r="D310" s="4" t="s">
        <v>253</v>
      </c>
      <c r="E310" s="4" t="s">
        <v>92</v>
      </c>
      <c r="F310" s="4" t="s">
        <v>180</v>
      </c>
      <c r="G310" s="4" t="s">
        <v>43</v>
      </c>
      <c r="H310" s="4" t="s">
        <v>149</v>
      </c>
      <c r="I310" s="9">
        <v>42916</v>
      </c>
      <c r="J310" s="11">
        <v>1</v>
      </c>
      <c r="K310" s="4" t="s">
        <v>184</v>
      </c>
      <c r="L310" s="11">
        <v>125</v>
      </c>
      <c r="M310" s="11">
        <v>125</v>
      </c>
      <c r="N310" s="4" t="s">
        <v>8</v>
      </c>
      <c r="O310" s="5">
        <v>5637367318</v>
      </c>
      <c r="P310" s="11">
        <f>_xll.AtlasFormulas.AtlasFunctions.AtlasBalance("UAT",DataAreaId,"T.MarkupTrans","Sum|Posted|0","","","","","","","MarkupCode|TransRecId|TransTableId","TPP",$O310,"64")</f>
        <v>0</v>
      </c>
    </row>
    <row r="311" spans="1:16" x14ac:dyDescent="0.25">
      <c r="A311" s="4" t="s">
        <v>116</v>
      </c>
      <c r="B311" s="4" t="s">
        <v>175</v>
      </c>
      <c r="C311" s="4" t="s">
        <v>177</v>
      </c>
      <c r="D311" s="4" t="s">
        <v>252</v>
      </c>
      <c r="E311" s="4" t="s">
        <v>95</v>
      </c>
      <c r="F311" s="4" t="s">
        <v>180</v>
      </c>
      <c r="G311" s="4" t="s">
        <v>43</v>
      </c>
      <c r="H311" s="4" t="s">
        <v>149</v>
      </c>
      <c r="I311" s="9">
        <v>42916</v>
      </c>
      <c r="J311" s="11">
        <v>1</v>
      </c>
      <c r="K311" s="4" t="s">
        <v>184</v>
      </c>
      <c r="L311" s="11">
        <v>316</v>
      </c>
      <c r="M311" s="11">
        <v>316</v>
      </c>
      <c r="N311" s="4" t="s">
        <v>8</v>
      </c>
      <c r="O311" s="5">
        <v>5637367404</v>
      </c>
      <c r="P311" s="11">
        <f>_xll.AtlasFormulas.AtlasFunctions.AtlasBalance("UAT",DataAreaId,"T.MarkupTrans","Sum|Posted|0","","","","","","","MarkupCode|TransRecId|TransTableId","TPP",$O311,"64")</f>
        <v>0</v>
      </c>
    </row>
    <row r="312" spans="1:16" x14ac:dyDescent="0.25">
      <c r="A312" s="4" t="s">
        <v>116</v>
      </c>
      <c r="B312" s="4" t="s">
        <v>213</v>
      </c>
      <c r="C312" s="4" t="s">
        <v>178</v>
      </c>
      <c r="D312" s="4" t="s">
        <v>250</v>
      </c>
      <c r="E312" s="4" t="s">
        <v>90</v>
      </c>
      <c r="F312" s="4" t="s">
        <v>180</v>
      </c>
      <c r="G312" s="4" t="s">
        <v>43</v>
      </c>
      <c r="H312" s="4" t="s">
        <v>149</v>
      </c>
      <c r="I312" s="9">
        <v>42916</v>
      </c>
      <c r="J312" s="11">
        <v>1</v>
      </c>
      <c r="K312" s="4" t="s">
        <v>184</v>
      </c>
      <c r="L312" s="11">
        <v>165</v>
      </c>
      <c r="M312" s="11">
        <v>165</v>
      </c>
      <c r="N312" s="4" t="s">
        <v>8</v>
      </c>
      <c r="O312" s="5">
        <v>5637367250</v>
      </c>
      <c r="P312" s="11">
        <f>_xll.AtlasFormulas.AtlasFunctions.AtlasBalance("UAT",DataAreaId,"T.MarkupTrans","Sum|Posted|0","","","","","","","MarkupCode|TransRecId|TransTableId","TPP",$O312,"64")</f>
        <v>0</v>
      </c>
    </row>
    <row r="313" spans="1:16" x14ac:dyDescent="0.25">
      <c r="A313" s="4" t="s">
        <v>116</v>
      </c>
      <c r="B313" s="4" t="s">
        <v>244</v>
      </c>
      <c r="C313" s="4" t="s">
        <v>193</v>
      </c>
      <c r="D313" s="4" t="s">
        <v>249</v>
      </c>
      <c r="E313" s="4" t="s">
        <v>91</v>
      </c>
      <c r="F313" s="4" t="s">
        <v>180</v>
      </c>
      <c r="G313" s="4" t="s">
        <v>43</v>
      </c>
      <c r="H313" s="4" t="s">
        <v>149</v>
      </c>
      <c r="I313" s="9">
        <v>42916</v>
      </c>
      <c r="J313" s="11">
        <v>1</v>
      </c>
      <c r="K313" s="4" t="s">
        <v>184</v>
      </c>
      <c r="L313" s="11">
        <v>322</v>
      </c>
      <c r="M313" s="11">
        <v>322</v>
      </c>
      <c r="N313" s="4" t="s">
        <v>8</v>
      </c>
      <c r="O313" s="5">
        <v>5637367284</v>
      </c>
      <c r="P313" s="11">
        <f>_xll.AtlasFormulas.AtlasFunctions.AtlasBalance("UAT",DataAreaId,"T.MarkupTrans","Sum|Posted|0","","","","","","","MarkupCode|TransRecId|TransTableId","TPP",$O313,"64")</f>
        <v>0</v>
      </c>
    </row>
    <row r="314" spans="1:16" x14ac:dyDescent="0.25">
      <c r="A314" s="4" t="s">
        <v>116</v>
      </c>
      <c r="B314" s="4" t="s">
        <v>244</v>
      </c>
      <c r="C314" s="4" t="s">
        <v>193</v>
      </c>
      <c r="D314" s="4" t="s">
        <v>257</v>
      </c>
      <c r="E314" s="4" t="s">
        <v>106</v>
      </c>
      <c r="F314" s="4" t="s">
        <v>180</v>
      </c>
      <c r="G314" s="4" t="s">
        <v>43</v>
      </c>
      <c r="H314" s="4" t="s">
        <v>149</v>
      </c>
      <c r="I314" s="9">
        <v>42947</v>
      </c>
      <c r="J314" s="11">
        <v>1</v>
      </c>
      <c r="K314" s="4" t="s">
        <v>184</v>
      </c>
      <c r="L314" s="11">
        <v>206</v>
      </c>
      <c r="M314" s="11">
        <v>206</v>
      </c>
      <c r="N314" s="4" t="s">
        <v>8</v>
      </c>
      <c r="O314" s="5">
        <v>5637370346</v>
      </c>
      <c r="P314" s="11">
        <f>_xll.AtlasFormulas.AtlasFunctions.AtlasBalance("UAT",DataAreaId,"T.MarkupTrans","Sum|Posted|0","","","","","","","MarkupCode|TransRecId|TransTableId","TPP",$O314,"64")</f>
        <v>0</v>
      </c>
    </row>
    <row r="315" spans="1:16" x14ac:dyDescent="0.25">
      <c r="A315" s="4" t="s">
        <v>116</v>
      </c>
      <c r="B315" s="4" t="s">
        <v>213</v>
      </c>
      <c r="C315" s="4" t="s">
        <v>178</v>
      </c>
      <c r="D315" s="4" t="s">
        <v>260</v>
      </c>
      <c r="E315" s="4" t="s">
        <v>105</v>
      </c>
      <c r="F315" s="4" t="s">
        <v>180</v>
      </c>
      <c r="G315" s="4" t="s">
        <v>43</v>
      </c>
      <c r="H315" s="4" t="s">
        <v>149</v>
      </c>
      <c r="I315" s="9">
        <v>42947</v>
      </c>
      <c r="J315" s="11">
        <v>-1</v>
      </c>
      <c r="K315" s="4" t="s">
        <v>184</v>
      </c>
      <c r="L315" s="11">
        <v>144</v>
      </c>
      <c r="M315" s="11">
        <v>-144</v>
      </c>
      <c r="N315" s="4" t="s">
        <v>8</v>
      </c>
      <c r="O315" s="5">
        <v>5637370312</v>
      </c>
      <c r="P315" s="11">
        <f>_xll.AtlasFormulas.AtlasFunctions.AtlasBalance("UAT",DataAreaId,"T.MarkupTrans","Sum|Posted|0","","","","","","","MarkupCode|TransRecId|TransTableId","TPP",$O315,"64")</f>
        <v>0</v>
      </c>
    </row>
    <row r="316" spans="1:16" x14ac:dyDescent="0.25">
      <c r="A316" s="4" t="s">
        <v>116</v>
      </c>
      <c r="B316" s="4" t="s">
        <v>175</v>
      </c>
      <c r="C316" s="4" t="s">
        <v>177</v>
      </c>
      <c r="D316" s="4" t="s">
        <v>256</v>
      </c>
      <c r="E316" s="4" t="s">
        <v>112</v>
      </c>
      <c r="F316" s="4" t="s">
        <v>180</v>
      </c>
      <c r="G316" s="4" t="s">
        <v>43</v>
      </c>
      <c r="H316" s="4" t="s">
        <v>149</v>
      </c>
      <c r="I316" s="9">
        <v>42947</v>
      </c>
      <c r="J316" s="11">
        <v>1</v>
      </c>
      <c r="K316" s="4" t="s">
        <v>184</v>
      </c>
      <c r="L316" s="11">
        <v>414</v>
      </c>
      <c r="M316" s="11">
        <v>414</v>
      </c>
      <c r="N316" s="4" t="s">
        <v>8</v>
      </c>
      <c r="O316" s="5">
        <v>5637370791</v>
      </c>
      <c r="P316" s="11">
        <f>_xll.AtlasFormulas.AtlasFunctions.AtlasBalance("UAT",DataAreaId,"T.MarkupTrans","Sum|Posted|0","","","","","","","MarkupCode|TransRecId|TransTableId","TPP",$O316,"64")</f>
        <v>0</v>
      </c>
    </row>
    <row r="317" spans="1:16" x14ac:dyDescent="0.25">
      <c r="A317" s="4" t="s">
        <v>116</v>
      </c>
      <c r="B317" s="4" t="s">
        <v>215</v>
      </c>
      <c r="C317" s="4" t="s">
        <v>192</v>
      </c>
      <c r="D317" s="4" t="s">
        <v>259</v>
      </c>
      <c r="E317" s="4" t="s">
        <v>109</v>
      </c>
      <c r="F317" s="4" t="s">
        <v>180</v>
      </c>
      <c r="G317" s="4" t="s">
        <v>43</v>
      </c>
      <c r="H317" s="4" t="s">
        <v>149</v>
      </c>
      <c r="I317" s="9">
        <v>42947</v>
      </c>
      <c r="J317" s="11">
        <v>1</v>
      </c>
      <c r="K317" s="4" t="s">
        <v>184</v>
      </c>
      <c r="L317" s="11">
        <v>8</v>
      </c>
      <c r="M317" s="11">
        <v>8</v>
      </c>
      <c r="N317" s="4" t="s">
        <v>8</v>
      </c>
      <c r="O317" s="5">
        <v>5637370447</v>
      </c>
      <c r="P317" s="11">
        <f>_xll.AtlasFormulas.AtlasFunctions.AtlasBalance("UAT",DataAreaId,"T.MarkupTrans","Sum|Posted|0","","","","","","","MarkupCode|TransRecId|TransTableId","TPP",$O317,"64")</f>
        <v>0</v>
      </c>
    </row>
    <row r="318" spans="1:16" x14ac:dyDescent="0.25">
      <c r="A318" s="4" t="s">
        <v>116</v>
      </c>
      <c r="B318" s="4" t="s">
        <v>224</v>
      </c>
      <c r="C318" s="4" t="s">
        <v>225</v>
      </c>
      <c r="D318" s="4" t="s">
        <v>258</v>
      </c>
      <c r="E318" s="4" t="s">
        <v>107</v>
      </c>
      <c r="F318" s="4" t="s">
        <v>180</v>
      </c>
      <c r="G318" s="4" t="s">
        <v>43</v>
      </c>
      <c r="H318" s="4" t="s">
        <v>149</v>
      </c>
      <c r="I318" s="9">
        <v>42947</v>
      </c>
      <c r="J318" s="11">
        <v>1</v>
      </c>
      <c r="K318" s="4" t="s">
        <v>184</v>
      </c>
      <c r="L318" s="11">
        <v>352</v>
      </c>
      <c r="M318" s="11">
        <v>352</v>
      </c>
      <c r="N318" s="4" t="s">
        <v>8</v>
      </c>
      <c r="O318" s="5">
        <v>5637370399</v>
      </c>
      <c r="P318" s="11">
        <f>_xll.AtlasFormulas.AtlasFunctions.AtlasBalance("UAT",DataAreaId,"T.MarkupTrans","Sum|Posted|0","","","","","","","MarkupCode|TransRecId|TransTableId","TPP",$O318,"64")</f>
        <v>0</v>
      </c>
    </row>
    <row r="319" spans="1:16" x14ac:dyDescent="0.25">
      <c r="A319" s="4" t="s">
        <v>116</v>
      </c>
      <c r="B319" s="4" t="s">
        <v>239</v>
      </c>
      <c r="C319" s="4" t="s">
        <v>176</v>
      </c>
      <c r="D319" s="4" t="s">
        <v>255</v>
      </c>
      <c r="E319" s="4" t="s">
        <v>111</v>
      </c>
      <c r="F319" s="4" t="s">
        <v>180</v>
      </c>
      <c r="G319" s="4" t="s">
        <v>43</v>
      </c>
      <c r="H319" s="4" t="s">
        <v>149</v>
      </c>
      <c r="I319" s="9">
        <v>42947</v>
      </c>
      <c r="J319" s="11">
        <v>1</v>
      </c>
      <c r="K319" s="4" t="s">
        <v>184</v>
      </c>
      <c r="L319" s="11">
        <v>202</v>
      </c>
      <c r="M319" s="11">
        <v>202</v>
      </c>
      <c r="N319" s="4" t="s">
        <v>8</v>
      </c>
      <c r="O319" s="5">
        <v>5637370495</v>
      </c>
      <c r="P319" s="11">
        <f>_xll.AtlasFormulas.AtlasFunctions.AtlasBalance("UAT",DataAreaId,"T.MarkupTrans","Sum|Posted|0","","","","","","","MarkupCode|TransRecId|TransTableId","TPP",$O319,"64")</f>
        <v>0</v>
      </c>
    </row>
    <row r="320" spans="1:16" x14ac:dyDescent="0.25">
      <c r="A320" s="4" t="s">
        <v>116</v>
      </c>
      <c r="B320" s="4" t="s">
        <v>211</v>
      </c>
      <c r="C320" s="4" t="s">
        <v>194</v>
      </c>
      <c r="D320" s="4" t="s">
        <v>268</v>
      </c>
      <c r="E320" s="4" t="s">
        <v>56</v>
      </c>
      <c r="F320" s="4" t="s">
        <v>180</v>
      </c>
      <c r="G320" s="4" t="s">
        <v>44</v>
      </c>
      <c r="H320" s="4" t="s">
        <v>150</v>
      </c>
      <c r="I320" s="9">
        <v>42886</v>
      </c>
      <c r="J320" s="11">
        <v>1</v>
      </c>
      <c r="K320" s="4" t="s">
        <v>184</v>
      </c>
      <c r="L320" s="11">
        <v>198</v>
      </c>
      <c r="M320" s="11">
        <v>198</v>
      </c>
      <c r="N320" s="4" t="s">
        <v>8</v>
      </c>
      <c r="O320" s="5">
        <v>5637364617</v>
      </c>
      <c r="P320" s="11">
        <f>_xll.AtlasFormulas.AtlasFunctions.AtlasBalance("UAT",DataAreaId,"T.MarkupTrans","Sum|Posted|0","","","","","","","MarkupCode|TransRecId|TransTableId","TPP",$O320,"64")</f>
        <v>0</v>
      </c>
    </row>
    <row r="321" spans="1:16" x14ac:dyDescent="0.25">
      <c r="A321" s="4" t="s">
        <v>116</v>
      </c>
      <c r="B321" s="4" t="s">
        <v>224</v>
      </c>
      <c r="C321" s="4" t="s">
        <v>225</v>
      </c>
      <c r="D321" s="4" t="s">
        <v>247</v>
      </c>
      <c r="E321" s="4" t="s">
        <v>59</v>
      </c>
      <c r="F321" s="4" t="s">
        <v>180</v>
      </c>
      <c r="G321" s="4" t="s">
        <v>44</v>
      </c>
      <c r="H321" s="4" t="s">
        <v>150</v>
      </c>
      <c r="I321" s="9">
        <v>42886</v>
      </c>
      <c r="J321" s="11">
        <v>1</v>
      </c>
      <c r="K321" s="4" t="s">
        <v>184</v>
      </c>
      <c r="L321" s="11">
        <v>755</v>
      </c>
      <c r="M321" s="11">
        <v>755</v>
      </c>
      <c r="N321" s="4" t="s">
        <v>8</v>
      </c>
      <c r="O321" s="5">
        <v>5637364728</v>
      </c>
      <c r="P321" s="11">
        <f>_xll.AtlasFormulas.AtlasFunctions.AtlasBalance("UAT",DataAreaId,"T.MarkupTrans","Sum|Posted|0","","","","","","","MarkupCode|TransRecId|TransTableId","TPP",$O321,"64")</f>
        <v>0</v>
      </c>
    </row>
    <row r="322" spans="1:16" x14ac:dyDescent="0.25">
      <c r="A322" s="4" t="s">
        <v>116</v>
      </c>
      <c r="B322" s="4" t="s">
        <v>239</v>
      </c>
      <c r="C322" s="4" t="s">
        <v>176</v>
      </c>
      <c r="D322" s="4" t="s">
        <v>243</v>
      </c>
      <c r="E322" s="4" t="s">
        <v>58</v>
      </c>
      <c r="F322" s="4" t="s">
        <v>180</v>
      </c>
      <c r="G322" s="4" t="s">
        <v>44</v>
      </c>
      <c r="H322" s="4" t="s">
        <v>150</v>
      </c>
      <c r="I322" s="9">
        <v>42886</v>
      </c>
      <c r="J322" s="11">
        <v>1</v>
      </c>
      <c r="K322" s="4" t="s">
        <v>184</v>
      </c>
      <c r="L322" s="11">
        <v>437</v>
      </c>
      <c r="M322" s="11">
        <v>437</v>
      </c>
      <c r="N322" s="4" t="s">
        <v>8</v>
      </c>
      <c r="O322" s="5">
        <v>5637364690</v>
      </c>
      <c r="P322" s="11">
        <f>_xll.AtlasFormulas.AtlasFunctions.AtlasBalance("UAT",DataAreaId,"T.MarkupTrans","Sum|Posted|0","","","","","","","MarkupCode|TransRecId|TransTableId","TPP",$O322,"64")</f>
        <v>0</v>
      </c>
    </row>
    <row r="323" spans="1:16" x14ac:dyDescent="0.25">
      <c r="A323" s="4" t="s">
        <v>116</v>
      </c>
      <c r="B323" s="4" t="s">
        <v>227</v>
      </c>
      <c r="C323" s="4" t="s">
        <v>203</v>
      </c>
      <c r="D323" s="4" t="s">
        <v>274</v>
      </c>
      <c r="E323" s="4" t="s">
        <v>60</v>
      </c>
      <c r="F323" s="4" t="s">
        <v>180</v>
      </c>
      <c r="G323" s="4" t="s">
        <v>44</v>
      </c>
      <c r="H323" s="4" t="s">
        <v>150</v>
      </c>
      <c r="I323" s="9">
        <v>42886</v>
      </c>
      <c r="J323" s="11">
        <v>1</v>
      </c>
      <c r="K323" s="4" t="s">
        <v>184</v>
      </c>
      <c r="L323" s="11">
        <v>159</v>
      </c>
      <c r="M323" s="11">
        <v>159</v>
      </c>
      <c r="N323" s="4" t="s">
        <v>8</v>
      </c>
      <c r="O323" s="5">
        <v>5637364742</v>
      </c>
      <c r="P323" s="11">
        <f>_xll.AtlasFormulas.AtlasFunctions.AtlasBalance("UAT",DataAreaId,"T.MarkupTrans","Sum|Posted|0","","","","","","","MarkupCode|TransRecId|TransTableId","TPP",$O323,"64")</f>
        <v>0</v>
      </c>
    </row>
    <row r="324" spans="1:16" x14ac:dyDescent="0.25">
      <c r="A324" s="4" t="s">
        <v>116</v>
      </c>
      <c r="B324" s="4" t="s">
        <v>215</v>
      </c>
      <c r="C324" s="4" t="s">
        <v>192</v>
      </c>
      <c r="D324" s="4" t="s">
        <v>242</v>
      </c>
      <c r="E324" s="4" t="s">
        <v>55</v>
      </c>
      <c r="F324" s="4" t="s">
        <v>180</v>
      </c>
      <c r="G324" s="4" t="s">
        <v>44</v>
      </c>
      <c r="H324" s="4" t="s">
        <v>150</v>
      </c>
      <c r="I324" s="9">
        <v>42886</v>
      </c>
      <c r="J324" s="11">
        <v>1</v>
      </c>
      <c r="K324" s="4" t="s">
        <v>184</v>
      </c>
      <c r="L324" s="11">
        <v>716</v>
      </c>
      <c r="M324" s="11">
        <v>716</v>
      </c>
      <c r="N324" s="4" t="s">
        <v>8</v>
      </c>
      <c r="O324" s="5">
        <v>5637364601</v>
      </c>
      <c r="P324" s="11">
        <f>_xll.AtlasFormulas.AtlasFunctions.AtlasBalance("UAT",DataAreaId,"T.MarkupTrans","Sum|Posted|0","","","","","","","MarkupCode|TransRecId|TransTableId","TPP",$O324,"64")</f>
        <v>0</v>
      </c>
    </row>
    <row r="325" spans="1:16" x14ac:dyDescent="0.25">
      <c r="A325" s="4" t="s">
        <v>116</v>
      </c>
      <c r="B325" s="4" t="s">
        <v>175</v>
      </c>
      <c r="C325" s="4" t="s">
        <v>177</v>
      </c>
      <c r="D325" s="4" t="s">
        <v>246</v>
      </c>
      <c r="E325" s="4" t="s">
        <v>57</v>
      </c>
      <c r="F325" s="4" t="s">
        <v>180</v>
      </c>
      <c r="G325" s="4" t="s">
        <v>44</v>
      </c>
      <c r="H325" s="4" t="s">
        <v>150</v>
      </c>
      <c r="I325" s="9">
        <v>42886</v>
      </c>
      <c r="J325" s="11">
        <v>1</v>
      </c>
      <c r="K325" s="4" t="s">
        <v>184</v>
      </c>
      <c r="L325" s="11">
        <v>477</v>
      </c>
      <c r="M325" s="11">
        <v>477</v>
      </c>
      <c r="N325" s="4" t="s">
        <v>8</v>
      </c>
      <c r="O325" s="5">
        <v>5637364652</v>
      </c>
      <c r="P325" s="11">
        <f>_xll.AtlasFormulas.AtlasFunctions.AtlasBalance("UAT",DataAreaId,"T.MarkupTrans","Sum|Posted|0","","","","","","","MarkupCode|TransRecId|TransTableId","TPP",$O325,"64")</f>
        <v>0</v>
      </c>
    </row>
    <row r="326" spans="1:16" x14ac:dyDescent="0.25">
      <c r="A326" s="4" t="s">
        <v>116</v>
      </c>
      <c r="B326" s="4" t="s">
        <v>213</v>
      </c>
      <c r="C326" s="4" t="s">
        <v>178</v>
      </c>
      <c r="D326" s="4" t="s">
        <v>248</v>
      </c>
      <c r="E326" s="4" t="s">
        <v>62</v>
      </c>
      <c r="F326" s="4" t="s">
        <v>180</v>
      </c>
      <c r="G326" s="4" t="s">
        <v>44</v>
      </c>
      <c r="H326" s="4" t="s">
        <v>150</v>
      </c>
      <c r="I326" s="9">
        <v>42886</v>
      </c>
      <c r="J326" s="11">
        <v>1</v>
      </c>
      <c r="K326" s="4" t="s">
        <v>184</v>
      </c>
      <c r="L326" s="11">
        <v>318</v>
      </c>
      <c r="M326" s="11">
        <v>318</v>
      </c>
      <c r="N326" s="4" t="s">
        <v>8</v>
      </c>
      <c r="O326" s="5">
        <v>5637364804</v>
      </c>
      <c r="P326" s="11">
        <f>_xll.AtlasFormulas.AtlasFunctions.AtlasBalance("UAT",DataAreaId,"T.MarkupTrans","Sum|Posted|0","","","","","","","MarkupCode|TransRecId|TransTableId","TPP",$O326,"64")</f>
        <v>0</v>
      </c>
    </row>
    <row r="327" spans="1:16" x14ac:dyDescent="0.25">
      <c r="A327" s="4" t="s">
        <v>116</v>
      </c>
      <c r="B327" s="4" t="s">
        <v>213</v>
      </c>
      <c r="C327" s="4" t="s">
        <v>178</v>
      </c>
      <c r="D327" s="4" t="s">
        <v>250</v>
      </c>
      <c r="E327" s="4" t="s">
        <v>90</v>
      </c>
      <c r="F327" s="4" t="s">
        <v>180</v>
      </c>
      <c r="G327" s="4" t="s">
        <v>44</v>
      </c>
      <c r="H327" s="4" t="s">
        <v>150</v>
      </c>
      <c r="I327" s="9">
        <v>42916</v>
      </c>
      <c r="J327" s="11">
        <v>1</v>
      </c>
      <c r="K327" s="4" t="s">
        <v>184</v>
      </c>
      <c r="L327" s="11">
        <v>357</v>
      </c>
      <c r="M327" s="11">
        <v>357</v>
      </c>
      <c r="N327" s="4" t="s">
        <v>8</v>
      </c>
      <c r="O327" s="5">
        <v>5637367251</v>
      </c>
      <c r="P327" s="11">
        <f>_xll.AtlasFormulas.AtlasFunctions.AtlasBalance("UAT",DataAreaId,"T.MarkupTrans","Sum|Posted|0","","","","","","","MarkupCode|TransRecId|TransTableId","TPP",$O327,"64")</f>
        <v>0</v>
      </c>
    </row>
    <row r="328" spans="1:16" x14ac:dyDescent="0.25">
      <c r="A328" s="4" t="s">
        <v>116</v>
      </c>
      <c r="B328" s="4" t="s">
        <v>175</v>
      </c>
      <c r="C328" s="4" t="s">
        <v>177</v>
      </c>
      <c r="D328" s="4" t="s">
        <v>252</v>
      </c>
      <c r="E328" s="4" t="s">
        <v>95</v>
      </c>
      <c r="F328" s="4" t="s">
        <v>180</v>
      </c>
      <c r="G328" s="4" t="s">
        <v>44</v>
      </c>
      <c r="H328" s="4" t="s">
        <v>150</v>
      </c>
      <c r="I328" s="9">
        <v>42916</v>
      </c>
      <c r="J328" s="11">
        <v>1</v>
      </c>
      <c r="K328" s="4" t="s">
        <v>184</v>
      </c>
      <c r="L328" s="11">
        <v>535</v>
      </c>
      <c r="M328" s="11">
        <v>535</v>
      </c>
      <c r="N328" s="4" t="s">
        <v>8</v>
      </c>
      <c r="O328" s="5">
        <v>5637367405</v>
      </c>
      <c r="P328" s="11">
        <f>_xll.AtlasFormulas.AtlasFunctions.AtlasBalance("UAT",DataAreaId,"T.MarkupTrans","Sum|Posted|0","","","","","","","MarkupCode|TransRecId|TransTableId","TPP",$O328,"64")</f>
        <v>0</v>
      </c>
    </row>
    <row r="329" spans="1:16" x14ac:dyDescent="0.25">
      <c r="A329" s="4" t="s">
        <v>116</v>
      </c>
      <c r="B329" s="4" t="s">
        <v>227</v>
      </c>
      <c r="C329" s="4" t="s">
        <v>203</v>
      </c>
      <c r="D329" s="4" t="s">
        <v>264</v>
      </c>
      <c r="E329" s="4" t="s">
        <v>94</v>
      </c>
      <c r="F329" s="4" t="s">
        <v>180</v>
      </c>
      <c r="G329" s="4" t="s">
        <v>44</v>
      </c>
      <c r="H329" s="4" t="s">
        <v>150</v>
      </c>
      <c r="I329" s="9">
        <v>42916</v>
      </c>
      <c r="J329" s="11">
        <v>1</v>
      </c>
      <c r="K329" s="4" t="s">
        <v>184</v>
      </c>
      <c r="L329" s="11">
        <v>178</v>
      </c>
      <c r="M329" s="11">
        <v>178</v>
      </c>
      <c r="N329" s="4" t="s">
        <v>8</v>
      </c>
      <c r="O329" s="5">
        <v>5637367373</v>
      </c>
      <c r="P329" s="11">
        <f>_xll.AtlasFormulas.AtlasFunctions.AtlasBalance("UAT",DataAreaId,"T.MarkupTrans","Sum|Posted|0","","","","","","","MarkupCode|TransRecId|TransTableId","TPP",$O329,"64")</f>
        <v>0</v>
      </c>
    </row>
    <row r="330" spans="1:16" x14ac:dyDescent="0.25">
      <c r="A330" s="4" t="s">
        <v>116</v>
      </c>
      <c r="B330" s="4" t="s">
        <v>215</v>
      </c>
      <c r="C330" s="4" t="s">
        <v>192</v>
      </c>
      <c r="D330" s="4" t="s">
        <v>253</v>
      </c>
      <c r="E330" s="4" t="s">
        <v>92</v>
      </c>
      <c r="F330" s="4" t="s">
        <v>180</v>
      </c>
      <c r="G330" s="4" t="s">
        <v>44</v>
      </c>
      <c r="H330" s="4" t="s">
        <v>150</v>
      </c>
      <c r="I330" s="9">
        <v>42916</v>
      </c>
      <c r="J330" s="11">
        <v>1</v>
      </c>
      <c r="K330" s="4" t="s">
        <v>184</v>
      </c>
      <c r="L330" s="11">
        <v>803</v>
      </c>
      <c r="M330" s="11">
        <v>803</v>
      </c>
      <c r="N330" s="4" t="s">
        <v>8</v>
      </c>
      <c r="O330" s="5">
        <v>5637367319</v>
      </c>
      <c r="P330" s="11">
        <f>_xll.AtlasFormulas.AtlasFunctions.AtlasBalance("UAT",DataAreaId,"T.MarkupTrans","Sum|Posted|0","","","","","","","MarkupCode|TransRecId|TransTableId","TPP",$O330,"64")</f>
        <v>0</v>
      </c>
    </row>
    <row r="331" spans="1:16" x14ac:dyDescent="0.25">
      <c r="A331" s="4" t="s">
        <v>116</v>
      </c>
      <c r="B331" s="4" t="s">
        <v>224</v>
      </c>
      <c r="C331" s="4" t="s">
        <v>225</v>
      </c>
      <c r="D331" s="4" t="s">
        <v>251</v>
      </c>
      <c r="E331" s="4" t="s">
        <v>93</v>
      </c>
      <c r="F331" s="4" t="s">
        <v>180</v>
      </c>
      <c r="G331" s="4" t="s">
        <v>44</v>
      </c>
      <c r="H331" s="4" t="s">
        <v>150</v>
      </c>
      <c r="I331" s="9">
        <v>42916</v>
      </c>
      <c r="J331" s="11">
        <v>1</v>
      </c>
      <c r="K331" s="4" t="s">
        <v>184</v>
      </c>
      <c r="L331" s="11">
        <v>847</v>
      </c>
      <c r="M331" s="11">
        <v>847</v>
      </c>
      <c r="N331" s="4" t="s">
        <v>8</v>
      </c>
      <c r="O331" s="5">
        <v>5637367357</v>
      </c>
      <c r="P331" s="11">
        <f>_xll.AtlasFormulas.AtlasFunctions.AtlasBalance("UAT",DataAreaId,"T.MarkupTrans","Sum|Posted|0","","","","","","","MarkupCode|TransRecId|TransTableId","TPP",$O331,"64")</f>
        <v>0</v>
      </c>
    </row>
    <row r="332" spans="1:16" x14ac:dyDescent="0.25">
      <c r="A332" s="4" t="s">
        <v>116</v>
      </c>
      <c r="B332" s="4" t="s">
        <v>211</v>
      </c>
      <c r="C332" s="4" t="s">
        <v>194</v>
      </c>
      <c r="D332" s="4" t="s">
        <v>275</v>
      </c>
      <c r="E332" s="4" t="s">
        <v>97</v>
      </c>
      <c r="F332" s="4" t="s">
        <v>180</v>
      </c>
      <c r="G332" s="4" t="s">
        <v>44</v>
      </c>
      <c r="H332" s="4" t="s">
        <v>150</v>
      </c>
      <c r="I332" s="9">
        <v>42916</v>
      </c>
      <c r="J332" s="11">
        <v>1</v>
      </c>
      <c r="K332" s="4" t="s">
        <v>184</v>
      </c>
      <c r="L332" s="11">
        <v>223</v>
      </c>
      <c r="M332" s="11">
        <v>223</v>
      </c>
      <c r="N332" s="4" t="s">
        <v>8</v>
      </c>
      <c r="O332" s="5">
        <v>5637367457</v>
      </c>
      <c r="P332" s="11">
        <f>_xll.AtlasFormulas.AtlasFunctions.AtlasBalance("UAT",DataAreaId,"T.MarkupTrans","Sum|Posted|0","","","","","","","MarkupCode|TransRecId|TransTableId","TPP",$O332,"64")</f>
        <v>0</v>
      </c>
    </row>
    <row r="333" spans="1:16" x14ac:dyDescent="0.25">
      <c r="A333" s="4" t="s">
        <v>116</v>
      </c>
      <c r="B333" s="4" t="s">
        <v>239</v>
      </c>
      <c r="C333" s="4" t="s">
        <v>176</v>
      </c>
      <c r="D333" s="4" t="s">
        <v>254</v>
      </c>
      <c r="E333" s="4" t="s">
        <v>96</v>
      </c>
      <c r="F333" s="4" t="s">
        <v>180</v>
      </c>
      <c r="G333" s="4" t="s">
        <v>44</v>
      </c>
      <c r="H333" s="4" t="s">
        <v>150</v>
      </c>
      <c r="I333" s="9">
        <v>42916</v>
      </c>
      <c r="J333" s="11">
        <v>1</v>
      </c>
      <c r="K333" s="4" t="s">
        <v>184</v>
      </c>
      <c r="L333" s="11">
        <v>491</v>
      </c>
      <c r="M333" s="11">
        <v>491</v>
      </c>
      <c r="N333" s="4" t="s">
        <v>8</v>
      </c>
      <c r="O333" s="5">
        <v>5637367443</v>
      </c>
      <c r="P333" s="11">
        <f>_xll.AtlasFormulas.AtlasFunctions.AtlasBalance("UAT",DataAreaId,"T.MarkupTrans","Sum|Posted|0","","","","","","","MarkupCode|TransRecId|TransTableId","TPP",$O333,"64")</f>
        <v>0</v>
      </c>
    </row>
    <row r="334" spans="1:16" x14ac:dyDescent="0.25">
      <c r="A334" s="4" t="s">
        <v>116</v>
      </c>
      <c r="B334" s="4" t="s">
        <v>239</v>
      </c>
      <c r="C334" s="4" t="s">
        <v>176</v>
      </c>
      <c r="D334" s="4" t="s">
        <v>255</v>
      </c>
      <c r="E334" s="4" t="s">
        <v>111</v>
      </c>
      <c r="F334" s="4" t="s">
        <v>180</v>
      </c>
      <c r="G334" s="4" t="s">
        <v>44</v>
      </c>
      <c r="H334" s="4" t="s">
        <v>150</v>
      </c>
      <c r="I334" s="9">
        <v>42947</v>
      </c>
      <c r="J334" s="11">
        <v>1</v>
      </c>
      <c r="K334" s="4" t="s">
        <v>184</v>
      </c>
      <c r="L334" s="11">
        <v>360</v>
      </c>
      <c r="M334" s="11">
        <v>360</v>
      </c>
      <c r="N334" s="4" t="s">
        <v>8</v>
      </c>
      <c r="O334" s="5">
        <v>5637370746</v>
      </c>
      <c r="P334" s="11">
        <f>_xll.AtlasFormulas.AtlasFunctions.AtlasBalance("UAT",DataAreaId,"T.MarkupTrans","Sum|Posted|0","","","","","","","MarkupCode|TransRecId|TransTableId","TPP",$O334,"64")</f>
        <v>0</v>
      </c>
    </row>
    <row r="335" spans="1:16" x14ac:dyDescent="0.25">
      <c r="A335" s="4" t="s">
        <v>116</v>
      </c>
      <c r="B335" s="4" t="s">
        <v>211</v>
      </c>
      <c r="C335" s="4" t="s">
        <v>194</v>
      </c>
      <c r="D335" s="4" t="s">
        <v>269</v>
      </c>
      <c r="E335" s="4" t="s">
        <v>110</v>
      </c>
      <c r="F335" s="4" t="s">
        <v>180</v>
      </c>
      <c r="G335" s="4" t="s">
        <v>44</v>
      </c>
      <c r="H335" s="4" t="s">
        <v>150</v>
      </c>
      <c r="I335" s="9">
        <v>42947</v>
      </c>
      <c r="J335" s="11">
        <v>1</v>
      </c>
      <c r="K335" s="4" t="s">
        <v>184</v>
      </c>
      <c r="L335" s="11">
        <v>164</v>
      </c>
      <c r="M335" s="11">
        <v>164</v>
      </c>
      <c r="N335" s="4" t="s">
        <v>8</v>
      </c>
      <c r="O335" s="5">
        <v>5637370464</v>
      </c>
      <c r="P335" s="11">
        <f>_xll.AtlasFormulas.AtlasFunctions.AtlasBalance("UAT",DataAreaId,"T.MarkupTrans","Sum|Posted|0","","","","","","","MarkupCode|TransRecId|TransTableId","TPP",$O335,"64")</f>
        <v>0</v>
      </c>
    </row>
    <row r="336" spans="1:16" x14ac:dyDescent="0.25">
      <c r="A336" s="4" t="s">
        <v>116</v>
      </c>
      <c r="B336" s="4" t="s">
        <v>224</v>
      </c>
      <c r="C336" s="4" t="s">
        <v>225</v>
      </c>
      <c r="D336" s="4" t="s">
        <v>258</v>
      </c>
      <c r="E336" s="4" t="s">
        <v>107</v>
      </c>
      <c r="F336" s="4" t="s">
        <v>180</v>
      </c>
      <c r="G336" s="4" t="s">
        <v>44</v>
      </c>
      <c r="H336" s="4" t="s">
        <v>150</v>
      </c>
      <c r="I336" s="9">
        <v>42947</v>
      </c>
      <c r="J336" s="11">
        <v>1</v>
      </c>
      <c r="K336" s="4" t="s">
        <v>184</v>
      </c>
      <c r="L336" s="11">
        <v>623</v>
      </c>
      <c r="M336" s="11">
        <v>623</v>
      </c>
      <c r="N336" s="4" t="s">
        <v>8</v>
      </c>
      <c r="O336" s="5">
        <v>5637370400</v>
      </c>
      <c r="P336" s="11">
        <f>_xll.AtlasFormulas.AtlasFunctions.AtlasBalance("UAT",DataAreaId,"T.MarkupTrans","Sum|Posted|0","","","","","","","MarkupCode|TransRecId|TransTableId","TPP",$O336,"64")</f>
        <v>0</v>
      </c>
    </row>
    <row r="337" spans="1:16" x14ac:dyDescent="0.25">
      <c r="A337" s="4" t="s">
        <v>116</v>
      </c>
      <c r="B337" s="4" t="s">
        <v>227</v>
      </c>
      <c r="C337" s="4" t="s">
        <v>203</v>
      </c>
      <c r="D337" s="4" t="s">
        <v>265</v>
      </c>
      <c r="E337" s="4" t="s">
        <v>108</v>
      </c>
      <c r="F337" s="4" t="s">
        <v>180</v>
      </c>
      <c r="G337" s="4" t="s">
        <v>44</v>
      </c>
      <c r="H337" s="4" t="s">
        <v>150</v>
      </c>
      <c r="I337" s="9">
        <v>42947</v>
      </c>
      <c r="J337" s="11">
        <v>1</v>
      </c>
      <c r="K337" s="4" t="s">
        <v>184</v>
      </c>
      <c r="L337" s="11">
        <v>132</v>
      </c>
      <c r="M337" s="11">
        <v>132</v>
      </c>
      <c r="N337" s="4" t="s">
        <v>8</v>
      </c>
      <c r="O337" s="5">
        <v>5637370416</v>
      </c>
      <c r="P337" s="11">
        <f>_xll.AtlasFormulas.AtlasFunctions.AtlasBalance("UAT",DataAreaId,"T.MarkupTrans","Sum|Posted|0","","","","","","","MarkupCode|TransRecId|TransTableId","TPP",$O337,"64")</f>
        <v>0</v>
      </c>
    </row>
    <row r="338" spans="1:16" x14ac:dyDescent="0.25">
      <c r="A338" s="4" t="s">
        <v>116</v>
      </c>
      <c r="B338" s="4" t="s">
        <v>215</v>
      </c>
      <c r="C338" s="4" t="s">
        <v>192</v>
      </c>
      <c r="D338" s="4" t="s">
        <v>259</v>
      </c>
      <c r="E338" s="4" t="s">
        <v>109</v>
      </c>
      <c r="F338" s="4" t="s">
        <v>180</v>
      </c>
      <c r="G338" s="4" t="s">
        <v>44</v>
      </c>
      <c r="H338" s="4" t="s">
        <v>150</v>
      </c>
      <c r="I338" s="9">
        <v>42947</v>
      </c>
      <c r="J338" s="11">
        <v>1</v>
      </c>
      <c r="K338" s="4" t="s">
        <v>184</v>
      </c>
      <c r="L338" s="11">
        <v>590</v>
      </c>
      <c r="M338" s="11">
        <v>590</v>
      </c>
      <c r="N338" s="4" t="s">
        <v>8</v>
      </c>
      <c r="O338" s="5">
        <v>5637370448</v>
      </c>
      <c r="P338" s="11">
        <f>_xll.AtlasFormulas.AtlasFunctions.AtlasBalance("UAT",DataAreaId,"T.MarkupTrans","Sum|Posted|0","","","","","","","MarkupCode|TransRecId|TransTableId","TPP",$O338,"64")</f>
        <v>0</v>
      </c>
    </row>
    <row r="339" spans="1:16" x14ac:dyDescent="0.25">
      <c r="A339" s="4" t="s">
        <v>116</v>
      </c>
      <c r="B339" s="4" t="s">
        <v>175</v>
      </c>
      <c r="C339" s="4" t="s">
        <v>177</v>
      </c>
      <c r="D339" s="4" t="s">
        <v>256</v>
      </c>
      <c r="E339" s="4" t="s">
        <v>112</v>
      </c>
      <c r="F339" s="4" t="s">
        <v>180</v>
      </c>
      <c r="G339" s="4" t="s">
        <v>44</v>
      </c>
      <c r="H339" s="4" t="s">
        <v>150</v>
      </c>
      <c r="I339" s="9">
        <v>42947</v>
      </c>
      <c r="J339" s="11">
        <v>1</v>
      </c>
      <c r="K339" s="4" t="s">
        <v>184</v>
      </c>
      <c r="L339" s="11">
        <v>394</v>
      </c>
      <c r="M339" s="11">
        <v>394</v>
      </c>
      <c r="N339" s="4" t="s">
        <v>8</v>
      </c>
      <c r="O339" s="5">
        <v>5637370792</v>
      </c>
      <c r="P339" s="11">
        <f>_xll.AtlasFormulas.AtlasFunctions.AtlasBalance("UAT",DataAreaId,"T.MarkupTrans","Sum|Posted|0","","","","","","","MarkupCode|TransRecId|TransTableId","TPP",$O339,"64")</f>
        <v>0</v>
      </c>
    </row>
    <row r="340" spans="1:16" x14ac:dyDescent="0.25">
      <c r="A340" s="4" t="s">
        <v>116</v>
      </c>
      <c r="B340" s="4" t="s">
        <v>213</v>
      </c>
      <c r="C340" s="4" t="s">
        <v>178</v>
      </c>
      <c r="D340" s="4" t="s">
        <v>260</v>
      </c>
      <c r="E340" s="4" t="s">
        <v>105</v>
      </c>
      <c r="F340" s="4" t="s">
        <v>180</v>
      </c>
      <c r="G340" s="4" t="s">
        <v>44</v>
      </c>
      <c r="H340" s="4" t="s">
        <v>150</v>
      </c>
      <c r="I340" s="9">
        <v>42947</v>
      </c>
      <c r="J340" s="11">
        <v>1</v>
      </c>
      <c r="K340" s="4" t="s">
        <v>184</v>
      </c>
      <c r="L340" s="11">
        <v>262</v>
      </c>
      <c r="M340" s="11">
        <v>262</v>
      </c>
      <c r="N340" s="4" t="s">
        <v>8</v>
      </c>
      <c r="O340" s="5">
        <v>5637370313</v>
      </c>
      <c r="P340" s="11">
        <f>_xll.AtlasFormulas.AtlasFunctions.AtlasBalance("UAT",DataAreaId,"T.MarkupTrans","Sum|Posted|0","","","","","","","MarkupCode|TransRecId|TransTableId","TPP",$O340,"64")</f>
        <v>0</v>
      </c>
    </row>
    <row r="341" spans="1:16" x14ac:dyDescent="0.25">
      <c r="A341" s="4" t="s">
        <v>116</v>
      </c>
      <c r="B341" s="4" t="s">
        <v>213</v>
      </c>
      <c r="C341" s="4" t="s">
        <v>178</v>
      </c>
      <c r="D341" s="4" t="s">
        <v>248</v>
      </c>
      <c r="E341" s="4" t="s">
        <v>62</v>
      </c>
      <c r="F341" s="4" t="s">
        <v>180</v>
      </c>
      <c r="G341" s="4" t="s">
        <v>45</v>
      </c>
      <c r="H341" s="4" t="s">
        <v>151</v>
      </c>
      <c r="I341" s="9">
        <v>42886</v>
      </c>
      <c r="J341" s="11">
        <v>1</v>
      </c>
      <c r="K341" s="4" t="s">
        <v>184</v>
      </c>
      <c r="L341" s="11">
        <v>105</v>
      </c>
      <c r="M341" s="11">
        <v>105</v>
      </c>
      <c r="N341" s="4" t="s">
        <v>8</v>
      </c>
      <c r="O341" s="5">
        <v>5637364805</v>
      </c>
      <c r="P341" s="11">
        <f>_xll.AtlasFormulas.AtlasFunctions.AtlasBalance("UAT",DataAreaId,"T.MarkupTrans","Sum|Posted|0","","","","","","","MarkupCode|TransRecId|TransTableId","TPP",$O341,"64")</f>
        <v>0</v>
      </c>
    </row>
    <row r="342" spans="1:16" x14ac:dyDescent="0.25">
      <c r="A342" s="4" t="s">
        <v>116</v>
      </c>
      <c r="B342" s="4" t="s">
        <v>175</v>
      </c>
      <c r="C342" s="4" t="s">
        <v>177</v>
      </c>
      <c r="D342" s="4" t="s">
        <v>246</v>
      </c>
      <c r="E342" s="4" t="s">
        <v>57</v>
      </c>
      <c r="F342" s="4" t="s">
        <v>180</v>
      </c>
      <c r="G342" s="4" t="s">
        <v>45</v>
      </c>
      <c r="H342" s="4" t="s">
        <v>151</v>
      </c>
      <c r="I342" s="9">
        <v>42886</v>
      </c>
      <c r="J342" s="11">
        <v>1</v>
      </c>
      <c r="K342" s="4" t="s">
        <v>184</v>
      </c>
      <c r="L342" s="11">
        <v>158</v>
      </c>
      <c r="M342" s="11">
        <v>158</v>
      </c>
      <c r="N342" s="4" t="s">
        <v>8</v>
      </c>
      <c r="O342" s="5">
        <v>5637364653</v>
      </c>
      <c r="P342" s="11">
        <f>_xll.AtlasFormulas.AtlasFunctions.AtlasBalance("UAT",DataAreaId,"T.MarkupTrans","Sum|Posted|0","","","","","","","MarkupCode|TransRecId|TransTableId","TPP",$O342,"64")</f>
        <v>0</v>
      </c>
    </row>
    <row r="343" spans="1:16" x14ac:dyDescent="0.25">
      <c r="A343" s="4" t="s">
        <v>116</v>
      </c>
      <c r="B343" s="4" t="s">
        <v>215</v>
      </c>
      <c r="C343" s="4" t="s">
        <v>192</v>
      </c>
      <c r="D343" s="4" t="s">
        <v>242</v>
      </c>
      <c r="E343" s="4" t="s">
        <v>55</v>
      </c>
      <c r="F343" s="4" t="s">
        <v>180</v>
      </c>
      <c r="G343" s="4" t="s">
        <v>45</v>
      </c>
      <c r="H343" s="4" t="s">
        <v>151</v>
      </c>
      <c r="I343" s="9">
        <v>42886</v>
      </c>
      <c r="J343" s="11">
        <v>1</v>
      </c>
      <c r="K343" s="4" t="s">
        <v>184</v>
      </c>
      <c r="L343" s="11">
        <v>237</v>
      </c>
      <c r="M343" s="11">
        <v>237</v>
      </c>
      <c r="N343" s="4" t="s">
        <v>8</v>
      </c>
      <c r="O343" s="5">
        <v>5637364602</v>
      </c>
      <c r="P343" s="11">
        <f>_xll.AtlasFormulas.AtlasFunctions.AtlasBalance("UAT",DataAreaId,"T.MarkupTrans","Sum|Posted|0","","","","","","","MarkupCode|TransRecId|TransTableId","TPP",$O343,"64")</f>
        <v>0</v>
      </c>
    </row>
    <row r="344" spans="1:16" x14ac:dyDescent="0.25">
      <c r="A344" s="4" t="s">
        <v>116</v>
      </c>
      <c r="B344" s="4" t="s">
        <v>227</v>
      </c>
      <c r="C344" s="4" t="s">
        <v>203</v>
      </c>
      <c r="D344" s="4" t="s">
        <v>274</v>
      </c>
      <c r="E344" s="4" t="s">
        <v>60</v>
      </c>
      <c r="F344" s="4" t="s">
        <v>180</v>
      </c>
      <c r="G344" s="4" t="s">
        <v>45</v>
      </c>
      <c r="H344" s="4" t="s">
        <v>151</v>
      </c>
      <c r="I344" s="9">
        <v>42886</v>
      </c>
      <c r="J344" s="11">
        <v>1</v>
      </c>
      <c r="K344" s="4" t="s">
        <v>184</v>
      </c>
      <c r="L344" s="11">
        <v>53</v>
      </c>
      <c r="M344" s="11">
        <v>53</v>
      </c>
      <c r="N344" s="4" t="s">
        <v>8</v>
      </c>
      <c r="O344" s="5">
        <v>5637364743</v>
      </c>
      <c r="P344" s="11">
        <f>_xll.AtlasFormulas.AtlasFunctions.AtlasBalance("UAT",DataAreaId,"T.MarkupTrans","Sum|Posted|0","","","","","","","MarkupCode|TransRecId|TransTableId","TPP",$O344,"64")</f>
        <v>0</v>
      </c>
    </row>
    <row r="345" spans="1:16" x14ac:dyDescent="0.25">
      <c r="A345" s="4" t="s">
        <v>116</v>
      </c>
      <c r="B345" s="4" t="s">
        <v>224</v>
      </c>
      <c r="C345" s="4" t="s">
        <v>225</v>
      </c>
      <c r="D345" s="4" t="s">
        <v>247</v>
      </c>
      <c r="E345" s="4" t="s">
        <v>59</v>
      </c>
      <c r="F345" s="4" t="s">
        <v>180</v>
      </c>
      <c r="G345" s="4" t="s">
        <v>45</v>
      </c>
      <c r="H345" s="4" t="s">
        <v>151</v>
      </c>
      <c r="I345" s="9">
        <v>42886</v>
      </c>
      <c r="J345" s="11">
        <v>1</v>
      </c>
      <c r="K345" s="4" t="s">
        <v>184</v>
      </c>
      <c r="L345" s="11">
        <v>250</v>
      </c>
      <c r="M345" s="11">
        <v>250</v>
      </c>
      <c r="N345" s="4" t="s">
        <v>8</v>
      </c>
      <c r="O345" s="5">
        <v>5637364729</v>
      </c>
      <c r="P345" s="11">
        <f>_xll.AtlasFormulas.AtlasFunctions.AtlasBalance("UAT",DataAreaId,"T.MarkupTrans","Sum|Posted|0","","","","","","","MarkupCode|TransRecId|TransTableId","TPP",$O345,"64")</f>
        <v>0</v>
      </c>
    </row>
    <row r="346" spans="1:16" x14ac:dyDescent="0.25">
      <c r="A346" s="4" t="s">
        <v>116</v>
      </c>
      <c r="B346" s="4" t="s">
        <v>211</v>
      </c>
      <c r="C346" s="4" t="s">
        <v>194</v>
      </c>
      <c r="D346" s="4" t="s">
        <v>268</v>
      </c>
      <c r="E346" s="4" t="s">
        <v>56</v>
      </c>
      <c r="F346" s="4" t="s">
        <v>180</v>
      </c>
      <c r="G346" s="4" t="s">
        <v>45</v>
      </c>
      <c r="H346" s="4" t="s">
        <v>151</v>
      </c>
      <c r="I346" s="9">
        <v>42886</v>
      </c>
      <c r="J346" s="11">
        <v>1</v>
      </c>
      <c r="K346" s="4" t="s">
        <v>184</v>
      </c>
      <c r="L346" s="11">
        <v>66</v>
      </c>
      <c r="M346" s="11">
        <v>66</v>
      </c>
      <c r="N346" s="4" t="s">
        <v>8</v>
      </c>
      <c r="O346" s="5">
        <v>5637364618</v>
      </c>
      <c r="P346" s="11">
        <f>_xll.AtlasFormulas.AtlasFunctions.AtlasBalance("UAT",DataAreaId,"T.MarkupTrans","Sum|Posted|0","","","","","","","MarkupCode|TransRecId|TransTableId","TPP",$O346,"64")</f>
        <v>0</v>
      </c>
    </row>
    <row r="347" spans="1:16" x14ac:dyDescent="0.25">
      <c r="A347" s="4" t="s">
        <v>116</v>
      </c>
      <c r="B347" s="4" t="s">
        <v>239</v>
      </c>
      <c r="C347" s="4" t="s">
        <v>176</v>
      </c>
      <c r="D347" s="4" t="s">
        <v>243</v>
      </c>
      <c r="E347" s="4" t="s">
        <v>58</v>
      </c>
      <c r="F347" s="4" t="s">
        <v>180</v>
      </c>
      <c r="G347" s="4" t="s">
        <v>45</v>
      </c>
      <c r="H347" s="4" t="s">
        <v>151</v>
      </c>
      <c r="I347" s="9">
        <v>42886</v>
      </c>
      <c r="J347" s="11">
        <v>1</v>
      </c>
      <c r="K347" s="4" t="s">
        <v>184</v>
      </c>
      <c r="L347" s="11">
        <v>145</v>
      </c>
      <c r="M347" s="11">
        <v>145</v>
      </c>
      <c r="N347" s="4" t="s">
        <v>8</v>
      </c>
      <c r="O347" s="5">
        <v>5637364691</v>
      </c>
      <c r="P347" s="11">
        <f>_xll.AtlasFormulas.AtlasFunctions.AtlasBalance("UAT",DataAreaId,"T.MarkupTrans","Sum|Posted|0","","","","","","","MarkupCode|TransRecId|TransTableId","TPP",$O347,"64")</f>
        <v>0</v>
      </c>
    </row>
    <row r="348" spans="1:16" x14ac:dyDescent="0.25">
      <c r="A348" s="4" t="s">
        <v>116</v>
      </c>
      <c r="B348" s="4" t="s">
        <v>239</v>
      </c>
      <c r="C348" s="4" t="s">
        <v>176</v>
      </c>
      <c r="D348" s="4" t="s">
        <v>254</v>
      </c>
      <c r="E348" s="4" t="s">
        <v>96</v>
      </c>
      <c r="F348" s="4" t="s">
        <v>180</v>
      </c>
      <c r="G348" s="4" t="s">
        <v>45</v>
      </c>
      <c r="H348" s="4" t="s">
        <v>151</v>
      </c>
      <c r="I348" s="9">
        <v>42916</v>
      </c>
      <c r="J348" s="11">
        <v>1</v>
      </c>
      <c r="K348" s="4" t="s">
        <v>184</v>
      </c>
      <c r="L348" s="11">
        <v>143</v>
      </c>
      <c r="M348" s="11">
        <v>143</v>
      </c>
      <c r="N348" s="4" t="s">
        <v>8</v>
      </c>
      <c r="O348" s="5">
        <v>5637367444</v>
      </c>
      <c r="P348" s="11">
        <f>_xll.AtlasFormulas.AtlasFunctions.AtlasBalance("UAT",DataAreaId,"T.MarkupTrans","Sum|Posted|0","","","","","","","MarkupCode|TransRecId|TransTableId","TPP",$O348,"64")</f>
        <v>0</v>
      </c>
    </row>
    <row r="349" spans="1:16" x14ac:dyDescent="0.25">
      <c r="A349" s="4" t="s">
        <v>116</v>
      </c>
      <c r="B349" s="4" t="s">
        <v>211</v>
      </c>
      <c r="C349" s="4" t="s">
        <v>194</v>
      </c>
      <c r="D349" s="4" t="s">
        <v>275</v>
      </c>
      <c r="E349" s="4" t="s">
        <v>97</v>
      </c>
      <c r="F349" s="4" t="s">
        <v>180</v>
      </c>
      <c r="G349" s="4" t="s">
        <v>45</v>
      </c>
      <c r="H349" s="4" t="s">
        <v>151</v>
      </c>
      <c r="I349" s="9">
        <v>42916</v>
      </c>
      <c r="J349" s="11">
        <v>1</v>
      </c>
      <c r="K349" s="4" t="s">
        <v>184</v>
      </c>
      <c r="L349" s="11">
        <v>65</v>
      </c>
      <c r="M349" s="11">
        <v>65</v>
      </c>
      <c r="N349" s="4" t="s">
        <v>8</v>
      </c>
      <c r="O349" s="5">
        <v>5637367458</v>
      </c>
      <c r="P349" s="11">
        <f>_xll.AtlasFormulas.AtlasFunctions.AtlasBalance("UAT",DataAreaId,"T.MarkupTrans","Sum|Posted|0","","","","","","","MarkupCode|TransRecId|TransTableId","TPP",$O349,"64")</f>
        <v>0</v>
      </c>
    </row>
    <row r="350" spans="1:16" x14ac:dyDescent="0.25">
      <c r="A350" s="4" t="s">
        <v>116</v>
      </c>
      <c r="B350" s="4" t="s">
        <v>224</v>
      </c>
      <c r="C350" s="4" t="s">
        <v>225</v>
      </c>
      <c r="D350" s="4" t="s">
        <v>251</v>
      </c>
      <c r="E350" s="4" t="s">
        <v>93</v>
      </c>
      <c r="F350" s="4" t="s">
        <v>180</v>
      </c>
      <c r="G350" s="4" t="s">
        <v>45</v>
      </c>
      <c r="H350" s="4" t="s">
        <v>151</v>
      </c>
      <c r="I350" s="9">
        <v>42916</v>
      </c>
      <c r="J350" s="11">
        <v>1</v>
      </c>
      <c r="K350" s="4" t="s">
        <v>184</v>
      </c>
      <c r="L350" s="11">
        <v>247</v>
      </c>
      <c r="M350" s="11">
        <v>247</v>
      </c>
      <c r="N350" s="4" t="s">
        <v>8</v>
      </c>
      <c r="O350" s="5">
        <v>5637367358</v>
      </c>
      <c r="P350" s="11">
        <f>_xll.AtlasFormulas.AtlasFunctions.AtlasBalance("UAT",DataAreaId,"T.MarkupTrans","Sum|Posted|0","","","","","","","MarkupCode|TransRecId|TransTableId","TPP",$O350,"64")</f>
        <v>0</v>
      </c>
    </row>
    <row r="351" spans="1:16" x14ac:dyDescent="0.25">
      <c r="A351" s="4" t="s">
        <v>116</v>
      </c>
      <c r="B351" s="4" t="s">
        <v>227</v>
      </c>
      <c r="C351" s="4" t="s">
        <v>203</v>
      </c>
      <c r="D351" s="4" t="s">
        <v>264</v>
      </c>
      <c r="E351" s="4" t="s">
        <v>94</v>
      </c>
      <c r="F351" s="4" t="s">
        <v>180</v>
      </c>
      <c r="G351" s="4" t="s">
        <v>45</v>
      </c>
      <c r="H351" s="4" t="s">
        <v>151</v>
      </c>
      <c r="I351" s="9">
        <v>42916</v>
      </c>
      <c r="J351" s="11">
        <v>1</v>
      </c>
      <c r="K351" s="4" t="s">
        <v>184</v>
      </c>
      <c r="L351" s="11">
        <v>52</v>
      </c>
      <c r="M351" s="11">
        <v>52</v>
      </c>
      <c r="N351" s="4" t="s">
        <v>8</v>
      </c>
      <c r="O351" s="5">
        <v>5637367374</v>
      </c>
      <c r="P351" s="11">
        <f>_xll.AtlasFormulas.AtlasFunctions.AtlasBalance("UAT",DataAreaId,"T.MarkupTrans","Sum|Posted|0","","","","","","","MarkupCode|TransRecId|TransTableId","TPP",$O351,"64")</f>
        <v>0</v>
      </c>
    </row>
    <row r="352" spans="1:16" x14ac:dyDescent="0.25">
      <c r="A352" s="4" t="s">
        <v>116</v>
      </c>
      <c r="B352" s="4" t="s">
        <v>215</v>
      </c>
      <c r="C352" s="4" t="s">
        <v>192</v>
      </c>
      <c r="D352" s="4" t="s">
        <v>253</v>
      </c>
      <c r="E352" s="4" t="s">
        <v>92</v>
      </c>
      <c r="F352" s="4" t="s">
        <v>180</v>
      </c>
      <c r="G352" s="4" t="s">
        <v>45</v>
      </c>
      <c r="H352" s="4" t="s">
        <v>151</v>
      </c>
      <c r="I352" s="9">
        <v>42916</v>
      </c>
      <c r="J352" s="11">
        <v>1</v>
      </c>
      <c r="K352" s="4" t="s">
        <v>184</v>
      </c>
      <c r="L352" s="11">
        <v>234</v>
      </c>
      <c r="M352" s="11">
        <v>234</v>
      </c>
      <c r="N352" s="4" t="s">
        <v>8</v>
      </c>
      <c r="O352" s="5">
        <v>5637367320</v>
      </c>
      <c r="P352" s="11">
        <f>_xll.AtlasFormulas.AtlasFunctions.AtlasBalance("UAT",DataAreaId,"T.MarkupTrans","Sum|Posted|0","","","","","","","MarkupCode|TransRecId|TransTableId","TPP",$O352,"64")</f>
        <v>0</v>
      </c>
    </row>
    <row r="353" spans="1:16" x14ac:dyDescent="0.25">
      <c r="A353" s="4" t="s">
        <v>116</v>
      </c>
      <c r="B353" s="4" t="s">
        <v>175</v>
      </c>
      <c r="C353" s="4" t="s">
        <v>177</v>
      </c>
      <c r="D353" s="4" t="s">
        <v>252</v>
      </c>
      <c r="E353" s="4" t="s">
        <v>95</v>
      </c>
      <c r="F353" s="4" t="s">
        <v>180</v>
      </c>
      <c r="G353" s="4" t="s">
        <v>45</v>
      </c>
      <c r="H353" s="4" t="s">
        <v>151</v>
      </c>
      <c r="I353" s="9">
        <v>42916</v>
      </c>
      <c r="J353" s="11">
        <v>1</v>
      </c>
      <c r="K353" s="4" t="s">
        <v>184</v>
      </c>
      <c r="L353" s="11">
        <v>156</v>
      </c>
      <c r="M353" s="11">
        <v>156</v>
      </c>
      <c r="N353" s="4" t="s">
        <v>8</v>
      </c>
      <c r="O353" s="5">
        <v>5637367406</v>
      </c>
      <c r="P353" s="11">
        <f>_xll.AtlasFormulas.AtlasFunctions.AtlasBalance("UAT",DataAreaId,"T.MarkupTrans","Sum|Posted|0","","","","","","","MarkupCode|TransRecId|TransTableId","TPP",$O353,"64")</f>
        <v>0</v>
      </c>
    </row>
    <row r="354" spans="1:16" x14ac:dyDescent="0.25">
      <c r="A354" s="4" t="s">
        <v>116</v>
      </c>
      <c r="B354" s="4" t="s">
        <v>213</v>
      </c>
      <c r="C354" s="4" t="s">
        <v>178</v>
      </c>
      <c r="D354" s="4" t="s">
        <v>250</v>
      </c>
      <c r="E354" s="4" t="s">
        <v>90</v>
      </c>
      <c r="F354" s="4" t="s">
        <v>180</v>
      </c>
      <c r="G354" s="4" t="s">
        <v>45</v>
      </c>
      <c r="H354" s="4" t="s">
        <v>151</v>
      </c>
      <c r="I354" s="9">
        <v>42916</v>
      </c>
      <c r="J354" s="11">
        <v>1</v>
      </c>
      <c r="K354" s="4" t="s">
        <v>184</v>
      </c>
      <c r="L354" s="11">
        <v>104</v>
      </c>
      <c r="M354" s="11">
        <v>104</v>
      </c>
      <c r="N354" s="4" t="s">
        <v>8</v>
      </c>
      <c r="O354" s="5">
        <v>5637367252</v>
      </c>
      <c r="P354" s="11">
        <f>_xll.AtlasFormulas.AtlasFunctions.AtlasBalance("UAT",DataAreaId,"T.MarkupTrans","Sum|Posted|0","","","","","","","MarkupCode|TransRecId|TransTableId","TPP",$O354,"64")</f>
        <v>0</v>
      </c>
    </row>
    <row r="355" spans="1:16" x14ac:dyDescent="0.25">
      <c r="A355" s="4" t="s">
        <v>116</v>
      </c>
      <c r="B355" s="4" t="s">
        <v>213</v>
      </c>
      <c r="C355" s="4" t="s">
        <v>178</v>
      </c>
      <c r="D355" s="4" t="s">
        <v>260</v>
      </c>
      <c r="E355" s="4" t="s">
        <v>105</v>
      </c>
      <c r="F355" s="4" t="s">
        <v>180</v>
      </c>
      <c r="G355" s="4" t="s">
        <v>45</v>
      </c>
      <c r="H355" s="4" t="s">
        <v>151</v>
      </c>
      <c r="I355" s="9">
        <v>42947</v>
      </c>
      <c r="J355" s="11">
        <v>1</v>
      </c>
      <c r="K355" s="4" t="s">
        <v>184</v>
      </c>
      <c r="L355" s="11">
        <v>80</v>
      </c>
      <c r="M355" s="11">
        <v>80</v>
      </c>
      <c r="N355" s="4" t="s">
        <v>8</v>
      </c>
      <c r="O355" s="5">
        <v>5637370314</v>
      </c>
      <c r="P355" s="11">
        <f>_xll.AtlasFormulas.AtlasFunctions.AtlasBalance("UAT",DataAreaId,"T.MarkupTrans","Sum|Posted|0","","","","","","","MarkupCode|TransRecId|TransTableId","TPP",$O355,"64")</f>
        <v>0</v>
      </c>
    </row>
    <row r="356" spans="1:16" x14ac:dyDescent="0.25">
      <c r="A356" s="4" t="s">
        <v>116</v>
      </c>
      <c r="B356" s="4" t="s">
        <v>175</v>
      </c>
      <c r="C356" s="4" t="s">
        <v>177</v>
      </c>
      <c r="D356" s="4" t="s">
        <v>256</v>
      </c>
      <c r="E356" s="4" t="s">
        <v>112</v>
      </c>
      <c r="F356" s="4" t="s">
        <v>180</v>
      </c>
      <c r="G356" s="4" t="s">
        <v>45</v>
      </c>
      <c r="H356" s="4" t="s">
        <v>151</v>
      </c>
      <c r="I356" s="9">
        <v>42947</v>
      </c>
      <c r="J356" s="11">
        <v>1</v>
      </c>
      <c r="K356" s="4" t="s">
        <v>184</v>
      </c>
      <c r="L356" s="11">
        <v>119</v>
      </c>
      <c r="M356" s="11">
        <v>119</v>
      </c>
      <c r="N356" s="4" t="s">
        <v>8</v>
      </c>
      <c r="O356" s="5">
        <v>5637370793</v>
      </c>
      <c r="P356" s="11">
        <f>_xll.AtlasFormulas.AtlasFunctions.AtlasBalance("UAT",DataAreaId,"T.MarkupTrans","Sum|Posted|0","","","","","","","MarkupCode|TransRecId|TransTableId","TPP",$O356,"64")</f>
        <v>0</v>
      </c>
    </row>
    <row r="357" spans="1:16" x14ac:dyDescent="0.25">
      <c r="A357" s="4" t="s">
        <v>116</v>
      </c>
      <c r="B357" s="4" t="s">
        <v>215</v>
      </c>
      <c r="C357" s="4" t="s">
        <v>192</v>
      </c>
      <c r="D357" s="4" t="s">
        <v>259</v>
      </c>
      <c r="E357" s="4" t="s">
        <v>109</v>
      </c>
      <c r="F357" s="4" t="s">
        <v>180</v>
      </c>
      <c r="G357" s="4" t="s">
        <v>45</v>
      </c>
      <c r="H357" s="4" t="s">
        <v>151</v>
      </c>
      <c r="I357" s="9">
        <v>42947</v>
      </c>
      <c r="J357" s="11">
        <v>1</v>
      </c>
      <c r="K357" s="4" t="s">
        <v>184</v>
      </c>
      <c r="L357" s="11">
        <v>179</v>
      </c>
      <c r="M357" s="11">
        <v>179</v>
      </c>
      <c r="N357" s="4" t="s">
        <v>8</v>
      </c>
      <c r="O357" s="5">
        <v>5637370449</v>
      </c>
      <c r="P357" s="11">
        <f>_xll.AtlasFormulas.AtlasFunctions.AtlasBalance("UAT",DataAreaId,"T.MarkupTrans","Sum|Posted|0","","","","","","","MarkupCode|TransRecId|TransTableId","TPP",$O357,"64")</f>
        <v>0</v>
      </c>
    </row>
    <row r="358" spans="1:16" x14ac:dyDescent="0.25">
      <c r="A358" s="4" t="s">
        <v>116</v>
      </c>
      <c r="B358" s="4" t="s">
        <v>227</v>
      </c>
      <c r="C358" s="4" t="s">
        <v>203</v>
      </c>
      <c r="D358" s="4" t="s">
        <v>265</v>
      </c>
      <c r="E358" s="4" t="s">
        <v>108</v>
      </c>
      <c r="F358" s="4" t="s">
        <v>180</v>
      </c>
      <c r="G358" s="4" t="s">
        <v>45</v>
      </c>
      <c r="H358" s="4" t="s">
        <v>151</v>
      </c>
      <c r="I358" s="9">
        <v>42947</v>
      </c>
      <c r="J358" s="11">
        <v>1</v>
      </c>
      <c r="K358" s="4" t="s">
        <v>184</v>
      </c>
      <c r="L358" s="11">
        <v>39</v>
      </c>
      <c r="M358" s="11">
        <v>39</v>
      </c>
      <c r="N358" s="4" t="s">
        <v>8</v>
      </c>
      <c r="O358" s="5">
        <v>5637370417</v>
      </c>
      <c r="P358" s="11">
        <f>_xll.AtlasFormulas.AtlasFunctions.AtlasBalance("UAT",DataAreaId,"T.MarkupTrans","Sum|Posted|0","","","","","","","MarkupCode|TransRecId|TransTableId","TPP",$O358,"64")</f>
        <v>0</v>
      </c>
    </row>
    <row r="359" spans="1:16" x14ac:dyDescent="0.25">
      <c r="A359" s="4" t="s">
        <v>116</v>
      </c>
      <c r="B359" s="4" t="s">
        <v>224</v>
      </c>
      <c r="C359" s="4" t="s">
        <v>225</v>
      </c>
      <c r="D359" s="4" t="s">
        <v>258</v>
      </c>
      <c r="E359" s="4" t="s">
        <v>107</v>
      </c>
      <c r="F359" s="4" t="s">
        <v>180</v>
      </c>
      <c r="G359" s="4" t="s">
        <v>45</v>
      </c>
      <c r="H359" s="4" t="s">
        <v>151</v>
      </c>
      <c r="I359" s="9">
        <v>42947</v>
      </c>
      <c r="J359" s="11">
        <v>1</v>
      </c>
      <c r="K359" s="4" t="s">
        <v>184</v>
      </c>
      <c r="L359" s="11">
        <v>189</v>
      </c>
      <c r="M359" s="11">
        <v>189</v>
      </c>
      <c r="N359" s="4" t="s">
        <v>8</v>
      </c>
      <c r="O359" s="5">
        <v>5637370401</v>
      </c>
      <c r="P359" s="11">
        <f>_xll.AtlasFormulas.AtlasFunctions.AtlasBalance("UAT",DataAreaId,"T.MarkupTrans","Sum|Posted|0","","","","","","","MarkupCode|TransRecId|TransTableId","TPP",$O359,"64")</f>
        <v>0</v>
      </c>
    </row>
    <row r="360" spans="1:16" x14ac:dyDescent="0.25">
      <c r="A360" s="4" t="s">
        <v>116</v>
      </c>
      <c r="B360" s="4" t="s">
        <v>211</v>
      </c>
      <c r="C360" s="4" t="s">
        <v>194</v>
      </c>
      <c r="D360" s="4" t="s">
        <v>269</v>
      </c>
      <c r="E360" s="4" t="s">
        <v>110</v>
      </c>
      <c r="F360" s="4" t="s">
        <v>180</v>
      </c>
      <c r="G360" s="4" t="s">
        <v>45</v>
      </c>
      <c r="H360" s="4" t="s">
        <v>151</v>
      </c>
      <c r="I360" s="9">
        <v>42947</v>
      </c>
      <c r="J360" s="11">
        <v>1</v>
      </c>
      <c r="K360" s="4" t="s">
        <v>184</v>
      </c>
      <c r="L360" s="11">
        <v>50</v>
      </c>
      <c r="M360" s="11">
        <v>50</v>
      </c>
      <c r="N360" s="4" t="s">
        <v>8</v>
      </c>
      <c r="O360" s="5">
        <v>5637370465</v>
      </c>
      <c r="P360" s="11">
        <f>_xll.AtlasFormulas.AtlasFunctions.AtlasBalance("UAT",DataAreaId,"T.MarkupTrans","Sum|Posted|0","","","","","","","MarkupCode|TransRecId|TransTableId","TPP",$O360,"64")</f>
        <v>0</v>
      </c>
    </row>
    <row r="361" spans="1:16" x14ac:dyDescent="0.25">
      <c r="A361" s="4" t="s">
        <v>116</v>
      </c>
      <c r="B361" s="4" t="s">
        <v>239</v>
      </c>
      <c r="C361" s="4" t="s">
        <v>176</v>
      </c>
      <c r="D361" s="4" t="s">
        <v>255</v>
      </c>
      <c r="E361" s="4" t="s">
        <v>111</v>
      </c>
      <c r="F361" s="4" t="s">
        <v>180</v>
      </c>
      <c r="G361" s="4" t="s">
        <v>45</v>
      </c>
      <c r="H361" s="4" t="s">
        <v>151</v>
      </c>
      <c r="I361" s="9">
        <v>42947</v>
      </c>
      <c r="J361" s="11">
        <v>1</v>
      </c>
      <c r="K361" s="4" t="s">
        <v>184</v>
      </c>
      <c r="L361" s="11">
        <v>109</v>
      </c>
      <c r="M361" s="11">
        <v>109</v>
      </c>
      <c r="N361" s="4" t="s">
        <v>8</v>
      </c>
      <c r="O361" s="5">
        <v>5637370747</v>
      </c>
      <c r="P361" s="11">
        <f>_xll.AtlasFormulas.AtlasFunctions.AtlasBalance("UAT",DataAreaId,"T.MarkupTrans","Sum|Posted|0","","","","","","","MarkupCode|TransRecId|TransTableId","TPP",$O361,"64")</f>
        <v>0</v>
      </c>
    </row>
    <row r="362" spans="1:16" x14ac:dyDescent="0.25">
      <c r="A362" s="4" t="s">
        <v>116</v>
      </c>
      <c r="B362" s="4" t="s">
        <v>239</v>
      </c>
      <c r="C362" s="4" t="s">
        <v>176</v>
      </c>
      <c r="D362" s="4" t="s">
        <v>243</v>
      </c>
      <c r="E362" s="4" t="s">
        <v>58</v>
      </c>
      <c r="F362" s="4" t="s">
        <v>180</v>
      </c>
      <c r="G362" s="4" t="s">
        <v>46</v>
      </c>
      <c r="H362" s="4" t="s">
        <v>152</v>
      </c>
      <c r="I362" s="9">
        <v>42886</v>
      </c>
      <c r="J362" s="11">
        <v>1</v>
      </c>
      <c r="K362" s="4" t="s">
        <v>184</v>
      </c>
      <c r="L362" s="11">
        <v>273</v>
      </c>
      <c r="M362" s="11">
        <v>273</v>
      </c>
      <c r="N362" s="4" t="s">
        <v>8</v>
      </c>
      <c r="O362" s="5">
        <v>5637364692</v>
      </c>
      <c r="P362" s="11">
        <f>_xll.AtlasFormulas.AtlasFunctions.AtlasBalance("UAT",DataAreaId,"T.MarkupTrans","Sum|Posted|0","","","","","","","MarkupCode|TransRecId|TransTableId","TPP",$O362,"64")</f>
        <v>0</v>
      </c>
    </row>
    <row r="363" spans="1:16" x14ac:dyDescent="0.25">
      <c r="A363" s="4" t="s">
        <v>116</v>
      </c>
      <c r="B363" s="4" t="s">
        <v>211</v>
      </c>
      <c r="C363" s="4" t="s">
        <v>194</v>
      </c>
      <c r="D363" s="4" t="s">
        <v>268</v>
      </c>
      <c r="E363" s="4" t="s">
        <v>56</v>
      </c>
      <c r="F363" s="4" t="s">
        <v>180</v>
      </c>
      <c r="G363" s="4" t="s">
        <v>46</v>
      </c>
      <c r="H363" s="4" t="s">
        <v>152</v>
      </c>
      <c r="I363" s="9">
        <v>42886</v>
      </c>
      <c r="J363" s="11">
        <v>1</v>
      </c>
      <c r="K363" s="4" t="s">
        <v>184</v>
      </c>
      <c r="L363" s="11">
        <v>124</v>
      </c>
      <c r="M363" s="11">
        <v>124</v>
      </c>
      <c r="N363" s="4" t="s">
        <v>8</v>
      </c>
      <c r="O363" s="5">
        <v>5637364619</v>
      </c>
      <c r="P363" s="11">
        <f>_xll.AtlasFormulas.AtlasFunctions.AtlasBalance("UAT",DataAreaId,"T.MarkupTrans","Sum|Posted|0","","","","","","","MarkupCode|TransRecId|TransTableId","TPP",$O363,"64")</f>
        <v>0</v>
      </c>
    </row>
    <row r="364" spans="1:16" x14ac:dyDescent="0.25">
      <c r="A364" s="4" t="s">
        <v>116</v>
      </c>
      <c r="B364" s="4" t="s">
        <v>224</v>
      </c>
      <c r="C364" s="4" t="s">
        <v>225</v>
      </c>
      <c r="D364" s="4" t="s">
        <v>247</v>
      </c>
      <c r="E364" s="4" t="s">
        <v>59</v>
      </c>
      <c r="F364" s="4" t="s">
        <v>180</v>
      </c>
      <c r="G364" s="4" t="s">
        <v>46</v>
      </c>
      <c r="H364" s="4" t="s">
        <v>152</v>
      </c>
      <c r="I364" s="9">
        <v>42886</v>
      </c>
      <c r="J364" s="11">
        <v>1</v>
      </c>
      <c r="K364" s="4" t="s">
        <v>184</v>
      </c>
      <c r="L364" s="11">
        <v>471</v>
      </c>
      <c r="M364" s="11">
        <v>471</v>
      </c>
      <c r="N364" s="4" t="s">
        <v>8</v>
      </c>
      <c r="O364" s="5">
        <v>5637364730</v>
      </c>
      <c r="P364" s="11">
        <f>_xll.AtlasFormulas.AtlasFunctions.AtlasBalance("UAT",DataAreaId,"T.MarkupTrans","Sum|Posted|0","","","","","","","MarkupCode|TransRecId|TransTableId","TPP",$O364,"64")</f>
        <v>0</v>
      </c>
    </row>
    <row r="365" spans="1:16" x14ac:dyDescent="0.25">
      <c r="A365" s="4" t="s">
        <v>116</v>
      </c>
      <c r="B365" s="4" t="s">
        <v>227</v>
      </c>
      <c r="C365" s="4" t="s">
        <v>203</v>
      </c>
      <c r="D365" s="4" t="s">
        <v>274</v>
      </c>
      <c r="E365" s="4" t="s">
        <v>60</v>
      </c>
      <c r="F365" s="4" t="s">
        <v>180</v>
      </c>
      <c r="G365" s="4" t="s">
        <v>46</v>
      </c>
      <c r="H365" s="4" t="s">
        <v>152</v>
      </c>
      <c r="I365" s="9">
        <v>42886</v>
      </c>
      <c r="J365" s="11">
        <v>1</v>
      </c>
      <c r="K365" s="4" t="s">
        <v>184</v>
      </c>
      <c r="L365" s="11">
        <v>99</v>
      </c>
      <c r="M365" s="11">
        <v>99</v>
      </c>
      <c r="N365" s="4" t="s">
        <v>8</v>
      </c>
      <c r="O365" s="5">
        <v>5637364744</v>
      </c>
      <c r="P365" s="11">
        <f>_xll.AtlasFormulas.AtlasFunctions.AtlasBalance("UAT",DataAreaId,"T.MarkupTrans","Sum|Posted|0","","","","","","","MarkupCode|TransRecId|TransTableId","TPP",$O365,"64")</f>
        <v>0</v>
      </c>
    </row>
    <row r="366" spans="1:16" x14ac:dyDescent="0.25">
      <c r="A366" s="4" t="s">
        <v>116</v>
      </c>
      <c r="B366" s="4" t="s">
        <v>215</v>
      </c>
      <c r="C366" s="4" t="s">
        <v>192</v>
      </c>
      <c r="D366" s="4" t="s">
        <v>242</v>
      </c>
      <c r="E366" s="4" t="s">
        <v>55</v>
      </c>
      <c r="F366" s="4" t="s">
        <v>180</v>
      </c>
      <c r="G366" s="4" t="s">
        <v>46</v>
      </c>
      <c r="H366" s="4" t="s">
        <v>152</v>
      </c>
      <c r="I366" s="9">
        <v>42886</v>
      </c>
      <c r="J366" s="11">
        <v>1</v>
      </c>
      <c r="K366" s="4" t="s">
        <v>184</v>
      </c>
      <c r="L366" s="11">
        <v>446</v>
      </c>
      <c r="M366" s="11">
        <v>446</v>
      </c>
      <c r="N366" s="4" t="s">
        <v>8</v>
      </c>
      <c r="O366" s="5">
        <v>5637364603</v>
      </c>
      <c r="P366" s="11">
        <f>_xll.AtlasFormulas.AtlasFunctions.AtlasBalance("UAT",DataAreaId,"T.MarkupTrans","Sum|Posted|0","","","","","","","MarkupCode|TransRecId|TransTableId","TPP",$O366,"64")</f>
        <v>0</v>
      </c>
    </row>
    <row r="367" spans="1:16" x14ac:dyDescent="0.25">
      <c r="A367" s="4" t="s">
        <v>116</v>
      </c>
      <c r="B367" s="4" t="s">
        <v>175</v>
      </c>
      <c r="C367" s="4" t="s">
        <v>177</v>
      </c>
      <c r="D367" s="4" t="s">
        <v>246</v>
      </c>
      <c r="E367" s="4" t="s">
        <v>57</v>
      </c>
      <c r="F367" s="4" t="s">
        <v>180</v>
      </c>
      <c r="G367" s="4" t="s">
        <v>46</v>
      </c>
      <c r="H367" s="4" t="s">
        <v>152</v>
      </c>
      <c r="I367" s="9">
        <v>42886</v>
      </c>
      <c r="J367" s="11">
        <v>1</v>
      </c>
      <c r="K367" s="4" t="s">
        <v>184</v>
      </c>
      <c r="L367" s="11">
        <v>298</v>
      </c>
      <c r="M367" s="11">
        <v>298</v>
      </c>
      <c r="N367" s="4" t="s">
        <v>8</v>
      </c>
      <c r="O367" s="5">
        <v>5637364654</v>
      </c>
      <c r="P367" s="11">
        <f>_xll.AtlasFormulas.AtlasFunctions.AtlasBalance("UAT",DataAreaId,"T.MarkupTrans","Sum|Posted|0","","","","","","","MarkupCode|TransRecId|TransTableId","TPP",$O367,"64")</f>
        <v>0</v>
      </c>
    </row>
    <row r="368" spans="1:16" x14ac:dyDescent="0.25">
      <c r="A368" s="4" t="s">
        <v>116</v>
      </c>
      <c r="B368" s="4" t="s">
        <v>213</v>
      </c>
      <c r="C368" s="4" t="s">
        <v>178</v>
      </c>
      <c r="D368" s="4" t="s">
        <v>248</v>
      </c>
      <c r="E368" s="4" t="s">
        <v>62</v>
      </c>
      <c r="F368" s="4" t="s">
        <v>180</v>
      </c>
      <c r="G368" s="4" t="s">
        <v>46</v>
      </c>
      <c r="H368" s="4" t="s">
        <v>152</v>
      </c>
      <c r="I368" s="9">
        <v>42886</v>
      </c>
      <c r="J368" s="11">
        <v>1</v>
      </c>
      <c r="K368" s="4" t="s">
        <v>184</v>
      </c>
      <c r="L368" s="11">
        <v>198</v>
      </c>
      <c r="M368" s="11">
        <v>198</v>
      </c>
      <c r="N368" s="4" t="s">
        <v>8</v>
      </c>
      <c r="O368" s="5">
        <v>5637364806</v>
      </c>
      <c r="P368" s="11">
        <f>_xll.AtlasFormulas.AtlasFunctions.AtlasBalance("UAT",DataAreaId,"T.MarkupTrans","Sum|Posted|0","","","","","","","MarkupCode|TransRecId|TransTableId","TPP",$O368,"64")</f>
        <v>0</v>
      </c>
    </row>
    <row r="369" spans="1:16" x14ac:dyDescent="0.25">
      <c r="A369" s="4" t="s">
        <v>116</v>
      </c>
      <c r="B369" s="4" t="s">
        <v>213</v>
      </c>
      <c r="C369" s="4" t="s">
        <v>178</v>
      </c>
      <c r="D369" s="4" t="s">
        <v>250</v>
      </c>
      <c r="E369" s="4" t="s">
        <v>90</v>
      </c>
      <c r="F369" s="4" t="s">
        <v>180</v>
      </c>
      <c r="G369" s="4" t="s">
        <v>46</v>
      </c>
      <c r="H369" s="4" t="s">
        <v>152</v>
      </c>
      <c r="I369" s="9">
        <v>42916</v>
      </c>
      <c r="J369" s="11">
        <v>1</v>
      </c>
      <c r="K369" s="4" t="s">
        <v>184</v>
      </c>
      <c r="L369" s="11">
        <v>1977</v>
      </c>
      <c r="M369" s="11">
        <v>1977</v>
      </c>
      <c r="N369" s="4" t="s">
        <v>8</v>
      </c>
      <c r="O369" s="5">
        <v>5637367253</v>
      </c>
      <c r="P369" s="11">
        <f>_xll.AtlasFormulas.AtlasFunctions.AtlasBalance("UAT",DataAreaId,"T.MarkupTrans","Sum|Posted|0","","","","","","","MarkupCode|TransRecId|TransTableId","TPP",$O369,"64")</f>
        <v>0</v>
      </c>
    </row>
    <row r="370" spans="1:16" x14ac:dyDescent="0.25">
      <c r="A370" s="4" t="s">
        <v>116</v>
      </c>
      <c r="B370" s="4" t="s">
        <v>175</v>
      </c>
      <c r="C370" s="4" t="s">
        <v>177</v>
      </c>
      <c r="D370" s="4" t="s">
        <v>252</v>
      </c>
      <c r="E370" s="4" t="s">
        <v>95</v>
      </c>
      <c r="F370" s="4" t="s">
        <v>180</v>
      </c>
      <c r="G370" s="4" t="s">
        <v>46</v>
      </c>
      <c r="H370" s="4" t="s">
        <v>152</v>
      </c>
      <c r="I370" s="9">
        <v>42916</v>
      </c>
      <c r="J370" s="11">
        <v>1</v>
      </c>
      <c r="K370" s="4" t="s">
        <v>184</v>
      </c>
      <c r="L370" s="11">
        <v>2965</v>
      </c>
      <c r="M370" s="11">
        <v>2965</v>
      </c>
      <c r="N370" s="4" t="s">
        <v>8</v>
      </c>
      <c r="O370" s="5">
        <v>5637367407</v>
      </c>
      <c r="P370" s="11">
        <f>_xll.AtlasFormulas.AtlasFunctions.AtlasBalance("UAT",DataAreaId,"T.MarkupTrans","Sum|Posted|0","","","","","","","MarkupCode|TransRecId|TransTableId","TPP",$O370,"64")</f>
        <v>0</v>
      </c>
    </row>
    <row r="371" spans="1:16" x14ac:dyDescent="0.25">
      <c r="A371" s="4" t="s">
        <v>116</v>
      </c>
      <c r="B371" s="4" t="s">
        <v>215</v>
      </c>
      <c r="C371" s="4" t="s">
        <v>192</v>
      </c>
      <c r="D371" s="4" t="s">
        <v>253</v>
      </c>
      <c r="E371" s="4" t="s">
        <v>92</v>
      </c>
      <c r="F371" s="4" t="s">
        <v>180</v>
      </c>
      <c r="G371" s="4" t="s">
        <v>46</v>
      </c>
      <c r="H371" s="4" t="s">
        <v>152</v>
      </c>
      <c r="I371" s="9">
        <v>42916</v>
      </c>
      <c r="J371" s="11">
        <v>1</v>
      </c>
      <c r="K371" s="4" t="s">
        <v>184</v>
      </c>
      <c r="L371" s="11">
        <v>4448</v>
      </c>
      <c r="M371" s="11">
        <v>4448</v>
      </c>
      <c r="N371" s="4" t="s">
        <v>8</v>
      </c>
      <c r="O371" s="5">
        <v>5637367321</v>
      </c>
      <c r="P371" s="11">
        <f>_xll.AtlasFormulas.AtlasFunctions.AtlasBalance("UAT",DataAreaId,"T.MarkupTrans","Sum|Posted|0","","","","","","","MarkupCode|TransRecId|TransTableId","TPP",$O371,"64")</f>
        <v>0</v>
      </c>
    </row>
    <row r="372" spans="1:16" x14ac:dyDescent="0.25">
      <c r="A372" s="4" t="s">
        <v>116</v>
      </c>
      <c r="B372" s="4" t="s">
        <v>227</v>
      </c>
      <c r="C372" s="4" t="s">
        <v>203</v>
      </c>
      <c r="D372" s="4" t="s">
        <v>264</v>
      </c>
      <c r="E372" s="4" t="s">
        <v>94</v>
      </c>
      <c r="F372" s="4" t="s">
        <v>180</v>
      </c>
      <c r="G372" s="4" t="s">
        <v>46</v>
      </c>
      <c r="H372" s="4" t="s">
        <v>152</v>
      </c>
      <c r="I372" s="9">
        <v>42916</v>
      </c>
      <c r="J372" s="11">
        <v>1</v>
      </c>
      <c r="K372" s="4" t="s">
        <v>184</v>
      </c>
      <c r="L372" s="11">
        <v>989</v>
      </c>
      <c r="M372" s="11">
        <v>989</v>
      </c>
      <c r="N372" s="4" t="s">
        <v>8</v>
      </c>
      <c r="O372" s="5">
        <v>5637367375</v>
      </c>
      <c r="P372" s="11">
        <f>_xll.AtlasFormulas.AtlasFunctions.AtlasBalance("UAT",DataAreaId,"T.MarkupTrans","Sum|Posted|0","","","","","","","MarkupCode|TransRecId|TransTableId","TPP",$O372,"64")</f>
        <v>0</v>
      </c>
    </row>
    <row r="373" spans="1:16" x14ac:dyDescent="0.25">
      <c r="A373" s="4" t="s">
        <v>116</v>
      </c>
      <c r="B373" s="4" t="s">
        <v>224</v>
      </c>
      <c r="C373" s="4" t="s">
        <v>225</v>
      </c>
      <c r="D373" s="4" t="s">
        <v>251</v>
      </c>
      <c r="E373" s="4" t="s">
        <v>93</v>
      </c>
      <c r="F373" s="4" t="s">
        <v>180</v>
      </c>
      <c r="G373" s="4" t="s">
        <v>46</v>
      </c>
      <c r="H373" s="4" t="s">
        <v>152</v>
      </c>
      <c r="I373" s="9">
        <v>42916</v>
      </c>
      <c r="J373" s="11">
        <v>1</v>
      </c>
      <c r="K373" s="4" t="s">
        <v>184</v>
      </c>
      <c r="L373" s="11">
        <v>4695</v>
      </c>
      <c r="M373" s="11">
        <v>4695</v>
      </c>
      <c r="N373" s="4" t="s">
        <v>8</v>
      </c>
      <c r="O373" s="5">
        <v>5637367359</v>
      </c>
      <c r="P373" s="11">
        <f>_xll.AtlasFormulas.AtlasFunctions.AtlasBalance("UAT",DataAreaId,"T.MarkupTrans","Sum|Posted|0","","","","","","","MarkupCode|TransRecId|TransTableId","TPP",$O373,"64")</f>
        <v>0</v>
      </c>
    </row>
    <row r="374" spans="1:16" x14ac:dyDescent="0.25">
      <c r="A374" s="4" t="s">
        <v>116</v>
      </c>
      <c r="B374" s="4" t="s">
        <v>211</v>
      </c>
      <c r="C374" s="4" t="s">
        <v>194</v>
      </c>
      <c r="D374" s="4" t="s">
        <v>275</v>
      </c>
      <c r="E374" s="4" t="s">
        <v>97</v>
      </c>
      <c r="F374" s="4" t="s">
        <v>180</v>
      </c>
      <c r="G374" s="4" t="s">
        <v>46</v>
      </c>
      <c r="H374" s="4" t="s">
        <v>152</v>
      </c>
      <c r="I374" s="9">
        <v>42916</v>
      </c>
      <c r="J374" s="11">
        <v>1</v>
      </c>
      <c r="K374" s="4" t="s">
        <v>184</v>
      </c>
      <c r="L374" s="11">
        <v>1235</v>
      </c>
      <c r="M374" s="11">
        <v>1235</v>
      </c>
      <c r="N374" s="4" t="s">
        <v>8</v>
      </c>
      <c r="O374" s="5">
        <v>5637367459</v>
      </c>
      <c r="P374" s="11">
        <f>_xll.AtlasFormulas.AtlasFunctions.AtlasBalance("UAT",DataAreaId,"T.MarkupTrans","Sum|Posted|0","","","","","","","MarkupCode|TransRecId|TransTableId","TPP",$O374,"64")</f>
        <v>0</v>
      </c>
    </row>
    <row r="375" spans="1:16" x14ac:dyDescent="0.25">
      <c r="A375" s="4" t="s">
        <v>116</v>
      </c>
      <c r="B375" s="4" t="s">
        <v>239</v>
      </c>
      <c r="C375" s="4" t="s">
        <v>176</v>
      </c>
      <c r="D375" s="4" t="s">
        <v>254</v>
      </c>
      <c r="E375" s="4" t="s">
        <v>96</v>
      </c>
      <c r="F375" s="4" t="s">
        <v>180</v>
      </c>
      <c r="G375" s="4" t="s">
        <v>46</v>
      </c>
      <c r="H375" s="4" t="s">
        <v>152</v>
      </c>
      <c r="I375" s="9">
        <v>42916</v>
      </c>
      <c r="J375" s="11">
        <v>1</v>
      </c>
      <c r="K375" s="4" t="s">
        <v>184</v>
      </c>
      <c r="L375" s="11">
        <v>2718</v>
      </c>
      <c r="M375" s="11">
        <v>2718</v>
      </c>
      <c r="N375" s="4" t="s">
        <v>8</v>
      </c>
      <c r="O375" s="5">
        <v>5637367445</v>
      </c>
      <c r="P375" s="11">
        <f>_xll.AtlasFormulas.AtlasFunctions.AtlasBalance("UAT",DataAreaId,"T.MarkupTrans","Sum|Posted|0","","","","","","","MarkupCode|TransRecId|TransTableId","TPP",$O375,"64")</f>
        <v>0</v>
      </c>
    </row>
    <row r="376" spans="1:16" x14ac:dyDescent="0.25">
      <c r="A376" s="4" t="s">
        <v>116</v>
      </c>
      <c r="B376" s="4" t="s">
        <v>239</v>
      </c>
      <c r="C376" s="4" t="s">
        <v>176</v>
      </c>
      <c r="D376" s="4" t="s">
        <v>255</v>
      </c>
      <c r="E376" s="4" t="s">
        <v>111</v>
      </c>
      <c r="F376" s="4" t="s">
        <v>180</v>
      </c>
      <c r="G376" s="4" t="s">
        <v>46</v>
      </c>
      <c r="H376" s="4" t="s">
        <v>152</v>
      </c>
      <c r="I376" s="9">
        <v>42947</v>
      </c>
      <c r="J376" s="11">
        <v>-1</v>
      </c>
      <c r="K376" s="4" t="s">
        <v>184</v>
      </c>
      <c r="L376" s="11">
        <v>200</v>
      </c>
      <c r="M376" s="11">
        <v>-200</v>
      </c>
      <c r="N376" s="4" t="s">
        <v>8</v>
      </c>
      <c r="O376" s="5">
        <v>5637370748</v>
      </c>
      <c r="P376" s="11">
        <f>_xll.AtlasFormulas.AtlasFunctions.AtlasBalance("UAT",DataAreaId,"T.MarkupTrans","Sum|Posted|0","","","","","","","MarkupCode|TransRecId|TransTableId","TPP",$O376,"64")</f>
        <v>0</v>
      </c>
    </row>
    <row r="377" spans="1:16" x14ac:dyDescent="0.25">
      <c r="A377" s="4" t="s">
        <v>116</v>
      </c>
      <c r="B377" s="4" t="s">
        <v>211</v>
      </c>
      <c r="C377" s="4" t="s">
        <v>194</v>
      </c>
      <c r="D377" s="4" t="s">
        <v>269</v>
      </c>
      <c r="E377" s="4" t="s">
        <v>110</v>
      </c>
      <c r="F377" s="4" t="s">
        <v>180</v>
      </c>
      <c r="G377" s="4" t="s">
        <v>46</v>
      </c>
      <c r="H377" s="4" t="s">
        <v>152</v>
      </c>
      <c r="I377" s="9">
        <v>42947</v>
      </c>
      <c r="J377" s="11">
        <v>-1</v>
      </c>
      <c r="K377" s="4" t="s">
        <v>184</v>
      </c>
      <c r="L377" s="11">
        <v>90</v>
      </c>
      <c r="M377" s="11">
        <v>-90</v>
      </c>
      <c r="N377" s="4" t="s">
        <v>8</v>
      </c>
      <c r="O377" s="5">
        <v>5637370466</v>
      </c>
      <c r="P377" s="11">
        <f>_xll.AtlasFormulas.AtlasFunctions.AtlasBalance("UAT",DataAreaId,"T.MarkupTrans","Sum|Posted|0","","","","","","","MarkupCode|TransRecId|TransTableId","TPP",$O377,"64")</f>
        <v>0</v>
      </c>
    </row>
    <row r="378" spans="1:16" x14ac:dyDescent="0.25">
      <c r="A378" s="4" t="s">
        <v>116</v>
      </c>
      <c r="B378" s="4" t="s">
        <v>224</v>
      </c>
      <c r="C378" s="4" t="s">
        <v>225</v>
      </c>
      <c r="D378" s="4" t="s">
        <v>258</v>
      </c>
      <c r="E378" s="4" t="s">
        <v>107</v>
      </c>
      <c r="F378" s="4" t="s">
        <v>180</v>
      </c>
      <c r="G378" s="4" t="s">
        <v>46</v>
      </c>
      <c r="H378" s="4" t="s">
        <v>152</v>
      </c>
      <c r="I378" s="9">
        <v>42947</v>
      </c>
      <c r="J378" s="11">
        <v>-1</v>
      </c>
      <c r="K378" s="4" t="s">
        <v>184</v>
      </c>
      <c r="L378" s="11">
        <v>346</v>
      </c>
      <c r="M378" s="11">
        <v>-346</v>
      </c>
      <c r="N378" s="4" t="s">
        <v>8</v>
      </c>
      <c r="O378" s="5">
        <v>5637370402</v>
      </c>
      <c r="P378" s="11">
        <f>_xll.AtlasFormulas.AtlasFunctions.AtlasBalance("UAT",DataAreaId,"T.MarkupTrans","Sum|Posted|0","","","","","","","MarkupCode|TransRecId|TransTableId","TPP",$O378,"64")</f>
        <v>0</v>
      </c>
    </row>
    <row r="379" spans="1:16" x14ac:dyDescent="0.25">
      <c r="A379" s="4" t="s">
        <v>116</v>
      </c>
      <c r="B379" s="4" t="s">
        <v>215</v>
      </c>
      <c r="C379" s="4" t="s">
        <v>192</v>
      </c>
      <c r="D379" s="4" t="s">
        <v>259</v>
      </c>
      <c r="E379" s="4" t="s">
        <v>109</v>
      </c>
      <c r="F379" s="4" t="s">
        <v>180</v>
      </c>
      <c r="G379" s="4" t="s">
        <v>46</v>
      </c>
      <c r="H379" s="4" t="s">
        <v>152</v>
      </c>
      <c r="I379" s="9">
        <v>42947</v>
      </c>
      <c r="J379" s="11">
        <v>-1</v>
      </c>
      <c r="K379" s="4" t="s">
        <v>184</v>
      </c>
      <c r="L379" s="11">
        <v>327</v>
      </c>
      <c r="M379" s="11">
        <v>-327</v>
      </c>
      <c r="N379" s="4" t="s">
        <v>8</v>
      </c>
      <c r="O379" s="5">
        <v>5637370450</v>
      </c>
      <c r="P379" s="11">
        <f>_xll.AtlasFormulas.AtlasFunctions.AtlasBalance("UAT",DataAreaId,"T.MarkupTrans","Sum|Posted|0","","","","","","","MarkupCode|TransRecId|TransTableId","TPP",$O379,"64")</f>
        <v>0</v>
      </c>
    </row>
    <row r="380" spans="1:16" x14ac:dyDescent="0.25">
      <c r="A380" s="4" t="s">
        <v>116</v>
      </c>
      <c r="B380" s="4" t="s">
        <v>227</v>
      </c>
      <c r="C380" s="4" t="s">
        <v>203</v>
      </c>
      <c r="D380" s="4" t="s">
        <v>265</v>
      </c>
      <c r="E380" s="4" t="s">
        <v>108</v>
      </c>
      <c r="F380" s="4" t="s">
        <v>180</v>
      </c>
      <c r="G380" s="4" t="s">
        <v>46</v>
      </c>
      <c r="H380" s="4" t="s">
        <v>152</v>
      </c>
      <c r="I380" s="9">
        <v>42947</v>
      </c>
      <c r="J380" s="11">
        <v>-1</v>
      </c>
      <c r="K380" s="4" t="s">
        <v>184</v>
      </c>
      <c r="L380" s="11">
        <v>73</v>
      </c>
      <c r="M380" s="11">
        <v>-73</v>
      </c>
      <c r="N380" s="4" t="s">
        <v>8</v>
      </c>
      <c r="O380" s="5">
        <v>5637370418</v>
      </c>
      <c r="P380" s="11">
        <f>_xll.AtlasFormulas.AtlasFunctions.AtlasBalance("UAT",DataAreaId,"T.MarkupTrans","Sum|Posted|0","","","","","","","MarkupCode|TransRecId|TransTableId","TPP",$O380,"64")</f>
        <v>0</v>
      </c>
    </row>
    <row r="381" spans="1:16" x14ac:dyDescent="0.25">
      <c r="A381" s="4" t="s">
        <v>116</v>
      </c>
      <c r="B381" s="4" t="s">
        <v>175</v>
      </c>
      <c r="C381" s="4" t="s">
        <v>177</v>
      </c>
      <c r="D381" s="4" t="s">
        <v>256</v>
      </c>
      <c r="E381" s="4" t="s">
        <v>112</v>
      </c>
      <c r="F381" s="4" t="s">
        <v>180</v>
      </c>
      <c r="G381" s="4" t="s">
        <v>46</v>
      </c>
      <c r="H381" s="4" t="s">
        <v>152</v>
      </c>
      <c r="I381" s="9">
        <v>42947</v>
      </c>
      <c r="J381" s="11">
        <v>-1</v>
      </c>
      <c r="K381" s="4" t="s">
        <v>184</v>
      </c>
      <c r="L381" s="11">
        <v>219</v>
      </c>
      <c r="M381" s="11">
        <v>-219</v>
      </c>
      <c r="N381" s="4" t="s">
        <v>8</v>
      </c>
      <c r="O381" s="5">
        <v>5637370794</v>
      </c>
      <c r="P381" s="11">
        <f>_xll.AtlasFormulas.AtlasFunctions.AtlasBalance("UAT",DataAreaId,"T.MarkupTrans","Sum|Posted|0","","","","","","","MarkupCode|TransRecId|TransTableId","TPP",$O381,"64")</f>
        <v>0</v>
      </c>
    </row>
    <row r="382" spans="1:16" x14ac:dyDescent="0.25">
      <c r="A382" s="4" t="s">
        <v>116</v>
      </c>
      <c r="B382" s="4" t="s">
        <v>213</v>
      </c>
      <c r="C382" s="4" t="s">
        <v>178</v>
      </c>
      <c r="D382" s="4" t="s">
        <v>260</v>
      </c>
      <c r="E382" s="4" t="s">
        <v>105</v>
      </c>
      <c r="F382" s="4" t="s">
        <v>180</v>
      </c>
      <c r="G382" s="4" t="s">
        <v>46</v>
      </c>
      <c r="H382" s="4" t="s">
        <v>152</v>
      </c>
      <c r="I382" s="9">
        <v>42947</v>
      </c>
      <c r="J382" s="11">
        <v>-1</v>
      </c>
      <c r="K382" s="4" t="s">
        <v>184</v>
      </c>
      <c r="L382" s="11">
        <v>145</v>
      </c>
      <c r="M382" s="11">
        <v>-145</v>
      </c>
      <c r="N382" s="4" t="s">
        <v>8</v>
      </c>
      <c r="O382" s="5">
        <v>5637370315</v>
      </c>
      <c r="P382" s="11">
        <f>_xll.AtlasFormulas.AtlasFunctions.AtlasBalance("UAT",DataAreaId,"T.MarkupTrans","Sum|Posted|0","","","","","","","MarkupCode|TransRecId|TransTableId","TPP",$O382,"64")</f>
        <v>0</v>
      </c>
    </row>
    <row r="383" spans="1:16" x14ac:dyDescent="0.25">
      <c r="A383" s="4" t="s">
        <v>116</v>
      </c>
      <c r="B383" s="4" t="s">
        <v>213</v>
      </c>
      <c r="C383" s="4" t="s">
        <v>178</v>
      </c>
      <c r="D383" s="4" t="s">
        <v>248</v>
      </c>
      <c r="E383" s="4" t="s">
        <v>62</v>
      </c>
      <c r="F383" s="4" t="s">
        <v>180</v>
      </c>
      <c r="G383" s="4" t="s">
        <v>47</v>
      </c>
      <c r="H383" s="4" t="s">
        <v>153</v>
      </c>
      <c r="I383" s="9">
        <v>42886</v>
      </c>
      <c r="J383" s="11">
        <v>1</v>
      </c>
      <c r="K383" s="4" t="s">
        <v>184</v>
      </c>
      <c r="L383" s="11">
        <v>174</v>
      </c>
      <c r="M383" s="11">
        <v>174</v>
      </c>
      <c r="N383" s="4" t="s">
        <v>8</v>
      </c>
      <c r="O383" s="5">
        <v>5637364807</v>
      </c>
      <c r="P383" s="11">
        <f>_xll.AtlasFormulas.AtlasFunctions.AtlasBalance("UAT",DataAreaId,"T.MarkupTrans","Sum|Posted|0","","","","","","","MarkupCode|TransRecId|TransTableId","TPP",$O383,"64")</f>
        <v>0</v>
      </c>
    </row>
    <row r="384" spans="1:16" x14ac:dyDescent="0.25">
      <c r="A384" s="4" t="s">
        <v>116</v>
      </c>
      <c r="B384" s="4" t="s">
        <v>175</v>
      </c>
      <c r="C384" s="4" t="s">
        <v>177</v>
      </c>
      <c r="D384" s="4" t="s">
        <v>246</v>
      </c>
      <c r="E384" s="4" t="s">
        <v>57</v>
      </c>
      <c r="F384" s="4" t="s">
        <v>180</v>
      </c>
      <c r="G384" s="4" t="s">
        <v>47</v>
      </c>
      <c r="H384" s="4" t="s">
        <v>153</v>
      </c>
      <c r="I384" s="9">
        <v>42886</v>
      </c>
      <c r="J384" s="11">
        <v>1</v>
      </c>
      <c r="K384" s="4" t="s">
        <v>184</v>
      </c>
      <c r="L384" s="11">
        <v>261</v>
      </c>
      <c r="M384" s="11">
        <v>261</v>
      </c>
      <c r="N384" s="4" t="s">
        <v>8</v>
      </c>
      <c r="O384" s="5">
        <v>5637364655</v>
      </c>
      <c r="P384" s="11">
        <f>_xll.AtlasFormulas.AtlasFunctions.AtlasBalance("UAT",DataAreaId,"T.MarkupTrans","Sum|Posted|0","","","","","","","MarkupCode|TransRecId|TransTableId","TPP",$O384,"64")</f>
        <v>0</v>
      </c>
    </row>
    <row r="385" spans="1:16" x14ac:dyDescent="0.25">
      <c r="A385" s="4" t="s">
        <v>116</v>
      </c>
      <c r="B385" s="4" t="s">
        <v>227</v>
      </c>
      <c r="C385" s="4" t="s">
        <v>203</v>
      </c>
      <c r="D385" s="4" t="s">
        <v>274</v>
      </c>
      <c r="E385" s="4" t="s">
        <v>60</v>
      </c>
      <c r="F385" s="4" t="s">
        <v>180</v>
      </c>
      <c r="G385" s="4" t="s">
        <v>47</v>
      </c>
      <c r="H385" s="4" t="s">
        <v>153</v>
      </c>
      <c r="I385" s="9">
        <v>42886</v>
      </c>
      <c r="J385" s="11">
        <v>1</v>
      </c>
      <c r="K385" s="4" t="s">
        <v>184</v>
      </c>
      <c r="L385" s="11">
        <v>87</v>
      </c>
      <c r="M385" s="11">
        <v>87</v>
      </c>
      <c r="N385" s="4" t="s">
        <v>8</v>
      </c>
      <c r="O385" s="5">
        <v>5637364745</v>
      </c>
      <c r="P385" s="11">
        <f>_xll.AtlasFormulas.AtlasFunctions.AtlasBalance("UAT",DataAreaId,"T.MarkupTrans","Sum|Posted|0","","","","","","","MarkupCode|TransRecId|TransTableId","TPP",$O385,"64")</f>
        <v>0</v>
      </c>
    </row>
    <row r="386" spans="1:16" x14ac:dyDescent="0.25">
      <c r="A386" s="4" t="s">
        <v>116</v>
      </c>
      <c r="B386" s="4" t="s">
        <v>215</v>
      </c>
      <c r="C386" s="4" t="s">
        <v>192</v>
      </c>
      <c r="D386" s="4" t="s">
        <v>242</v>
      </c>
      <c r="E386" s="4" t="s">
        <v>55</v>
      </c>
      <c r="F386" s="4" t="s">
        <v>180</v>
      </c>
      <c r="G386" s="4" t="s">
        <v>47</v>
      </c>
      <c r="H386" s="4" t="s">
        <v>153</v>
      </c>
      <c r="I386" s="9">
        <v>42886</v>
      </c>
      <c r="J386" s="11">
        <v>1</v>
      </c>
      <c r="K386" s="4" t="s">
        <v>184</v>
      </c>
      <c r="L386" s="11">
        <v>391</v>
      </c>
      <c r="M386" s="11">
        <v>391</v>
      </c>
      <c r="N386" s="4" t="s">
        <v>8</v>
      </c>
      <c r="O386" s="5">
        <v>5637364604</v>
      </c>
      <c r="P386" s="11">
        <f>_xll.AtlasFormulas.AtlasFunctions.AtlasBalance("UAT",DataAreaId,"T.MarkupTrans","Sum|Posted|0","","","","","","","MarkupCode|TransRecId|TransTableId","TPP",$O386,"64")</f>
        <v>0</v>
      </c>
    </row>
    <row r="387" spans="1:16" x14ac:dyDescent="0.25">
      <c r="A387" s="4" t="s">
        <v>116</v>
      </c>
      <c r="B387" s="4" t="s">
        <v>224</v>
      </c>
      <c r="C387" s="4" t="s">
        <v>225</v>
      </c>
      <c r="D387" s="4" t="s">
        <v>247</v>
      </c>
      <c r="E387" s="4" t="s">
        <v>59</v>
      </c>
      <c r="F387" s="4" t="s">
        <v>180</v>
      </c>
      <c r="G387" s="4" t="s">
        <v>47</v>
      </c>
      <c r="H387" s="4" t="s">
        <v>153</v>
      </c>
      <c r="I387" s="9">
        <v>42886</v>
      </c>
      <c r="J387" s="11">
        <v>1</v>
      </c>
      <c r="K387" s="4" t="s">
        <v>184</v>
      </c>
      <c r="L387" s="11">
        <v>414</v>
      </c>
      <c r="M387" s="11">
        <v>414</v>
      </c>
      <c r="N387" s="4" t="s">
        <v>8</v>
      </c>
      <c r="O387" s="5">
        <v>5637364731</v>
      </c>
      <c r="P387" s="11">
        <f>_xll.AtlasFormulas.AtlasFunctions.AtlasBalance("UAT",DataAreaId,"T.MarkupTrans","Sum|Posted|0","","","","","","","MarkupCode|TransRecId|TransTableId","TPP",$O387,"64")</f>
        <v>0</v>
      </c>
    </row>
    <row r="388" spans="1:16" x14ac:dyDescent="0.25">
      <c r="A388" s="4" t="s">
        <v>116</v>
      </c>
      <c r="B388" s="4" t="s">
        <v>211</v>
      </c>
      <c r="C388" s="4" t="s">
        <v>194</v>
      </c>
      <c r="D388" s="4" t="s">
        <v>268</v>
      </c>
      <c r="E388" s="4" t="s">
        <v>56</v>
      </c>
      <c r="F388" s="4" t="s">
        <v>180</v>
      </c>
      <c r="G388" s="4" t="s">
        <v>47</v>
      </c>
      <c r="H388" s="4" t="s">
        <v>153</v>
      </c>
      <c r="I388" s="9">
        <v>42886</v>
      </c>
      <c r="J388" s="11">
        <v>1</v>
      </c>
      <c r="K388" s="4" t="s">
        <v>184</v>
      </c>
      <c r="L388" s="11">
        <v>109</v>
      </c>
      <c r="M388" s="11">
        <v>109</v>
      </c>
      <c r="N388" s="4" t="s">
        <v>8</v>
      </c>
      <c r="O388" s="5">
        <v>5637364620</v>
      </c>
      <c r="P388" s="11">
        <f>_xll.AtlasFormulas.AtlasFunctions.AtlasBalance("UAT",DataAreaId,"T.MarkupTrans","Sum|Posted|0","","","","","","","MarkupCode|TransRecId|TransTableId","TPP",$O388,"64")</f>
        <v>0</v>
      </c>
    </row>
    <row r="389" spans="1:16" x14ac:dyDescent="0.25">
      <c r="A389" s="4" t="s">
        <v>116</v>
      </c>
      <c r="B389" s="4" t="s">
        <v>239</v>
      </c>
      <c r="C389" s="4" t="s">
        <v>176</v>
      </c>
      <c r="D389" s="4" t="s">
        <v>243</v>
      </c>
      <c r="E389" s="4" t="s">
        <v>58</v>
      </c>
      <c r="F389" s="4" t="s">
        <v>180</v>
      </c>
      <c r="G389" s="4" t="s">
        <v>47</v>
      </c>
      <c r="H389" s="4" t="s">
        <v>153</v>
      </c>
      <c r="I389" s="9">
        <v>42886</v>
      </c>
      <c r="J389" s="11">
        <v>1</v>
      </c>
      <c r="K389" s="4" t="s">
        <v>184</v>
      </c>
      <c r="L389" s="11">
        <v>481</v>
      </c>
      <c r="M389" s="11">
        <v>481</v>
      </c>
      <c r="N389" s="4" t="s">
        <v>8</v>
      </c>
      <c r="O389" s="5">
        <v>5637364693</v>
      </c>
      <c r="P389" s="11">
        <f>_xll.AtlasFormulas.AtlasFunctions.AtlasBalance("UAT",DataAreaId,"T.MarkupTrans","Sum|Posted|0","","","","","","","MarkupCode|TransRecId|TransTableId","TPP",$O389,"64")</f>
        <v>0</v>
      </c>
    </row>
    <row r="390" spans="1:16" x14ac:dyDescent="0.25">
      <c r="A390" s="4" t="s">
        <v>116</v>
      </c>
      <c r="B390" s="4" t="s">
        <v>239</v>
      </c>
      <c r="C390" s="4" t="s">
        <v>176</v>
      </c>
      <c r="D390" s="4" t="s">
        <v>254</v>
      </c>
      <c r="E390" s="4" t="s">
        <v>96</v>
      </c>
      <c r="F390" s="4" t="s">
        <v>180</v>
      </c>
      <c r="G390" s="4" t="s">
        <v>47</v>
      </c>
      <c r="H390" s="4" t="s">
        <v>153</v>
      </c>
      <c r="I390" s="9">
        <v>42916</v>
      </c>
      <c r="J390" s="11">
        <v>1</v>
      </c>
      <c r="K390" s="4" t="s">
        <v>184</v>
      </c>
      <c r="L390" s="11">
        <v>236</v>
      </c>
      <c r="M390" s="11">
        <v>236</v>
      </c>
      <c r="N390" s="4" t="s">
        <v>8</v>
      </c>
      <c r="O390" s="5">
        <v>5637367446</v>
      </c>
      <c r="P390" s="11">
        <f>_xll.AtlasFormulas.AtlasFunctions.AtlasBalance("UAT",DataAreaId,"T.MarkupTrans","Sum|Posted|0","","","","","","","MarkupCode|TransRecId|TransTableId","TPP",$O390,"64")</f>
        <v>0</v>
      </c>
    </row>
    <row r="391" spans="1:16" x14ac:dyDescent="0.25">
      <c r="A391" s="4" t="s">
        <v>116</v>
      </c>
      <c r="B391" s="4" t="s">
        <v>211</v>
      </c>
      <c r="C391" s="4" t="s">
        <v>194</v>
      </c>
      <c r="D391" s="4" t="s">
        <v>275</v>
      </c>
      <c r="E391" s="4" t="s">
        <v>97</v>
      </c>
      <c r="F391" s="4" t="s">
        <v>180</v>
      </c>
      <c r="G391" s="4" t="s">
        <v>47</v>
      </c>
      <c r="H391" s="4" t="s">
        <v>153</v>
      </c>
      <c r="I391" s="9">
        <v>42916</v>
      </c>
      <c r="J391" s="11">
        <v>1</v>
      </c>
      <c r="K391" s="4" t="s">
        <v>184</v>
      </c>
      <c r="L391" s="11">
        <v>107</v>
      </c>
      <c r="M391" s="11">
        <v>107</v>
      </c>
      <c r="N391" s="4" t="s">
        <v>8</v>
      </c>
      <c r="O391" s="5">
        <v>5637367460</v>
      </c>
      <c r="P391" s="11">
        <f>_xll.AtlasFormulas.AtlasFunctions.AtlasBalance("UAT",DataAreaId,"T.MarkupTrans","Sum|Posted|0","","","","","","","MarkupCode|TransRecId|TransTableId","TPP",$O391,"64")</f>
        <v>0</v>
      </c>
    </row>
    <row r="392" spans="1:16" x14ac:dyDescent="0.25">
      <c r="A392" s="4" t="s">
        <v>116</v>
      </c>
      <c r="B392" s="4" t="s">
        <v>224</v>
      </c>
      <c r="C392" s="4" t="s">
        <v>225</v>
      </c>
      <c r="D392" s="4" t="s">
        <v>251</v>
      </c>
      <c r="E392" s="4" t="s">
        <v>93</v>
      </c>
      <c r="F392" s="4" t="s">
        <v>180</v>
      </c>
      <c r="G392" s="4" t="s">
        <v>47</v>
      </c>
      <c r="H392" s="4" t="s">
        <v>153</v>
      </c>
      <c r="I392" s="9">
        <v>42916</v>
      </c>
      <c r="J392" s="11">
        <v>1</v>
      </c>
      <c r="K392" s="4" t="s">
        <v>184</v>
      </c>
      <c r="L392" s="11">
        <v>408</v>
      </c>
      <c r="M392" s="11">
        <v>408</v>
      </c>
      <c r="N392" s="4" t="s">
        <v>8</v>
      </c>
      <c r="O392" s="5">
        <v>5637367360</v>
      </c>
      <c r="P392" s="11">
        <f>_xll.AtlasFormulas.AtlasFunctions.AtlasBalance("UAT",DataAreaId,"T.MarkupTrans","Sum|Posted|0","","","","","","","MarkupCode|TransRecId|TransTableId","TPP",$O392,"64")</f>
        <v>0</v>
      </c>
    </row>
    <row r="393" spans="1:16" x14ac:dyDescent="0.25">
      <c r="A393" s="4" t="s">
        <v>116</v>
      </c>
      <c r="B393" s="4" t="s">
        <v>175</v>
      </c>
      <c r="C393" s="4" t="s">
        <v>177</v>
      </c>
      <c r="D393" s="4" t="s">
        <v>252</v>
      </c>
      <c r="E393" s="4" t="s">
        <v>95</v>
      </c>
      <c r="F393" s="4" t="s">
        <v>180</v>
      </c>
      <c r="G393" s="4" t="s">
        <v>47</v>
      </c>
      <c r="H393" s="4" t="s">
        <v>153</v>
      </c>
      <c r="I393" s="9">
        <v>42916</v>
      </c>
      <c r="J393" s="11">
        <v>1</v>
      </c>
      <c r="K393" s="4" t="s">
        <v>184</v>
      </c>
      <c r="L393" s="11">
        <v>258</v>
      </c>
      <c r="M393" s="11">
        <v>258</v>
      </c>
      <c r="N393" s="4" t="s">
        <v>8</v>
      </c>
      <c r="O393" s="5">
        <v>5637367408</v>
      </c>
      <c r="P393" s="11">
        <f>_xll.AtlasFormulas.AtlasFunctions.AtlasBalance("UAT",DataAreaId,"T.MarkupTrans","Sum|Posted|0","","","","","","","MarkupCode|TransRecId|TransTableId","TPP",$O393,"64")</f>
        <v>0</v>
      </c>
    </row>
    <row r="394" spans="1:16" x14ac:dyDescent="0.25">
      <c r="A394" s="4" t="s">
        <v>116</v>
      </c>
      <c r="B394" s="4" t="s">
        <v>215</v>
      </c>
      <c r="C394" s="4" t="s">
        <v>192</v>
      </c>
      <c r="D394" s="4" t="s">
        <v>253</v>
      </c>
      <c r="E394" s="4" t="s">
        <v>92</v>
      </c>
      <c r="F394" s="4" t="s">
        <v>180</v>
      </c>
      <c r="G394" s="4" t="s">
        <v>47</v>
      </c>
      <c r="H394" s="4" t="s">
        <v>153</v>
      </c>
      <c r="I394" s="9">
        <v>42916</v>
      </c>
      <c r="J394" s="11">
        <v>1</v>
      </c>
      <c r="K394" s="4" t="s">
        <v>184</v>
      </c>
      <c r="L394" s="11">
        <v>387</v>
      </c>
      <c r="M394" s="11">
        <v>387</v>
      </c>
      <c r="N394" s="4" t="s">
        <v>8</v>
      </c>
      <c r="O394" s="5">
        <v>5637367322</v>
      </c>
      <c r="P394" s="11">
        <f>_xll.AtlasFormulas.AtlasFunctions.AtlasBalance("UAT",DataAreaId,"T.MarkupTrans","Sum|Posted|0","","","","","","","MarkupCode|TransRecId|TransTableId","TPP",$O394,"64")</f>
        <v>0</v>
      </c>
    </row>
    <row r="395" spans="1:16" x14ac:dyDescent="0.25">
      <c r="A395" s="4" t="s">
        <v>116</v>
      </c>
      <c r="B395" s="4" t="s">
        <v>227</v>
      </c>
      <c r="C395" s="4" t="s">
        <v>203</v>
      </c>
      <c r="D395" s="4" t="s">
        <v>264</v>
      </c>
      <c r="E395" s="4" t="s">
        <v>94</v>
      </c>
      <c r="F395" s="4" t="s">
        <v>180</v>
      </c>
      <c r="G395" s="4" t="s">
        <v>47</v>
      </c>
      <c r="H395" s="4" t="s">
        <v>153</v>
      </c>
      <c r="I395" s="9">
        <v>42916</v>
      </c>
      <c r="J395" s="11">
        <v>1</v>
      </c>
      <c r="K395" s="4" t="s">
        <v>184</v>
      </c>
      <c r="L395" s="11">
        <v>86</v>
      </c>
      <c r="M395" s="11">
        <v>86</v>
      </c>
      <c r="N395" s="4" t="s">
        <v>8</v>
      </c>
      <c r="O395" s="5">
        <v>5637367376</v>
      </c>
      <c r="P395" s="11">
        <f>_xll.AtlasFormulas.AtlasFunctions.AtlasBalance("UAT",DataAreaId,"T.MarkupTrans","Sum|Posted|0","","","","","","","MarkupCode|TransRecId|TransTableId","TPP",$O395,"64")</f>
        <v>0</v>
      </c>
    </row>
    <row r="396" spans="1:16" x14ac:dyDescent="0.25">
      <c r="A396" s="4" t="s">
        <v>116</v>
      </c>
      <c r="B396" s="4" t="s">
        <v>213</v>
      </c>
      <c r="C396" s="4" t="s">
        <v>178</v>
      </c>
      <c r="D396" s="4" t="s">
        <v>250</v>
      </c>
      <c r="E396" s="4" t="s">
        <v>90</v>
      </c>
      <c r="F396" s="4" t="s">
        <v>180</v>
      </c>
      <c r="G396" s="4" t="s">
        <v>47</v>
      </c>
      <c r="H396" s="4" t="s">
        <v>153</v>
      </c>
      <c r="I396" s="9">
        <v>42916</v>
      </c>
      <c r="J396" s="11">
        <v>1</v>
      </c>
      <c r="K396" s="4" t="s">
        <v>184</v>
      </c>
      <c r="L396" s="11">
        <v>172</v>
      </c>
      <c r="M396" s="11">
        <v>172</v>
      </c>
      <c r="N396" s="4" t="s">
        <v>8</v>
      </c>
      <c r="O396" s="5">
        <v>5637367254</v>
      </c>
      <c r="P396" s="11">
        <f>_xll.AtlasFormulas.AtlasFunctions.AtlasBalance("UAT",DataAreaId,"T.MarkupTrans","Sum|Posted|0","","","","","","","MarkupCode|TransRecId|TransTableId","TPP",$O396,"64")</f>
        <v>0</v>
      </c>
    </row>
    <row r="397" spans="1:16" x14ac:dyDescent="0.25">
      <c r="A397" s="4" t="s">
        <v>116</v>
      </c>
      <c r="B397" s="4" t="s">
        <v>213</v>
      </c>
      <c r="C397" s="4" t="s">
        <v>178</v>
      </c>
      <c r="D397" s="4" t="s">
        <v>260</v>
      </c>
      <c r="E397" s="4" t="s">
        <v>105</v>
      </c>
      <c r="F397" s="4" t="s">
        <v>180</v>
      </c>
      <c r="G397" s="4" t="s">
        <v>47</v>
      </c>
      <c r="H397" s="4" t="s">
        <v>153</v>
      </c>
      <c r="I397" s="9">
        <v>42947</v>
      </c>
      <c r="J397" s="11">
        <v>1</v>
      </c>
      <c r="K397" s="4" t="s">
        <v>184</v>
      </c>
      <c r="L397" s="11">
        <v>132</v>
      </c>
      <c r="M397" s="11">
        <v>132</v>
      </c>
      <c r="N397" s="4" t="s">
        <v>8</v>
      </c>
      <c r="O397" s="5">
        <v>5637370316</v>
      </c>
      <c r="P397" s="11">
        <f>_xll.AtlasFormulas.AtlasFunctions.AtlasBalance("UAT",DataAreaId,"T.MarkupTrans","Sum|Posted|0","","","","","","","MarkupCode|TransRecId|TransTableId","TPP",$O397,"64")</f>
        <v>0</v>
      </c>
    </row>
    <row r="398" spans="1:16" x14ac:dyDescent="0.25">
      <c r="A398" s="4" t="s">
        <v>116</v>
      </c>
      <c r="B398" s="4" t="s">
        <v>227</v>
      </c>
      <c r="C398" s="4" t="s">
        <v>203</v>
      </c>
      <c r="D398" s="4" t="s">
        <v>265</v>
      </c>
      <c r="E398" s="4" t="s">
        <v>108</v>
      </c>
      <c r="F398" s="4" t="s">
        <v>180</v>
      </c>
      <c r="G398" s="4" t="s">
        <v>47</v>
      </c>
      <c r="H398" s="4" t="s">
        <v>153</v>
      </c>
      <c r="I398" s="9">
        <v>42947</v>
      </c>
      <c r="J398" s="11">
        <v>1</v>
      </c>
      <c r="K398" s="4" t="s">
        <v>184</v>
      </c>
      <c r="L398" s="11">
        <v>66</v>
      </c>
      <c r="M398" s="11">
        <v>66</v>
      </c>
      <c r="N398" s="4" t="s">
        <v>8</v>
      </c>
      <c r="O398" s="5">
        <v>5637370419</v>
      </c>
      <c r="P398" s="11">
        <f>_xll.AtlasFormulas.AtlasFunctions.AtlasBalance("UAT",DataAreaId,"T.MarkupTrans","Sum|Posted|0","","","","","","","MarkupCode|TransRecId|TransTableId","TPP",$O398,"64")</f>
        <v>0</v>
      </c>
    </row>
    <row r="399" spans="1:16" x14ac:dyDescent="0.25">
      <c r="A399" s="4" t="s">
        <v>116</v>
      </c>
      <c r="B399" s="4" t="s">
        <v>215</v>
      </c>
      <c r="C399" s="4" t="s">
        <v>192</v>
      </c>
      <c r="D399" s="4" t="s">
        <v>259</v>
      </c>
      <c r="E399" s="4" t="s">
        <v>109</v>
      </c>
      <c r="F399" s="4" t="s">
        <v>180</v>
      </c>
      <c r="G399" s="4" t="s">
        <v>47</v>
      </c>
      <c r="H399" s="4" t="s">
        <v>153</v>
      </c>
      <c r="I399" s="9">
        <v>42947</v>
      </c>
      <c r="J399" s="11">
        <v>1</v>
      </c>
      <c r="K399" s="4" t="s">
        <v>184</v>
      </c>
      <c r="L399" s="11">
        <v>297</v>
      </c>
      <c r="M399" s="11">
        <v>297</v>
      </c>
      <c r="N399" s="4" t="s">
        <v>8</v>
      </c>
      <c r="O399" s="5">
        <v>5637370451</v>
      </c>
      <c r="P399" s="11">
        <f>_xll.AtlasFormulas.AtlasFunctions.AtlasBalance("UAT",DataAreaId,"T.MarkupTrans","Sum|Posted|0","","","","","","","MarkupCode|TransRecId|TransTableId","TPP",$O399,"64")</f>
        <v>0</v>
      </c>
    </row>
    <row r="400" spans="1:16" x14ac:dyDescent="0.25">
      <c r="A400" s="4" t="s">
        <v>116</v>
      </c>
      <c r="B400" s="4" t="s">
        <v>224</v>
      </c>
      <c r="C400" s="4" t="s">
        <v>225</v>
      </c>
      <c r="D400" s="4" t="s">
        <v>258</v>
      </c>
      <c r="E400" s="4" t="s">
        <v>107</v>
      </c>
      <c r="F400" s="4" t="s">
        <v>180</v>
      </c>
      <c r="G400" s="4" t="s">
        <v>47</v>
      </c>
      <c r="H400" s="4" t="s">
        <v>153</v>
      </c>
      <c r="I400" s="9">
        <v>42947</v>
      </c>
      <c r="J400" s="11">
        <v>1</v>
      </c>
      <c r="K400" s="4" t="s">
        <v>184</v>
      </c>
      <c r="L400" s="11">
        <v>313</v>
      </c>
      <c r="M400" s="11">
        <v>313</v>
      </c>
      <c r="N400" s="4" t="s">
        <v>8</v>
      </c>
      <c r="O400" s="5">
        <v>5637370403</v>
      </c>
      <c r="P400" s="11">
        <f>_xll.AtlasFormulas.AtlasFunctions.AtlasBalance("UAT",DataAreaId,"T.MarkupTrans","Sum|Posted|0","","","","","","","MarkupCode|TransRecId|TransTableId","TPP",$O400,"64")</f>
        <v>0</v>
      </c>
    </row>
    <row r="401" spans="1:16" x14ac:dyDescent="0.25">
      <c r="A401" s="4" t="s">
        <v>116</v>
      </c>
      <c r="B401" s="4" t="s">
        <v>175</v>
      </c>
      <c r="C401" s="4" t="s">
        <v>177</v>
      </c>
      <c r="D401" s="4" t="s">
        <v>256</v>
      </c>
      <c r="E401" s="4" t="s">
        <v>112</v>
      </c>
      <c r="F401" s="4" t="s">
        <v>180</v>
      </c>
      <c r="G401" s="4" t="s">
        <v>47</v>
      </c>
      <c r="H401" s="4" t="s">
        <v>153</v>
      </c>
      <c r="I401" s="9">
        <v>42947</v>
      </c>
      <c r="J401" s="11">
        <v>1</v>
      </c>
      <c r="K401" s="4" t="s">
        <v>184</v>
      </c>
      <c r="L401" s="11">
        <v>198</v>
      </c>
      <c r="M401" s="11">
        <v>198</v>
      </c>
      <c r="N401" s="4" t="s">
        <v>8</v>
      </c>
      <c r="O401" s="5">
        <v>5637370795</v>
      </c>
      <c r="P401" s="11">
        <f>_xll.AtlasFormulas.AtlasFunctions.AtlasBalance("UAT",DataAreaId,"T.MarkupTrans","Sum|Posted|0","","","","","","","MarkupCode|TransRecId|TransTableId","TPP",$O401,"64")</f>
        <v>0</v>
      </c>
    </row>
    <row r="402" spans="1:16" x14ac:dyDescent="0.25">
      <c r="A402" s="4" t="s">
        <v>116</v>
      </c>
      <c r="B402" s="4" t="s">
        <v>211</v>
      </c>
      <c r="C402" s="4" t="s">
        <v>194</v>
      </c>
      <c r="D402" s="4" t="s">
        <v>269</v>
      </c>
      <c r="E402" s="4" t="s">
        <v>110</v>
      </c>
      <c r="F402" s="4" t="s">
        <v>180</v>
      </c>
      <c r="G402" s="4" t="s">
        <v>47</v>
      </c>
      <c r="H402" s="4" t="s">
        <v>153</v>
      </c>
      <c r="I402" s="9">
        <v>42947</v>
      </c>
      <c r="J402" s="11">
        <v>1</v>
      </c>
      <c r="K402" s="4" t="s">
        <v>184</v>
      </c>
      <c r="L402" s="11">
        <v>83</v>
      </c>
      <c r="M402" s="11">
        <v>83</v>
      </c>
      <c r="N402" s="4" t="s">
        <v>8</v>
      </c>
      <c r="O402" s="5">
        <v>5637370467</v>
      </c>
      <c r="P402" s="11">
        <f>_xll.AtlasFormulas.AtlasFunctions.AtlasBalance("UAT",DataAreaId,"T.MarkupTrans","Sum|Posted|0","","","","","","","MarkupCode|TransRecId|TransTableId","TPP",$O402,"64")</f>
        <v>0</v>
      </c>
    </row>
    <row r="403" spans="1:16" x14ac:dyDescent="0.25">
      <c r="A403" s="4" t="s">
        <v>116</v>
      </c>
      <c r="B403" s="4" t="s">
        <v>239</v>
      </c>
      <c r="C403" s="4" t="s">
        <v>176</v>
      </c>
      <c r="D403" s="4" t="s">
        <v>255</v>
      </c>
      <c r="E403" s="4" t="s">
        <v>111</v>
      </c>
      <c r="F403" s="4" t="s">
        <v>180</v>
      </c>
      <c r="G403" s="4" t="s">
        <v>47</v>
      </c>
      <c r="H403" s="4" t="s">
        <v>153</v>
      </c>
      <c r="I403" s="9">
        <v>42947</v>
      </c>
      <c r="J403" s="11">
        <v>1</v>
      </c>
      <c r="K403" s="4" t="s">
        <v>184</v>
      </c>
      <c r="L403" s="11">
        <v>182</v>
      </c>
      <c r="M403" s="11">
        <v>182</v>
      </c>
      <c r="N403" s="4" t="s">
        <v>8</v>
      </c>
      <c r="O403" s="5">
        <v>5637370749</v>
      </c>
      <c r="P403" s="11">
        <f>_xll.AtlasFormulas.AtlasFunctions.AtlasBalance("UAT",DataAreaId,"T.MarkupTrans","Sum|Posted|0","","","","","","","MarkupCode|TransRecId|TransTableId","TPP",$O403,"64")</f>
        <v>0</v>
      </c>
    </row>
    <row r="404" spans="1:16" x14ac:dyDescent="0.25">
      <c r="A404" s="4" t="s">
        <v>116</v>
      </c>
      <c r="B404" s="4" t="s">
        <v>239</v>
      </c>
      <c r="C404" s="4" t="s">
        <v>176</v>
      </c>
      <c r="D404" s="4" t="s">
        <v>243</v>
      </c>
      <c r="E404" s="4" t="s">
        <v>58</v>
      </c>
      <c r="F404" s="4" t="s">
        <v>180</v>
      </c>
      <c r="G404" s="4" t="s">
        <v>49</v>
      </c>
      <c r="H404" s="4" t="s">
        <v>154</v>
      </c>
      <c r="I404" s="9">
        <v>42886</v>
      </c>
      <c r="J404" s="11">
        <v>1</v>
      </c>
      <c r="K404" s="4" t="s">
        <v>184</v>
      </c>
      <c r="L404" s="11">
        <v>456</v>
      </c>
      <c r="M404" s="11">
        <v>456</v>
      </c>
      <c r="N404" s="4" t="s">
        <v>8</v>
      </c>
      <c r="O404" s="5">
        <v>5637364698</v>
      </c>
      <c r="P404" s="11">
        <f>_xll.AtlasFormulas.AtlasFunctions.AtlasBalance("UAT",DataAreaId,"T.MarkupTrans","Sum|Posted|0","","","","","","","MarkupCode|TransRecId|TransTableId","TPP",$O404,"64")</f>
        <v>0</v>
      </c>
    </row>
    <row r="405" spans="1:16" x14ac:dyDescent="0.25">
      <c r="A405" s="4" t="s">
        <v>116</v>
      </c>
      <c r="B405" s="4" t="s">
        <v>224</v>
      </c>
      <c r="C405" s="4" t="s">
        <v>225</v>
      </c>
      <c r="D405" s="4" t="s">
        <v>247</v>
      </c>
      <c r="E405" s="4" t="s">
        <v>59</v>
      </c>
      <c r="F405" s="4" t="s">
        <v>180</v>
      </c>
      <c r="G405" s="4" t="s">
        <v>49</v>
      </c>
      <c r="H405" s="4" t="s">
        <v>154</v>
      </c>
      <c r="I405" s="9">
        <v>42886</v>
      </c>
      <c r="J405" s="11">
        <v>1</v>
      </c>
      <c r="K405" s="4" t="s">
        <v>184</v>
      </c>
      <c r="L405" s="11">
        <v>493</v>
      </c>
      <c r="M405" s="11">
        <v>493</v>
      </c>
      <c r="N405" s="4" t="s">
        <v>8</v>
      </c>
      <c r="O405" s="5">
        <v>5637364736</v>
      </c>
      <c r="P405" s="11">
        <f>_xll.AtlasFormulas.AtlasFunctions.AtlasBalance("UAT",DataAreaId,"T.MarkupTrans","Sum|Posted|0","","","","","","","MarkupCode|TransRecId|TransTableId","TPP",$O405,"64")</f>
        <v>0</v>
      </c>
    </row>
    <row r="406" spans="1:16" x14ac:dyDescent="0.25">
      <c r="A406" s="4" t="s">
        <v>116</v>
      </c>
      <c r="B406" s="4" t="s">
        <v>215</v>
      </c>
      <c r="C406" s="4" t="s">
        <v>192</v>
      </c>
      <c r="D406" s="4" t="s">
        <v>242</v>
      </c>
      <c r="E406" s="4" t="s">
        <v>55</v>
      </c>
      <c r="F406" s="4" t="s">
        <v>180</v>
      </c>
      <c r="G406" s="4" t="s">
        <v>49</v>
      </c>
      <c r="H406" s="4" t="s">
        <v>154</v>
      </c>
      <c r="I406" s="9">
        <v>42886</v>
      </c>
      <c r="J406" s="11">
        <v>1</v>
      </c>
      <c r="K406" s="4" t="s">
        <v>184</v>
      </c>
      <c r="L406" s="11">
        <v>228</v>
      </c>
      <c r="M406" s="11">
        <v>228</v>
      </c>
      <c r="N406" s="4" t="s">
        <v>8</v>
      </c>
      <c r="O406" s="5">
        <v>5637364609</v>
      </c>
      <c r="P406" s="11">
        <f>_xll.AtlasFormulas.AtlasFunctions.AtlasBalance("UAT",DataAreaId,"T.MarkupTrans","Sum|Posted|0","","","","","","","MarkupCode|TransRecId|TransTableId","TPP",$O406,"64")</f>
        <v>0</v>
      </c>
    </row>
    <row r="407" spans="1:16" x14ac:dyDescent="0.25">
      <c r="A407" s="4" t="s">
        <v>116</v>
      </c>
      <c r="B407" s="4" t="s">
        <v>175</v>
      </c>
      <c r="C407" s="4" t="s">
        <v>177</v>
      </c>
      <c r="D407" s="4" t="s">
        <v>246</v>
      </c>
      <c r="E407" s="4" t="s">
        <v>57</v>
      </c>
      <c r="F407" s="4" t="s">
        <v>180</v>
      </c>
      <c r="G407" s="4" t="s">
        <v>49</v>
      </c>
      <c r="H407" s="4" t="s">
        <v>154</v>
      </c>
      <c r="I407" s="9">
        <v>42886</v>
      </c>
      <c r="J407" s="11">
        <v>1</v>
      </c>
      <c r="K407" s="4" t="s">
        <v>184</v>
      </c>
      <c r="L407" s="11">
        <v>655</v>
      </c>
      <c r="M407" s="11">
        <v>655</v>
      </c>
      <c r="N407" s="4" t="s">
        <v>8</v>
      </c>
      <c r="O407" s="5">
        <v>5637364659</v>
      </c>
      <c r="P407" s="11">
        <f>_xll.AtlasFormulas.AtlasFunctions.AtlasBalance("UAT",DataAreaId,"T.MarkupTrans","Sum|Posted|0","","","","","","","MarkupCode|TransRecId|TransTableId","TPP",$O407,"64")</f>
        <v>0</v>
      </c>
    </row>
    <row r="408" spans="1:16" x14ac:dyDescent="0.25">
      <c r="A408" s="4" t="s">
        <v>116</v>
      </c>
      <c r="B408" s="4" t="s">
        <v>213</v>
      </c>
      <c r="C408" s="4" t="s">
        <v>178</v>
      </c>
      <c r="D408" s="4" t="s">
        <v>248</v>
      </c>
      <c r="E408" s="4" t="s">
        <v>62</v>
      </c>
      <c r="F408" s="4" t="s">
        <v>180</v>
      </c>
      <c r="G408" s="4" t="s">
        <v>49</v>
      </c>
      <c r="H408" s="4" t="s">
        <v>154</v>
      </c>
      <c r="I408" s="9">
        <v>42886</v>
      </c>
      <c r="J408" s="11">
        <v>1</v>
      </c>
      <c r="K408" s="4" t="s">
        <v>184</v>
      </c>
      <c r="L408" s="11">
        <v>66</v>
      </c>
      <c r="M408" s="11">
        <v>66</v>
      </c>
      <c r="N408" s="4" t="s">
        <v>8</v>
      </c>
      <c r="O408" s="5">
        <v>5637364812</v>
      </c>
      <c r="P408" s="11">
        <f>_xll.AtlasFormulas.AtlasFunctions.AtlasBalance("UAT",DataAreaId,"T.MarkupTrans","Sum|Posted|0","","","","","","","MarkupCode|TransRecId|TransTableId","TPP",$O408,"64")</f>
        <v>0</v>
      </c>
    </row>
    <row r="409" spans="1:16" x14ac:dyDescent="0.25">
      <c r="A409" s="4" t="s">
        <v>116</v>
      </c>
      <c r="B409" s="4" t="s">
        <v>244</v>
      </c>
      <c r="C409" s="4" t="s">
        <v>193</v>
      </c>
      <c r="D409" s="4" t="s">
        <v>245</v>
      </c>
      <c r="E409" s="4" t="s">
        <v>61</v>
      </c>
      <c r="F409" s="4" t="s">
        <v>180</v>
      </c>
      <c r="G409" s="4" t="s">
        <v>49</v>
      </c>
      <c r="H409" s="4" t="s">
        <v>154</v>
      </c>
      <c r="I409" s="9">
        <v>42886</v>
      </c>
      <c r="J409" s="11">
        <v>1</v>
      </c>
      <c r="K409" s="4" t="s">
        <v>184</v>
      </c>
      <c r="L409" s="11">
        <v>346</v>
      </c>
      <c r="M409" s="11">
        <v>346</v>
      </c>
      <c r="N409" s="4" t="s">
        <v>8</v>
      </c>
      <c r="O409" s="5">
        <v>5637364774</v>
      </c>
      <c r="P409" s="11">
        <f>_xll.AtlasFormulas.AtlasFunctions.AtlasBalance("UAT",DataAreaId,"T.MarkupTrans","Sum|Posted|0","","","","","","","MarkupCode|TransRecId|TransTableId","TPP",$O409,"64")</f>
        <v>0</v>
      </c>
    </row>
    <row r="410" spans="1:16" x14ac:dyDescent="0.25">
      <c r="A410" s="4" t="s">
        <v>116</v>
      </c>
      <c r="B410" s="4" t="s">
        <v>244</v>
      </c>
      <c r="C410" s="4" t="s">
        <v>193</v>
      </c>
      <c r="D410" s="4" t="s">
        <v>249</v>
      </c>
      <c r="E410" s="4" t="s">
        <v>91</v>
      </c>
      <c r="F410" s="4" t="s">
        <v>180</v>
      </c>
      <c r="G410" s="4" t="s">
        <v>49</v>
      </c>
      <c r="H410" s="4" t="s">
        <v>154</v>
      </c>
      <c r="I410" s="9">
        <v>42916</v>
      </c>
      <c r="J410" s="11">
        <v>1</v>
      </c>
      <c r="K410" s="4" t="s">
        <v>184</v>
      </c>
      <c r="L410" s="11">
        <v>1369</v>
      </c>
      <c r="M410" s="11">
        <v>1369</v>
      </c>
      <c r="N410" s="4" t="s">
        <v>8</v>
      </c>
      <c r="O410" s="5">
        <v>5637367289</v>
      </c>
      <c r="P410" s="11">
        <f>_xll.AtlasFormulas.AtlasFunctions.AtlasBalance("UAT",DataAreaId,"T.MarkupTrans","Sum|Posted|0","","","","","","","MarkupCode|TransRecId|TransTableId","TPP",$O410,"64")</f>
        <v>0</v>
      </c>
    </row>
    <row r="411" spans="1:16" x14ac:dyDescent="0.25">
      <c r="A411" s="4" t="s">
        <v>116</v>
      </c>
      <c r="B411" s="4" t="s">
        <v>213</v>
      </c>
      <c r="C411" s="4" t="s">
        <v>178</v>
      </c>
      <c r="D411" s="4" t="s">
        <v>250</v>
      </c>
      <c r="E411" s="4" t="s">
        <v>90</v>
      </c>
      <c r="F411" s="4" t="s">
        <v>180</v>
      </c>
      <c r="G411" s="4" t="s">
        <v>49</v>
      </c>
      <c r="H411" s="4" t="s">
        <v>154</v>
      </c>
      <c r="I411" s="9">
        <v>42916</v>
      </c>
      <c r="J411" s="11">
        <v>1</v>
      </c>
      <c r="K411" s="4" t="s">
        <v>184</v>
      </c>
      <c r="L411" s="11">
        <v>424</v>
      </c>
      <c r="M411" s="11">
        <v>424</v>
      </c>
      <c r="N411" s="4" t="s">
        <v>8</v>
      </c>
      <c r="O411" s="5">
        <v>5637367259</v>
      </c>
      <c r="P411" s="11">
        <f>_xll.AtlasFormulas.AtlasFunctions.AtlasBalance("UAT",DataAreaId,"T.MarkupTrans","Sum|Posted|0","","","","","","","MarkupCode|TransRecId|TransTableId","TPP",$O411,"64")</f>
        <v>0</v>
      </c>
    </row>
    <row r="412" spans="1:16" x14ac:dyDescent="0.25">
      <c r="A412" s="4" t="s">
        <v>116</v>
      </c>
      <c r="B412" s="4" t="s">
        <v>175</v>
      </c>
      <c r="C412" s="4" t="s">
        <v>177</v>
      </c>
      <c r="D412" s="4" t="s">
        <v>252</v>
      </c>
      <c r="E412" s="4" t="s">
        <v>95</v>
      </c>
      <c r="F412" s="4" t="s">
        <v>180</v>
      </c>
      <c r="G412" s="4" t="s">
        <v>49</v>
      </c>
      <c r="H412" s="4" t="s">
        <v>154</v>
      </c>
      <c r="I412" s="9">
        <v>42916</v>
      </c>
      <c r="J412" s="11">
        <v>1</v>
      </c>
      <c r="K412" s="4" t="s">
        <v>184</v>
      </c>
      <c r="L412" s="11">
        <v>2124</v>
      </c>
      <c r="M412" s="11">
        <v>2124</v>
      </c>
      <c r="N412" s="4" t="s">
        <v>8</v>
      </c>
      <c r="O412" s="5">
        <v>5637367413</v>
      </c>
      <c r="P412" s="11">
        <f>_xll.AtlasFormulas.AtlasFunctions.AtlasBalance("UAT",DataAreaId,"T.MarkupTrans","Sum|Posted|0","","","","","","","MarkupCode|TransRecId|TransTableId","TPP",$O412,"64")</f>
        <v>0</v>
      </c>
    </row>
    <row r="413" spans="1:16" x14ac:dyDescent="0.25">
      <c r="A413" s="4" t="s">
        <v>116</v>
      </c>
      <c r="B413" s="4" t="s">
        <v>215</v>
      </c>
      <c r="C413" s="4" t="s">
        <v>192</v>
      </c>
      <c r="D413" s="4" t="s">
        <v>253</v>
      </c>
      <c r="E413" s="4" t="s">
        <v>92</v>
      </c>
      <c r="F413" s="4" t="s">
        <v>180</v>
      </c>
      <c r="G413" s="4" t="s">
        <v>49</v>
      </c>
      <c r="H413" s="4" t="s">
        <v>154</v>
      </c>
      <c r="I413" s="9">
        <v>42916</v>
      </c>
      <c r="J413" s="11">
        <v>1</v>
      </c>
      <c r="K413" s="4" t="s">
        <v>184</v>
      </c>
      <c r="L413" s="11">
        <v>763</v>
      </c>
      <c r="M413" s="11">
        <v>763</v>
      </c>
      <c r="N413" s="4" t="s">
        <v>8</v>
      </c>
      <c r="O413" s="5">
        <v>5637367327</v>
      </c>
      <c r="P413" s="11">
        <f>_xll.AtlasFormulas.AtlasFunctions.AtlasBalance("UAT",DataAreaId,"T.MarkupTrans","Sum|Posted|0","","","","","","","MarkupCode|TransRecId|TransTableId","TPP",$O413,"64")</f>
        <v>0</v>
      </c>
    </row>
    <row r="414" spans="1:16" x14ac:dyDescent="0.25">
      <c r="A414" s="4" t="s">
        <v>116</v>
      </c>
      <c r="B414" s="4" t="s">
        <v>224</v>
      </c>
      <c r="C414" s="4" t="s">
        <v>225</v>
      </c>
      <c r="D414" s="4" t="s">
        <v>251</v>
      </c>
      <c r="E414" s="4" t="s">
        <v>93</v>
      </c>
      <c r="F414" s="4" t="s">
        <v>180</v>
      </c>
      <c r="G414" s="4" t="s">
        <v>49</v>
      </c>
      <c r="H414" s="4" t="s">
        <v>154</v>
      </c>
      <c r="I414" s="9">
        <v>42916</v>
      </c>
      <c r="J414" s="11">
        <v>1</v>
      </c>
      <c r="K414" s="4" t="s">
        <v>184</v>
      </c>
      <c r="L414" s="11">
        <v>1797</v>
      </c>
      <c r="M414" s="11">
        <v>1797</v>
      </c>
      <c r="N414" s="4" t="s">
        <v>8</v>
      </c>
      <c r="O414" s="5">
        <v>5637367365</v>
      </c>
      <c r="P414" s="11">
        <f>_xll.AtlasFormulas.AtlasFunctions.AtlasBalance("UAT",DataAreaId,"T.MarkupTrans","Sum|Posted|0","","","","","","","MarkupCode|TransRecId|TransTableId","TPP",$O414,"64")</f>
        <v>0</v>
      </c>
    </row>
    <row r="415" spans="1:16" x14ac:dyDescent="0.25">
      <c r="A415" s="4" t="s">
        <v>116</v>
      </c>
      <c r="B415" s="4" t="s">
        <v>239</v>
      </c>
      <c r="C415" s="4" t="s">
        <v>176</v>
      </c>
      <c r="D415" s="4" t="s">
        <v>254</v>
      </c>
      <c r="E415" s="4" t="s">
        <v>96</v>
      </c>
      <c r="F415" s="4" t="s">
        <v>180</v>
      </c>
      <c r="G415" s="4" t="s">
        <v>49</v>
      </c>
      <c r="H415" s="4" t="s">
        <v>154</v>
      </c>
      <c r="I415" s="9">
        <v>42916</v>
      </c>
      <c r="J415" s="11">
        <v>1</v>
      </c>
      <c r="K415" s="4" t="s">
        <v>184</v>
      </c>
      <c r="L415" s="11">
        <v>1397</v>
      </c>
      <c r="M415" s="11">
        <v>1397</v>
      </c>
      <c r="N415" s="4" t="s">
        <v>8</v>
      </c>
      <c r="O415" s="5">
        <v>5637367451</v>
      </c>
      <c r="P415" s="11">
        <f>_xll.AtlasFormulas.AtlasFunctions.AtlasBalance("UAT",DataAreaId,"T.MarkupTrans","Sum|Posted|0","","","","","","","MarkupCode|TransRecId|TransTableId","TPP",$O415,"64")</f>
        <v>0</v>
      </c>
    </row>
    <row r="416" spans="1:16" x14ac:dyDescent="0.25">
      <c r="A416" s="4" t="s">
        <v>116</v>
      </c>
      <c r="B416" s="4" t="s">
        <v>239</v>
      </c>
      <c r="C416" s="4" t="s">
        <v>176</v>
      </c>
      <c r="D416" s="4" t="s">
        <v>255</v>
      </c>
      <c r="E416" s="4" t="s">
        <v>111</v>
      </c>
      <c r="F416" s="4" t="s">
        <v>180</v>
      </c>
      <c r="G416" s="4" t="s">
        <v>49</v>
      </c>
      <c r="H416" s="4" t="s">
        <v>154</v>
      </c>
      <c r="I416" s="9">
        <v>42947</v>
      </c>
      <c r="J416" s="11">
        <v>1</v>
      </c>
      <c r="K416" s="4" t="s">
        <v>184</v>
      </c>
      <c r="L416" s="11">
        <v>1349</v>
      </c>
      <c r="M416" s="11">
        <v>1349</v>
      </c>
      <c r="N416" s="4" t="s">
        <v>8</v>
      </c>
      <c r="O416" s="5">
        <v>5637370754</v>
      </c>
      <c r="P416" s="11">
        <f>_xll.AtlasFormulas.AtlasFunctions.AtlasBalance("UAT",DataAreaId,"T.MarkupTrans","Sum|Posted|0","","","","","","","MarkupCode|TransRecId|TransTableId","TPP",$O416,"64")</f>
        <v>0</v>
      </c>
    </row>
    <row r="417" spans="1:16" x14ac:dyDescent="0.25">
      <c r="A417" s="4" t="s">
        <v>116</v>
      </c>
      <c r="B417" s="4" t="s">
        <v>224</v>
      </c>
      <c r="C417" s="4" t="s">
        <v>225</v>
      </c>
      <c r="D417" s="4" t="s">
        <v>258</v>
      </c>
      <c r="E417" s="4" t="s">
        <v>107</v>
      </c>
      <c r="F417" s="4" t="s">
        <v>180</v>
      </c>
      <c r="G417" s="4" t="s">
        <v>49</v>
      </c>
      <c r="H417" s="4" t="s">
        <v>154</v>
      </c>
      <c r="I417" s="9">
        <v>42947</v>
      </c>
      <c r="J417" s="11">
        <v>1</v>
      </c>
      <c r="K417" s="4" t="s">
        <v>184</v>
      </c>
      <c r="L417" s="11">
        <v>1850</v>
      </c>
      <c r="M417" s="11">
        <v>1850</v>
      </c>
      <c r="N417" s="4" t="s">
        <v>8</v>
      </c>
      <c r="O417" s="5">
        <v>5637370408</v>
      </c>
      <c r="P417" s="11">
        <f>_xll.AtlasFormulas.AtlasFunctions.AtlasBalance("UAT",DataAreaId,"T.MarkupTrans","Sum|Posted|0","","","","","","","MarkupCode|TransRecId|TransTableId","TPP",$O417,"64")</f>
        <v>0</v>
      </c>
    </row>
    <row r="418" spans="1:16" x14ac:dyDescent="0.25">
      <c r="A418" s="4" t="s">
        <v>116</v>
      </c>
      <c r="B418" s="4" t="s">
        <v>215</v>
      </c>
      <c r="C418" s="4" t="s">
        <v>192</v>
      </c>
      <c r="D418" s="4" t="s">
        <v>259</v>
      </c>
      <c r="E418" s="4" t="s">
        <v>109</v>
      </c>
      <c r="F418" s="4" t="s">
        <v>180</v>
      </c>
      <c r="G418" s="4" t="s">
        <v>49</v>
      </c>
      <c r="H418" s="4" t="s">
        <v>154</v>
      </c>
      <c r="I418" s="9">
        <v>42947</v>
      </c>
      <c r="J418" s="11">
        <v>1</v>
      </c>
      <c r="K418" s="4" t="s">
        <v>184</v>
      </c>
      <c r="L418" s="11">
        <v>608</v>
      </c>
      <c r="M418" s="11">
        <v>608</v>
      </c>
      <c r="N418" s="4" t="s">
        <v>8</v>
      </c>
      <c r="O418" s="5">
        <v>5637370456</v>
      </c>
      <c r="P418" s="11">
        <f>_xll.AtlasFormulas.AtlasFunctions.AtlasBalance("UAT",DataAreaId,"T.MarkupTrans","Sum|Posted|0","","","","","","","MarkupCode|TransRecId|TransTableId","TPP",$O418,"64")</f>
        <v>0</v>
      </c>
    </row>
    <row r="419" spans="1:16" x14ac:dyDescent="0.25">
      <c r="A419" s="4" t="s">
        <v>116</v>
      </c>
      <c r="B419" s="4" t="s">
        <v>175</v>
      </c>
      <c r="C419" s="4" t="s">
        <v>177</v>
      </c>
      <c r="D419" s="4" t="s">
        <v>256</v>
      </c>
      <c r="E419" s="4" t="s">
        <v>112</v>
      </c>
      <c r="F419" s="4" t="s">
        <v>180</v>
      </c>
      <c r="G419" s="4" t="s">
        <v>49</v>
      </c>
      <c r="H419" s="4" t="s">
        <v>154</v>
      </c>
      <c r="I419" s="9">
        <v>42947</v>
      </c>
      <c r="J419" s="11">
        <v>1</v>
      </c>
      <c r="K419" s="4" t="s">
        <v>184</v>
      </c>
      <c r="L419" s="11">
        <v>2185</v>
      </c>
      <c r="M419" s="11">
        <v>2185</v>
      </c>
      <c r="N419" s="4" t="s">
        <v>8</v>
      </c>
      <c r="O419" s="5">
        <v>5637370800</v>
      </c>
      <c r="P419" s="11">
        <f>_xll.AtlasFormulas.AtlasFunctions.AtlasBalance("UAT",DataAreaId,"T.MarkupTrans","Sum|Posted|0","","","","","","","MarkupCode|TransRecId|TransTableId","TPP",$O419,"64")</f>
        <v>0</v>
      </c>
    </row>
    <row r="420" spans="1:16" x14ac:dyDescent="0.25">
      <c r="A420" s="4" t="s">
        <v>116</v>
      </c>
      <c r="B420" s="4" t="s">
        <v>213</v>
      </c>
      <c r="C420" s="4" t="s">
        <v>178</v>
      </c>
      <c r="D420" s="4" t="s">
        <v>260</v>
      </c>
      <c r="E420" s="4" t="s">
        <v>105</v>
      </c>
      <c r="F420" s="4" t="s">
        <v>180</v>
      </c>
      <c r="G420" s="4" t="s">
        <v>49</v>
      </c>
      <c r="H420" s="4" t="s">
        <v>154</v>
      </c>
      <c r="I420" s="9">
        <v>42947</v>
      </c>
      <c r="J420" s="11">
        <v>1</v>
      </c>
      <c r="K420" s="4" t="s">
        <v>184</v>
      </c>
      <c r="L420" s="11">
        <v>154</v>
      </c>
      <c r="M420" s="11">
        <v>154</v>
      </c>
      <c r="N420" s="4" t="s">
        <v>8</v>
      </c>
      <c r="O420" s="5">
        <v>5637370321</v>
      </c>
      <c r="P420" s="11">
        <f>_xll.AtlasFormulas.AtlasFunctions.AtlasBalance("UAT",DataAreaId,"T.MarkupTrans","Sum|Posted|0","","","","","","","MarkupCode|TransRecId|TransTableId","TPP",$O420,"64")</f>
        <v>0</v>
      </c>
    </row>
    <row r="421" spans="1:16" x14ac:dyDescent="0.25">
      <c r="A421" s="4" t="s">
        <v>116</v>
      </c>
      <c r="B421" s="4" t="s">
        <v>244</v>
      </c>
      <c r="C421" s="4" t="s">
        <v>193</v>
      </c>
      <c r="D421" s="4" t="s">
        <v>257</v>
      </c>
      <c r="E421" s="4" t="s">
        <v>106</v>
      </c>
      <c r="F421" s="4" t="s">
        <v>180</v>
      </c>
      <c r="G421" s="4" t="s">
        <v>49</v>
      </c>
      <c r="H421" s="4" t="s">
        <v>154</v>
      </c>
      <c r="I421" s="9">
        <v>42947</v>
      </c>
      <c r="J421" s="11">
        <v>1</v>
      </c>
      <c r="K421" s="4" t="s">
        <v>184</v>
      </c>
      <c r="L421" s="11">
        <v>1332</v>
      </c>
      <c r="M421" s="11">
        <v>1332</v>
      </c>
      <c r="N421" s="4" t="s">
        <v>8</v>
      </c>
      <c r="O421" s="5">
        <v>5637370351</v>
      </c>
      <c r="P421" s="11">
        <f>_xll.AtlasFormulas.AtlasFunctions.AtlasBalance("UAT",DataAreaId,"T.MarkupTrans","Sum|Posted|0","","","","","","","MarkupCode|TransRecId|TransTableId","TPP",$O421,"64")</f>
        <v>0</v>
      </c>
    </row>
    <row r="422" spans="1:16" x14ac:dyDescent="0.25">
      <c r="A422" s="4" t="s">
        <v>116</v>
      </c>
      <c r="B422" s="4" t="s">
        <v>215</v>
      </c>
      <c r="C422" s="4" t="s">
        <v>192</v>
      </c>
      <c r="D422" s="4" t="s">
        <v>276</v>
      </c>
      <c r="E422" s="4" t="s">
        <v>50</v>
      </c>
      <c r="F422" s="4" t="s">
        <v>180</v>
      </c>
      <c r="G422" s="4" t="s">
        <v>24</v>
      </c>
      <c r="H422" s="4" t="s">
        <v>155</v>
      </c>
      <c r="I422" s="9">
        <v>42878</v>
      </c>
      <c r="J422" s="11">
        <v>1</v>
      </c>
      <c r="K422" s="4" t="s">
        <v>184</v>
      </c>
      <c r="L422" s="11">
        <v>4275</v>
      </c>
      <c r="M422" s="11">
        <v>4275</v>
      </c>
      <c r="N422" s="4" t="s">
        <v>8</v>
      </c>
      <c r="O422" s="5">
        <v>5637363640</v>
      </c>
      <c r="P422" s="11">
        <f>_xll.AtlasFormulas.AtlasFunctions.AtlasBalance("UAT",DataAreaId,"T.MarkupTrans","Sum|Posted|0","","","","","","","MarkupCode|TransRecId|TransTableId","TPP",$O422,"64")</f>
        <v>0</v>
      </c>
    </row>
    <row r="423" spans="1:16" x14ac:dyDescent="0.25">
      <c r="A423" s="4" t="s">
        <v>116</v>
      </c>
      <c r="B423" s="4" t="s">
        <v>215</v>
      </c>
      <c r="C423" s="4" t="s">
        <v>192</v>
      </c>
      <c r="D423" s="4" t="s">
        <v>277</v>
      </c>
      <c r="E423" s="4" t="s">
        <v>72</v>
      </c>
      <c r="F423" s="4" t="s">
        <v>180</v>
      </c>
      <c r="G423" s="4" t="s">
        <v>24</v>
      </c>
      <c r="H423" s="4" t="s">
        <v>155</v>
      </c>
      <c r="I423" s="9">
        <v>42908</v>
      </c>
      <c r="J423" s="11">
        <v>1</v>
      </c>
      <c r="K423" s="4" t="s">
        <v>184</v>
      </c>
      <c r="L423" s="11">
        <v>4275</v>
      </c>
      <c r="M423" s="11">
        <v>4275</v>
      </c>
      <c r="N423" s="4" t="s">
        <v>8</v>
      </c>
      <c r="O423" s="5">
        <v>5637365623</v>
      </c>
      <c r="P423" s="11">
        <f>_xll.AtlasFormulas.AtlasFunctions.AtlasBalance("UAT",DataAreaId,"T.MarkupTrans","Sum|Posted|0","","","","","","","MarkupCode|TransRecId|TransTableId","TPP",$O423,"64")</f>
        <v>0</v>
      </c>
    </row>
    <row r="424" spans="1:16" x14ac:dyDescent="0.25">
      <c r="A424" s="4" t="s">
        <v>116</v>
      </c>
      <c r="B424" s="4" t="s">
        <v>215</v>
      </c>
      <c r="C424" s="4" t="s">
        <v>192</v>
      </c>
      <c r="D424" s="4" t="s">
        <v>278</v>
      </c>
      <c r="E424" s="4" t="s">
        <v>100</v>
      </c>
      <c r="F424" s="4" t="s">
        <v>180</v>
      </c>
      <c r="G424" s="4" t="s">
        <v>24</v>
      </c>
      <c r="H424" s="4" t="s">
        <v>155</v>
      </c>
      <c r="I424" s="9">
        <v>42936</v>
      </c>
      <c r="J424" s="11">
        <v>1</v>
      </c>
      <c r="K424" s="4" t="s">
        <v>184</v>
      </c>
      <c r="L424" s="11">
        <v>4275</v>
      </c>
      <c r="M424" s="11">
        <v>4275</v>
      </c>
      <c r="N424" s="4" t="s">
        <v>8</v>
      </c>
      <c r="O424" s="5">
        <v>5637369033</v>
      </c>
      <c r="P424" s="11">
        <f>_xll.AtlasFormulas.AtlasFunctions.AtlasBalance("UAT",DataAreaId,"T.MarkupTrans","Sum|Posted|0","","","","","","","MarkupCode|TransRecId|TransTableId","TPP",$O424,"64")</f>
        <v>0</v>
      </c>
    </row>
    <row r="425" spans="1:16" x14ac:dyDescent="0.25">
      <c r="A425" s="2" t="s">
        <v>114</v>
      </c>
      <c r="B425" s="3"/>
      <c r="C425" s="3"/>
      <c r="D425" s="3"/>
      <c r="E425" s="3" t="s">
        <v>114</v>
      </c>
      <c r="F425" s="3"/>
      <c r="G425" s="3"/>
      <c r="H425" s="3"/>
      <c r="I425" s="8"/>
      <c r="J425" s="10">
        <f>SUBTOTAL(109,AtlasReport_1_Table_1[Quantity])</f>
        <v>3255</v>
      </c>
      <c r="K425" s="3"/>
      <c r="L425" s="10">
        <f>SUBTOTAL(109,AtlasReport_1_Table_1[Unit price])</f>
        <v>954814.50380000006</v>
      </c>
      <c r="M425" s="10">
        <f>SUBTOTAL(109,AtlasReport_1_Table_1[Amount])</f>
        <v>809980.33000000007</v>
      </c>
      <c r="N425" s="3"/>
      <c r="O425" s="2"/>
      <c r="P425" s="10">
        <f>SUBTOTAL(109,AtlasReport_1_Table_1[TPP Amount])</f>
        <v>-2408.3599999999997</v>
      </c>
    </row>
    <row r="426" spans="1:16" x14ac:dyDescent="0.25">
      <c r="A426" s="2"/>
      <c r="B426" s="2"/>
      <c r="C426" s="2"/>
      <c r="D426" s="2"/>
      <c r="E426" s="2"/>
      <c r="F426" s="2"/>
      <c r="G426" s="2"/>
      <c r="H426" s="2"/>
      <c r="I426" s="8"/>
      <c r="J426" s="10"/>
      <c r="K426" s="2"/>
      <c r="L426" s="10"/>
      <c r="M426" s="10"/>
      <c r="N426" s="2"/>
      <c r="O426" s="2"/>
      <c r="P426" s="10"/>
    </row>
    <row r="427" spans="1:16" x14ac:dyDescent="0.25">
      <c r="A427" s="2"/>
      <c r="B427" s="2"/>
      <c r="C427" s="2"/>
      <c r="D427" s="2"/>
      <c r="E427" s="2"/>
      <c r="F427" s="2"/>
      <c r="G427" s="2"/>
      <c r="H427" s="2"/>
      <c r="I427" s="8"/>
      <c r="J427" s="10"/>
      <c r="K427" s="2"/>
      <c r="L427" s="10"/>
      <c r="M427" s="10"/>
      <c r="N427" s="2"/>
      <c r="O427" s="2"/>
      <c r="P427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"/>
  <sheetViews>
    <sheetView workbookViewId="0">
      <selection activeCell="C3" sqref="C3"/>
    </sheetView>
  </sheetViews>
  <sheetFormatPr defaultRowHeight="15" x14ac:dyDescent="0.25"/>
  <cols>
    <col min="1" max="1" width="6.85546875" customWidth="1"/>
    <col min="2" max="2" width="13.85546875" customWidth="1"/>
    <col min="3" max="3" width="19.28515625" customWidth="1"/>
    <col min="4" max="4" width="16.7109375" customWidth="1"/>
    <col min="5" max="5" width="9.7109375" customWidth="1"/>
    <col min="6" max="6" width="13.5703125" customWidth="1"/>
    <col min="7" max="7" width="7.42578125" customWidth="1"/>
    <col min="8" max="8" width="29.85546875" customWidth="1"/>
    <col min="9" max="9" width="9.7109375" customWidth="1"/>
    <col min="10" max="10" width="11" customWidth="1"/>
    <col min="11" max="11" width="7.140625" customWidth="1"/>
    <col min="12" max="12" width="12" customWidth="1"/>
    <col min="13" max="13" width="10.42578125" customWidth="1"/>
    <col min="14" max="14" width="11.140625" customWidth="1"/>
    <col min="15" max="15" width="15.140625" customWidth="1"/>
    <col min="16" max="16" width="14.140625" customWidth="1"/>
  </cols>
  <sheetData>
    <row r="1" spans="1:16" ht="22.5" x14ac:dyDescent="0.3">
      <c r="A1" s="1" t="s">
        <v>187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2" t="s">
        <v>115</v>
      </c>
      <c r="B2" s="2" t="s">
        <v>188</v>
      </c>
      <c r="C2" s="2" t="s">
        <v>174</v>
      </c>
      <c r="D2" s="2" t="s">
        <v>160</v>
      </c>
      <c r="E2" s="2" t="s">
        <v>2</v>
      </c>
      <c r="F2" s="2" t="s">
        <v>179</v>
      </c>
      <c r="G2" s="2" t="s">
        <v>3</v>
      </c>
      <c r="H2" s="2" t="s">
        <v>117</v>
      </c>
      <c r="I2" s="8" t="s">
        <v>156</v>
      </c>
      <c r="J2" s="10" t="s">
        <v>4</v>
      </c>
      <c r="K2" s="2" t="s">
        <v>182</v>
      </c>
      <c r="L2" s="10" t="s">
        <v>5</v>
      </c>
      <c r="M2" s="10" t="s">
        <v>6</v>
      </c>
      <c r="N2" s="2" t="s">
        <v>7</v>
      </c>
      <c r="O2" s="2" t="s">
        <v>185</v>
      </c>
      <c r="P2" s="10" t="s">
        <v>186</v>
      </c>
    </row>
    <row r="3" spans="1:16" x14ac:dyDescent="0.25">
      <c r="A3" s="4" t="s">
        <v>116</v>
      </c>
      <c r="B3" s="4" t="s">
        <v>279</v>
      </c>
      <c r="C3" s="4" t="s">
        <v>209</v>
      </c>
      <c r="D3" s="4" t="s">
        <v>280</v>
      </c>
      <c r="E3" s="4" t="s">
        <v>281</v>
      </c>
      <c r="F3" s="4" t="s">
        <v>180</v>
      </c>
      <c r="G3" s="4" t="s">
        <v>27</v>
      </c>
      <c r="H3" s="4" t="s">
        <v>119</v>
      </c>
      <c r="I3" s="9">
        <v>42922</v>
      </c>
      <c r="J3" s="11">
        <v>2</v>
      </c>
      <c r="K3" s="4" t="s">
        <v>184</v>
      </c>
      <c r="L3" s="11">
        <v>12800</v>
      </c>
      <c r="M3" s="11">
        <v>25600</v>
      </c>
      <c r="N3" s="4" t="s">
        <v>8</v>
      </c>
      <c r="O3" s="5">
        <v>5637293454</v>
      </c>
      <c r="P3" s="11">
        <f>_xll.AtlasFormulas.AtlasFunctions.AtlasBalance("UAT",DataAreaId,"T.MarkupTrans","Sum|Posted|0","","","","","","","TransRecId|TransTableId|MarkupCode",$O3,"492","TPP")</f>
        <v>0</v>
      </c>
    </row>
    <row r="4" spans="1:16" ht="30" x14ac:dyDescent="0.25">
      <c r="A4" s="4" t="s">
        <v>116</v>
      </c>
      <c r="B4" s="4" t="s">
        <v>279</v>
      </c>
      <c r="C4" s="4" t="s">
        <v>209</v>
      </c>
      <c r="D4" s="4" t="s">
        <v>282</v>
      </c>
      <c r="E4" s="4" t="s">
        <v>283</v>
      </c>
      <c r="F4" s="4" t="s">
        <v>180</v>
      </c>
      <c r="G4" s="4" t="s">
        <v>78</v>
      </c>
      <c r="H4" s="6" t="s">
        <v>126</v>
      </c>
      <c r="I4" s="9">
        <v>42873</v>
      </c>
      <c r="J4" s="11">
        <v>4</v>
      </c>
      <c r="K4" s="4" t="s">
        <v>184</v>
      </c>
      <c r="L4" s="11">
        <v>470</v>
      </c>
      <c r="M4" s="11">
        <v>1880</v>
      </c>
      <c r="N4" s="4" t="s">
        <v>8</v>
      </c>
      <c r="O4" s="5">
        <v>5637292306</v>
      </c>
      <c r="P4" s="11">
        <f>_xll.AtlasFormulas.AtlasFunctions.AtlasBalance("UAT",DataAreaId,"T.MarkupTrans","Sum|Posted|0","","","","","","","TransRecId|TransTableId|MarkupCode",$O4,"492","TPP")</f>
        <v>0</v>
      </c>
    </row>
    <row r="5" spans="1:16" x14ac:dyDescent="0.25">
      <c r="A5" s="2" t="s">
        <v>114</v>
      </c>
      <c r="B5" s="3"/>
      <c r="C5" s="3"/>
      <c r="D5" s="3" t="s">
        <v>114</v>
      </c>
      <c r="E5" s="3"/>
      <c r="F5" s="3"/>
      <c r="G5" s="3"/>
      <c r="H5" s="2"/>
      <c r="I5" s="8"/>
      <c r="J5" s="10">
        <f>SUBTOTAL(109,AtlasReport_2_Table_1[Quantity])</f>
        <v>6</v>
      </c>
      <c r="K5" s="3"/>
      <c r="L5" s="10">
        <f>SUBTOTAL(109,AtlasReport_2_Table_1[Unit price])</f>
        <v>13270</v>
      </c>
      <c r="M5" s="10">
        <f>SUBTOTAL(109,AtlasReport_2_Table_1[Amount])</f>
        <v>27480</v>
      </c>
      <c r="N5" s="3"/>
      <c r="O5" s="2"/>
      <c r="P5" s="10">
        <f>SUBTOTAL(109,AtlasReport_2_Table_1[TPP Amount])</f>
        <v>0</v>
      </c>
    </row>
    <row r="6" spans="1:16" x14ac:dyDescent="0.25">
      <c r="A6" s="2"/>
      <c r="B6" s="2"/>
      <c r="C6" s="2"/>
      <c r="D6" s="2"/>
      <c r="E6" s="2"/>
      <c r="F6" s="2"/>
      <c r="G6" s="2"/>
      <c r="H6" s="2"/>
      <c r="I6" s="8"/>
      <c r="J6" s="10"/>
      <c r="K6" s="2"/>
      <c r="L6" s="10"/>
      <c r="M6" s="10"/>
      <c r="N6" s="2"/>
      <c r="O6" s="2"/>
      <c r="P6" s="10"/>
    </row>
    <row r="7" spans="1:16" x14ac:dyDescent="0.25">
      <c r="A7" s="2"/>
      <c r="B7" s="2"/>
      <c r="C7" s="2"/>
      <c r="D7" s="2"/>
      <c r="E7" s="2"/>
      <c r="F7" s="2"/>
      <c r="G7" s="2"/>
      <c r="H7" s="2"/>
      <c r="I7" s="8"/>
      <c r="J7" s="10"/>
      <c r="K7" s="2"/>
      <c r="L7" s="10"/>
      <c r="M7" s="10"/>
      <c r="N7" s="2"/>
      <c r="O7" s="2"/>
      <c r="P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2"/>
  <sheetViews>
    <sheetView workbookViewId="0">
      <selection activeCell="F19" sqref="F19"/>
    </sheetView>
  </sheetViews>
  <sheetFormatPr defaultRowHeight="15" x14ac:dyDescent="0.25"/>
  <cols>
    <col min="1" max="1" width="11.42578125" customWidth="1"/>
    <col min="2" max="2" width="12.7109375" bestFit="1" customWidth="1"/>
    <col min="3" max="3" width="24.42578125" customWidth="1"/>
    <col min="4" max="4" width="16.28515625" bestFit="1" customWidth="1"/>
    <col min="5" max="5" width="11.85546875" bestFit="1" customWidth="1"/>
    <col min="6" max="6" width="13.5703125" bestFit="1" customWidth="1"/>
    <col min="7" max="7" width="16.140625" bestFit="1" customWidth="1"/>
    <col min="8" max="8" width="54.28515625" bestFit="1" customWidth="1"/>
    <col min="9" max="9" width="9.7109375" bestFit="1" customWidth="1"/>
    <col min="10" max="10" width="11" bestFit="1" customWidth="1"/>
    <col min="11" max="11" width="7.140625" bestFit="1" customWidth="1"/>
    <col min="12" max="12" width="12" bestFit="1" customWidth="1"/>
    <col min="13" max="13" width="11" bestFit="1" customWidth="1"/>
    <col min="14" max="14" width="11.140625" bestFit="1" customWidth="1"/>
    <col min="15" max="15" width="14.7109375" bestFit="1" customWidth="1"/>
    <col min="16" max="16" width="14.140625" bestFit="1" customWidth="1"/>
  </cols>
  <sheetData>
    <row r="1" spans="1:16" x14ac:dyDescent="0.25">
      <c r="A1" t="s">
        <v>284</v>
      </c>
      <c r="B1" t="s">
        <v>285</v>
      </c>
      <c r="C1" t="s">
        <v>286</v>
      </c>
      <c r="D1" t="s">
        <v>287</v>
      </c>
      <c r="E1" t="s">
        <v>288</v>
      </c>
      <c r="F1" t="s">
        <v>179</v>
      </c>
      <c r="G1" t="s">
        <v>289</v>
      </c>
      <c r="H1" t="s">
        <v>290</v>
      </c>
      <c r="I1" t="s">
        <v>156</v>
      </c>
      <c r="J1" t="s">
        <v>4</v>
      </c>
      <c r="K1" t="s">
        <v>182</v>
      </c>
      <c r="L1" t="s">
        <v>291</v>
      </c>
      <c r="M1" t="s">
        <v>6</v>
      </c>
      <c r="N1" t="s">
        <v>7</v>
      </c>
      <c r="O1" t="s">
        <v>292</v>
      </c>
      <c r="P1" t="s">
        <v>186</v>
      </c>
    </row>
    <row r="2" spans="1:16" x14ac:dyDescent="0.25">
      <c r="A2">
        <v>366</v>
      </c>
      <c r="B2" s="12" t="s">
        <v>302</v>
      </c>
      <c r="C2" t="s">
        <v>301</v>
      </c>
      <c r="D2" t="s">
        <v>303</v>
      </c>
      <c r="E2" s="12">
        <v>111004478</v>
      </c>
      <c r="F2" t="s">
        <v>299</v>
      </c>
      <c r="G2" t="s">
        <v>10</v>
      </c>
      <c r="H2" t="s">
        <v>129</v>
      </c>
      <c r="I2" s="7">
        <v>42860</v>
      </c>
      <c r="J2">
        <v>1</v>
      </c>
      <c r="K2" t="s">
        <v>184</v>
      </c>
      <c r="L2">
        <v>770</v>
      </c>
      <c r="M2">
        <v>770</v>
      </c>
      <c r="N2" t="s">
        <v>8</v>
      </c>
      <c r="O2" t="s">
        <v>293</v>
      </c>
      <c r="P2">
        <v>0</v>
      </c>
    </row>
    <row r="3" spans="1:16" x14ac:dyDescent="0.25">
      <c r="A3">
        <v>366</v>
      </c>
      <c r="B3" s="12" t="s">
        <v>302</v>
      </c>
      <c r="C3" t="s">
        <v>301</v>
      </c>
      <c r="D3" t="s">
        <v>304</v>
      </c>
      <c r="E3" s="12">
        <v>111004561</v>
      </c>
      <c r="F3" t="s">
        <v>299</v>
      </c>
      <c r="G3" t="s">
        <v>10</v>
      </c>
      <c r="H3" t="s">
        <v>129</v>
      </c>
      <c r="I3" s="7">
        <v>42878</v>
      </c>
      <c r="J3">
        <v>1</v>
      </c>
      <c r="K3" t="s">
        <v>184</v>
      </c>
      <c r="L3">
        <v>770</v>
      </c>
      <c r="M3">
        <v>770</v>
      </c>
      <c r="N3" t="s">
        <v>8</v>
      </c>
      <c r="O3" t="s">
        <v>293</v>
      </c>
      <c r="P3">
        <v>0</v>
      </c>
    </row>
    <row r="4" spans="1:16" x14ac:dyDescent="0.25">
      <c r="A4">
        <v>366</v>
      </c>
      <c r="B4" s="12" t="s">
        <v>302</v>
      </c>
      <c r="C4" t="s">
        <v>301</v>
      </c>
      <c r="D4" t="s">
        <v>305</v>
      </c>
      <c r="E4" s="12">
        <v>111004581</v>
      </c>
      <c r="F4" t="s">
        <v>299</v>
      </c>
      <c r="G4" t="s">
        <v>10</v>
      </c>
      <c r="H4" t="s">
        <v>129</v>
      </c>
      <c r="I4" s="7">
        <v>42886</v>
      </c>
      <c r="J4">
        <v>1</v>
      </c>
      <c r="K4" t="s">
        <v>184</v>
      </c>
      <c r="L4">
        <v>880</v>
      </c>
      <c r="M4">
        <v>880</v>
      </c>
      <c r="N4" t="s">
        <v>8</v>
      </c>
      <c r="O4" t="s">
        <v>293</v>
      </c>
      <c r="P4">
        <v>0</v>
      </c>
    </row>
    <row r="5" spans="1:16" x14ac:dyDescent="0.25">
      <c r="A5">
        <v>366</v>
      </c>
      <c r="B5" s="12" t="s">
        <v>297</v>
      </c>
      <c r="C5" t="s">
        <v>193</v>
      </c>
      <c r="D5" t="s">
        <v>298</v>
      </c>
      <c r="E5" s="12">
        <v>111000533</v>
      </c>
      <c r="F5" t="s">
        <v>299</v>
      </c>
      <c r="G5" t="s">
        <v>10</v>
      </c>
      <c r="H5" t="s">
        <v>129</v>
      </c>
      <c r="I5" s="7">
        <v>42914</v>
      </c>
      <c r="J5">
        <v>1</v>
      </c>
      <c r="K5" t="s">
        <v>184</v>
      </c>
      <c r="L5">
        <v>8175</v>
      </c>
      <c r="M5">
        <v>8175</v>
      </c>
      <c r="N5" t="s">
        <v>8</v>
      </c>
      <c r="O5" t="s">
        <v>294</v>
      </c>
      <c r="P5">
        <v>0</v>
      </c>
    </row>
    <row r="6" spans="1:16" x14ac:dyDescent="0.25">
      <c r="A6">
        <v>366</v>
      </c>
      <c r="B6" s="12" t="s">
        <v>302</v>
      </c>
      <c r="C6" t="s">
        <v>301</v>
      </c>
      <c r="D6" t="s">
        <v>306</v>
      </c>
      <c r="E6" s="12">
        <v>111004869</v>
      </c>
      <c r="F6" t="s">
        <v>299</v>
      </c>
      <c r="G6" t="s">
        <v>10</v>
      </c>
      <c r="H6" t="s">
        <v>129</v>
      </c>
      <c r="I6" s="7">
        <v>42928</v>
      </c>
      <c r="J6">
        <v>1</v>
      </c>
      <c r="K6" t="s">
        <v>184</v>
      </c>
      <c r="L6">
        <v>825</v>
      </c>
      <c r="M6">
        <v>825</v>
      </c>
      <c r="N6" t="s">
        <v>8</v>
      </c>
      <c r="O6" t="s">
        <v>293</v>
      </c>
      <c r="P6">
        <v>0</v>
      </c>
    </row>
    <row r="7" spans="1:16" x14ac:dyDescent="0.25">
      <c r="A7">
        <v>366</v>
      </c>
      <c r="B7" s="12" t="s">
        <v>302</v>
      </c>
      <c r="C7" t="s">
        <v>301</v>
      </c>
      <c r="D7" t="s">
        <v>307</v>
      </c>
      <c r="E7" s="12">
        <v>111004871</v>
      </c>
      <c r="F7" t="s">
        <v>299</v>
      </c>
      <c r="G7" t="s">
        <v>10</v>
      </c>
      <c r="H7" t="s">
        <v>129</v>
      </c>
      <c r="I7" s="7">
        <v>42947</v>
      </c>
      <c r="J7">
        <v>1</v>
      </c>
      <c r="K7" t="s">
        <v>184</v>
      </c>
      <c r="L7">
        <v>935</v>
      </c>
      <c r="M7">
        <v>935</v>
      </c>
      <c r="N7" t="s">
        <v>8</v>
      </c>
      <c r="O7" t="s">
        <v>293</v>
      </c>
      <c r="P7">
        <v>0</v>
      </c>
    </row>
    <row r="8" spans="1:16" x14ac:dyDescent="0.25">
      <c r="A8">
        <v>366</v>
      </c>
      <c r="B8" s="12" t="s">
        <v>309</v>
      </c>
      <c r="C8" t="s">
        <v>300</v>
      </c>
      <c r="D8" t="s">
        <v>310</v>
      </c>
      <c r="E8" s="12">
        <v>111000439</v>
      </c>
      <c r="F8" t="s">
        <v>299</v>
      </c>
      <c r="G8" t="s">
        <v>10</v>
      </c>
      <c r="H8" t="s">
        <v>129</v>
      </c>
      <c r="I8" s="7">
        <v>42947</v>
      </c>
      <c r="J8">
        <v>1</v>
      </c>
      <c r="K8" t="s">
        <v>184</v>
      </c>
      <c r="L8">
        <v>412.5</v>
      </c>
      <c r="M8">
        <v>412.5</v>
      </c>
      <c r="N8" t="s">
        <v>8</v>
      </c>
      <c r="O8" t="s">
        <v>293</v>
      </c>
      <c r="P8">
        <v>0</v>
      </c>
    </row>
    <row r="9" spans="1:16" x14ac:dyDescent="0.25">
      <c r="A9">
        <v>366</v>
      </c>
      <c r="B9" s="12" t="s">
        <v>302</v>
      </c>
      <c r="C9" t="s">
        <v>301</v>
      </c>
      <c r="D9" t="s">
        <v>311</v>
      </c>
      <c r="E9" s="12">
        <v>111005015</v>
      </c>
      <c r="F9" t="s">
        <v>299</v>
      </c>
      <c r="G9" t="s">
        <v>10</v>
      </c>
      <c r="H9" t="s">
        <v>129</v>
      </c>
      <c r="I9" s="7">
        <v>42950</v>
      </c>
      <c r="J9">
        <v>1</v>
      </c>
      <c r="K9" t="s">
        <v>184</v>
      </c>
      <c r="L9">
        <v>880</v>
      </c>
      <c r="M9">
        <v>880</v>
      </c>
      <c r="N9" t="s">
        <v>8</v>
      </c>
      <c r="O9" t="s">
        <v>293</v>
      </c>
      <c r="P9">
        <v>0</v>
      </c>
    </row>
    <row r="10" spans="1:16" x14ac:dyDescent="0.25">
      <c r="A10">
        <v>366</v>
      </c>
      <c r="B10" s="12" t="s">
        <v>302</v>
      </c>
      <c r="C10" t="s">
        <v>301</v>
      </c>
      <c r="D10" t="s">
        <v>312</v>
      </c>
      <c r="E10" s="12">
        <v>111005028</v>
      </c>
      <c r="F10" t="s">
        <v>299</v>
      </c>
      <c r="G10" t="s">
        <v>10</v>
      </c>
      <c r="H10" t="s">
        <v>129</v>
      </c>
      <c r="I10" s="7">
        <v>42954</v>
      </c>
      <c r="J10">
        <v>1</v>
      </c>
      <c r="K10" t="s">
        <v>184</v>
      </c>
      <c r="L10">
        <v>770</v>
      </c>
      <c r="M10">
        <v>770</v>
      </c>
      <c r="N10" t="s">
        <v>8</v>
      </c>
      <c r="O10" t="s">
        <v>293</v>
      </c>
      <c r="P10">
        <v>0</v>
      </c>
    </row>
    <row r="11" spans="1:16" x14ac:dyDescent="0.25">
      <c r="A11">
        <v>366</v>
      </c>
      <c r="B11" s="12" t="s">
        <v>302</v>
      </c>
      <c r="C11" t="s">
        <v>301</v>
      </c>
      <c r="D11" t="s">
        <v>308</v>
      </c>
      <c r="E11" s="12">
        <v>111005027</v>
      </c>
      <c r="F11" t="s">
        <v>299</v>
      </c>
      <c r="G11" t="s">
        <v>10</v>
      </c>
      <c r="H11" t="s">
        <v>129</v>
      </c>
      <c r="I11" s="7">
        <v>42956</v>
      </c>
      <c r="J11">
        <v>1</v>
      </c>
      <c r="K11" t="s">
        <v>184</v>
      </c>
      <c r="L11">
        <v>990</v>
      </c>
      <c r="M11">
        <v>990</v>
      </c>
      <c r="N11" t="s">
        <v>8</v>
      </c>
      <c r="O11" t="s">
        <v>293</v>
      </c>
      <c r="P11">
        <v>0</v>
      </c>
    </row>
    <row r="12" spans="1:16" x14ac:dyDescent="0.25">
      <c r="A12" t="s">
        <v>114</v>
      </c>
      <c r="J12">
        <f>SUBTOTAL(109,ReSaleList[Quantity])</f>
        <v>10</v>
      </c>
      <c r="M12">
        <f>SUBTOTAL(109,ReSaleList[Amount])</f>
        <v>15407.5</v>
      </c>
      <c r="P12">
        <f>SUBTOTAL(109,ReSaleList[TPP Amount])</f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bd06df48-9e25-471c-b09f-23d8e1b8a7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BAAAAAQ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QQ3VzdEludm9pY2VUcmFucwYeAAAAFkN1c3RvbWVyIGludm9pY2UgbGluZXMJCAAAAAkIAAAACQgAAAAF4P///zBHbG9iZVNvZnR3YXJlLkF0bGFzNDAuQXRsYXNDb21tb24uRGF0YVNvdXJjZVR5cGUBAAAAB3ZhbHVlX18ACAIAAAAAAAAACSEAAAAJIgAAAATd////C1N5c3RlbS5HdWlkCwAAAAJfYQJfYgJfYwJfZAJfZQJfZgJfZwJfaAJfaQJfagJfawAAAAAAAAAAAAAACAcHAgICAgICAgJQx6xgis4kQZJrbIaDCFWoCQgAAAAJCAAAAAklAAAABiYAAAAWVGFibGUuQ3VzdEludm9pY2V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vVGFibGUuQ3VzdEludm9pY2VUcmFucy5JdGVtSWR+VGFibGUuSW52ZW50VGFibGUJMQAAAAHO////1P///wYzAAAANlRhYmxlLkN1c3RJbnZvaWNlVHJhbnMuSW52b2ljZUlkflRhYmxlLkN1c3RJbnZvaWNlSm91cgk0AAAAAcv////U////BjYAAABTVGFibGUuQ3VzdEludm9pY2VUcmFucy5JbnZvaWNlSWR+VGFibGUuQ3VzdEludm9pY2VKb3VyLk9yZGVyQWNjb3VudH5UYWJsZS5DdXN0VGFibGUJNwAAAAcUAAAAAAEAAAAQAAAABC1HbG9iZVNvZnR3YXJlLkF0bGFzNDAuQXRsYXNDb21tb24uVHlwZS5Db2x1bW4CAAAACTgAAAAJOQAAAAk6AAAACTsAAAAJPAAAAAk9AAAACT4AAAAJPwAAAAlAAAAACUEAAAAJQgAAAAlDAAAACUQAAAAJRQAAAAlGAAAACUcAAAARFQAAAAQAAAAGSAAAAA1BdGxhc1JlcG9ydF8x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S3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1////t////wZMAAAAEVRhYmxlLkludmVudFRhYmxlCTAAAAABsv///7f///8GTwAAABVUYWJsZS5DdXN0SW52b2ljZUpvdXIJMwAAAAGv////t////wZSAAAAMlRhYmxlLkN1c3RJbnZvaWNlSm91ci5PcmRlckFjY291bnR+VGFibGUuQ3VzdFRhYmxlCT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Kz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q////z5HbG9iZVNvZnR3YXJlLkF0bGFzNDAuQXRsYXNDb21tb24uVHlwZS5BdGxhc1F1ZXJ5QXR0cmlidXRlTmFtZQEAAAAHdmFsdWVfXwAIAgAAAAIAAAAGVgAAACRiZDA2ZGY0OC05ZTI1LTQ3MWMtYjA5Zi0yM2Q4ZTFiOGE3MjIBqf///6z///8BqP///6v///8AAAAABlkAAAAEdHJ1ZQGm////rP///wGl////q////wsAAAAGXAAAABZDdXN0b21lciBpbnZvaWNlIGxpbmVzAaP///+s////AaL///+r////GwAAAAZfAAAABFRydWUBoP///6z///8Bn////6v///8GAAAABmIAAAAFRmFsc2UBnf///6z///8BnP///6v///8cAAAACV8AAAABmv///6z///8Bmf///6v///8dAAAACWIAAAABl////6z///8Blv///6v///8qAAAACV8AAAABlP///6z///8Bk////6v///8BAAAABm4AAAADMzYwAZH///+s////AZD///+r////JwAAAAZxAAAACz1EYXRhQXJlYUlkAY7///+s////AY3///+r////GQAAAAZ0AAAAD0NlbGxzVmVydGljYWxseQGL////rP///wGK////q////wkAAAAKAYn///+s////AYj///+r////KAAAAAZ5AAAAAjE2AYb///+s////AYX///+r////KwAAAAZ8AAAAEVRhYmxlU3R5bGVNZWRpdW0yBxwAAAAAAQAAAAQ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D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4AAAAQQ3VzdEludm9pY2VUcmFucwEAAAABgf///4P///8GgAAAAAtJbnZlbnRUYWJsZQEAAAABf////4P///8GggAAAA9DdXN0SW52b2ljZUpvdXIBAAAAAX3///+D////BoQAAAAJQ3Vz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mFAAAAEQAAAAmG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AAAAAElAAAABAAAAAIAAAAJhQAAAAMAAAAJig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LAAAAAAAAAAcqAAAAAAEAAAAAAAAABC1HbG9iZVNvZnR3YXJlLkF0bGFzNDAuQXRsYXNDb21tb24uVHlwZS5Db2x1bW4CAAAAATEAAAAOAAAA/////waMAAAAC0ludmVudFRhYmxlBo0AAAAFSXRlbXMJCAAAAAkIAAAACQgAAAABcf///+D///8AAAAACZAAAAAJkQAAAAFu////3f///4Td9roly0lHrx+A8VvlbFAJCAAAAAkIAAAACZQAAAAJMAAAAAaWAAAAEEN1c3RJbnZvaWNlVHJhbnMGlwAAABZUYWJsZS5DdXN0SW52b2ljZVRyYW5zBpgAAAAdVGFibGUuQ3VzdEludm9pY2VUcmFucy5JdGVtSWQGmQAAAAZJdGVtSWQGmgAAAAZJdGVtSWQBAAAAAWX////Z////AAAAAAFk////2P///wAAAAAACZ0AAAABNAAAAA4AAAD/////Bp4AAAAPQ3VzdEludm9pY2VKb3VyBp8AAAAYQ3VzdG9tZXIgaW52b2ljZSBqb3VybmFsCQgAAAAJCAAAAAkIAAAAAV/////g////AAAAAAmiAAAACaMAAAABXP///93///+0ylJfjLKyQKhyO8e6M9XkCQgAAAAJCAAAAAmmAAAACTMAAAAGqAAAABBDdXN0SW52b2ljZVRyYW5zBqkAAAAWVGFibGUuQ3VzdEludm9pY2VUcmFucwaqAAAAIFRhYmxlLkN1c3RJbnZvaWNlVHJhbnMuSW52b2ljZUlkBqsAAAAJSW52b2ljZUlkBqwAAAAJSW52b2ljZUlkAQAAAAFT////2f///wAAAAABUv///9j///8AAAAAAAmvAAAAATcAAAAOAAAA/////wawAAAACUN1c3RUYWJsZQaxAAAACUN1c3RvbWVycwkIAAAACQgAAAAJCAAAAAFN////4P///wAAAAAJtAAAAAm1AAAAAUr////d////rQ6HPmSrukmXetMzHJEPcAkIAAAACQgAAAAJuAAAAAk2AAAABroAAAAPQ3VzdEludm9pY2VKb3VyBrsAAAA2VGFibGUuQ3VzdEludm9pY2VUcmFucy5JbnZvaWNlSWR+VGFibGUuQ3VzdEludm9pY2VKb3VyBrwAAABDVGFibGUuQ3VzdEludm9pY2VUcmFucy5JbnZvaWNlSWR+VGFibGUuQ3VzdEludm9pY2VKb3VyLk9yZGVyQWNjb3VudAa9AAAADE9yZGVyQWNjb3VudAa+AAAACkFjY291bnROdW0BAAAAAUH////Z////AAAAAAFA////2P///wAAAAAACcE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gAAAAnDAAAACcQAAAAGxQAAAApEYXRhQXJlYUlkBsYAAAAQQ29tcGFueSBhY2NvdW50cwbHAAAABlN0cmluZwkIAAAABskAAAAkNWVjZTA2ODItNmViMi00Mjk3LWJkMTMtMGIzM2Y0NWE3YzdjBTb///8tR2xvYmVTb2Z0d2FyZS5BdGxhczQwLkF0bGFzQ29tbW9uLkFnZ3JlZ2F0aW9uAQAAAAd2YWx1ZV9fAAgCAAAA/////wAAAAAFNf///yxHbG9iZVNvZnR3YXJlLkF0bGFzNDAuQXRsYXNDb21tb24uQ29sdW1uVHlwZQEAAAAHdmFsdWVfXwAIAgAAAAAAAAAFNP///ytHbG9iZVNvZnR3YXJlLkF0bGFzNDAuQXRsYXNDb21tb24uU29ydE9yZGVyAQAAAAd2YWx1ZV9fAAgCAAAAAgAAAAAAAAAABTP///9AR2xvYmVTb2Z0d2FyZS5BdGxhczQwLkF0bGFzQ29tbW9uLlR5cGUuQ29sdW1uK0Nyb3NzVGFiQ29sdW1uVHlwZQEAAAAHdmFsdWVfXwAIAgAAAAAAAAAKAQAAAAAAAAAAAAAAAAAGzgAAACQ4MGQ4Mjc4My0yYjFhLTRiNWYtOWNhZS04ZmFjN2RhYWYwMGQGzwAAACFUYWJsZS5DdXN0SW52b2ljZVRyYW5zLkRhdGFBcmVhSWQKCgoKATkAAAA4AAAACdAAAAAJ0QAAAAnSAAAABtMAAAAMT3JkZXJBY2NvdW50BtQAAAAQQ3VzdG9tZXIgYWNjb3VudAbVAAAABlN0cmluZwkIAAAABtcAAAAkNGMxYmY4YmYtNjhlYi00MmU3LWI4N2MtMTQzMDYyNTNhNWQ1ASj///82/////////wEAAAABJ////zX///8AAAAAASb///80////AgAAAAAAAAAAASX///8z////AAAAAAoBAAAAAAAAAAABAAAAAAbcAAAAJGU3NzMzZTQzLWJjZDAtNGVlZS05ODIwLTMzNmYxNWUzMWUwMAbdAAAAQ1RhYmxlLkN1c3RJbnZvaWNlVHJhbnMuSW52b2ljZUlkflRhYmxlLkN1c3RJbnZvaWNlSm91ci5PcmRlckFjY291bnQKCgoKAToAAAA4AAAACd4AAAAJ3wAAAAngAAAABuEAAAAETmFtZQbiAAAABE5hbWUG4wAAAAZTdHJpbmcJCAAAAAblAAAAJGIxNGFhMWU3LTU0ZjMtNGQ0Zi05OTI3LTY3ZGQyYTQ4NTFjOAEa////Nv////////8CAAAAARn///81////AAAAAAEY////NP///wIAAAAAAAAAAAEX////M////wAAAAAKAQAAAAAAAAAAAgAAAAAG6gAAACQ4ZGYyY2M5Ni0xOTI4LTRkZWMtYTFlNy04MTM0NDRkZjlhN2UG6wAAAFhUYWJsZS5DdXN0SW52b2ljZVRyYW5zLkludm9pY2VJZH5UYWJsZS5DdXN0SW52b2ljZUpvdXIuT3JkZXJBY2NvdW50flRhYmxlLkN1c3RUYWJsZS5OYW1lCgoKCgE7AAAAOAAAAAnsAAAACe0AAAAJ7gAAAAbvAAAAB1NhbGVzSWQG8AAAAAtTYWxlcyBvcmRlcgbxAAAABlN0cmluZwkIAAAABvMAAAAkZDI1ZjNiZDctNDliZS00MTQxLWI2MmUtMWYwMWNhNGQ1MTU0AQz///82/////////wMAAAABC////zX///8AAAAAAQr///80////AgAAAAAAAAAAAQn///8z////AAAAAAoBAAAAAAAAAAADAAAAAAb4AAAAJGNjNGYwNTQ1LTQ1MjktNGJjMC05ODQxLTZhYjQxMWRjNjY5ZAb5AAAAHlRhYmxlLkN1c3RJbnZvaWNlVHJhbnMuU2FsZXNJZAoKCgoBPAAAADgAAAAJ+gAAAAn7AAAACfwAAAAG/QAAAAlJbnZvaWNlSWQG/gAAAAdJbnZvaWNlBv8AAAAGU3RyaW5nCQgAAAAGAQEAACRkZTMwZGY4ZS1kMGM0LTQ2OTEtODlhMS02ZWEyMDcxYzg1YWYB/v7//zb/////////BAAAAAH9/v//Nf///wAAAAAB/P7//zT///8CAAAAAAAAAAAB+/7//zP///8AAAAACgEAAAAAAAAAAAQAAAAABgYBAAAkNTI0Mzk1ODctZjE2Zi00YjIwLWI4ZTktZGFjMzNhMDBmMWRhBgcBAAAgVGFibGUuQ3VzdEludm9pY2VUcmFucy5JbnZvaWNlSWQKCgoKAT0AAAA4AAAACQgBAAAJCQEAAAkKAQAABgsBAAAQaW52ZW50TG9jYXRpb25JZAYMAQAACVdhcmVob3VzZQYNAQAABlN0cmluZwkIAAAABg8BAAAkOGNjMGYzMTEtNjg4NC00NTU5LWJjMTctMmIwZGFkNmMzOGUwAfD+//82/////////wUAAAAB7/7//zX///8AAAAAAe7+//80////AgAAAAAAAAAAAe3+//8z////AAAAAAoBAAAAAAAAAAAFAAAAAAYUAQAAJDEzMTdjYTk5LTJmODQtNDc5Yi1hYTRkLTg5MzUzNjljMjIwOAYVAQAAR1RhYmxlLkN1c3RJbnZvaWNlVHJhbnMuSW52b2ljZUlkflRhYmxlLkN1c3RJbnZvaWNlSm91ci5pbnZlbnRMb2NhdGlvbklkCgoKCgE+AAAAOAAAAAkWAQAACRcBAAAJGAEAAAYZAQAABkl0ZW1JZAYaAQAABEl0ZW0GGwEAAAZTdHJpbmcJCAAAAAYdAQAAJDhkNjE1NWFmLTE2NWItNDUzNy05NjYzLTA0OTlkM2ZhMmE5YQHi/v//Nv////////8GAAAAAeH+//81////AAAAAAHg/v//NP///wIAAAAAAAAAAAHf/v//M////wAAAAAKAQAAAAAAAAAABgAAAAAGIgEAACRkNmE5NTFiNy1jZGYwLTQ4OTctYWFiMC04M2RmNjJhODVlOTQGIwEAAB1UYWJsZS5DdXN0SW52b2ljZVRyYW5zLkl0ZW1JZAoKCgoBPwAAADgAAAAJJAEAAAklAQAACSYBAAAGJwEAAAhJdGVtTmFtZQYoAQAACUl0ZW0gbmFtZQYpAQAABlN0cmluZwkIAAAABisBAAAkMTEyMDI1YjctYzg5Mi00OTEzLThmNWItOTNhODIxZjRjZWQ3AdT+//82/////////wcAAAAB0/7//zX///8AAAAAAdL+//80////AgAAAAAAAAAAAdH+//8z////AAAAAAoBAAAAAAAAAAAHAAAAAAYwAQAAJDdlMzMyNmE1LTk4YTUtNDZkNy1iYjRjLWFlZTE2ZDMwMjM4NQYxAQAAOFRhYmxlLkN1c3RJbnZvaWNlVHJhbnMuSXRlbUlkflRhYmxlLkludmVudFRhYmxlLkl0ZW1OYW1lCgoKCgFAAAAAOAAAAAkyAQAACTMBAAAJNAEAAAY1AQAAC0ludm9pY2VEYXRlBjYBAAAERGF0ZQY3AQAABERhdGUJCAAAAAY5AQAAJDcxYTFjMzU5LWYwOWMtNDE2ZC04YjJkLTdkY2IwOTk0NTU1NgHG/v//Nv////////8IAAAAAcX+//81////AAAAAAHE/v//NP///wIAAAAAAAAAAAHD/v//M////wAAAAAKAQAAAAAAAAAACAAAAAAGPgEAACQ2ODY3MDE2MS1lODI1LTQzOWEtODBmNS1kMjY3MzEwNGMyMTEGPwEAACJUYWJsZS5DdXN0SW52b2ljZVRyYW5zLkludm9pY2VEYXRlCgoKCgFBAAAAOAAAAAlAAQAACUEBAAAJQgEAAAZDAQAAA1F0eQZEAQAACFF1YW50aXR5BkUBAAAEUmVhbAkIAAAABkcBAAAkMTU4YWE0MGMtNzU3Ny00MTM2LWFjYTQtNGFlYWU0MzJiZDRjAbj+//82////AQAAAAkAAAABt/7//zX///8AAAAAAbb+//80////AgAAAAAAAAAAAbX+//8z////AAAAAAoBAAAAAAAAAAAJAAAAAAZMAQAAJGQ0NzUwNGRiLTdhMGUtNDAwNC1hNmQ5LTRjMjY3ZjdkODkwMwZNAQAAGlRhYmxlLkN1c3RJbnZvaWNlVHJhbnMuUXR5CgoKCgFCAAAAOAAAAAlOAQAACU8BAAAJUAEAAAZRAQAACVNhbGVzVW5pdAZSAQAABFVuaXQGUwEAAAZTdHJpbmcJCAAAAAZVAQAAJGM2OWNiOWU2LWI5OTMtNGU4Ni1hNzBmLTg4MWRkMzUxMDEwYQGq/v//Nv////////8KAAAAAan+//81////AAAAAAGo/v//NP///wIAAAAAAAAAAAGn/v//M////wAAAAAKAQAAAAAAAAAACgAAAAAGWgEAACRjM2ZlZGQ0NS01YTNlLTQzMTItYjZiNS1mZTc2MGQyNTAwN2UGWwEAACBUYWJsZS5DdXN0SW52b2ljZVRyYW5zLlNhbGVzVW5pdAoKCgoBQwAAADgAAAAJXAEAAAldAQAACV4BAAAGXwEAAApTYWxlc1ByaWNlBmABAAAKVW5pdCBwcmljZQZhAQAABFJlYWwJCAAAAAZjAQAAJDk2YTQ1NjNmLTg5YzQtNGFiNi05MjAyLTZlMGM0ZWVjZTgyMQGc/v//Nv///wEAAAALAAAAAZv+//81////AAAAAAGa/v//NP///wIAAAAAAAAAAAGZ/v//M////wAAAAAKAQAAAAAAAAAACwAAAAAGaAEAACQxNGJlNzEzYS1hN2RkLTQ2NTktYWY1ZS1mMDUwNTA2NWE5ODcGaQEAACFUYWJsZS5DdXN0SW52b2ljZVRyYW5zLlNhbGVzUHJpY2UKCgoKAUQAAAA4AAAACWoBAAAJawEAAAlsAQAABm0BAAAKTGluZUFtb3VudAZuAQAABkFtb3VudAZvAQAABFJlYWwJCAAAAAZxAQAAJGI3ZmI3ZTViLWY0ODEtNDc0NC1iMWY0LWE3ZWZmNTJmNDE1NAGO/v//Nv///wEAAAAMAAAAAY3+//81////AAAAAAGM/v//NP///wIAAAAAAAAAAAGL/v//M////wAAAAAKAQAAAAAAAAAADAAAAAAGdgEAACRjMTVmYTBmNS0xOTQ2LTRhZjMtYjBlOS00ZDY4NDFmNTRkYWQGdwEAACFUYWJsZS5DdXN0SW52b2ljZVRyYW5zLkxpbmVBbW91bnQKCgoKAUUAAAA4AAAACXgBAAAJeQEAAAl6AQAABnsBAAAMQ3VycmVuY3lDb2RlBnwBAAAIQ3VycmVuY3kGfQEAAAZTdHJpbmcJCAAAAAZ/AQAAJDk3Y2I1ZmJjLTgxMmUtNDE3Ny1iMzg2LTlhNWU0N2M2M2Q1YgGA/v//Nv////////8NAAAAAX/+//81////AAAAAAF+/v//NP///wIAAAAAAAAAAAF9/v//M////wAAAAAKAQAAAAAAAAAADQAAAAAGhAEAACQ2YTM1MTg5ZS0xMWE2LTRkNDYtODQ5Zi1kMThkZmZkZTRkNjUGhQEAACNUYWJsZS5DdXN0SW52b2ljZVRyYW5zLkN1cnJlbmN5Q29kZQoKCgoBRgAAADgAAAAJhgEAAAmHAQAACYgBAAAGiQEAAAVSZWNJZAaKAQAADFJlY0lkIGNvbHVtbgaLAQAABUludDY0CQgAAAAGjQEAACQxNjRlZmUzNS1kNGI2LTQ2MjgtODQ2Ny03MDYzYTlmYjgyNzUBcv7//zb/////////DgAAAAFx/v//Nf///wAAAAABcP7//zT///8CAAAAAAAAAAABb/7//zP///8AAAAACgEAAAAAAAAAAA4AAAAABpIBAAAkNGYzN2Q0N2YtNjM2My00MWNhLTlmNDktM2U5ODg0ODVlOGJiBpMBAAAcVGFibGUuQ3VzdEludm9pY2VUcmFucy5SZWNJZAoKCgoBRwAAADgAAAAJlAEAAAmVAQAACZYBAAAGlwEAADdBdGxhc01hbmFnZWRDb2x1bW5fYWEwNjcyNzQtZTRmNC00NDJjLWJmYWMtNTRiODdjM2ZiY2E5BpgBAAAKVFBQIEFtb3VudAkIAAAACQgAAAAGmgEAACRhM2E3MGNmYS0xNGY2LTRhZGEtOGU0Zi05YmFlNmEzM2NlMTABZf7//zb///8BAAAADwAAAAFk/v//Nf///wIAAAABY/7//zT///8CAAAAAAAAAAABYv7//zP///8AAAAACgEAAAAAAAAAAA8AAAAABp8BAAAkOTMzZDc1ZTktZGMzMC00MTQ5LThhODAtODFkODEwY2ZmY2VhCQgAAAAKCgoKAYUAAAASAAAAB4YA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F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qIBAAAhVGFibGUuQ3VzdEludm9pY2VUcmFucy5EYXRhQXJlYUlkCaMBAAABXP7//1/+//8GpQEAAB5UYWJsZS5DdXN0SW52b2ljZVRyYW5zLlNhbGVzSWQJpgEAAAFZ/v//X/7//waoAQAAIFRhYmxlLkN1c3RJbnZvaWNlVHJhbnMuSW52b2ljZUlkCakBAAABVv7//1/+//8GqwEAAB1UYWJsZS5DdXN0SW52b2ljZVRyYW5zLkl0ZW1JZAmsAQAAAVP+//9f/v//Bq4BAAAiVGFibGUuQ3VzdEludm9pY2VUcmFucy5JbnZvaWNlRGF0ZQmvAQAAAVD+//9f/v//BrEBAAAaVGFibGUuQ3VzdEludm9pY2VUcmFucy5RdHkJsgEAAAFN/v//X/7//wa0AQAAIFRhYmxlLkN1c3RJbnZvaWNlVHJhbnMuU2FsZXNVbml0CbUBAAABSv7//1/+//8GtwEAACFUYWJsZS5DdXN0SW52b2ljZVRyYW5zLlNhbGVzUHJpY2UJuAEAAAFH/v//X/7//wa6AQAAIVRhYmxlLkN1c3RJbnZvaWNlVHJhbnMuTGluZUFtb3VudAm7AQAAAUT+//9f/v//Br0BAAAjVGFibGUuQ3VzdEludm9pY2VUcmFucy5DdXJyZW5jeUNvZGUJvgEAAAFB/v//X/7//wbAAQAAHFRhYmxlLkN1c3RJbnZvaWNlVHJhbnMuUmVjSWQJwQEAAAeI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P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DAQAAHVRhYmxlLkN1c3RJbnZvaWNlVHJhbnMuSXRlbUlkCcQBAAABO/7//z7+//8GxgEAACJUYWJsZS5DdXN0SW52b2ljZVRyYW5zLkludm9pY2VEYXRlCccBAAAHig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OP7//9T///8JMAAAAAkxAAAAATX+///U////CTMAAAAJNAAAAASL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AAAACEAAAABAAAACc4BAAADAAAACc8BAAABkQAAACIAAAABAAAACRIAAAADAAAACdEBAAAEl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4BAAAAAAAAAZ0AAAApAAAAAAAAAAnTAQAAAAAAAAGiAAAAIQAAAAYAAAAJ1AEAAAMAAAAJ1QEAAAGjAAAAIgAAAAIAAAAJEgAAAAMAAAAJ1wEAAAGmAAAABAAAAAEAAAAJ1AEAAAMAAAAJ2QEAAAGvAAAAKQAAAAAAAAAJ2gEAAAAAAAABtAAAACEAAAABAAAACdQBAAADAAAACdwBAAAEt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4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1AEAAAAAAAABwQAAACkAAAAAAAAACdoBAAAAAAAABMI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eABAAABAAAAAQAAAATD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bkAAAAJ4QEAAAcAAAAJ4gEAAAT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YAAAAJzgEAAAcAAAAJ5AEAAAHQAAAAwgAAAAnlAQAAAQAAAAEAAAAB0QAAAMMAAACIAAAACeYBAAAHAAAACecBAAAE0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dQBAAAHAAAACekBAAAB3gAAAMIAAAAJ6gEAAAEAAAABAAAAAd8AAADDAAAAgQAAAAnmAQAABwAAAAnsAQAABO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UAQAABwAAAAnuAQAAAewAAADCAAAACe8BAAABAAAAAQAAAAHtAAAAwwAAAGUAAAAJ8AEAAAcAAAAJ8Q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8gEAAAcAAAAJ8wEAAAH6AAAAwgAAAAn0AQAAAQAAAAEAAAAB+wAAAMMAAADCAAAACeEBAAAHAAAACfYBAAAE/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c4BAAAHAAAACfgBAAABCAEAAMIAAAAJ+QEAAAEAAAABAAAAAQkBAADDAAAAbAAAAAnwAQAABwAAAAn7AQAABA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yAQAABwAAAAn9AQAAARYBAADCAAAACf4BAAABAAAAAQAAAAEXAQAAwwAAAMEAAAAJ4QEAAAcAAAAJAAI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zgEAAAcAAAAJAgIAAAEkAQAAwgAAAAkDAgAAAQAAAAEAAAABJQEAAMMAAACrAAAACeEBAAAHAAAACQUCAAAEJ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oAAAACc4BAAAHAAAACQcCAAABMgEAAMIAAAAJCAIAAAEAAAABAAAAATMBAADDAAAApAAAAAnhAQAABwAAAAkKAgAABD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OAQAABwAAAAkMAgAAAUABAADCAAAACQ0CAAABAAAAAQAAAAFBAQAAwwAAAMEAAAAJ4QEAAAcAAAAJDwIAAAR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zgEAAAcAAAAJEQIAAAFOAQAAwgAAAAkSAgAAAQAAAAEAAAABTwEAAMMAAABeAAAACRMCAAAHAAAACRQCAAAEU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RUCAAAHAAAACRYCAAABXAEAAMIAAAAJFwIAAAEAAAABAAAAAV0BAADDAAAAwQAAAAnhAQAABwAAAAkZAgAABF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nOAQAABwAAAAkbAgAAAWoBAADCAAAACRwCAAABAAAAAQAAAAFrAQAAwwAAAMEAAAAJ4QEAAAcAAAAJHgIAAAR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zgEAAAcAAAAJIAIAAAF4AQAAwgAAAAkhAgAAAQAAAAEAAAABeQEAAMMAAADBAAAACeEBAAAHAAAACSMCAAAEe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c4BAAAHAAAACSUCAAABhgEAAMIAAAAJJgIAAAEAAAABAAAAAYcBAADDAAAAVwAAAAknAgAABwAAAAkoAgAABI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pAgAABwAAAAkqAgAAAZQBAADCAAAACSsCAAAAAAAAAAAAAAGVAQAAwwAAAFMAAAAJLAIAAAcAAAAJLQIAAAS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LgIAAAcAAAAJLwIAAAWj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HQ/f//Nv////////8ABjECAAAGU3RyaW5nBjICAAAQQ29tcGFueSBhY2NvdW50cwkzAgAAAcz9//80////AgAAAAXL/f//OUdsb2JlU29mdHdhcmUuQXRsYXM0MC5BdGxhc0NvbW1vbi5OdW1iZXJTZXF1ZW5jZUNvbmRpdGlvbgEAAAAHdmFsdWVfXwAIAgAAAAEAAAAAAAY2AgAAFlRhYmxlLkN1c3RJbnZvaWNlVHJhbnMJxQAAAAkIAAAACv////8JNgIAAAoJxQAAAAoKCgkIAAAACTwCAAAJCAAAAAGmAQAAowEAAAHC/f//Nv////////8ABj8CAAAGU3RyaW5nBkACAAALU2FsZXMgb3JkZXIJQQIAAAG+/f//NP///wIAAAABvf3//8v9//8BAAAAAAAGRAIAABZUYWJsZS5DdXN0SW52b2ljZVRyYW5zCe8AAAAJCAAAAAr/////CUQCAAAKCe8AAAAKCgoJCAAAAAlKAgAACQgAAAABqQEAAKMBAAABtP3//zb/////////AAZNAgAABlN0cmluZwZOAgAAB0ludm9pY2UJTwIAAAGw/f//NP///wIAAAABr/3//8v9//8BAAAAAAAGUgIAABZUYWJsZS5DdXN0SW52b2ljZVRyYW5zCf0AAAAJCAAAAAr/////CVICAAAKCf0AAAAKCgoJCAAAAAlYAgAACQgAAAABrAEAAKMBAAABpv3//zb/////////AAZbAgAABlN0cmluZwZcAgAABEl0ZW0JTwIAAAGi/f//NP///wIAAAABof3//8v9//8BAAAAAAAJUgIAAAkZAQAACQgAAAAK/////wlSAgAACgkZAQAACgoKCQgAAAAJZgIAAAkIAAAAAa8BAACjAQAAAZj9//82/////////wAGaQIAAAREYXRlBmoCAAAERGF0ZQlrAgAAAZT9//80////AgAAAAGT/f//y/3//wEAAAAAAAZuAgAAFlRhYmxlLkN1c3RJbnZvaWNlVHJhbnMJNQEAAAkIAAAACv////8JbgIAAAoJNQEAAAoKCgkIAAAACXQCAAAJCAAAAAGyAQAAowEAAAGK/f//Nv////////8ABncCAAAEUmVhbAZ4AgAACFF1YW50aXR5CU8CAAABhv3//zT///8CAAAAAYX9///L/f//AQAAAAAACVICAAAJQwEAAAkIAAAACv////8JUgIAAAoJQwEAAAoKCgkIAAAACYICAAAJCAAAAAG1AQAAowEAAAF8/f//Nv////////8ABoUCAAAGU3RyaW5nBoYCAAAEVW5pdAmHAgAAAXj9//80////AgAAAAF3/f//y/3//wEAAAAAAAaKAgAAFlRhYmxlLkN1c3RJbnZvaWNlVHJhbnMJUQEAAAkIAAAACv////8JigIAAAoJUQEAAAoKCgkIAAAACZACAAAJCAAAAAG4AQAAowEAAAFu/f//Nv////////8ABpMCAAAEUmVhbAaUAgAAClVuaXQgcHJpY2UJTwIAAAFq/f//NP///wIAAAABaf3//8v9//8BAAAAAAAJUgIAAAlfAQAACQgAAAAK/////wlSAgAACglfAQAACgoKCQgAAAAJngIAAAkIAAAAAbsBAACjAQAAAWD9//82/////////wAGoQIAAARSZWFsBqICAAAGQW1vdW50CU8CAAABXP3//zT///8CAAAAAVv9///L/f//AQAAAAAACVICAAAJbQEAAAkIAAAACv////8JUgIAAAoJbQEAAAoKCgkIAAAACawCAAAJCAAAAAG+AQAAowEAAAFS/f//Nv////////8ABq8CAAAGU3RyaW5nBrACAAAIQ3VycmVuY3kJTwIAAAFO/f//NP///wIAAAABTf3//8v9//8BAAAAAAAJUgIAAAl7AQAACQgAAAAK/////wlSAgAACgl7AQAACgoKCQgAAAAJugIAAAkIAAAAAcEBAACjAQAAAUT9//82/////////wAGvQIAAAVJbnQ2NAa+AgAADFJlY0lkIGNvbHVtbgm/AgAAAUD9//80////AgAAAAE//f//y/3//wEAAAAAAAbCAgAAFlRhYmxlLkN1c3RJbnZvaWNlVHJhbnMJiQEAAAkIAAAACv////8JwgIAAAoJiQEAAAoKCgkIAAAACcgCAAAJCAAAAAXE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ygIAABZUYWJsZS5DdXN0SW52b2ljZVRyYW5zBssCAAAGSXRlbUlkCQgAAAAGzQIAAAEq/////wnKAgAACgnLAgAACgoKCQgAAAAJ0QIAAAkIAAAAAccBAADEAQAACcoCAAAG1AIAAAtJbnZvaWNlRGF0ZQkIAAAABtYCAAAYMDUuMDEuMjAxNyAuLiAwOC4zMS4yMDE3/////wnKAgAACgnUAgAACgoKCQgAAAAJ2gIAAAkIAAAAAc4BAAASAAAAB88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T9//9f/v//Bt0CAAA4VGFibGUuQ3VzdEludm9pY2VUcmFucy5JdGVtSWR+VGFibGUuSW52ZW50VGFibGUuSXRlbU5hbWUJ3gIAAAf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If3//z7+//8G4AIAADhUYWJsZS5DdXN0SW52b2ljZVRyYW5zLkl0ZW1JZH5UYWJsZS5JbnZlbnRUYWJsZS5JdGVtVHlwZQnhAgAAAdMBAACLAAAAAdQBAAASAAAAB9U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79//9f/v//BuMCAABDVGFibGUuQ3VzdEludm9pY2VUcmFucy5JbnZvaWNlSWR+VGFibGUuQ3VzdEludm9pY2VKb3VyLk9yZGVyQWNjb3VudAnkAgAAARv9//9f/v//BuYCAABHVGFibGUuQ3VzdEludm9pY2VUcmFucy5JbnZvaWNlSWR+VGFibGUuQ3VzdEludm9pY2VKb3VyLmludmVudExvY2F0aW9uSWQJ5wIAAAfXAQ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P3//z7+//8G6QIAAEBUYWJsZS5DdXN0SW52b2ljZVRyYW5zLkludm9pY2VJZH5UYWJsZS5DdXN0SW52b2ljZUpvdXIuQ3VzdEdyb3VwCeoCAAABFf3//z7+//8G7AIAAEdUYWJsZS5DdXN0SW52b2ljZVRyYW5zLkludm9pY2VJZH5UYWJsZS5DdXN0SW52b2ljZUpvdXIuaW52ZW50TG9jYXRpb25JZAntAgAAB9k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L9///U////CTYAAAAJNwAAAAHaAQAAiwAAAAfc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P/f//X/7//wbyAgAAWFRhYmxlLkN1c3RJbnZvaWNlVHJhbnMuSW52b2ljZUlkflRhYmxlLkN1c3RJbnZvaWNlSm91ci5PcmRlckFjY291bnR+VGFibGUuQ3VzdFRhYmxlLk5hbWUJ8wIAAAfgAQAAAAEAAAAEAAAABDdHbG9iZVNvZnR3YXJlLkF0bGFzNDAuQXRsYXNDb21tb24uVHlwZS5GaWVsZE91dHB1dEZpZWxkAgAAAAmjAQAADQME4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v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Cv3//zJHbG9iZVNvZnR3YXJlLkF0bGFzNDAuQXRsYXNDb21tb24uQ29sdW1uQXR0cmlidXRlcwEAAAAHdmFsdWVfXwAIAgAAAAkAAAAJCAAAAAEI/f//C/3//wEH/f//Cv3//wsAAAAG+gIAAAEwAQX9//8L/f//AQT9//8K/f//BAAAAAb9AgAAB0dlbmVyYWwBAv3//wv9//8BAf3//wr9//8CAAAABgADAAABMQH//P//C/3//wH+/P//Cv3//wAAAAAGAwMAAAQzLjg2B+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/P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FAwAACEZvbnRCb2xkBgYDAAAFRmFsc2UB+fz///z8//8GCAMAAApGb250SXRhbGljCQYDAAAB9vz///z8//8GCwMAAA1Gb250VW5kZXJsaW5lBgwDAAAFLTQxNDIB8/z///z8//8GDgMAAAhGb250TmFtZQYPAwAAB0NhbGlicmkB8Pz///z8//8GEQMAAAlGb250Q29sb3IGEgMAAAEwAe38///8/P//BhQDAAAIRm9udFNpemUGFQMAAAIxMQHq/P///Pz//wYXAwAACUZvbnRTdHlsZQYYAwAAB1JlZ3VsYXIH5QEAAAABAAAABAAAAAQ3R2xvYmVTb2Z0d2FyZS5BdGxhczQwLkF0bGFzQ29tbW9uLlR5cGUuRmllbGRPdXRwdXRGaWVsZAIAAAAJ5AIAAA0DAeYBAADhAQAAB+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m/P//C/3//wHl/P//Cv3//wkAAAAJCAAAAAHj/P//C/3//wHi/P//Cv3//wsAAAAGHwMAAAExAeD8//8L/f//Ad/8//8K/f//BAAAAAYiAwAAB0dlbmVyYWwB3fz//wv9//8B3Pz//wr9//8CAAAABiUDAAABMQHa/P//C/3//wHZ/P//Cv3//wAAAAAGKAMAAAUxMS40Mwf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f8///8/P//BioDAAAIRm9udEJvbGQJBgMAAAHU/P///Pz//wYtAwAACkZvbnRJdGFsaWMJBgMAAAHR/P///Pz//wYwAwAADUZvbnRVbmRlcmxpbmUGMQMAAAUtNDE0MgHO/P///Pz//wYzAwAACEZvbnROYW1lBjQDAAAHQ2FsaWJyaQHL/P///Pz//wY2AwAACUZvbnRDb2xvcgY3AwAAATAByPz///z8//8GOQMAAAhGb250U2l6ZQY6AwAAAjExAcX8///8/P//BjwDAAAJRm9udFN0eWxlBj0DAAAHUmVndWxhcgfqAQAAAAEAAAAEAAAABDdHbG9iZVNvZnR3YXJlLkF0bGFzNDAuQXRsYXNDb21tb24uVHlwZS5GaWVsZE91dHB1dEZpZWxkAgAAAAnzAgAADQMH7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H8//8L/f//AcD8//8K/f//CQAAAAkIAAAAAb78//8L/f//Ab38//8K/f//CwAAAAZEAwAAATIBu/z//wv9//8Buvz//wr9//8EAAAABkcDAAAHR2VuZXJhbAG4/P//C/3//wG3/P//Cv3//wIAAAAGSgMAAAExAbX8//8L/f//AbT8//8K/f//AAAAAAZNAwAABTE2Ljg2B+4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z///z8//8JKgMAAAkGAwAAAa/8///8/P//CS0DAAAJBgMAAAGs/P///Pz//wkwAwAABlYDAAAFLTQxNDIBqfz///z8//8JMwMAAAZZAwAAB0NhbGlicmkBpvz///z8//8JNgMAAAZcAwAAATABo/z///z8//8JOQMAAAZfAwAAAjExAaD8///8/P//CTwDAAAGYgMAAAdSZWd1bGFyB+8BAAAAAQAAAAQAAAAEN0dsb2JlU29mdHdhcmUuQXRsYXM0MC5BdGxhc0NvbW1vbi5UeXBlLkZpZWxkT3V0cHV0RmllbGQCAAAACaYBAAANAwHwAQAA4QEAAAfx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Pz//wv9//8Bm/z//wr9//8JAAAACQgAAAABmfz//wv9//8BmPz//wr9//8LAAAABmkDAAABMwGW/P//C/3//wGV/P//Cv3//wQAAAAGbAMAAAdHZW5lcmFsAZP8//8L/f//AZL8//8K/f//AgAAAAZvAwAAATEBkPz//wv9//8Bj/z//wr9//8AAAAABnIDAAACMTQB8gEAABIAAAAH8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P///Pz//wZ0AwAACEZvbnRCb2xkCQYDAAABivz///z8//8GdwMAAApGb250SXRhbGljCQYDAAABh/z///z8//8GegMAAA1Gb250VW5kZXJsaW5lBnsDAAAFLTQxNDIBhPz///z8//8GfQMAAAhGb250TmFtZQZ+AwAAB0NhbGlicmkBgfz///z8//8GgAMAAAlGb250Q29sb3IGgQMAAAEwAX78///8/P//BoMDAAAIRm9udFNpemUGhAMAAAIxMQF7/P///Pz//waGAwAACUZvbnRTdHlsZQaHAwAAB1JlZ3VsYXIH9AEAAAABAAAABAAAAAQ3R2xvYmVTb2Z0d2FyZS5BdGxhczQwLkF0bGFzQ29tbW9uLlR5cGUuRmllbGRPdXRwdXRGaWVsZAIAAAAJqQEAAA0DB/Y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3/P//C/3//wF2/P//Cv3//wYAAAAGiwMAAAVUb3RhbAF0/P//C/3//wFz/P//Cv3//xAAAAAGjgMAAAROb25lAXH8//8L/f//AXD8//8K/f//CQAAAAkIAAAAAW78//8L/f//AW38//8K/f//CwAAAAaUAwAAATQBa/z//wv9//8Bavz//wr9//8EAAAABpcDAAAHR2VuZXJhbAFo/P//C/3//wFn/P//Cv3//wIAAAAGmgMAAAExAWX8//8L/f//AWT8//8K/f//AAAAAAadAwAABTEyLjg2B/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z///z8//8JBQMAAAkGAwAAAV/8///8/P//CQgDAAAJBgMAAAFc/P///Pz//wkLAwAABqYDAAAFLTQxNDIBWfz///z8//8JDgMAAAapAwAAB0NhbGlicmkBVvz///z8//8JEQMAAAasAwAAATABU/z///z8//8JFAMAAAavAwAAAjExAVD8///8/P//CRcDAAAGsgMAAAdSZWd1bGFyB/kBAAAAAQAAAAQAAAAEN0dsb2JlU29mdHdhcmUuQXRsYXM0MC5BdGxhc0NvbW1vbi5UeXBlLkZpZWxkT3V0cHV0RmllbGQCAAAACecCAAANAwf7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z//wv9//8BS/z//wr9//8JAAAACQgAAAABSfz//wv9//8BSPz//wr9//8LAAAABrkDAAABNQFG/P//C/3//wFF/P//Cv3//wQAAAAGvAMAAAdHZW5lcmFsAUP8//8L/f//AUL8//8K/f//AgAAAAa/AwAAATEBQPz//wv9//8BP/z//wr9//8AAAAABsIDAAAFMTIuODYH/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/Pz//wbEAwAACEZvbnRCb2xkCQYDAAABOvz///z8//8GxwMAAApGb250SXRhbGljCQYDAAABN/z///z8//8GygMAAA1Gb250VW5kZXJsaW5lBssDAAAFLTQxNDIBNPz///z8//8GzQMAAAhGb250TmFtZQbOAwAAB0NhbGlicmkBMfz///z8//8G0AMAAAlGb250Q29sb3IG0QMAAAEwAS78///8/P//BtMDAAAIRm9udFNpemUG1AMAAAIxMQEr/P///Pz//wbWAwAACUZvbnRTdHlsZQbXAwAAB1JlZ3VsYXIH/gEAAAABAAAABAAAAAQ3R2xvYmVTb2Z0d2FyZS5BdGxhczQwLkF0bGFzQ29tbW9uLlR5cGUuRmllbGRPdXRwdXRGaWVsZAIAAAAJrAEAAA0DBwA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P//C/3//wEm/P//Cv3//xAAAAAJjgMAAAEk/P//C/3//wEj/P//Cv3//wkAAAAJCAAAAAEh/P//C/3//wEg/P//Cv3//wsAAAAG4QMAAAE2AR78//8L/f//AR38//8K/f//BAAAAAbkAwAAB0dlbmVyYWwBG/z//wv9//8BGvz//wr9//8CAAAABucDAAABMQEY/P//C/3//wEX/P//Cv3//wAAAAAG6gMAAAUxOC40MwcC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8///8/P//CQUDAAAJBgMAAAES/P///Pz//wkIAwAACQYDAAABD/z///z8//8JCwMAAAbzAwAABS00MTQyAQz8///8/P//CQ4DAAAG9gMAAAdDYWxpYnJpAQn8///8/P//CREDAAAG+QMAAAEwAQb8///8/P//CRQDAAAG/AMAAAIxMQED/P///Pz//wkXAwAABv8DAAAHUmVndWxhcgcDAgAAAAEAAAAEAAAABDdHbG9iZVNvZnR3YXJlLkF0bGFzNDAuQXRsYXNDb21tb24uVHlwZS5GaWVsZE91dHB1dEZpZWxkAgAAAAneAgAADQMHBQ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7//8L/f//Af77//8K/f//CQAAAAkIAAAAAfz7//8L/f//Afv7//8K/f//CwAAAAYGBAAAATcB+fv//wv9//8B+Pv//wr9//8EAAAABgkEAAAHR2VuZXJhbAH2+///C/3//wH1+///Cv3//wIAAAAGDAQAAAExAfP7//8L/f//AfL7//8K/f//AAAAAAYPBAAABTIxLjQzBwc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Pv///z8//8JBQMAAAkGAwAAAe37///8/P//CQgDAAAJBgMAAAHq+////Pz//wkLAwAABhgEAAAFLTQxNDIB5/v///z8//8JDgMAAAYbBAAAB0NhbGlicmkB5Pv///z8//8JEQMAAAYeBAAAATAB4fv///z8//8JFAMAAAYhBAAAAjExAd77///8/P//CRcDAAAGJAQAAAdSZWd1bGFyBwgCAAAAAQAAAAQAAAAEN0dsb2JlU29mdHdhcmUuQXRsYXM0MC5BdGxhc0NvbW1vbi5UeXBlLkZpZWxkT3V0cHV0RmllbGQCAAAACa8BAAANAwcK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vv//wv9//8B2fv//wr9//8JAAAACQgAAAAB1/v//wv9//8B1vv//wr9//8LAAAABisEAAABOAHU+///C/3//wHT+///Cv3//wQAAAAGLgQAAAhtL2QveXl5eQHR+///C/3//wHQ+///Cv3//wIAAAAGMQQAAAExAc77//8L/f//Ac37//8K/f//AAAAAAY0BAAAAjEwBww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v///z8//8GNgQAAAhGb250Qm9sZAkGAwAAAcj7///8/P//BjkEAAAKRm9udEl0YWxpYwkGAwAAAcX7///8/P//BjwEAAANRm9udFVuZGVybGluZQY9BAAABS00MTQyAcL7///8/P//Bj8EAAAIRm9udE5hbWUGQAQAAAdDYWxpYnJpAb/7///8/P//BkIEAAAJRm9udENvbG9yBkMEAAABMAG8+////Pz//wZFBAAACEZvbnRTaXplBkYEAAACMTEBufv///z8//8GSAQAAAlGb250U3R5bGUGSQQAAAdSZWd1bGFyBw0CAAAAAQAAAAQAAAAEN0dsb2JlU29mdHdhcmUuQXRsYXM0MC5BdGxhc0NvbW1vbi5UeXBlLkZpZWxkT3V0cHV0RmllbGQCAAAACbIBAAANAwcP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fv//wv9//8BtPv//wr9//8QAAAACY4DAAABsvv//wv9//8Bsfv//wr9//8JAAAACQgAAAABr/v//wv9//8Brvv//wr9//8LAAAABlMEAAABOQGs+///C/3//wGr+///Cv3//wQAAAAGVgQAAC9fKCogIywjIzAuMDBfKTtfKCogKCMsIyMwLjAwKTtfKCogIi0iPz9fKTtfKEBfKQGp+///C/3//wGo+///Cv3//wIAAAAGWQQAAAExAab7//8L/f//AaX7//8K/f//AAAAAAZcBAAABTEwLjI5BxE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/z8//8JBQMAAAkGAwAAAaD7///8/P//CQgDAAAJBgMAAAGd+////Pz//wkLAwAABmUEAAAFLTQxNDIBmvv///z8//8JDgMAAAZoBAAAB0NhbGlicmkBl/v///z8//8JEQMAAAZrBAAAATABlPv///z8//8JFAMAAAZuBAAAAjExAZH7///8/P//CRcDAAAGcQQAAAdSZWd1bGFyBxICAAAAAQAAAAQAAAAEN0dsb2JlU29mdHdhcmUuQXRsYXM0MC5BdGxhc0NvbW1vbi5UeXBlLkZpZWxkT3V0cHV0RmllbGQCAAAACbUBAAANAwETAgAA4QEAAAcU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fv//wv9//8BjPv//wr9//8JAAAACQgAAAABivv//wv9//8Bifv//wr9//8LAAAABngEAAACMTABh/v//wv9//8Bhvv//wr9//8EAAAABnsEAAAHR2VuZXJhbAGE+///C/3//wGD+///Cv3//wIAAAAGfgQAAAExAYH7//8L/f//AYD7//8K/f//AAAAAAaBBAAABDYuNDMBFQIAABIAAAAHF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////Pz//waDBAAACEZvbnRCb2xkCQYDAAABe/v///z8//8GhgQAAApGb250SXRhbGljCQYDAAABePv///z8//8GiQQAAA1Gb250VW5kZXJsaW5lBooEAAAFLTQxNDIBdfv///z8//8GjAQAAAhGb250TmFtZQaNBAAAB0NhbGlicmkBcvv///z8//8GjwQAAAlGb250Q29sb3IGkAQAAAEwAW/7///8/P//BpIEAAAIRm9udFNpemUGkwQAAAIxMQFs+////Pz//waVBAAACUZvbnRTdHlsZQaWBAAAB1JlZ3VsYXIHFwIAAAABAAAABAAAAAQ3R2xvYmVTb2Z0d2FyZS5BdGxhczQwLkF0bGFzQ29tbW9uLlR5cGUuRmllbGRPdXRwdXRGaWVsZAIAAAAJuAEAAA0DBxk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+///C/3//wFn+///Cv3//xAAAAAJjgMAAAFl+///C/3//wFk+///Cv3//wkAAAAJCAAAAAFi+///C/3//wFh+///Cv3//wsAAAAGoAQAAAIxMQFf+///C/3//wFe+///Cv3//wQAAAAGowQAAC9fKCogIywjIzAuMDBfKTtfKCogKCMsIyMwLjAwKTtfKCogIi0iPz9fKTtfKEBfKQFc+///C/3//wFb+///Cv3//wIAAAAGpgQAAAExAVn7//8L/f//AVj7//8K/f//AAAAAAapBAAABTExLjI5Bxs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v///z8//8JBQMAAAkGAwAAAVP7///8/P//CQgDAAAJBgMAAAFQ+////Pz//wkLAwAABrIEAAAFLTQxNDIBTfv///z8//8JDgMAAAa1BAAAB0NhbGlicmkBSvv///z8//8JEQMAAAa4BAAAATABR/v///z8//8JFAMAAAa7BAAAAjExAUT7///8/P//CRcDAAAGvgQAAAdSZWd1bGFyBxwCAAAAAQAAAAQAAAAEN0dsb2JlU29mdHdhcmUuQXRsYXM0MC5BdGxhc0NvbW1vbi5UeXBlLkZpZWxkT3V0cHV0RmllbGQCAAAACbsBAAANAwce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v//wv9//8BP/v//wr9//8QAAAACY4DAAABPfv//wv9//8BPPv//wr9//8JAAAACQgAAAABOvv//wv9//8BOfv//wr9//8LAAAABsgEAAACMTIBN/v//wv9//8BNvv//wr9//8EAAAABssEAAAvXygqICMsIyMwLjAwXyk7XygqICgjLCMjMC4wMCk7XygqICItIj8/Xyk7XyhAXykBNPv//wv9//8BM/v//wr9//8CAAAABs4EAAABMQEx+///C/3//wEw+///Cv3//wAAAAAG0QQAAAUxMS4yOQcg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77///8/P//CQUDAAAJBgMAAAEr+////Pz//wkIAwAACQYDAAABKPv///z8//8JCwMAAAbaBAAABS00MTQyASX7///8/P//CQ4DAAAG3QQAAAdDYWxpYnJpASL7///8/P//CREDAAAG4AQAAAEwAR/7///8/P//CRQDAAAG4wQAAAIxMQEc+////Pz//wkXAwAABuYEAAAHUmVndWxhcgchAgAAAAEAAAAEAAAABDdHbG9iZVNvZnR3YXJlLkF0bGFzNDAuQXRsYXNDb21tb24uVHlwZS5GaWVsZE91dHB1dEZpZWxkAgAAAAm+AQAADQMHIw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j7//8L/f//ARf7//8K/f//EAAAAAmOAwAAARX7//8L/f//ART7//8K/f//CQAAAAkIAAAAARL7//8L/f//ARH7//8K/f//CwAAAAbwBAAAAjEzAQ/7//8L/f//AQ77//8K/f//BAAAAAbzBAAAB0dlbmVyYWwBDPv//wv9//8BC/v//wr9//8CAAAABvYEAAABMQEJ+///C/3//wEI+///Cv3//wAAAAAG+QQAAAUxMC40Mwcl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7///8/P//CQUDAAAJBgMAAAED+////Pz//wkIAwAACQYDAAABAPv///z8//8JCwMAAAYCBQAABS00MTQyAf36///8/P//CQ4DAAAGBQUAAAdDYWxpYnJpAfr6///8/P//CREDAAAGCAUAAAEwAff6///8/P//CRQDAAAGCwUAAAIxMQH0+v///Pz//wkXAwAABg4FAAAHUmVndWxhcgcmAgAAAAEAAAAEAAAABDdHbG9iZVNvZnR3YXJlLkF0bGFzNDAuQXRsYXNDb21tb24uVHlwZS5GaWVsZE91dHB1dEZpZWxkAgAAAAnBAQAADQMBJwIAAOEBAAAHKA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6//8L/f//Ae/6//8K/f//CQAAAAkIAAAAAe36//8L/f//Aez6//8K/f//CwAAAAYVBQAAAjE0Aer6//8L/f//Aen6//8K/f//BAAAAAYYBQAAB0dlbmVyYWwB5/r//wv9//8B5vr//wr9//8CAAAABhsFAAABMQHk+v//C/3//wHj+v//Cv3//wAAAAAGHgUAAAUxNC40MwEpAgAAEgAAAA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H6///8/P//BiAFAAAIRm9udEJvbGQJBgMAAAHe+v///Pz//wYjBQAACkZvbnRJdGFsaWMJBgMAAAHb+v///Pz//wYmBQAADUZvbnRVbmRlcmxpbmUGJwUAAAUtNDE0MgHY+v///Pz//wYpBQAACEZvbnROYW1lBioFAAAHQ2FsaWJyaQHV+v///Pz//wYsBQAACUZvbnRDb2xvcgYtBQAAATAB0vr///z8//8GLwUAAAhGb250U2l6ZQYwBQAAAjExAc/6///8/P//BjIFAAAJRm9udFN0eWxlBjMFAAAHUmVndWxhcgcrAgAAAAEAAAAAAAAABDdHbG9iZVNvZnR3YXJlLkF0bGFzNDAuQXRsYXNDb21tb24uVHlwZS5GaWVsZE91dHB1dEZpZWxkAgAAAAEsAgAA4QEAAAct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Pr//wv9//8By/r//wr9//8kAAAACZgBAAAByfr//wv9//8ByPr//wr9//8LAAAABjkFAAACMTUBxvr//wv9//8Bxfr//wr9//8EAAAABjwFAAAvXygqICMsIyMwLjAwXyk7XygqICgjLCMjMC4wMCk7XygqICItIj8/Xyk7XyhAXykBw/r//wv9//8Bwvr//wr9//8CAAAABj8FAAABMQHA+v//C/3//wG/+v//Cv3//wAAAAAGQgUAAAUxMy40MwG9+v//C/3//wG8+v//Cv3//wMAAAAGRQUAAIQBPUF0bGFzQmFsYW5jZSgiVUFUIixEYXRhQXJlYUlkLCJULk1hcmt1cFRyYW5zIiwiU3VtfFBvc3RlZHwwIiwiIiwiIiwiIiwiIiwiIiwiIiwiTWFya3VwQ29kZXxUcmFuc1JlY0lkfFRyYW5zVGFibGVJZCIsIlRQUCIsJE8zLCI2NCIpAS4CAAASAAAABy8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vr///z8//8GRwUAAAhGb250Qm9sZAkGAwAAAbf6///8/P//BkoFAAAKRm9udEl0YWxpYwkGAwAAAbT6///8/P//Bk0FAAANRm9udFVuZGVybGluZQZOBQAABS00MTQyAbH6///8/P//BlAFAAAIRm9udE5hbWUGUQUAAAdDYWxpYnJpAa76///8/P//BlMFAAAJRm9udENvbG9yBlQFAAABMAGr+v///Pz//wZWBQAACEZvbnRTaXplBlcFAAACMTEBqPr///z8//8GWQUAAAlGb250U3R5bGUGWgUAAAdSZWd1bGFyATMCAAAOAAAA/////wZbBQAAEEN1c3RJbnZvaWNlVHJhbnMGXAUAABZDdXN0b21lciBpbnZvaWNlIGxpbmVzCQgAAAAJCAAAAAkIAAAAAaL6///g////AAAAAAlfBQAACWAFAAABn/r//93////KTU2aLpidS6zqFGRq3UsLCQgAAAAJCAAAAAljBQAACTYCAAAKCgoKCgEAAAABm/r//9n///8AAAAAAZr6///Y////AAAAAAAJZwUAAAQ8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4AAAAJzgEAAAMAAAAJaQUAAAFBAgAADgAAAP////8GagUAABBDdXN0SW52b2ljZVRyYW5zBmsFAAAWQ3VzdG9tZXIgaW52b2ljZSBsaW5lcwkIAAAACQgAAAAJCAAAAAGT+v//4P///wAAAAAJbgUAAAlvBQAAAZD6///d////fdPQIwYPaU2eLica6AVPKAkIAAAACQgAAAAJcgUAAAlEAgAACgoKCgoBAAAAAYz6///Z////AAAAAAGL+v//2P///wAAAAAACXYFAAAES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fIBAAADAAAACXgFAAABTwIAAA4AAABAAAAABnkFAAAQQ3VzdEludm9pY2VUcmFucwZ6BQAAFkN1c3RvbWVyIGludm9pY2UgbGluZXMJCAAAAAkIAAAACQgAAAABhPr//+D///8AAAAACX0FAAAJfgUAAAGB+v//3f///6kO3QJs5+RIkh1lVIhUGHQJCAAAAAkIAAAACYEFAAAJUgIAAAoKCgoKAQAAAAF9+v//2f///wAAAAABfPr//9j///8AAAAAAAmFBQAABF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wAAAAnOAQAAAwAAAAmHBQAABG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wAAAAnOAQAAAwAAAAmJBQAAAWsCAAAOAAAA/////waKBQAAEEN1c3RJbnZvaWNlVHJhbnMGiwUAABZDdXN0b21lciBpbnZvaWNlIGxpbmVzCQgAAAAJCAAAAAkIAAAAAXP6///g////AAAAAAmOBQAACY8FAAABcPr//93///8O6NjcKnguTJn7kUYLrKuWCQgAAAAJCAAAAAmSBQAACW4CAAAKCgoKCgEAAAABbPr//9n///8AAAAAAWv6///Y////AAAAAAAJlgUAAAR0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wAAAAJzgEAAAMAAAAJmAUAAASC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cAAAAJzgEAAAMAAAAJmgUAAAGHAgAADgAAAP////8GmwUAABBDdXN0SW52b2ljZVRyYW5zBpwFAAAWQ3VzdG9tZXIgaW52b2ljZSBsaW5lcwkIAAAACQgAAAAJCAAAAAFi+v//4P///wAAAAAJnwUAAAmgBQAAAV/6///d////si65LFhMLkOlcaJcSk84SAkIAAAACQgAAAAJowUAAAmKAgAACgoKCgoBAAAAAVv6///Z////AAAAAAFa+v//2P///wAAAAAACacF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AAAAACRUCAAADAAAACakFAAAEn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c4BAAADAAAACasFAAAEr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c4BAAADAAAACa0FAAAEu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c4BAAADAAAACa8FAAABvwIAAA4AAAD/////BrAFAAAQQ3VzdEludm9pY2VUcmFucwaxBQAAFkN1c3RvbWVyIGludm9pY2UgbGluZXMJCAAAAAkIAAAACQgAAAABTfr//+D///8AAAAACbQFAAAJtQUAAAFK+v//3f///8S3+f7FDk1DlzHDU90J6IMJCAAAAAkIAAAACbgFAAAJwgIAAAoKCgoKAQAAAAFG+v//2f///wAAAAABRfr//9j///8AAAAAAAm8BQAABM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kpAgAAAwAAAAm+BQAABNE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AAAAm/BQAAAwAAAAnABQAABN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m/BQAAAwAAAAnCBQAAAd4CAACjAQAAAT36//82/////////wAGxAUAAAZTdHJpbmcGxQUAAAlJdGVtIG5hbWUJMQAAAAE5+v//NP///wIAAAABOPr//8v9//8BAAAAAAAJMAAAAAknAQAACQgAAAAK/////wkwAAAACgknAQAABs4FAAAGSXRlbUlkBs8FAAAQQ3VzdEludm9pY2VUcmFucwoJCAAAAAnRBQAACQgAAAAB4QIAAMQBAAAJMAAAAAbUBQAACEl0ZW1UeXBlCQgAAAAG1gUAAAEq/////wkwAAAACgnUBQAABtkFAAAGSXRlbUlkCgoJCAAAAAnbBQAACQgAAAAB5AIAAKMBAAABI/r//zb/////////AAbeBQAABlN0cmluZwbfBQAAEEN1c3RvbWVyIGFjY291bnQJNAAAAAEf+v//NP///wIAAAABHvr//8v9//8BAAAAAAAJMwAAAAnTAAAACQgAAAAK/////wkzAAAACgnTAAAABugFAAAJSW52b2ljZUlkBukFAAAQQ3VzdEludm9pY2VUcmFucwoJCAAAAAnrBQAACQgAAAAB5wIAAKMBAAABE/r//zb/////////AAbuBQAABlN0cmluZwbvBQAACVdhcmVob3VzZQk0AAAAAQ/6//80////AgAAAAEO+v//y/3//wEAAAAAAAkzAAAACQsBAAAJCAAAAAr/////CTMAAAAKCQsBAAAG+AUAAAlJbnZvaWNlSWQG+QUAABBDdXN0SW52b2ljZVRyYW5zCgkIAAAACfsFAAAJCAAAAAHqAgAAxAEAAAkzAAAABv4FAAAJQ3VzdEdyb3VwCQgAAAAGAAYAAANJQyr/////CTMAAAAKCf4FAAAGAwYAAAlJbnZvaWNlSWQKCgkIAAAACQUGAAAJCAAAAAHtAgAAxAEAAAkzAAAABggGAAAQaW52ZW50TG9jYXRpb25JZAkIAAAABgoGAAALIUlDLVRyYW5zaXT/////CTMAAAAKCQgGAAAGDQYAAAlJbnZvaWNlSWQKCgkIAAAACQ8GAAAJCAAAAAHzAgAAowEAAAHv+f//Nv////////8ABhIGAAAGU3RyaW5nBhMGAAAETmFtZQk3AAAAAev5//80////AgAAAAHq+f//y/3//wEAAAAAAAk2AAAACeEAAAAJCAAAAAr/////CTYAAAAKCeEAAAAGHAYAAAxPcmRlckFjY291bnQGHQYAAA9DdXN0SW52b2ljZUpvdXIKCQgAAAAJHwYAAAkIAAAAAV8FAAAhAAAABwAAAAkhBgAABwAAAAkiBgAABGA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gEAAAAAAAAEYw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EGAAAAAAAAAWcFAAApAAAAAAAAAAklBgAAAAAAAAdp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5///8/P//BicGAAAFTGFiZWwJMgIAAAHX+f///Pz//wYqBgAABFR5cGUJMQIAAAFuBQAAIQAAAAkAAAAJLAYAABEAAAAJLQYAAAFvBQAAIgAAAAIAAAAJ8gEAAAMAAAAJLwYAAAFyBQAABAAAAAIAAAAJLAYAAAMAAAAJMQYAAAF2BQAAKQAAAAAAAAAJMgYAAAAAAAAHe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+f///Pz//wY0BgAABUxhYmVsCUACAAAByvn///z8//8GNwYAAARUeXBlCT8CAAABfQUAACEAAAAGAAAACTkGAAAHAAAACToGAAAEfg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5BgAAAAAAAASB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QYAAAAAAAABhQUAACkAAAAAAAAACTwGAAAAAAAAB4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n///z8//8GPgYAAAhIZWxwVGV4dAY/BgAAEk51bcOpcm8gZGUgZmFjdHVyZQHA+f///Pz//wknBgAACU4CAAABvfn///z8//8JKgYAAAlNAgAAB4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vn///z8//8JPgYAAAZIBgAAE0lkZW50aWZpZSBsJ2FydGljbGUBt/n///z8//8JJwYAAAlcAgAAAbT5///8/P//CSoGAAAJWwIAAAGOBQAAIQAAAAgAAAAJTwYAABEAAAAJUAYAAAGPBQAAIgAAAAEAAAAJzgEAAAMAAAAJUgYAAAGSBQAABAAAAAEAAAAJTwYAAAMAAAAJVAYAAAGWBQAAKQAAAAAAAAAJVQYAAAAAAAAHm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+f///Pz//wknBgAACWoCAAABp/n///z8//8JKgYAAAlpAgAAB5o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n///z8//8JPgYAAAZeBgAAJ1F1YW50aXTDqSBmYWN0dXLDqWUgZW4gdW5pdMOpcyBkZSB2ZW50ZQGh+f///Pz//wknBgAACXgCAAABnvn///z8//8JKgYAAAl3AgAAAZ8FAAAhAAAACgAAAAllBgAAEQAAAAlmBgAAAaAFAAAiAAAAAgAAAAnyAQAAAwAAAAloBgAAAaMFAAAEAAAAAgAAAAllBgAAAwAAAAlqBgAAAacFAAApAAAAAAAAAAlrBgAAAAAAAAep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5///8/P//Bm0GAAAFTGFiZWwJhgIAAAGR+f///Pz//wZwBgAABFR5cGUJhQIAAAer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75///8/P//CT4GAAAGdAYAAEBWdWUgZCdlbnNlbWJsZSBkdSBwYXJhbcOpdHJhZ2UgZGVzIHByaXggZGUgdmVudGUgcG91ciBsZXMgY2/Du3RzAYv5///8/P//CScGAAAJlAIAAAGI+f///Pz//wkqBgAACZMCAAAHr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f///Pz//wk+BgAABn0GAAARTW9udGFudCBlbiBkZXZpc2UBgvn///z8//8JJwYAAAmiAgAAAX/5///8/P//CSoGAAAJoQIAAAev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z5///8/P//CT4GAAAGhgYAABNDb2RlIGRldmlzZSBhY3R1ZWwuAXn5///8/P//CScGAAAJsAIAAAF2+f///Pz//wkqBgAACa8CAAABtAUAACEAAAALAAAACY0GAAARAAAACY4GAAABtQUAACIAAAACAAAACRUCAAADAAAACZAGAAABuAUAAAQAAAACAAAACY0GAAADAAAACZIGAAABvAUAACkAAAAAAAAACZMGAAAAAAAAB74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n///z8//8GlQYAAAVMYWJlbAm+AgAAAWn5///8/P//BpgGAAAEVHlwZQm9AgAAAb8FAAASAAAAB8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n///z8//8GmwYAAARUeXBlCVsCAAABY/n///z8//8GngYAAAVMYWJlbAlcAgAAAWD5///8/P//BqEGAAAIUmVmZXJzVG8GogYAAAs9SXRlbU51bWJlcgfC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35///8/P//CZsGAAAJaQIAAAFa+f///Pz//wmeBgAACWoCAAABV/n///z8//8GqgYAAAhSZWZlcnNUbwarBgAACj1EYXRlUmFuZ2UE0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CAAAACc4BAAADAAAACa0GAAAE2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b8FAAADAAAACa8GAAAE6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kAAAACdQBAAADAAAACbEGAAAE+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MAAAACfIBAAADAAAACbMGAAAEBQ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b8FAAADAAAACbUGAAAEDw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b8FAAADAAAACbcGAAAEHw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eAAAACdQBAAADAAAACbkGAAABIQYAABIAAAAHIgY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Rvn//1/+//8GuwYAACBUYWJsZS5DdXN0SW52b2ljZVRyYW5zLkludm9pY2VJZAmpAQAAAUP5//9f/v//Br4GAAAdVGFibGUuQ3VzdEludm9pY2VUcmFucy5JdGVtSWQJrAEAAAFA+f//X/7//wbBBgAAGlRhYmxlLkN1c3RJbnZvaWNlVHJhbnMuUXR5CbIBAAABPfn//1/+//8GxAYAACFUYWJsZS5DdXN0SW52b2ljZVRyYW5zLlNhbGVzUHJpY2UJuAEAAAE6+f//X/7//wbHBgAAIVRhYmxlLkN1c3RJbnZvaWNlVHJhbnMuTGluZUFtb3VudAm7AQAAATf5//9f/v//BsoGAAAjVGFibGUuQ3VzdEludm9pY2VUcmFucy5DdXJyZW5jeUNvZGUJvgEAAAE0+f//X/7//wbNBgAAIVRhYmxlLkN1c3RJbnZvaWNlVHJhbnMuRGF0YUFyZWFJZAmjAQAAASUGAACLAAAAASwGAAASAAAABy0G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H5//9f/v//BtAGAAAhVGFibGUuQ3VzdEludm9pY2VUcmFucy5EYXRhQXJlYUlkCaMBAAABLvn//1/+//8G0wYAACBUYWJsZS5DdXN0SW52b2ljZVRyYW5zLkludm9pY2VJZAmpAQAAASv5//9f/v//BtYGAAAdVGFibGUuQ3VzdEludm9pY2VUcmFucy5JdGVtSWQJrAEAAAEo+f//X/7//wbZBgAAIlRhYmxlLkN1c3RJbnZvaWNlVHJhbnMuSW52b2ljZURhdGUJrwEAAAEl+f//X/7//wbcBgAAGlRhYmxlLkN1c3RJbnZvaWNlVHJhbnMuUXR5CbIBAAABIvn//1/+//8G3wYAACFUYWJsZS5DdXN0SW52b2ljZVRyYW5zLlNhbGVzUHJpY2UJuAEAAAEf+f//X/7//wbiBgAAIVRhYmxlLkN1c3RJbnZvaWNlVHJhbnMuTGluZUFtb3VudAm7AQAAARz5//9f/v//BuUGAAAjVGFibGUuQ3VzdEludm9pY2VUcmFucy5DdXJyZW5jeUNvZGUJvgEAAAEZ+f//X/7//wboBgAAHlRhYmxlLkN1c3RJbnZvaWNlVHJhbnMuU2FsZXNJZAmmAQAABy8G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W+f//Pv7//wbrBgAAHVRhYmxlLkN1c3RJbnZvaWNlVHJhbnMuSXRlbUlkCewGAAABE/n//z7+//8G7gYAACJUYWJsZS5DdXN0SW52b2ljZVRyYW5zLkludm9pY2VEYXRlCe8GAAAHMQY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EPn//9T///8JMAAAAAkxAAAAAQ35///U////CTMAAAAJNAAAAAEyBgAAiwAAAAE5BgAAEgAAAAc6Bg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K+f//X/7//wb3BgAAIFRhYmxlLkN1c3RJbnZvaWNlVHJhbnMuSW52b2ljZUlkCakBAAABB/n//1/+//8G+gYAAB1UYWJsZS5DdXN0SW52b2ljZVRyYW5zLkl0ZW1JZAmsAQAAAQT5//9f/v//Bv0GAAAaVGFibGUuQ3VzdEludm9pY2VUcmFucy5RdHkJsgEAAAEB+f//X/7//wYABwAAIVRhYmxlLkN1c3RJbnZvaWNlVHJhbnMuU2FsZXNQcmljZQm4AQAAAf74//9f/v//BgMHAAAhVGFibGUuQ3VzdEludm9pY2VUcmFucy5MaW5lQW1vdW50CbsBAAAB+/j//1/+//8GBgcAACNUYWJsZS5DdXN0SW52b2ljZVRyYW5zLkN1cnJlbmN5Q29kZQm+AQAAATwGAACLAAAAAU8GAAASAAAAB1AG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fj4//9f/v//BgkHAAAhVGFibGUuQ3VzdEludm9pY2VUcmFucy5EYXRhQXJlYUlkCaMBAAAB9fj//1/+//8GDAcAACBUYWJsZS5DdXN0SW52b2ljZVRyYW5zLkludm9pY2VJZAmpAQAAAfL4//9f/v//Bg8HAAAdVGFibGUuQ3VzdEludm9pY2VUcmFucy5JdGVtSWQJrAEAAAHv+P//X/7//wYSBwAAGlRhYmxlLkN1c3RJbnZvaWNlVHJhbnMuUXR5CbIBAAAB7Pj//1/+//8GFQcAACFUYWJsZS5DdXN0SW52b2ljZVRyYW5zLlNhbGVzUHJpY2UJuAEAAAHp+P//X/7//wYYBwAAIVRhYmxlLkN1c3RJbnZvaWNlVHJhbnMuTGluZUFtb3VudAm7AQAAAeb4//9f/v//BhsHAAAjVGFibGUuQ3VzdEludm9pY2VUcmFucy5DdXJyZW5jeUNvZGUJvgEAAAHj+P//X/7//wYeBwAAIlRhYmxlLkN1c3RJbnZvaWNlVHJhbnMuSW52b2ljZURhdGUJrwEAAAdS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4Pj//z7+//8GIQcAAB1UYWJsZS5DdXN0SW52b2ljZVRyYW5zLkl0ZW1JZAkiBwAAB1QG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d34///U////CTAAAAAJMQAAAAFVBgAAiwAAAAFlBgAAEgAAAAdmBg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a+P//X/7//wYnBwAAIVRhYmxlLkN1c3RJbnZvaWNlVHJhbnMuRGF0YUFyZWFJZAmjAQAAAdf4//9f/v//BioHAAAeVGFibGUuQ3VzdEludm9pY2VUcmFucy5TYWxlc0lkCaYBAAAB1Pj//1/+//8GLQcAACBUYWJsZS5DdXN0SW52b2ljZVRyYW5zLkludm9pY2VJZAmpAQAAAdH4//9f/v//BjAHAAAdVGFibGUuQ3VzdEludm9pY2VUcmFucy5JdGVtSWQJrAEAAAHO+P//X/7//wYzBwAAIlRhYmxlLkN1c3RJbnZvaWNlVHJhbnMuSW52b2ljZURhdGUJrwEAAAHL+P//X/7//wY2BwAAGlRhYmxlLkN1c3RJbnZvaWNlVHJhbnMuUXR5CbIBAAAByPj//1/+//8GOQcAACFUYWJsZS5DdXN0SW52b2ljZVRyYW5zLlNhbGVzUHJpY2UJuAEAAAHF+P//X/7//wY8BwAAIVRhYmxlLkN1c3RJbnZvaWNlVHJhbnMuTGluZUFtb3VudAm7AQAAAcL4//9f/v//Bj8HAAAjVGFibGUuQ3VzdEludm9pY2VUcmFucy5DdXJyZW5jeUNvZGUJvgEAAAG/+P//X/7//wZCBwAAIFRhYmxlLkN1c3RJbnZvaWNlVHJhbnMuU2FsZXNVbml0CbUBAAAHaAY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z4//8+/v//BkUHAAAdVGFibGUuQ3VzdEludm9pY2VUcmFucy5JdGVtSWQJ7AYAAAG5+P//Pv7//wZIBwAAIlRhYmxlLkN1c3RJbnZvaWNlVHJhbnMuSW52b2ljZURhdGUJ7wYAAAdqB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2+P//1P///wkwAAAACTEAAAABs/j//9T///8JMwAAAAk0AAAAAWsGAACLAAAAAY0GAAASAAAAB44G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bD4//9f/v//BlEHAAAhVGFibGUuQ3VzdEludm9pY2VUcmFucy5EYXRhQXJlYUlkCaMBAAABrfj//1/+//8GVAcAAB5UYWJsZS5DdXN0SW52b2ljZVRyYW5zLlNhbGVzSWQJpgEAAAGq+P//X/7//wZXBwAAIFRhYmxlLkN1c3RJbnZvaWNlVHJhbnMuSW52b2ljZUlkCakBAAABp/j//1/+//8GWgcAAB1UYWJsZS5DdXN0SW52b2ljZVRyYW5zLkl0ZW1JZAmsAQAAAaT4//9f/v//Bl0HAAAiVGFibGUuQ3VzdEludm9pY2VUcmFucy5JbnZvaWNlRGF0ZQmvAQAAAaH4//9f/v//BmAHAAAaVGFibGUuQ3VzdEludm9pY2VUcmFucy5RdHkJsgEAAAGe+P//X/7//wZjBwAAIFRhYmxlLkN1c3RJbnZvaWNlVHJhbnMuU2FsZXNVbml0CbUBAAABm/j//1/+//8GZgcAACFUYWJsZS5DdXN0SW52b2ljZVRyYW5zLlNhbGVzUHJpY2UJuAEAAAGY+P//X/7//wZpBwAAIVRhYmxlLkN1c3RJbnZvaWNlVHJhbnMuTGluZUFtb3VudAm7AQAAAZX4//9f/v//BmwHAAAjVGFibGUuQ3VzdEludm9pY2VUcmFucy5DdXJyZW5jeUNvZGUJvgEAAAGS+P//X/7//wZvBwAAHFRhYmxlLkN1c3RJbnZvaWNlVHJhbnMuUmVjSWQJwQEAAAeQBg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j//z7+//8GcgcAAB1UYWJsZS5DdXN0SW52b2ljZVRyYW5zLkl0ZW1JZAnsBgAAAYz4//8+/v//BnUHAAAiVGFibGUuQ3VzdEludm9pY2VUcmFucy5JbnZvaWNlRGF0ZQnvBgAAB5IG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Yn4///U////CTAAAAAJMQAAAAGG+P//1P///wkzAAAACTQAAAABkwYAAIsAAAAHrQ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P///Pz//wknBgAACcUFAAABgPj///z8//8JKgYAAAnEBQAAB68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j///z8//8JmwYAAAaFBwAABEVudW0Bevj///z8//8JngYAAAaIBwAACUl0ZW0gdHlwZQF3+P///Pz//wmqBgAABosHAAAJPUl0ZW1UeXBlB7E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j///z8//8GjQcAAAVMYWJlbAnfBQAAAXH4///8/P//BpAHAAAEVHlwZQneBQAAB7M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j///z8//8JNAYAAAnvBQAAAWv4///8/P//CTcGAAAJ7gUAAAe1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j4///8/P//CZsGAAAGmgcAAAZTdHJpbmcBZfj///z8//8JngYAAAadBwAABUdyb3VwB7c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j///z8//8JmwYAAAnuBQAAAV/4///8/P//CZ4GAAAJ7wUAAAFc+P///Pz//wmqBgAABqYHAAAKPVdhcmVob3VzZQe5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n4///8/P//CY0HAAAJEwYAAAFW+P///Pz//wmQBwAACRIGAAAB7AYAAMQBAAAGrQcAABZUYWJsZS5DdXN0SW52b2ljZVRyYW5zCcsCAAAJCAAAAAawBwAAAyEiIv////8JrQcAAAoJywIAAAoKCgkIAAAACbQHAAAJCAAAAAHvBgAAxAEAAAmtBwAACdQCAAAJCAAAAAa5BwAAGDA1LjAxLjIwMTcgLi4gMDguMzEuMjAxN/////8JrQcAAAoJ1AIAAAoKCgkIAAAACb0HAAAJCAAAAAEiBwAAxAEAAAa/BwAAFlRhYmxlLkN1c3RJbnZvaWNlVHJhbnMJywIAAAkIAAAACbAHAAD/////Cb8HAAAKCcsCAAAKCgoJCAAAAAnGBwAACQgAAAAEtA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dQBAAADAAAACckHAAAEvQ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dQBAAADAAAACcsHAAAEx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c4BAAADAAAACc0HAAAHyQ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+P///Pz//wmQBwAABtAHAAAGU3RyaW5nAS/4///8/P//CY0HAAAG0wcAAARJdGVtB8s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j///z8//8JkAcAAAbWBwAABERhdGUBKfj///z8//8JjQcAAAbZBwAABERhdGUBJvj///z8//8G2wcAAAhSZWZlcnNUbwmrBgAAB80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j///z8//8JKgYAAAbfBwAABlN0cmluZwEg+P///Pz//wknBgAABuIHAAAESXRlbQs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QAAAAE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SMAAAAMJ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kAAAACAIAAAAGJQAAABVBdGxhc1JlcG9ydF8xX1RhYmxlXzEJJ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JAAAAAgICSc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oAAAACSkAAAAJKgAAAAYrAAAACkRhdGFBcmVhSWQGLAAAABBDb21wYW55IGFjY291bnRzBi0AAAAGU3RyaW5nBi4AAAAABi8AAAAkNWVjZTA2ODItNmViMi00Mjk3LWJkMTMtMGIzM2Y0NWE3YzdjBdD///8tR2xvYmVTb2Z0d2FyZS5BdGxhczQwLkF0bGFzQ29tbW9uLkFnZ3JlZ2F0aW9uAQAAAAd2YWx1ZV9fAAgOAAAA/////wAAAAAFz////yxHbG9iZVNvZnR3YXJlLkF0bGFzNDAuQXRsYXNDb21tb24uQ29sdW1uVHlwZQEAAAAHdmFsdWVfXwAIDgAAAAAAAAAFzv///ytHbG9iZVNvZnR3YXJlLkF0bGFzNDAuQXRsYXNDb21tb24uU29ydE9yZGVyAQAAAAd2YWx1ZV9fAAgOAAAAAgAAAAAAAAAABc3///9AR2xvYmVTb2Z0d2FyZS5BdGxhczQwLkF0bGFzQ29tbW9uLlR5cGUuQ29sdW1uK0Nyb3NzVGFiQ29sdW1uVHlwZQEAAAAHdmFsdWVfXwAIDgAAAAAAAAAKAQAAAAAAAAAAAAAAAAAGNAAAACQ4MGQ4Mjc4My0yYjFhLTRiNWYtOWNhZS04ZmFjN2RhYWYwMGQGNQAAACFUYWJsZS5DdXN0SW52b2ljZVRyYW5zLkRhdGFBcmVhSWQKCgoKARUAAAAUAAAACTYAAAAJNwAAAAk4AAAABjkAAAAMT3JkZXJBY2NvdW50BjoAAAAQQ3VzdG9tZXIgYWNjb3VudAY7AAAABlN0cmluZwkuAAAABj0AAAAkNGMxYmY4YmYtNjhlYi00MmU3LWI4N2MtMTQzMDYyNTNhNWQ1AcL////Q/////////wEAAAABwf///8////8AAAAAAcD////O////AgAAAAAAAAAAAb/////N////AAAAAAoBAAAAAAAAAAABAAAAAAZCAAAAJGU3NzMzZTQzLWJjZDAtNGVlZS05ODIwLTMzNmYxNWUzMWUwMAZDAAAAQ1RhYmxlLkN1c3RJbnZvaWNlVHJhbnMuSW52b2ljZUlkflRhYmxlLkN1c3RJbnZvaWNlSm91ci5PcmRlckFjY291bnQKCgoKARYAAAAUAAAACUQAAAAJRQAAAAlGAAAABkcAAAAETmFtZQZIAAAABE5hbWUGSQAAAAZTdHJpbmcJLgAAAAZLAAAAJGIxNGFhMWU3LTU0ZjMtNGQ0Zi05OTI3LTY3ZGQyYTQ4NTFjOAG0////0P////////8CAAAAAbP////P////AAAAAAGy////zv///wIAAAAAAAAAAAGx////zf///wAAAAAKAQAAAAAAAAAAAgAAAAAGUAAAACQ4ZGYyY2M5Ni0xOTI4LTRkZWMtYTFlNy04MTM0NDRkZjlhN2UGUQAAAFhUYWJsZS5DdXN0SW52b2ljZVRyYW5zLkludm9pY2VJZH5UYWJsZS5DdXN0SW52b2ljZUpvdXIuT3JkZXJBY2NvdW50flRhYmxlLkN1c3RUYWJsZS5OYW1lCgoKCgEXAAAAFAAAAAlSAAAACVMAAAAJVAAAAAZVAAAAB1NhbGVzSWQGVgAAAAtTYWxlcyBvcmRlcgZXAAAABlN0cmluZwkuAAAABlkAAAAkZDI1ZjNiZDctNDliZS00MTQxLWI2MmUtMWYwMWNhNGQ1MTU0Aab////Q/////////wMAAAABpf///8////8AAAAAAaT////O////AgAAAAAAAAAAAaP////N////AAAAAAoBAAAAAAAAAAADAAAAAAZeAAAAJGNjNGYwNTQ1LTQ1MjktNGJjMC05ODQxLTZhYjQxMWRjNjY5ZAZfAAAAHlRhYmxlLkN1c3RJbnZvaWNlVHJhbnMuU2FsZXNJZAoKCgoBGAAAABQAAAAJYAAAAAlhAAAACWIAAAAGYwAAAAlJbnZvaWNlSWQGZAAAAAdJbnZvaWNlBmUAAAAGU3RyaW5nCS4AAAAGZwAAACRkZTMwZGY4ZS1kMGM0LTQ2OTEtODlhMS02ZWEyMDcxYzg1YWYBmP///9D/////////BAAAAAGX////z////wAAAAABlv///87///8CAAAAAAAAAAABlf///83///8AAAAACgEAAAAAAAAAAAQAAAAABmwAAAAkNTI0Mzk1ODctZjE2Zi00YjIwLWI4ZTktZGFjMzNhMDBmMWRhBm0AAAAgVGFibGUuQ3VzdEludm9pY2VUcmFucy5JbnZvaWNlSWQKCgoKARkAAAAUAAAACW4AAAAJbwAAAAlwAAAABnEAAAAQaW52ZW50TG9jYXRpb25JZAZyAAAACVdhcmVob3VzZQZzAAAABlN0cmluZwkuAAAABnUAAAAkOGNjMGYzMTEtNjg4NC00NTU5LWJjMTctMmIwZGFkNmMzOGUwAYr////Q/////////wUAAAABif///8////8AAAAAAYj////O////AgAAAAAAAAAAAYf////N////AAAAAAoBAAAAAAAAAAAFAAAAAAZ6AAAAJDEzMTdjYTk5LTJmODQtNDc5Yi1hYTRkLTg5MzUzNjljMjIwOAZ7AAAAR1RhYmxlLkN1c3RJbnZvaWNlVHJhbnMuSW52b2ljZUlkflRhYmxlLkN1c3RJbnZvaWNlSm91ci5pbnZlbnRMb2NhdGlvbklkCgoKCgEaAAAAFAAAAAl8AAAACX0AAAAJfgAAAAZ/AAAABkl0ZW1JZAaAAAAABEl0ZW0GgQAAAAZTdHJpbmcJLgAAAAaDAAAAJDhkNjE1NWFmLTE2NWItNDUzNy05NjYzLTA0OTlkM2ZhMmE5YQF8////0P////////8GAAAAAXv////P////AAAAAAF6////zv///wIAAAAAAAAAAAF5////zf///wAAAAAKAQAAAAAAAAAABgAAAAAGiAAAACRkNmE5NTFiNy1jZGYwLTQ4OTctYWFiMC04M2RmNjJhODVlOTQGiQAAAB1UYWJsZS5DdXN0SW52b2ljZVRyYW5zLkl0ZW1JZAoKCgoBGwAAABQAAAAJigAAAAmLAAAACYwAAAAGjQAAAAhJdGVtTmFtZQaOAAAACUl0ZW0gbmFtZQaPAAAABlN0cmluZwkuAAAABpEAAAAkMTEyMDI1YjctYzg5Mi00OTEzLThmNWItOTNhODIxZjRjZWQ3AW7////Q/////////wcAAAABbf///8////8AAAAAAWz////O////AgAAAAAAAAAAAWv////N////AAAAAAoBAAAAAAAAAAAHAAAAAAaWAAAAJDdlMzMyNmE1LTk4YTUtNDZkNy1iYjRjLWFlZTE2ZDMwMjM4NQaXAAAAOFRhYmxlLkN1c3RJbnZvaWNlVHJhbnMuSXRlbUlkflRhYmxlLkludmVudFRhYmxlLkl0ZW1OYW1lCgoKCgEcAAAAFAAAAAmYAAAACZkAAAAJmgAAAAabAAAAC0ludm9pY2VEYXRlBpwAAAAERGF0ZQadAAAABERhdGUJLgAAAAafAAAAJDcxYTFjMzU5LWYwOWMtNDE2ZC04YjJkLTdkY2IwOTk0NTU1NgFg////0P////////8IAAAAAV/////P////AAAAAAFe////zv///wIAAAAAAAAAAAFd////zf///wAAAAAKAQAAAAAAAAAACAAAAAAGpAAAACQ2ODY3MDE2MS1lODI1LTQzOWEtODBmNS1kMjY3MzEwNGMyMTEGpQAAACJUYWJsZS5DdXN0SW52b2ljZVRyYW5zLkludm9pY2VEYXRlCgoKCgEdAAAAFAAAAAmmAAAACacAAAAJqAAAAAapAAAAA1F0eQaqAAAACFF1YW50aXR5BqsAAAAEUmVhbAkuAAAABq0AAAAkMTU4YWE0MGMtNzU3Ny00MTM2LWFjYTQtNGFlYWU0MzJiZDRjAVL////Q////AQAAAAkAAAABUf///8////8AAAAAAVD////O////AgAAAAAAAAAAAU/////N////AAAAAAoBAAAAAAAAAAAJAAAAAAayAAAAJGQ0NzUwNGRiLTdhMGUtNDAwNC1hNmQ5LTRjMjY3ZjdkODkwMwazAAAAGlRhYmxlLkN1c3RJbnZvaWNlVHJhbnMuUXR5CgoKCgEeAAAAFAAAAAm0AAAACbUAAAAJtgAAAAa3AAAACVNhbGVzVW5pdAa4AAAABFVuaXQGuQAAAAZTdHJpbmcJLgAAAAa7AAAAJGM2OWNiOWU2LWI5OTMtNGU4Ni1hNzBmLTg4MWRkMzUxMDEwYQFE////0P////////8KAAAAAUP////P////AAAAAAFC////zv///wIAAAAAAAAAAAFB////zf///wAAAAAKAQAAAAAAAAAACgAAAAAGwAAAACRjM2ZlZGQ0NS01YTNlLTQzMTItYjZiNS1mZTc2MGQyNTAwN2UGwQAAACBUYWJsZS5DdXN0SW52b2ljZVRyYW5zLlNhbGVzVW5pdAoKCgoBHwAAABQAAAAJwgAAAAnDAAAACcQAAAAGxQAAAApTYWxlc1ByaWNlBsYAAAAKVW5pdCBwcmljZQbHAAAABFJlYWwJLgAAAAbJAAAAJDk2YTQ1NjNmLTg5YzQtNGFiNi05MjAyLTZlMGM0ZWVjZTgyMQE2////0P///wEAAAALAAAAATX////P////AAAAAAE0////zv///wIAAAAAAAAAAAEz////zf///wAAAAAKAQAAAAAAAAAACwAAAAAGzgAAACQxNGJlNzEzYS1hN2RkLTQ2NTktYWY1ZS1mMDUwNTA2NWE5ODcGzwAAACFUYWJsZS5DdXN0SW52b2ljZVRyYW5zLlNhbGVzUHJpY2UKCgoKASAAAAAUAAAACdAAAAAJ0QAAAAnSAAAABtMAAAAKTGluZUFtb3VudAbUAAAABkFtb3VudAbVAAAABFJlYWwJLgAAAAbXAAAAJGI3ZmI3ZTViLWY0ODEtNDc0NC1iMWY0LWE3ZWZmNTJmNDE1NAEo////0P///wEAAAAMAAAAASf////P////AAAAAAEm////zv///wIAAAAAAAAAAAEl////zf///wAAAAAKAQAAAAAAAAAADAAAAAAG3AAAACRjMTVmYTBmNS0xOTQ2LTRhZjMtYjBlOS00ZDY4NDFmNTRkYWQG3QAAACFUYWJsZS5DdXN0SW52b2ljZVRyYW5zLkxpbmVBbW91bnQKCgoKASEAAAAUAAAACd4AAAAJ3wAAAAngAAAABuEAAAAMQ3VycmVuY3lDb2RlBuIAAAAIQ3VycmVuY3kG4wAAAAZTdHJpbmcJLgAAAAblAAAAJDk3Y2I1ZmJjLTgxMmUtNDE3Ny1iMzg2LTlhNWU0N2M2M2Q1YgEa////0P////////8NAAAAARn////P////AAAAAAEY////zv///wIAAAAAAAAAAAEX////zf///wAAAAAKAQAAAAAAAAAADQAAAAAG6gAAACQ2YTM1MTg5ZS0xMWE2LTRkNDYtODQ5Zi1kMThkZmZkZTRkNjUG6wAAACNUYWJsZS5DdXN0SW52b2ljZVRyYW5zLkN1cnJlbmN5Q29kZQoKCgoBIgAAABQAAAAJ7AAAAAntAAAACe4AAAAG7wAAAAVSZWNJZAbwAAAADFJlY0lkIGNvbHVtbgbxAAAABUludDY0CS4AAAAG8wAAACQxNjRlZmUzNS1kNGI2LTQ2MjgtODQ2Ny03MDYzYTlmYjgyNzUBDP///9D/////////DgAAAAEL////z////wAAAAABCv///87///8CAAAAAAAAAAABCf///83///8AAAAACgEAAAAAAAAAAA4AAAAABvgAAAAkNGYzN2Q0N2YtNjM2My00MWNhLTlmNDktM2U5ODg0ODVlOGJiBvkAAAAcVGFibGUuQ3VzdEludm9pY2VUcmFucy5SZWNJZAoKCgoBIwAAABQAAAAJ+gAAAAn7AAAACfwAAAAG/QAAADdBdGxhc01hbmFnZWRDb2x1bW5fYWEwNjcyNzQtZTRmNC00NDJjLWJmYWMtNTRiODdjM2ZiY2E5Bv4AAAAKVFBQIEFtb3VudAkuAAAACS4AAAAGAAEAACRhM2E3MGNmYS0xNGY2LTRhZGEtOGU0Zi05YmFlNmEzM2NlMTAB//7//9D///8BAAAADwAAAAH+/v//z////wIAAAAB/f7//87///8CAAAAAAAAAAAB/P7//83///8AAAAACgEAAAAAAAAAAA8AAAAABgUBAAAkOTMzZDc1ZTktZGMzMC00MTQ5LThhODAtODFkODEwY2ZmY2VhCS4AAAAKCgoKBSYAAAA4R2xvYmVTb2Z0d2FyZS5BdGxhczQwLkF0bGFzQ29tbW9uQ2xpZW50LlJlcG9ydC5SZWZlcmVuY2UBAAAACl9yZWZlcmVuY2UHCCQAAAAJBwEAAAcnAAAAAAEAAAAIAAAABDxHbG9iZVNvZnR3YXJlLkF0bGFzNDAuQXRsYXNDb21tb25DbGllbnQuRGF0YVNvdXJjZUZpZWxkVmFsdWUkAAAACQgBAAAJCQEAAAkKAQAACQsBAAAJDAEAAAkNAQAADQIEK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DgEAAAEAAAABAAAABCk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uQAAAAkPAQAABwAAAAkQAQAABC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kRAQAABwAAAAkSAQAAATYAAAAoAAAACRMBAAABAAAAAQAAAAE3AAAAKQAAAIgAAAAJFAEAAAcAAAAJFQEAAAE4AAAAKgAAAIUAAAAJFgEAAAcAAAAJFwEAAAFEAAAAKAAAAAkYAQAAAQAAAAEAAAABRQAAACkAAACBAAAACRQBAAAHAAAACRoBAAABRgAAACoAAAB+AAAACRYBAAAHAAAACRwBAAABUgAAACgAAAAJHQEAAAEAAAABAAAAAVMAAAApAAAAZQAAAAkeAQAABwAAAAkfAQAAAVQAAAAqAAAAYgAAAAkgAQAABwAAAAkhAQAAAWAAAAAoAAAACSIBAAABAAAAAQAAAAFhAAAAKQAAAMIAAAAJDwEAAAcAAAAJJAEAAAFiAAAAKgAAAL0AAAAJEQEAAAcAAAAJJgEAAAFuAAAAKAAAAAknAQAAAQAAAAEAAAABbwAAACkAAABsAAAACR4BAAAHAAAACSkBAAABcAAAACoAAABpAAAACSABAAAHAAAACSsBAAABfAAAACgAAAAJLAEAAAEAAAABAAAAAX0AAAApAAAAwQAAAAkPAQAABwAAAAkuAQAAAX4AAAAqAAAAvQAAAAkRAQAABwAAAAkwAQAAAYoAAAAoAAAACTEBAAABAAAAAQAAAAGLAAAAKQAAAKsAAAAJDwEAAAcAAAAJMwEAAAGMAAAAKgAAAKgAAAAJEQEAAAcAAAAJNQEAAAGYAAAAKAAAAAk2AQAAAQAAAAEAAAABmQAAACkAAACkAAAACQ8BAAAHAAAACTgBAAABmgAAACoAAAChAAAACREBAAAHAAAACToBAAABpgAAACgAAAAJOwEAAAEAAAABAAAAAacAAAApAAAAwQAAAAkPAQAABwAAAAk9AQAAAagAAAAqAAAAvQAAAAkRAQAABwAAAAk/AQAAAbQAAAAoAAAACUABAAABAAAAAQAAAAG1AAAAKQAAAF4AAAAJQQEAAAcAAAAJQgEAAAG2AAAAKgAAAFsAAAAJQwEAAAcAAAAJRAEAAAHCAAAAKAAAAAlFAQAAAQAAAAEAAAABwwAAACkAAADBAAAACQ8BAAAHAAAACUcBAAABxAAAACoAAAC9AAAACREBAAAHAAAACUkBAAAB0AAAACgAAAAJSgEAAAEAAAABAAAAAdEAAAApAAAAwQAAAAkPAQAABwAAAAlMAQAAAdIAAAAqAAAAvQAAAAkRAQAABwAAAAlOAQAAAd4AAAAoAAAACU8BAAABAAAAAQAAAAHfAAAAKQAAAMEAAAAJDwEAAAcAAAAJUQEAAAHgAAAAKgAAAL0AAAAJEQEAAAcAAAAJUwEAAAHsAAAAKAAAAAlUAQAAAQAAAAEAAAAB7QAAACkAAABXAAAACVUBAAAHAAAACVYBAAAB7gAAACoAAABUAAAACVcBAAAHAAAACVgBAAAB+gAAACgAAAAJWQEAAAAAAAAAAAAAAfsAAAApAAAAUwAAAAlaAQAABwAAAAlbAQAAAfwAAAAqAAAATQAAAAlcAQAABwAAAAldAQAADwcBAAABAAAACAEAAAAFCAEAADxHbG9iZVNvZnR3YXJlLkF0bGFzNDAuQXRsYXNDb21tb25DbGllbnQuRGF0YVNvdXJjZUZpZWxkVmFsdWUEAAAAEl9pc0RyaWxsRG93bkZpbHRlcgZfZHNLZXkKX2ZpZWxkbmFtZQtfZmllbGRWYWx1ZQABAQEBJAAAAAAGXgEAABZUYWJsZS5DdXN0SW52b2ljZVRyYW5zBl8BAAAKRGF0YUFyZWFJZAkGAAAAAQkBAAAIAQAAAAleAQAABmIBAAAGSXRlbUlkBmMBAAABKgEKAQAACAEAAAAJXgEAAAZlAQAAC0ludm9pY2VEYXRlBmYBAAAYMDUuMDEuMjAxNyAuLiAwOC4zMS4yMDE3AQsBAAAIAQAAAAZnAQAAL1RhYmxlLkN1c3RJbnZvaWNlVHJhbnMuSXRlbUlkflRhYmxlLkludmVudFRhYmxlBmgBAAAISXRlbVR5cGUGaQEAAAEqAQwBAAAIAQAAAAZqAQAANlRhYmxlLkN1c3RJbnZvaWNlVHJhbnMuSW52b2ljZUlkflRhYmxlLkN1c3RJbnZvaWNlSm91cgZrAQAACUN1c3RHcm91cAZsAQAAA0lDKgENAQAACAEAAAAJagEAAAZuAQAAEGludmVudExvY2F0aW9uSWQGbwEAAAshSUMtVHJhbnNpdAcOAQAAAAEAAAAEAAAABDdHbG9iZVNvZnR3YXJlLkF0bGFzNDAuQXRsYXNDb21tb24uVHlwZS5GaWVsZE91dHB1dEZpZWxkDgAAAAlwAQAADQMEDw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E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I/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jv7//zJHbG9iZVNvZnR3YXJlLkF0bGFzNDAuQXRsYXNDb21tb24uQ29sdW1uQXR0cmlidXRlcwEAAAAHdmFsdWVfXwAIDgAAAAkAAAAJLgAAAAGM/v//j/7//wGL/v//jv7//wsAAAAGdgEAAAEwAYn+//+P/v//AYj+//+O/v//BAAAAAZ5AQAAB0dlbmVyYWwBhv7//4/+//8Bhf7//47+//8CAAAABnwBAAABMQGD/v//j/7//wGC/v//jv7//wAAAAAGfwEAAAQzLjg2AREBAAAMAAAABx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gP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BAQAACEZvbnRCb2xkBoIBAAAFRmFsc2UBff7//4D+//8GhAEAAApGb250SXRhbGljCYIBAAABev7//4D+//8GhwEAAA1Gb250VW5kZXJsaW5lBogBAAAFLTQxNDIBd/7//4D+//8GigEAAAhGb250TmFtZQaLAQAAB0NhbGlicmkBdP7//4D+//8GjQEAAAlGb250Q29sb3IGjgEAAAEwAXH+//+A/v//BpABAAAIRm9udFNpemUGkQEAAAIxMQFu/v//gP7//waTAQAACUZvbnRTdHlsZQaUAQAAB1JlZ3VsYXIHEwEAAAABAAAABAAAAAQ3R2xvYmVTb2Z0d2FyZS5BdGxhczQwLkF0bGFzQ29tbW9uLlR5cGUuRmllbGRPdXRwdXRGaWVsZA4AAAAJlQEAAA0DARQBAAAPAQAABx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v//j/7//wFp/v//jv7//wkAAAAJLgAAAAFn/v//j/7//wFm/v//jv7//wsAAAAGmwEAAAExAWT+//+P/v//AWP+//+O/v//BAAAAAaeAQAAB0dlbmVyYWwBYf7//4/+//8BYP7//47+//8CAAAABqEBAAABMQFe/v//j/7//wFd/v//jv7//wAAAAAGpAEAAAUxMS40MwEWAQAADAAAAA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+//+A/v//BqYBAAAIRm9udEJvbGQJggEAAAFY/v//gP7//wapAQAACkZvbnRJdGFsaWMJggEAAAFV/v//gP7//wasAQAADUZvbnRVbmRlcmxpbmUGrQEAAAUtNDE0MgFS/v//gP7//wavAQAACEZvbnROYW1lBrABAAAHQ2FsaWJyaQFP/v//gP7//wayAQAACUZvbnRDb2xvcgazAQAAATABTP7//4D+//8GtQEAAAhGb250U2l6ZQa2AQAAAjExAUn+//+A/v//BrgBAAAJRm9udFN0eWxlBrkBAAAHUmVndWxhcgcYAQAAAAEAAAAEAAAABDdHbG9iZVNvZnR3YXJlLkF0bGFzNDAuQXRsYXNDb21tb24uVHlwZS5GaWVsZE91dHB1dEZpZWxkDgAAAAm6AQAADQMHG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X+//+P/v//AUT+//+O/v//CQAAAAkuAAAAAUL+//+P/v//AUH+//+O/v//CwAAAAbAAQAAATIBP/7//4/+//8BPv7//47+//8EAAAABsMBAAAHR2VuZXJhbAE8/v//j/7//wE7/v//jv7//wIAAAAGxgEAAAExATn+//+P/v//ATj+//+O/v//AAAAAAbJAQAABTE2Ljg2Bx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7//4D+//8JpgEAAAmCAQAAATP+//+A/v//CakBAAAJggEAAAEw/v//gP7//wmsAQAABtIBAAAFLTQxNDIBLf7//4D+//8JrwEAAAbVAQAAB0NhbGlicmkBKv7//4D+//8JsgEAAAbYAQAAATABJ/7//4D+//8JtQEAAAbbAQAAAjExAST+//+A/v//CbgBAAAG3gEAAAdSZWd1bGFyBx0BAAAAAQAAAAQAAAAEN0dsb2JlU29mdHdhcmUuQXRsYXM0MC5BdGxhc0NvbW1vbi5UeXBlLkZpZWxkT3V0cHV0RmllbGQOAAAACd8BAAANAwEeAQAADwEAAAc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P7//4/+//8BH/7//47+//8JAAAACS4AAAABHf7//4/+//8BHP7//47+//8LAAAABuUBAAABMwEa/v//j/7//wEZ/v//jv7//wQAAAAG6AEAAAdHZW5lcmFsARf+//+P/v//ARb+//+O/v//AgAAAAbrAQAAATEBFP7//4/+//8BE/7//47+//8AAAAABu4BAAACMTQBIAEAAAwAAAAHI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v//gP7//wbwAQAACEZvbnRCb2xkCYIBAAABDv7//4D+//8G8wEAAApGb250SXRhbGljCYIBAAABC/7//4D+//8G9gEAAA1Gb250VW5kZXJsaW5lBvcBAAAFLTQxNDIBCP7//4D+//8G+QEAAAhGb250TmFtZQb6AQAAB0NhbGlicmkBBf7//4D+//8G/AEAAAlGb250Q29sb3IG/QEAAAEwAQL+//+A/v//Bv8BAAAIRm9udFNpemUGAAIAAAIxMQH//f//gP7//wYCAgAACUZvbnRTdHlsZQYDAgAAB1JlZ3VsYXIHIgEAAAABAAAABAAAAAQ3R2xvYmVTb2Z0d2FyZS5BdGxhczQwLkF0bGFzQ29tbW9uLlR5cGUuRmllbGRPdXRwdXRGaWVsZA4AAAAJBAIAAA0DByQ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7/f//j/7//wH6/f//jv7//wYAAAAGBwIAAAVUb3RhbAH4/f//j/7//wH3/f//jv7//xAAAAAGCgIAAAROb25lAfX9//+P/v//AfT9//+O/v//CQAAAAkuAAAAAfL9//+P/v//AfH9//+O/v//CwAAAAYQAgAAATQB7/3//4/+//8B7v3//47+//8EAAAABhMCAAAHR2VuZXJhbAHs/f//j/7//wHr/f//jv7//wIAAAAGFgIAAAExAen9//+P/v//Aej9//+O/v//AAAAAAYZAgAABTEyLjg2By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v3//4D+//8JgQEAAAmCAQAAAeP9//+A/v//CYQBAAAJggEAAAHg/f//gP7//wmHAQAABiICAAAFLTQxNDIB3f3//4D+//8JigEAAAYlAgAAB0NhbGlicmkB2v3//4D+//8JjQEAAAYoAgAAATAB1/3//4D+//8JkAEAAAYrAgAAAjExAdT9//+A/v//CZMBAAAGLgIAAAdSZWd1bGFyBycBAAAAAQAAAAQAAAAEN0dsb2JlU29mdHdhcmUuQXRsYXM0MC5BdGxhc0NvbW1vbi5UeXBlLkZpZWxkT3V0cHV0RmllbGQOAAAACS8CAAANAwc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P3//4/+//8Bz/3//47+//8JAAAACS4AAAABzf3//4/+//8BzP3//47+//8LAAAABjUCAAABNQHK/f//j/7//wHJ/f//jv7//wQAAAAGOAIAAAdHZW5lcmFsAcf9//+P/v//Acb9//+O/v//AgAAAAY7AgAAATEBxP3//4/+//8Bw/3//47+//8AAAAABj4CAAAFMTIuODYHK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gP7//wZAAgAACEZvbnRCb2xkCYIBAAABvv3//4D+//8GQwIAAApGb250SXRhbGljCYIBAAABu/3//4D+//8GRgIAAA1Gb250VW5kZXJsaW5lBkcCAAAFLTQxNDIBuP3//4D+//8GSQIAAAhGb250TmFtZQZKAgAAB0NhbGlicmkBtf3//4D+//8GTAIAAAlGb250Q29sb3IGTQIAAAEwAbL9//+A/v//Bk8CAAAIRm9udFNpemUGUAIAAAIxMQGv/f//gP7//wZSAgAACUZvbnRTdHlsZQZTAgAAB1JlZ3VsYXIHLAEAAAABAAAABAAAAAQ3R2xvYmVTb2Z0d2FyZS5BdGxhczQwLkF0bGFzQ29tbW9uLlR5cGUuRmllbGRPdXRwdXRGaWVsZA4AAAAJVAIAAA0DBy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r/f//j/7//wGq/f//jv7//xAAAAAJCgIAAAGo/f//j/7//wGn/f//jv7//wkAAAAJLgAAAAGl/f//j/7//wGk/f//jv7//wsAAAAGXQIAAAE2AaL9//+P/v//AaH9//+O/v//BAAAAAZgAgAAB0dlbmVyYWwBn/3//4/+//8Bnv3//47+//8CAAAABmMCAAABMQGc/f//j/7//wGb/f//jv7//wAAAAAGZgIAAAUxOC40Mwc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9//+A/v//CYEBAAAJggEAAAGW/f//gP7//wmEAQAACYIBAAABk/3//4D+//8JhwEAAAZvAgAABS00MTQyAZD9//+A/v//CYoBAAAGcgIAAAdDYWxpYnJpAY39//+A/v//CY0BAAAGdQIAAAEwAYr9//+A/v//CZABAAAGeAIAAAIxMQGH/f//gP7//wmTAQAABnsCAAAHUmVndWxhcgcxAQAAAAEAAAAEAAAABDdHbG9iZVNvZnR3YXJlLkF0bGFzNDAuQXRsYXNDb21tb24uVHlwZS5GaWVsZE91dHB1dEZpZWxkDgAAAAl8AgAADQMHM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P9//+P/v//AYL9//+O/v//CQAAAAkuAAAAAYD9//+P/v//AX/9//+O/v//CwAAAAaCAgAAATcBff3//4/+//8BfP3//47+//8EAAAABoUCAAAHR2VuZXJhbAF6/f//j/7//wF5/f//jv7//wIAAAAGiAIAAAExAXf9//+P/v//AXb9//+O/v//AAAAAAaLAgAABTIxLjQzBz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3//4D+//8JgQEAAAmCAQAAAXH9//+A/v//CYQBAAAJggEAAAFu/f//gP7//wmHAQAABpQCAAAFLTQxNDIBa/3//4D+//8JigEAAAaXAgAAB0NhbGlicmkBaP3//4D+//8JjQEAAAaaAgAAATABZf3//4D+//8JkAEAAAadAgAAAjExAWL9//+A/v//CZMBAAAGoAIAAAdSZWd1bGFyBzYBAAAAAQAAAAQAAAAEN0dsb2JlU29mdHdhcmUuQXRsYXM0MC5BdGxhc0NvbW1vbi5UeXBlLkZpZWxkT3V0cHV0RmllbGQOAAAACaECAAANAwc4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v3//4/+//8BXf3//47+//8JAAAACS4AAAABW/3//4/+//8BWv3//47+//8LAAAABqcCAAABOAFY/f//j/7//wFX/f//jv7//wQAAAAGqgIAAAhtL2QveXl5eQFV/f//j/7//wFU/f//jv7//wIAAAAGrQIAAAExAVL9//+P/v//AVH9//+O/v//AAAAAAawAgAAAjEwBz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3//4D+//8GsgIAAAhGb250Qm9sZAmCAQAAAUz9//+A/v//BrUCAAAKRm9udEl0YWxpYwmCAQAAAUn9//+A/v//BrgCAAANRm9udFVuZGVybGluZQa5AgAABS00MTQyAUb9//+A/v//BrsCAAAIRm9udE5hbWUGvAIAAAdDYWxpYnJpAUP9//+A/v//Br4CAAAJRm9udENvbG9yBr8CAAABMAFA/f//gP7//wbBAgAACEZvbnRTaXplBsICAAACMTEBPf3//4D+//8GxAIAAAlGb250U3R5bGUGxQIAAAdSZWd1bGFyBzsBAAAAAQAAAAQAAAAEN0dsb2JlU29mdHdhcmUuQXRsYXM0MC5BdGxhc0NvbW1vbi5UeXBlLkZpZWxkT3V0cHV0RmllbGQOAAAACcYCAAANAwc9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f3//4/+//8BOP3//47+//8QAAAACQoCAAABNv3//4/+//8BNf3//47+//8JAAAACS4AAAABM/3//4/+//8BMv3//47+//8LAAAABs8CAAABOQEw/f//j/7//wEv/f//jv7//wQAAAAG0gIAAC9fKCogIywjIzAuMDBfKTtfKCogKCMsIyMwLjAwKTtfKCogIi0iPz9fKTtfKEBfKQEt/f//j/7//wEs/f//jv7//wIAAAAG1QIAAAExASr9//+P/v//ASn9//+O/v//AAAAAAbYAgAABTEwLjI5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3//4D+//8JgQEAAAmCAQAAAST9//+A/v//CYQBAAAJggEAAAEh/f//gP7//wmHAQAABuECAAAFLTQxNDIBHv3//4D+//8JigEAAAbkAgAAB0NhbGlicmkBG/3//4D+//8JjQEAAAbnAgAAATABGP3//4D+//8JkAEAAAbqAgAAAjExARX9//+A/v//CZMBAAAG7QIAAAdSZWd1bGFyB0ABAAAAAQAAAAQAAAAEN0dsb2JlU29mdHdhcmUuQXRsYXM0MC5BdGxhc0NvbW1vbi5UeXBlLkZpZWxkT3V0cHV0RmllbGQOAAAACe4CAAANAwFBAQAADwEAAAd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f3//4/+//8BEP3//47+//8JAAAACS4AAAABDv3//4/+//8BDf3//47+//8LAAAABvQCAAACMTABC/3//4/+//8BCv3//47+//8EAAAABvcCAAAHR2VuZXJhbAEI/f//j/7//wEH/f//jv7//wIAAAAG+gIAAAExAQX9//+P/v//AQT9//+O/v//AAAAAAb9AgAABDYuNDMBQwEAAAwAAAA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f//gP7//wb/AgAACEZvbnRCb2xkCYIBAAAB//z//4D+//8GAgMAAApGb250SXRhbGljCYIBAAAB/Pz//4D+//8GBQMAAA1Gb250VW5kZXJsaW5lBgYDAAAFLTQxNDIB+fz//4D+//8GCAMAAAhGb250TmFtZQYJAwAAB0NhbGlicmkB9vz//4D+//8GCwMAAAlGb250Q29sb3IGDAMAAAEwAfP8//+A/v//Bg4DAAAIRm9udFNpemUGDwMAAAIxMQHw/P//gP7//wYRAwAACUZvbnRTdHlsZQYSAwAAB1JlZ3VsYXIHRQEAAAABAAAABAAAAAQ3R2xvYmVTb2Z0d2FyZS5BdGxhczQwLkF0bGFzQ29tbW9uLlR5cGUuRmllbGRPdXRwdXRGaWVsZA4AAAAJEwMAAA0DB0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P//j/7//wHr/P//jv7//xAAAAAJCgIAAAHp/P//j/7//wHo/P//jv7//wkAAAAJLgAAAAHm/P//j/7//wHl/P//jv7//wsAAAAGHAMAAAIxMQHj/P//j/7//wHi/P//jv7//wQAAAAGHwMAAC9fKCogIywjIzAuMDBfKTtfKCogKCMsIyMwLjAwKTtfKCogIi0iPz9fKTtfKEBfKQHg/P//j/7//wHf/P//jv7//wIAAAAGIgMAAAExAd38//+P/v//Adz8//+O/v//AAAAAAYlAwAABTExLjI5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z//4D+//8JgQEAAAmCAQAAAdf8//+A/v//CYQBAAAJggEAAAHU/P//gP7//wmHAQAABi4DAAAFLTQxNDIB0fz//4D+//8JigEAAAYxAwAAB0NhbGlicmkBzvz//4D+//8JjQEAAAY0AwAAATABy/z//4D+//8JkAEAAAY3AwAAAjExAcj8//+A/v//CZMBAAAGOgMAAAdSZWd1bGFyB0oBAAAAAQAAAAQAAAAEN0dsb2JlU29mdHdhcmUuQXRsYXM0MC5BdGxhc0NvbW1vbi5UeXBlLkZpZWxkT3V0cHV0RmllbGQOAAAACTsDAAANAwd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Pz//4/+//8Bw/z//47+//8QAAAACQoCAAABwfz//4/+//8BwPz//47+//8JAAAACS4AAAABvvz//4/+//8Bvfz//47+//8LAAAABkQDAAACMTIBu/z//4/+//8Buvz//47+//8EAAAABkcDAAAvXygqICMsIyMwLjAwXyk7XygqICgjLCMjMC4wMCk7XygqICItIj8/Xyk7XyhAXykBuPz//4/+//8Bt/z//47+//8CAAAABkoDAAABMQG1/P//j/7//wG0/P//jv7//wAAAAAGTQMAAAUxMS4yOQ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+A/v//CYEBAAAJggEAAAGv/P//gP7//wmEAQAACYIBAAABrPz//4D+//8JhwEAAAZWAwAABS00MTQyAan8//+A/v//CYoBAAAGWQMAAAdDYWxpYnJpAab8//+A/v//CY0BAAAGXAMAAAEwAaP8//+A/v//CZABAAAGXwMAAAIxMQGg/P//gP7//wmTAQAABmIDAAAHUmVndWxhcgdPAQAAAAEAAAAEAAAABDdHbG9iZVNvZnR3YXJlLkF0bGFzNDAuQXRsYXNDb21tb24uVHlwZS5GaWVsZE91dHB1dEZpZWxkDgAAAAljAwAADQMHU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z8//+P/v//AZv8//+O/v//EAAAAAkKAgAAAZn8//+P/v//AZj8//+O/v//CQAAAAkuAAAAAZb8//+P/v//AZX8//+O/v//CwAAAAZsAwAAAjEzAZP8//+P/v//AZL8//+O/v//BAAAAAZvAwAAB0dlbmVyYWwBkPz//4/+//8Bj/z//47+//8CAAAABnIDAAABMQGN/P//j/7//wGM/P//jv7//wAAAAAGdQMAAAUxMC40Mw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r8//+A/v//CYEBAAAJggEAAAGH/P//gP7//wmEAQAACYIBAAABhPz//4D+//8JhwEAAAZ+AwAABS00MTQyAYH8//+A/v//CYoBAAAGgQMAAAdDYWxpYnJpAX78//+A/v//CY0BAAAGhAMAAAEwAXv8//+A/v//CZABAAAGhwMAAAIxMQF4/P//gP7//wmTAQAABooDAAAHUmVndWxhcgdUAQAAAAEAAAAEAAAABDdHbG9iZVNvZnR3YXJlLkF0bGFzNDAuQXRsYXNDb21tb24uVHlwZS5GaWVsZE91dHB1dEZpZWxkDgAAAAmLAwAADQMBVQEAAA8BAAAHV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T8//+P/v//AXP8//+O/v//CQAAAAkuAAAAAXH8//+P/v//AXD8//+O/v//CwAAAAaRAwAAAjE0AW78//+P/v//AW38//+O/v//BAAAAAaUAwAAB0dlbmVyYWwBa/z//4/+//8Bavz//47+//8CAAAABpcDAAABMQFo/P//j/7//wFn/P//jv7//wAAAAAGmgMAAAUxNC40MwFXAQAADAAAAA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X8//+A/v//BpwDAAAIRm9udEJvbGQJggEAAAFi/P//gP7//wafAwAACkZvbnRJdGFsaWMJggEAAAFf/P//gP7//waiAwAADUZvbnRVbmRlcmxpbmUGowMAAAUtNDE0MgFc/P//gP7//walAwAACEZvbnROYW1lBqYDAAAHQ2FsaWJyaQFZ/P//gP7//waoAwAACUZvbnRDb2xvcgapAwAAATABVvz//4D+//8GqwMAAAhGb250U2l6ZQasAwAAAjExAVP8//+A/v//Bq4DAAAJRm9udFN0eWxlBq8DAAAHUmVndWxhcgdZAQAAAAEAAAAAAAAABDdHbG9iZVNvZnR3YXJlLkF0bGFzNDAuQXRsYXNDb21tb24uVHlwZS5GaWVsZE91dHB1dEZpZWxkDgAAAAFaAQAADwEAAAd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z//4/+//8BT/z//47+//8kAAAACf4AAAABTfz//4/+//8BTPz//47+//8LAAAABrUDAAACMTUBSvz//4/+//8BSfz//47+//8EAAAABrgDAAAvXygqICMsIyMwLjAwXyk7XygqICgjLCMjMC4wMCk7XygqICItIj8/Xyk7XyhAXykBR/z//4/+//8BRvz//47+//8CAAAABrsDAAABMQFE/P//j/7//wFD/P//jv7//wAAAAAGvgMAAAUxMy40MwFB/P//j/7//wFA/P//jv7//wMAAAAGwQMAAIQBPUF0bGFzQmFsYW5jZSgiVUFUIixEYXRhQXJlYUlkLCJULk1hcmt1cFRyYW5zIiwiU3VtfFBvc3RlZHwwIiwiIiwiIiwiIiwiIiwiIiwiIiwiTWFya3VwQ29kZXxUcmFuc1JlY0lkfFRyYW5zVGFibGVJZCIsIlRQUCIsJE8zLCI2NCIpAVwBAAAMAAAA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z//4D+//8GwwMAAAhGb250Qm9sZAmCAQAAATv8//+A/v//BsYDAAAKRm9udEl0YWxpYwmCAQAAATj8//+A/v//BskDAAANRm9udFVuZGVybGluZQbKAwAABS00MTQyATX8//+A/v//BswDAAAIRm9udE5hbWUGzQMAAAdDYWxpYnJpATL8//+A/v//Bs8DAAAJRm9udENvbG9yBtADAAABMAEv/P//gP7//wbSAwAACEZvbnRTaXplBtMDAAACMTEBLPz//4D+//8G1QMAAAlGb250U3R5bGUG1gMAAAdSZWd1bGFyBXA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Sn8///Q/////////wAG2AMAAAZTdHJpbmcG2QMAABBDb21wYW55IGFjY291bnRzCdoDAAABJfz//87///8CAAAABST8//85R2xvYmVTb2Z0d2FyZS5BdGxhczQwLkF0bGFzQ29tbW9uLk51bWJlclNlcXVlbmNlQ29uZGl0aW9uAQAAAAd2YWx1ZV9fAAgOAAAAAQAAAAAABt0DAAAWVGFibGUuQ3VzdEludm9pY2VUcmFucwkrAAAACS4AAAAK/////wndAwAACgkrAAAACgoKCS4AAAAJ4wMAAAkuAAAAAZUBAABwAQAAARv8///Q/////////wAG5gMAAAZTdHJpbmcG5wMAABBDdXN0b21lciBhY2NvdW50CegDAAABF/z//87///8CAAAAARb8//8k/P//AQAAAAAACWoBAAAJOQAAAAkuAAAACv////8JagEAAAoJOQAAAAbwAwAACUludm9pY2VJZAbxAwAAEEN1c3RJbnZvaWNlVHJhbnMKCS4AAAAJ8wMAAAkuAAAAAboBAABwAQAAAQv8///Q/////////wAG9gMAAAZTdHJpbmcG9wMAAAROYW1lCfgDAAABB/z//87///8CAAAAAQb8//8k/P//AQAAAAAABvsDAABTVGFibGUuQ3VzdEludm9pY2VUcmFucy5JbnZvaWNlSWR+VGFibGUuQ3VzdEludm9pY2VKb3VyLk9yZGVyQWNjb3VudH5UYWJsZS5DdXN0VGFibGUJRwAAAAkuAAAACv////8J+wMAAAoJRwAAAAYABAAADE9yZGVyQWNjb3VudAYBBAAAD0N1c3RJbnZvaWNlSm91cgoJLgAAAAkDBAAACS4AAAAB3wEAAHABAAAB+/v//9D/////////AAYGBAAABlN0cmluZwYHBAAAC1NhbGVzIG9yZGVyCQgEAAAB9/v//87///8CAAAAAfb7//8k/P//AQAAAAAABgsEAAAWVGFibGUuQ3VzdEludm9pY2VUcmFucwlVAAAACS4AAAAK/////wkLBAAACglVAAAACgoKCS4AAAAJEQQAAAkuAAAAAQQCAABwAQAAAe37///Q/////////wAGFAQAAAZTdHJpbmcGFQQAAAdJbnZvaWNlCRYEAAAB6fv//87///8CAAAAAej7//8k/P//AQAAAAAABhkEAAAWVGFibGUuQ3VzdEludm9pY2VUcmFucwljAAAACS4AAAAK/////wkZBAAACgljAAAACgoKCS4AAAAJHwQAAAkuAAAAAS8CAABwAQAAAd/7///Q/////////wAGIgQAAAZTdHJpbmcGIwQAAAlXYXJlaG91c2UJ6AMAAAHb+///zv///wIAAAAB2vv//yT8//8BAAAAAAAJagEAAAlxAAAACS4AAAAK/////wlqAQAACglxAAAABiwEAAAJSW52b2ljZUlkBi0EAAAQQ3VzdEludm9pY2VUcmFucwoJLgAAAAkvBAAACS4AAAABVAIAAHABAAABz/v//9D/////////AAYyBAAABlN0cmluZwYzBAAABEl0ZW0JFgQAAAHL+///zv///wIAAAAByvv//yT8//8BAAAAAAAJGQQAAAl/AAAACS4AAAAK/////wkZBAAACgl/AAAACgoKCS4AAAAJPQQAAAkuAAAAAXwCAABwAQAAAcH7///Q/////////wAGQAQAAAZTdHJpbmcGQQQAAAlJdGVtIG5hbWUJQgQAAAG9+///zv///wIAAAABvPv//yT8//8BAAAAAAAJZwEAAAmNAAAACS4AAAAK/////wlnAQAACgmNAAAABkoEAAAGSXRlbUlkBksEAAAQQ3VzdEludm9pY2VUcmFucwoJLgAAAAlNBAAACS4AAAABoQIAAHABAAABsfv//9D/////////AAZQBAAABERhdGUGUQQAAAREYXRlCVIEAAABrfv//87///8CAAAAAaz7//8k/P//AQAAAAAABlUEAAAWVGFibGUuQ3VzdEludm9pY2VUcmFucwmbAAAACS4AAAAK/////wlVBAAACgmbAAAACgoKCS4AAAAJWwQAAAkuAAAAAcYCAABwAQAAAaP7///Q/////////wAGXgQAAARSZWFsBl8EAAAIUXVhbnRpdHkJFgQAAAGf+///zv///wIAAAABnvv//yT8//8BAAAAAAAJGQQAAAmpAAAACS4AAAAK/////wkZBAAACgmpAAAACgoKCS4AAAAJaQQAAAkuAAAAAe4CAABwAQAAAZX7///Q/////////wAGbAQAAAZTdHJpbmcGbQQAAARVbml0CW4EAAABkfv//87///8CAAAAAZD7//8k/P//AQAAAAAABnEEAAAWVGFibGUuQ3VzdEludm9pY2VUcmFucwm3AAAACS4AAAAK/////wlxBAAACgm3AAAACgoKCS4AAAAJdwQAAAkuAAAAARMDAABwAQAAAYf7///Q/////////wAGegQAAARSZWFsBnsEAAAKVW5pdCBwcmljZQkWBAAAAYP7///O////AgAAAAGC+///JPz//wEAAAAAAAkZBAAACcUAAAAJLgAAAAr/////CRkEAAAKCcUAAAAKCgoJLgAAAAmFBAAACS4AAAABOwMAAHABAAABefv//9D/////////AAaIBAAABFJlYWwGiQQAAAZBbW91bnQJFgQAAAF1+///zv///wIAAAABdPv//yT8//8BAAAAAAAJGQQAAAnTAAAACS4AAAAK/////wkZBAAACgnTAAAACgoKCS4AAAAJkwQAAAkuAAAAAWMDAABwAQAAAWv7///Q/////////wAGlgQAAAZTdHJpbmcGlwQAAAhDdXJyZW5jeQkWBAAAAWf7///O////AgAAAAFm+///JPz//wEAAAAAAAkZBAAACeEAAAAJLgAAAAr/////CRkEAAAKCeEAAAAKCgoJLgAAAAmhBAAACS4AAAABiwMAAHABAAABXfv//9D/////////AAakBAAABUludDY0BqUEAAAMUmVjSWQgY29sdW1uCaYEAAABWfv//87///8CAAAAAVj7//8k/P//AQAAAAAABqkEAAAWVGFibGUuQ3VzdEludm9pY2VUcmFucwnvAAAACS4AAAAK/////wmpBAAACgnvAAAACgoKCS4AAAAJrwQAAAkuAAAABdo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P////8GsQQAABBDdXN0SW52b2ljZVRyYW5zBrIEAAAWQ3VzdG9tZXIgaW52b2ljZSBsaW5lcwkuAAAACS4AAAAJLgAAAAVM+///MEdsb2JlU29mdHdhcmUuQXRsYXM0MC5BdGxhc0NvbW1vbi5EYXRhU291cmNlVHlwZQEAAAAHdmFsdWVfXwAIDgAAAAAAAAAJtQQAAAm2BAAABEn7//8LU3lzdGVtLkd1aWQLAAAAAl9hAl9iAl9jAl9kAl9lAl9mAl9nAl9oAl9pAl9qAl9rAAAAAAAAAAAAAAAIBwcCAgICAgICAspNTZoumJ1LrOoUZGrdSwsJLgAAAAkuAAAACbkEAAAJ3QMAAAoKCgoKAQAAAAVF+///NEdsb2JlU29mdHdhcmUuQXRsYXM0MC5BdGxhc0NvbW1vbi5EYXRhU291cmNlSm9pbk1vZGUBAAAAB3ZhbHVlX18ACA4AAAAAAAAABUT7//81R2xvYmVTb2Z0d2FyZS5BdGxhczQwLkF0bGFzQ29tbW9uLkRhdGFTb3VyY2VGZXRjaE1vZGUBAAAAB3ZhbHVlX18ACA4AAAAAAAAAAAm9BAAAAeMDAAAqAAAAjgAAAAkRAQAAAwAAAAm/BAAAAegDAADaAwAA/////wbABAAAD0N1c3RJbnZvaWNlSm91cgbBBAAAGEN1c3RvbWVyIGludm9pY2Ugam91cm5hbAkuAAAACS4AAAAJLgAAAAE9+///TPv//wAAAAAJxAQAAAnFBAAAATr7//9J+///tMpSX4yyskCocjvHujPV5AkuAAAACS4AAAAJyAQAAAlqAQAABsoEAAAQQ3VzdEludm9pY2VUcmFucwbLBAAAFlRhYmxlLkN1c3RJbnZvaWNlVHJhbnMGzAQAACBUYWJsZS5DdXN0SW52b2ljZVRyYW5zLkludm9pY2VJZAbNBAAACUludm9pY2VJZAbOBAAACUludm9pY2VJZAEAAAABMfv//0X7//8AAAAAATD7//9E+///AAAAAAAJ0QQAAAHzAwAAKgAAAGQAAAAJFgEAAAMAAAAJ0wQAAAH4AwAA2gMAAP////8G1AQAAAlDdXN0VGFibGUG1QQAAAlDdXN0b21lcnMJLgAAAAkuAAAACS4AAAABKfv//0z7//8AAAAACdgEAAAJ2QQAAAEm+///Sfv//60Ohz5kq7pJl3rTMxyRD3AJLgAAAAkuAAAACdwEAAAJ+wMAAAbeBAAAD0N1c3RJbnZvaWNlSm91cgbfBAAANlRhYmxlLkN1c3RJbnZvaWNlVHJhbnMuSW52b2ljZUlkflRhYmxlLkN1c3RJbnZvaWNlSm91cgbgBAAAQ1RhYmxlLkN1c3RJbnZvaWNlVHJhbnMuSW52b2ljZUlkflRhYmxlLkN1c3RJbnZvaWNlSm91ci5PcmRlckFjY291bnQG4QQAAAxPcmRlckFjY291bnQG4gQAAApBY2NvdW50TnVtAQAAAAEd+///Rfv//wAAAAABHPv//0T7//8AAAAAAAnlBAAAAQMEAAAqAAAAXgAAAAkWAQAAAwAAAAnnBAAAAQgEAADaAwAA/////wboBAAAEEN1c3RJbnZvaWNlVHJhbnMG6QQAABZDdXN0b21lciBpbnZvaWNlIGxpbmVzCS4AAAAJLgAAAAkuAAAAARX7//9M+///AAAAAAnsBAAACe0EAAABEvv//0n7//9909AjBg9pTZ4uJxroBU8oCS4AAAAJLgAAAAnwBAAACQsEAAAKCgoKCgEAAAABDvv//0X7//8AAAAAAQ37//9E+///AAAAAAAJ9AQAAAERBAAAKgAAAEYAAAAJIAEAAAMAAAAJ9gQAAAEWBAAA2gMAAEAAAAAG9wQAABBDdXN0SW52b2ljZVRyYW5zBvgEAAAWQ3VzdG9tZXIgaW52b2ljZSBsaW5lcwkuAAAACS4AAAAJLgAAAAEG+///TPv//wAAAAAJ+wQAAAn8BAAAAQP7//9J+///qQ7dAmzn5EiSHWVUiFQYdAkuAAAACS4AAAAJ/wQAAAkZBAAACgoKCgoBAAAAAf/6//9F+///AAAAAAH++v//RPv//wAAAAAACQMFAAABHwQAACoAAACXAAAACREBAAADAAAACQUFAAABLwQAACoAAABMAAAACSABAAADAAAACQcFAAABPQQAACoAAACXAAAACREBAAADAAAACQkFAAABQgQAANoDAAD/////BgoFAAALSW52ZW50VGFibGUGCwUAAAVJdGVtcwkuAAAACS4AAAAJLgAAAAHz+v//TPv//wAAAAAJDgUAAAkPBQAAAfD6//9J+///hN32uiXLSUevH4DxW+VsUAkuAAAACS4AAAAJEgUAAAlnAQAABhQFAAAQQ3VzdEludm9pY2VUcmFucwYVBQAAFlRhYmxlLkN1c3RJbnZvaWNlVHJhbnMGFgUAAB1UYWJsZS5DdXN0SW52b2ljZVRyYW5zLkl0ZW1JZAYXBQAABkl0ZW1JZAYYBQAABkl0ZW1JZAEAAAAB5/r//0X7//8AAAAAAeb6//9E+///AAAAAAAJGwUAAAFNBAAAKgAAAIIAAAAJEQEAAAMAAAAJHQUAAAFSBAAA2gMAAP////8GHgUAABBDdXN0SW52b2ljZVRyYW5zBh8FAAAWQ3VzdG9tZXIgaW52b2ljZSBsaW5lcwkuAAAACS4AAAAJLgAAAAHf+v//TPv//wAAAAAJIgUAAAkjBQAAAdz6//9J+///DujY3Cp4LkyZ+5FGC6yrlgkuAAAACS4AAAAJJgUAAAlVBAAACgoKCgoBAAAAAdj6//9F+///AAAAAAHX+v//RPv//wAAAAAACSoFAAABWwQAACoAAAB8AAAACREBAAADAAAACSwFAAABaQQAACoAAACXAAAACREBAAADAAAACS4FAAABbgQAANoDAAD/////Bi8FAAAQQ3VzdEludm9pY2VUcmFucwYwBQAAFkN1c3RvbWVyIGludm9pY2UgbGluZXMJLgAAAAkuAAAACS4AAAABzvr//0z7//8AAAAACTMFAAAJNAUAAAHL+v//Sfv//7IuuSxYTC5DpXGiXEpPOEgJLgAAAAkuAAAACTcFAAAJcQQAAAoKCgoKAQAAAAHH+v//Rfv//wAAAAABxvr//0T7//8AAAAAAAk7BQAAAXcEAAAqAAAAQAAAAAlDAQAAAwAAAAk9BQAAAYUEAAAqAAAAlwAAAAkRAQAAAwAAAAk/BQAAAZMEAAAqAAAAlwAAAAkRAQAAAwAAAAlBBQAAAaEEAAAqAAAAlwAAAAkRAQAAAwAAAAlDBQAAAaYEAADaAwAA/////wZEBQAAEEN1c3RJbnZvaWNlVHJhbnMGRQUAABZDdXN0b21lciBpbnZvaWNlIGxpbmVzCS4AAAAJLgAAAAkuAAAAAbn6//9M+///AAAAAAlIBQAACUkFAAABtvr//0n7///Et/n+xQ5NQ5cxw1PdCeiDCS4AAAAJLgAAAAlMBQAACakEAAAKCgoKCgEAAAABsvr//0X7//8AAAAAAbH6//9E+///AAAAAAAJUAUAAAGvBAAAKgAAADoAAAAJVwEAAAMAAAAJUgUAAAS1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TBQAABwAAAAlUBQAABLY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EAAAAAAAAEuQ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MFAAAAAAAABL0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VcFAAAAAAAAB78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r//4D+//8GWQUAAAVMYWJlbAnZAwAAAaX6//+A/v//BlwFAAAEVHlwZQnYAwAAAcQEAAC1BAAABgAAAAkWAQAAAwAAAAlfBQAABMU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YAUAAAMAAAAJYQUAAATI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WAQAAAwAAAAljBQAAAdEEAAC9BAAAAAAAAAlkBQAAAAAAAAfT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6//+A/v//BmYFAAAFTGFiZWwJ5wMAAAGY+v//gP7//wZpBQAABFR5cGUJ5gMAAAHYBAAAtQQAAAEAAAAJFgEAAAMAAAAJbAUAAAHZBAAAtgQAAAAAAAAJYAUAAAAAAAAB3AQAALkEAAAAAAAACRYBAAAAAAAAAeUEAAC9BAAAAAAAAAlkBQAAAAAAAAfn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6//+A/v//CWYFAAAJ9wMAAAGN+v//gP7//wlpBQAACfYDAAAB7AQAALUEAAAJAAAACXYFAAARAAAACXcFAAAE7Q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gAQAAAwAAAAl5BQAABPA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XYFAAADAAAACXsFAAAB9AQAAL0EAAAAAAAACXwFAAAAAAAAB/Y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r//4D+//8GfgUAAAVMYWJlbAkHBAAAAYD6//+A/v//BoEFAAAEVHlwZQkGBAAAAfsEAAC1BAAABgAAAAmDBQAABwAAAAmEBQAAAfwEAAC2BAAAAAAAAAmDBQAAAAAAAAH/BAAAuQQAAAAAAAAJgwUAAAAAAAABAwUAAL0EAAAAAAAACYYFAAAAAAAABw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r//4D+//8GiAUAAAhIZWxwVGV4dAaJBQAAEk51bcOpcm8gZGUgZmFjdHVyZQF2+v//gP7//wlZBQAACRUEAAABc/r//4D+//8JXAUAAAkUBAAABw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r//4D+//8JfgUAAAkjBAAAAW36//+A/v//CYEFAAAJIgQAAAc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r6//+A/v//CYgFAAAGmAUAABNJZGVudGlmaWUgbCdhcnRpY2xlAWf6//+A/v//CVkFAAAJMwQAAAFk+v//gP7//wlcBQAACTIEAAABDgUAALUEAAABAAAACREBAAADAAAACaAFAAAEDw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gBQAAAwAAAAmiBQAAARIFAAC5BAAAAAAAAAkRAQAAAAAAAAEbBQAAvQQAAAAAAAAJpAUAAAAAAAAHH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v//gP7//wlZBQAACUEEAAABWPr//4D+//8JXAUAAAlABAAAASIFAAC1BAAACAAAAAmrBQAAEQAAAAmsBQAABCM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QEAAAMAAAAJrgUAAAQm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mrBQAAAwAAAAmwBQAAASoFAAC9BAAAAAAAAAmxBQAAAAAAAAcs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76//+A/v//CVkFAAAJUQQAAAFL+v//gP7//wlcBQAACVAEAAAHL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v//gP7//wmIBQAABroFAAAnUXVhbnRpdMOpIGZhY3R1csOpZSBlbiB1bml0w6lzIGRlIHZlbnRlAUX6//+A/v//CVkFAAAJXwQAAAFC+v//gP7//wlcBQAACV4EAAABMwUAALUEAAAKAAAACcEFAAARAAAACcIFAAAENA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gAQAAAwAAAAnEBQAABDc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cEFAAADAAAACcYFAAABOwUAAL0EAAAAAAAACccFAAAAAAAABz0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r//4D+//8GyQUAAAVMYWJlbAltBAAAATX6//+A/v//BswFAAAEVHlwZQlsBAAABz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r//4D+//8JiAUAAAbQBQAAQFZ1ZSBkJ2Vuc2VtYmxlIGR1IHBhcmFtw6l0cmFnZSBkZXMgcHJpeCBkZSB2ZW50ZSBwb3VyIGxlcyBjb8O7dHMBL/r//4D+//8JWQUAAAl7BAAAASz6//+A/v//CVwFAAAJegQAAAd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6//+A/v//CYgFAAAG2QUAABFNb250YW50IGVuIGRldmlzZQEm+v//gP7//wlZBQAACYkEAAABI/r//4D+//8JXAUAAAmIBAAAB0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r//4D+//8JiAUAAAbiBQAAE0NvZGUgZGV2aXNlIGFjdHVlbC4BHfr//4D+//8JWQUAAAmXBAAAARr6//+A/v//CVwFAAAJlgQAAAFIBQAAtQQAAAsAAAAJ6QUAABEAAAAJ6gUAAARJ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UMBAAADAAAACewFAAAETA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6QUAAAMAAAAJ7gUAAAFQBQAAvQQAAAAAAAAJ7wUAAAAAAAAHU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Q+v//gP7//wbxBQAABUxhYmVsCaUEAAABDfr//4D+//8G9AUAAARUeXBlCaQEAAABUwUAAAwAAAAHVAU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vr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9wUAACBUYWJsZS5DdXN0SW52b2ljZVRyYW5zLkludm9pY2VJZAkEAgAAAQf6//8K+v//BvoFAAAdVGFibGUuQ3VzdEludm9pY2VUcmFucy5JdGVtSWQJVAIAAAEE+v//Cvr//wb9BQAAGlRhYmxlLkN1c3RJbnZvaWNlVHJhbnMuUXR5CcYCAAABAfr//wr6//8GAAYAACFUYWJsZS5DdXN0SW52b2ljZVRyYW5zLlNhbGVzUHJpY2UJEwMAAAH++f//Cvr//wYDBgAAIVRhYmxlLkN1c3RJbnZvaWNlVHJhbnMuTGluZUFtb3VudAk7AwAAAfv5//8K+v//BgYGAAAjVGFibGUuQ3VzdEludm9pY2VUcmFucy5DdXJyZW5jeUNvZGUJYwMAAAH4+f//Cvr//wYJBgAAIVRhYmxlLkN1c3RJbnZvaWNlVHJhbnMuRGF0YUFyZWFJZAlwAQAABFcF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fB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1+f//Cvr//wYMBgAAQ1RhYmxlLkN1c3RJbnZvaWNlVHJhbnMuSW52b2ljZUlkflRhYmxlLkN1c3RJbnZvaWNlSm91ci5PcmRlckFjY291bnQJlQEAAAHy+f//Cvr//wYPBgAAR1RhYmxlLkN1c3RJbnZvaWNlVHJhbnMuSW52b2ljZUlkflRhYmxlLkN1c3RJbnZvaWNlSm91ci5pbnZlbnRMb2NhdGlvbklkCS8CAAABYAUAAAwAAAAHYQU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/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EgYAAEBUYWJsZS5DdXN0SW52b2ljZVRyYW5zLkludm9pY2VJZH5UYWJsZS5DdXN0SW52b2ljZUpvdXIuQ3VzdEdyb3VwCRMGAAAB7Pn//+/5//8GFQYAAEdUYWJsZS5DdXN0SW52b2ljZVRyYW5zLkludm9pY2VJZH5UYWJsZS5DdXN0SW52b2ljZUpvdXIuaW52ZW50TG9jYXRpb25JZAkWBgAAB2MF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On5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fsDAAAJ+AMAAAFkBQAAVwUAAAdsB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m+f//Cvr//wYbBgAAWFRhYmxlLkN1c3RJbnZvaWNlVHJhbnMuSW52b2ljZUlkflRhYmxlLkN1c3RJbnZvaWNlSm91ci5PcmRlckFjY291bnR+VGFibGUuQ3VzdFRhYmxlLk5hbWUJugEAAAF2BQAADAAAAAd3BQ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j+f//Cvr//wYeBgAAIVRhYmxlLkN1c3RJbnZvaWNlVHJhbnMuRGF0YUFyZWFJZAlwAQAAAeD5//8K+v//BiEGAAAgVGFibGUuQ3VzdEludm9pY2VUcmFucy5JbnZvaWNlSWQJBAIAAAHd+f//Cvr//wYkBgAAHVRhYmxlLkN1c3RJbnZvaWNlVHJhbnMuSXRlbUlkCVQCAAAB2vn//wr6//8GJwYAACJUYWJsZS5DdXN0SW52b2ljZVRyYW5zLkludm9pY2VEYXRlCaECAAAB1/n//wr6//8GKgYAABpUYWJsZS5DdXN0SW52b2ljZVRyYW5zLlF0eQnGAgAAAdT5//8K+v//Bi0GAAAhVGFibGUuQ3VzdEludm9pY2VUcmFucy5TYWxlc1ByaWNlCRMDAAAB0fn//wr6//8GMAYAACFUYWJsZS5DdXN0SW52b2ljZVRyYW5zLkxpbmVBbW91bnQJOwMAAAHO+f//Cvr//wYzBgAAI1RhYmxlLkN1c3RJbnZvaWNlVHJhbnMuQ3VycmVuY3lDb2RlCWMDAAABy/n//wr6//8GNgYAAB5UYWJsZS5DdXN0SW52b2ljZVRyYW5zLlNhbGVzSWQJ3wEAAAd5BQ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yPn//+/5//8GOQYAAB1UYWJsZS5DdXN0SW52b2ljZVRyYW5zLkl0ZW1JZAk6BgAAAcX5///v+f//BjwGAAAiVGFibGUuQ3VzdEludm9pY2VUcmFucy5JbnZvaWNlRGF0ZQk9BgAAB3sF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cL5///p+f//CWcBAAAJQgQAAAG/+f//6fn//wlqAQAACegDAAABfAUAAFcFAAABgwUAAAwAAAAHhAU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Pn//wr6//8GRQYAACBUYWJsZS5DdXN0SW52b2ljZVRyYW5zLkludm9pY2VJZAkEAgAAAbn5//8K+v//BkgGAAAdVGFibGUuQ3VzdEludm9pY2VUcmFucy5JdGVtSWQJVAIAAAG2+f//Cvr//wZLBgAAGlRhYmxlLkN1c3RJbnZvaWNlVHJhbnMuUXR5CcYCAAABs/n//wr6//8GTgYAACFUYWJsZS5DdXN0SW52b2ljZVRyYW5zLlNhbGVzUHJpY2UJEwMAAAGw+f//Cvr//wZRBgAAIVRhYmxlLkN1c3RJbnZvaWNlVHJhbnMuTGluZUFtb3VudAk7AwAAAa35//8K+v//BlQGAAAjVGFibGUuQ3VzdEludm9pY2VUcmFucy5DdXJyZW5jeUNvZGUJYwMAAAGGBQAAVwUAAAegB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q+f//Cvr//wZXBgAAOFRhYmxlLkN1c3RJbnZvaWNlVHJhbnMuSXRlbUlkflRhYmxlLkludmVudFRhYmxlLkl0ZW1OYW1lCXwCAAAHog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af5///v+f//BloGAAA4VGFibGUuQ3VzdEludm9pY2VUcmFucy5JdGVtSWR+VGFibGUuSW52ZW50VGFibGUuSXRlbVR5cGUJWwYAAAGkBQAAVwUAAAGrBQAADAAAAAesBQ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k+f//Cvr//wZdBgAAIVRhYmxlLkN1c3RJbnZvaWNlVHJhbnMuRGF0YUFyZWFJZAlwAQAAAaH5//8K+v//BmAGAAAgVGFibGUuQ3VzdEludm9pY2VUcmFucy5JbnZvaWNlSWQJBAIAAAGe+f//Cvr//wZjBgAAHVRhYmxlLkN1c3RJbnZvaWNlVHJhbnMuSXRlbUlkCVQCAAABm/n//wr6//8GZgYAABpUYWJsZS5DdXN0SW52b2ljZVRyYW5zLlF0eQnGAgAAAZj5//8K+v//BmkGAAAhVGFibGUuQ3VzdEludm9pY2VUcmFucy5TYWxlc1ByaWNlCRMDAAABlfn//wr6//8GbAYAACFUYWJsZS5DdXN0SW52b2ljZVRyYW5zLkxpbmVBbW91bnQJOwMAAAGS+f//Cvr//wZvBgAAI1RhYmxlLkN1c3RJbnZvaWNlVHJhbnMuQ3VycmVuY3lDb2RlCWMDAAABj/n//wr6//8GcgYAACJUYWJsZS5DdXN0SW52b2ljZVRyYW5zLkludm9pY2VEYXRlCaECAAAHrg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z5///v+f//BnUGAAAdVGFibGUuQ3VzdEludm9pY2VUcmFucy5JdGVtSWQJdgYAAAewB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J+f//6fn//wlnAQAACUIEAAABsQUAAFcFAAABwQUAAAwAAAAHwgU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vn//wr6//8GewYAACFUYWJsZS5DdXN0SW52b2ljZVRyYW5zLkRhdGFBcmVhSWQJcAEAAAGD+f//Cvr//wZ+BgAAHlRhYmxlLkN1c3RJbnZvaWNlVHJhbnMuU2FsZXNJZAnfAQAAAYD5//8K+v//BoEGAAAgVGFibGUuQ3VzdEludm9pY2VUcmFucy5JbnZvaWNlSWQJBAIAAAF9+f//Cvr//waEBgAAHVRhYmxlLkN1c3RJbnZvaWNlVHJhbnMuSXRlbUlkCVQCAAABevn//wr6//8GhwYAACJUYWJsZS5DdXN0SW52b2ljZVRyYW5zLkludm9pY2VEYXRlCaECAAABd/n//wr6//8GigYAABpUYWJsZS5DdXN0SW52b2ljZVRyYW5zLlF0eQnGAgAAAXT5//8K+v//Bo0GAAAhVGFibGUuQ3VzdEludm9pY2VUcmFucy5TYWxlc1ByaWNlCRMDAAABcfn//wr6//8GkAYAACFUYWJsZS5DdXN0SW52b2ljZVRyYW5zLkxpbmVBbW91bnQJOwMAAAFu+f//Cvr//waTBgAAI1RhYmxlLkN1c3RJbnZvaWNlVHJhbnMuQ3VycmVuY3lDb2RlCWMDAAABa/n//wr6//8GlgYAACBUYWJsZS5DdXN0SW52b2ljZVRyYW5zLlNhbGVzVW5pdAnuAgAAB8QF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o+f//7/n//waZBgAAHVRhYmxlLkN1c3RJbnZvaWNlVHJhbnMuSXRlbUlkCToGAAABZfn//+/5//8GnAYAACJUYWJsZS5DdXN0SW52b2ljZVRyYW5zLkludm9pY2VEYXRlCT0GAAAHxgU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Yvn//+n5//8JZwEAAAlCBAAAAV/5///p+f//CWoBAAAJ6AMAAAHHBQAAVwUAAAHpBQAADAAAAAfqBQ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c+f//Cvr//walBgAAIVRhYmxlLkN1c3RJbnZvaWNlVHJhbnMuRGF0YUFyZWFJZAlwAQAAAVn5//8K+v//BqgGAAAeVGFibGUuQ3VzdEludm9pY2VUcmFucy5TYWxlc0lkCd8BAAABVvn//wr6//8GqwYAACBUYWJsZS5DdXN0SW52b2ljZVRyYW5zLkludm9pY2VJZAkEAgAAAVP5//8K+v//Bq4GAAAdVGFibGUuQ3VzdEludm9pY2VUcmFucy5JdGVtSWQJVAIAAAFQ+f//Cvr//waxBgAAIlRhYmxlLkN1c3RJbnZvaWNlVHJhbnMuSW52b2ljZURhdGUJoQIAAAFN+f//Cvr//wa0BgAAGlRhYmxlLkN1c3RJbnZvaWNlVHJhbnMuUXR5CcYCAAABSvn//wr6//8GtwYAACBUYWJsZS5DdXN0SW52b2ljZVRyYW5zLlNhbGVzVW5pdAnuAgAAAUf5//8K+v//BroGAAAhVGFibGUuQ3VzdEludm9pY2VUcmFucy5TYWxlc1ByaWNlCRMDAAABRPn//wr6//8GvQYAACFUYWJsZS5DdXN0SW52b2ljZVRyYW5zLkxpbmVBbW91bnQJOwMAAAFB+f//Cvr//wbABgAAI1RhYmxlLkN1c3RJbnZvaWNlVHJhbnMuQ3VycmVuY3lDb2RlCWMDAAABPvn//wr6//8GwwYAABxUYWJsZS5DdXN0SW52b2ljZVRyYW5zLlJlY0lkCYsDAAAH7AU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v5///v+f//BsYGAAAdVGFibGUuQ3VzdEludm9pY2VUcmFucy5JdGVtSWQJOgYAAAE4+f//7/n//wbJBgAAIlRhYmxlLkN1c3RJbnZvaWNlVHJhbnMuSW52b2ljZURhdGUJPQYAAAfuBQ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1+f//6fn//wlnAQAACUIEAAABMvn//+n5//8JagEAAAnoAwAAAe8FAABXBQAABRMG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lqAQAACWsBAAAJLgAAAAlsAQAA/////wlqAQAACglrAQAABtcGAAAJSW52b2ljZUlkCgoJLgAAAAnZBgAACS4AAAABFgYAABMGAAAJagEAAAluAQAACS4AAAAJbwEAAP////8JagEAAAoJbgEAAAbhBgAACUludm9pY2VJZAoKCS4AAAAJ4wYAAAkuAAAAAToGAAATBgAABuUGAAAWVGFibGUuQ3VzdEludm9pY2VUcmFucwliAQAACS4AAAAG6AYAAAMhIiL/////CeUGAAAKCWIBAAAKCgoJLgAAAAnsBgAACS4AAAABPQYAABMGAAAJ5QYAAAllAQAACS4AAAAG8QYAABgwNS4wMS4yMDE3IC4uIDA4LjMxLjIwMTf/////CeUGAAAKCWUBAAAKCgoJLgAAAAn1BgAACS4AAAABWwYAABMGAAAJZwEAAAloAQAACS4AAAAJaQEAAP////8JZwEAAAoJaAEAAAb9BgAABkl0ZW1JZAoKCS4AAAAJ/wYAAAkuAAAAAXYGAAATBgAABgEHAAAWVGFibGUuQ3VzdEludm9pY2VUcmFucwliAQAACS4AAAAJ6AYAAP////8JAQcAAAoJYgEAAAoKCgkuAAAACQgHAAAJLgAAAAHZBgAAKgAAAB4AAAAJCgcAAAMAAAAJCwcAAAHjBgAAKgAAACMAAAAJCgcAAAMAAAAJDQcAAAHsBgAAKgAAADYAAAAJFgEAAAMAAAAJDwcAAAH1BgAAKgAAAD4AAAAJFgEAAAMAAAAJEQcAAAH/BgAAKgAAACMAAAAJCgcAAAMAAAAJEwcAAAEIBwAAKgAAABQAAAAJEQEAAAMAAAAJFQcAAAEKBwAADAAAAAcL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4//+A/v//BhcHAAAEVHlwZQYYBwAABlN0cmluZwHn+P//gP7//wYaBwAABUxhYmVsBhsHAAAFR3JvdXAHDQ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+P//gP7//wkXBwAACSIEAAAB4fj//4D+//8JGgcAAAkjBAAAAd74//+A/v//BiMHAAAIUmVmZXJzVG8GJAcAAAo9V2FyZWhvdXNlBw8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/j//4D+//8JaQUAAAYnBwAABlN0cmluZwHY+P//gP7//wlmBQAABioHAAAESXRlbQcR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X4//+A/v//CWkFAAAGLQcAAAREYXRlAdL4//+A/v//CWYFAAAGMAcAAAREYXRlAc/4//+A/v//BjIHAAAIUmVmZXJzVG8GMwcAAAo9RGF0ZVJhbmdlBxM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j//4D+//8JFwcAAAY2BwAABEVudW0Byfj//4D+//8JGgcAAAY5BwAACUl0ZW0gdHlwZQHG+P//gP7//wkjBwAABjwHAAAJPUl0ZW1UeXBlBxU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j//4D+//8JXAUAAAY/BwAABlN0cmluZwHA+P//gP7//wlZBQAABkIHAAAESXRlbQs=</Report>
</Atlas>
</file>

<file path=customXml/item3.xml><?xml version="1.0" encoding="utf-8"?>
<Atlas>
  <Query type="ReportList" id="f75c27fb-1ee1-4dbc-96c4-0ba31747cf9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BAAAAAQ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QVmVuZEludm9pY2VUcmFucwYeAAAAFFZlbmRvciBpbnZvaWNlIGxpbmVzCQgAAAAJCAAAAAkIAAAABeD///8wR2xvYmVTb2Z0d2FyZS5BdGxhczQwLkF0bGFzQ29tbW9uLkRhdGFTb3VyY2VUeXBlAQAAAAd2YWx1ZV9fAAgCAAAAAAAAAAkhAAAACSIAAAAE3f///wtTeXN0ZW0uR3VpZAsAAAACX2ECX2ICX2MCX2QCX2UCX2YCX2cCX2gCX2kCX2oCX2sAAAAAAAAAAAAAAAgHBwICAgICAgIClG/AKoKMEEuuzCOLhuqgxgkIAAAACQgAAAAJJQAAAAYmAAAAFlRhYmxlLlZlbmRJbnZvaWNl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PFRhYmxlLlZlbmRJbnZvaWNlVHJhbnMuVmVuZEludm9pY2VKb3VyflRhYmxlLlZlbmRJbnZvaWNlSm91cgkxAAAAAc7////U////BjMAAABZVGFibGUuVmVuZEludm9pY2VUcmFucy5WZW5kSW52b2ljZUpvdXJ+VGFibGUuVmVuZEludm9pY2VKb3VyLk9yZGVyQWNjb3VudH5UYWJsZS5WZW5kVGFibGUJNAAAAAHL////1P///wY2AAAAL1RhYmxlLlZlbmRJbnZvaWNlVHJhbnMuSXRlbUlkflRhYmxlLkludmVudFRhYmxlCTcAAAAHFAAAAAABAAAAEAAAAAQtR2xvYmVTb2Z0d2FyZS5BdGxhczQwLkF0bGFzQ29tbW9uLlR5cGUuQ29sdW1uAgAAAAk4AAAACTkAAAAJOgAAAAk7AAAACTwAAAAJPQAAAAk+AAAACT8AAAAJQAAAAAlBAAAACUIAAAAJQwAAAAlEAAAACUUAAAAJRgAAAAlHAAAAERUAAAAEAAAABkgAAAANQXRsYXNSZXBvcnRfMg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t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f///7f///8GTAAAABVUYWJsZS5WZW5kSW52b2ljZUpvdXIJMAAAAAGy////t////wZPAAAAMlRhYmxlLlZlbmRJbnZvaWNlSm91ci5PcmRlckFjY291bnR+VGFibGUuVmVuZFRhYmxlCTMAAAABr////7f///8GUgAAABFUYWJsZS5JbnZlbnRUYWJs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s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v///8+R2xvYmVTb2Z0d2FyZS5BdGxhczQwLkF0bGFzQ29tbW9uLlR5cGUuQXRsYXNRdWVyeUF0dHJpYnV0ZU5hbWUBAAAAB3ZhbHVlX18ACAIAAAACAAAABlYAAAAkZjc1YzI3ZmItMWVlMS00ZGJjLTk2YzQtMGJhMzE3NDdjZjkzAan///+s////Aaj///+r////AAAAAAZZAAAABHRydWUBpv///6z///8Bpf///6v///8LAAAABlwAAAAUVmVuZG9yIGludm9pY2UgbGluZXMBo////6z///8Bov///6v///8bAAAABl8AAAAEVHJ1ZQGg////rP///wGf////q////wYAAAAGYgAAAAVGYWxzZQGd////rP///wGc////q////xwAAAAJXwAAAAGa////rP///wGZ////q////x0AAAAJYgAAAAGX////rP///wGW////q////yoAAAAJXwAAAAGU////rP///wGT////q////wEAAAAGbgAAAAMzNjABkf///6z///8BkP///6v///8nAAAABnEAAAALPURhdGFBcmVhSWQBjv///6z///8Bjf///6v///8ZAAAABnQAAAAPQ2VsbHNWZXJ0aWNhbGx5AYv///+s////AYr///+r////CQAAAAoBif///6z///8BiP///6v///8oAAAABnkAAAACMTYBhv///6z///8Bhf///6v///8rAAAABnw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P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gAAABBWZW5kSW52b2ljZVRyYW5zAQAAAAGB////g////waAAAAAD1ZlbmRJbnZvaWNlSm91cgEAAAABf////4P///8GggAAAAlWZW5kVGFibGUBAAAAAX3///+D////BoQAAAALSW52ZW50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LAAAACYUAAAARAAAACYY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IAAAAASUAAAAEAAAAAgAAAAmFAAAAAwAAAAmK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sAAAAAAAAAByoAAAAAAQAAAAAAAAAELUdsb2JlU29mdHdhcmUuQXRsYXM0MC5BdGxhc0NvbW1vbi5UeXBlLkNvbHVtbgIAAAABMQAAAA4AAAD/////BowAAAAPVmVuZEludm9pY2VKb3VyBo0AAAAWVmVuZG9yIGludm9pY2Ugam91cm5hbAkIAAAACQgAAAAJCAAAAAFx////4P///wAAAAAJkAAAAAmRAAAAAW7////d////IwsaeV87cEqwKeR8rx3zMAkIAAAACQgAAAAJlAAAAAkwAAAABpYAAAAQVmVuZEludm9pY2VUcmFucwaXAAAAFlRhYmxlLlZlbmRJbnZvaWNlVHJhbnMGmAAAACZUYWJsZS5WZW5kSW52b2ljZVRyYW5zLlZlbmRJbnZvaWNlSm91cgaZAAAAD1ZlbmRJbnZvaWNlSm91cgoBAAAAAWb////Z////AAAAAAFl////2P///wAAAAAACZwAAAABNAAAAA4AAAD/////Bp0AAAAJVmVuZFRhYmxlBp4AAAAHVmVuZG9ycwkIAAAACQgAAAAJCAAAAAFg////4P///wAAAAAJoQAAAAmiAAAAAV3////d////OZRMal//IkyuYLGfVZf1CwkIAAAACQgAAAAJpQAAAAkzAAAABqcAAAAPVmVuZEludm9pY2VKb3VyBqgAAAA8VGFibGUuVmVuZEludm9pY2VUcmFucy5WZW5kSW52b2ljZUpvdXJ+VGFibGUuVmVuZEludm9pY2VKb3VyBqkAAABJVGFibGUuVmVuZEludm9pY2VUcmFucy5WZW5kSW52b2ljZUpvdXJ+VGFibGUuVmVuZEludm9pY2VKb3VyLk9yZGVyQWNjb3VudAaqAAAADE9yZGVyQWNjb3VudAarAAAACkFjY291bnROdW0BAAAAAVT////Z////AAAAAAFT////2P///wAAAAAACa4AAAABNwAAAA4AAAD/////Bq8AAAALSW52ZW50VGFibGUGsAAAAAVJdGVtcwkIAAAACQgAAAAJCAAAAAFO////4P///wAAAAAJswAAAAm0AAAAAUv////d////b8nt3ucwHEa2G+GTY+QrKgkIAAAACQgAAAAJtwAAAAk2AAAABrkAAAAQVmVuZEludm9pY2VUcmFucwa6AAAAFlRhYmxlLlZlbmRJbnZvaWNlVHJhbnMGuwAAAB1UYWJsZS5WZW5kSW52b2ljZVRyYW5zLkl0ZW1JZAa8AAAABkl0ZW1JZAa9AAAABkl0ZW1JZAEAAAABQv///9n///8AAAAAAUH////Y////AAAAAAAJwA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nBAAAACcIAAAAJwwAAAAbEAAAACkRhdGFBcmVhSWQGxQAAABBDb21wYW55IGFjY291bnRzBsYAAAAGU3RyaW5nCQgAAAAGyAAAACRiOTg2NDUxNC03NmRlLTQxYzUtYTFiMC04NjI3MGNmYjFlMjQFN////y1HbG9iZVNvZnR3YXJlLkF0bGFzNDAuQXRsYXNDb21tb24uQWdncmVnYXRpb24BAAAAB3ZhbHVlX18ACAIAAAD/////AAAAAAU2////LEdsb2JlU29mdHdhcmUuQXRsYXM0MC5BdGxhc0NvbW1vbi5Db2x1bW5UeXBlAQAAAAd2YWx1ZV9fAAgCAAAAAAAAAAU1////K0dsb2JlU29mdHdhcmUuQXRsYXM0MC5BdGxhc0NvbW1vbi5Tb3J0T3JkZXIBAAAAB3ZhbHVlX18ACAIAAAACAAAAAAAAAAAFNP///0BHbG9iZVNvZnR3YXJlLkF0bGFzNDAuQXRsYXNDb21tb24uVHlwZS5Db2x1bW4rQ3Jvc3NUYWJDb2x1bW5UeXBlAQAAAAd2YWx1ZV9fAAgCAAAAAAAAAAoBAAAAAAAAAAAAAAAAAAbNAAAAJDQ1MzY4YjdhLWNjZDUtNDBmYS1iZWNiLTQ0NWMxYTRjZWI3MQbOAAAAIVRhYmxlLlZlbmRJbnZvaWNlVHJhbnMuRGF0YUFyZWFJZAoKCgoBOQAAADgAAAAJzwAAAAnQAAAACdEAAAAG0gAAAAxPcmRlckFjY291bnQG0wAAAA5WZW5kb3IgYWNjb3VudAbUAAAABlN0cmluZwkIAAAABtYAAAAkOGY0ZmMzYWMtNzk2OC00NzMxLWFmYTQtMjFiN2QzMzFjNzZhASn///83/////////wEAAAABKP///zb///8AAAAAASf///81////AgAAAAAAAAAAASb///80////AAAAAAoBAAAAAAAAAAABAAAAAAbbAAAAJDczN2UwN2M4LTgwZDctNDcwZC1iZmRiLWFkOWRkODQ4ZWI0YwbcAAAASVRhYmxlLlZlbmRJbnZvaWNlVHJhbnMuVmVuZEludm9pY2VKb3VyflRhYmxlLlZlbmRJbnZvaWNlSm91ci5PcmRlckFjY291bnQKCgoKAToAAAA4AAAACd0AAAAJ3gAAAAnfAAAABuAAAAAETmFtZQbhAAAABE5hbWUG4gAAAAZTdHJpbmcJCAAAAAbkAAAAJDUwYThiYmRmLTFkMjUtNDhiYS05ZjdmLTM1YTMyYzY4MGMwNQEb////N/////////8CAAAAARr///82////AAAAAAEZ////Nf///wIAAAAAAAAAAAEY////NP///wAAAAAKAQAAAAAAAAAAAgAAAAAG6QAAACQ0ZTA4NjhhMS1iN2I5LTQ5NzEtOTcxNy03OTNjZmExNTUxZWUG6gAAAF5UYWJsZS5WZW5kSW52b2ljZVRyYW5zLlZlbmRJbnZvaWNlSm91cn5UYWJsZS5WZW5kSW52b2ljZUpvdXIuT3JkZXJBY2NvdW50flRhYmxlLlZlbmRUYWJsZS5OYW1lCgoKCgE7AAAAOAAAAAnrAAAACewAAAAJ7QAAAAbuAAAAB1B1cmNoSUQG7wAAAA5QdXJjaGFzZSBvcmRlcgbwAAAABlN0cmluZwkIAAAABvIAAAAkMDZhZjM4YmUtY2RhZS00MjQ5LWFhMjYtNzk3NDBhYzI1NWQ1AQ3///83/////////wMAAAABDP///zb///8AAAAAAQv///81////AgAAAAAAAAAAAQr///80////AAAAAAoBAAAAAAAAAAADAAAAAAb3AAAAJGE1ZWQyOWQ5LWFjMmUtNGFiNC05MmY2LTE1ZmM2YmE0OTZmNgb4AAAAHlRhYmxlLlZlbmRJbnZvaWNlVHJhbnMuUHVyY2hJRAoKCgoBPAAAADgAAAAJ+QAAAAn6AAAACfsAAAAG/AAAAAlJbnZvaWNlSWQG/QAAAAdJbnZvaWNlBv4AAAAGU3RyaW5nCQgAAAAGAAEAACQ3ZjU3MjZhOC0xODYyLTRjOTMtOWIzZi00NzEzYTg3M2E5NGEB//7//zf/////////BAAAAAH+/v//Nv///wAAAAAB/f7//zX///8CAAAAAAAAAAAB/P7//zT///8AAAAACgEAAAAAAAAAAAQAAAAABgUBAAAkOTQ3NGZiZmYtNzZhNi00MzI3LTgzNTQtYjVjNDA5N2FlNjIxBgYBAAAgVGFibGUuVmVuZEludm9pY2VUcmFucy5JbnZvaWNlSWQKCgoKAT0AAAA4AAAACQcBAAAJCAEAAAkJAQAABgoBAAAOSW52ZW50TG9jYXRpb24GCwEAAAlXYXJlaG91c2UGDAEAAAZTdHJpbmcJCAAAAAYOAQAAJDU2MjU0M2Y5LWQ5YzItNDRhOS1hMDBjLWU1ZDNjNDMyODkyOAHx/v//N/////////8FAAAAAfD+//82////AAAAAAHv/v//Nf///wIAAAAAAAAAAAHu/v//NP///wAAAAAKAQAAAAAAAAAABQAAAAAGEwEAACQ0NDdlYWVjZC02MDM2LTQ0YmYtODQ5MC1kYzY3YzM1ZGFkYWEGFAEAAGhUYWJsZS5WZW5kSW52b2ljZVRyYW5zLlZlbmRJbnZvaWNlSm91cn5UYWJsZS5WZW5kSW52b2ljZUpvdXIuT3JkZXJBY2NvdW50flRhYmxlLlZlbmRUYWJsZS5JbnZlbnRMb2NhdGlvbgoKCgoBPgAAADgAAAAJFQEAAAkWAQAACRcBAAAGGAEAAAZJdGVtSWQGGQEAAARJdGVtBhoBAAAGU3RyaW5nCQgAAAAGHAEAACQzOTEyZmI1Mi1iZGRiLTQ2MzEtOGM4YS04MzAyMDk1Njg3MzAB4/7//zf/////////BgAAAAHi/v//Nv///wAAAAAB4f7//zX///8CAAAAAAAAAAAB4P7//zT///8AAAAACgEAAAAAAAAAAAYAAAAABiEBAAAkYjg2NTk1MjEtNjE1Yi00MDg5LTg2NWQtYjhhM2MyYTkzODhhBiIBAAAdVGFibGUuVmVuZEludm9pY2VUcmFucy5JdGVtSWQKCgoKAT8AAAA4AAAACSMBAAAJJAEAAAklAQAABiYBAAAISXRlbU5hbWUGJwEAAAlJdGVtIG5hbWUGKAEAAAZTdHJpbmcJCAAAAAYqAQAAJGZjMWE4M2Y0LWQxMDQtNDU3ZC05NWUyLTYyZTY1ZjhlODg0OAHV/v//N/////////8HAAAAAdT+//82////AAAAAAHT/v//Nf///wIAAAAAAAAAAAHS/v//NP///wAAAAAKAQAAAAAAAAAABwAAAAAGLwEAACRiYzI5ZTE4Mi04OGI4LTQxMDQtYTk0OS1jMDIyMGY1MGU0ZjQGMAEAADhUYWJsZS5WZW5kSW52b2ljZVRyYW5zLkl0ZW1JZH5UYWJsZS5JbnZlbnRUYWJsZS5JdGVtTmFtZQoKCgoBQAAAADgAAAAJMQEAAAkyAQAACTMBAAAGNAEAAAtJbnZvaWNlRGF0ZQY1AQAABERhdGUGNgEAAAREYXRlCQgAAAAGOAEAACRiNjM2NDBjMC0yNjAxLTRiNjEtYTIyZS03Mjc4YzUzOTdiMTMBx/7//zf/////////CAAAAAHG/v//Nv///wAAAAABxf7//zX///8CAAAAAAAAAAABxP7//zT///8AAAAACgEAAAAAAAAAAAgAAAAABj0BAAAkYWM0ZDc5M2UtZTBkNS00NWE4LTkyMTgtNTkyYTI5ODRmYmJmBj4BAAAiVGFibGUuVmVuZEludm9pY2VUcmFucy5JbnZvaWNlRGF0ZQoKCgoBQQAAADgAAAAJPwEAAAlAAQAACUEBAAAGQgEAAANRdHkGQwEAAAhRdWFudGl0eQZEAQAABFJlYWwJCAAAAAZGAQAAJDk4YWQzNjc1LTRkNWUtNGNhYy1iNDJmLTEwZTcxYzM4ODEyMgG5/v//N////wEAAAAJAAAAAbj+//82////AAAAAAG3/v//Nf///wIAAAAAAAAAAAG2/v//NP///wAAAAAKAQAAAAAAAAAACQAAAAAGSwEAACRhYjBlNTM5NC0xNWE5LTQ0YjYtYTMyOC03ZGFjZmUxMTAzODYGTAEAABpUYWJsZS5WZW5kSW52b2ljZVRyYW5zLlF0eQoKCgoBQgAAADgAAAAJTQEAAAlOAQAACU8BAAAGUAEAAAlQdXJjaFVuaXQGUQEAAARVbml0BlIBAAAGU3RyaW5nCQgAAAAGVAEAACQ5MWNmMzNmNS1jYTNlLTRhZTYtOWM4Zi1jYjE0NzM3YWUyY2UBq/7//zf/////////CgAAAAGq/v//Nv///wAAAAABqf7//zX///8CAAAAAAAAAAABqP7//zT///8AAAAACgEAAAAAAAAAAAoAAAAABlkBAAAkMTM4ZTJhZTktZDkwNC00ODRjLWI1MzYtYjAwMDY2YjFlNDgxBloBAAAgVGFibGUuVmVuZEludm9pY2VUcmFucy5QdXJjaFVuaXQKCgoKAUMAAAA4AAAACVsBAAAJXAEAAAldAQAABl4BAAAKUHVyY2hQcmljZQZfAQAAClVuaXQgcHJpY2UGYAEAAARSZWFsCQgAAAAGYgEAACQzNGY2ZDJiMi00MjA4LTRmNTYtOTE4Zi01NWFjZjgwMTI2ZmQBnf7//zf///8BAAAACwAAAAGc/v//Nv///wAAAAABm/7//zX///8CAAAAAAAAAAABmv7//zT///8AAAAACgEAAAAAAAAAAAsAAAAABmcBAAAkMWRmNTA4ZjEtYjIxNy00MmRkLWE0MmItZTZlZjZiMGIzNGJiBmgBAAAhVGFibGUuVmVuZEludm9pY2VUcmFucy5QdXJjaFByaWNlCgoKCgFEAAAAOAAAAAlpAQAACWoBAAAJawEAAAZsAQAACkxpbmVBbW91bnQGbQEAAAZBbW91bnQGbgEAAARSZWFsCQgAAAAGcAEAACQzMzIzYjhlYi1hMWViLTRlYjMtOTA3Yi01ZDIyODkxYWJkM2UBj/7//zf///8BAAAADAAAAAGO/v//Nv///wAAAAABjf7//zX///8CAAAAAAAAAAABjP7//zT///8AAAAACgEAAAAAAAAAAAwAAAAABnUBAAAkYTYwZTI4ZGEtZWYxYi00NGMyLWE1YjgtMWM3Yzc4ZTQ4ZTc1BnYBAAAhVGFibGUuVmVuZEludm9pY2VUcmFucy5MaW5lQW1vdW50CgoKCgFFAAAAOAAAAAl3AQAACXgBAAAJeQEAAAZ6AQAADEN1cnJlbmN5Q29kZQZ7AQAACEN1cnJlbmN5BnwBAAAGU3RyaW5nCQgAAAAGfgEAACQ3OGNhNGRhZC02NzZjLTQ2MmItYjE3Yy1hMTYzM2I5NWQwNGEBgf7//zf/////////DQAAAAGA/v//Nv///wAAAAABf/7//zX///8CAAAAAAAAAAABfv7//zT///8AAAAACgEAAAAAAAAAAA0AAAAABoMBAAAkMWYyOGFjZDMtZWY1Yy00NmU4LWI5OTAtYTFkMjVjZjM2ZjM0BoQBAAAjVGFibGUuVmVuZEludm9pY2VUcmFucy5DdXJyZW5jeUNvZGUKCgoKAUYAAAA4AAAACYUBAAAJhgEAAAmHAQAABogBAAAFUmVjSWQGiQEAAAxSZWNJZCBjb2x1bW4GigEAAAVJbnQ2NAkIAAAABowBAAAkMzliOWM5MmYtZWQxYS00ZGEyLWFmYTctZWU4ZThlNTI4YWUwAXP+//83/////////w4AAAABcv7//zb///8AAAAAAXH+//81////AgAAAAAAAAAAAXD+//80////AAAAAAoBAAAAAAAAAAAOAAAAAAaRAQAAJDk4MmRhZDZhLWY2MjItNDJlYy1iYmZiLWQzNGU3Y2ZhYTVlMgaSAQAAHFRhYmxlLlZlbmRJbnZvaWNlVHJhbnMuUmVjSWQKCgoKAUcAAAA4AAAACZMBAAAJlAEAAAmVAQAABpYBAAA3QXRsYXNNYW5hZ2VkQ29sdW1uXzZlMDhjZDg2LTI1YjAtNDNlYy1hZmM1LTJjNDI4ZjY0MzJmYQaXAQAAClRQUCBBbW91bnQJCAAAAAkIAAAABpkBAAAkZmQ5NmMxNWQtOTI2NC00NmI2LThkYmMtMmNhYjNjNTViMjhkAWb+//83////AQAAAA8AAAABZf7//zb///8CAAAAAWT+//81////AgAAAAAAAAAAAWP+//80////AAAAAAoBAAAAAAAAAAAPAAAAAAaeAQAAJDkyMTllOWIxLTNhYjAtNGJhZC05MWFiLWJmZGE0ODMyZTc2NQkIAAAACgoKCgGFAAAAEgAAAAeGA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g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hAQAAIVRhYmxlLlZlbmRJbnZvaWNlVHJhbnMuRGF0YUFyZWFJZAmiAQAAAV3+//9g/v//BqQBAAAeVGFibGUuVmVuZEludm9pY2VUcmFucy5QdXJjaElECaUBAAABWv7//2D+//8GpwEAACBUYWJsZS5WZW5kSW52b2ljZVRyYW5zLkludm9pY2VJZAmoAQAAAVf+//9g/v//BqoBAAAdVGFibGUuVmVuZEludm9pY2VUcmFucy5JdGVtSWQJqwEAAAFU/v//YP7//watAQAAIlRhYmxlLlZlbmRJbnZvaWNlVHJhbnMuSW52b2ljZURhdGUJrgEAAAFR/v//YP7//wawAQAAGlRhYmxlLlZlbmRJbnZvaWNlVHJhbnMuUXR5CbEBAAABTv7//2D+//8GswEAACBUYWJsZS5WZW5kSW52b2ljZVRyYW5zLlB1cmNoVW5pdAm0AQAAAUv+//9g/v//BrYBAAAhVGFibGUuVmVuZEludm9pY2VUcmFucy5QdXJjaFByaWNlCbcBAAABSP7//2D+//8GuQEAACFUYWJsZS5WZW5kSW52b2ljZVRyYW5zLkxpbmVBbW91bnQJugEAAAFF/v//YP7//wa8AQAAI1RhYmxlLlZlbmRJbnZvaWNlVHJhbnMuQ3VycmVuY3lDb2RlCb0BAAABQv7//2D+//8GvwEAABxUYWJsZS5WZW5kSW52b2ljZVRyYW5zLlJlY0lkCcABAAAHiA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D/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wgEAACJUYWJsZS5WZW5kSW52b2ljZVRyYW5zLkludm9pY2VEYXRlCcMBAAABPP7//z/+//8GxQEAAB1UYWJsZS5WZW5kSW52b2ljZVRyYW5zLkl0ZW1JZAnGAQAAB4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Tn+///U////CTAAAAAJMQAAAAE2/v//1P///wk2AAAACTcAAAAEi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AAAAAhAAAAAQAAAAnNAQAAAwAAAAnOAQAAAZEAAAAiAAAAAQAAAAkSAAAAAwAAAAnQAQAAAZQAAAAEAAAAAQAAAAnNAQAAAwAAAAnSAQAAAZwAAAApAAAAAAAAAAnTAQAAAAAAAAGhAAAAIQAAAAIAAAAJzQEAAAMAAAAJ1QEAAAGiAAAAIgAAAAEAAAAJEgAAAAMAAAAJ1wEAAAS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rgAAACkAAAAAAAAACdMBAAAAAAAAAbMAAAAhAAAAAQAAAAnNAQAAAwAAAAnbAQAAAbQAAAAiAAAAAQAAAAkSAAAAAwAAAAndAQAABL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HAAAAAKQAAAAAAAAAJ0wEAAAAAAAAEw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4AEAAAEAAAABAAAABMI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VwAAAAnhAQAABwAAAAni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NAQAABwAAAAnkAQAAAc8AAADBAAAACeUBAAABAAAAAQAAAAHQAAAAwgAAAFAAAAAJ4QEAAAcAAAAJ5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zQEAAAcAAAAJ6QEAAAHdAAAAwQAAAAnqAQAAAQAAAAEAAAAB3gAAAMIAAABQAAAACeEBAAAHAAAACew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c0BAAAHAAAACe4BAAAB6wAAAMEAAAAJ7wEAAAEAAAABAAAAAewAAADCAAAAZwAAAAnwAQAABwAAAAnx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yAQAABwAAAAnzAQAAAfkAAADBAAAACfQBAAABAAAAAQAAAAH6AAAAwgAAAGYAAAAJ8AEAAAcAAAAJ9gEAAAT7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8gEAAAcAAAAJ+AEAAAEHAQAAwQAAAAn5AQAAAQAAAAEAAAABCAEAAMIAAABJAAAACeEBAAAHAAAACfsB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c0BAAAHAAAACf0BAAABFQEAAMEAAAAJ/gEAAAEAAAABAAAAARYBAADCAAAAZgAAAAnwAQAABwAAAAkAAgAABB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yAQAABwAAAAkCAgAAASMBAADBAAAACQMCAAABAAAAAQAAAAEkAQAAwgAAAEkAAAAJ4QEAAAcAAAAJBQIAAAQ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zQEAAAcAAAAJBwIAAAExAQAAwQAAAAkIAgAAAQAAAAEAAAABMgEAAMIAAABJAAAACeEBAAAHAAAACQoCAAAEM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c0BAAAHAAAACQwCAAABPwEAAMEAAAAJDQIAAAEAAAABAAAAAUABAADCAAAAZgAAAAnwAQAABwAAAAkPAgAABE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yAQAABwAAAAkRAgAAAU0BAADBAAAACRICAAABAAAAAQAAAAFOAQAAwgAAAEkAAAAJ4QEAAAcAAAAJFAIAAAR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zQEAAAcAAAAJFgIAAAFbAQAAwQAAAAkXAgAAAQAAAAEAAAABXAEAAMIAAABJAAAACeEBAAAHAAAACRkCAAAEX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c0BAAAHAAAACRsCAAABaQEAAMEAAAAJHAIAAAEAAAABAAAAAWoBAADCAAAAZgAAAAnwAQAABwAAAAkeAgAABG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yAQAABwAAAAkgAgAAAXcBAADBAAAACSECAAABAAAAAQAAAAF4AQAAwgAAAEIAAAAJ4QEAAAcAAAAJIwIAAAR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zQEAAAcAAAAJJQIAAAGFAQAAwQAAAAkmAgAAAQAAAAEAAAABhgEAAMIAAABCAAAACeEBAAAHAAAACSgCAAAEh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c0BAAAHAAAACSoCAAABkwEAAMEAAAAJKwIAAAAAAAAAAAAAAZQBAADCAAAARgAAAAnhAQAABwAAAAktAgAABJ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nNAQAABwAAAAkvAgAABaI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dD9//83/////////wAGMQIAAAZTdHJpbmcGMgIAABBDb21wYW55IGFjY291bnRzCTMCAAABzP3//zX///8CAAAABcv9//85R2xvYmVTb2Z0d2FyZS5BdGxhczQwLkF0bGFzQ29tbW9uLk51bWJlclNlcXVlbmNlQ29uZGl0aW9uAQAAAAd2YWx1ZV9fAAgCAAAAAQAAAAAABjYCAAAWVGFibGUuVmVuZEludm9pY2VUcmFucwnEAAAACQgAAAAK/////wk2AgAACgnEAAAACgoKCQgAAAAJPAIAAAkIAAAAAaUBAACiAQAAAcL9//83/////////wAGPwIAAAZTdHJpbmcGQAIAAA5QdXJjaGFzZSBvcmRlcglBAgAAAb79//81////AgAAAAG9/f//y/3//wEAAAAAAAZEAgAAFlRhYmxlLlZlbmRJbnZvaWNlVHJhbnMJ7gAAAAkIAAAACv////8JRAIAAAoJ7gAAAAoKCgkIAAAACUoCAAAJCAAAAAGoAQAAogEAAAG0/f//N/////////8ABk0CAAAGU3RyaW5nBk4CAAAHSW52b2ljZQlBAgAAAbD9//81////AgAAAAGv/f//y/3//wEAAAAAAAlEAgAACfwAAAAJCAAAAAr/////CUQCAAAKCfwAAAAKCgoJCAAAAAlYAgAACQgAAAABqwEAAKIBAAABpv3//zf/////////AAZbAgAABlN0cmluZwZcAgAABEl0ZW0JQQIAAAGi/f//Nf///wIAAAABof3//8v9//8BAAAAAAAJRAIAAAkYAQAACQgAAAAK/////wlEAgAACgkYAQAACgoKCQgAAAAJZgIAAAkIAAAAAa4BAACiAQAAAZj9//83/////////wAGaQIAAAREYXRlBmoCAAAERGF0ZQlrAgAAAZT9//81////AgAAAAGT/f//y/3//wEAAAAAAAZuAgAAFlRhYmxlLlZlbmRJbnZvaWNlVHJhbnMJNAEAAAkIAAAACv////8JbgIAAAoJNAEAAAoKCgkIAAAACXQCAAAJCAAAAAGxAQAAogEAAAGK/f//N/////////8ABncCAAAEUmVhbAZ4AgAACFF1YW50aXR5CUECAAABhv3//zX///8CAAAAAYX9///L/f//AQAAAAAACUQCAAAJQgEAAAkIAAAACv////8JRAIAAAoJQgEAAAoKCgkIAAAACYICAAAJCAAAAAG0AQAAogEAAAF8/f//N/////////8ABoUCAAAGU3RyaW5nBoYCAAAEVW5pdAlrAgAAAXj9//81////AgAAAAF3/f//y/3//wEAAAAAAAluAgAACVABAAAJCAAAAAr/////CW4CAAAKCVABAAAKCgoJCAAAAAmQAgAACQgAAAABtwEAAKIBAAABbv3//zf/////////AAaTAgAABFJlYWwGlAIAAApVbml0IHByaWNlCWsCAAABav3//zX///8CAAAAAWn9///L/f//AQAAAAAACW4CAAAJXgEAAAkIAAAACv////8JbgIAAAoJXgEAAAoKCgkIAAAACZ4CAAAJCAAAAAG6AQAAogEAAAFg/f//N/////////8ABqECAAAEUmVhbAaiAgAABkFtb3VudAlBAgAAAVz9//81////AgAAAAFb/f//y/3//wEAAAAAAAlEAgAACWwBAAAJCAAAAAr/////CUQCAAAKCWwBAAAKCgoJCAAAAAmsAgAACQgAAAABvQEAAKIBAAABUv3//zf/////////AAavAgAABlN0cmluZwawAgAACEN1cnJlbmN5CbECAAABTv3//zX///8CAAAAAU39///L/f//AQAAAAAABrQCAAAWVGFibGUuVmVuZEludm9pY2VUcmFucwl6AQAACQgAAAAK/////wm0AgAACgl6AQAACgoKCQgAAAAJugIAAAkIAAAAAcABAACiAQAAAUT9//83/////////wAGvQIAAAVJbnQ2NAa+AgAADFJlY0lkIGNvbHVtbgmxAgAAAUD9//81////AgAAAAE//f//y/3//wEAAAAAAAm0AgAACYgBAAAJCAAAAAr/////CbQCAAAKCYgBAAAKCgoJCAAAAAnIAgAACQgAAAAFw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soCAAAWVGFibGUuVmVuZEludm9pY2VUcmFucwbLAgAAC0ludm9pY2VEYXRlCQgAAAAGzQIAABgwNS4wMS4yMDE3IC4uIDA4LjMxLjIwMTf/////CcoCAAAKCcsCAAAKCgoJCAAAAAnRAgAACQgAAAABxgEAAMMBAAAJygIAAAbUAgAABkl0ZW1JZAkIAAAABtYCAAABKv////8JygIAAAoJ1AIAAAoKCgkIAAAACdoCAAAJCAAAAAHNAQAAEgAAAAfO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k/f//YP7//wbdAgAASVRhYmxlLlZlbmRJbnZvaWNlVHJhbnMuVmVuZEludm9pY2VKb3VyflRhYmxlLlZlbmRJbnZvaWNlSm91ci5PcmRlckFjY291bnQJ3gIAAAfQ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If3//z/+//8G4AIAAEZUYWJsZS5WZW5kSW52b2ljZVRyYW5zLlZlbmRJbnZvaWNlSm91cn5UYWJsZS5WZW5kSW52b2ljZUpvdXIuVmVuZEdyb3VwCeECAAAH0gE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Hv3//9T///8JMwAAAAk0AAAAAdMBAACLAAAAB9U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v9//9g/v//BuYCAABeVGFibGUuVmVuZEludm9pY2VUcmFucy5WZW5kSW52b2ljZUpvdXJ+VGFibGUuVmVuZEludm9pY2VKb3VyLk9yZGVyQWNjb3VudH5UYWJsZS5WZW5kVGFibGUuTmFtZQnnAgAAARj9//9g/v//BukCAABoVGFibGUuVmVuZEludm9pY2VUcmFucy5WZW5kSW52b2ljZUpvdXJ+VGFibGUuVmVuZEludm9pY2VKb3VyLk9yZGVyQWNjb3VudH5UYWJsZS5WZW5kVGFibGUuSW52ZW50TG9jYXRpb24J6gIAAAfX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Ff3//z/+//8G7AIAAGhUYWJsZS5WZW5kSW52b2ljZVRyYW5zLlZlbmRJbnZvaWNlSm91cn5UYWJsZS5WZW5kSW52b2ljZUpvdXIuT3JkZXJBY2NvdW50flRhYmxlLlZlbmRUYWJsZS5JbnZlbnRMb2NhdGlvbgntAgAAB9s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L9//9g/v//Bu8CAAA4VGFibGUuVmVuZEludm9pY2VUcmFucy5JdGVtSWR+VGFibGUuSW52ZW50VGFibGUuSXRlbU5hbWUJ8AIAAAfd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D/3//z/+//8G8gIAADhUYWJsZS5WZW5kSW52b2ljZVRyYW5zLkl0ZW1JZH5UYWJsZS5JbnZlbnRUYWJsZS5JdGVtVHlwZQnzAgAAB+ABAAAAAQAAAAQAAAAEN0dsb2JlU29mdHdhcmUuQXRsYXM0MC5BdGxhc0NvbW1vbi5UeXBlLkZpZWxkT3V0cHV0RmllbGQCAAAACaIBAAANAwTh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C/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K/f//Mkdsb2JlU29mdHdhcmUuQXRsYXM0MC5BdGxhc0NvbW1vbi5Db2x1bW5BdHRyaWJ1dGVzAQAAAAd2YWx1ZV9fAAgCAAAACQAAAAkIAAAAAQj9//8L/f//AQf9//8K/f//CwAAAAb6AgAAATABBf3//wv9//8BBP3//wr9//8EAAAABv0CAAAHR2VuZXJhbAEC/f//C/3//wEB/f//Cv3//wIAAAAGAAMAAAExAf/8//8L/f//Af78//8K/f//AAAAAAYDAwAABDYuMTQH5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8/P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UDAAAIRm9udEJvbGQGBgMAAAVGYWxzZQH5/P///Pz//wYIAwAACkZvbnRJdGFsaWMJBgMAAAH2/P///Pz//wYLAwAADUZvbnRVbmRlcmxpbmUGDAMAAAUtNDE0MgHz/P///Pz//wYOAwAACEZvbnROYW1lBg8DAAAHQ2FsaWJyaQHw/P///Pz//wYRAwAACUZvbnRDb2xvcgYSAwAAATAB7fz///z8//8GFAMAAAhGb250U2l6ZQYVAwAAAjExAer8///8/P//BhcDAAAJRm9udFN0eWxlBhgDAAAHUmVndWxhcgflAQAAAAEAAAAEAAAABDdHbG9iZVNvZnR3YXJlLkF0bGFzNDAuQXRsYXNDb21tb24uVHlwZS5GaWVsZE91dHB1dEZpZWxkAgAAAAneAgAADQMH5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b8//8L/f//AeX8//8K/f//CQAAAAkIAAAAAeP8//8L/f//AeL8//8K/f//CwAAAAYfAwAAATEB4Pz//wv9//8B3/z//wr9//8EAAAABiIDAAAHR2VuZXJhbAHd/P//C/3//wHc/P//Cv3//wIAAAAGJQMAAAExAdr8//8L/f//Adn8//8K/f//AAAAAAYoAwAABTEzLjE0B+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/z///z8//8JBQMAAAkGAwAAAdT8///8/P//CQgDAAAJBgMAAAHR/P///Pz//wkLAwAABjEDAAAFLTQxNDIBzvz///z8//8JDgMAAAY0AwAAB0NhbGlicmkBy/z///z8//8JEQMAAAY3AwAAATAByPz///z8//8JFAMAAAY6AwAAAjExAcX8///8/P//CRcDAAAGPQMAAAdSZWd1bGFyB+oBAAAAAQAAAAQAAAAEN0dsb2JlU29mdHdhcmUuQXRsYXM0MC5BdGxhc0NvbW1vbi5UeXBlLkZpZWxkT3V0cHV0RmllbGQCAAAACecCAAANAwfs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fz//wv9//8BwPz//wr9//8JAAAACQgAAAABvvz//wv9//8Bvfz//wr9//8LAAAABkQDAAABMgG7/P//C/3//wG6/P//Cv3//wQAAAAGRwMAAAdHZW5lcmFsAbj8//8L/f//Abf8//8K/f//AgAAAAZKAwAAATEBtfz//wv9//8BtPz//wr9//8AAAAABk0DAAAFMTguNTcH7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/Pz//wkFAwAACQYDAAABr/z///z8//8JCAMAAAkGAwAAAaz8///8/P//CQsDAAAGVgMAAAUtNDE0MgGp/P///Pz//wkOAwAABlkDAAAHQ2FsaWJyaQGm/P///Pz//wkRAwAABlwDAAABMAGj/P///Pz//wkUAwAABl8DAAACMTEBoPz///z8//8JFwMAAAZiAwAAB1JlZ3VsYXIH7wEAAAABAAAABAAAAAQ3R2xvYmVTb2Z0d2FyZS5BdGxhczQwLkF0bGFzQ29tbW9uLlR5cGUuRmllbGRPdXRwdXRGaWVsZAIAAAAJpQEAAA0DAfABAADhAQAAB/E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P//C/3//wGb/P//Cv3//wYAAAAGZgMAAAVUb3RhbAGZ/P//C/3//wGY/P//Cv3//xAAAAAGaQMAAAROb25lAZb8//8L/f//AZX8//8K/f//CQAAAAkIAAAAAZP8//8L/f//AZL8//8K/f//CwAAAAZvAwAAATMBkPz//wv9//8Bj/z//wr9//8EAAAABnIDAAAHR2VuZXJhbAGN/P//C/3//wGM/P//Cv3//wIAAAAGdQMAAAExAYr8//8L/f//AYn8//8K/f//AAAAAAZ4AwAAAjE2AfIBAAASAAAAB/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/z8//8GegMAAAhGb250Qm9sZAkGAwAAAYT8///8/P//Bn0DAAAKRm9udEl0YWxpYwkGAwAAAYH8///8/P//BoADAAANRm9udFVuZGVybGluZQaBAwAABS00MTQyAX78///8/P//BoMDAAAIRm9udE5hbWUGhAMAAAdDYWxpYnJpAXv8///8/P//BoYDAAAJRm9udENvbG9yBocDAAABMAF4/P///Pz//waJAwAACEZvbnRTaXplBooDAAACMTEBdfz///z8//8GjAMAAAlGb250U3R5bGUGjQMAAAdSZWd1bGFyB/QBAAAAAQAAAAQAAAAEN0dsb2JlU29mdHdhcmUuQXRsYXM0MC5BdGxhc0NvbW1vbi5UeXBlLkZpZWxkT3V0cHV0RmllbGQCAAAACagBAAANAwf2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z//wv9//8BcPz//wr9//8QAAAACWkDAAABbvz//wv9//8Bbfz//wr9//8JAAAACQgAAAABa/z//wv9//8Bavz//wr9//8LAAAABpcDAAABNAFo/P//C/3//wFn/P//Cv3//wQAAAAGmgMAAAdHZW5lcmFsAWX8//8L/f//AWT8//8K/f//AgAAAAadAwAAATEBYvz//wv9//8BYfz//wr9//8AAAAABqADAAABOQf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/8///8/P//CXoDAAAJBgMAAAFc/P///Pz//wl9AwAACQYDAAABWfz///z8//8JgAMAAAapAwAABS00MTQyAVb8///8/P//CYMDAAAGrAMAAAdDYWxpYnJpAVP8///8/P//CYYDAAAGrwMAAAEwAVD8///8/P//CYkDAAAGsgMAAAIxMQFN/P///Pz//wmMAwAABrUDAAAHUmVndWxhcgf5AQAAAAEAAAAEAAAABDdHbG9iZVNvZnR3YXJlLkF0bGFzNDAuQXRsYXNDb21tb24uVHlwZS5GaWVsZE91dHB1dEZpZWxkAgAAAAnqAgAADQMH+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n8//8L/f//AUj8//8K/f//CQAAAAkIAAAAAUb8//8L/f//AUX8//8K/f//CwAAAAa8AwAAATUBQ/z//wv9//8BQvz//wr9//8EAAAABr8DAAAHR2VuZXJhbAFA/P//C/3//wE//P//Cv3//wIAAAAGwgMAAAExAT38//8L/f//ATz8//8K/f//AAAAAAbFAwAABTEyLjg2B/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z///z8//8JBQMAAAkGAwAAATf8///8/P//CQgDAAAJBgMAAAE0/P///Pz//wkLAwAABs4DAAAFLTQxNDIBMfz///z8//8JDgMAAAbRAwAAB0NhbGlicmkBLvz///z8//8JEQMAAAbUAwAAATABK/z///z8//8JFAMAAAbXAwAAAjExASj8///8/P//CRcDAAAG2gMAAAdSZWd1bGFyB/4BAAAAAQAAAAQAAAAEN0dsb2JlU29mdHdhcmUuQXRsYXM0MC5BdGxhc0NvbW1vbi5UeXBlLkZpZWxkT3V0cHV0RmllbGQCAAAACasBAAANAwc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z//wv9//8BI/z//wr9//8QAAAACWkDAAABIfz//wv9//8BIPz//wr9//8JAAAACQgAAAABHvz//wv9//8BHfz//wr9//8LAAAABuQDAAABNgEb/P//C/3//wEa/P//Cv3//wQAAAAG5wMAAAdHZW5lcmFsARj8//8L/f//ARf8//8K/f//AgAAAAbqAwAAATEBFfz//wv9//8BFPz//wr9//8AAAAABu0DAAAENi43MQcC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/8/P//CXoDAAAJBgMAAAEP/P///Pz//wl9AwAACQYDAAABDPz///z8//8JgAMAAAb2AwAABS00MTQyAQn8///8/P//CYMDAAAG+QMAAAdDYWxpYnJpAQb8///8/P//CYYDAAAG/AMAAAEwAQP8///8/P//CYkDAAAG/wMAAAIxMQEA/P///Pz//wmMAwAABgIEAAAHUmVndWxhcgcDAgAAAAEAAAAEAAAABDdHbG9iZVNvZnR3YXJlLkF0bGFzNDAuQXRsYXNDb21tb24uVHlwZS5GaWVsZE91dHB1dEZpZWxkAgAAAAnwAgAADQMHBQ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z7//8L/f//Afv7//8K/f//CQAAAAkIAAAAAfn7//8L/f//Afj7//8K/f//CwAAAAYJBAAAATcB9vv//wv9//8B9fv//wr9//8EAAAABgwEAAAHR2VuZXJhbAHz+///C/3//wHy+///Cv3//wIAAAAGDwQAAAExAfD7//8L/f//Ae/7//8K/f//AAAAAAYSBAAABTI5LjE0Bwc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v///z8//8JBQMAAAkGAwAAAer7///8/P//CQgDAAAJBgMAAAHn+////Pz//wkLAwAABhsEAAAFLTQxNDIB5Pv///z8//8JDgMAAAYeBAAAB0NhbGlicmkB4fv///z8//8JEQMAAAYhBAAAATAB3vv///z8//8JFAMAAAYkBAAAAjExAdv7///8/P//CRcDAAAGJwQAAAdSZWd1bGFyBwgCAAAAAQAAAAQAAAAEN0dsb2JlU29mdHdhcmUuQXRsYXM0MC5BdGxhc0NvbW1vbi5UeXBlLkZpZWxkT3V0cHV0RmllbGQCAAAACa4BAAANAwcK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v//wv9//8B1vv//wr9//8JAAAACQgAAAAB1Pv//wv9//8B0/v//wr9//8LAAAABi4EAAABOAHR+///C/3//wHQ+///Cv3//wQAAAAGMQQAAAhtL2QveXl5eQHO+///C/3//wHN+///Cv3//wIAAAAGNAQAAAExAcv7//8L/f//Acr7//8K/f//AAAAAAY3BAAAATkHD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////Pz//wkFAwAACQYDAAABxfv///z8//8JCAMAAAkGAwAAAcL7///8/P//CQsDAAAGQAQAAAUtNDE0MgG/+////Pz//wkOAwAABkMEAAAHQ2FsaWJyaQG8+////Pz//wkRAwAABkYEAAABMAG5+////Pz//wkUAwAABkkEAAACMTEBtvv///z8//8JFwMAAAZMBAAAB1JlZ3VsYXIHDQIAAAABAAAABAAAAAQ3R2xvYmVTb2Z0d2FyZS5BdGxhczQwLkF0bGFzQ29tbW9uLlR5cGUuRmllbGRPdXRwdXRGaWVsZAIAAAAJsQEAAA0DBw8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+///C/3//wGx+///Cv3//xAAAAAJaQMAAAGv+///C/3//wGu+///Cv3//wkAAAAJCAAAAAGs+///C/3//wGr+///Cv3//wsAAAAGVgQAAAE5Aan7//8L/f//Aaj7//8K/f//BAAAAAZZBAAAL18oKiAjLCMjMC4wMF8pO18oKiAoIywjIzAuMDApO18oKiAiLSI/P18pO18oQF8pAab7//8L/f//AaX7//8K/f//AgAAAAZcBAAAATEBo/v//wv9//8Bovv//wr9//8AAAAABl8EAAAFMTAuMjkHE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+////Pz//wl6AwAACQYDAAABnfv///z8//8JfQMAAAkGAwAAAZr7///8/P//CYADAAAGaAQAAAUtNDE0MgGX+////Pz//wmDAwAABmsEAAAHQ2FsaWJyaQGU+////Pz//wmGAwAABm4EAAABMAGR+////Pz//wmJAwAABnEEAAACMTEBjvv///z8//8JjAMAAAZ0BAAAB1JlZ3VsYXIHEgIAAAABAAAABAAAAAQ3R2xvYmVTb2Z0d2FyZS5BdGxhczQwLkF0bGFzQ29tbW9uLlR5cGUuRmllbGRPdXRwdXRGaWVsZAIAAAAJtAEAAA0DBxQ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K+///C/3//wGJ+///Cv3//wkAAAAJCAAAAAGH+///C/3//wGG+///Cv3//wsAAAAGewQAAAIxMAGE+///C/3//wGD+///Cv3//wQAAAAGfgQAAAdHZW5lcmFsAYH7//8L/f//AYD7//8K/f//AgAAAAaBBAAAATEBfvv//wv9//8Bffv//wr9//8AAAAABoQEAAAENi40MwcW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7///8/P//CQUDAAAJBgMAAAF4+////Pz//wkIAwAACQYDAAABdfv///z8//8JCwMAAAaNBAAABS00MTQyAXL7///8/P//CQ4DAAAGkAQAAAdDYWxpYnJpAW/7///8/P//CREDAAAGkwQAAAEwAWz7///8/P//CRQDAAAGlgQAAAIxMQFp+////Pz//wkXAwAABpkEAAAHUmVndWxhcgcXAgAAAAEAAAAEAAAABDdHbG9iZVNvZnR3YXJlLkF0bGFzNDAuQXRsYXNDb21tb24uVHlwZS5GaWVsZE91dHB1dEZpZWxkAgAAAAm3AQAADQMHGQ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X7//8L/f//AWT7//8K/f//CQAAAAkIAAAAAWL7//8L/f//AWH7//8K/f//CwAAAAagBAAAAjExAV/7//8L/f//AV77//8K/f//BAAAAAajBAAAL18oKiAjLCMjMC4wMF8pO18oKiAoIywjIzAuMDApO18oKiAiLSI/P18pO18oQF8pAVz7//8L/f//AVv7//8K/f//AgAAAAamBAAAATEBWfv//wv9//8BWPv//wr9//8AAAAABqkEAAAFMTEuMjkHG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W+////Pz//wkFAwAACQYDAAABU/v///z8//8JCAMAAAkGAwAAAVD7///8/P//CQsDAAAGsgQAAAUtNDE0MgFN+////Pz//wkOAwAABrUEAAAHQ2FsaWJyaQFK+////Pz//wkRAwAABrgEAAABMAFH+////Pz//wkUAwAABrsEAAACMTEBRPv///z8//8JFwMAAAa+BAAAB1JlZ3VsYXIHHAIAAAABAAAABAAAAAQ3R2xvYmVTb2Z0d2FyZS5BdGxhczQwLkF0bGFzQ29tbW9uLlR5cGUuRmllbGRPdXRwdXRGaWVsZAIAAAAJugEAAA0DBx4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A+///C/3//wE/+///Cv3//xAAAAAJaQMAAAE9+///C/3//wE8+///Cv3//wkAAAAJCAAAAAE6+///C/3//wE5+///Cv3//wsAAAAGyAQAAAIxMgE3+///C/3//wE2+///Cv3//wQAAAAGywQAAC9fKCogIywjIzAuMDBfKTtfKCogKCMsIyMwLjAwKTtfKCogIi0iPz9fKTtfKEBfKQE0+///C/3//wEz+///Cv3//wIAAAAGzgQAAAExATH7//8L/f//ATD7//8K/f//AAAAAAbRBAAABDkuNzEHI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+////Pz//wl6AwAACQYDAAABK/v///z8//8JfQMAAAkGAwAAASj7///8/P//CYADAAAG2gQAAAUtNDE0MgEl+////Pz//wmDAwAABt0EAAAHQ2FsaWJyaQEi+////Pz//wmGAwAABuAEAAABMAEf+////Pz//wmJAwAABuMEAAACMTEBHPv///z8//8JjAMAAAbmBAAAB1JlZ3VsYXIHIQIAAAABAAAABAAAAAQ3R2xvYmVTb2Z0d2FyZS5BdGxhczQwLkF0bGFzQ29tbW9uLlR5cGUuRmllbGRPdXRwdXRGaWVsZAIAAAAJvQEAAA0DByM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+///C/3//wEX+///Cv3//wkAAAAJCAAAAAEV+///C/3//wEU+///Cv3//wsAAAAG7QQAAAIxMwES+///C/3//wER+///Cv3//wQAAAAG8AQAAAdHZW5lcmFsAQ/7//8L/f//AQ77//8K/f//AgAAAAbzBAAAATEBDPv//wv9//8BC/v//wr9//8AAAAABvYEAAAFMTAuNDMHJ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+////Pz//wkFAwAACQYDAAABBvv///z8//8JCAMAAAkGAwAAAQP7///8/P//CQsDAAAG/wQAAAUtNDE0MgEA+////Pz//wkOAwAABgIFAAAHQ2FsaWJyaQH9+v///Pz//wkRAwAABgUFAAABMAH6+v///Pz//wkUAwAABggFAAACMTEB9/r///z8//8JFwMAAAYLBQAAB1JlZ3VsYXIHJgIAAAABAAAABAAAAAQ3R2xvYmVTb2Z0d2FyZS5BdGxhczQwLkF0bGFzQ29tbW9uLlR5cGUuRmllbGRPdXRwdXRGaWVsZAIAAAAJwAEAAA0DBy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z+v//C/3//wHy+v//Cv3//wkAAAAJCAAAAAHw+v//C/3//wHv+v//Cv3//wsAAAAGEgUAAAIxNAHt+v//C/3//wHs+v//Cv3//wQAAAAGFQUAAAdHZW5lcmFsAer6//8L/f//Aen6//8K/f//AgAAAAYYBQAAATEB5/r//wv9//8B5vr//wr9//8AAAAABhsFAAAFMTQuNDMHK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+v///Pz//wkFAwAACQYDAAAB4fr///z8//8JCAMAAAkGAwAAAd76///8/P//CQsDAAAGJAUAAAUtNDE0MgHb+v///Pz//wkOAwAABicFAAAHQ2FsaWJyaQHY+v///Pz//wkRAwAABioFAAABMAHV+v///Pz//wkUAwAABi0FAAACMTEB0vr///z8//8JFwMAAAYwBQAAB1JlZ3VsYXIHKwIAAAABAAAAAAAAAAQ3R2xvYmVTb2Z0d2FyZS5BdGxhczQwLkF0bGFzQ29tbW9uLlR5cGUuRmllbGRPdXRwdXRGaWVsZAIAAAAHL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6//8L/f//Ac76//8K/f//JAAAAAmXAQAAAcz6//8L/f//Acv6//8K/f//CwAAAAY2BQAAAjE1Acn6//8L/f//Acj6//8K/f//BAAAAAY5BQAAL18oKiAjLCMjMC4wMF8pO18oKiAoIywjIzAuMDApO18oKiAiLSI/P18pO18oQF8pAcb6//8L/f//AcX6//8K/f//AgAAAAY8BQAAATEBw/r//wv9//8Bwvr//wr9//8AAAAABj8FAAAFMTMuNDMBwPr//wv9//8Bv/r//wr9//8DAAAABkIFAACFAT1BdGxhc0JhbGFuY2UoIlVBVCIsRGF0YUFyZWFJZCwiVC5NYXJrdXBUcmFucyIsIlN1bXxQb3N0ZWR8MCIsIiIsIiIsIiIsIiIsIiIsIiIsIlRyYW5zUmVjSWR8VHJhbnNUYWJsZUlkfE1hcmt1cENvZGUiLCRPMywiNDkyIiwiVFBQIikHL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v///Pz//wkFAwAACQYDAAABuvr///z8//8JCAMAAAkGAwAAAbf6///8/P//CQsDAAAGSwUAAAUtNDE0MgG0+v///Pz//wkOAwAABk4FAAAHQ2FsaWJyaQGx+v///Pz//wkRAwAABlEFAAABMAGu+v///Pz//wkUAwAABlQFAAACMTEBq/r///z8//8JFwMAAAZXBQAAB1JlZ3VsYXIBMwIAAA4AAAD/////BlgFAAAQVmVuZEludm9pY2VUcmFucwZZBQAAFFZlbmRvciBpbnZvaWNlIGxpbmVzCQgAAAAJCAAAAAkIAAAAAaX6///g////AAAAAAlcBQAACV0FAAABovr//93///83qQJ0guQjRoPtnrhoADylCQgAAAAJCAAAAAlgBQAACTYCAAAKCgoKCgEAAAABnvr//9n///8AAAAAAZ36///Y////AAAAAAAJZAUAAAQ8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oAAAAJzQEAAAMAAAAJZgUAAAFBAgAADgAAAOwBAAAGZwUAABBWZW5kSW52b2ljZVRyYW5zBmgFAAAUVmVuZG9yIGludm9pY2UgbGluZXMJCAAAAAkIAAAACQgAAAABlvr//+D///8AAAAACWsFAAAJbAUAAAGT+v//3f///+fY8cEmNd9Cl+SeWnduHvQJCAAAAAkIAAAACW8FAAAJRAIAAAoKCgoKAQAAAAGP+v//2f///wAAAAABjvr//9j///8AAAAAAAlzBQAABE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yAQAAAwAAAAl1BQAABF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yAQAAAwAAAAl3BQAABG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yAQAAAwAAAAl5BQAAAWsCAAAOAAAA/////wZ6BQAAEFZlbmRJbnZvaWNlVHJhbnMGewUAABRWZW5kb3IgaW52b2ljZSBsaW5lcwkIAAAACQgAAAAJCAAAAAGD+v//4P///wAAAAAJfgUAAAl/BQAAAYD6///d////kg48idPNO06julRITIGuTAkIAAAACQgAAAAJggUAAAluAgAACgoKCgoBAAAAAXz6///Z////AAAAAAF7+v//2P///wAAAAAACYYF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c0BAAADAAAACYgFAAAEg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fIBAAADAAAACYoF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c0BAAADAAAACYwFAAAEn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c0BAAADAAAACY4FAAAEr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fIBAAADAAAACZAFAAABsQIAAA4AAAD/////BpEFAAAQVmVuZEludm9pY2VUcmFucwaSBQAAFFZlbmRvciBpbnZvaWNlIGxpbmVzCQgAAAAJCAAAAAkIAAAAAWz6///g////AAAAAAmVBQAACZYFAAABafr//93////HmzveMVE8RIWTCeJX6jNcCQgAAAAJCAAAAAmZBQAACbQCAAAKCgoKCgEAAAABZfr//9n///8AAAAAAWT6///Y////AAAAAAAJnQUAAAS6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zQEAAAMAAAAJnwUAAAT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zQEAAAMAAAAJoQUAAAT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MAAAAJowUAAAT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MAAAAJpQUAAAHeAgAAogEAAAFa+v//N/////////8ABqcFAAAGU3RyaW5nBqgFAAAOVmVuZG9yIGFjY291bnQJMQAAAAFW+v//Nf///wIAAAABVfr//8v9//8BAAAAAAAJMAAAAAnSAAAACQgAAAAK/////wkwAAAACgnSAAAABrEFAAAPVmVuZEludm9pY2VKb3VyBrIFAAAQVmVuZEludm9pY2VUcmFucwoJCAAAAAm0BQAACQgAAAAB4QIAAMMBAAAJMAAAAAa3BQAACVZlbmRHcm91cAkIAAAABrkFAAADSUMq/////wkwAAAACgm3BQAABrwFAAAPVmVuZEludm9pY2VKb3VyCgoJCAAAAAm+BQAACQgAAAAB5wIAAKIBAAABQPr//zf/////////AAbBBQAABlN0cmluZwbCBQAABE5hbWUJNAAAAAE8+v//Nf///wIAAAABO/r//8v9//8BAAAAAAAJMwAAAAngAAAACQgAAAAK/////wkzAAAACgngAAAABssFAAAMT3JkZXJBY2NvdW50BswFAAAPVmVuZEludm9pY2VKb3VyCgkIAAAACc4FAAAJCAAAAAHqAgAAogEAAAEw+v//N/////////8ABtEFAAAGU3RyaW5nBtIFAAAJV2FyZWhvdXNlCTQAAAABLPr//zX///8CAAAAASv6///L/f//AQAAAAAACTMAAAAJCgEAAAkIAAAACv////8JMwAAAAoJCgEAAAbbBQAADE9yZGVyQWNjb3VudAbcBQAAD1ZlbmRJbnZvaWNlSm91cgoJCAAAAAneBQAACQgAAAAB7QIAAMMBAAAJMwAAAAbhBQAADkludmVudExvY2F0aW9uCQgAAAAG4wUAAAshSUMtVHJhbnNpdP////8JMwAAAAoJ4QUAAAbmBQAADE9yZGVyQWNjb3VudAoKCQgAAAAJ6AUAAAkIAAAAAfACAACiAQAAARb6//83/////////wAG6wUAAAZTdHJpbmcG7AUAAAlJdGVtIG5hbWUJNwAAAAES+v//Nf///wIAAAABEfr//8v9//8BAAAAAAAJNgAAAAkmAQAACQgAAAAK/////wk2AAAACgkmAQAABvUFAAAGSXRlbUlkBvYFAAAQVmVuZEludm9pY2VUcmFucwoJCAAAAAn4BQAACQgAAAAB8wIAAMMBAAAJNgAAAAb7BQAACEl0ZW1UeXBlCQgAAAAG/QUAAAEq/////wk2AAAACgn7BQAABgAGAAAGSXRlbUlkCgoJCAAAAAkCBgAACQgAAAABXAUAACEAAAAJAAAACQQGAAARAAAACQUGAAABXQUAACIAAAABAAAACQYGAAADAAAACQcGAAAEYA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QGAAAAAAAAAWQFAAApAAAAAAAAAAkJBgAAAAAAAAd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b5///8/P//BgsGAAAFTGFiZWwJMgIAAAHz+f///Pz//wYOBgAABFR5cGUJMQIAAAFrBQAAIQAAAAgAAAAJEAYAABEAAAAJEQYAAAFsBQAAIgAAAAUAAAAJEAYAAAcAAAAJEwYAAARv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AYAAAAAAAABcwUAACkAAAAAAAAACRUGAAAAAAAAB3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n///z8//8GFwYAAAhIZWxwVGV4dAYYBgAAH0FjaGF0IGxpw6kgw6AgbGEgbGlnbmUgYWN0dWVsbGUB5/n///z8//8GGgYAAAVMYWJlbAlAAgAAAeT5///8/P//Bh0GAAAEVHlwZQk/AgAAB3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n///z8//8JFwYAAAYhBgAAHElkZW50aWZpY2F0aW9uIGRlIGxhIGZhY3R1cmUB3vn///z8//8JGgYAAAlOAgAAAdv5///8/P//CR0GAAAJTQI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5///8/P//CRcGAAAGKgYAABNJZGVudGlmaWUgbCdhcnRpY2xlAdX5///8/P//CRoGAAAJXAIAAAHS+f///Pz//wkdBgAACVsCAAABfgUAACEAAAAPAAAACTEGAAARAAAACTIGAAABfwUAACIAAAABAAAACc0BAAADAAAACTQGAAABggUAAAQAAAACAAAACTEGAAADAAAACTYGAAABhgUAACkAAAAAAAAACTcGAAAAAAAAB4g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n///z8//8JCwYAAAlqAgAAAcX5///8/P//CQ4GAAAJaQIAAAeK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5///8/P//CRcGAAAGQAYAABhOb21icmUgZCd1bml0w6lzIGQnYWNoYXQBv/n///z8//8JGgYAAAl4AgAAAbz5///8/P//CR0GAAAJdwIAAAe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n5///8/P//CQsGAAAJhgIAAAG2+f///Pz//wkOBgAACYUCAAAHj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+f///Pz//wkLBgAACZQCAAABsPn///z8//8JDgYAAAmTAgAAB5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n///z8//8JFwYAAAZVBgAAEU1vbnRhbnQgZW4gZGV2aXNlAar5///8/P//CRoGAAAJogIAAAGn+f///Pz//wkdBgAACaECAAABlQUAACEAAAALAAAACVwGAAARAAAACV0GAAABlgUAACIAAAABAAAACc0BAAADAAAACV8GAAABmQUAAAQAAAACAAAACVwGAAADAAAACWEGAAABnQUAACkAAAAAAAAACWIGAAAAAAAAB58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n///z8//8JCwYAAAmwAgAAAZr5///8/P//CQ4GAAAJrwIAAAeh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5///8/P//CQsGAAAJvgIAAAGU+f///Pz//wkOBgAACb0CAAAHo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+f///Pz//wZwBgAABFR5cGUJaQIAAAGO+f///Pz//wZzBgAABUxhYmVsCWoCAAABi/n///z8//8GdgYAAAhSZWZlcnNUbwZ3BgAACj1EYXRlUmFuZ2UHp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f///Pz//wlwBgAACVsCAAABhfn///z8//8JcwYAAAlcAgAAAYL5///8/P//CXYGAAAGgAYAAAs9SXRlbU51bWJlcgS0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QAAAAJzQEAAAMAAAAJggYAAAS+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YAAAAJEgAAAAMAAAAJhAYAAATO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QAAAAJzQEAAAMAAAAJhgYAAATe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4AAAAJzQEAAAMAAAAJiAYAAATo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MAAAAJigYAAAT4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4AAAAJzQEAAAMAAAAJjAYAAAQC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MAAAAJjgYAAAEEBgAAEgAAAAcFB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x+f//YP7//waQBgAAHlRhYmxlLlZlbmRJbnZvaWNlVHJhbnMuUHVyY2hJRAmlAQAAAW75//9g/v//BpMGAAAhVGFibGUuVmVuZEludm9pY2VUcmFucy5MaW5lQW1vdW50CboBAAABa/n//2D+//8GlgYAACFUYWJsZS5WZW5kSW52b2ljZVRyYW5zLkRpc2NBbW91bnQJlwYAAAFo+f//YP7//waZBgAAIlRhYmxlLlZlbmRJbnZvaWNlVHJhbnMuRGlzY1BlcmNlbnQJmgYAAAFl+f//YP7//wacBgAAGlRhYmxlLlZlbmRJbnZvaWNlVHJhbnMuUXR5CbEBAAABYvn//2D+//8GnwYAACBUYWJsZS5WZW5kSW52b2ljZVRyYW5zLlByaWNlVW5pdAmgBgAAAV/5//9g/v//BqIGAAAdVGFibGUuVmVuZEludm9pY2VUcmFucy5JdGVtSWQJqwEAAAFc+f//YP7//walBgAAIFRhYmxlLlZlbmRJbnZvaWNlVHJhbnMuSW52b2ljZUlkCagBAAABWfn//2D+//8GqAYAACFUYWJsZS5WZW5kSW52b2ljZVRyYW5zLkRhdGFBcmVhSWQJogEAAAEGBgAAEgAAAAcH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Vvn//z/+//8GqwYAACJUYWJsZS5WZW5kSW52b2ljZVRyYW5zLkludm9pY2VEYXRlCawGAAABCQYAAIsAAAABEAYAABIAAAAHEQY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/n//2D+//8GrgYAAB5UYWJsZS5WZW5kSW52b2ljZVRyYW5zLlB1cmNoSUQJpQEAAAFQ+f//YP7//waxBgAAIVRhYmxlLlZlbmRJbnZvaWNlVHJhbnMuTGluZUFtb3VudAm6AQAAAU35//9g/v//BrQGAAAhVGFibGUuVmVuZEludm9pY2VUcmFucy5EaXNjQW1vdW50CZcGAAABSvn//2D+//8GtwYAACJUYWJsZS5WZW5kSW52b2ljZVRyYW5zLkRpc2NQZXJjZW50CZoGAAABR/n//2D+//8GugYAABpUYWJsZS5WZW5kSW52b2ljZVRyYW5zLlF0eQmxAQAAAUT5//9g/v//Br0GAAAgVGFibGUuVmVuZEludm9pY2VUcmFucy5QcmljZVVuaXQJoAYAAAFB+f//YP7//wbABgAAHVRhYmxlLlZlbmRJbnZvaWNlVHJhbnMuSXRlbUlkCasBAAABPvn//2D+//8GwwYAACBUYWJsZS5WZW5kSW52b2ljZVRyYW5zLkludm9pY2VJZAmoAQAABxMG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7+f//P/7//wbGBgAAIVRhYmxlLlZlbmRJbnZvaWNlVHJhbnMuRGF0YUFyZWFJZAnHBgAAATj5//8//v//BskGAAAiVGFibGUuVmVuZEludm9pY2VUcmFucy5JbnZvaWNlRGF0ZQnKBgAAATX5//8//v//BswGAAAgVGFibGUuVmVuZEludm9pY2VUcmFucy5JbnZvaWNlSWQJzQYAAAEy+f//P/7//wbPBgAAHVRhYmxlLlZlbmRJbnZvaWNlVHJhbnMuSXRlbUlkCdAGAAABL/n//z/+//8G0gYAAB5UYWJsZS5WZW5kSW52b2ljZVRyYW5zLlB1cmNoSUQJ0wYAAAEVBgAAiwAAAAExBgAAEgAAAAcyB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s+f//YP7//wbVBgAAIVRhYmxlLlZlbmRJbnZvaWNlVHJhbnMuRGF0YUFyZWFJZAmiAQAAASn5//9g/v//BtgGAAAeVGFibGUuVmVuZEludm9pY2VUcmFucy5QdXJjaElECaUBAAABJvn//2D+//8G2wYAACFUYWJsZS5WZW5kSW52b2ljZVRyYW5zLkxpbmVBbW91bnQJugEAAAEj+f//YP7//wbeBgAAGlRhYmxlLlZlbmRJbnZvaWNlVHJhbnMuUXR5CbEBAAABIPn//2D+//8G4QYAAB1UYWJsZS5WZW5kSW52b2ljZVRyYW5zLkl0ZW1JZAmrAQAAAR35//9g/v//BuQGAAAgVGFibGUuVmVuZEludm9pY2VUcmFucy5JbnZvaWNlSWQJqAEAAAEa+f//YP7//wbnBgAAIlRhYmxlLlZlbmRJbnZvaWNlVHJhbnMuSW52b2ljZURhdGUJrgEAAAEX+f//YP7//wbqBgAAIFRhYmxlLlZlbmRJbnZvaWNlVHJhbnMuUHVyY2hVbml0CbQBAAABFPn//2D+//8G7QYAACFUYWJsZS5WZW5kSW52b2ljZVRyYW5zLlB1cmNoUHJpY2UJtwEAAAc0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Efn//z/+//8G8AYAACJUYWJsZS5WZW5kSW52b2ljZVRyYW5zLkludm9pY2VEYXRlCawGAAAHNgY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Dvn//9T///8JMAAAAAkxAAAAAQv5///U////CTYAAAAJNwAAAAE3BgAAiwAAAAFcBgAAEgAAAAddBg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I+f//YP7//wb5BgAAIVRhYmxlLlZlbmRJbnZvaWNlVHJhbnMuRGF0YUFyZWFJZAmiAQAAAQX5//9g/v//BvwGAAAeVGFibGUuVmVuZEludm9pY2VUcmFucy5QdXJjaElECaUBAAABAvn//2D+//8G/wYAACBUYWJsZS5WZW5kSW52b2ljZVRyYW5zLkludm9pY2VJZAmoAQAAAf/4//9g/v//BgIHAAAdVGFibGUuVmVuZEludm9pY2VUcmFucy5JdGVtSWQJqwEAAAH8+P//YP7//wYFBwAAIlRhYmxlLlZlbmRJbnZvaWNlVHJhbnMuSW52b2ljZURhdGUJrgEAAAH5+P//YP7//wYIBwAAGlRhYmxlLlZlbmRJbnZvaWNlVHJhbnMuUXR5CbEBAAAB9vj//2D+//8GCwcAACBUYWJsZS5WZW5kSW52b2ljZVRyYW5zLlB1cmNoVW5pdAm0AQAAAfP4//9g/v//Bg4HAAAhVGFibGUuVmVuZEludm9pY2VUcmFucy5QdXJjaFByaWNlCbcBAAAB8Pj//2D+//8GEQcAACFUYWJsZS5WZW5kSW52b2ljZVRyYW5zLkxpbmVBbW91bnQJugEAAAHt+P//YP7//wYUBwAAI1RhYmxlLlZlbmRJbnZvaWNlVHJhbnMuQ3VycmVuY3lDb2RlCb0BAAAB6vj//2D+//8GFwcAABxUYWJsZS5WZW5kSW52b2ljZVRyYW5zLlJlY0lkCcABAAAHXwY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ef4//8//v//BhoHAAAiVGFibGUuVmVuZEludm9pY2VUcmFucy5JbnZvaWNlRGF0ZQmsBgAAB2EG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T4///U////CTAAAAAJMQAAAAHh+P//1P///wk2AAAACTcAAAABYgYAAIsAAAAHg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P///Pz//wkLBgAACagFAAAB2/j///z8//8JDgYAAAmnBQAAB4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j///z8//8JcAYAAAYqBwAABlN0cmluZwHV+P///Pz//wlzBgAABi0HAAAMVmVuZG9yIGdyb3VwB4Y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vj///z8//8JCwYAAAnCBQAAAc/4///8/P//CQ4GAAAJwQUAAAeI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4///8/P//CQsGAAAJ0gUAAAHJ+P///Pz//wkOBgAACdEFAAAHi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+P///Pz//wlwBgAACdEFAAABw/j///z8//8JcwYAAAnSBQAAAcD4///8/P//CXYGAAAGQgcAAAo9V2FyZWhvdXNlB4w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j///z8//8JCwYAAAnsBQAAAbr4///8/P//CQ4GAAAJ6wUAAAeO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4///8/P//CXAGAAAGSwcAAARFbnVtAbT4///8/P//CXMGAAAGTgcAAAlJdGVtIHR5cGUBsfj///z8//8JdgYAAAZRBwAACT1JdGVtVHlwZQGXBgAAogEAAAGu+P//N/////////8ABlMHAAAEUmVhbAZUBwAACERpc2NvdW50CUECAAABqvj//zX///8CAAAAAan4///L/f//AQAAAAAACUQCAAAGWQcAAApEaXNjQW1vdW50CQgAAAAK/////wlEAgAACglZBwAACgoKCQgAAAAJXgcAAAkIAAAAAZoGAACiAQAAAaD4//83/////////wAGYQcAAARSZWFsBmIHAAAKRGlzYy4gcGN0LglBAgAAAZz4//81////AgAAAAGb+P//y/3//wEAAAAAAAlEAgAABmcHAAALRGlzY1BlcmNlbnQJCAAAAAr/////CUQCAAAKCWcHAAAKCgoJCAAAAAlsBwAACQgAAAABoAYAAKIBAAABkvj//zf/////////AAZvBwAABFJlYWwGcAcAAApQcmljZSB1bml0CUECAAABjvj//zX///8CAAAAAY34///L/f//AQAAAAAACUQCAAAGdQcAAAlQcmljZVVuaXQJCAAAAAr/////CUQCAAAKCXUHAAAKCgoJCAAAAAl6BwAACQgAAAABrAYAAMMBAAAJRAIAAAnLAgAACQgAAAAGfwcAABgwOC4wMS4yMDE3IC4uIDA4LjMxLjIwMTf/////CUQCAAAKCcsCAAAKCgoJCAAAAAmDBwAACQgAAAABxwYAAMMBAAAJRAIAAAaGBwAACkRhdGFBcmVhSWQJCAAAAAkIAAAA/////wlEAgAACgmGBwAACgoKCQgAAAAJiwcAAAkIAAAAAcoGAADDAQAACUQCAAAJywIAAAkIAAAACQgAAAD/////CUQCAAAKCcsCAAAKCgoJCAAAAAmTBwAACQgAAAABzQYAAMMBAAAJRAIAAAaWBwAACUludm9pY2VJZAkIAAAACQgAAAD/////CUQCAAAKCZYHAAAKCgoJCAAAAAmbBwAACQgAAAAB0AYAAMMBAAAJRAIAAAaeBwAABkl0ZW1JZAkIAAAACQgAAAD/////CUQCAAAKCZ4HAAAKCgoJCAAAAAmjBwAACQgAAAAB0wYAAMMBAAAJRAIAAAamBwAAB1B1cmNoSUQJCAAAAAkIAAAA/////wlEAgAACgmmBwAACgoKCQgAAAAJqwcAAAkIAAAABF4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wAAAAnyAQAAAwAAAAmuBwAABGw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wAAAAnyAQAAAwAAAAmwBwAABHo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wAAAAnyAQAAAwAAAAmyBwAABIM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yAQAAAwAAAAm0BwAAAYsHAAAQAAAAAAAAAAnyAQAAAAAAAAGTBwAAEAAAAAAAAAAJ8gEAAAAAAAABmwcAABAAAAAAAAAACfIBAAAAAAAAAaMHAAAQAAAAAAAAAAnyAQAAAAAAAAGrBwAAEAAAAAAAAAAJ8gEAAAAAAAAHrg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+P///Pz//wkXBgAACVUGAAABR/j///z8//8JGgYAAAlUBwAAAUT4///8/P//CR0GAAAJUwcAAAew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4///8/P//CRcGAAAGwQcAABVSZW1pc2UgZW4gcG91cmNlbnRhZ2UBPvj///z8//8JGgYAAAliBwAAATv4///8/P//CR0GAAAJYQcAAAey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j4///8/P//CRcGAAAGygcAADFOb21icmUgZCd1bml0w6lzIHBvdXIgbGVxdWVsIGxlIHByaXggZXN0IGluZGlxdcOpATX4///8/P//CRoGAAAJcAcAAAEy+P///Pz//wkdBgAACW8HAAAHt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+P///Pz//wkdBgAABtMHAAAERGF0ZQEs+P///Pz//wkaBgAABtYHAAAERGF0ZQEp+P///Pz//wbYBwAACFJlZmVyc1RvCXcGAAAL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QAAAAE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SMAAAAMJ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kAAAACAIAAAAGJQAAABVBdGxhc1JlcG9ydF8yX1RhYmxlXzEJJ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JAAAAAgICSc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oAAAACSkAAAAJKgAAAAYrAAAACkRhdGFBcmVhSWQGLAAAABBDb21wYW55IGFjY291bnRzBi0AAAAGU3RyaW5nBi4AAAAABi8AAAAkYjk4NjQ1MTQtNzZkZS00MWM1LWExYjAtODYyNzBjZmIxZTI0BdD///8tR2xvYmVTb2Z0d2FyZS5BdGxhczQwLkF0bGFzQ29tbW9uLkFnZ3JlZ2F0aW9uAQAAAAd2YWx1ZV9fAAgOAAAA/////wAAAAAFz////yxHbG9iZVNvZnR3YXJlLkF0bGFzNDAuQXRsYXNDb21tb24uQ29sdW1uVHlwZQEAAAAHdmFsdWVfXwAIDgAAAAAAAAAFzv///ytHbG9iZVNvZnR3YXJlLkF0bGFzNDAuQXRsYXNDb21tb24uU29ydE9yZGVyAQAAAAd2YWx1ZV9fAAgOAAAAAgAAAAAAAAAABc3///9AR2xvYmVTb2Z0d2FyZS5BdGxhczQwLkF0bGFzQ29tbW9uLlR5cGUuQ29sdW1uK0Nyb3NzVGFiQ29sdW1uVHlwZQEAAAAHdmFsdWVfXwAIDgAAAAAAAAAKAQAAAAAAAAAAAAAAAAAGNAAAACQ0NTM2OGI3YS1jY2Q1LTQwZmEtYmVjYi00NDVjMWE0Y2ViNzEGNQAAACFUYWJsZS5WZW5kSW52b2ljZVRyYW5zLkRhdGFBcmVhSWQKCgoKARUAAAAUAAAACTYAAAAJNwAAAAk4AAAABjkAAAAMT3JkZXJBY2NvdW50BjoAAAAOVmVuZG9yIGFjY291bnQGOwAAAAZTdHJpbmcJLgAAAAY9AAAAJDhmNGZjM2FjLTc5NjgtNDczMS1hZmE0LTIxYjdkMzMxYzc2YQHC////0P////////8BAAAAAcH////P////AAAAAAHA////zv///wIAAAAAAAAAAAG/////zf///wAAAAAKAQAAAAAAAAAAAQAAAAAGQgAAACQ3MzdlMDdjOC04MGQ3LTQ3MGQtYmZkYi1hZDlkZDg0OGViNGMGQwAAAElUYWJsZS5WZW5kSW52b2ljZVRyYW5zLlZlbmRJbnZvaWNlSm91cn5UYWJsZS5WZW5kSW52b2ljZUpvdXIuT3JkZXJBY2NvdW50CgoKCgEWAAAAFAAAAAlEAAAACUUAAAAJRgAAAAZHAAAABE5hbWUGSAAAAAROYW1lBkkAAAAGU3RyaW5nCS4AAAAGSwAAACQ1MGE4YmJkZi0xZDI1LTQ4YmEtOWY3Zi0zNWEzMmM2ODBjMDUBtP///9D/////////AgAAAAGz////z////wAAAAABsv///87///8CAAAAAAAAAAABsf///83///8AAAAACgEAAAAAAAAAAAIAAAAABlAAAAAkNGUwODY4YTEtYjdiOS00OTcxLTk3MTctNzkzY2ZhMTU1MWVlBlEAAABeVGFibGUuVmVuZEludm9pY2VUcmFucy5WZW5kSW52b2ljZUpvdXJ+VGFibGUuVmVuZEludm9pY2VKb3VyLk9yZGVyQWNjb3VudH5UYWJsZS5WZW5kVGFibGUuTmFtZQoKCgoBFwAAABQAAAAJUgAAAAlTAAAACVQAAAAGVQAAAAdQdXJjaElEBlYAAAAOUHVyY2hhc2Ugb3JkZXIGVwAAAAZTdHJpbmcJLgAAAAZZAAAAJDA2YWYzOGJlLWNkYWUtNDI0OS1hYTI2LTc5NzQwYWMyNTVkNQGm////0P////////8DAAAAAaX////P////AAAAAAGk////zv///wIAAAAAAAAAAAGj////zf///wAAAAAKAQAAAAAAAAAAAwAAAAAGXgAAACRhNWVkMjlkOS1hYzJlLTRhYjQtOTJmNi0xNWZjNmJhNDk2ZjYGXwAAAB5UYWJsZS5WZW5kSW52b2ljZVRyYW5zLlB1cmNoSUQKCgoKARgAAAAUAAAACWAAAAAJYQAAAAliAAAABmMAAAAJSW52b2ljZUlkBmQAAAAHSW52b2ljZQZlAAAABlN0cmluZwkuAAAABmcAAAAkN2Y1NzI2YTgtMTg2Mi00YzkzLTliM2YtNDcxM2E4NzNhOTRhAZj////Q/////////wQAAAABl////8////8AAAAAAZb////O////AgAAAAAAAAAAAZX////N////AAAAAAoBAAAAAAAAAAAEAAAAAAZsAAAAJDk0NzRmYmZmLTc2YTYtNDMyNy04MzU0LWI1YzQwOTdhZTYyMQZtAAAAIFRhYmxlLlZlbmRJbnZvaWNlVHJhbnMuSW52b2ljZUlkCgoKCgEZAAAAFAAAAAluAAAACW8AAAAJcAAAAAZxAAAADkludmVudExvY2F0aW9uBnIAAAAJV2FyZWhvdXNlBnMAAAAGU3RyaW5nCS4AAAAGdQAAACQ1NjI1NDNmOS1kOWMyLTQ0YTktYTAwYy1lNWQzYzQzMjg5MjgBiv///9D/////////BQAAAAGJ////z////wAAAAABiP///87///8CAAAAAAAAAAABh////83///8AAAAACgEAAAAAAAAAAAUAAAAABnoAAAAkNDQ3ZWFlY2QtNjAzNi00NGJmLTg0OTAtZGM2N2MzNWRhZGFhBnsAAABoVGFibGUuVmVuZEludm9pY2VUcmFucy5WZW5kSW52b2ljZUpvdXJ+VGFibGUuVmVuZEludm9pY2VKb3VyLk9yZGVyQWNjb3VudH5UYWJsZS5WZW5kVGFibGUuSW52ZW50TG9jYXRpb24KCgoKARoAAAAUAAAACXwAAAAJfQAAAAl+AAAABn8AAAAGSXRlbUlkBoAAAAAESXRlbQaBAAAABlN0cmluZwkuAAAABoMAAAAkMzkxMmZiNTItYmRkYi00NjMxLThjOGEtODMwMjA5NTY4NzMwAXz////Q/////////wYAAAABe////8////8AAAAAAXr////O////AgAAAAAAAAAAAXn////N////AAAAAAoBAAAAAAAAAAAGAAAAAAaIAAAAJGI4NjU5NTIxLTYxNWItNDA4OS04NjVkLWI4YTNjMmE5Mzg4YQaJAAAAHVRhYmxlLlZlbmRJbnZvaWNlVHJhbnMuSXRlbUlkCgoKCgEbAAAAFAAAAAmKAAAACYsAAAAJjAAAAAaNAAAACEl0ZW1OYW1lBo4AAAAJSXRlbSBuYW1lBo8AAAAGU3RyaW5nCS4AAAAGkQAAACRmYzFhODNmNC1kMTA0LTQ1N2QtOTVlMi02MmU2NWY4ZTg4NDgBbv///9D/////////BwAAAAFt////z////wAAAAABbP///87///8CAAAAAAAAAAABa////83///8AAAAACgEAAAAAAAAAAAcAAAAABpYAAAAkYmMyOWUxODItODhiOC00MTA0LWE5NDktYzAyMjBmNTBlNGY0BpcAAAA4VGFibGUuVmVuZEludm9pY2VUcmFucy5JdGVtSWR+VGFibGUuSW52ZW50VGFibGUuSXRlbU5hbWUKCgoKARwAAAAUAAAACZgAAAAJmQAAAAmaAAAABpsAAAALSW52b2ljZURhdGUGnAAAAAREYXRlBp0AAAAERGF0ZQkuAAAABp8AAAAkYjYzNjQwYzAtMjYwMS00YjYxLWEyMmUtNzI3OGM1Mzk3YjEzAWD////Q/////////wgAAAABX////8////8AAAAAAV7////O////AgAAAAAAAAAAAV3////N////AAAAAAoBAAAAAAAAAAAIAAAAAAakAAAAJGFjNGQ3OTNlLWUwZDUtNDVhOC05MjE4LTU5MmEyOTg0ZmJiZgalAAAAIlRhYmxlLlZlbmRJbnZvaWNlVHJhbnMuSW52b2ljZURhdGUKCgoKAR0AAAAUAAAACaYAAAAJpwAAAAmoAAAABqkAAAADUXR5BqoAAAAIUXVhbnRpdHkGqwAAAARSZWFsCS4AAAAGrQAAACQ5OGFkMzY3NS00ZDVlLTRjYWMtYjQyZi0xMGU3MWMzODgxMjIBUv///9D///8BAAAACQAAAAFR////z////wAAAAABUP///87///8CAAAAAAAAAAABT////83///8AAAAACgEAAAAAAAAAAAkAAAAABrIAAAAkYWIwZTUzOTQtMTVhOS00NGI2LWEzMjgtN2RhY2ZlMTEwMzg2BrMAAAAaVGFibGUuVmVuZEludm9pY2VUcmFucy5RdHkKCgoKAR4AAAAUAAAACbQAAAAJtQAAAAm2AAAABrcAAAAJUHVyY2hVbml0BrgAAAAEVW5pdAa5AAAABlN0cmluZwkuAAAABrsAAAAkOTFjZjMzZjUtY2EzZS00YWU2LTljOGYtY2IxNDczN2FlMmNlAUT////Q/////////woAAAABQ////8////8AAAAAAUL////O////AgAAAAAAAAAAAUH////N////AAAAAAoBAAAAAAAAAAAKAAAAAAbAAAAAJDEzOGUyYWU5LWQ5MDQtNDg0Yy1iNTM2LWIwMDA2NmIxZTQ4MQbBAAAAIFRhYmxlLlZlbmRJbnZvaWNlVHJhbnMuUHVyY2hVbml0CgoKCgEfAAAAFAAAAAnCAAAACcMAAAAJxAAAAAbFAAAAClB1cmNoUHJpY2UGxgAAAApVbml0IHByaWNlBscAAAAEUmVhbAkuAAAABskAAAAkMzRmNmQyYjItNDIwOC00ZjU2LTkxOGYtNTVhY2Y4MDEyNmZkATb////Q////AQAAAAsAAAABNf///8////8AAAAAATT////O////AgAAAAAAAAAAATP////N////AAAAAAoBAAAAAAAAAAALAAAAAAbOAAAAJDFkZjUwOGYxLWIyMTctNDJkZC1hNDJiLWU2ZWY2YjBiMzRiYgbPAAAAIVRhYmxlLlZlbmRJbnZvaWNlVHJhbnMuUHVyY2hQcmljZQoKCgoBIAAAABQAAAAJ0AAAAAnRAAAACdIAAAAG0wAAAApMaW5lQW1vdW50BtQAAAAGQW1vdW50BtUAAAAEUmVhbAkuAAAABtcAAAAkMzMyM2I4ZWItYTFlYi00ZWIzLTkwN2ItNWQyMjg5MWFiZDNlASj////Q////AQAAAAwAAAABJ////8////8AAAAAASb////O////AgAAAAAAAAAAASX////N////AAAAAAoBAAAAAAAAAAAMAAAAAAbcAAAAJGE2MGUyOGRhLWVmMWItNDRjMi1hNWI4LTFjN2M3OGU0OGU3NQbdAAAAIVRhYmxlLlZlbmRJbnZvaWNlVHJhbnMuTGluZUFtb3VudAoKCgoBIQAAABQAAAAJ3gAAAAnfAAAACeAAAAAG4QAAAAxDdXJyZW5jeUNvZGUG4gAAAAhDdXJyZW5jeQbjAAAABlN0cmluZwkuAAAABuUAAAAkNzhjYTRkYWQtNjc2Yy00NjJiLWIxN2MtYTE2MzNiOTVkMDRhARr////Q/////////w0AAAABGf///8////8AAAAAARj////O////AgAAAAAAAAAAARf////N////AAAAAAoBAAAAAAAAAAANAAAAAAbqAAAAJDFmMjhhY2QzLWVmNWMtNDZlOC1iOTkwLWExZDI1Y2YzNmYzNAbrAAAAI1RhYmxlLlZlbmRJbnZvaWNlVHJhbnMuQ3VycmVuY3lDb2RlCgoKCgEiAAAAFAAAAAnsAAAACe0AAAAJ7gAAAAbvAAAABVJlY0lkBvAAAAAMUmVjSWQgY29sdW1uBvEAAAAFSW50NjQJLgAAAAbzAAAAJDM5YjljOTJmLWVkMWEtNGRhMi1hZmE3LWVlOGU4ZTUyOGFlMAEM////0P////////8OAAAAAQv////P////AAAAAAEK////zv///wIAAAAAAAAAAAEJ////zf///wAAAAAKAQAAAAAAAAAADgAAAAAG+AAAACQ5ODJkYWQ2YS1mNjIyLTQyZWMtYmJmYi1kMzRlN2NmYWE1ZTIG+QAAABxUYWJsZS5WZW5kSW52b2ljZVRyYW5zLlJlY0lkCgoKCgEjAAAAFAAAAAn6AAAACfsAAAAJ/AAAAAb9AAAAN0F0bGFzTWFuYWdlZENvbHVtbl82ZTA4Y2Q4Ni0yNWIwLTQzZWMtYWZjNS0yYzQyOGY2NDMyZmEG/gAAAApUUFAgQW1vdW50CS4AAAAJLgAAAAYAAQAAJGZkOTZjMTVkLTkyNjQtNDZiNi04ZGJjLTJjYWIzYzU1YjI4ZAH//v//0P///wEAAAAPAAAAAf7+///P////AgAAAAH9/v//zv///wIAAAAAAAAAAAH8/v//zf///wAAAAAKAQAAAAAAAAAADwAAAAAGBQEAACQ5MjE5ZTliMS0zYWIwLTRiYWQtOTFhYi1iZmRhNDgzMmU3NjUJLgAAAAoKCgoFJgAAADhHbG9iZVNvZnR3YXJlLkF0bGFzNDAuQXRsYXNDb21tb25DbGllbnQuUmVwb3J0LlJlZmVyZW5jZQEAAAAKX3JlZmVyZW5jZQcIJAAAAAkHAQAABycAAAAAAQAAAAgAAAAEPEdsb2JlU29mdHdhcmUuQXRsYXM0MC5BdGxhc0NvbW1vbkNsaWVudC5EYXRhU291cmNlRmllbGRWYWx1ZSQAAAAJCAEAAAkJAQAACQoBAAAJCwEAAAkMAQAACQ0BAAANAgQ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kOAQAAAQAAAAEAAAAEK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XAAAACQ8BAAAHAAAACRABAAAEK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REBAAAHAAAACRIBAAABNgAAACgAAAAJEwEAAAEAAAABAAAAATcAAAApAAAAUAAAAAkPAQAABwAAAAkVAQAAATgAAAAqAAAATQAAAAkRAQAABwAAAAkXAQAAAUQAAAAoAAAACRgBAAABAAAAAQAAAAFFAAAAKQAAAFAAAAAJDwEAAAcAAAAJGgEAAAFGAAAAKgAAAE0AAAAJEQEAAAcAAAAJHAEAAAFSAAAAKAAAAAkdAQAAAQAAAAEAAAABUwAAACkAAABnAAAACR4BAAAHAAAACR8BAAABVAAAACoAAABiAAAACSABAAAHAAAACSEBAAABYAAAACgAAAAJIgEAAAEAAAABAAAAAWEAAAApAAAAZgAAAAkeAQAABwAAAAkkAQAAAWIAAAAqAAAAYgAAAAkgAQAABwAAAAkmAQAAAW4AAAAoAAAACScBAAABAAAAAQAAAAFvAAAAKQAAAEkAAAAJDwEAAAcAAAAJKQEAAAFwAAAAKgAAAEYAAAAJEQEAAAcAAAAJKwEAAAF8AAAAKAAAAAksAQAAAQAAAAEAAAABfQAAACkAAABmAAAACR4BAAAHAAAACS4BAAABfgAAACoAAABiAAAACSABAAAHAAAACTABAAABigAAACgAAAAJMQEAAAEAAAABAAAAAYsAAAApAAAASQAAAAkPAQAABwAAAAkzAQAAAYwAAAAqAAAARgAAAAkRAQAABwAAAAk1AQAAAZgAAAAoAAAACTYBAAABAAAAAQAAAAGZAAAAKQAAAEkAAAAJDwEAAAcAAAAJOAEAAAGaAAAAKgAAAEYAAAAJEQEAAAcAAAAJOgEAAAGmAAAAKAAAAAk7AQAAAQAAAAEAAAABpwAAACkAAABmAAAACR4BAAAHAAAACT0BAAABqAAAACoAAABiAAAACSABAAAHAAAACT8BAAABtAAAACgAAAAJQAEAAAEAAAABAAAAAbUAAAApAAAASQAAAAkPAQAABwAAAAlCAQAAAbYAAAAqAAAARgAAAAkRAQAABwAAAAlEAQAAAcIAAAAoAAAACUUBAAABAAAAAQAAAAHDAAAAKQAAAEkAAAAJDwEAAAcAAAAJRwEAAAHEAAAAKgAAAEYAAAAJEQEAAAcAAAAJSQEAAAHQAAAAKAAAAAlKAQAAAQAAAAEAAAAB0QAAACkAAABmAAAACR4BAAAHAAAACUwBAAAB0gAAACoAAABiAAAACSABAAAHAAAACU4BAAAB3gAAACgAAAAJTwEAAAEAAAABAAAAAd8AAAApAAAAQgAAAAkPAQAABwAAAAlRAQAAAeAAAAAqAAAAPwAAAAkRAQAABwAAAAlTAQAAAewAAAAoAAAACVQBAAABAAAAAQAAAAHtAAAAKQAAAEIAAAAJDwEAAAcAAAAJVgEAAAHuAAAAKgAAAD8AAAAJEQEAAAcAAAAJWAEAAAH6AAAAKAAAAAlZAQAAAAAAAAAAAAAB+wAAACkAAABGAAAACQ8BAAAHAAAACVsBAAAB/AAAACoAAAA/AAAACREBAAAHAAAACV0BAAAPBwEAAAEAAAAIAQAAAAUIAQAAPEdsb2JlU29mdHdhcmUuQXRsYXM0MC5BdGxhc0NvbW1vbkNsaWVudC5EYXRhU291cmNlRmllbGRWYWx1ZQQAAAASX2lzRHJpbGxEb3duRmlsdGVyBl9kc0tleQpfZmllbGRuYW1lC19maWVsZFZhbHVlAAEBAQEkAAAAAAZeAQAAFlRhYmxlLlZlbmRJbnZvaWNlVHJhbnMGXwEAAApEYXRhQXJlYUlkCQYAAAABCQEAAAgBAAAACV4BAAAGYgEAAAtJbnZvaWNlRGF0ZQZjAQAAGDA1LjAxLjIwMTcgLi4gMDguMzEuMjAxNwEKAQAACAEAAAAJXgEAAAZlAQAABkl0ZW1JZAZmAQAAASoBCwEAAAgBAAAABmcBAAA8VGFibGUuVmVuZEludm9pY2VUcmFucy5WZW5kSW52b2ljZUpvdXJ+VGFibGUuVmVuZEludm9pY2VKb3VyBmgBAAAJVmVuZEdyb3VwBmkBAAADSUMqAQwBAAAIAQAAAAZqAQAAWVRhYmxlLlZlbmRJbnZvaWNlVHJhbnMuVmVuZEludm9pY2VKb3VyflRhYmxlLlZlbmRJbnZvaWNlSm91ci5PcmRlckFjY291bnR+VGFibGUuVmVuZFRhYmxlBmsBAAAOSW52ZW50TG9jYXRpb24GbAEAAAshSUMtVHJhbnNpdAENAQAACAEAAAAGbQEAAC9UYWJsZS5WZW5kSW52b2ljZVRyYW5zLkl0ZW1JZH5UYWJsZS5JbnZlbnRUYWJsZQZuAQAACEl0ZW1UeXBlBm8BAAABKgcOAQAAAAEAAAAEAAAABDdHbG9iZVNvZnR3YXJlLkF0bGFzNDAuQXRsYXNDb21tb24uVHlwZS5GaWVsZE91dHB1dEZpZWxkDgAAAAlwAQAADQMEDw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E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I/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jv7//zJHbG9iZVNvZnR3YXJlLkF0bGFzNDAuQXRsYXNDb21tb24uQ29sdW1uQXR0cmlidXRlcwEAAAAHdmFsdWVfXwAIDgAAAAkAAAAJLgAAAAGM/v//j/7//wGL/v//jv7//wsAAAAGdgEAAAEwAYn+//+P/v//AYj+//+O/v//BAAAAAZ5AQAAB0dlbmVyYWwBhv7//4/+//8Bhf7//47+//8CAAAABnwBAAABMQGD/v//j/7//wGC/v//jv7//wAAAAAGfwEAAAQ2LjE0AREBAAAMAAAABx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gP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BAQAACEZvbnRCb2xkBoIBAAAFRmFsc2UBff7//4D+//8GhAEAAApGb250SXRhbGljCYIBAAABev7//4D+//8GhwEAAA1Gb250VW5kZXJsaW5lBogBAAAFLTQxNDIBd/7//4D+//8GigEAAAhGb250TmFtZQaLAQAAB0NhbGlicmkBdP7//4D+//8GjQEAAAlGb250Q29sb3IGjgEAAAEwAXH+//+A/v//BpABAAAIRm9udFNpemUGkQEAAAIxMQFu/v//gP7//waTAQAACUZvbnRTdHlsZQaUAQAAB1JlZ3VsYXIHEwEAAAABAAAABAAAAAQ3R2xvYmVTb2Z0d2FyZS5BdGxhczQwLkF0bGFzQ29tbW9uLlR5cGUuRmllbGRPdXRwdXRGaWVsZA4AAAAJlQEAAA0DBx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v//j/7//wFp/v//jv7//wkAAAAJLgAAAAFn/v//j/7//wFm/v//jv7//wsAAAAGmwEAAAExAWT+//+P/v//AWP+//+O/v//BAAAAAaeAQAAB0dlbmVyYWwBYf7//4/+//8BYP7//47+//8CAAAABqEBAAABMQFe/v//j/7//wFd/v//jv7//wAAAAAGpAEAAAUxMy4xNA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+//+A/v//CYEBAAAJggEAAAFY/v//gP7//wmEAQAACYIBAAABVf7//4D+//8JhwEAAAatAQAABS00MTQyAVL+//+A/v//CYoBAAAGsAEAAAdDYWxpYnJpAU/+//+A/v//CY0BAAAGswEAAAEwAUz+//+A/v//CZABAAAGtgEAAAIxMQFJ/v//gP7//wmTAQAABrkBAAAHUmVndWxhcgcYAQAAAAEAAAAEAAAABDdHbG9iZVNvZnR3YXJlLkF0bGFzNDAuQXRsYXNDb21tb24uVHlwZS5GaWVsZE91dHB1dEZpZWxkDgAAAAm6AQAADQMHG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X+//+P/v//AUT+//+O/v//CQAAAAkuAAAAAUL+//+P/v//AUH+//+O/v//CwAAAAbAAQAAATIBP/7//4/+//8BPv7//47+//8EAAAABsMBAAAHR2VuZXJhbAE8/v//j/7//wE7/v//jv7//wIAAAAGxgEAAAExATn+//+P/v//ATj+//+O/v//AAAAAAbJAQAABTE4LjU3Bx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7//4D+//8JgQEAAAmCAQAAATP+//+A/v//CYQBAAAJggEAAAEw/v//gP7//wmHAQAABtIBAAAFLTQxNDIBLf7//4D+//8JigEAAAbVAQAAB0NhbGlicmkBKv7//4D+//8JjQEAAAbYAQAAATABJ/7//4D+//8JkAEAAAbbAQAAAjExAST+//+A/v//CZMBAAAG3gEAAAdSZWd1bGFyBx0BAAAAAQAAAAQAAAAEN0dsb2JlU29mdHdhcmUuQXRsYXM0MC5BdGxhc0NvbW1vbi5UeXBlLkZpZWxkT3V0cHV0RmllbGQOAAAACd8BAAANAwEeAQAADwEAAAcf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P7//4/+//8BH/7//47+//8GAAAABuIBAAAFVG90YWwBHf7//4/+//8BHP7//47+//8QAAAABuUBAAAETm9uZQEa/v//j/7//wEZ/v//jv7//wkAAAAJLgAAAAEX/v//j/7//wEW/v//jv7//wsAAAAG6wEAAAEzART+//+P/v//ARP+//+O/v//BAAAAAbuAQAAB0dlbmVyYWwBEf7//4/+//8BEP7//47+//8CAAAABvEBAAABMQEO/v//j/7//wEN/v//jv7//wAAAAAG9AEAAAIxNgEgAQAADAAAAAc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+A/v//BvYBAAAIRm9udEJvbGQJggEAAAEI/v//gP7//wb5AQAACkZvbnRJdGFsaWMJggEAAAEF/v//gP7//wb8AQAADUZvbnRVbmRlcmxpbmUG/QEAAAUtNDE0MgEC/v//gP7//wb/AQAACEZvbnROYW1lBgACAAAHQ2FsaWJyaQH//f//gP7//wYCAgAACUZvbnRDb2xvcgYDAgAAATAB/P3//4D+//8GBQIAAAhGb250U2l6ZQYGAgAAAjExAfn9//+A/v//BggCAAAJRm9udFN0eWxlBgkCAAAHUmVndWxhcgciAQAAAAEAAAAEAAAABDdHbG9iZVNvZnR3YXJlLkF0bGFzNDAuQXRsYXNDb21tb24uVHlwZS5GaWVsZE91dHB1dEZpZWxkDgAAAAkKAgAADQMHJ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X9//+P/v//AfT9//+O/v//EAAAAAnlAQAAAfL9//+P/v//AfH9//+O/v//CQAAAAkuAAAAAe/9//+P/v//Ae79//+O/v//CwAAAAYTAgAAATQB7P3//4/+//8B6/3//47+//8EAAAABhYCAAAHR2VuZXJhbAHp/f//j/7//wHo/f//jv7//wIAAAAGGQIAAAExAeb9//+P/v//AeX9//+O/v//AAAAAAYcAgAAATkHJ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f//gP7//wn2AQAACYIBAAAB4P3//4D+//8J+QEAAAmCAQAAAd39//+A/v//CfwBAAAGJQIAAAUtNDE0MgHa/f//gP7//wn/AQAABigCAAAHQ2FsaWJyaQHX/f//gP7//wkCAgAABisCAAABMAHU/f//gP7//wkFAgAABi4CAAACMTEB0f3//4D+//8JCAIAAAYxAgAAB1JlZ3VsYXIHJwEAAAABAAAABAAAAAQ3R2xvYmVTb2Z0d2FyZS5BdGxhczQwLkF0bGFzQ29tbW9uLlR5cGUuRmllbGRPdXRwdXRGaWVsZA4AAAAJMgIAAA0DBy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N/f//j/7//wHM/f//jv7//wkAAAAJLgAAAAHK/f//j/7//wHJ/f//jv7//wsAAAAGOAIAAAE1Acf9//+P/v//Acb9//+O/v//BAAAAAY7AgAAB0dlbmVyYWwBxP3//4/+//8Bw/3//47+//8CAAAABj4CAAABMQHB/f//j/7//wHA/f//jv7//wAAAAAGQQIAAAUxMi44Ngc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79//+A/v//CYEBAAAJggEAAAG7/f//gP7//wmEAQAACYIBAAABuP3//4D+//8JhwEAAAZKAgAABS00MTQyAbX9//+A/v//CYoBAAAGTQIAAAdDYWxpYnJpAbL9//+A/v//CY0BAAAGUAIAAAEwAa/9//+A/v//CZABAAAGUwIAAAIxMQGs/f//gP7//wmTAQAABlYCAAAHUmVndWxhcgcsAQAAAAEAAAAEAAAABDdHbG9iZVNvZnR3YXJlLkF0bGFzNDAuQXRsYXNDb21tb24uVHlwZS5GaWVsZE91dHB1dEZpZWxkDgAAAAlXAgAADQMHL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j9//+P/v//Aaf9//+O/v//EAAAAAnlAQAAAaX9//+P/v//AaT9//+O/v//CQAAAAkuAAAAAaL9//+P/v//AaH9//+O/v//CwAAAAZgAgAAATYBn/3//4/+//8Bnv3//47+//8EAAAABmMCAAAHR2VuZXJhbAGc/f//j/7//wGb/f//jv7//wIAAAAGZgIAAAExAZn9//+P/v//AZj9//+O/v//AAAAAAZpAgAABDYuNzE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f//gP7//wn2AQAACYIBAAABk/3//4D+//8J+QEAAAmCAQAAAZD9//+A/v//CfwBAAAGcgIAAAUtNDE0MgGN/f//gP7//wn/AQAABnUCAAAHQ2FsaWJyaQGK/f//gP7//wkCAgAABngCAAABMAGH/f//gP7//wkFAgAABnsCAAACMTEBhP3//4D+//8JCAIAAAZ+AgAAB1JlZ3VsYXIHMQEAAAABAAAABAAAAAQ3R2xvYmVTb2Z0d2FyZS5BdGxhczQwLkF0bGFzQ29tbW9uLlR5cGUuRmllbGRPdXRwdXRGaWVsZA4AAAAJfw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A/f//j/7//wF//f//jv7//wkAAAAJLgAAAAF9/f//j/7//wF8/f//jv7//wsAAAAGhQIAAAE3AXr9//+P/v//AXn9//+O/v//BAAAAAaIAgAAB0dlbmVyYWwBd/3//4/+//8Bdv3//47+//8CAAAABosCAAABMQF0/f//j/7//wFz/f//jv7//wAAAAAGjgIAAAUyOS4xNA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9//+A/v//CYEBAAAJggEAAAFu/f//gP7//wmEAQAACYIBAAABa/3//4D+//8JhwEAAAaXAgAABS00MTQyAWj9//+A/v//CYoBAAAGmgIAAAdDYWxpYnJpAWX9//+A/v//CY0BAAAGnQIAAAEwAWL9//+A/v//CZABAAAGoAIAAAIxMQFf/f//gP7//wmTAQAABqMCAAAHUmVndWxhcgc2AQAAAAEAAAAEAAAABDdHbG9iZVNvZnR3YXJlLkF0bGFzNDAuQXRsYXNDb21tb24uVHlwZS5GaWVsZE91dHB1dEZpZWxkDgAAAAmk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v9//+P/v//AVr9//+O/v//CQAAAAkuAAAAAVj9//+P/v//AVf9//+O/v//CwAAAAaqAgAAATgBVf3//4/+//8BVP3//47+//8EAAAABq0CAAAIbS9kL3l5eXkBUv3//4/+//8BUf3//47+//8CAAAABrACAAABMQFP/f//j/7//wFO/f//jv7//wAAAAAGswIAAAE5Bz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3//4D+//8JgQEAAAmCAQAAAUn9//+A/v//CYQBAAAJggEAAAFG/f//gP7//wmHAQAABrwCAAAFLTQxNDIBQ/3//4D+//8JigEAAAa/AgAAB0NhbGlicmkBQP3//4D+//8JjQEAAAbCAgAAATABPf3//4D+//8JkAEAAAbFAgAAAjExATr9//+A/v//CZMBAAAGyAIAAAdSZWd1bGFyBzsBAAAAAQAAAAQAAAAEN0dsb2JlU29mdHdhcmUuQXRsYXM0MC5BdGxhc0NvbW1vbi5UeXBlLkZpZWxkT3V0cHV0RmllbGQOAAAACckCAAANAwc9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3//4/+//8BNf3//47+//8QAAAACeUBAAABM/3//4/+//8BMv3//47+//8JAAAACS4AAAABMP3//4/+//8BL/3//47+//8LAAAABtICAAABOQEt/f//j/7//wEs/f//jv7//wQAAAAG1QIAAC9fKCogIywjIzAuMDBfKTtfKCogKCMsIyMwLjAwKTtfKCogIi0iPz9fKTtfKEBfKQEq/f//j/7//wEp/f//jv7//wIAAAAG2AIAAAExASf9//+P/v//ASb9//+O/v//AAAAAAbbAgAABTEwLjI5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4D+//8J9gEAAAmCAQAAASH9//+A/v//CfkBAAAJggEAAAEe/f//gP7//wn8AQAABuQCAAAFLTQxNDIBG/3//4D+//8J/wEAAAbnAgAAB0NhbGlicmkBGP3//4D+//8JAgIAAAbqAgAAATABFf3//4D+//8JBQIAAAbtAgAAAjExARL9//+A/v//CQgCAAAG8AIAAAdSZWd1bGFyB0ABAAAAAQAAAAQAAAAEN0dsb2JlU29mdHdhcmUuQXRsYXM0MC5BdGxhc0NvbW1vbi5UeXBlLkZpZWxkT3V0cHV0RmllbGQOAAAACfECAAANAwd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v3//4/+//8BDf3//47+//8JAAAACS4AAAABC/3//4/+//8BCv3//47+//8LAAAABvcCAAACMTABCP3//4/+//8BB/3//47+//8EAAAABvoCAAAHR2VuZXJhbAEF/f//j/7//wEE/f//jv7//wIAAAAG/QIAAAExAQL9//+P/v//AQH9//+O/v//AAAAAAYAAwAABDYuNDM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//P//gP7//wmBAQAACYIBAAAB/Pz//4D+//8JhAEAAAmCAQAAAfn8//+A/v//CYcBAAAGCQMAAAUtNDE0MgH2/P//gP7//wmKAQAABgwDAAAHQ2FsaWJyaQHz/P//gP7//wmNAQAABg8DAAABMAHw/P//gP7//wmQAQAABhIDAAACMTEB7fz//4D+//8JkwEAAAYVAwAAB1JlZ3VsYXIHRQEAAAABAAAABAAAAAQ3R2xvYmVTb2Z0d2FyZS5BdGxhczQwLkF0bGFzQ29tbW9uLlR5cGUuRmllbGRPdXRwdXRGaWVsZA4AAAAJFgMAAA0DB0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P//j/7//wHo/P//jv7//wkAAAAJLgAAAAHm/P//j/7//wHl/P//jv7//wsAAAAGHAMAAAIxMQHj/P//j/7//wHi/P//jv7//wQAAAAGHwMAAC9fKCogIywjIzAuMDBfKTtfKCogKCMsIyMwLjAwKTtfKCogIi0iPz9fKTtfKEBfKQHg/P//j/7//wHf/P//jv7//wIAAAAGIgMAAAExAd38//+P/v//Adz8//+O/v//AAAAAAYlAwAABTExLjI5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z//4D+//8JgQEAAAmCAQAAAdf8//+A/v//CYQBAAAJggEAAAHU/P//gP7//wmHAQAABi4DAAAFLTQxNDIB0fz//4D+//8JigEAAAYxAwAAB0NhbGlicmkBzvz//4D+//8JjQEAAAY0AwAAATABy/z//4D+//8JkAEAAAY3AwAAAjExAcj8//+A/v//CZMBAAAGOgMAAAdSZWd1bGFyB0oBAAAAAQAAAAQAAAAEN0dsb2JlU29mdHdhcmUuQXRsYXM0MC5BdGxhc0NvbW1vbi5UeXBlLkZpZWxkT3V0cHV0RmllbGQOAAAACTsDAAANAwd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Pz//4/+//8Bw/z//47+//8QAAAACeUBAAABwfz//4/+//8BwPz//47+//8JAAAACS4AAAABvvz//4/+//8Bvfz//47+//8LAAAABkQDAAACMTIBu/z//4/+//8Buvz//47+//8EAAAABkcDAAAvXygqICMsIyMwLjAwXyk7XygqICgjLCMjMC4wMCk7XygqICItIj8/Xyk7XyhAXykBuPz//4/+//8Bt/z//47+//8CAAAABkoDAAABMQG1/P//j/7//wG0/P//jv7//wAAAAAGTQMAAAQ5LjcxB04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z//4D+//8J9gEAAAmCAQAAAa/8//+A/v//CfkBAAAJggEAAAGs/P//gP7//wn8AQAABlYDAAAFLTQxNDIBqfz//4D+//8J/wEAAAZZAwAAB0NhbGlicmkBpvz//4D+//8JAgIAAAZcAwAAATABo/z//4D+//8JBQIAAAZfAwAAAjExAaD8//+A/v//CQgCAAAGYgMAAAdSZWd1bGFyB08BAAAAAQAAAAQAAAAEN0dsb2JlU29mdHdhcmUuQXRsYXM0MC5BdGxhc0NvbW1vbi5UeXBlLkZpZWxkT3V0cHV0RmllbGQOAAAACWMDAAANAwdR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Pz//4/+//8Bm/z//47+//8JAAAACS4AAAABmfz//4/+//8BmPz//47+//8LAAAABmkDAAACMTMBlvz//4/+//8Blfz//47+//8EAAAABmwDAAAHR2VuZXJhbAGT/P//j/7//wGS/P//jv7//wIAAAAGbwMAAAExAZD8//+P/v//AY/8//+O/v//AAAAAAZyAwAABTEwLjQzB1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z//4D+//8JgQEAAAmCAQAAAYr8//+A/v//CYQBAAAJggEAAAGH/P//gP7//wmHAQAABnsDAAAFLTQxNDIBhPz//4D+//8JigEAAAZ+AwAAB0NhbGlicmkBgfz//4D+//8JjQEAAAaBAwAAATABfvz//4D+//8JkAEAAAaEAwAAAjExAXv8//+A/v//CZMBAAAGhwMAAAdSZWd1bGFyB1QBAAAAAQAAAAQAAAAEN0dsb2JlU29mdHdhcmUuQXRsYXM0MC5BdGxhc0NvbW1vbi5UeXBlLkZpZWxkT3V0cHV0RmllbGQOAAAACYgDAAANAwdW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z//4/+//8Bdvz//47+//8JAAAACS4AAAABdPz//4/+//8Bc/z//47+//8LAAAABo4DAAACMTQBcfz//4/+//8BcPz//47+//8EAAAABpEDAAAHR2VuZXJhbAFu/P//j/7//wFt/P//jv7//wIAAAAGlAMAAAExAWv8//+P/v//AWr8//+O/v//AAAAAAaXAwAABTE0LjQzB1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z//4D+//8JgQEAAAmCAQAAAWX8//+A/v//CYQBAAAJggEAAAFi/P//gP7//wmHAQAABqADAAAFLTQxNDIBX/z//4D+//8JigEAAAajAwAAB0NhbGlicmkBXPz//4D+//8JjQEAAAamAwAAATABWfz//4D+//8JkAEAAAapAwAAAjExAVb8//+A/v//CZMBAAAGrAMAAAdSZWd1bGFyB1kBAAAAAQAAAAAAAAAEN0dsb2JlU29mdHdhcmUuQXRsYXM0MC5BdGxhc0NvbW1vbi5UeXBlLkZpZWxkT3V0cHV0RmllbGQOAAAAB1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P//j/7//wFS/P//jv7//yQAAAAJ/gAAAAFQ/P//j/7//wFP/P//jv7//wsAAAAGsgMAAAIxNQFN/P//j/7//wFM/P//jv7//wQAAAAGtQMAAC9fKCogIywjIzAuMDBfKTtfKCogKCMsIyMwLjAwKTtfKCogIi0iPz9fKTtfKEBfKQFK/P//j/7//wFJ/P//jv7//wIAAAAGuAMAAAExAUf8//+P/v//AUb8//+O/v//AAAAAAa7AwAABTEzLjQzAUT8//+P/v//AUP8//+O/v//AwAAAAa+AwAAhQE9QXRsYXNCYWxhbmNlKCJVQVQiLERhdGFBcmVhSWQsIlQuTWFya3VwVHJhbnMiLCJTdW18UG9zdGVkfDAiLCIiLCIiLCIiLCIiLCIiLCIiLCJUcmFuc1JlY0lkfFRyYW5zVGFibGVJZHxNYXJrdXBDb2RlIiwkTzMsIjQ5MiIsIlRQUCIp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z//4D+//8JgQEAAAmCAQAAAT78//+A/v//CYQBAAAJggEAAAE7/P//gP7//wmHAQAABscDAAAFLTQxNDIBOPz//4D+//8JigEAAAbKAwAAB0NhbGlicmkBNfz//4D+//8JjQEAAAbNAwAAATABMvz//4D+//8JkAEAAAbQAwAAAjExAS/8//+A/v//CZMBAAAG0wMAAAdSZWd1bGFyBXA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Sz8///Q/////////wAG1QMAAAZTdHJpbmcG1gMAABBDb21wYW55IGFjY291bnRzCdcDAAABKPz//87///8CAAAABSf8//85R2xvYmVTb2Z0d2FyZS5BdGxhczQwLkF0bGFzQ29tbW9uLk51bWJlclNlcXVlbmNlQ29uZGl0aW9uAQAAAAd2YWx1ZV9fAAgOAAAAAQAAAAAABtoDAAAWVGFibGUuVmVuZEludm9pY2VUcmFucwkrAAAACS4AAAAK/////wnaAwAACgkrAAAACgoKCS4AAAAJ4AMAAAkuAAAAAZUBAABwAQAAAR78///Q/////////wAG4wMAAAZTdHJpbmcG5AMAAA5WZW5kb3IgYWNjb3VudAnlAwAAARr8///O////AgAAAAEZ/P//J/z//wEAAAAAAAlnAQAACTkAAAAJLgAAAAr/////CWcBAAAKCTkAAAAG7QMAAA9WZW5kSW52b2ljZUpvdXIG7gMAABBWZW5kSW52b2ljZVRyYW5zCgkuAAAACfADAAAJLgAAAAG6AQAAcAEAAAEO/P//0P////////8ABvMDAAAGU3RyaW5nBvQDAAAETmFtZQn1AwAAAQr8///O////AgAAAAEJ/P//J/z//wEAAAAAAAlqAQAACUcAAAAJLgAAAAr/////CWoBAAAKCUcAAAAG/QMAAAxPcmRlckFjY291bnQG/gMAAA9WZW5kSW52b2ljZUpvdXIKCS4AAAAJAAQAAAkuAAAAAd8BAABwAQAAAf77///Q/////////wAGAwQAAAZTdHJpbmcGBAQAAA5QdXJjaGFzZSBvcmRlcgkFBAAAAfr7///O////AgAAAAH5+///J/z//wEAAAAAAAYIBAAAFlRhYmxlLlZlbmRJbnZvaWNlVHJhbnMJVQAAAAkuAAAACv////8JCAQAAAoJVQAAAAoKCgkuAAAACQ4EAAAJLgAAAAEKAgAAcAEAAAHw+///0P////////8ABhEEAAAGU3RyaW5nBhIEAAAHSW52b2ljZQkFBAAAAez7///O////AgAAAAHr+///J/z//wEAAAAAAAkIBAAACWMAAAAJLgAAAAr/////CQgEAAAKCWMAAAAKCgoJLgAAAAkcBAAACS4AAAABMgIAAHABAAAB4vv//9D/////////AAYfBAAABlN0cmluZwYgBAAACVdhcmVob3VzZQn1AwAAAd77///O////AgAAAAHd+///J/z//wEAAAAAAAlqAQAACXEAAAAJLgAAAAr/////CWoBAAAKCXEAAAAGKQQAAAxPcmRlckFjY291bnQGKgQAAA9WZW5kSW52b2ljZUpvdXIKCS4AAAAJLAQAAAkuAAAAAVcCAABwAQAAAdL7///Q/////////wAGLwQAAAZTdHJpbmcGMAQAAARJdGVtCQUEAAABzvv//87///8CAAAAAc37//8n/P//AQAAAAAACQgEAAAJfwAAAAkuAAAACv////8JCAQAAAoJfwAAAAoKCgkuAAAACToEAAAJLgAAAAF/AgAAcAEAAAHE+///0P////////8ABj0EAAAGU3RyaW5nBj4EAAAJSXRlbSBuYW1lCT8EAAABwPv//87///8CAAAAAb/7//8n/P//AQAAAAAACW0BAAAJjQAAAAkuAAAACv////8JbQEAAAoJjQAAAAZHBAAABkl0ZW1JZAZIBAAAEFZlbmRJbnZvaWNlVHJhbnMKCS4AAAAJSgQAAAkuAAAAAaQCAABwAQAAAbT7///Q/////////wAGTQQAAAREYXRlBk4EAAAERGF0ZQlPBAAAAbD7///O////AgAAAAGv+///J/z//wEAAAAAAAZSBAAAFlRhYmxlLlZlbmRJbnZvaWNlVHJhbnMJmwAAAAkuAAAACv////8JUgQAAAoJmwAAAAoKCgkuAAAACVgEAAAJLgAAAAHJAgAAcAEAAAGm+///0P////////8ABlsEAAAEUmVhbAZcBAAACFF1YW50aXR5CQUEAAABovv//87///8CAAAAAaH7//8n/P//AQAAAAAACQgEAAAJqQAAAAkuAAAACv////8JCAQAAAoJqQAAAAoKCgkuAAAACWYEAAAJLgAAAAHxAgAAcAEAAAGY+///0P////////8ABmkEAAAGU3RyaW5nBmoEAAAEVW5pdAlPBAAAAZT7///O////AgAAAAGT+///J/z//wEAAAAAAAlSBAAACbcAAAAJLgAAAAr/////CVIEAAAKCbcAAAAKCgoJLgAAAAl0BAAACS4AAAABFgMAAHABAAABivv//9D/////////AAZ3BAAABFJlYWwGeAQAAApVbml0IHByaWNlCU8EAAABhvv//87///8CAAAAAYX7//8n/P//AQAAAAAACVIEAAAJxQAAAAkuAAAACv////8JUgQAAAoJxQAAAAoKCgkuAAAACYIEAAAJLgAAAAE7AwAAcAEAAAF8+///0P////////8ABoUEAAAEUmVhbAaGBAAABkFtb3VudAkFBAAAAXj7///O////AgAAAAF3+///J/z//wEAAAAAAAkIBAAACdMAAAAJLgAAAAr/////CQgEAAAKCdMAAAAKCgoJLgAAAAmQBAAACS4AAAABYwMAAHABAAABbvv//9D/////////AAaTBAAABlN0cmluZwaUBAAACEN1cnJlbmN5CZUEAAABavv//87///8CAAAAAWn7//8n/P//AQAAAAAABpgEAAAWVGFibGUuVmVuZEludm9pY2VUcmFucwnhAAAACS4AAAAK/////wmYBAAACgnhAAAACgoKCS4AAAAJngQAAAkuAAAAAYgDAABwAQAAAWD7///Q/////////wAGoQQAAAVJbnQ2NAaiBAAADFJlY0lkIGNvbHVtbgmVBAAAAVz7///O////AgAAAAFb+///J/z//wEAAAAAAAmYBAAACe8AAAAJLgAAAAr/////CZgEAAAKCe8AAAAKCgoJLgAAAAmsBAAACS4AAAAF1w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/////wauBAAAEFZlbmRJbnZvaWNlVHJhbnMGrwQAABRWZW5kb3IgaW52b2ljZSBsaW5lcwkuAAAACS4AAAAJLgAAAAVP+///MEdsb2JlU29mdHdhcmUuQXRsYXM0MC5BdGxhc0NvbW1vbi5EYXRhU291cmNlVHlwZQEAAAAHdmFsdWVfXwAIDgAAAAAAAAAJsgQAAAmzBAAABEz7//8LU3lzdGVtLkd1aWQLAAAAAl9hAl9iAl9jAl9kAl9lAl9mAl9nAl9oAl9pAl9qAl9rAAAAAAAAAAAAAAAIBwcCAgICAgICAjepAnSC5CNGg+2euGgAPKUJLgAAAAkuAAAACbYEAAAJ2gMAAAoKCgoKAQAAAAVI+///NEdsb2JlU29mdHdhcmUuQXRsYXM0MC5BdGxhc0NvbW1vbi5EYXRhU291cmNlSm9pbk1vZGUBAAAAB3ZhbHVlX18ACA4AAAAAAAAABUf7//81R2xvYmVTb2Z0d2FyZS5BdGxhczQwLkF0bGFzQ29tbW9uLkRhdGFTb3VyY2VGZXRjaE1vZGUBAAAAB3ZhbHVlX18ACA4AAAAAAAAAAAm6BAAAAeADAAAqAAAAOgAAAAkRAQAAAwAAAAm8BAAAAeUDAADXAwAA/////wa9BAAAD1ZlbmRJbnZvaWNlSm91cga+BAAAFlZlbmRvciBpbnZvaWNlIGpvdXJuYWwJLgAAAAkuAAAACS4AAAABQPv//0/7//8AAAAACcEEAAAJwgQAAAE9+///TPv//yMLGnlfO3BKsCnkfK8d8zAJLgAAAAkuAAAACcUEAAAJZwEAAAbHBAAAEFZlbmRJbnZvaWNlVHJhbnMGyAQAABZUYWJsZS5WZW5kSW52b2ljZVRyYW5zBskEAAAmVGFibGUuVmVuZEludm9pY2VUcmFucy5WZW5kSW52b2ljZUpvdXIGygQAAA9WZW5kSW52b2ljZUpvdXIKAQAAAAE1+///SPv//wAAAAABNPv//0f7//8AAAAAAAnNBAAAAfADAAAqAAAANAAAAAkRAQAAAwAAAAnPBAAAAfUDAADXAwAA/////wbQBAAACVZlbmRUYWJsZQbRBAAAB1ZlbmRvcnMJLgAAAAkuAAAACS4AAAABLfv//0/7//8AAAAACdQEAAAJ1QQAAAEq+///TPv//zmUTGpf/yJMrmCxn1WX9QsJLgAAAAkuAAAACdgEAAAJagEAAAbaBAAAD1ZlbmRJbnZvaWNlSm91cgbbBAAAPFRhYmxlLlZlbmRJbnZvaWNlVHJhbnMuVmVuZEludm9pY2VKb3VyflRhYmxlLlZlbmRJbnZvaWNlSm91cgbcBAAASVRhYmxlLlZlbmRJbnZvaWNlVHJhbnMuVmVuZEludm9pY2VKb3VyflRhYmxlLlZlbmRJbnZvaWNlSm91ci5PcmRlckFjY291bnQG3QQAAAxPcmRlckFjY291bnQG3gQAAApBY2NvdW50TnVtAQAAAAEh+///SPv//wAAAAABIPv//0f7//8AAAAAAAnhBAAAAQAEAAAqAAAANAAAAAkRAQAAAwAAAAnjBAAAAQUEAADXAwAA7AEAAAbkBAAAEFZlbmRJbnZvaWNlVHJhbnMG5QQAABRWZW5kb3IgaW52b2ljZSBsaW5lcwkuAAAACS4AAAAJLgAAAAEZ+///T/v//wAAAAAJ6AQAAAnpBAAAARb7//9M+///59jxwSY130KX5J5ad24e9AkuAAAACS4AAAAJ7AQAAAkIBAAACgoKCgoBAAAAARL7//9I+///AAAAAAER+///R/v//wAAAAAACfAEAAABDgQAACoAAABJAAAACSABAAADAAAACfIEAAABHAQAACoAAABJAAAACSABAAADAAAACfQEAAABLAQAACoAAAAuAAAACREBAAADAAAACfYEAAABOgQAACoAAABJAAAACSABAAADAAAACfgEAAABPwQAANcDAAD/////BvkEAAALSW52ZW50VGFibGUG+gQAAAVJdGVtcwkuAAAACS4AAAAJLgAAAAEE+///T/v//wAAAAAJ/QQAAAn+BAAAAQH7//9M+///b8nt3ucwHEa2G+GTY+QrKgkuAAAACS4AAAAJAQUAAAltAQAABgMFAAAQVmVuZEludm9pY2VUcmFucwYEBQAAFlRhYmxlLlZlbmRJbnZvaWNlVHJhbnMGBQUAAB1UYWJsZS5WZW5kSW52b2ljZVRyYW5zLkl0ZW1JZAYGBQAABkl0ZW1JZAYHBQAABkl0ZW1JZAEAAAAB+Pr//0j7//8AAAAAAff6//9H+///AAAAAAAJCgUAAAFKBAAAKgAAAC4AAAAJEQEAAAMAAAAJDAUAAAFPBAAA1wMAAP////8GDQUAABBWZW5kSW52b2ljZVRyYW5zBg4FAAAUVmVuZG9yIGludm9pY2UgbGluZXMJLgAAAAkuAAAACS4AAAAB8Pr//0/7//8AAAAACREFAAAJEgUAAAHt+v//TPv//5IOPInTzTtOo7pUSEyBrkwJLgAAAAkuAAAACRUFAAAJUgQAAAoKCgoKAQAAAAHp+v//SPv//wAAAAAB6Pr//0f7//8AAAAAAAkZBQAAAVgEAAAqAAAALgAAAAkRAQAAAwAAAAkbBQAAAWYEAAAqAAAASQAAAAkgAQAAAwAAAAkdBQAAAXQEAAAqAAAALgAAAAkRAQAAAwAAAAkfBQAAAYIEAAAqAAAALgAAAAkRAQAAAwAAAAkhBQAAAZAEAAAqAAAASQAAAAkgAQAAAwAAAAkjBQAAAZUEAADXAwAA/////wYkBQAAEFZlbmRJbnZvaWNlVHJhbnMGJQUAABRWZW5kb3IgaW52b2ljZSBsaW5lcwkuAAAACS4AAAAJLgAAAAHZ+v//T/v//wAAAAAJKAUAAAkpBQAAAdb6//9M+///x5s73jFRPESFkwniV+ozXAkuAAAACS4AAAAJLAUAAAmYBAAACgoKCgoBAAAAAdL6//9I+///AAAAAAHR+v//R/v//wAAAAAACTAFAAABngQAACoAAAAoAAAACREBAAADAAAACTIFAAABrAQAACoAAAAoAAAACREBAAADAAAACTQFAAAEsg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NQUAABEAAAAJNgUAAASz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TcFAAADAAAACTgFAAAEtg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UFAAAAAAAABLo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ToFAAAAAAAAB7w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r//4D+//8GPAUAAAVMYWJlbAnWAwAAAcL6//+A/v//Bj8FAAAEVHlwZQnVAwAAAcEEAACyBAAAAQAAAAkRAQAAAwAAAAlCBQAAAcIEAACzBAAAAQAAAAlDBQAAAwAAAAlEBQAABMU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EBAAADAAAACUYFAAABzQQAALoEAAAAAAAACUcFAAAAAAAAB88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r//4D+//8JPAUAAAnkAwAAAbX6//+A/v//CT8FAAAJ4wMAAAHUBAAAsgQAAAIAAAAJEQEAAAMAAAAJTwUAAAHVBAAAswQAAAEAAAAJQwUAAAMAAAAJUQUAAAHYBAAAtgQAAAAAAAAJEQEAAAAAAAAB4QQAALoEAAAAAAAACUcFAAAAAAAAB+M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r//4D+//8JPAUAAAn0AwAAAan6//+A/v//CT8FAAAJ8wMAAAHoBAAAsgQAAAgAAAAJWgUAABEAAAAJWwUAAAHpBAAAswQAAAUAAAAJWgUAAAcAAAAJXQUAAAHsBAAAtgQAAAAAAAAJWgUAAAAAAAAB8AQAALoEAAAAAAAACV8FAAAAAAAAB/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r//4D+//8GYQUAAAhIZWxwVGV4dAZiBQAAH0FjaGF0IGxpw6kgw6AgbGEgbGlnbmUgYWN0dWVsbGUBnfr//4D+//8GZAUAAAVMYWJlbAkEBAAAAZr6//+A/v//BmcFAAAEVHlwZQkDBAAAB/Q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r//4D+//8JYQUAAAZrBQAAHElkZW50aWZpY2F0aW9uIGRlIGxhIGZhY3R1cmUBlPr//4D+//8JZAUAAAkSBAAAAZH6//+A/v//CWcFAAAJEQQAAAf2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76//+A/v//CTwFAAAJIAQAAAGL+v//gP7//wk/BQAACR8EAAAH+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v//gP7//wlhBQAABnoFAAATSWRlbnRpZmllIGwnYXJ0aWNsZQGF+v//gP7//wlkBQAACTAEAAABgvr//4D+//8JZwUAAAkvBAAAAf0EAACyBAAAAQAAAAkRAQAAAwAAAAmCBQAAAf4EAACzBAAAAQAAAAlDBQAAAwAAAAmEBQAAAQEFAAC2BAAAAAAAAAkRAQAAAAAAAAEKBQAAugQAAAAAAAAJRwUAAAAAAAAHD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+v//gP7//wk8BQAACT4EAAABdvr//4D+//8JPwUAAAk9BAAAAREFAACyBAAADwAAAAmNBQAAEQAAAAmOBQAAARIFAACzBAAAAQAAAAkRAQAAAwAAAAmQBQAABBU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Y0FAAADAAAACZIFAAABGQUAALoEAAAAAAAACZMFAAAAAAAABxs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r//4D+//8JPAUAAAlOBAAAAWn6//+A/v//CT8FAAAJTQQAAAc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6//+A/v//CWEFAAAGnAUAABhOb21icmUgZCd1bml0w6lzIGQnYWNoYXQBY/r//4D+//8JZAUAAAlcBAAAAWD6//+A/v//CWcFAAAJWwQAAAcf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36//+A/v//CTwFAAAJagQAAAFa+v//gP7//wk/BQAACWkEAAAHI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gP7//wk8BQAACXgEAAABVPr//4D+//8JPwUAAAl3BAAABy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4D+//8JYQUAAAaxBQAAEU1vbnRhbnQgZW4gZGV2aXNlAU76//+A/v//CWQFAAAJhgQAAAFL+v//gP7//wlnBQAACYUEAAABKAUAALIEAAALAAAACbgFAAARAAAACbkFAAABKQUAALMEAAABAAAACREBAAADAAAACbsFAAAELA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uAUAAAMAAAAJvQUAAAEwBQAAugQAAAAAAAAJvgUAAAAAAAAHM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v//gP7//wk8BQAACZQEAAABPvr//4D+//8JPwUAAAmTBAAABz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r//4D+//8JPAUAAAmiBAAAATj6//+A/v//CT8FAAAJoQQAAAE1BQAADAAAAAc2BQ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1+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MBQAAHlRhYmxlLlZlbmRJbnZvaWNlVHJhbnMuUHVyY2hJRAnfAQAAATL6//81+v//Bs8FAAAhVGFibGUuVmVuZEludm9pY2VUcmFucy5MaW5lQW1vdW50CTsDAAABL/r//zX6//8G0gUAACFUYWJsZS5WZW5kSW52b2ljZVRyYW5zLkRpc2NBbW91bnQJ0wUAAAEs+v//Nfr//wbVBQAAIlRhYmxlLlZlbmRJbnZvaWNlVHJhbnMuRGlzY1BlcmNlbnQJ1gUAAAEp+v//Nfr//wbYBQAAGlRhYmxlLlZlbmRJbnZvaWNlVHJhbnMuUXR5CckCAAABJvr//zX6//8G2wUAACBUYWJsZS5WZW5kSW52b2ljZVRyYW5zLlByaWNlVW5pdAncBQAAASP6//81+v//Bt4FAAAdVGFibGUuVmVuZEludm9pY2VUcmFucy5JdGVtSWQJVwIAAAEg+v//Nfr//wbhBQAAIFRhYmxlLlZlbmRJbnZvaWNlVHJhbnMuSW52b2ljZUlkCQoCAAABHfr//zX6//8G5AUAACFUYWJsZS5WZW5kSW52b2ljZVRyYW5zLkRhdGFBcmVhSWQJcAEAAAE3BQAADAAAAAc4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vr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nBQAAIlRhYmxlLlZlbmRJbnZvaWNlVHJhbnMuSW52b2ljZURhdGUJ6AUAAAQ6B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Qg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/r//zX6//8G6gUAAElUYWJsZS5WZW5kSW52b2ljZVRyYW5zLlZlbmRJbnZvaWNlSm91cn5UYWJsZS5WZW5kSW52b2ljZUpvdXIuT3JkZXJBY2NvdW50CZUBAAABQwUAAAwAAAAHRA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RT6//8a+v//Bu0FAABGVGFibGUuVmVuZEludm9pY2VUcmFucy5WZW5kSW52b2ljZUpvdXJ+VGFibGUuVmVuZEludm9pY2VKb3VyLlZlbmRHcm91cAnuBQAAB0YF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BH6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WoBAAAJ9QMAAAFHBQAAOgUAAAdPB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O+v//Nfr//wbzBQAAXlRhYmxlLlZlbmRJbnZvaWNlVHJhbnMuVmVuZEludm9pY2VKb3VyflRhYmxlLlZlbmRJbnZvaWNlSm91ci5PcmRlckFjY291bnR+VGFibGUuVmVuZFRhYmxlLk5hbWUJugEAAAEL+v//Nfr//wb2BQAAaFRhYmxlLlZlbmRJbnZvaWNlVHJhbnMuVmVuZEludm9pY2VKb3VyflRhYmxlLlZlbmRJbnZvaWNlSm91ci5PcmRlckFjY291bnR+VGFibGUuVmVuZFRhYmxlLkludmVudExvY2F0aW9uCTICAAAHUQ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j6//8a+v//BvkFAABoVGFibGUuVmVuZEludm9pY2VUcmFucy5WZW5kSW52b2ljZUpvdXJ+VGFibGUuVmVuZEludm9pY2VKb3VyLk9yZGVyQWNjb3VudH5UYWJsZS5WZW5kVGFibGUuSW52ZW50TG9jYXRpb24J+gUAAAFaBQAADAAAAAdbBQ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F+v//Nfr//wb8BQAAHlRhYmxlLlZlbmRJbnZvaWNlVHJhbnMuUHVyY2hJRAnfAQAAAQL6//81+v//Bv8FAAAhVGFibGUuVmVuZEludm9pY2VUcmFucy5MaW5lQW1vdW50CTsDAAAB//n//zX6//8GAgYAACFUYWJsZS5WZW5kSW52b2ljZVRyYW5zLkRpc2NBbW91bnQJ0wUAAAH8+f//Nfr//wYFBgAAIlRhYmxlLlZlbmRJbnZvaWNlVHJhbnMuRGlzY1BlcmNlbnQJ1gUAAAH5+f//Nfr//wYIBgAAGlRhYmxlLlZlbmRJbnZvaWNlVHJhbnMuUXR5CckCAAAB9vn//zX6//8GCwYAACBUYWJsZS5WZW5kSW52b2ljZVRyYW5zLlByaWNlVW5pdAncBQAAAfP5//81+v//Bg4GAAAdVGFibGUuVmVuZEludm9pY2VUcmFucy5JdGVtSWQJVwIAAAHw+f//Nfr//wYRBgAAIFRhYmxlLlZlbmRJbnZvaWNlVHJhbnMuSW52b2ljZUlkCQoCAAAHXQU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e35//8a+v//BhQGAAAhVGFibGUuVmVuZEludm9pY2VUcmFucy5EYXRhQXJlYUlkCRUGAAAB6vn//xr6//8GFwYAACJUYWJsZS5WZW5kSW52b2ljZVRyYW5zLkludm9pY2VEYXRlCRgGAAAB5/n//xr6//8GGgYAACBUYWJsZS5WZW5kSW52b2ljZVRyYW5zLkludm9pY2VJZAkbBgAAAeT5//8a+v//Bh0GAAAdVGFibGUuVmVuZEludm9pY2VUcmFucy5JdGVtSWQJHgYAAAHh+f//Gvr//wYgBgAAHlRhYmxlLlZlbmRJbnZvaWNlVHJhbnMuUHVyY2hJRAkhBgAAAV8FAAA6BQAAB4I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75//81+v//BiMGAAA4VGFibGUuVmVuZEludm9pY2VUcmFucy5JdGVtSWR+VGFibGUuSW52ZW50VGFibGUuSXRlbU5hbWUJfwIAAAeE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2/n//xr6//8GJgYAADhUYWJsZS5WZW5kSW52b2ljZVRyYW5zLkl0ZW1JZH5UYWJsZS5JbnZlbnRUYWJsZS5JdGVtVHlwZQknBgAAAY0FAAAMAAAAB44F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j5//81+v//BikGAAAhVGFibGUuVmVuZEludm9pY2VUcmFucy5EYXRhQXJlYUlkCXABAAAB1fn//zX6//8GLAYAAB5UYWJsZS5WZW5kSW52b2ljZVRyYW5zLlB1cmNoSUQJ3wEAAAHS+f//Nfr//wYvBgAAIVRhYmxlLlZlbmRJbnZvaWNlVHJhbnMuTGluZUFtb3VudAk7AwAAAc/5//81+v//BjIGAAAaVGFibGUuVmVuZEludm9pY2VUcmFucy5RdHkJyQIAAAHM+f//Nfr//wY1BgAAHVRhYmxlLlZlbmRJbnZvaWNlVHJhbnMuSXRlbUlkCVcCAAAByfn//zX6//8GOAYAACBUYWJsZS5WZW5kSW52b2ljZVRyYW5zLkludm9pY2VJZAkKAgAAAcb5//81+v//BjsGAAAiVGFibGUuVmVuZEludm9pY2VUcmFucy5JbnZvaWNlRGF0ZQmkAgAAAcP5//81+v//Bj4GAAAgVGFibGUuVmVuZEludm9pY2VUcmFucy5QdXJjaFVuaXQJ8QIAAAHA+f//Nfr//wZBBgAAIVRhYmxlLlZlbmRJbnZvaWNlVHJhbnMuUHVyY2hQcmljZQkWAwAAB5A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9+f//Gvr//wZEBgAAIlRhYmxlLlZlbmRJbnZvaWNlVHJhbnMuSW52b2ljZURhdGUJ6AUAAAeSBQ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6+f//Efr//wlnAQAACeUDAAABt/n//xH6//8JbQEAAAk/BAAAAZMFAAA6BQAAAbgFAAAMAAAAB7kF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bT5//81+v//Bk0GAAAhVGFibGUuVmVuZEludm9pY2VUcmFucy5EYXRhQXJlYUlkCXABAAABsfn//zX6//8GUAYAAB5UYWJsZS5WZW5kSW52b2ljZVRyYW5zLlB1cmNoSUQJ3wEAAAGu+f//Nfr//wZTBgAAIFRhYmxlLlZlbmRJbnZvaWNlVHJhbnMuSW52b2ljZUlkCQoCAAABq/n//zX6//8GVgYAAB1UYWJsZS5WZW5kSW52b2ljZVRyYW5zLkl0ZW1JZAlXAgAAAaj5//81+v//BlkGAAAiVGFibGUuVmVuZEludm9pY2VUcmFucy5JbnZvaWNlRGF0ZQmkAgAAAaX5//81+v//BlwGAAAaVGFibGUuVmVuZEludm9pY2VUcmFucy5RdHkJyQIAAAGi+f//Nfr//wZfBgAAIFRhYmxlLlZlbmRJbnZvaWNlVHJhbnMuUHVyY2hVbml0CfECAAABn/n//zX6//8GYgYAACFUYWJsZS5WZW5kSW52b2ljZVRyYW5zLlB1cmNoUHJpY2UJFgMAAAGc+f//Nfr//wZlBgAAIVRhYmxlLlZlbmRJbnZvaWNlVHJhbnMuTGluZUFtb3VudAk7AwAAAZn5//81+v//BmgGAAAjVGFibGUuVmVuZEludm9pY2VUcmFucy5DdXJyZW5jeUNvZGUJYwMAAAGW+f//Nfr//wZrBgAAHFRhYmxlLlZlbmRJbnZvaWNlVHJhbnMuUmVjSWQJiAMAAAe7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k/n//xr6//8GbgYAACJUYWJsZS5WZW5kSW52b2ljZVRyYW5zLkludm9pY2VEYXRlCegFAAAHvQU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kPn//xH6//8JZwEAAAnlAwAAAY35//8R+v//CW0BAAAJPwQAAAG+BQAAOgUAAAHTBQAAcAEAAAGK+f//0P////////8ABncGAAAEUmVhbAZ4BgAACERpc2NvdW50CQUEAAABhvn//87///8CAAAAAYX5//8n/P//AQAAAAAACQgEAAAGfQYAAApEaXNjQW1vdW50CS4AAAAK/////wkIBAAACgl9BgAACgoKCS4AAAAJggYAAAkuAAAAAdYFAABwAQAAAXz5///Q/////////wAGhQYAAARSZWFsBoYGAAAKRGlzYy4gcGN0LgkFBAAAAXj5///O////AgAAAAF3+f//J/z//wEAAAAAAAkIBAAABosGAAALRGlzY1BlcmNlbnQJLgAAAAr/////CQgEAAAKCYsGAAAKCgoJLgAAAAmQBgAACS4AAAAB3AUAAHABAAABbvn//9D/////////AAaTBgAABFJlYWwGlAYAAApQcmljZSB1bml0CQUEAAABavn//87///8CAAAAAWn5//8n/P//AQAAAAAACQgEAAAGmQYAAAlQcmljZVVuaXQJLgAAAAr/////CQgEAAAKCZkGAAAKCgoJLgAAAAmeBgAACS4AAAAF6AU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QgEAAAJYgEAAAkuAAAABqMGAAAYMDguMDEuMjAxNyAuLiAwOC4zMS4yMDE3/////wkIBAAACgliAQAACgoKCS4AAAAJpwYAAAkuAAAAAe4FAADoBQAACWcBAAAJaAEAAAkuAAAACWkBAAD/////CWcBAAAKCWgBAAAGrwYAAA9WZW5kSW52b2ljZUpvdXIKCgkuAAAACbEGAAAJLgAAAAH6BQAA6AUAAAlqAQAACWsBAAAJLgAAAAlsAQAA/////wlqAQAACglrAQAABrkGAAAMT3JkZXJBY2NvdW50CgoJLgAAAAm7BgAACS4AAAABFQYAAOgFAAAJCAQAAAa+BgAACkRhdGFBcmVhSWQJLgAAAAkuAAAA/////wkIBAAACgm+BgAACgoKCS4AAAAJwwYAAAkuAAAAARgGAADoBQAACQgEAAAJYgEAAAkuAAAACS4AAAD/////CQgEAAAKCWIBAAAKCgoJLgAAAAnLBgAACS4AAAABGwYAAOgFAAAJCAQAAAbOBgAACUludm9pY2VJZAkuAAAACS4AAAD/////CQgEAAAKCc4GAAAKCgoJLgAAAAnTBgAACS4AAAABHgYAAOgFAAAJCAQAAAbWBgAABkl0ZW1JZAkuAAAACS4AAAD/////CQgEAAAKCdYGAAAKCgoJLgAAAAnbBgAACS4AAAABIQYAAOgFAAAJCAQAAAbeBgAAB1B1cmNoSUQJLgAAAAkuAAAA/////wkIBAAACgneBgAACgoKCS4AAAAJ4wYAAAkuAAAAAScGAADoBQAACW0BAAAJbgEAAAkuAAAACW8BAAD/////CW0BAAAKCW4BAAAG6wYAAAZJdGVtSWQKCgkuAAAACe0GAAAJLgAAAAGCBgAAKgAAABsAAAAJIAEAAAMAAAAJ8AYAAAGQBgAAKgAAABsAAAAJIAEAAAMAAAAJ8gYAAAGeBgAAKgAAABsAAAAJIAEAAAMAAAAJ9AYAAAGnBgAAKgAAADMAAAAJIAEAAAMAAAAJ9gYAAAGxBgAAKgAAAAYAAAAJQwUAAAMAAAAJ+AYAAAG7BgAAKgAAAAcAAAAJQwUAAAMAAAAJ+gYAAATD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gAQAAAAAAAATL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gAQAAAAAAAATT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gAQAAAAAAAATb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gAQAAAAAAAATj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gAQAAAAAAAAHtBgAAKgAAAAcAAAAJQwUAAAMAAAAJ/QYAAAfw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L5//+A/v//CWEFAAAJsQUAAAH/+P//gP7//wlkBQAACXgGAAAB/Pj//4D+//8JZwUAAAl3BgAAB/I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j//4D+//8JYQUAAAYJBwAAFVJlbWlzZSBlbiBwb3VyY2VudGFnZQH2+P//gP7//wlkBQAACYYGAAAB8/j//4D+//8JZwUAAAmFBgAAB/Q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Pj//4D+//8JYQUAAAYSBwAAMU5vbWJyZSBkJ3VuaXTDqXMgcG91ciBsZXF1ZWwgbGUgcHJpeCBlc3QgaW5kaXF1w6kB7fj//4D+//8JZAUAAAmUBgAAAer4//+A/v//CWcFAAAJkwYAAAf2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4//+A/v//CWcFAAAGGwcAAAREYXRlAeT4//+A/v//CWQFAAAGHgcAAAREYXRlAeH4//+A/v//BiAHAAAIUmVmZXJzVG8GIQcAAAo9RGF0ZVJhbmdlB/g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j//4D+//8GIwcAAARUeXBlBiQHAAAGU3RyaW5nAdv4//+A/v//BiYHAAAFTGFiZWwGJwcAAAxWZW5kb3IgZ3JvdXAH+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+P//gP7//wkjBwAACR8EAAAB1fj//4D+//8JJgcAAAkgBAAAAdL4//+A/v//Bi8HAAAIUmVmZXJzVG8GMAcAAAo9V2FyZWhvdXNlB/0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j//4D+//8JIwcAAAYzBwAABEVudW0BzPj//4D+//8JJgcAAAY2BwAACUl0ZW0gdHlwZQHJ+P//gP7//wkvBwAABjkHAAAJPUl0ZW1UeXBlCw==</Report>
</Atlas>
</file>

<file path=customXml/itemProps1.xml><?xml version="1.0" encoding="utf-8"?>
<ds:datastoreItem xmlns:ds="http://schemas.openxmlformats.org/officeDocument/2006/customXml" ds:itemID="{975879E5-C19B-472F-B2C7-A89175BB95D0}">
  <ds:schemaRefs/>
</ds:datastoreItem>
</file>

<file path=customXml/itemProps2.xml><?xml version="1.0" encoding="utf-8"?>
<ds:datastoreItem xmlns:ds="http://schemas.openxmlformats.org/officeDocument/2006/customXml" ds:itemID="{D8D5B829-5FC5-4D32-AF7E-703505C4FF07}">
  <ds:schemaRefs/>
</ds:datastoreItem>
</file>

<file path=customXml/itemProps3.xml><?xml version="1.0" encoding="utf-8"?>
<ds:datastoreItem xmlns:ds="http://schemas.openxmlformats.org/officeDocument/2006/customXml" ds:itemID="{7ACE6BA6-93F7-4EC2-8673-1F4A3AC4025E}">
  <ds:schemaRefs/>
</ds:datastoreItem>
</file>

<file path=customXml/itemProps4.xml><?xml version="1.0" encoding="utf-8"?>
<ds:datastoreItem xmlns:ds="http://schemas.openxmlformats.org/officeDocument/2006/customXml" ds:itemID="{5594EDF7-9225-482D-BF82-EFC4D3048E4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General</vt:lpstr>
      <vt:lpstr>Sales</vt:lpstr>
      <vt:lpstr>Purchase</vt:lpstr>
      <vt:lpstr>ReSale List</vt:lpstr>
      <vt:lpstr>Sales!AtlasReport_1</vt:lpstr>
      <vt:lpstr>Purchase!AtlasReport_2</vt:lpstr>
      <vt:lpstr>DataAreaId</vt:lpstr>
      <vt:lpstr>DateFormat</vt:lpstr>
      <vt:lpstr>DateRange</vt:lpstr>
      <vt:lpstr>DateRegion</vt:lpstr>
      <vt:lpstr>FromDate</vt:lpstr>
      <vt:lpstr>ItemNumber</vt:lpstr>
      <vt:lpstr>ItemType</vt:lpstr>
      <vt:lpstr>Region</vt:lpstr>
      <vt:lpstr>ToDate</vt:lpstr>
      <vt:lpstr>Warehouse</vt:lpstr>
    </vt:vector>
  </TitlesOfParts>
  <Company>Simpson Strong-Tie Company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2017-12-26T07:57:00Z</dcterms:created>
  <dcterms:modified xsi:type="dcterms:W3CDTF">2017-12-26T14:42:49Z</dcterms:modified>
</cp:coreProperties>
</file>