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" windowWidth="27795" windowHeight="13350" activeTab="3"/>
  </bookViews>
  <sheets>
    <sheet name="General" sheetId="1" r:id="rId1"/>
    <sheet name="InventTrans" sheetId="2" r:id="rId2"/>
    <sheet name="InventSum" sheetId="4" r:id="rId3"/>
    <sheet name="Report" sheetId="3" r:id="rId4"/>
  </sheets>
  <functionGroups builtInGroupCount="17"/>
  <definedNames>
    <definedName name="AtlasReport_1" localSheetId="1">InventTrans!$A$1:$L$177</definedName>
    <definedName name="AtlasReport_2" localSheetId="2">InventSum!$A$1:$H$78</definedName>
    <definedName name="DataAreaId">General!$C$2</definedName>
    <definedName name="DateFormat">General!$H$1</definedName>
    <definedName name="DateRange">General!$C$4</definedName>
    <definedName name="DateRegion">General!$K$1</definedName>
    <definedName name="FromDate">General!$C$3</definedName>
    <definedName name="ItemNumber">General!$C$6</definedName>
    <definedName name="ItemType">General!$C$7</definedName>
    <definedName name="PeriodBeginning">General!$K$3</definedName>
    <definedName name="PeriodEnding">General!$K$4</definedName>
    <definedName name="Region">Table1[Region]</definedName>
    <definedName name="ToDate">General!$G$3</definedName>
  </definedNames>
  <calcPr calcId="145621"/>
</workbook>
</file>

<file path=xl/calcChain.xml><?xml version="1.0" encoding="utf-8"?>
<calcChain xmlns="http://schemas.openxmlformats.org/spreadsheetml/2006/main">
  <c r="D77" i="4" l="1"/>
  <c r="C77" i="4"/>
  <c r="B77" i="4"/>
  <c r="K176" i="2"/>
  <c r="G64" i="4" l="1"/>
  <c r="G60" i="4"/>
  <c r="G68" i="4"/>
  <c r="G76" i="4"/>
  <c r="G72" i="4"/>
  <c r="G56" i="4"/>
  <c r="G48" i="4"/>
  <c r="G40" i="4"/>
  <c r="G24" i="4"/>
  <c r="G12" i="4"/>
  <c r="H75" i="4"/>
  <c r="H67" i="4"/>
  <c r="H51" i="4"/>
  <c r="H39" i="4"/>
  <c r="H27" i="4"/>
  <c r="H15" i="4"/>
  <c r="H3" i="4"/>
  <c r="G75" i="4"/>
  <c r="G71" i="4"/>
  <c r="G67" i="4"/>
  <c r="G63" i="4"/>
  <c r="G59" i="4"/>
  <c r="G55" i="4"/>
  <c r="G51" i="4"/>
  <c r="G47" i="4"/>
  <c r="G43" i="4"/>
  <c r="G39" i="4"/>
  <c r="G35" i="4"/>
  <c r="G31" i="4"/>
  <c r="G27" i="4"/>
  <c r="G23" i="4"/>
  <c r="G19" i="4"/>
  <c r="G15" i="4"/>
  <c r="G11" i="4"/>
  <c r="G7" i="4"/>
  <c r="G3" i="4"/>
  <c r="H74" i="4"/>
  <c r="H70" i="4"/>
  <c r="H66" i="4"/>
  <c r="H62" i="4"/>
  <c r="H58" i="4"/>
  <c r="H54" i="4"/>
  <c r="H50" i="4"/>
  <c r="H46" i="4"/>
  <c r="H42" i="4"/>
  <c r="H38" i="4"/>
  <c r="H34" i="4"/>
  <c r="H30" i="4"/>
  <c r="H26" i="4"/>
  <c r="H22" i="4"/>
  <c r="H18" i="4"/>
  <c r="H14" i="4"/>
  <c r="H10" i="4"/>
  <c r="H6" i="4"/>
  <c r="H2" i="4"/>
  <c r="G52" i="4"/>
  <c r="G36" i="4"/>
  <c r="G20" i="4"/>
  <c r="G8" i="4"/>
  <c r="H71" i="4"/>
  <c r="H59" i="4"/>
  <c r="H47" i="4"/>
  <c r="H31" i="4"/>
  <c r="H19" i="4"/>
  <c r="H7" i="4"/>
  <c r="G74" i="4"/>
  <c r="G70" i="4"/>
  <c r="G66" i="4"/>
  <c r="G62" i="4"/>
  <c r="G58" i="4"/>
  <c r="G54" i="4"/>
  <c r="G50" i="4"/>
  <c r="G46" i="4"/>
  <c r="G42" i="4"/>
  <c r="G38" i="4"/>
  <c r="G34" i="4"/>
  <c r="G30" i="4"/>
  <c r="G26" i="4"/>
  <c r="G22" i="4"/>
  <c r="G18" i="4"/>
  <c r="G14" i="4"/>
  <c r="G10" i="4"/>
  <c r="G6" i="4"/>
  <c r="G2" i="4"/>
  <c r="H73" i="4"/>
  <c r="H69" i="4"/>
  <c r="H65" i="4"/>
  <c r="H61" i="4"/>
  <c r="H57" i="4"/>
  <c r="H53" i="4"/>
  <c r="H49" i="4"/>
  <c r="H45" i="4"/>
  <c r="H41" i="4"/>
  <c r="H37" i="4"/>
  <c r="H33" i="4"/>
  <c r="H29" i="4"/>
  <c r="H25" i="4"/>
  <c r="H21" i="4"/>
  <c r="H17" i="4"/>
  <c r="H13" i="4"/>
  <c r="H9" i="4"/>
  <c r="H5" i="4"/>
  <c r="G44" i="4"/>
  <c r="G32" i="4"/>
  <c r="G28" i="4"/>
  <c r="G16" i="4"/>
  <c r="G4" i="4"/>
  <c r="H63" i="4"/>
  <c r="H55" i="4"/>
  <c r="H43" i="4"/>
  <c r="H35" i="4"/>
  <c r="H23" i="4"/>
  <c r="H11" i="4"/>
  <c r="G73" i="4"/>
  <c r="G69" i="4"/>
  <c r="G65" i="4"/>
  <c r="G61" i="4"/>
  <c r="G57" i="4"/>
  <c r="G53" i="4"/>
  <c r="G49" i="4"/>
  <c r="G45" i="4"/>
  <c r="G41" i="4"/>
  <c r="G37" i="4"/>
  <c r="G33" i="4"/>
  <c r="G29" i="4"/>
  <c r="G25" i="4"/>
  <c r="G21" i="4"/>
  <c r="G17" i="4"/>
  <c r="G13" i="4"/>
  <c r="G9" i="4"/>
  <c r="G5" i="4"/>
  <c r="H76" i="4"/>
  <c r="H72" i="4"/>
  <c r="H68" i="4"/>
  <c r="H64" i="4"/>
  <c r="H60" i="4"/>
  <c r="H56" i="4"/>
  <c r="H52" i="4"/>
  <c r="H48" i="4"/>
  <c r="H44" i="4"/>
  <c r="H40" i="4"/>
  <c r="H36" i="4"/>
  <c r="H32" i="4"/>
  <c r="H28" i="4"/>
  <c r="H24" i="4"/>
  <c r="H20" i="4"/>
  <c r="H16" i="4"/>
  <c r="H12" i="4"/>
  <c r="H8" i="4"/>
  <c r="H4" i="4"/>
  <c r="K4" i="1"/>
  <c r="K3" i="1"/>
  <c r="H1" i="1" l="1"/>
  <c r="C4" i="1" s="1"/>
</calcChain>
</file>

<file path=xl/comments1.xml><?xml version="1.0" encoding="utf-8"?>
<comments xmlns="http://schemas.openxmlformats.org/spreadsheetml/2006/main">
  <authors>
    <author>Spenser Wang</author>
  </authors>
  <commentList>
    <comment ref="C4" authorId="0">
      <text>
        <r>
          <rPr>
            <sz val="9"/>
            <color indexed="81"/>
            <rFont val="Tahoma"/>
            <family val="2"/>
          </rPr>
          <t xml:space="preserve">Profit/Loss::InvJ000134--&gt;27.95_x000D_
</t>
        </r>
      </text>
    </comment>
    <comment ref="D4" authorId="0">
      <text>
        <r>
          <rPr>
            <sz val="9"/>
            <color indexed="81"/>
            <rFont val="Tahoma"/>
            <family val="2"/>
          </rPr>
          <t xml:space="preserve">Profit/Loss::InvJ000134--&gt;22593_x000D_
</t>
        </r>
      </text>
    </comment>
    <comment ref="E4" authorId="0">
      <text>
        <r>
          <rPr>
            <sz val="9"/>
            <color indexed="81"/>
            <rFont val="Tahoma"/>
            <family val="2"/>
          </rPr>
          <t xml:space="preserve">Profit/Loss::InvJ000134--&gt;25606_x000D_
</t>
        </r>
      </text>
    </comment>
    <comment ref="F4" authorId="0">
      <text>
        <r>
          <rPr>
            <sz val="9"/>
            <color indexed="81"/>
            <rFont val="Tahoma"/>
            <family val="2"/>
          </rPr>
          <t xml:space="preserve">Profit/Loss::InvJ000134--&gt;29_x000D_
</t>
        </r>
      </text>
    </comment>
    <comment ref="G4" authorId="0">
      <text>
        <r>
          <rPr>
            <sz val="9"/>
            <color indexed="81"/>
            <rFont val="Tahoma"/>
            <family val="2"/>
          </rPr>
          <t xml:space="preserve">Profit/Loss::InvJ000134--&gt;27101_x000D_
</t>
        </r>
      </text>
    </comment>
    <comment ref="H4" authorId="0">
      <text>
        <r>
          <rPr>
            <sz val="9"/>
            <color indexed="81"/>
            <rFont val="Tahoma"/>
            <family val="2"/>
          </rPr>
          <t xml:space="preserve">Profit/Loss::InvJ000134--&gt;28892_x000D_
</t>
        </r>
      </text>
    </comment>
    <comment ref="I4" authorId="0">
      <text>
        <r>
          <rPr>
            <sz val="9"/>
            <color indexed="81"/>
            <rFont val="Tahoma"/>
            <family val="2"/>
          </rPr>
          <t xml:space="preserve">Profit/Loss::InvJ000134--&gt;32992_x000D_
</t>
        </r>
      </text>
    </comment>
    <comment ref="J4" authorId="0">
      <text>
        <r>
          <rPr>
            <sz val="9"/>
            <color indexed="81"/>
            <rFont val="Tahoma"/>
            <family val="2"/>
          </rPr>
          <t xml:space="preserve">Profit/Loss::InvJ000134--&gt;12607_x000D_
</t>
        </r>
      </text>
    </comment>
    <comment ref="K4" authorId="0">
      <text>
        <r>
          <rPr>
            <sz val="9"/>
            <color indexed="81"/>
            <rFont val="Tahoma"/>
            <family val="2"/>
          </rPr>
          <t xml:space="preserve">Profit/Loss::InvJ000134--&gt;40_x000D_
</t>
        </r>
      </text>
    </comment>
    <comment ref="M4" authorId="0">
      <text>
        <r>
          <rPr>
            <sz val="9"/>
            <color indexed="81"/>
            <rFont val="Tahoma"/>
            <family val="2"/>
          </rPr>
          <t xml:space="preserve">Profit/Loss::InvJ000134--&gt;163.79_x000D_
</t>
        </r>
      </text>
    </comment>
    <comment ref="N4" authorId="0">
      <text>
        <r>
          <rPr>
            <sz val="9"/>
            <color indexed="81"/>
            <rFont val="Tahoma"/>
            <family val="2"/>
          </rPr>
          <t xml:space="preserve">Profit/Loss::InvJ000134--&gt;43.2_x000D_
Profit/Loss::InvJ000134--&gt;116.8_x000D_
</t>
        </r>
      </text>
    </comment>
    <comment ref="O4" authorId="0">
      <text>
        <r>
          <rPr>
            <sz val="9"/>
            <color indexed="81"/>
            <rFont val="Tahoma"/>
            <family val="2"/>
          </rPr>
          <t xml:space="preserve">Profit/Loss::InvJ000134--&gt;858.06_x000D_
</t>
        </r>
      </text>
    </comment>
    <comment ref="C5" authorId="0">
      <text>
        <r>
          <rPr>
            <sz val="9"/>
            <color indexed="81"/>
            <rFont val="Tahoma"/>
            <family val="2"/>
          </rPr>
          <t xml:space="preserve">Purchase order::ApP0000308--&gt;250000_x000D_
Production line::00000018_067--&gt;-1.85_x000D_
</t>
        </r>
      </text>
    </comment>
    <comment ref="D5" authorId="0">
      <text>
        <r>
          <rPr>
            <sz val="9"/>
            <color indexed="81"/>
            <rFont val="Tahoma"/>
            <family val="2"/>
          </rPr>
          <t xml:space="preserve">Production line::00000019_067--&gt;-375_x000D_
Purchase order::ApP0000308--&gt;80000_x000D_
Transfer::InvJ000127--&gt;-50000_x000D_
Transfer::InvJ000127--&gt;50000_x000D_
Production line::00000020_067--&gt;-75_x000D_
</t>
        </r>
      </text>
    </comment>
    <comment ref="E5" authorId="0">
      <text>
        <r>
          <rPr>
            <sz val="9"/>
            <color indexed="81"/>
            <rFont val="Tahoma"/>
            <family val="2"/>
          </rPr>
          <t xml:space="preserve">Production line::00000020_067--&gt;-200_x000D_
Transfer::InvJ000127--&gt;-50000_x000D_
Transfer::InvJ000127--&gt;50000_x000D_
Purchase order::ApP0000308--&gt;80000_x000D_
Production line::00000019_067--&gt;-1000_x000D_
</t>
        </r>
      </text>
    </comment>
    <comment ref="F5" authorId="0">
      <text>
        <r>
          <rPr>
            <sz val="9"/>
            <color indexed="81"/>
            <rFont val="Tahoma"/>
            <family val="2"/>
          </rPr>
          <t xml:space="preserve">Purchase order::ApP0000308--&gt;80000_x000D_
Production line::00000019_067--&gt;-5_x000D_
Production line::00000020_067--&gt;-1_x000D_
</t>
        </r>
      </text>
    </comment>
    <comment ref="G5" authorId="0">
      <text>
        <r>
          <rPr>
            <sz val="9"/>
            <color indexed="81"/>
            <rFont val="Tahoma"/>
            <family val="2"/>
          </rPr>
          <t xml:space="preserve">Production line::00000020_067--&gt;-100_x000D_
Transfer::InvJ000127--&gt;-50000_x000D_
Transfer::InvJ000127--&gt;50000_x000D_
Production line::00000019_067--&gt;-500_x000D_
Purchase order::ApP0000308--&gt;80000_x000D_
</t>
        </r>
      </text>
    </comment>
    <comment ref="H5" authorId="0">
      <text>
        <r>
          <rPr>
            <sz val="9"/>
            <color indexed="81"/>
            <rFont val="Tahoma"/>
            <family val="2"/>
          </rPr>
          <t xml:space="preserve">Purchase order::ApP0000308--&gt;80000_x000D_
Production line::00000019_067--&gt;-1250_x000D_
Transfer::InvJ000127--&gt;-50000_x000D_
Transfer::InvJ000127--&gt;50000_x000D_
Production line::00000020_067--&gt;-250_x000D_
</t>
        </r>
      </text>
    </comment>
    <comment ref="I5" authorId="0">
      <text>
        <r>
          <rPr>
            <sz val="9"/>
            <color indexed="81"/>
            <rFont val="Tahoma"/>
            <family val="2"/>
          </rPr>
          <t xml:space="preserve">Production line::00000020_067--&gt;-225_x000D_
Transfer::InvJ000127--&gt;-50000_x000D_
Transfer::InvJ000127--&gt;50000_x000D_
Production line::00000019_067--&gt;-1125_x000D_
Purchase order::ApP0000308--&gt;80000_x000D_
</t>
        </r>
      </text>
    </comment>
    <comment ref="J5" authorId="0">
      <text>
        <r>
          <rPr>
            <sz val="9"/>
            <color indexed="81"/>
            <rFont val="Tahoma"/>
            <family val="2"/>
          </rPr>
          <t xml:space="preserve">Purchase order::ApP0000308--&gt;80000_x000D_
Production line::00000019_067--&gt;-1000_x000D_
Transfer::InvJ000127--&gt;-50000_x000D_
Transfer::InvJ000127--&gt;50000_x000D_
Production line::00000020_067--&gt;-200_x000D_
</t>
        </r>
      </text>
    </comment>
    <comment ref="K5" authorId="0">
      <text>
        <r>
          <rPr>
            <sz val="9"/>
            <color indexed="81"/>
            <rFont val="Tahoma"/>
            <family val="2"/>
          </rPr>
          <t xml:space="preserve">Production::00000021_067--&gt;43_x000D_
Production::00000014_067--&gt;439_x000D_
</t>
        </r>
      </text>
    </comment>
    <comment ref="L5" authorId="0">
      <text>
        <r>
          <rPr>
            <sz val="9"/>
            <color indexed="81"/>
            <rFont val="Tahoma"/>
            <family val="2"/>
          </rPr>
          <t xml:space="preserve">Production line::00000014_067--&gt;-10975_x000D_
Production::00000020_067--&gt;1097.7_x000D_
Production::00000019_067--&gt;5488.5_x000D_
Production::00000016_067--&gt;5488.5_x000D_
Production line::00000021_067--&gt;-1075_x000D_
</t>
        </r>
      </text>
    </comment>
    <comment ref="M5" authorId="0">
      <text>
        <r>
          <rPr>
            <sz val="9"/>
            <color indexed="81"/>
            <rFont val="Tahoma"/>
            <family val="2"/>
          </rPr>
          <t xml:space="preserve">Purchase order::ApP0000308--&gt;200000_x000D_
Production line::00000020_067--&gt;-25_x000D_
Production line::00000019_067--&gt;-125_x000D_
</t>
        </r>
      </text>
    </comment>
    <comment ref="N5" authorId="0">
      <text>
        <r>
          <rPr>
            <sz val="9"/>
            <color indexed="81"/>
            <rFont val="Tahoma"/>
            <family val="2"/>
          </rPr>
          <t xml:space="preserve">Production line::00000019_067--&gt;-13.5_x000D_
Production line::00000020_067--&gt;-2.7_x000D_
Production::00000015_067--&gt;4518.5_x000D_
Production::00000017_067--&gt;451.85_x000D_
Production::00000018_067--&gt;451.85_x000D_
</t>
        </r>
      </text>
    </comment>
    <comment ref="O5" authorId="0">
      <text>
        <r>
          <rPr>
            <sz val="9"/>
            <color indexed="81"/>
            <rFont val="Tahoma"/>
            <family val="2"/>
          </rPr>
          <t xml:space="preserve">Production line::00000018_067--&gt;-450_x000D_
Purchase order::ApP0000308--&gt;125000_x000D_
</t>
        </r>
      </text>
    </comment>
    <comment ref="C6" authorId="0">
      <text>
        <r>
          <rPr>
            <sz val="9"/>
            <color indexed="81"/>
            <rFont val="Tahoma"/>
            <family val="2"/>
          </rPr>
          <t xml:space="preserve">Production line::00000022_067--&gt;-1.85_x000D_
</t>
        </r>
      </text>
    </comment>
    <comment ref="N6" authorId="0">
      <text>
        <r>
          <rPr>
            <sz val="9"/>
            <color indexed="81"/>
            <rFont val="Tahoma"/>
            <family val="2"/>
          </rPr>
          <t xml:space="preserve">Production::00000022_067--&gt;451.85_x000D_
</t>
        </r>
      </text>
    </comment>
    <comment ref="O6" authorId="0">
      <text>
        <r>
          <rPr>
            <sz val="9"/>
            <color indexed="81"/>
            <rFont val="Tahoma"/>
            <family val="2"/>
          </rPr>
          <t xml:space="preserve">Production line::00000023_067--&gt;-10_x000D_
Production line::00000022_067--&gt;-450_x000D_
</t>
        </r>
      </text>
    </comment>
    <comment ref="C7" authorId="0">
      <text>
        <r>
          <rPr>
            <sz val="9"/>
            <color indexed="81"/>
            <rFont val="Tahoma"/>
            <family val="2"/>
          </rPr>
          <t xml:space="preserve">Production line::00000024_067--&gt;-18.5_x000D_
</t>
        </r>
      </text>
    </comment>
    <comment ref="D7" authorId="0">
      <text>
        <r>
          <rPr>
            <sz val="9"/>
            <color indexed="81"/>
            <rFont val="Tahoma"/>
            <family val="2"/>
          </rPr>
          <t xml:space="preserve">Production line::00000025_067--&gt;-750_x000D_
</t>
        </r>
      </text>
    </comment>
    <comment ref="E7" authorId="0">
      <text>
        <r>
          <rPr>
            <sz val="9"/>
            <color indexed="81"/>
            <rFont val="Tahoma"/>
            <family val="2"/>
          </rPr>
          <t xml:space="preserve">Production line::00000025_067--&gt;-2000_x000D_
</t>
        </r>
      </text>
    </comment>
    <comment ref="F7" authorId="0">
      <text>
        <r>
          <rPr>
            <sz val="9"/>
            <color indexed="81"/>
            <rFont val="Tahoma"/>
            <family val="2"/>
          </rPr>
          <t xml:space="preserve">Production line::00000025_067--&gt;-10_x000D_
</t>
        </r>
      </text>
    </comment>
    <comment ref="G7" authorId="0">
      <text>
        <r>
          <rPr>
            <sz val="9"/>
            <color indexed="81"/>
            <rFont val="Tahoma"/>
            <family val="2"/>
          </rPr>
          <t xml:space="preserve">Production line::00000025_067--&gt;-1000_x000D_
</t>
        </r>
      </text>
    </comment>
    <comment ref="H7" authorId="0">
      <text>
        <r>
          <rPr>
            <sz val="9"/>
            <color indexed="81"/>
            <rFont val="Tahoma"/>
            <family val="2"/>
          </rPr>
          <t xml:space="preserve">Production line::00000025_067--&gt;-2500_x000D_
</t>
        </r>
      </text>
    </comment>
    <comment ref="I7" authorId="0">
      <text>
        <r>
          <rPr>
            <sz val="9"/>
            <color indexed="81"/>
            <rFont val="Tahoma"/>
            <family val="2"/>
          </rPr>
          <t xml:space="preserve">Production line::00000025_067--&gt;-2250_x000D_
</t>
        </r>
      </text>
    </comment>
    <comment ref="J7" authorId="0">
      <text>
        <r>
          <rPr>
            <sz val="9"/>
            <color indexed="81"/>
            <rFont val="Tahoma"/>
            <family val="2"/>
          </rPr>
          <t xml:space="preserve">Production line::00000025_067--&gt;-2000_x000D_
</t>
        </r>
      </text>
    </comment>
    <comment ref="K7" authorId="0">
      <text>
        <r>
          <rPr>
            <sz val="9"/>
            <color indexed="81"/>
            <rFont val="Tahoma"/>
            <family val="2"/>
          </rPr>
          <t xml:space="preserve">Production::00000026_067--&gt;440_x000D_
</t>
        </r>
      </text>
    </comment>
    <comment ref="L7" authorId="0">
      <text>
        <r>
          <rPr>
            <sz val="9"/>
            <color indexed="81"/>
            <rFont val="Tahoma"/>
            <family val="2"/>
          </rPr>
          <t xml:space="preserve">Production line::00000026_067--&gt;-11000_x000D_
Production::00000025_067--&gt;10975.3_x000D_
Production::00000025_067--&gt;1.7_x000D_
</t>
        </r>
      </text>
    </comment>
    <comment ref="M7" authorId="0">
      <text>
        <r>
          <rPr>
            <sz val="9"/>
            <color indexed="81"/>
            <rFont val="Tahoma"/>
            <family val="2"/>
          </rPr>
          <t xml:space="preserve">Production line::00000025_067--&gt;-250_x000D_
</t>
        </r>
      </text>
    </comment>
    <comment ref="N7" authorId="0">
      <text>
        <r>
          <rPr>
            <sz val="9"/>
            <color indexed="81"/>
            <rFont val="Tahoma"/>
            <family val="2"/>
          </rPr>
          <t xml:space="preserve">Production::00000024_067--&gt;4518.5_x000D_
Production line::00000025_067--&gt;-27_x000D_
</t>
        </r>
      </text>
    </comment>
    <comment ref="O7" authorId="0">
      <text>
        <r>
          <rPr>
            <sz val="9"/>
            <color indexed="81"/>
            <rFont val="Tahoma"/>
            <family val="2"/>
          </rPr>
          <t xml:space="preserve">Production line::00000024_067--&gt;-4500_x000D_
</t>
        </r>
      </text>
    </comment>
  </commentList>
</comments>
</file>

<file path=xl/sharedStrings.xml><?xml version="1.0" encoding="utf-8"?>
<sst xmlns="http://schemas.openxmlformats.org/spreadsheetml/2006/main" count="1721" uniqueCount="255">
  <si>
    <t>Company:</t>
  </si>
  <si>
    <t>From date:</t>
  </si>
  <si>
    <t>To date:</t>
  </si>
  <si>
    <t>MM.DD.YYYY</t>
  </si>
  <si>
    <t>Item number</t>
  </si>
  <si>
    <t>Reference</t>
  </si>
  <si>
    <t>Number</t>
  </si>
  <si>
    <t>Physical date</t>
  </si>
  <si>
    <t>Financial date</t>
  </si>
  <si>
    <t>Quantity</t>
  </si>
  <si>
    <t>Item name</t>
  </si>
  <si>
    <t>Unit</t>
  </si>
  <si>
    <t>Warehouse</t>
  </si>
  <si>
    <t>DD.MM.YYYY</t>
  </si>
  <si>
    <t>Region</t>
  </si>
  <si>
    <t>Date format</t>
  </si>
  <si>
    <t xml:space="preserve">0. European </t>
  </si>
  <si>
    <t>1. Germany</t>
  </si>
  <si>
    <t>TT.MM.JJJJ</t>
  </si>
  <si>
    <t>2. Netherland</t>
  </si>
  <si>
    <t>DD.MM.JJJJ</t>
  </si>
  <si>
    <t>3. America</t>
  </si>
  <si>
    <t>Date format:</t>
  </si>
  <si>
    <t>Date range:</t>
  </si>
  <si>
    <t>Receipt status</t>
  </si>
  <si>
    <t>Issue status</t>
  </si>
  <si>
    <t>Total</t>
  </si>
  <si>
    <t>AK-010</t>
  </si>
  <si>
    <t>Production line</t>
  </si>
  <si>
    <t>00000018_067</t>
  </si>
  <si>
    <t>None</t>
  </si>
  <si>
    <t>Sold</t>
  </si>
  <si>
    <t>00000022_067</t>
  </si>
  <si>
    <t>00000024_067</t>
  </si>
  <si>
    <t>CE-070</t>
  </si>
  <si>
    <t>00000020_067</t>
  </si>
  <si>
    <t>00000019_067</t>
  </si>
  <si>
    <t>00000025_067</t>
  </si>
  <si>
    <t>CE-080</t>
  </si>
  <si>
    <t>FL-010</t>
  </si>
  <si>
    <t>FS-550</t>
  </si>
  <si>
    <t>FS-560</t>
  </si>
  <si>
    <t>FS-570</t>
  </si>
  <si>
    <t>FS-580</t>
  </si>
  <si>
    <t>MO082F</t>
  </si>
  <si>
    <t>Production</t>
  </si>
  <si>
    <t>00000014_067</t>
  </si>
  <si>
    <t>Purchased</t>
  </si>
  <si>
    <t>00000021_067</t>
  </si>
  <si>
    <t>00000026_067</t>
  </si>
  <si>
    <t>MO082F-1</t>
  </si>
  <si>
    <t>00000016_067</t>
  </si>
  <si>
    <t>PG-470</t>
  </si>
  <si>
    <t>SPMO001</t>
  </si>
  <si>
    <t>00000015_067</t>
  </si>
  <si>
    <t>00000017_067</t>
  </si>
  <si>
    <t>Received</t>
  </si>
  <si>
    <t>SS-250</t>
  </si>
  <si>
    <t>00000023_067</t>
  </si>
  <si>
    <t>Deducted</t>
  </si>
  <si>
    <t>Aluminum powder 10890</t>
  </si>
  <si>
    <t>SP</t>
  </si>
  <si>
    <t>CEM I 52,5 R</t>
  </si>
  <si>
    <t>SILO</t>
  </si>
  <si>
    <t>CEM I 52,5 N/SR</t>
  </si>
  <si>
    <t>Fibre dramix</t>
  </si>
  <si>
    <t>Silica sand 0,1-0,5</t>
  </si>
  <si>
    <t>Silica sand 0,5-1,0</t>
  </si>
  <si>
    <t>Silica sand 1,0 - 2,0</t>
  </si>
  <si>
    <t>Silica sand 2,0 - 3,0</t>
  </si>
  <si>
    <t>FERROGROUT-A BLACK (25KG)</t>
  </si>
  <si>
    <t>FERROGROUT-A BLACK (KG)</t>
  </si>
  <si>
    <t>BAYFERROX BLACK 320</t>
  </si>
  <si>
    <t>ADITIVO T-1</t>
  </si>
  <si>
    <t>MELMENT F-10</t>
  </si>
  <si>
    <t>KG</t>
  </si>
  <si>
    <t>PCS</t>
  </si>
  <si>
    <t>AA-010</t>
  </si>
  <si>
    <t>Sodium aluminate powder</t>
  </si>
  <si>
    <t>Profit/Loss</t>
  </si>
  <si>
    <t>InvJ000134</t>
  </si>
  <si>
    <t>AA-020</t>
  </si>
  <si>
    <t>Lithium carbonate</t>
  </si>
  <si>
    <t>AA-030</t>
  </si>
  <si>
    <t>Light sodium carbonate</t>
  </si>
  <si>
    <t>AD-320</t>
  </si>
  <si>
    <t>BYK-A 530</t>
  </si>
  <si>
    <t>Purchase order</t>
  </si>
  <si>
    <t>ApP0000308</t>
  </si>
  <si>
    <t>AP-010</t>
  </si>
  <si>
    <t>BORRESPERSE NA 220</t>
  </si>
  <si>
    <t>AR-010</t>
  </si>
  <si>
    <t>Tartaric acid</t>
  </si>
  <si>
    <t>ARMOWET025RB</t>
  </si>
  <si>
    <t>S&amp;P ARMO-crete w (rb) 25kg bag</t>
  </si>
  <si>
    <t>AW-010</t>
  </si>
  <si>
    <t>VINNAPAS 8031</t>
  </si>
  <si>
    <t>CE-050</t>
  </si>
  <si>
    <t>ELECTROLAND</t>
  </si>
  <si>
    <t>CE-060</t>
  </si>
  <si>
    <t>DENKA SC1</t>
  </si>
  <si>
    <t>Transfer</t>
  </si>
  <si>
    <t>InvJ000127</t>
  </si>
  <si>
    <t>CS240200300</t>
  </si>
  <si>
    <t>S&amp;P C-Sheet 240 200 g/m2</t>
  </si>
  <si>
    <t>M²</t>
  </si>
  <si>
    <t>ApP0000309</t>
  </si>
  <si>
    <t>CS240300300</t>
  </si>
  <si>
    <t>S&amp;P C-Sheet 240 300 g/m2</t>
  </si>
  <si>
    <t>CS240400300</t>
  </si>
  <si>
    <t>S&amp;P C-Sheet 240 400 g/m2</t>
  </si>
  <si>
    <t>CS240600300</t>
  </si>
  <si>
    <t>S&amp;P C-Sheet 240 600 g/m2</t>
  </si>
  <si>
    <t>CT-670</t>
  </si>
  <si>
    <t>ARADUR 2965CH</t>
  </si>
  <si>
    <t>FN-010</t>
  </si>
  <si>
    <t>NEUFLEX 4 mm</t>
  </si>
  <si>
    <t>FR-010</t>
  </si>
  <si>
    <t>FIBERCAST 500 19 mm</t>
  </si>
  <si>
    <t>FS-540</t>
  </si>
  <si>
    <t>Silica sand 0,2</t>
  </si>
  <si>
    <t>FS-590</t>
  </si>
  <si>
    <t>Silica sand 3,0 - 5,0</t>
  </si>
  <si>
    <t>FT-680</t>
  </si>
  <si>
    <t>INDULTAC-10</t>
  </si>
  <si>
    <t>FT-690</t>
  </si>
  <si>
    <t>BENTONE SD2</t>
  </si>
  <si>
    <t>FX225_rb</t>
  </si>
  <si>
    <t>FX225 Repair Mortar Underwater 25KG bag</t>
  </si>
  <si>
    <t>IM080F</t>
  </si>
  <si>
    <t>TECNOIMPER-FLEX (A+B 28.4KG)</t>
  </si>
  <si>
    <t>IM092F</t>
  </si>
  <si>
    <t>TECNOIMPER (25KG)</t>
  </si>
  <si>
    <t>LA15005012</t>
  </si>
  <si>
    <t>S&amp;P C-Laminate SM (150/2000) 50/1.2</t>
  </si>
  <si>
    <t>M</t>
  </si>
  <si>
    <t>Sales order</t>
  </si>
  <si>
    <t>SO0000468</t>
  </si>
  <si>
    <t>SO0000469</t>
  </si>
  <si>
    <t>SO0000470</t>
  </si>
  <si>
    <t>InvJ000142</t>
  </si>
  <si>
    <t>Counting</t>
  </si>
  <si>
    <t>InvJ000143</t>
  </si>
  <si>
    <t>Transaction</t>
  </si>
  <si>
    <t>InvJ000144</t>
  </si>
  <si>
    <t>InvJ000145</t>
  </si>
  <si>
    <t>InvJ000135</t>
  </si>
  <si>
    <t>InvJ000136</t>
  </si>
  <si>
    <t>InvJ000137</t>
  </si>
  <si>
    <t>ApP0000321</t>
  </si>
  <si>
    <t>ApP0000320</t>
  </si>
  <si>
    <t>LA15005014</t>
  </si>
  <si>
    <t>S&amp;P C-Laminate SM (150/2000) 50/1.4</t>
  </si>
  <si>
    <t>LA15008012</t>
  </si>
  <si>
    <t>S&amp;P C-Laminate SM (150/2000) 80/1.2</t>
  </si>
  <si>
    <t>ApP0000310</t>
  </si>
  <si>
    <t>ApP0000316</t>
  </si>
  <si>
    <t>ApP0000317</t>
  </si>
  <si>
    <t>LA15008014</t>
  </si>
  <si>
    <t>S&amp;P C-Laminate SM (150/2000) 80/1.4</t>
  </si>
  <si>
    <t>ApP0000311</t>
  </si>
  <si>
    <t>ApP0000313</t>
  </si>
  <si>
    <t>LA15010012</t>
  </si>
  <si>
    <t>S&amp;P C-Laminate SM (150/2000) 100/1.2</t>
  </si>
  <si>
    <t>LA15010014</t>
  </si>
  <si>
    <t>S&amp;P C-Laminate SM (150/2000) 100/1.4</t>
  </si>
  <si>
    <t>LA15012012</t>
  </si>
  <si>
    <t>S&amp;P C-Laminate SM (150/2000) 120/1.2</t>
  </si>
  <si>
    <t>LA15012014</t>
  </si>
  <si>
    <t>S&amp;P C-Laminate SM (150/2000) 120/1.4</t>
  </si>
  <si>
    <t>MA-130</t>
  </si>
  <si>
    <t>ENCOR 5100</t>
  </si>
  <si>
    <t>MO041F</t>
  </si>
  <si>
    <t>TECNOGROUT-N (25KG)</t>
  </si>
  <si>
    <t>MO042F</t>
  </si>
  <si>
    <t>TECNOGROUT-N RAPIDO (25KG)</t>
  </si>
  <si>
    <t>MO043F</t>
  </si>
  <si>
    <t>TECNOGROUT-N/PR (25KG)</t>
  </si>
  <si>
    <t>MO044F</t>
  </si>
  <si>
    <t>TECNOGROUT-N/PR RAPIDO (25KG)</t>
  </si>
  <si>
    <t>MO045F</t>
  </si>
  <si>
    <t>TECNOGROUT-N/GR (25KG)</t>
  </si>
  <si>
    <t>MO051F</t>
  </si>
  <si>
    <t>TECNOGROUT-K (25KG)</t>
  </si>
  <si>
    <t>MO075F</t>
  </si>
  <si>
    <t>TECNOGROUT-FIB (25KG)</t>
  </si>
  <si>
    <t>MO081F</t>
  </si>
  <si>
    <t>FERROGROUT-A (25KG)</t>
  </si>
  <si>
    <t>MO083F</t>
  </si>
  <si>
    <t>FERROGROUT-A RAPIDO (25KG)</t>
  </si>
  <si>
    <t>MO100F</t>
  </si>
  <si>
    <t>TECNOSTOP (25KG)</t>
  </si>
  <si>
    <t>MPRE077</t>
  </si>
  <si>
    <t>RALVADUR MATE</t>
  </si>
  <si>
    <t>PG-461</t>
  </si>
  <si>
    <t>Oxined white</t>
  </si>
  <si>
    <t>PI010C</t>
  </si>
  <si>
    <t>TECNOPINT</t>
  </si>
  <si>
    <t>PM-630</t>
  </si>
  <si>
    <t>Lead oxide</t>
  </si>
  <si>
    <t>RE070F</t>
  </si>
  <si>
    <t>TECNOPOX-FL (A+B 2KG)</t>
  </si>
  <si>
    <t>RE080F</t>
  </si>
  <si>
    <t>TECNOPOX-FL (A+B 5KG)</t>
  </si>
  <si>
    <t>RE231F</t>
  </si>
  <si>
    <t>ADHEPOX-SPFM (A+B 5KG)</t>
  </si>
  <si>
    <t>RE-290</t>
  </si>
  <si>
    <t>ARALDITE GY 257</t>
  </si>
  <si>
    <t>RE-300</t>
  </si>
  <si>
    <t>ARALDITE GY 250</t>
  </si>
  <si>
    <t>SF-150</t>
  </si>
  <si>
    <t>BYK-P 104</t>
  </si>
  <si>
    <t>SF-160</t>
  </si>
  <si>
    <t>ANTITERRA-U</t>
  </si>
  <si>
    <t>SHRESEPO55HP6KG</t>
  </si>
  <si>
    <t>S&amp;P Resin 55 HP
(Set à 6kg)</t>
  </si>
  <si>
    <t>SPMO002</t>
  </si>
  <si>
    <t>ADITIVO T-2</t>
  </si>
  <si>
    <t>SS-240</t>
  </si>
  <si>
    <t>FLUBE OS 139</t>
  </si>
  <si>
    <t>ST-010</t>
  </si>
  <si>
    <t>XYLENE</t>
  </si>
  <si>
    <t>SV-300</t>
  </si>
  <si>
    <t>BENZYL ALCOHOL</t>
  </si>
  <si>
    <t>SV-390</t>
  </si>
  <si>
    <t>TOLUENE</t>
  </si>
  <si>
    <t>TP-340</t>
  </si>
  <si>
    <t>TYLOSE MH 15003 P6</t>
  </si>
  <si>
    <t>TS-440</t>
  </si>
  <si>
    <t>MICRONIZADO G-100</t>
  </si>
  <si>
    <t>Item group</t>
  </si>
  <si>
    <t>Material</t>
  </si>
  <si>
    <t>Product</t>
  </si>
  <si>
    <t>Component</t>
  </si>
  <si>
    <t>Period Beginning:</t>
  </si>
  <si>
    <t>Period Ending:</t>
  </si>
  <si>
    <t>Item Number:</t>
  </si>
  <si>
    <t>*</t>
  </si>
  <si>
    <t>Item Type:</t>
  </si>
  <si>
    <t>!Service</t>
  </si>
  <si>
    <t>Posted quantity</t>
  </si>
  <si>
    <t>Trans backwords(Beginning)</t>
  </si>
  <si>
    <t>Trans backwords(Ending)</t>
  </si>
  <si>
    <t>Beginning On-hand</t>
  </si>
  <si>
    <t>Ending On-hand</t>
  </si>
  <si>
    <t>Date</t>
  </si>
  <si>
    <t>Steps:</t>
  </si>
  <si>
    <t>Specify date region in K1</t>
  </si>
  <si>
    <t>You might need to try different options to find the proper one</t>
  </si>
  <si>
    <t>Put in criterions (C3, G3, C6, C7)</t>
  </si>
  <si>
    <t>click "Refresh" button in tab page "Atlas 5.1"</t>
  </si>
  <si>
    <t>click button "Generate Report" to get the on-hand date control report in sheet "Report"</t>
  </si>
  <si>
    <t>Version:</t>
  </si>
  <si>
    <t>V1</t>
  </si>
  <si>
    <t>Initial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</si>
</sst>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name val="Calibri"/>
      <family val="3"/>
      <charset val="134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1"/>
    <xf numFmtId="14" fontId="0" fillId="0" borderId="0" xfId="0" applyNumberFormat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43" fontId="0" fillId="0" borderId="0" xfId="2" applyFont="1"/>
    <xf numFmtId="0" fontId="0" fillId="0" borderId="0" xfId="0" applyAlignment="1">
      <alignment wrapText="1" shrinkToFit="1"/>
    </xf>
  </cellXfs>
  <cellStyles count="3">
    <cellStyle name="Comma" xfId="2" builtinId="3"/>
    <cellStyle name="Normal" xfId="0" builtinId="0"/>
    <cellStyle name="Normal_General" xfId="1"/>
  </cellStyles>
  <dxfs count="43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6</xdr:row>
          <xdr:rowOff>9525</xdr:rowOff>
        </xdr:from>
        <xdr:to>
          <xdr:col>13</xdr:col>
          <xdr:colOff>0</xdr:colOff>
          <xdr:row>11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G2:AH6" totalsRowShown="0" headerRowCellStyle="Normal_General" dataCellStyle="Normal_General">
  <autoFilter ref="AG2:AH6"/>
  <tableColumns count="2">
    <tableColumn id="1" name="Region" dataCellStyle="Normal_General"/>
    <tableColumn id="2" name="Date format" dataCellStyle="Normal_Gener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AtlasReport_1_Table_1" displayName="AtlasReport_1_Table_1" ref="A1:L176" totalsRowCount="1">
  <autoFilter ref="A1:L175"/>
  <tableColumns count="12">
    <tableColumn id="1" name="Item number" totalsRowLabel="Total" dataDxfId="42"/>
    <tableColumn id="2" name="Item name" dataDxfId="41"/>
    <tableColumn id="3" name="Item group" dataDxfId="40"/>
    <tableColumn id="4" name="Warehouse" dataDxfId="39"/>
    <tableColumn id="5" name="Reference" dataDxfId="38"/>
    <tableColumn id="6" name="Number" dataDxfId="37"/>
    <tableColumn id="7" name="Physical date" dataDxfId="36"/>
    <tableColumn id="8" name="Financial date" dataDxfId="35"/>
    <tableColumn id="9" name="Receipt status" dataDxfId="34"/>
    <tableColumn id="10" name="Issue status" dataDxfId="33"/>
    <tableColumn id="11" name="Quantity" totalsRowFunction="sum" dataDxfId="32"/>
    <tableColumn id="12" name="Unit" dataDxfId="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AtlasReport_2_Table_1" displayName="AtlasReport_2_Table_1" ref="A1:H77" totalsRowCount="1">
  <autoFilter ref="A1:H76"/>
  <tableColumns count="8">
    <tableColumn id="1" name="Item number" totalsRowLabel="Total" dataDxfId="30" totalsRowDxfId="7"/>
    <tableColumn id="2" name="Posted quantity" totalsRowFunction="sum" dataDxfId="29" totalsRowDxfId="6"/>
    <tableColumn id="3" name="Deducted" totalsRowFunction="sum" dataDxfId="28" totalsRowDxfId="5"/>
    <tableColumn id="4" name="Received" totalsRowFunction="sum" dataDxfId="27" totalsRowDxfId="4"/>
    <tableColumn id="5" name="Trans backwords(Beginning)" dataDxfId="26" totalsRowDxfId="3">
      <calculatedColumnFormula>_xll.AtlasFormulas.AtlasFunctions.AtlasBalance("UAT",DataAreaId,"T.InventTrans","Sum|Qty|0","","","","","","","ItemId|DatePhysical",$A2,PeriodBeginning)</calculatedColumnFormula>
    </tableColumn>
    <tableColumn id="6" name="Trans backwords(Ending)" dataDxfId="25" totalsRowDxfId="2">
      <calculatedColumnFormula>_xll.AtlasFormulas.AtlasFunctions.AtlasBalance("UAT",DataAreaId,"T.InventTrans","Sum|Qty|0","","","","","","","ItemId|DatePhysical",$A2,PeriodEnding)</calculatedColumnFormula>
    </tableColumn>
    <tableColumn id="7" name="Beginning On-hand" dataDxfId="24" totalsRowDxfId="1">
      <calculatedColumnFormula>AtlasReport_2_Table_1[[#This Row],[Posted quantity]]-AtlasReport_2_Table_1[[#This Row],[Deducted]]+AtlasReport_2_Table_1[[#This Row],[Received]]-AtlasReport_2_Table_1[[#This Row],[Trans backwords(Beginning)]]</calculatedColumnFormula>
    </tableColumn>
    <tableColumn id="8" name="Ending On-hand" dataDxfId="23" totalsRowDxfId="0">
      <calculatedColumnFormula>AtlasReport_2_Table_1[[#This Row],[Posted quantity]]-AtlasReport_2_Table_1[[#This Row],[Deducted]]+AtlasReport_2_Table_1[[#This Row],[Received]]-AtlasReport_2_Table_1[[#This Row],[Trans backwords(Ending)]]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1" name="Report" displayName="Report" ref="B3:O8" totalsRowShown="0" dataDxfId="8" dataCellStyle="Comma">
  <autoFilter ref="B3:O8"/>
  <tableColumns count="14">
    <tableColumn id="1" name="Date" dataDxfId="22"/>
    <tableColumn id="2" name="AK-010" dataDxfId="21" dataCellStyle="Comma"/>
    <tableColumn id="3" name="CE-070" dataDxfId="20" dataCellStyle="Comma"/>
    <tableColumn id="4" name="CE-080" dataDxfId="19" dataCellStyle="Comma"/>
    <tableColumn id="5" name="FL-010" dataDxfId="18" dataCellStyle="Comma"/>
    <tableColumn id="6" name="FS-550" dataDxfId="17" dataCellStyle="Comma"/>
    <tableColumn id="7" name="FS-560" dataDxfId="16" dataCellStyle="Comma"/>
    <tableColumn id="8" name="FS-570" dataDxfId="15" dataCellStyle="Comma"/>
    <tableColumn id="9" name="FS-580" dataDxfId="14" dataCellStyle="Comma"/>
    <tableColumn id="10" name="MO082F" dataDxfId="13" dataCellStyle="Comma"/>
    <tableColumn id="11" name="MO082F-1" dataDxfId="12" dataCellStyle="Comma"/>
    <tableColumn id="12" name="PG-470" dataDxfId="11" dataCellStyle="Comma"/>
    <tableColumn id="13" name="SPMO001" dataDxfId="10" dataCellStyle="Comma"/>
    <tableColumn id="14" name="SS-250" dataDxfId="9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H20"/>
  <sheetViews>
    <sheetView workbookViewId="0">
      <selection activeCell="E7" sqref="E7"/>
    </sheetView>
  </sheetViews>
  <sheetFormatPr defaultRowHeight="15"/>
  <cols>
    <col min="3" max="3" width="9.7109375" bestFit="1" customWidth="1"/>
    <col min="7" max="7" width="10.7109375" bestFit="1" customWidth="1"/>
    <col min="33" max="33" width="9.28515625" customWidth="1"/>
    <col min="34" max="34" width="13.7109375" customWidth="1"/>
  </cols>
  <sheetData>
    <row r="1" spans="2:34">
      <c r="H1" t="str">
        <f>VLOOKUP(DateRegion,Table1[#All],2,0)</f>
        <v>MM.DD.YYYY</v>
      </c>
      <c r="J1" t="s">
        <v>22</v>
      </c>
      <c r="K1" t="s">
        <v>21</v>
      </c>
    </row>
    <row r="2" spans="2:34">
      <c r="B2" t="s">
        <v>0</v>
      </c>
      <c r="C2">
        <v>371</v>
      </c>
      <c r="AG2" s="1" t="s">
        <v>14</v>
      </c>
      <c r="AH2" s="1" t="s">
        <v>15</v>
      </c>
    </row>
    <row r="3" spans="2:34">
      <c r="B3" t="s">
        <v>1</v>
      </c>
      <c r="C3" s="2">
        <v>43070</v>
      </c>
      <c r="F3" t="s">
        <v>2</v>
      </c>
      <c r="G3" s="2">
        <v>43100</v>
      </c>
      <c r="J3" t="s">
        <v>234</v>
      </c>
      <c r="K3" t="str">
        <f>TEXT(FromDate,DateFormat) &amp; " .. " &amp; TEXT(DATE(2099,12,31),DateFormat)</f>
        <v>12.01.2017 .. 12.31.2099</v>
      </c>
      <c r="AG3" s="1" t="s">
        <v>16</v>
      </c>
      <c r="AH3" s="1" t="s">
        <v>13</v>
      </c>
    </row>
    <row r="4" spans="2:34">
      <c r="B4" t="s">
        <v>23</v>
      </c>
      <c r="C4" t="str">
        <f>TEXT(FromDate,DateFormat) &amp; " .. " &amp; TEXT(ToDate,DateFormat)</f>
        <v>12.01.2017 .. 12.31.2017</v>
      </c>
      <c r="J4" t="s">
        <v>235</v>
      </c>
      <c r="K4" t="str">
        <f>TEXT(ToDate+1,DateFormat) &amp; " .. " &amp; TEXT(DATE(2099,12,31),DateFormat)</f>
        <v>01.01.2018 .. 12.31.2099</v>
      </c>
      <c r="AG4" s="1" t="s">
        <v>17</v>
      </c>
      <c r="AH4" s="1" t="s">
        <v>18</v>
      </c>
    </row>
    <row r="5" spans="2:34">
      <c r="AG5" s="1" t="s">
        <v>19</v>
      </c>
      <c r="AH5" s="1" t="s">
        <v>20</v>
      </c>
    </row>
    <row r="6" spans="2:34">
      <c r="B6" t="s">
        <v>236</v>
      </c>
      <c r="C6" t="s">
        <v>237</v>
      </c>
      <c r="AG6" s="1" t="s">
        <v>21</v>
      </c>
      <c r="AH6" s="1" t="s">
        <v>3</v>
      </c>
    </row>
    <row r="7" spans="2:34">
      <c r="B7" t="s">
        <v>238</v>
      </c>
      <c r="C7" t="s">
        <v>239</v>
      </c>
    </row>
    <row r="10" spans="2:34">
      <c r="B10" t="s">
        <v>246</v>
      </c>
    </row>
    <row r="11" spans="2:34">
      <c r="B11">
        <v>1</v>
      </c>
      <c r="C11" t="s">
        <v>247</v>
      </c>
    </row>
    <row r="12" spans="2:34">
      <c r="C12" t="s">
        <v>248</v>
      </c>
    </row>
    <row r="13" spans="2:34">
      <c r="B13">
        <v>2</v>
      </c>
      <c r="C13" t="s">
        <v>249</v>
      </c>
    </row>
    <row r="14" spans="2:34">
      <c r="B14">
        <v>3</v>
      </c>
      <c r="C14" t="s">
        <v>250</v>
      </c>
    </row>
    <row r="15" spans="2:34">
      <c r="B15">
        <v>4</v>
      </c>
      <c r="C15" t="s">
        <v>251</v>
      </c>
    </row>
    <row r="19" spans="2:4">
      <c r="B19" t="s">
        <v>252</v>
      </c>
    </row>
    <row r="20" spans="2:4">
      <c r="B20" t="s">
        <v>253</v>
      </c>
      <c r="C20" s="2">
        <v>43105</v>
      </c>
      <c r="D20" t="s">
        <v>254</v>
      </c>
    </row>
  </sheetData>
  <phoneticPr fontId="3" type="noConversion"/>
  <dataValidations count="1">
    <dataValidation type="list" allowBlank="1" showInputMessage="1" showErrorMessage="1" sqref="K1">
      <formula1>Region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9</xdr:col>
                    <xdr:colOff>19050</xdr:colOff>
                    <xdr:row>6</xdr:row>
                    <xdr:rowOff>9525</xdr:rowOff>
                  </from>
                  <to>
                    <xdr:col>13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78"/>
  <sheetViews>
    <sheetView workbookViewId="0">
      <selection activeCell="L2" sqref="L2"/>
    </sheetView>
  </sheetViews>
  <sheetFormatPr defaultRowHeight="15"/>
  <cols>
    <col min="1" max="1" width="11.140625" customWidth="1"/>
    <col min="2" max="2" width="27.7109375" customWidth="1"/>
    <col min="3" max="3" width="13" customWidth="1"/>
    <col min="4" max="4" width="5.85546875" customWidth="1"/>
    <col min="5" max="5" width="15.5703125" customWidth="1"/>
    <col min="6" max="6" width="15.140625" customWidth="1"/>
    <col min="7" max="7" width="14.85546875" customWidth="1"/>
    <col min="8" max="8" width="15.7109375" customWidth="1"/>
    <col min="9" max="9" width="15.85546875" customWidth="1"/>
    <col min="10" max="10" width="13.5703125" customWidth="1"/>
    <col min="11" max="11" width="11" customWidth="1"/>
    <col min="12" max="12" width="7.140625" customWidth="1"/>
  </cols>
  <sheetData>
    <row r="1" spans="1:12">
      <c r="A1" t="s">
        <v>4</v>
      </c>
      <c r="B1" t="s">
        <v>10</v>
      </c>
      <c r="C1" t="s">
        <v>230</v>
      </c>
      <c r="D1" t="s">
        <v>12</v>
      </c>
      <c r="E1" t="s">
        <v>5</v>
      </c>
      <c r="F1" t="s">
        <v>6</v>
      </c>
      <c r="G1" t="s">
        <v>7</v>
      </c>
      <c r="H1" t="s">
        <v>8</v>
      </c>
      <c r="I1" t="s">
        <v>24</v>
      </c>
      <c r="J1" t="s">
        <v>25</v>
      </c>
      <c r="K1" t="s">
        <v>9</v>
      </c>
      <c r="L1" t="s">
        <v>11</v>
      </c>
    </row>
    <row r="2" spans="1:12">
      <c r="A2" s="5" t="s">
        <v>77</v>
      </c>
      <c r="B2" s="5" t="s">
        <v>78</v>
      </c>
      <c r="C2" s="5" t="s">
        <v>231</v>
      </c>
      <c r="D2" s="5" t="s">
        <v>61</v>
      </c>
      <c r="E2" s="5" t="s">
        <v>79</v>
      </c>
      <c r="F2" s="5" t="s">
        <v>80</v>
      </c>
      <c r="G2" s="7">
        <v>43070</v>
      </c>
      <c r="H2" s="7">
        <v>43070</v>
      </c>
      <c r="I2" s="5" t="s">
        <v>47</v>
      </c>
      <c r="J2" s="5" t="s">
        <v>30</v>
      </c>
      <c r="K2" s="8">
        <v>56</v>
      </c>
      <c r="L2" s="5" t="s">
        <v>75</v>
      </c>
    </row>
    <row r="3" spans="1:12">
      <c r="A3" s="5" t="s">
        <v>81</v>
      </c>
      <c r="B3" s="5" t="s">
        <v>82</v>
      </c>
      <c r="C3" s="5" t="s">
        <v>231</v>
      </c>
      <c r="D3" s="5" t="s">
        <v>61</v>
      </c>
      <c r="E3" s="5" t="s">
        <v>79</v>
      </c>
      <c r="F3" s="5" t="s">
        <v>80</v>
      </c>
      <c r="G3" s="7">
        <v>43070</v>
      </c>
      <c r="H3" s="7">
        <v>43070</v>
      </c>
      <c r="I3" s="5" t="s">
        <v>47</v>
      </c>
      <c r="J3" s="5" t="s">
        <v>30</v>
      </c>
      <c r="K3" s="8">
        <v>56.9</v>
      </c>
      <c r="L3" s="5" t="s">
        <v>75</v>
      </c>
    </row>
    <row r="4" spans="1:12">
      <c r="A4" s="5" t="s">
        <v>83</v>
      </c>
      <c r="B4" s="5" t="s">
        <v>84</v>
      </c>
      <c r="C4" s="5" t="s">
        <v>231</v>
      </c>
      <c r="D4" s="5" t="s">
        <v>61</v>
      </c>
      <c r="E4" s="5" t="s">
        <v>79</v>
      </c>
      <c r="F4" s="5" t="s">
        <v>80</v>
      </c>
      <c r="G4" s="7">
        <v>43070</v>
      </c>
      <c r="H4" s="7">
        <v>43070</v>
      </c>
      <c r="I4" s="5" t="s">
        <v>47</v>
      </c>
      <c r="J4" s="5" t="s">
        <v>30</v>
      </c>
      <c r="K4" s="8">
        <v>295</v>
      </c>
      <c r="L4" s="5" t="s">
        <v>75</v>
      </c>
    </row>
    <row r="5" spans="1:12">
      <c r="A5" s="5" t="s">
        <v>85</v>
      </c>
      <c r="B5" s="5" t="s">
        <v>86</v>
      </c>
      <c r="C5" s="5" t="s">
        <v>231</v>
      </c>
      <c r="D5" s="5" t="s">
        <v>61</v>
      </c>
      <c r="E5" s="5" t="s">
        <v>79</v>
      </c>
      <c r="F5" s="5" t="s">
        <v>80</v>
      </c>
      <c r="G5" s="7">
        <v>43070</v>
      </c>
      <c r="H5" s="7">
        <v>43070</v>
      </c>
      <c r="I5" s="5" t="s">
        <v>47</v>
      </c>
      <c r="J5" s="5" t="s">
        <v>30</v>
      </c>
      <c r="K5" s="8">
        <v>0.31</v>
      </c>
      <c r="L5" s="5" t="s">
        <v>75</v>
      </c>
    </row>
    <row r="6" spans="1:12">
      <c r="A6" s="5" t="s">
        <v>27</v>
      </c>
      <c r="B6" s="5" t="s">
        <v>60</v>
      </c>
      <c r="C6" s="5" t="s">
        <v>231</v>
      </c>
      <c r="D6" s="5" t="s">
        <v>61</v>
      </c>
      <c r="E6" s="5" t="s">
        <v>79</v>
      </c>
      <c r="F6" s="5" t="s">
        <v>80</v>
      </c>
      <c r="G6" s="7">
        <v>43070</v>
      </c>
      <c r="H6" s="7">
        <v>43070</v>
      </c>
      <c r="I6" s="5" t="s">
        <v>47</v>
      </c>
      <c r="J6" s="5" t="s">
        <v>30</v>
      </c>
      <c r="K6" s="8">
        <v>27.95</v>
      </c>
      <c r="L6" s="5" t="s">
        <v>75</v>
      </c>
    </row>
    <row r="7" spans="1:12">
      <c r="A7" s="5" t="s">
        <v>27</v>
      </c>
      <c r="B7" s="5" t="s">
        <v>60</v>
      </c>
      <c r="C7" s="5" t="s">
        <v>231</v>
      </c>
      <c r="D7" s="5" t="s">
        <v>61</v>
      </c>
      <c r="E7" s="5" t="s">
        <v>87</v>
      </c>
      <c r="F7" s="5" t="s">
        <v>88</v>
      </c>
      <c r="G7" s="7">
        <v>43083</v>
      </c>
      <c r="H7" s="7">
        <v>43083</v>
      </c>
      <c r="I7" s="5" t="s">
        <v>47</v>
      </c>
      <c r="J7" s="5" t="s">
        <v>30</v>
      </c>
      <c r="K7" s="8">
        <v>250000</v>
      </c>
      <c r="L7" s="5" t="s">
        <v>75</v>
      </c>
    </row>
    <row r="8" spans="1:12">
      <c r="A8" s="5" t="s">
        <v>27</v>
      </c>
      <c r="B8" s="5" t="s">
        <v>60</v>
      </c>
      <c r="C8" s="5" t="s">
        <v>231</v>
      </c>
      <c r="D8" s="5" t="s">
        <v>61</v>
      </c>
      <c r="E8" s="5" t="s">
        <v>28</v>
      </c>
      <c r="F8" s="5" t="s">
        <v>29</v>
      </c>
      <c r="G8" s="7">
        <v>43083</v>
      </c>
      <c r="H8" s="7">
        <v>43083</v>
      </c>
      <c r="I8" s="5" t="s">
        <v>30</v>
      </c>
      <c r="J8" s="5" t="s">
        <v>31</v>
      </c>
      <c r="K8" s="8">
        <v>-1.85</v>
      </c>
      <c r="L8" s="5" t="s">
        <v>75</v>
      </c>
    </row>
    <row r="9" spans="1:12">
      <c r="A9" s="5" t="s">
        <v>27</v>
      </c>
      <c r="B9" s="5" t="s">
        <v>60</v>
      </c>
      <c r="C9" s="5" t="s">
        <v>231</v>
      </c>
      <c r="D9" s="5" t="s">
        <v>61</v>
      </c>
      <c r="E9" s="5" t="s">
        <v>28</v>
      </c>
      <c r="F9" s="5" t="s">
        <v>32</v>
      </c>
      <c r="G9" s="7">
        <v>43088</v>
      </c>
      <c r="H9" s="7">
        <v>43088</v>
      </c>
      <c r="I9" s="5" t="s">
        <v>30</v>
      </c>
      <c r="J9" s="5" t="s">
        <v>31</v>
      </c>
      <c r="K9" s="8">
        <v>-1.85</v>
      </c>
      <c r="L9" s="5" t="s">
        <v>75</v>
      </c>
    </row>
    <row r="10" spans="1:12">
      <c r="A10" s="5" t="s">
        <v>27</v>
      </c>
      <c r="B10" s="5" t="s">
        <v>60</v>
      </c>
      <c r="C10" s="5" t="s">
        <v>231</v>
      </c>
      <c r="D10" s="5" t="s">
        <v>61</v>
      </c>
      <c r="E10" s="5" t="s">
        <v>28</v>
      </c>
      <c r="F10" s="5" t="s">
        <v>33</v>
      </c>
      <c r="G10" s="7">
        <v>43089</v>
      </c>
      <c r="H10" s="7">
        <v>43089</v>
      </c>
      <c r="I10" s="5" t="s">
        <v>30</v>
      </c>
      <c r="J10" s="5" t="s">
        <v>31</v>
      </c>
      <c r="K10" s="8">
        <v>-18.5</v>
      </c>
      <c r="L10" s="5" t="s">
        <v>75</v>
      </c>
    </row>
    <row r="11" spans="1:12">
      <c r="A11" s="5" t="s">
        <v>89</v>
      </c>
      <c r="B11" s="5" t="s">
        <v>90</v>
      </c>
      <c r="C11" s="5" t="s">
        <v>231</v>
      </c>
      <c r="D11" s="5" t="s">
        <v>61</v>
      </c>
      <c r="E11" s="5" t="s">
        <v>79</v>
      </c>
      <c r="F11" s="5" t="s">
        <v>80</v>
      </c>
      <c r="G11" s="7">
        <v>43070</v>
      </c>
      <c r="H11" s="7">
        <v>43070</v>
      </c>
      <c r="I11" s="5" t="s">
        <v>47</v>
      </c>
      <c r="J11" s="5" t="s">
        <v>30</v>
      </c>
      <c r="K11" s="8">
        <v>175</v>
      </c>
      <c r="L11" s="5" t="s">
        <v>75</v>
      </c>
    </row>
    <row r="12" spans="1:12">
      <c r="A12" s="5" t="s">
        <v>91</v>
      </c>
      <c r="B12" s="5" t="s">
        <v>92</v>
      </c>
      <c r="C12" s="5" t="s">
        <v>231</v>
      </c>
      <c r="D12" s="5" t="s">
        <v>61</v>
      </c>
      <c r="E12" s="5" t="s">
        <v>79</v>
      </c>
      <c r="F12" s="5" t="s">
        <v>80</v>
      </c>
      <c r="G12" s="7">
        <v>43070</v>
      </c>
      <c r="H12" s="7">
        <v>43070</v>
      </c>
      <c r="I12" s="5" t="s">
        <v>47</v>
      </c>
      <c r="J12" s="5" t="s">
        <v>30</v>
      </c>
      <c r="K12" s="8">
        <v>5.95</v>
      </c>
      <c r="L12" s="5" t="s">
        <v>75</v>
      </c>
    </row>
    <row r="13" spans="1:12">
      <c r="A13" s="5" t="s">
        <v>93</v>
      </c>
      <c r="B13" s="5" t="s">
        <v>94</v>
      </c>
      <c r="C13" s="5" t="s">
        <v>232</v>
      </c>
      <c r="D13" s="5" t="s">
        <v>61</v>
      </c>
      <c r="E13" s="5" t="s">
        <v>79</v>
      </c>
      <c r="F13" s="5" t="s">
        <v>80</v>
      </c>
      <c r="G13" s="7">
        <v>43070</v>
      </c>
      <c r="H13" s="7">
        <v>43070</v>
      </c>
      <c r="I13" s="5" t="s">
        <v>47</v>
      </c>
      <c r="J13" s="5" t="s">
        <v>30</v>
      </c>
      <c r="K13" s="8">
        <v>30</v>
      </c>
      <c r="L13" s="5" t="s">
        <v>76</v>
      </c>
    </row>
    <row r="14" spans="1:12">
      <c r="A14" s="5" t="s">
        <v>95</v>
      </c>
      <c r="B14" s="5" t="s">
        <v>96</v>
      </c>
      <c r="C14" s="5" t="s">
        <v>231</v>
      </c>
      <c r="D14" s="5" t="s">
        <v>61</v>
      </c>
      <c r="E14" s="5" t="s">
        <v>79</v>
      </c>
      <c r="F14" s="5" t="s">
        <v>80</v>
      </c>
      <c r="G14" s="7">
        <v>43070</v>
      </c>
      <c r="H14" s="7">
        <v>43070</v>
      </c>
      <c r="I14" s="5" t="s">
        <v>47</v>
      </c>
      <c r="J14" s="5" t="s">
        <v>30</v>
      </c>
      <c r="K14" s="8">
        <v>34.18</v>
      </c>
      <c r="L14" s="5" t="s">
        <v>75</v>
      </c>
    </row>
    <row r="15" spans="1:12">
      <c r="A15" s="5" t="s">
        <v>97</v>
      </c>
      <c r="B15" s="5" t="s">
        <v>98</v>
      </c>
      <c r="C15" s="5" t="s">
        <v>231</v>
      </c>
      <c r="D15" s="5" t="s">
        <v>61</v>
      </c>
      <c r="E15" s="5" t="s">
        <v>79</v>
      </c>
      <c r="F15" s="5" t="s">
        <v>80</v>
      </c>
      <c r="G15" s="7">
        <v>43070</v>
      </c>
      <c r="H15" s="7">
        <v>43070</v>
      </c>
      <c r="I15" s="5" t="s">
        <v>47</v>
      </c>
      <c r="J15" s="5" t="s">
        <v>30</v>
      </c>
      <c r="K15" s="8">
        <v>2</v>
      </c>
      <c r="L15" s="5" t="s">
        <v>76</v>
      </c>
    </row>
    <row r="16" spans="1:12">
      <c r="A16" s="5" t="s">
        <v>99</v>
      </c>
      <c r="B16" s="5" t="s">
        <v>100</v>
      </c>
      <c r="C16" s="5" t="s">
        <v>231</v>
      </c>
      <c r="D16" s="5" t="s">
        <v>61</v>
      </c>
      <c r="E16" s="5" t="s">
        <v>79</v>
      </c>
      <c r="F16" s="5" t="s">
        <v>80</v>
      </c>
      <c r="G16" s="7">
        <v>43070</v>
      </c>
      <c r="H16" s="7">
        <v>43070</v>
      </c>
      <c r="I16" s="5" t="s">
        <v>47</v>
      </c>
      <c r="J16" s="5" t="s">
        <v>30</v>
      </c>
      <c r="K16" s="8">
        <v>190</v>
      </c>
      <c r="L16" s="5" t="s">
        <v>76</v>
      </c>
    </row>
    <row r="17" spans="1:12">
      <c r="A17" s="5" t="s">
        <v>34</v>
      </c>
      <c r="B17" s="5" t="s">
        <v>62</v>
      </c>
      <c r="C17" s="5" t="s">
        <v>231</v>
      </c>
      <c r="D17" s="5" t="s">
        <v>63</v>
      </c>
      <c r="E17" s="5" t="s">
        <v>79</v>
      </c>
      <c r="F17" s="5" t="s">
        <v>80</v>
      </c>
      <c r="G17" s="7">
        <v>43070</v>
      </c>
      <c r="H17" s="7">
        <v>43070</v>
      </c>
      <c r="I17" s="5" t="s">
        <v>47</v>
      </c>
      <c r="J17" s="5" t="s">
        <v>30</v>
      </c>
      <c r="K17" s="8">
        <v>22593</v>
      </c>
      <c r="L17" s="5" t="s">
        <v>75</v>
      </c>
    </row>
    <row r="18" spans="1:12">
      <c r="A18" s="5" t="s">
        <v>34</v>
      </c>
      <c r="B18" s="5" t="s">
        <v>62</v>
      </c>
      <c r="C18" s="5" t="s">
        <v>231</v>
      </c>
      <c r="D18" s="5" t="s">
        <v>63</v>
      </c>
      <c r="E18" s="5" t="s">
        <v>28</v>
      </c>
      <c r="F18" s="5" t="s">
        <v>36</v>
      </c>
      <c r="G18" s="7">
        <v>43083</v>
      </c>
      <c r="H18" s="7">
        <v>43083</v>
      </c>
      <c r="I18" s="5" t="s">
        <v>30</v>
      </c>
      <c r="J18" s="5" t="s">
        <v>31</v>
      </c>
      <c r="K18" s="8">
        <v>-375</v>
      </c>
      <c r="L18" s="5" t="s">
        <v>75</v>
      </c>
    </row>
    <row r="19" spans="1:12">
      <c r="A19" s="5" t="s">
        <v>34</v>
      </c>
      <c r="B19" s="5" t="s">
        <v>62</v>
      </c>
      <c r="C19" s="5" t="s">
        <v>231</v>
      </c>
      <c r="D19" s="5" t="s">
        <v>61</v>
      </c>
      <c r="E19" s="5" t="s">
        <v>87</v>
      </c>
      <c r="F19" s="5" t="s">
        <v>88</v>
      </c>
      <c r="G19" s="7">
        <v>43083</v>
      </c>
      <c r="H19" s="7">
        <v>43083</v>
      </c>
      <c r="I19" s="5" t="s">
        <v>47</v>
      </c>
      <c r="J19" s="5" t="s">
        <v>30</v>
      </c>
      <c r="K19" s="8">
        <v>80000</v>
      </c>
      <c r="L19" s="5" t="s">
        <v>75</v>
      </c>
    </row>
    <row r="20" spans="1:12">
      <c r="A20" s="5" t="s">
        <v>34</v>
      </c>
      <c r="B20" s="5" t="s">
        <v>62</v>
      </c>
      <c r="C20" s="5" t="s">
        <v>231</v>
      </c>
      <c r="D20" s="5" t="s">
        <v>61</v>
      </c>
      <c r="E20" s="5" t="s">
        <v>101</v>
      </c>
      <c r="F20" s="5" t="s">
        <v>102</v>
      </c>
      <c r="G20" s="7">
        <v>43083</v>
      </c>
      <c r="H20" s="7">
        <v>43083</v>
      </c>
      <c r="I20" s="5" t="s">
        <v>30</v>
      </c>
      <c r="J20" s="5" t="s">
        <v>31</v>
      </c>
      <c r="K20" s="8">
        <v>-50000</v>
      </c>
      <c r="L20" s="5" t="s">
        <v>75</v>
      </c>
    </row>
    <row r="21" spans="1:12">
      <c r="A21" s="5" t="s">
        <v>34</v>
      </c>
      <c r="B21" s="5" t="s">
        <v>62</v>
      </c>
      <c r="C21" s="5" t="s">
        <v>231</v>
      </c>
      <c r="D21" s="5" t="s">
        <v>63</v>
      </c>
      <c r="E21" s="5" t="s">
        <v>101</v>
      </c>
      <c r="F21" s="5" t="s">
        <v>102</v>
      </c>
      <c r="G21" s="7">
        <v>43083</v>
      </c>
      <c r="H21" s="7">
        <v>43083</v>
      </c>
      <c r="I21" s="5" t="s">
        <v>47</v>
      </c>
      <c r="J21" s="5" t="s">
        <v>30</v>
      </c>
      <c r="K21" s="8">
        <v>50000</v>
      </c>
      <c r="L21" s="5" t="s">
        <v>75</v>
      </c>
    </row>
    <row r="22" spans="1:12">
      <c r="A22" s="5" t="s">
        <v>34</v>
      </c>
      <c r="B22" s="5" t="s">
        <v>62</v>
      </c>
      <c r="C22" s="5" t="s">
        <v>231</v>
      </c>
      <c r="D22" s="5" t="s">
        <v>63</v>
      </c>
      <c r="E22" s="5" t="s">
        <v>28</v>
      </c>
      <c r="F22" s="5" t="s">
        <v>35</v>
      </c>
      <c r="G22" s="7">
        <v>43083</v>
      </c>
      <c r="H22" s="7">
        <v>43083</v>
      </c>
      <c r="I22" s="5" t="s">
        <v>30</v>
      </c>
      <c r="J22" s="5" t="s">
        <v>31</v>
      </c>
      <c r="K22" s="8">
        <v>-75</v>
      </c>
      <c r="L22" s="5" t="s">
        <v>75</v>
      </c>
    </row>
    <row r="23" spans="1:12">
      <c r="A23" s="5" t="s">
        <v>34</v>
      </c>
      <c r="B23" s="5" t="s">
        <v>62</v>
      </c>
      <c r="C23" s="5" t="s">
        <v>231</v>
      </c>
      <c r="D23" s="5" t="s">
        <v>63</v>
      </c>
      <c r="E23" s="5" t="s">
        <v>28</v>
      </c>
      <c r="F23" s="5" t="s">
        <v>37</v>
      </c>
      <c r="G23" s="7">
        <v>43089</v>
      </c>
      <c r="H23" s="7">
        <v>43089</v>
      </c>
      <c r="I23" s="5" t="s">
        <v>30</v>
      </c>
      <c r="J23" s="5" t="s">
        <v>31</v>
      </c>
      <c r="K23" s="8">
        <v>-750</v>
      </c>
      <c r="L23" s="5" t="s">
        <v>75</v>
      </c>
    </row>
    <row r="24" spans="1:12">
      <c r="A24" s="5" t="s">
        <v>38</v>
      </c>
      <c r="B24" s="5" t="s">
        <v>64</v>
      </c>
      <c r="C24" s="5" t="s">
        <v>231</v>
      </c>
      <c r="D24" s="5" t="s">
        <v>63</v>
      </c>
      <c r="E24" s="5" t="s">
        <v>79</v>
      </c>
      <c r="F24" s="5" t="s">
        <v>80</v>
      </c>
      <c r="G24" s="7">
        <v>43070</v>
      </c>
      <c r="H24" s="7">
        <v>43070</v>
      </c>
      <c r="I24" s="5" t="s">
        <v>47</v>
      </c>
      <c r="J24" s="5" t="s">
        <v>30</v>
      </c>
      <c r="K24" s="8">
        <v>25606</v>
      </c>
      <c r="L24" s="5" t="s">
        <v>75</v>
      </c>
    </row>
    <row r="25" spans="1:12">
      <c r="A25" s="5" t="s">
        <v>38</v>
      </c>
      <c r="B25" s="5" t="s">
        <v>64</v>
      </c>
      <c r="C25" s="5" t="s">
        <v>231</v>
      </c>
      <c r="D25" s="5" t="s">
        <v>63</v>
      </c>
      <c r="E25" s="5" t="s">
        <v>28</v>
      </c>
      <c r="F25" s="5" t="s">
        <v>35</v>
      </c>
      <c r="G25" s="7">
        <v>43083</v>
      </c>
      <c r="H25" s="7">
        <v>43083</v>
      </c>
      <c r="I25" s="5" t="s">
        <v>30</v>
      </c>
      <c r="J25" s="5" t="s">
        <v>31</v>
      </c>
      <c r="K25" s="8">
        <v>-200</v>
      </c>
      <c r="L25" s="5" t="s">
        <v>75</v>
      </c>
    </row>
    <row r="26" spans="1:12">
      <c r="A26" s="5" t="s">
        <v>38</v>
      </c>
      <c r="B26" s="5" t="s">
        <v>64</v>
      </c>
      <c r="C26" s="5" t="s">
        <v>231</v>
      </c>
      <c r="D26" s="5" t="s">
        <v>61</v>
      </c>
      <c r="E26" s="5" t="s">
        <v>101</v>
      </c>
      <c r="F26" s="5" t="s">
        <v>102</v>
      </c>
      <c r="G26" s="7">
        <v>43083</v>
      </c>
      <c r="H26" s="7">
        <v>43083</v>
      </c>
      <c r="I26" s="5" t="s">
        <v>30</v>
      </c>
      <c r="J26" s="5" t="s">
        <v>31</v>
      </c>
      <c r="K26" s="8">
        <v>-50000</v>
      </c>
      <c r="L26" s="5" t="s">
        <v>75</v>
      </c>
    </row>
    <row r="27" spans="1:12">
      <c r="A27" s="5" t="s">
        <v>38</v>
      </c>
      <c r="B27" s="5" t="s">
        <v>64</v>
      </c>
      <c r="C27" s="5" t="s">
        <v>231</v>
      </c>
      <c r="D27" s="5" t="s">
        <v>63</v>
      </c>
      <c r="E27" s="5" t="s">
        <v>101</v>
      </c>
      <c r="F27" s="5" t="s">
        <v>102</v>
      </c>
      <c r="G27" s="7">
        <v>43083</v>
      </c>
      <c r="H27" s="7">
        <v>43083</v>
      </c>
      <c r="I27" s="5" t="s">
        <v>47</v>
      </c>
      <c r="J27" s="5" t="s">
        <v>30</v>
      </c>
      <c r="K27" s="8">
        <v>50000</v>
      </c>
      <c r="L27" s="5" t="s">
        <v>75</v>
      </c>
    </row>
    <row r="28" spans="1:12">
      <c r="A28" s="5" t="s">
        <v>38</v>
      </c>
      <c r="B28" s="5" t="s">
        <v>64</v>
      </c>
      <c r="C28" s="5" t="s">
        <v>231</v>
      </c>
      <c r="D28" s="5" t="s">
        <v>61</v>
      </c>
      <c r="E28" s="5" t="s">
        <v>87</v>
      </c>
      <c r="F28" s="5" t="s">
        <v>88</v>
      </c>
      <c r="G28" s="7">
        <v>43083</v>
      </c>
      <c r="H28" s="7">
        <v>43083</v>
      </c>
      <c r="I28" s="5" t="s">
        <v>47</v>
      </c>
      <c r="J28" s="5" t="s">
        <v>30</v>
      </c>
      <c r="K28" s="8">
        <v>80000</v>
      </c>
      <c r="L28" s="5" t="s">
        <v>75</v>
      </c>
    </row>
    <row r="29" spans="1:12">
      <c r="A29" s="5" t="s">
        <v>38</v>
      </c>
      <c r="B29" s="5" t="s">
        <v>64</v>
      </c>
      <c r="C29" s="5" t="s">
        <v>231</v>
      </c>
      <c r="D29" s="5" t="s">
        <v>63</v>
      </c>
      <c r="E29" s="5" t="s">
        <v>28</v>
      </c>
      <c r="F29" s="5" t="s">
        <v>36</v>
      </c>
      <c r="G29" s="7">
        <v>43083</v>
      </c>
      <c r="H29" s="7">
        <v>43083</v>
      </c>
      <c r="I29" s="5" t="s">
        <v>30</v>
      </c>
      <c r="J29" s="5" t="s">
        <v>31</v>
      </c>
      <c r="K29" s="8">
        <v>-1000</v>
      </c>
      <c r="L29" s="5" t="s">
        <v>75</v>
      </c>
    </row>
    <row r="30" spans="1:12">
      <c r="A30" s="5" t="s">
        <v>38</v>
      </c>
      <c r="B30" s="5" t="s">
        <v>64</v>
      </c>
      <c r="C30" s="5" t="s">
        <v>231</v>
      </c>
      <c r="D30" s="5" t="s">
        <v>63</v>
      </c>
      <c r="E30" s="5" t="s">
        <v>28</v>
      </c>
      <c r="F30" s="5" t="s">
        <v>37</v>
      </c>
      <c r="G30" s="7">
        <v>43089</v>
      </c>
      <c r="H30" s="7">
        <v>43089</v>
      </c>
      <c r="I30" s="5" t="s">
        <v>30</v>
      </c>
      <c r="J30" s="5" t="s">
        <v>31</v>
      </c>
      <c r="K30" s="8">
        <v>-2000</v>
      </c>
      <c r="L30" s="5" t="s">
        <v>75</v>
      </c>
    </row>
    <row r="31" spans="1:12">
      <c r="A31" s="5" t="s">
        <v>103</v>
      </c>
      <c r="B31" s="5" t="s">
        <v>104</v>
      </c>
      <c r="C31" s="5" t="s">
        <v>232</v>
      </c>
      <c r="D31" s="5" t="s">
        <v>61</v>
      </c>
      <c r="E31" s="5" t="s">
        <v>79</v>
      </c>
      <c r="F31" s="5" t="s">
        <v>80</v>
      </c>
      <c r="G31" s="7">
        <v>43070</v>
      </c>
      <c r="H31" s="7">
        <v>43070</v>
      </c>
      <c r="I31" s="5" t="s">
        <v>47</v>
      </c>
      <c r="J31" s="5" t="s">
        <v>30</v>
      </c>
      <c r="K31" s="8">
        <v>300</v>
      </c>
      <c r="L31" s="5" t="s">
        <v>105</v>
      </c>
    </row>
    <row r="32" spans="1:12">
      <c r="A32" s="5" t="s">
        <v>103</v>
      </c>
      <c r="B32" s="5" t="s">
        <v>104</v>
      </c>
      <c r="C32" s="5" t="s">
        <v>232</v>
      </c>
      <c r="D32" s="5" t="s">
        <v>61</v>
      </c>
      <c r="E32" s="5" t="s">
        <v>87</v>
      </c>
      <c r="F32" s="5" t="s">
        <v>106</v>
      </c>
      <c r="G32" s="7">
        <v>43088</v>
      </c>
      <c r="H32" s="7">
        <v>43088</v>
      </c>
      <c r="I32" s="5" t="s">
        <v>47</v>
      </c>
      <c r="J32" s="5" t="s">
        <v>30</v>
      </c>
      <c r="K32" s="8">
        <v>120</v>
      </c>
      <c r="L32" s="5" t="s">
        <v>105</v>
      </c>
    </row>
    <row r="33" spans="1:12">
      <c r="A33" s="5" t="s">
        <v>107</v>
      </c>
      <c r="B33" s="5" t="s">
        <v>108</v>
      </c>
      <c r="C33" s="5" t="s">
        <v>232</v>
      </c>
      <c r="D33" s="5" t="s">
        <v>61</v>
      </c>
      <c r="E33" s="5" t="s">
        <v>79</v>
      </c>
      <c r="F33" s="5" t="s">
        <v>80</v>
      </c>
      <c r="G33" s="7">
        <v>43070</v>
      </c>
      <c r="H33" s="7">
        <v>43070</v>
      </c>
      <c r="I33" s="5" t="s">
        <v>47</v>
      </c>
      <c r="J33" s="5" t="s">
        <v>30</v>
      </c>
      <c r="K33" s="8">
        <v>270</v>
      </c>
      <c r="L33" s="5" t="s">
        <v>105</v>
      </c>
    </row>
    <row r="34" spans="1:12">
      <c r="A34" s="5" t="s">
        <v>109</v>
      </c>
      <c r="B34" s="5" t="s">
        <v>110</v>
      </c>
      <c r="C34" s="5" t="s">
        <v>232</v>
      </c>
      <c r="D34" s="5" t="s">
        <v>61</v>
      </c>
      <c r="E34" s="5" t="s">
        <v>79</v>
      </c>
      <c r="F34" s="5" t="s">
        <v>80</v>
      </c>
      <c r="G34" s="7">
        <v>43070</v>
      </c>
      <c r="H34" s="7">
        <v>43070</v>
      </c>
      <c r="I34" s="5" t="s">
        <v>47</v>
      </c>
      <c r="J34" s="5" t="s">
        <v>30</v>
      </c>
      <c r="K34" s="8">
        <v>270</v>
      </c>
      <c r="L34" s="5" t="s">
        <v>105</v>
      </c>
    </row>
    <row r="35" spans="1:12">
      <c r="A35" s="5" t="s">
        <v>111</v>
      </c>
      <c r="B35" s="5" t="s">
        <v>112</v>
      </c>
      <c r="C35" s="5" t="s">
        <v>232</v>
      </c>
      <c r="D35" s="5" t="s">
        <v>61</v>
      </c>
      <c r="E35" s="5" t="s">
        <v>79</v>
      </c>
      <c r="F35" s="5" t="s">
        <v>80</v>
      </c>
      <c r="G35" s="7">
        <v>43070</v>
      </c>
      <c r="H35" s="7">
        <v>43070</v>
      </c>
      <c r="I35" s="5" t="s">
        <v>47</v>
      </c>
      <c r="J35" s="5" t="s">
        <v>30</v>
      </c>
      <c r="K35" s="8">
        <v>30</v>
      </c>
      <c r="L35" s="5" t="s">
        <v>105</v>
      </c>
    </row>
    <row r="36" spans="1:12">
      <c r="A36" s="5" t="s">
        <v>113</v>
      </c>
      <c r="B36" s="5" t="s">
        <v>114</v>
      </c>
      <c r="C36" s="5" t="s">
        <v>231</v>
      </c>
      <c r="D36" s="5" t="s">
        <v>61</v>
      </c>
      <c r="E36" s="5" t="s">
        <v>79</v>
      </c>
      <c r="F36" s="5" t="s">
        <v>80</v>
      </c>
      <c r="G36" s="7">
        <v>43070</v>
      </c>
      <c r="H36" s="7">
        <v>43070</v>
      </c>
      <c r="I36" s="5" t="s">
        <v>47</v>
      </c>
      <c r="J36" s="5" t="s">
        <v>30</v>
      </c>
      <c r="K36" s="8">
        <v>251</v>
      </c>
      <c r="L36" s="5" t="s">
        <v>75</v>
      </c>
    </row>
    <row r="37" spans="1:12">
      <c r="A37" s="5" t="s">
        <v>39</v>
      </c>
      <c r="B37" s="5" t="s">
        <v>65</v>
      </c>
      <c r="C37" s="5" t="s">
        <v>231</v>
      </c>
      <c r="D37" s="5" t="s">
        <v>61</v>
      </c>
      <c r="E37" s="5" t="s">
        <v>79</v>
      </c>
      <c r="F37" s="5" t="s">
        <v>80</v>
      </c>
      <c r="G37" s="7">
        <v>43070</v>
      </c>
      <c r="H37" s="7">
        <v>43070</v>
      </c>
      <c r="I37" s="5" t="s">
        <v>47</v>
      </c>
      <c r="J37" s="5" t="s">
        <v>30</v>
      </c>
      <c r="K37" s="8">
        <v>29</v>
      </c>
      <c r="L37" s="5" t="s">
        <v>76</v>
      </c>
    </row>
    <row r="38" spans="1:12">
      <c r="A38" s="5" t="s">
        <v>39</v>
      </c>
      <c r="B38" s="5" t="s">
        <v>65</v>
      </c>
      <c r="C38" s="5" t="s">
        <v>231</v>
      </c>
      <c r="D38" s="5" t="s">
        <v>61</v>
      </c>
      <c r="E38" s="5" t="s">
        <v>87</v>
      </c>
      <c r="F38" s="5" t="s">
        <v>88</v>
      </c>
      <c r="G38" s="7">
        <v>43083</v>
      </c>
      <c r="H38" s="7">
        <v>43083</v>
      </c>
      <c r="I38" s="5" t="s">
        <v>47</v>
      </c>
      <c r="J38" s="5" t="s">
        <v>30</v>
      </c>
      <c r="K38" s="8">
        <v>80000</v>
      </c>
      <c r="L38" s="5" t="s">
        <v>76</v>
      </c>
    </row>
    <row r="39" spans="1:12">
      <c r="A39" s="5" t="s">
        <v>39</v>
      </c>
      <c r="B39" s="5" t="s">
        <v>65</v>
      </c>
      <c r="C39" s="5" t="s">
        <v>231</v>
      </c>
      <c r="D39" s="5" t="s">
        <v>61</v>
      </c>
      <c r="E39" s="5" t="s">
        <v>28</v>
      </c>
      <c r="F39" s="5" t="s">
        <v>36</v>
      </c>
      <c r="G39" s="7">
        <v>43083</v>
      </c>
      <c r="H39" s="7">
        <v>43083</v>
      </c>
      <c r="I39" s="5" t="s">
        <v>30</v>
      </c>
      <c r="J39" s="5" t="s">
        <v>31</v>
      </c>
      <c r="K39" s="8">
        <v>-5</v>
      </c>
      <c r="L39" s="5" t="s">
        <v>76</v>
      </c>
    </row>
    <row r="40" spans="1:12">
      <c r="A40" s="5" t="s">
        <v>39</v>
      </c>
      <c r="B40" s="5" t="s">
        <v>65</v>
      </c>
      <c r="C40" s="5" t="s">
        <v>231</v>
      </c>
      <c r="D40" s="5" t="s">
        <v>61</v>
      </c>
      <c r="E40" s="5" t="s">
        <v>28</v>
      </c>
      <c r="F40" s="5" t="s">
        <v>35</v>
      </c>
      <c r="G40" s="7">
        <v>43083</v>
      </c>
      <c r="H40" s="7">
        <v>43083</v>
      </c>
      <c r="I40" s="5" t="s">
        <v>30</v>
      </c>
      <c r="J40" s="5" t="s">
        <v>31</v>
      </c>
      <c r="K40" s="8">
        <v>-1</v>
      </c>
      <c r="L40" s="5" t="s">
        <v>76</v>
      </c>
    </row>
    <row r="41" spans="1:12">
      <c r="A41" s="5" t="s">
        <v>39</v>
      </c>
      <c r="B41" s="5" t="s">
        <v>65</v>
      </c>
      <c r="C41" s="5" t="s">
        <v>231</v>
      </c>
      <c r="D41" s="5" t="s">
        <v>61</v>
      </c>
      <c r="E41" s="5" t="s">
        <v>28</v>
      </c>
      <c r="F41" s="5" t="s">
        <v>37</v>
      </c>
      <c r="G41" s="7">
        <v>43089</v>
      </c>
      <c r="H41" s="7">
        <v>43089</v>
      </c>
      <c r="I41" s="5" t="s">
        <v>30</v>
      </c>
      <c r="J41" s="5" t="s">
        <v>31</v>
      </c>
      <c r="K41" s="8">
        <v>-10</v>
      </c>
      <c r="L41" s="5" t="s">
        <v>76</v>
      </c>
    </row>
    <row r="42" spans="1:12">
      <c r="A42" s="5" t="s">
        <v>115</v>
      </c>
      <c r="B42" s="5" t="s">
        <v>116</v>
      </c>
      <c r="C42" s="5" t="s">
        <v>231</v>
      </c>
      <c r="D42" s="5" t="s">
        <v>61</v>
      </c>
      <c r="E42" s="5" t="s">
        <v>79</v>
      </c>
      <c r="F42" s="5" t="s">
        <v>80</v>
      </c>
      <c r="G42" s="7">
        <v>43070</v>
      </c>
      <c r="H42" s="7">
        <v>43070</v>
      </c>
      <c r="I42" s="5" t="s">
        <v>47</v>
      </c>
      <c r="J42" s="5" t="s">
        <v>30</v>
      </c>
      <c r="K42" s="8">
        <v>58</v>
      </c>
      <c r="L42" s="5" t="s">
        <v>75</v>
      </c>
    </row>
    <row r="43" spans="1:12">
      <c r="A43" s="5" t="s">
        <v>117</v>
      </c>
      <c r="B43" s="5" t="s">
        <v>118</v>
      </c>
      <c r="C43" s="5" t="s">
        <v>231</v>
      </c>
      <c r="D43" s="5" t="s">
        <v>61</v>
      </c>
      <c r="E43" s="5" t="s">
        <v>79</v>
      </c>
      <c r="F43" s="5" t="s">
        <v>80</v>
      </c>
      <c r="G43" s="7">
        <v>43070</v>
      </c>
      <c r="H43" s="7">
        <v>43070</v>
      </c>
      <c r="I43" s="5" t="s">
        <v>47</v>
      </c>
      <c r="J43" s="5" t="s">
        <v>30</v>
      </c>
      <c r="K43" s="8">
        <v>22.09</v>
      </c>
      <c r="L43" s="5" t="s">
        <v>75</v>
      </c>
    </row>
    <row r="44" spans="1:12">
      <c r="A44" s="5" t="s">
        <v>119</v>
      </c>
      <c r="B44" s="5" t="s">
        <v>120</v>
      </c>
      <c r="C44" s="5" t="s">
        <v>231</v>
      </c>
      <c r="D44" s="5" t="s">
        <v>61</v>
      </c>
      <c r="E44" s="5" t="s">
        <v>79</v>
      </c>
      <c r="F44" s="5" t="s">
        <v>80</v>
      </c>
      <c r="G44" s="7">
        <v>43070</v>
      </c>
      <c r="H44" s="7">
        <v>43070</v>
      </c>
      <c r="I44" s="5" t="s">
        <v>47</v>
      </c>
      <c r="J44" s="5" t="s">
        <v>30</v>
      </c>
      <c r="K44" s="8">
        <v>3575</v>
      </c>
      <c r="L44" s="5" t="s">
        <v>75</v>
      </c>
    </row>
    <row r="45" spans="1:12">
      <c r="A45" s="5" t="s">
        <v>40</v>
      </c>
      <c r="B45" s="5" t="s">
        <v>66</v>
      </c>
      <c r="C45" s="5" t="s">
        <v>231</v>
      </c>
      <c r="D45" s="5" t="s">
        <v>63</v>
      </c>
      <c r="E45" s="5" t="s">
        <v>79</v>
      </c>
      <c r="F45" s="5" t="s">
        <v>80</v>
      </c>
      <c r="G45" s="7">
        <v>43070</v>
      </c>
      <c r="H45" s="7">
        <v>43070</v>
      </c>
      <c r="I45" s="5" t="s">
        <v>47</v>
      </c>
      <c r="J45" s="5" t="s">
        <v>30</v>
      </c>
      <c r="K45" s="8">
        <v>27101</v>
      </c>
      <c r="L45" s="5" t="s">
        <v>75</v>
      </c>
    </row>
    <row r="46" spans="1:12">
      <c r="A46" s="5" t="s">
        <v>40</v>
      </c>
      <c r="B46" s="5" t="s">
        <v>66</v>
      </c>
      <c r="C46" s="5" t="s">
        <v>231</v>
      </c>
      <c r="D46" s="5" t="s">
        <v>63</v>
      </c>
      <c r="E46" s="5" t="s">
        <v>28</v>
      </c>
      <c r="F46" s="5" t="s">
        <v>35</v>
      </c>
      <c r="G46" s="7">
        <v>43083</v>
      </c>
      <c r="H46" s="7">
        <v>43083</v>
      </c>
      <c r="I46" s="5" t="s">
        <v>30</v>
      </c>
      <c r="J46" s="5" t="s">
        <v>31</v>
      </c>
      <c r="K46" s="8">
        <v>-100</v>
      </c>
      <c r="L46" s="5" t="s">
        <v>75</v>
      </c>
    </row>
    <row r="47" spans="1:12">
      <c r="A47" s="5" t="s">
        <v>40</v>
      </c>
      <c r="B47" s="5" t="s">
        <v>66</v>
      </c>
      <c r="C47" s="5" t="s">
        <v>231</v>
      </c>
      <c r="D47" s="5" t="s">
        <v>61</v>
      </c>
      <c r="E47" s="5" t="s">
        <v>101</v>
      </c>
      <c r="F47" s="5" t="s">
        <v>102</v>
      </c>
      <c r="G47" s="7">
        <v>43083</v>
      </c>
      <c r="H47" s="7">
        <v>43083</v>
      </c>
      <c r="I47" s="5" t="s">
        <v>30</v>
      </c>
      <c r="J47" s="5" t="s">
        <v>31</v>
      </c>
      <c r="K47" s="8">
        <v>-50000</v>
      </c>
      <c r="L47" s="5" t="s">
        <v>75</v>
      </c>
    </row>
    <row r="48" spans="1:12">
      <c r="A48" s="5" t="s">
        <v>40</v>
      </c>
      <c r="B48" s="5" t="s">
        <v>66</v>
      </c>
      <c r="C48" s="5" t="s">
        <v>231</v>
      </c>
      <c r="D48" s="5" t="s">
        <v>63</v>
      </c>
      <c r="E48" s="5" t="s">
        <v>101</v>
      </c>
      <c r="F48" s="5" t="s">
        <v>102</v>
      </c>
      <c r="G48" s="7">
        <v>43083</v>
      </c>
      <c r="H48" s="7">
        <v>43083</v>
      </c>
      <c r="I48" s="5" t="s">
        <v>47</v>
      </c>
      <c r="J48" s="5" t="s">
        <v>30</v>
      </c>
      <c r="K48" s="8">
        <v>50000</v>
      </c>
      <c r="L48" s="5" t="s">
        <v>75</v>
      </c>
    </row>
    <row r="49" spans="1:12">
      <c r="A49" s="5" t="s">
        <v>40</v>
      </c>
      <c r="B49" s="5" t="s">
        <v>66</v>
      </c>
      <c r="C49" s="5" t="s">
        <v>231</v>
      </c>
      <c r="D49" s="5" t="s">
        <v>63</v>
      </c>
      <c r="E49" s="5" t="s">
        <v>28</v>
      </c>
      <c r="F49" s="5" t="s">
        <v>36</v>
      </c>
      <c r="G49" s="7">
        <v>43083</v>
      </c>
      <c r="H49" s="7">
        <v>43083</v>
      </c>
      <c r="I49" s="5" t="s">
        <v>30</v>
      </c>
      <c r="J49" s="5" t="s">
        <v>31</v>
      </c>
      <c r="K49" s="8">
        <v>-500</v>
      </c>
      <c r="L49" s="5" t="s">
        <v>75</v>
      </c>
    </row>
    <row r="50" spans="1:12">
      <c r="A50" s="5" t="s">
        <v>40</v>
      </c>
      <c r="B50" s="5" t="s">
        <v>66</v>
      </c>
      <c r="C50" s="5" t="s">
        <v>231</v>
      </c>
      <c r="D50" s="5" t="s">
        <v>61</v>
      </c>
      <c r="E50" s="5" t="s">
        <v>87</v>
      </c>
      <c r="F50" s="5" t="s">
        <v>88</v>
      </c>
      <c r="G50" s="7">
        <v>43083</v>
      </c>
      <c r="H50" s="7">
        <v>43083</v>
      </c>
      <c r="I50" s="5" t="s">
        <v>47</v>
      </c>
      <c r="J50" s="5" t="s">
        <v>30</v>
      </c>
      <c r="K50" s="8">
        <v>80000</v>
      </c>
      <c r="L50" s="5" t="s">
        <v>75</v>
      </c>
    </row>
    <row r="51" spans="1:12">
      <c r="A51" s="5" t="s">
        <v>40</v>
      </c>
      <c r="B51" s="5" t="s">
        <v>66</v>
      </c>
      <c r="C51" s="5" t="s">
        <v>231</v>
      </c>
      <c r="D51" s="5" t="s">
        <v>63</v>
      </c>
      <c r="E51" s="5" t="s">
        <v>28</v>
      </c>
      <c r="F51" s="5" t="s">
        <v>37</v>
      </c>
      <c r="G51" s="7">
        <v>43089</v>
      </c>
      <c r="H51" s="7">
        <v>43089</v>
      </c>
      <c r="I51" s="5" t="s">
        <v>30</v>
      </c>
      <c r="J51" s="5" t="s">
        <v>31</v>
      </c>
      <c r="K51" s="8">
        <v>-1000</v>
      </c>
      <c r="L51" s="5" t="s">
        <v>75</v>
      </c>
    </row>
    <row r="52" spans="1:12">
      <c r="A52" s="5" t="s">
        <v>41</v>
      </c>
      <c r="B52" s="5" t="s">
        <v>67</v>
      </c>
      <c r="C52" s="5" t="s">
        <v>231</v>
      </c>
      <c r="D52" s="5" t="s">
        <v>63</v>
      </c>
      <c r="E52" s="5" t="s">
        <v>79</v>
      </c>
      <c r="F52" s="5" t="s">
        <v>80</v>
      </c>
      <c r="G52" s="7">
        <v>43070</v>
      </c>
      <c r="H52" s="7">
        <v>43070</v>
      </c>
      <c r="I52" s="5" t="s">
        <v>47</v>
      </c>
      <c r="J52" s="5" t="s">
        <v>30</v>
      </c>
      <c r="K52" s="8">
        <v>28892</v>
      </c>
      <c r="L52" s="5" t="s">
        <v>75</v>
      </c>
    </row>
    <row r="53" spans="1:12">
      <c r="A53" s="5" t="s">
        <v>41</v>
      </c>
      <c r="B53" s="5" t="s">
        <v>67</v>
      </c>
      <c r="C53" s="5" t="s">
        <v>231</v>
      </c>
      <c r="D53" s="5" t="s">
        <v>61</v>
      </c>
      <c r="E53" s="5" t="s">
        <v>87</v>
      </c>
      <c r="F53" s="5" t="s">
        <v>88</v>
      </c>
      <c r="G53" s="7">
        <v>43083</v>
      </c>
      <c r="H53" s="7">
        <v>43083</v>
      </c>
      <c r="I53" s="5" t="s">
        <v>47</v>
      </c>
      <c r="J53" s="5" t="s">
        <v>30</v>
      </c>
      <c r="K53" s="8">
        <v>80000</v>
      </c>
      <c r="L53" s="5" t="s">
        <v>75</v>
      </c>
    </row>
    <row r="54" spans="1:12">
      <c r="A54" s="5" t="s">
        <v>41</v>
      </c>
      <c r="B54" s="5" t="s">
        <v>67</v>
      </c>
      <c r="C54" s="5" t="s">
        <v>231</v>
      </c>
      <c r="D54" s="5" t="s">
        <v>63</v>
      </c>
      <c r="E54" s="5" t="s">
        <v>28</v>
      </c>
      <c r="F54" s="5" t="s">
        <v>36</v>
      </c>
      <c r="G54" s="7">
        <v>43083</v>
      </c>
      <c r="H54" s="7">
        <v>43083</v>
      </c>
      <c r="I54" s="5" t="s">
        <v>30</v>
      </c>
      <c r="J54" s="5" t="s">
        <v>31</v>
      </c>
      <c r="K54" s="8">
        <v>-1250</v>
      </c>
      <c r="L54" s="5" t="s">
        <v>75</v>
      </c>
    </row>
    <row r="55" spans="1:12">
      <c r="A55" s="5" t="s">
        <v>41</v>
      </c>
      <c r="B55" s="5" t="s">
        <v>67</v>
      </c>
      <c r="C55" s="5" t="s">
        <v>231</v>
      </c>
      <c r="D55" s="5" t="s">
        <v>61</v>
      </c>
      <c r="E55" s="5" t="s">
        <v>101</v>
      </c>
      <c r="F55" s="5" t="s">
        <v>102</v>
      </c>
      <c r="G55" s="7">
        <v>43083</v>
      </c>
      <c r="H55" s="7">
        <v>43083</v>
      </c>
      <c r="I55" s="5" t="s">
        <v>30</v>
      </c>
      <c r="J55" s="5" t="s">
        <v>31</v>
      </c>
      <c r="K55" s="8">
        <v>-50000</v>
      </c>
      <c r="L55" s="5" t="s">
        <v>75</v>
      </c>
    </row>
    <row r="56" spans="1:12">
      <c r="A56" s="5" t="s">
        <v>41</v>
      </c>
      <c r="B56" s="5" t="s">
        <v>67</v>
      </c>
      <c r="C56" s="5" t="s">
        <v>231</v>
      </c>
      <c r="D56" s="5" t="s">
        <v>63</v>
      </c>
      <c r="E56" s="5" t="s">
        <v>101</v>
      </c>
      <c r="F56" s="5" t="s">
        <v>102</v>
      </c>
      <c r="G56" s="7">
        <v>43083</v>
      </c>
      <c r="H56" s="7">
        <v>43083</v>
      </c>
      <c r="I56" s="5" t="s">
        <v>47</v>
      </c>
      <c r="J56" s="5" t="s">
        <v>30</v>
      </c>
      <c r="K56" s="8">
        <v>50000</v>
      </c>
      <c r="L56" s="5" t="s">
        <v>75</v>
      </c>
    </row>
    <row r="57" spans="1:12">
      <c r="A57" s="5" t="s">
        <v>41</v>
      </c>
      <c r="B57" s="5" t="s">
        <v>67</v>
      </c>
      <c r="C57" s="5" t="s">
        <v>231</v>
      </c>
      <c r="D57" s="5" t="s">
        <v>63</v>
      </c>
      <c r="E57" s="5" t="s">
        <v>28</v>
      </c>
      <c r="F57" s="5" t="s">
        <v>35</v>
      </c>
      <c r="G57" s="7">
        <v>43083</v>
      </c>
      <c r="H57" s="7">
        <v>43083</v>
      </c>
      <c r="I57" s="5" t="s">
        <v>30</v>
      </c>
      <c r="J57" s="5" t="s">
        <v>31</v>
      </c>
      <c r="K57" s="8">
        <v>-250</v>
      </c>
      <c r="L57" s="5" t="s">
        <v>75</v>
      </c>
    </row>
    <row r="58" spans="1:12">
      <c r="A58" s="5" t="s">
        <v>41</v>
      </c>
      <c r="B58" s="5" t="s">
        <v>67</v>
      </c>
      <c r="C58" s="5" t="s">
        <v>231</v>
      </c>
      <c r="D58" s="5" t="s">
        <v>63</v>
      </c>
      <c r="E58" s="5" t="s">
        <v>28</v>
      </c>
      <c r="F58" s="5" t="s">
        <v>37</v>
      </c>
      <c r="G58" s="7">
        <v>43089</v>
      </c>
      <c r="H58" s="7">
        <v>43089</v>
      </c>
      <c r="I58" s="5" t="s">
        <v>30</v>
      </c>
      <c r="J58" s="5" t="s">
        <v>31</v>
      </c>
      <c r="K58" s="8">
        <v>-2500</v>
      </c>
      <c r="L58" s="5" t="s">
        <v>75</v>
      </c>
    </row>
    <row r="59" spans="1:12">
      <c r="A59" s="5" t="s">
        <v>42</v>
      </c>
      <c r="B59" s="5" t="s">
        <v>68</v>
      </c>
      <c r="C59" s="5" t="s">
        <v>231</v>
      </c>
      <c r="D59" s="5" t="s">
        <v>63</v>
      </c>
      <c r="E59" s="5" t="s">
        <v>79</v>
      </c>
      <c r="F59" s="5" t="s">
        <v>80</v>
      </c>
      <c r="G59" s="7">
        <v>43070</v>
      </c>
      <c r="H59" s="7">
        <v>43070</v>
      </c>
      <c r="I59" s="5" t="s">
        <v>47</v>
      </c>
      <c r="J59" s="5" t="s">
        <v>30</v>
      </c>
      <c r="K59" s="8">
        <v>32992</v>
      </c>
      <c r="L59" s="5" t="s">
        <v>75</v>
      </c>
    </row>
    <row r="60" spans="1:12">
      <c r="A60" s="5" t="s">
        <v>42</v>
      </c>
      <c r="B60" s="5" t="s">
        <v>68</v>
      </c>
      <c r="C60" s="5" t="s">
        <v>231</v>
      </c>
      <c r="D60" s="5" t="s">
        <v>63</v>
      </c>
      <c r="E60" s="5" t="s">
        <v>28</v>
      </c>
      <c r="F60" s="5" t="s">
        <v>35</v>
      </c>
      <c r="G60" s="7">
        <v>43083</v>
      </c>
      <c r="H60" s="7">
        <v>43083</v>
      </c>
      <c r="I60" s="5" t="s">
        <v>30</v>
      </c>
      <c r="J60" s="5" t="s">
        <v>31</v>
      </c>
      <c r="K60" s="8">
        <v>-225</v>
      </c>
      <c r="L60" s="5" t="s">
        <v>75</v>
      </c>
    </row>
    <row r="61" spans="1:12">
      <c r="A61" s="5" t="s">
        <v>42</v>
      </c>
      <c r="B61" s="5" t="s">
        <v>68</v>
      </c>
      <c r="C61" s="5" t="s">
        <v>231</v>
      </c>
      <c r="D61" s="5" t="s">
        <v>61</v>
      </c>
      <c r="E61" s="5" t="s">
        <v>101</v>
      </c>
      <c r="F61" s="5" t="s">
        <v>102</v>
      </c>
      <c r="G61" s="7">
        <v>43083</v>
      </c>
      <c r="H61" s="7">
        <v>43083</v>
      </c>
      <c r="I61" s="5" t="s">
        <v>30</v>
      </c>
      <c r="J61" s="5" t="s">
        <v>31</v>
      </c>
      <c r="K61" s="8">
        <v>-50000</v>
      </c>
      <c r="L61" s="5" t="s">
        <v>75</v>
      </c>
    </row>
    <row r="62" spans="1:12">
      <c r="A62" s="5" t="s">
        <v>42</v>
      </c>
      <c r="B62" s="5" t="s">
        <v>68</v>
      </c>
      <c r="C62" s="5" t="s">
        <v>231</v>
      </c>
      <c r="D62" s="5" t="s">
        <v>63</v>
      </c>
      <c r="E62" s="5" t="s">
        <v>101</v>
      </c>
      <c r="F62" s="5" t="s">
        <v>102</v>
      </c>
      <c r="G62" s="7">
        <v>43083</v>
      </c>
      <c r="H62" s="7">
        <v>43083</v>
      </c>
      <c r="I62" s="5" t="s">
        <v>47</v>
      </c>
      <c r="J62" s="5" t="s">
        <v>30</v>
      </c>
      <c r="K62" s="8">
        <v>50000</v>
      </c>
      <c r="L62" s="5" t="s">
        <v>75</v>
      </c>
    </row>
    <row r="63" spans="1:12">
      <c r="A63" s="5" t="s">
        <v>42</v>
      </c>
      <c r="B63" s="5" t="s">
        <v>68</v>
      </c>
      <c r="C63" s="5" t="s">
        <v>231</v>
      </c>
      <c r="D63" s="5" t="s">
        <v>63</v>
      </c>
      <c r="E63" s="5" t="s">
        <v>28</v>
      </c>
      <c r="F63" s="5" t="s">
        <v>36</v>
      </c>
      <c r="G63" s="7">
        <v>43083</v>
      </c>
      <c r="H63" s="7">
        <v>43083</v>
      </c>
      <c r="I63" s="5" t="s">
        <v>30</v>
      </c>
      <c r="J63" s="5" t="s">
        <v>31</v>
      </c>
      <c r="K63" s="8">
        <v>-1125</v>
      </c>
      <c r="L63" s="5" t="s">
        <v>75</v>
      </c>
    </row>
    <row r="64" spans="1:12">
      <c r="A64" s="5" t="s">
        <v>42</v>
      </c>
      <c r="B64" s="5" t="s">
        <v>68</v>
      </c>
      <c r="C64" s="5" t="s">
        <v>231</v>
      </c>
      <c r="D64" s="5" t="s">
        <v>61</v>
      </c>
      <c r="E64" s="5" t="s">
        <v>87</v>
      </c>
      <c r="F64" s="5" t="s">
        <v>88</v>
      </c>
      <c r="G64" s="7">
        <v>43083</v>
      </c>
      <c r="H64" s="7">
        <v>43083</v>
      </c>
      <c r="I64" s="5" t="s">
        <v>47</v>
      </c>
      <c r="J64" s="5" t="s">
        <v>30</v>
      </c>
      <c r="K64" s="8">
        <v>80000</v>
      </c>
      <c r="L64" s="5" t="s">
        <v>75</v>
      </c>
    </row>
    <row r="65" spans="1:12">
      <c r="A65" s="5" t="s">
        <v>42</v>
      </c>
      <c r="B65" s="5" t="s">
        <v>68</v>
      </c>
      <c r="C65" s="5" t="s">
        <v>231</v>
      </c>
      <c r="D65" s="5" t="s">
        <v>63</v>
      </c>
      <c r="E65" s="5" t="s">
        <v>28</v>
      </c>
      <c r="F65" s="5" t="s">
        <v>37</v>
      </c>
      <c r="G65" s="7">
        <v>43089</v>
      </c>
      <c r="H65" s="7">
        <v>43089</v>
      </c>
      <c r="I65" s="5" t="s">
        <v>30</v>
      </c>
      <c r="J65" s="5" t="s">
        <v>31</v>
      </c>
      <c r="K65" s="8">
        <v>-2250</v>
      </c>
      <c r="L65" s="5" t="s">
        <v>75</v>
      </c>
    </row>
    <row r="66" spans="1:12">
      <c r="A66" s="5" t="s">
        <v>43</v>
      </c>
      <c r="B66" s="5" t="s">
        <v>69</v>
      </c>
      <c r="C66" s="5" t="s">
        <v>231</v>
      </c>
      <c r="D66" s="5" t="s">
        <v>63</v>
      </c>
      <c r="E66" s="5" t="s">
        <v>79</v>
      </c>
      <c r="F66" s="5" t="s">
        <v>80</v>
      </c>
      <c r="G66" s="7">
        <v>43070</v>
      </c>
      <c r="H66" s="7">
        <v>43070</v>
      </c>
      <c r="I66" s="5" t="s">
        <v>47</v>
      </c>
      <c r="J66" s="5" t="s">
        <v>30</v>
      </c>
      <c r="K66" s="8">
        <v>12607</v>
      </c>
      <c r="L66" s="5" t="s">
        <v>75</v>
      </c>
    </row>
    <row r="67" spans="1:12">
      <c r="A67" s="5" t="s">
        <v>43</v>
      </c>
      <c r="B67" s="5" t="s">
        <v>69</v>
      </c>
      <c r="C67" s="5" t="s">
        <v>231</v>
      </c>
      <c r="D67" s="5" t="s">
        <v>61</v>
      </c>
      <c r="E67" s="5" t="s">
        <v>87</v>
      </c>
      <c r="F67" s="5" t="s">
        <v>88</v>
      </c>
      <c r="G67" s="7">
        <v>43083</v>
      </c>
      <c r="H67" s="7">
        <v>43083</v>
      </c>
      <c r="I67" s="5" t="s">
        <v>47</v>
      </c>
      <c r="J67" s="5" t="s">
        <v>30</v>
      </c>
      <c r="K67" s="8">
        <v>80000</v>
      </c>
      <c r="L67" s="5" t="s">
        <v>75</v>
      </c>
    </row>
    <row r="68" spans="1:12">
      <c r="A68" s="5" t="s">
        <v>43</v>
      </c>
      <c r="B68" s="5" t="s">
        <v>69</v>
      </c>
      <c r="C68" s="5" t="s">
        <v>231</v>
      </c>
      <c r="D68" s="5" t="s">
        <v>63</v>
      </c>
      <c r="E68" s="5" t="s">
        <v>28</v>
      </c>
      <c r="F68" s="5" t="s">
        <v>36</v>
      </c>
      <c r="G68" s="7">
        <v>43083</v>
      </c>
      <c r="H68" s="7">
        <v>43083</v>
      </c>
      <c r="I68" s="5" t="s">
        <v>30</v>
      </c>
      <c r="J68" s="5" t="s">
        <v>31</v>
      </c>
      <c r="K68" s="8">
        <v>-1000</v>
      </c>
      <c r="L68" s="5" t="s">
        <v>75</v>
      </c>
    </row>
    <row r="69" spans="1:12">
      <c r="A69" s="5" t="s">
        <v>43</v>
      </c>
      <c r="B69" s="5" t="s">
        <v>69</v>
      </c>
      <c r="C69" s="5" t="s">
        <v>231</v>
      </c>
      <c r="D69" s="5" t="s">
        <v>61</v>
      </c>
      <c r="E69" s="5" t="s">
        <v>101</v>
      </c>
      <c r="F69" s="5" t="s">
        <v>102</v>
      </c>
      <c r="G69" s="7">
        <v>43083</v>
      </c>
      <c r="H69" s="7">
        <v>43083</v>
      </c>
      <c r="I69" s="5" t="s">
        <v>30</v>
      </c>
      <c r="J69" s="5" t="s">
        <v>31</v>
      </c>
      <c r="K69" s="8">
        <v>-50000</v>
      </c>
      <c r="L69" s="5" t="s">
        <v>75</v>
      </c>
    </row>
    <row r="70" spans="1:12">
      <c r="A70" s="5" t="s">
        <v>43</v>
      </c>
      <c r="B70" s="5" t="s">
        <v>69</v>
      </c>
      <c r="C70" s="5" t="s">
        <v>231</v>
      </c>
      <c r="D70" s="5" t="s">
        <v>63</v>
      </c>
      <c r="E70" s="5" t="s">
        <v>101</v>
      </c>
      <c r="F70" s="5" t="s">
        <v>102</v>
      </c>
      <c r="G70" s="7">
        <v>43083</v>
      </c>
      <c r="H70" s="7">
        <v>43083</v>
      </c>
      <c r="I70" s="5" t="s">
        <v>47</v>
      </c>
      <c r="J70" s="5" t="s">
        <v>30</v>
      </c>
      <c r="K70" s="8">
        <v>50000</v>
      </c>
      <c r="L70" s="5" t="s">
        <v>75</v>
      </c>
    </row>
    <row r="71" spans="1:12">
      <c r="A71" s="5" t="s">
        <v>43</v>
      </c>
      <c r="B71" s="5" t="s">
        <v>69</v>
      </c>
      <c r="C71" s="5" t="s">
        <v>231</v>
      </c>
      <c r="D71" s="5" t="s">
        <v>63</v>
      </c>
      <c r="E71" s="5" t="s">
        <v>28</v>
      </c>
      <c r="F71" s="5" t="s">
        <v>35</v>
      </c>
      <c r="G71" s="7">
        <v>43083</v>
      </c>
      <c r="H71" s="7">
        <v>43083</v>
      </c>
      <c r="I71" s="5" t="s">
        <v>30</v>
      </c>
      <c r="J71" s="5" t="s">
        <v>31</v>
      </c>
      <c r="K71" s="8">
        <v>-200</v>
      </c>
      <c r="L71" s="5" t="s">
        <v>75</v>
      </c>
    </row>
    <row r="72" spans="1:12">
      <c r="A72" s="5" t="s">
        <v>43</v>
      </c>
      <c r="B72" s="5" t="s">
        <v>69</v>
      </c>
      <c r="C72" s="5" t="s">
        <v>231</v>
      </c>
      <c r="D72" s="5" t="s">
        <v>63</v>
      </c>
      <c r="E72" s="5" t="s">
        <v>28</v>
      </c>
      <c r="F72" s="5" t="s">
        <v>37</v>
      </c>
      <c r="G72" s="7">
        <v>43089</v>
      </c>
      <c r="H72" s="7">
        <v>43089</v>
      </c>
      <c r="I72" s="5" t="s">
        <v>30</v>
      </c>
      <c r="J72" s="5" t="s">
        <v>31</v>
      </c>
      <c r="K72" s="8">
        <v>-2000</v>
      </c>
      <c r="L72" s="5" t="s">
        <v>75</v>
      </c>
    </row>
    <row r="73" spans="1:12">
      <c r="A73" s="5" t="s">
        <v>121</v>
      </c>
      <c r="B73" s="5" t="s">
        <v>122</v>
      </c>
      <c r="C73" s="5" t="s">
        <v>231</v>
      </c>
      <c r="D73" s="5" t="s">
        <v>61</v>
      </c>
      <c r="E73" s="5" t="s">
        <v>79</v>
      </c>
      <c r="F73" s="5" t="s">
        <v>80</v>
      </c>
      <c r="G73" s="7">
        <v>43070</v>
      </c>
      <c r="H73" s="7">
        <v>43070</v>
      </c>
      <c r="I73" s="5" t="s">
        <v>47</v>
      </c>
      <c r="J73" s="5" t="s">
        <v>30</v>
      </c>
      <c r="K73" s="8">
        <v>3200</v>
      </c>
      <c r="L73" s="5" t="s">
        <v>75</v>
      </c>
    </row>
    <row r="74" spans="1:12">
      <c r="A74" s="5" t="s">
        <v>123</v>
      </c>
      <c r="B74" s="5" t="s">
        <v>124</v>
      </c>
      <c r="C74" s="5" t="s">
        <v>231</v>
      </c>
      <c r="D74" s="5" t="s">
        <v>61</v>
      </c>
      <c r="E74" s="5" t="s">
        <v>79</v>
      </c>
      <c r="F74" s="5" t="s">
        <v>80</v>
      </c>
      <c r="G74" s="7">
        <v>43070</v>
      </c>
      <c r="H74" s="7">
        <v>43070</v>
      </c>
      <c r="I74" s="5" t="s">
        <v>47</v>
      </c>
      <c r="J74" s="5" t="s">
        <v>30</v>
      </c>
      <c r="K74" s="8">
        <v>1026.5</v>
      </c>
      <c r="L74" s="5" t="s">
        <v>75</v>
      </c>
    </row>
    <row r="75" spans="1:12">
      <c r="A75" s="5" t="s">
        <v>125</v>
      </c>
      <c r="B75" s="5" t="s">
        <v>126</v>
      </c>
      <c r="C75" s="5" t="s">
        <v>231</v>
      </c>
      <c r="D75" s="5" t="s">
        <v>61</v>
      </c>
      <c r="E75" s="5" t="s">
        <v>79</v>
      </c>
      <c r="F75" s="5" t="s">
        <v>80</v>
      </c>
      <c r="G75" s="7">
        <v>43070</v>
      </c>
      <c r="H75" s="7">
        <v>43070</v>
      </c>
      <c r="I75" s="5" t="s">
        <v>47</v>
      </c>
      <c r="J75" s="5" t="s">
        <v>30</v>
      </c>
      <c r="K75" s="8">
        <v>27.23</v>
      </c>
      <c r="L75" s="5" t="s">
        <v>75</v>
      </c>
    </row>
    <row r="76" spans="1:12">
      <c r="A76" s="5" t="s">
        <v>127</v>
      </c>
      <c r="B76" s="5" t="s">
        <v>128</v>
      </c>
      <c r="C76" s="5" t="s">
        <v>232</v>
      </c>
      <c r="D76" s="5" t="s">
        <v>61</v>
      </c>
      <c r="E76" s="5" t="s">
        <v>79</v>
      </c>
      <c r="F76" s="5" t="s">
        <v>80</v>
      </c>
      <c r="G76" s="7">
        <v>43070</v>
      </c>
      <c r="H76" s="7">
        <v>43070</v>
      </c>
      <c r="I76" s="5" t="s">
        <v>47</v>
      </c>
      <c r="J76" s="5" t="s">
        <v>30</v>
      </c>
      <c r="K76" s="8">
        <v>152</v>
      </c>
      <c r="L76" s="5" t="s">
        <v>76</v>
      </c>
    </row>
    <row r="77" spans="1:12">
      <c r="A77" s="5" t="s">
        <v>129</v>
      </c>
      <c r="B77" s="5" t="s">
        <v>130</v>
      </c>
      <c r="C77" s="5" t="s">
        <v>232</v>
      </c>
      <c r="D77" s="5" t="s">
        <v>61</v>
      </c>
      <c r="E77" s="5" t="s">
        <v>79</v>
      </c>
      <c r="F77" s="5" t="s">
        <v>80</v>
      </c>
      <c r="G77" s="7">
        <v>43070</v>
      </c>
      <c r="H77" s="7">
        <v>43070</v>
      </c>
      <c r="I77" s="5" t="s">
        <v>47</v>
      </c>
      <c r="J77" s="5" t="s">
        <v>30</v>
      </c>
      <c r="K77" s="8">
        <v>26</v>
      </c>
      <c r="L77" s="5" t="s">
        <v>76</v>
      </c>
    </row>
    <row r="78" spans="1:12">
      <c r="A78" s="5" t="s">
        <v>131</v>
      </c>
      <c r="B78" s="5" t="s">
        <v>132</v>
      </c>
      <c r="C78" s="5" t="s">
        <v>232</v>
      </c>
      <c r="D78" s="5" t="s">
        <v>61</v>
      </c>
      <c r="E78" s="5" t="s">
        <v>79</v>
      </c>
      <c r="F78" s="5" t="s">
        <v>80</v>
      </c>
      <c r="G78" s="7">
        <v>43070</v>
      </c>
      <c r="H78" s="7">
        <v>43070</v>
      </c>
      <c r="I78" s="5" t="s">
        <v>47</v>
      </c>
      <c r="J78" s="5" t="s">
        <v>30</v>
      </c>
      <c r="K78" s="8">
        <v>19</v>
      </c>
      <c r="L78" s="5" t="s">
        <v>76</v>
      </c>
    </row>
    <row r="79" spans="1:12">
      <c r="A79" s="5" t="s">
        <v>133</v>
      </c>
      <c r="B79" s="5" t="s">
        <v>134</v>
      </c>
      <c r="C79" s="5" t="s">
        <v>232</v>
      </c>
      <c r="D79" s="5" t="s">
        <v>61</v>
      </c>
      <c r="E79" s="5" t="s">
        <v>79</v>
      </c>
      <c r="F79" s="5" t="s">
        <v>80</v>
      </c>
      <c r="G79" s="7">
        <v>43070</v>
      </c>
      <c r="H79" s="7">
        <v>43070</v>
      </c>
      <c r="I79" s="5" t="s">
        <v>47</v>
      </c>
      <c r="J79" s="5" t="s">
        <v>30</v>
      </c>
      <c r="K79" s="8">
        <v>452</v>
      </c>
      <c r="L79" s="5" t="s">
        <v>135</v>
      </c>
    </row>
    <row r="80" spans="1:12">
      <c r="A80" s="5" t="s">
        <v>133</v>
      </c>
      <c r="B80" s="5" t="s">
        <v>134</v>
      </c>
      <c r="C80" s="5" t="s">
        <v>232</v>
      </c>
      <c r="D80" s="5" t="s">
        <v>61</v>
      </c>
      <c r="E80" s="5" t="s">
        <v>136</v>
      </c>
      <c r="F80" s="5" t="s">
        <v>137</v>
      </c>
      <c r="G80" s="7">
        <v>43087</v>
      </c>
      <c r="H80" s="7">
        <v>43087</v>
      </c>
      <c r="I80" s="5" t="s">
        <v>30</v>
      </c>
      <c r="J80" s="5" t="s">
        <v>31</v>
      </c>
      <c r="K80" s="8">
        <v>-12</v>
      </c>
      <c r="L80" s="5" t="s">
        <v>135</v>
      </c>
    </row>
    <row r="81" spans="1:12">
      <c r="A81" s="5" t="s">
        <v>133</v>
      </c>
      <c r="B81" s="5" t="s">
        <v>134</v>
      </c>
      <c r="C81" s="5" t="s">
        <v>232</v>
      </c>
      <c r="D81" s="5" t="s">
        <v>61</v>
      </c>
      <c r="E81" s="5" t="s">
        <v>136</v>
      </c>
      <c r="F81" s="5" t="s">
        <v>138</v>
      </c>
      <c r="G81" s="7">
        <v>43087</v>
      </c>
      <c r="H81" s="7">
        <v>43087</v>
      </c>
      <c r="I81" s="5" t="s">
        <v>47</v>
      </c>
      <c r="J81" s="5" t="s">
        <v>30</v>
      </c>
      <c r="K81" s="8">
        <v>12</v>
      </c>
      <c r="L81" s="5" t="s">
        <v>135</v>
      </c>
    </row>
    <row r="82" spans="1:12">
      <c r="A82" s="5" t="s">
        <v>133</v>
      </c>
      <c r="B82" s="5" t="s">
        <v>134</v>
      </c>
      <c r="C82" s="5" t="s">
        <v>232</v>
      </c>
      <c r="D82" s="5" t="s">
        <v>61</v>
      </c>
      <c r="E82" s="5" t="s">
        <v>136</v>
      </c>
      <c r="F82" s="5" t="s">
        <v>139</v>
      </c>
      <c r="G82" s="7">
        <v>43088</v>
      </c>
      <c r="H82" s="7">
        <v>43088</v>
      </c>
      <c r="I82" s="5" t="s">
        <v>30</v>
      </c>
      <c r="J82" s="5" t="s">
        <v>31</v>
      </c>
      <c r="K82" s="8">
        <v>-40</v>
      </c>
      <c r="L82" s="5" t="s">
        <v>135</v>
      </c>
    </row>
    <row r="83" spans="1:12">
      <c r="A83" s="5" t="s">
        <v>133</v>
      </c>
      <c r="B83" s="5" t="s">
        <v>134</v>
      </c>
      <c r="C83" s="5" t="s">
        <v>232</v>
      </c>
      <c r="D83" s="5" t="s">
        <v>61</v>
      </c>
      <c r="E83" s="5" t="s">
        <v>79</v>
      </c>
      <c r="F83" s="5" t="s">
        <v>140</v>
      </c>
      <c r="G83" s="7">
        <v>43088</v>
      </c>
      <c r="H83" s="7">
        <v>43088</v>
      </c>
      <c r="I83" s="5" t="s">
        <v>47</v>
      </c>
      <c r="J83" s="5" t="s">
        <v>30</v>
      </c>
      <c r="K83" s="8">
        <v>1</v>
      </c>
      <c r="L83" s="5" t="s">
        <v>135</v>
      </c>
    </row>
    <row r="84" spans="1:12">
      <c r="A84" s="5" t="s">
        <v>133</v>
      </c>
      <c r="B84" s="5" t="s">
        <v>134</v>
      </c>
      <c r="C84" s="5" t="s">
        <v>232</v>
      </c>
      <c r="D84" s="5" t="s">
        <v>61</v>
      </c>
      <c r="E84" s="5" t="s">
        <v>141</v>
      </c>
      <c r="F84" s="5" t="s">
        <v>142</v>
      </c>
      <c r="G84" s="7">
        <v>43088</v>
      </c>
      <c r="H84" s="7">
        <v>43088</v>
      </c>
      <c r="I84" s="5" t="s">
        <v>30</v>
      </c>
      <c r="J84" s="5" t="s">
        <v>31</v>
      </c>
      <c r="K84" s="8">
        <v>-19</v>
      </c>
      <c r="L84" s="5" t="s">
        <v>135</v>
      </c>
    </row>
    <row r="85" spans="1:12">
      <c r="A85" s="5" t="s">
        <v>133</v>
      </c>
      <c r="B85" s="5" t="s">
        <v>134</v>
      </c>
      <c r="C85" s="5" t="s">
        <v>232</v>
      </c>
      <c r="D85" s="5" t="s">
        <v>63</v>
      </c>
      <c r="E85" s="5" t="s">
        <v>141</v>
      </c>
      <c r="F85" s="5" t="s">
        <v>142</v>
      </c>
      <c r="G85" s="7">
        <v>43088</v>
      </c>
      <c r="H85" s="7">
        <v>43088</v>
      </c>
      <c r="I85" s="5" t="s">
        <v>30</v>
      </c>
      <c r="J85" s="5" t="s">
        <v>31</v>
      </c>
      <c r="K85" s="8">
        <v>-1</v>
      </c>
      <c r="L85" s="5" t="s">
        <v>135</v>
      </c>
    </row>
    <row r="86" spans="1:12">
      <c r="A86" s="5" t="s">
        <v>133</v>
      </c>
      <c r="B86" s="5" t="s">
        <v>134</v>
      </c>
      <c r="C86" s="5" t="s">
        <v>232</v>
      </c>
      <c r="D86" s="5" t="s">
        <v>61</v>
      </c>
      <c r="E86" s="5" t="s">
        <v>143</v>
      </c>
      <c r="F86" s="5" t="s">
        <v>144</v>
      </c>
      <c r="G86" s="7">
        <v>43088</v>
      </c>
      <c r="H86" s="7">
        <v>43088</v>
      </c>
      <c r="I86" s="5" t="s">
        <v>47</v>
      </c>
      <c r="J86" s="5" t="s">
        <v>30</v>
      </c>
      <c r="K86" s="8">
        <v>1</v>
      </c>
      <c r="L86" s="5" t="s">
        <v>135</v>
      </c>
    </row>
    <row r="87" spans="1:12">
      <c r="A87" s="5" t="s">
        <v>133</v>
      </c>
      <c r="B87" s="5" t="s">
        <v>134</v>
      </c>
      <c r="C87" s="5" t="s">
        <v>232</v>
      </c>
      <c r="D87" s="5" t="s">
        <v>61</v>
      </c>
      <c r="E87" s="5" t="s">
        <v>101</v>
      </c>
      <c r="F87" s="5" t="s">
        <v>145</v>
      </c>
      <c r="G87" s="7">
        <v>43088</v>
      </c>
      <c r="H87" s="7">
        <v>43088</v>
      </c>
      <c r="I87" s="5" t="s">
        <v>30</v>
      </c>
      <c r="J87" s="5" t="s">
        <v>31</v>
      </c>
      <c r="K87" s="8">
        <v>-1</v>
      </c>
      <c r="L87" s="5" t="s">
        <v>135</v>
      </c>
    </row>
    <row r="88" spans="1:12">
      <c r="A88" s="5" t="s">
        <v>133</v>
      </c>
      <c r="B88" s="5" t="s">
        <v>134</v>
      </c>
      <c r="C88" s="5" t="s">
        <v>232</v>
      </c>
      <c r="D88" s="5" t="s">
        <v>63</v>
      </c>
      <c r="E88" s="5" t="s">
        <v>101</v>
      </c>
      <c r="F88" s="5" t="s">
        <v>145</v>
      </c>
      <c r="G88" s="7">
        <v>43088</v>
      </c>
      <c r="H88" s="7">
        <v>43088</v>
      </c>
      <c r="I88" s="5" t="s">
        <v>47</v>
      </c>
      <c r="J88" s="5" t="s">
        <v>30</v>
      </c>
      <c r="K88" s="8">
        <v>1</v>
      </c>
      <c r="L88" s="5" t="s">
        <v>135</v>
      </c>
    </row>
    <row r="89" spans="1:12">
      <c r="A89" s="5" t="s">
        <v>133</v>
      </c>
      <c r="B89" s="5" t="s">
        <v>134</v>
      </c>
      <c r="C89" s="5" t="s">
        <v>232</v>
      </c>
      <c r="D89" s="5" t="s">
        <v>61</v>
      </c>
      <c r="E89" s="5" t="s">
        <v>141</v>
      </c>
      <c r="F89" s="5" t="s">
        <v>146</v>
      </c>
      <c r="G89" s="7">
        <v>43088</v>
      </c>
      <c r="H89" s="7">
        <v>43088</v>
      </c>
      <c r="I89" s="5" t="s">
        <v>30</v>
      </c>
      <c r="J89" s="5" t="s">
        <v>31</v>
      </c>
      <c r="K89" s="8">
        <v>-52</v>
      </c>
      <c r="L89" s="5" t="s">
        <v>135</v>
      </c>
    </row>
    <row r="90" spans="1:12">
      <c r="A90" s="5" t="s">
        <v>133</v>
      </c>
      <c r="B90" s="5" t="s">
        <v>134</v>
      </c>
      <c r="C90" s="5" t="s">
        <v>232</v>
      </c>
      <c r="D90" s="5" t="s">
        <v>61</v>
      </c>
      <c r="E90" s="5" t="s">
        <v>143</v>
      </c>
      <c r="F90" s="5" t="s">
        <v>147</v>
      </c>
      <c r="G90" s="7">
        <v>43088</v>
      </c>
      <c r="H90" s="7">
        <v>43088</v>
      </c>
      <c r="I90" s="5" t="s">
        <v>47</v>
      </c>
      <c r="J90" s="5" t="s">
        <v>30</v>
      </c>
      <c r="K90" s="8">
        <v>10</v>
      </c>
      <c r="L90" s="5" t="s">
        <v>135</v>
      </c>
    </row>
    <row r="91" spans="1:12">
      <c r="A91" s="5" t="s">
        <v>133</v>
      </c>
      <c r="B91" s="5" t="s">
        <v>134</v>
      </c>
      <c r="C91" s="5" t="s">
        <v>232</v>
      </c>
      <c r="D91" s="5" t="s">
        <v>61</v>
      </c>
      <c r="E91" s="5" t="s">
        <v>101</v>
      </c>
      <c r="F91" s="5" t="s">
        <v>148</v>
      </c>
      <c r="G91" s="7">
        <v>43088</v>
      </c>
      <c r="H91" s="7">
        <v>43088</v>
      </c>
      <c r="I91" s="5" t="s">
        <v>30</v>
      </c>
      <c r="J91" s="5" t="s">
        <v>31</v>
      </c>
      <c r="K91" s="8">
        <v>-1</v>
      </c>
      <c r="L91" s="5" t="s">
        <v>135</v>
      </c>
    </row>
    <row r="92" spans="1:12">
      <c r="A92" s="5" t="s">
        <v>133</v>
      </c>
      <c r="B92" s="5" t="s">
        <v>134</v>
      </c>
      <c r="C92" s="5" t="s">
        <v>232</v>
      </c>
      <c r="D92" s="5" t="s">
        <v>63</v>
      </c>
      <c r="E92" s="5" t="s">
        <v>101</v>
      </c>
      <c r="F92" s="5" t="s">
        <v>148</v>
      </c>
      <c r="G92" s="7">
        <v>43088</v>
      </c>
      <c r="H92" s="7">
        <v>43088</v>
      </c>
      <c r="I92" s="5" t="s">
        <v>47</v>
      </c>
      <c r="J92" s="5" t="s">
        <v>30</v>
      </c>
      <c r="K92" s="8">
        <v>1</v>
      </c>
      <c r="L92" s="5" t="s">
        <v>135</v>
      </c>
    </row>
    <row r="93" spans="1:12">
      <c r="A93" s="5" t="s">
        <v>133</v>
      </c>
      <c r="B93" s="5" t="s">
        <v>134</v>
      </c>
      <c r="C93" s="5" t="s">
        <v>232</v>
      </c>
      <c r="D93" s="5" t="s">
        <v>61</v>
      </c>
      <c r="E93" s="5" t="s">
        <v>87</v>
      </c>
      <c r="F93" s="5" t="s">
        <v>149</v>
      </c>
      <c r="G93" s="7">
        <v>43089</v>
      </c>
      <c r="H93" s="7">
        <v>43089</v>
      </c>
      <c r="I93" s="5" t="s">
        <v>30</v>
      </c>
      <c r="J93" s="5" t="s">
        <v>31</v>
      </c>
      <c r="K93" s="8">
        <v>-150</v>
      </c>
      <c r="L93" s="5" t="s">
        <v>135</v>
      </c>
    </row>
    <row r="94" spans="1:12">
      <c r="A94" s="5" t="s">
        <v>133</v>
      </c>
      <c r="B94" s="5" t="s">
        <v>134</v>
      </c>
      <c r="C94" s="5" t="s">
        <v>232</v>
      </c>
      <c r="D94" s="5" t="s">
        <v>61</v>
      </c>
      <c r="E94" s="5" t="s">
        <v>87</v>
      </c>
      <c r="F94" s="5" t="s">
        <v>150</v>
      </c>
      <c r="G94" s="7">
        <v>43089</v>
      </c>
      <c r="H94" s="7">
        <v>43089</v>
      </c>
      <c r="I94" s="5" t="s">
        <v>47</v>
      </c>
      <c r="J94" s="5" t="s">
        <v>30</v>
      </c>
      <c r="K94" s="8">
        <v>150</v>
      </c>
      <c r="L94" s="5" t="s">
        <v>135</v>
      </c>
    </row>
    <row r="95" spans="1:12">
      <c r="A95" s="5" t="s">
        <v>133</v>
      </c>
      <c r="B95" s="5" t="s">
        <v>134</v>
      </c>
      <c r="C95" s="5" t="s">
        <v>232</v>
      </c>
      <c r="D95" s="5" t="s">
        <v>61</v>
      </c>
      <c r="E95" s="5" t="s">
        <v>87</v>
      </c>
      <c r="F95" s="5" t="s">
        <v>150</v>
      </c>
      <c r="G95" s="7">
        <v>43089</v>
      </c>
      <c r="H95" s="7">
        <v>43089</v>
      </c>
      <c r="I95" s="5" t="s">
        <v>47</v>
      </c>
      <c r="J95" s="5" t="s">
        <v>30</v>
      </c>
      <c r="K95" s="8">
        <v>150</v>
      </c>
      <c r="L95" s="5" t="s">
        <v>135</v>
      </c>
    </row>
    <row r="96" spans="1:12">
      <c r="A96" s="5" t="s">
        <v>151</v>
      </c>
      <c r="B96" s="5" t="s">
        <v>152</v>
      </c>
      <c r="C96" s="5" t="s">
        <v>232</v>
      </c>
      <c r="D96" s="5" t="s">
        <v>61</v>
      </c>
      <c r="E96" s="5" t="s">
        <v>79</v>
      </c>
      <c r="F96" s="5" t="s">
        <v>80</v>
      </c>
      <c r="G96" s="7">
        <v>43070</v>
      </c>
      <c r="H96" s="7">
        <v>43070</v>
      </c>
      <c r="I96" s="5" t="s">
        <v>47</v>
      </c>
      <c r="J96" s="5" t="s">
        <v>30</v>
      </c>
      <c r="K96" s="8">
        <v>150</v>
      </c>
      <c r="L96" s="5" t="s">
        <v>135</v>
      </c>
    </row>
    <row r="97" spans="1:12">
      <c r="A97" s="5" t="s">
        <v>153</v>
      </c>
      <c r="B97" s="5" t="s">
        <v>154</v>
      </c>
      <c r="C97" s="5" t="s">
        <v>232</v>
      </c>
      <c r="D97" s="5" t="s">
        <v>61</v>
      </c>
      <c r="E97" s="5" t="s">
        <v>79</v>
      </c>
      <c r="F97" s="5" t="s">
        <v>80</v>
      </c>
      <c r="G97" s="7">
        <v>43070</v>
      </c>
      <c r="H97" s="7">
        <v>43070</v>
      </c>
      <c r="I97" s="5" t="s">
        <v>47</v>
      </c>
      <c r="J97" s="5" t="s">
        <v>30</v>
      </c>
      <c r="K97" s="8">
        <v>200</v>
      </c>
      <c r="L97" s="5" t="s">
        <v>135</v>
      </c>
    </row>
    <row r="98" spans="1:12">
      <c r="A98" s="5" t="s">
        <v>153</v>
      </c>
      <c r="B98" s="5" t="s">
        <v>154</v>
      </c>
      <c r="C98" s="5" t="s">
        <v>232</v>
      </c>
      <c r="D98" s="5" t="s">
        <v>61</v>
      </c>
      <c r="E98" s="5" t="s">
        <v>87</v>
      </c>
      <c r="F98" s="5" t="s">
        <v>155</v>
      </c>
      <c r="G98" s="7">
        <v>43087</v>
      </c>
      <c r="H98" s="7">
        <v>43087</v>
      </c>
      <c r="I98" s="5" t="s">
        <v>47</v>
      </c>
      <c r="J98" s="5" t="s">
        <v>30</v>
      </c>
      <c r="K98" s="8">
        <v>50</v>
      </c>
      <c r="L98" s="5" t="s">
        <v>135</v>
      </c>
    </row>
    <row r="99" spans="1:12">
      <c r="A99" s="5" t="s">
        <v>153</v>
      </c>
      <c r="B99" s="5" t="s">
        <v>154</v>
      </c>
      <c r="C99" s="5" t="s">
        <v>232</v>
      </c>
      <c r="D99" s="5" t="s">
        <v>61</v>
      </c>
      <c r="E99" s="5" t="s">
        <v>87</v>
      </c>
      <c r="F99" s="5" t="s">
        <v>155</v>
      </c>
      <c r="G99" s="7">
        <v>43087</v>
      </c>
      <c r="H99" s="7">
        <v>43087</v>
      </c>
      <c r="I99" s="5" t="s">
        <v>47</v>
      </c>
      <c r="J99" s="5" t="s">
        <v>30</v>
      </c>
      <c r="K99" s="8">
        <v>50</v>
      </c>
      <c r="L99" s="5" t="s">
        <v>135</v>
      </c>
    </row>
    <row r="100" spans="1:12">
      <c r="A100" s="5" t="s">
        <v>153</v>
      </c>
      <c r="B100" s="5" t="s">
        <v>154</v>
      </c>
      <c r="C100" s="5" t="s">
        <v>232</v>
      </c>
      <c r="D100" s="5" t="s">
        <v>61</v>
      </c>
      <c r="E100" s="5" t="s">
        <v>87</v>
      </c>
      <c r="F100" s="5" t="s">
        <v>156</v>
      </c>
      <c r="G100" s="7">
        <v>43089</v>
      </c>
      <c r="H100" s="7">
        <v>43089</v>
      </c>
      <c r="I100" s="5" t="s">
        <v>47</v>
      </c>
      <c r="J100" s="5" t="s">
        <v>30</v>
      </c>
      <c r="K100" s="8">
        <v>150</v>
      </c>
      <c r="L100" s="5" t="s">
        <v>135</v>
      </c>
    </row>
    <row r="101" spans="1:12">
      <c r="A101" s="5" t="s">
        <v>153</v>
      </c>
      <c r="B101" s="5" t="s">
        <v>154</v>
      </c>
      <c r="C101" s="5" t="s">
        <v>232</v>
      </c>
      <c r="D101" s="5" t="s">
        <v>61</v>
      </c>
      <c r="E101" s="5" t="s">
        <v>87</v>
      </c>
      <c r="F101" s="5" t="s">
        <v>156</v>
      </c>
      <c r="G101" s="7">
        <v>43089</v>
      </c>
      <c r="H101" s="7">
        <v>43089</v>
      </c>
      <c r="I101" s="5" t="s">
        <v>47</v>
      </c>
      <c r="J101" s="5" t="s">
        <v>30</v>
      </c>
      <c r="K101" s="8">
        <v>150</v>
      </c>
      <c r="L101" s="5" t="s">
        <v>135</v>
      </c>
    </row>
    <row r="102" spans="1:12">
      <c r="A102" s="5" t="s">
        <v>153</v>
      </c>
      <c r="B102" s="5" t="s">
        <v>154</v>
      </c>
      <c r="C102" s="5" t="s">
        <v>232</v>
      </c>
      <c r="D102" s="5" t="s">
        <v>61</v>
      </c>
      <c r="E102" s="5" t="s">
        <v>87</v>
      </c>
      <c r="F102" s="5" t="s">
        <v>157</v>
      </c>
      <c r="G102" s="7">
        <v>43089</v>
      </c>
      <c r="H102" s="7">
        <v>43089</v>
      </c>
      <c r="I102" s="5" t="s">
        <v>30</v>
      </c>
      <c r="J102" s="5" t="s">
        <v>31</v>
      </c>
      <c r="K102" s="8">
        <v>-150</v>
      </c>
      <c r="L102" s="5" t="s">
        <v>135</v>
      </c>
    </row>
    <row r="103" spans="1:12">
      <c r="A103" s="5" t="s">
        <v>158</v>
      </c>
      <c r="B103" s="5" t="s">
        <v>159</v>
      </c>
      <c r="C103" s="5" t="s">
        <v>232</v>
      </c>
      <c r="D103" s="5" t="s">
        <v>61</v>
      </c>
      <c r="E103" s="5" t="s">
        <v>79</v>
      </c>
      <c r="F103" s="5" t="s">
        <v>80</v>
      </c>
      <c r="G103" s="7">
        <v>43070</v>
      </c>
      <c r="H103" s="7">
        <v>43070</v>
      </c>
      <c r="I103" s="5" t="s">
        <v>47</v>
      </c>
      <c r="J103" s="5" t="s">
        <v>30</v>
      </c>
      <c r="K103" s="8">
        <v>150</v>
      </c>
      <c r="L103" s="5" t="s">
        <v>135</v>
      </c>
    </row>
    <row r="104" spans="1:12">
      <c r="A104" s="5" t="s">
        <v>158</v>
      </c>
      <c r="B104" s="5" t="s">
        <v>159</v>
      </c>
      <c r="C104" s="5" t="s">
        <v>232</v>
      </c>
      <c r="D104" s="5" t="s">
        <v>61</v>
      </c>
      <c r="E104" s="5" t="s">
        <v>87</v>
      </c>
      <c r="F104" s="5" t="s">
        <v>160</v>
      </c>
      <c r="G104" s="7">
        <v>43087</v>
      </c>
      <c r="H104" s="7">
        <v>43087</v>
      </c>
      <c r="I104" s="5" t="s">
        <v>47</v>
      </c>
      <c r="J104" s="5" t="s">
        <v>30</v>
      </c>
      <c r="K104" s="8">
        <v>100</v>
      </c>
      <c r="L104" s="5" t="s">
        <v>135</v>
      </c>
    </row>
    <row r="105" spans="1:12">
      <c r="A105" s="5" t="s">
        <v>158</v>
      </c>
      <c r="B105" s="5" t="s">
        <v>159</v>
      </c>
      <c r="C105" s="5" t="s">
        <v>232</v>
      </c>
      <c r="D105" s="5" t="s">
        <v>61</v>
      </c>
      <c r="E105" s="5" t="s">
        <v>87</v>
      </c>
      <c r="F105" s="5" t="s">
        <v>160</v>
      </c>
      <c r="G105" s="7">
        <v>43087</v>
      </c>
      <c r="H105" s="7">
        <v>43087</v>
      </c>
      <c r="I105" s="5" t="s">
        <v>47</v>
      </c>
      <c r="J105" s="5" t="s">
        <v>30</v>
      </c>
      <c r="K105" s="8">
        <v>100</v>
      </c>
      <c r="L105" s="5" t="s">
        <v>135</v>
      </c>
    </row>
    <row r="106" spans="1:12">
      <c r="A106" s="5" t="s">
        <v>158</v>
      </c>
      <c r="B106" s="5" t="s">
        <v>159</v>
      </c>
      <c r="C106" s="5" t="s">
        <v>232</v>
      </c>
      <c r="D106" s="5" t="s">
        <v>61</v>
      </c>
      <c r="E106" s="5" t="s">
        <v>87</v>
      </c>
      <c r="F106" s="5" t="s">
        <v>161</v>
      </c>
      <c r="G106" s="7">
        <v>43087</v>
      </c>
      <c r="H106" s="7">
        <v>43087</v>
      </c>
      <c r="I106" s="5" t="s">
        <v>30</v>
      </c>
      <c r="J106" s="5" t="s">
        <v>31</v>
      </c>
      <c r="K106" s="8">
        <v>-100</v>
      </c>
      <c r="L106" s="5" t="s">
        <v>135</v>
      </c>
    </row>
    <row r="107" spans="1:12">
      <c r="A107" s="5" t="s">
        <v>158</v>
      </c>
      <c r="B107" s="5" t="s">
        <v>159</v>
      </c>
      <c r="C107" s="5" t="s">
        <v>232</v>
      </c>
      <c r="D107" s="5" t="s">
        <v>61</v>
      </c>
      <c r="E107" s="5" t="s">
        <v>87</v>
      </c>
      <c r="F107" s="5" t="s">
        <v>161</v>
      </c>
      <c r="G107" s="7">
        <v>43087</v>
      </c>
      <c r="H107" s="7">
        <v>43087</v>
      </c>
      <c r="I107" s="5" t="s">
        <v>30</v>
      </c>
      <c r="J107" s="5" t="s">
        <v>31</v>
      </c>
      <c r="K107" s="8">
        <v>-100</v>
      </c>
      <c r="L107" s="5" t="s">
        <v>135</v>
      </c>
    </row>
    <row r="108" spans="1:12">
      <c r="A108" s="5" t="s">
        <v>162</v>
      </c>
      <c r="B108" s="5" t="s">
        <v>163</v>
      </c>
      <c r="C108" s="5" t="s">
        <v>232</v>
      </c>
      <c r="D108" s="5" t="s">
        <v>61</v>
      </c>
      <c r="E108" s="5" t="s">
        <v>79</v>
      </c>
      <c r="F108" s="5" t="s">
        <v>80</v>
      </c>
      <c r="G108" s="7">
        <v>43070</v>
      </c>
      <c r="H108" s="7">
        <v>43070</v>
      </c>
      <c r="I108" s="5" t="s">
        <v>47</v>
      </c>
      <c r="J108" s="5" t="s">
        <v>30</v>
      </c>
      <c r="K108" s="8">
        <v>350</v>
      </c>
      <c r="L108" s="5" t="s">
        <v>135</v>
      </c>
    </row>
    <row r="109" spans="1:12">
      <c r="A109" s="5" t="s">
        <v>164</v>
      </c>
      <c r="B109" s="5" t="s">
        <v>165</v>
      </c>
      <c r="C109" s="5" t="s">
        <v>232</v>
      </c>
      <c r="D109" s="5" t="s">
        <v>61</v>
      </c>
      <c r="E109" s="5" t="s">
        <v>79</v>
      </c>
      <c r="F109" s="5" t="s">
        <v>80</v>
      </c>
      <c r="G109" s="7">
        <v>43070</v>
      </c>
      <c r="H109" s="7">
        <v>43070</v>
      </c>
      <c r="I109" s="5" t="s">
        <v>47</v>
      </c>
      <c r="J109" s="5" t="s">
        <v>30</v>
      </c>
      <c r="K109" s="8">
        <v>269</v>
      </c>
      <c r="L109" s="5" t="s">
        <v>135</v>
      </c>
    </row>
    <row r="110" spans="1:12">
      <c r="A110" s="5" t="s">
        <v>166</v>
      </c>
      <c r="B110" s="5" t="s">
        <v>167</v>
      </c>
      <c r="C110" s="5" t="s">
        <v>232</v>
      </c>
      <c r="D110" s="5" t="s">
        <v>61</v>
      </c>
      <c r="E110" s="5" t="s">
        <v>79</v>
      </c>
      <c r="F110" s="5" t="s">
        <v>80</v>
      </c>
      <c r="G110" s="7">
        <v>43070</v>
      </c>
      <c r="H110" s="7">
        <v>43070</v>
      </c>
      <c r="I110" s="5" t="s">
        <v>47</v>
      </c>
      <c r="J110" s="5" t="s">
        <v>30</v>
      </c>
      <c r="K110" s="8">
        <v>100</v>
      </c>
      <c r="L110" s="5" t="s">
        <v>135</v>
      </c>
    </row>
    <row r="111" spans="1:12">
      <c r="A111" s="5" t="s">
        <v>166</v>
      </c>
      <c r="B111" s="5" t="s">
        <v>167</v>
      </c>
      <c r="C111" s="5" t="s">
        <v>232</v>
      </c>
      <c r="D111" s="5" t="s">
        <v>61</v>
      </c>
      <c r="E111" s="5" t="s">
        <v>79</v>
      </c>
      <c r="F111" s="5" t="s">
        <v>80</v>
      </c>
      <c r="G111" s="7">
        <v>43070</v>
      </c>
      <c r="H111" s="7">
        <v>43070</v>
      </c>
      <c r="I111" s="5" t="s">
        <v>47</v>
      </c>
      <c r="J111" s="5" t="s">
        <v>30</v>
      </c>
      <c r="K111" s="8">
        <v>300</v>
      </c>
      <c r="L111" s="5" t="s">
        <v>135</v>
      </c>
    </row>
    <row r="112" spans="1:12">
      <c r="A112" s="5" t="s">
        <v>168</v>
      </c>
      <c r="B112" s="5" t="s">
        <v>169</v>
      </c>
      <c r="C112" s="5" t="s">
        <v>232</v>
      </c>
      <c r="D112" s="5" t="s">
        <v>61</v>
      </c>
      <c r="E112" s="5" t="s">
        <v>79</v>
      </c>
      <c r="F112" s="5" t="s">
        <v>80</v>
      </c>
      <c r="G112" s="7">
        <v>43070</v>
      </c>
      <c r="H112" s="7">
        <v>43070</v>
      </c>
      <c r="I112" s="5" t="s">
        <v>47</v>
      </c>
      <c r="J112" s="5" t="s">
        <v>30</v>
      </c>
      <c r="K112" s="8">
        <v>450</v>
      </c>
      <c r="L112" s="5" t="s">
        <v>135</v>
      </c>
    </row>
    <row r="113" spans="1:12">
      <c r="A113" s="5" t="s">
        <v>170</v>
      </c>
      <c r="B113" s="5" t="s">
        <v>171</v>
      </c>
      <c r="C113" s="5" t="s">
        <v>231</v>
      </c>
      <c r="D113" s="5" t="s">
        <v>61</v>
      </c>
      <c r="E113" s="5" t="s">
        <v>79</v>
      </c>
      <c r="F113" s="5" t="s">
        <v>80</v>
      </c>
      <c r="G113" s="7">
        <v>43070</v>
      </c>
      <c r="H113" s="7">
        <v>43070</v>
      </c>
      <c r="I113" s="5" t="s">
        <v>47</v>
      </c>
      <c r="J113" s="5" t="s">
        <v>30</v>
      </c>
      <c r="K113" s="8">
        <v>650</v>
      </c>
      <c r="L113" s="5" t="s">
        <v>75</v>
      </c>
    </row>
    <row r="114" spans="1:12">
      <c r="A114" s="5" t="s">
        <v>172</v>
      </c>
      <c r="B114" s="5" t="s">
        <v>173</v>
      </c>
      <c r="C114" s="5" t="s">
        <v>232</v>
      </c>
      <c r="D114" s="5" t="s">
        <v>61</v>
      </c>
      <c r="E114" s="5" t="s">
        <v>79</v>
      </c>
      <c r="F114" s="5" t="s">
        <v>80</v>
      </c>
      <c r="G114" s="7">
        <v>43070</v>
      </c>
      <c r="H114" s="7">
        <v>43070</v>
      </c>
      <c r="I114" s="5" t="s">
        <v>47</v>
      </c>
      <c r="J114" s="5" t="s">
        <v>30</v>
      </c>
      <c r="K114" s="8">
        <v>436</v>
      </c>
      <c r="L114" s="5" t="s">
        <v>76</v>
      </c>
    </row>
    <row r="115" spans="1:12">
      <c r="A115" s="5" t="s">
        <v>174</v>
      </c>
      <c r="B115" s="5" t="s">
        <v>175</v>
      </c>
      <c r="C115" s="5" t="s">
        <v>232</v>
      </c>
      <c r="D115" s="5" t="s">
        <v>61</v>
      </c>
      <c r="E115" s="5" t="s">
        <v>79</v>
      </c>
      <c r="F115" s="5" t="s">
        <v>80</v>
      </c>
      <c r="G115" s="7">
        <v>43070</v>
      </c>
      <c r="H115" s="7">
        <v>43070</v>
      </c>
      <c r="I115" s="5" t="s">
        <v>47</v>
      </c>
      <c r="J115" s="5" t="s">
        <v>30</v>
      </c>
      <c r="K115" s="8">
        <v>16</v>
      </c>
      <c r="L115" s="5" t="s">
        <v>76</v>
      </c>
    </row>
    <row r="116" spans="1:12">
      <c r="A116" s="5" t="s">
        <v>176</v>
      </c>
      <c r="B116" s="5" t="s">
        <v>177</v>
      </c>
      <c r="C116" s="5" t="s">
        <v>232</v>
      </c>
      <c r="D116" s="5" t="s">
        <v>61</v>
      </c>
      <c r="E116" s="5" t="s">
        <v>79</v>
      </c>
      <c r="F116" s="5" t="s">
        <v>80</v>
      </c>
      <c r="G116" s="7">
        <v>43070</v>
      </c>
      <c r="H116" s="7">
        <v>43070</v>
      </c>
      <c r="I116" s="5" t="s">
        <v>47</v>
      </c>
      <c r="J116" s="5" t="s">
        <v>30</v>
      </c>
      <c r="K116" s="8">
        <v>18</v>
      </c>
      <c r="L116" s="5" t="s">
        <v>76</v>
      </c>
    </row>
    <row r="117" spans="1:12">
      <c r="A117" s="5" t="s">
        <v>178</v>
      </c>
      <c r="B117" s="5" t="s">
        <v>179</v>
      </c>
      <c r="C117" s="5" t="s">
        <v>232</v>
      </c>
      <c r="D117" s="5" t="s">
        <v>61</v>
      </c>
      <c r="E117" s="5" t="s">
        <v>79</v>
      </c>
      <c r="F117" s="5" t="s">
        <v>80</v>
      </c>
      <c r="G117" s="7">
        <v>43070</v>
      </c>
      <c r="H117" s="7">
        <v>43070</v>
      </c>
      <c r="I117" s="5" t="s">
        <v>47</v>
      </c>
      <c r="J117" s="5" t="s">
        <v>30</v>
      </c>
      <c r="K117" s="8">
        <v>16</v>
      </c>
      <c r="L117" s="5" t="s">
        <v>76</v>
      </c>
    </row>
    <row r="118" spans="1:12">
      <c r="A118" s="5" t="s">
        <v>180</v>
      </c>
      <c r="B118" s="5" t="s">
        <v>181</v>
      </c>
      <c r="C118" s="5" t="s">
        <v>232</v>
      </c>
      <c r="D118" s="5" t="s">
        <v>61</v>
      </c>
      <c r="E118" s="5" t="s">
        <v>79</v>
      </c>
      <c r="F118" s="5" t="s">
        <v>80</v>
      </c>
      <c r="G118" s="7">
        <v>43070</v>
      </c>
      <c r="H118" s="7">
        <v>43070</v>
      </c>
      <c r="I118" s="5" t="s">
        <v>47</v>
      </c>
      <c r="J118" s="5" t="s">
        <v>30</v>
      </c>
      <c r="K118" s="8">
        <v>31</v>
      </c>
      <c r="L118" s="5" t="s">
        <v>76</v>
      </c>
    </row>
    <row r="119" spans="1:12">
      <c r="A119" s="5" t="s">
        <v>182</v>
      </c>
      <c r="B119" s="5" t="s">
        <v>183</v>
      </c>
      <c r="C119" s="5" t="s">
        <v>232</v>
      </c>
      <c r="D119" s="5" t="s">
        <v>61</v>
      </c>
      <c r="E119" s="5" t="s">
        <v>79</v>
      </c>
      <c r="F119" s="5" t="s">
        <v>80</v>
      </c>
      <c r="G119" s="7">
        <v>43070</v>
      </c>
      <c r="H119" s="7">
        <v>43070</v>
      </c>
      <c r="I119" s="5" t="s">
        <v>47</v>
      </c>
      <c r="J119" s="5" t="s">
        <v>30</v>
      </c>
      <c r="K119" s="8">
        <v>62</v>
      </c>
      <c r="L119" s="5" t="s">
        <v>76</v>
      </c>
    </row>
    <row r="120" spans="1:12">
      <c r="A120" s="5" t="s">
        <v>184</v>
      </c>
      <c r="B120" s="5" t="s">
        <v>185</v>
      </c>
      <c r="C120" s="5" t="s">
        <v>232</v>
      </c>
      <c r="D120" s="5" t="s">
        <v>61</v>
      </c>
      <c r="E120" s="5" t="s">
        <v>79</v>
      </c>
      <c r="F120" s="5" t="s">
        <v>80</v>
      </c>
      <c r="G120" s="7">
        <v>43070</v>
      </c>
      <c r="H120" s="7">
        <v>43070</v>
      </c>
      <c r="I120" s="5" t="s">
        <v>47</v>
      </c>
      <c r="J120" s="5" t="s">
        <v>30</v>
      </c>
      <c r="K120" s="8">
        <v>243</v>
      </c>
      <c r="L120" s="5" t="s">
        <v>76</v>
      </c>
    </row>
    <row r="121" spans="1:12">
      <c r="A121" s="5" t="s">
        <v>186</v>
      </c>
      <c r="B121" s="5" t="s">
        <v>187</v>
      </c>
      <c r="C121" s="5" t="s">
        <v>232</v>
      </c>
      <c r="D121" s="5" t="s">
        <v>61</v>
      </c>
      <c r="E121" s="5" t="s">
        <v>79</v>
      </c>
      <c r="F121" s="5" t="s">
        <v>80</v>
      </c>
      <c r="G121" s="7">
        <v>43070</v>
      </c>
      <c r="H121" s="7">
        <v>43070</v>
      </c>
      <c r="I121" s="5" t="s">
        <v>47</v>
      </c>
      <c r="J121" s="5" t="s">
        <v>30</v>
      </c>
      <c r="K121" s="8">
        <v>77</v>
      </c>
      <c r="L121" s="5" t="s">
        <v>76</v>
      </c>
    </row>
    <row r="122" spans="1:12">
      <c r="A122" s="5" t="s">
        <v>44</v>
      </c>
      <c r="B122" s="5" t="s">
        <v>70</v>
      </c>
      <c r="C122" s="5" t="s">
        <v>232</v>
      </c>
      <c r="D122" s="5" t="s">
        <v>61</v>
      </c>
      <c r="E122" s="5" t="s">
        <v>79</v>
      </c>
      <c r="F122" s="5" t="s">
        <v>80</v>
      </c>
      <c r="G122" s="7">
        <v>43070</v>
      </c>
      <c r="H122" s="7">
        <v>43070</v>
      </c>
      <c r="I122" s="5" t="s">
        <v>47</v>
      </c>
      <c r="J122" s="5" t="s">
        <v>30</v>
      </c>
      <c r="K122" s="8">
        <v>40</v>
      </c>
      <c r="L122" s="5" t="s">
        <v>76</v>
      </c>
    </row>
    <row r="123" spans="1:12">
      <c r="A123" s="5" t="s">
        <v>44</v>
      </c>
      <c r="B123" s="5" t="s">
        <v>70</v>
      </c>
      <c r="C123" s="5" t="s">
        <v>232</v>
      </c>
      <c r="D123" s="5" t="s">
        <v>61</v>
      </c>
      <c r="E123" s="5" t="s">
        <v>45</v>
      </c>
      <c r="F123" s="5" t="s">
        <v>48</v>
      </c>
      <c r="G123" s="7">
        <v>43083</v>
      </c>
      <c r="H123" s="7">
        <v>43083</v>
      </c>
      <c r="I123" s="5" t="s">
        <v>47</v>
      </c>
      <c r="J123" s="5" t="s">
        <v>30</v>
      </c>
      <c r="K123" s="8">
        <v>43</v>
      </c>
      <c r="L123" s="5" t="s">
        <v>76</v>
      </c>
    </row>
    <row r="124" spans="1:12">
      <c r="A124" s="5" t="s">
        <v>44</v>
      </c>
      <c r="B124" s="5" t="s">
        <v>70</v>
      </c>
      <c r="C124" s="5" t="s">
        <v>232</v>
      </c>
      <c r="D124" s="5" t="s">
        <v>61</v>
      </c>
      <c r="E124" s="5" t="s">
        <v>45</v>
      </c>
      <c r="F124" s="5" t="s">
        <v>46</v>
      </c>
      <c r="G124" s="7">
        <v>43083</v>
      </c>
      <c r="H124" s="7">
        <v>43083</v>
      </c>
      <c r="I124" s="5" t="s">
        <v>47</v>
      </c>
      <c r="J124" s="5" t="s">
        <v>30</v>
      </c>
      <c r="K124" s="8">
        <v>439</v>
      </c>
      <c r="L124" s="5" t="s">
        <v>76</v>
      </c>
    </row>
    <row r="125" spans="1:12">
      <c r="A125" s="5" t="s">
        <v>44</v>
      </c>
      <c r="B125" s="5" t="s">
        <v>70</v>
      </c>
      <c r="C125" s="5" t="s">
        <v>232</v>
      </c>
      <c r="D125" s="5" t="s">
        <v>61</v>
      </c>
      <c r="E125" s="5" t="s">
        <v>45</v>
      </c>
      <c r="F125" s="5" t="s">
        <v>49</v>
      </c>
      <c r="G125" s="7">
        <v>43089</v>
      </c>
      <c r="H125" s="7">
        <v>43089</v>
      </c>
      <c r="I125" s="5" t="s">
        <v>47</v>
      </c>
      <c r="J125" s="5" t="s">
        <v>30</v>
      </c>
      <c r="K125" s="8">
        <v>440</v>
      </c>
      <c r="L125" s="5" t="s">
        <v>76</v>
      </c>
    </row>
    <row r="126" spans="1:12">
      <c r="A126" s="5" t="s">
        <v>50</v>
      </c>
      <c r="B126" s="5" t="s">
        <v>71</v>
      </c>
      <c r="C126" s="5" t="s">
        <v>233</v>
      </c>
      <c r="D126" s="5" t="s">
        <v>61</v>
      </c>
      <c r="E126" s="5" t="s">
        <v>28</v>
      </c>
      <c r="F126" s="5" t="s">
        <v>46</v>
      </c>
      <c r="G126" s="7">
        <v>43083</v>
      </c>
      <c r="H126" s="7">
        <v>43083</v>
      </c>
      <c r="I126" s="5" t="s">
        <v>30</v>
      </c>
      <c r="J126" s="5" t="s">
        <v>31</v>
      </c>
      <c r="K126" s="8">
        <v>-10975</v>
      </c>
      <c r="L126" s="5" t="s">
        <v>75</v>
      </c>
    </row>
    <row r="127" spans="1:12">
      <c r="A127" s="5" t="s">
        <v>50</v>
      </c>
      <c r="B127" s="5" t="s">
        <v>71</v>
      </c>
      <c r="C127" s="5" t="s">
        <v>233</v>
      </c>
      <c r="D127" s="5" t="s">
        <v>61</v>
      </c>
      <c r="E127" s="5" t="s">
        <v>45</v>
      </c>
      <c r="F127" s="5" t="s">
        <v>35</v>
      </c>
      <c r="G127" s="7">
        <v>43083</v>
      </c>
      <c r="H127" s="7">
        <v>43083</v>
      </c>
      <c r="I127" s="5" t="s">
        <v>47</v>
      </c>
      <c r="J127" s="5" t="s">
        <v>30</v>
      </c>
      <c r="K127" s="8">
        <v>1097.7</v>
      </c>
      <c r="L127" s="5" t="s">
        <v>75</v>
      </c>
    </row>
    <row r="128" spans="1:12">
      <c r="A128" s="5" t="s">
        <v>50</v>
      </c>
      <c r="B128" s="5" t="s">
        <v>71</v>
      </c>
      <c r="C128" s="5" t="s">
        <v>233</v>
      </c>
      <c r="D128" s="5" t="s">
        <v>61</v>
      </c>
      <c r="E128" s="5" t="s">
        <v>45</v>
      </c>
      <c r="F128" s="5" t="s">
        <v>36</v>
      </c>
      <c r="G128" s="7">
        <v>43083</v>
      </c>
      <c r="H128" s="7">
        <v>43083</v>
      </c>
      <c r="I128" s="5" t="s">
        <v>47</v>
      </c>
      <c r="J128" s="5" t="s">
        <v>30</v>
      </c>
      <c r="K128" s="8">
        <v>5488.5</v>
      </c>
      <c r="L128" s="5" t="s">
        <v>75</v>
      </c>
    </row>
    <row r="129" spans="1:12">
      <c r="A129" s="5" t="s">
        <v>50</v>
      </c>
      <c r="B129" s="5" t="s">
        <v>71</v>
      </c>
      <c r="C129" s="5" t="s">
        <v>233</v>
      </c>
      <c r="D129" s="5" t="s">
        <v>61</v>
      </c>
      <c r="E129" s="5" t="s">
        <v>45</v>
      </c>
      <c r="F129" s="5" t="s">
        <v>51</v>
      </c>
      <c r="G129" s="7">
        <v>43083</v>
      </c>
      <c r="H129" s="7">
        <v>43083</v>
      </c>
      <c r="I129" s="5" t="s">
        <v>47</v>
      </c>
      <c r="J129" s="5" t="s">
        <v>30</v>
      </c>
      <c r="K129" s="8">
        <v>5488.5</v>
      </c>
      <c r="L129" s="5" t="s">
        <v>75</v>
      </c>
    </row>
    <row r="130" spans="1:12">
      <c r="A130" s="5" t="s">
        <v>50</v>
      </c>
      <c r="B130" s="5" t="s">
        <v>71</v>
      </c>
      <c r="C130" s="5" t="s">
        <v>233</v>
      </c>
      <c r="D130" s="5" t="s">
        <v>61</v>
      </c>
      <c r="E130" s="5" t="s">
        <v>28</v>
      </c>
      <c r="F130" s="5" t="s">
        <v>48</v>
      </c>
      <c r="G130" s="7">
        <v>43083</v>
      </c>
      <c r="H130" s="7">
        <v>43083</v>
      </c>
      <c r="I130" s="5" t="s">
        <v>30</v>
      </c>
      <c r="J130" s="5" t="s">
        <v>31</v>
      </c>
      <c r="K130" s="8">
        <v>-1075</v>
      </c>
      <c r="L130" s="5" t="s">
        <v>75</v>
      </c>
    </row>
    <row r="131" spans="1:12">
      <c r="A131" s="5" t="s">
        <v>50</v>
      </c>
      <c r="B131" s="5" t="s">
        <v>71</v>
      </c>
      <c r="C131" s="5" t="s">
        <v>233</v>
      </c>
      <c r="D131" s="5" t="s">
        <v>61</v>
      </c>
      <c r="E131" s="5" t="s">
        <v>28</v>
      </c>
      <c r="F131" s="5" t="s">
        <v>49</v>
      </c>
      <c r="G131" s="7">
        <v>43089</v>
      </c>
      <c r="H131" s="7">
        <v>43089</v>
      </c>
      <c r="I131" s="5" t="s">
        <v>30</v>
      </c>
      <c r="J131" s="5" t="s">
        <v>31</v>
      </c>
      <c r="K131" s="8">
        <v>-11000</v>
      </c>
      <c r="L131" s="5" t="s">
        <v>75</v>
      </c>
    </row>
    <row r="132" spans="1:12">
      <c r="A132" s="5" t="s">
        <v>50</v>
      </c>
      <c r="B132" s="5" t="s">
        <v>71</v>
      </c>
      <c r="C132" s="5" t="s">
        <v>233</v>
      </c>
      <c r="D132" s="5" t="s">
        <v>61</v>
      </c>
      <c r="E132" s="5" t="s">
        <v>45</v>
      </c>
      <c r="F132" s="5" t="s">
        <v>37</v>
      </c>
      <c r="G132" s="7">
        <v>43089</v>
      </c>
      <c r="H132" s="7">
        <v>43089</v>
      </c>
      <c r="I132" s="5" t="s">
        <v>47</v>
      </c>
      <c r="J132" s="5" t="s">
        <v>30</v>
      </c>
      <c r="K132" s="8">
        <v>10975.3</v>
      </c>
      <c r="L132" s="5" t="s">
        <v>75</v>
      </c>
    </row>
    <row r="133" spans="1:12">
      <c r="A133" s="5" t="s">
        <v>50</v>
      </c>
      <c r="B133" s="5" t="s">
        <v>71</v>
      </c>
      <c r="C133" s="5" t="s">
        <v>233</v>
      </c>
      <c r="D133" s="5" t="s">
        <v>61</v>
      </c>
      <c r="E133" s="5" t="s">
        <v>45</v>
      </c>
      <c r="F133" s="5" t="s">
        <v>37</v>
      </c>
      <c r="G133" s="7">
        <v>43089</v>
      </c>
      <c r="H133" s="7">
        <v>43089</v>
      </c>
      <c r="I133" s="5" t="s">
        <v>47</v>
      </c>
      <c r="J133" s="5" t="s">
        <v>30</v>
      </c>
      <c r="K133" s="8">
        <v>1.7</v>
      </c>
      <c r="L133" s="5" t="s">
        <v>75</v>
      </c>
    </row>
    <row r="134" spans="1:12">
      <c r="A134" s="5" t="s">
        <v>188</v>
      </c>
      <c r="B134" s="5" t="s">
        <v>189</v>
      </c>
      <c r="C134" s="5" t="s">
        <v>232</v>
      </c>
      <c r="D134" s="5" t="s">
        <v>61</v>
      </c>
      <c r="E134" s="5" t="s">
        <v>79</v>
      </c>
      <c r="F134" s="5" t="s">
        <v>80</v>
      </c>
      <c r="G134" s="7">
        <v>43070</v>
      </c>
      <c r="H134" s="7">
        <v>43070</v>
      </c>
      <c r="I134" s="5" t="s">
        <v>47</v>
      </c>
      <c r="J134" s="5" t="s">
        <v>30</v>
      </c>
      <c r="K134" s="8">
        <v>7</v>
      </c>
      <c r="L134" s="5" t="s">
        <v>76</v>
      </c>
    </row>
    <row r="135" spans="1:12">
      <c r="A135" s="5" t="s">
        <v>190</v>
      </c>
      <c r="B135" s="5" t="s">
        <v>191</v>
      </c>
      <c r="C135" s="5" t="s">
        <v>232</v>
      </c>
      <c r="D135" s="5" t="s">
        <v>61</v>
      </c>
      <c r="E135" s="5" t="s">
        <v>79</v>
      </c>
      <c r="F135" s="5" t="s">
        <v>80</v>
      </c>
      <c r="G135" s="7">
        <v>43070</v>
      </c>
      <c r="H135" s="7">
        <v>43070</v>
      </c>
      <c r="I135" s="5" t="s">
        <v>47</v>
      </c>
      <c r="J135" s="5" t="s">
        <v>30</v>
      </c>
      <c r="K135" s="8">
        <v>38</v>
      </c>
      <c r="L135" s="5" t="s">
        <v>76</v>
      </c>
    </row>
    <row r="136" spans="1:12">
      <c r="A136" s="5" t="s">
        <v>192</v>
      </c>
      <c r="B136" s="5" t="s">
        <v>193</v>
      </c>
      <c r="C136" s="5" t="s">
        <v>231</v>
      </c>
      <c r="D136" s="5" t="s">
        <v>61</v>
      </c>
      <c r="E136" s="5" t="s">
        <v>79</v>
      </c>
      <c r="F136" s="5" t="s">
        <v>80</v>
      </c>
      <c r="G136" s="7">
        <v>43070</v>
      </c>
      <c r="H136" s="7">
        <v>43070</v>
      </c>
      <c r="I136" s="5" t="s">
        <v>47</v>
      </c>
      <c r="J136" s="5" t="s">
        <v>30</v>
      </c>
      <c r="K136" s="8">
        <v>2</v>
      </c>
      <c r="L136" s="5" t="s">
        <v>76</v>
      </c>
    </row>
    <row r="137" spans="1:12">
      <c r="A137" s="5" t="s">
        <v>194</v>
      </c>
      <c r="B137" s="5" t="s">
        <v>195</v>
      </c>
      <c r="C137" s="5" t="s">
        <v>231</v>
      </c>
      <c r="D137" s="5" t="s">
        <v>61</v>
      </c>
      <c r="E137" s="5" t="s">
        <v>79</v>
      </c>
      <c r="F137" s="5" t="s">
        <v>80</v>
      </c>
      <c r="G137" s="7">
        <v>43070</v>
      </c>
      <c r="H137" s="7">
        <v>43070</v>
      </c>
      <c r="I137" s="5" t="s">
        <v>47</v>
      </c>
      <c r="J137" s="5" t="s">
        <v>30</v>
      </c>
      <c r="K137" s="8">
        <v>22.56</v>
      </c>
      <c r="L137" s="5" t="s">
        <v>75</v>
      </c>
    </row>
    <row r="138" spans="1:12">
      <c r="A138" s="5" t="s">
        <v>52</v>
      </c>
      <c r="B138" s="5" t="s">
        <v>72</v>
      </c>
      <c r="C138" s="5" t="s">
        <v>231</v>
      </c>
      <c r="D138" s="5" t="s">
        <v>61</v>
      </c>
      <c r="E138" s="5" t="s">
        <v>79</v>
      </c>
      <c r="F138" s="5" t="s">
        <v>80</v>
      </c>
      <c r="G138" s="7">
        <v>43070</v>
      </c>
      <c r="H138" s="7">
        <v>43070</v>
      </c>
      <c r="I138" s="5" t="s">
        <v>47</v>
      </c>
      <c r="J138" s="5" t="s">
        <v>30</v>
      </c>
      <c r="K138" s="8">
        <v>163.79000000000002</v>
      </c>
      <c r="L138" s="5" t="s">
        <v>75</v>
      </c>
    </row>
    <row r="139" spans="1:12">
      <c r="A139" s="5" t="s">
        <v>52</v>
      </c>
      <c r="B139" s="5" t="s">
        <v>72</v>
      </c>
      <c r="C139" s="5" t="s">
        <v>231</v>
      </c>
      <c r="D139" s="5" t="s">
        <v>61</v>
      </c>
      <c r="E139" s="5" t="s">
        <v>87</v>
      </c>
      <c r="F139" s="5" t="s">
        <v>88</v>
      </c>
      <c r="G139" s="7">
        <v>43083</v>
      </c>
      <c r="H139" s="7">
        <v>43083</v>
      </c>
      <c r="I139" s="5" t="s">
        <v>47</v>
      </c>
      <c r="J139" s="5" t="s">
        <v>30</v>
      </c>
      <c r="K139" s="8">
        <v>200000</v>
      </c>
      <c r="L139" s="5" t="s">
        <v>75</v>
      </c>
    </row>
    <row r="140" spans="1:12">
      <c r="A140" s="5" t="s">
        <v>52</v>
      </c>
      <c r="B140" s="5" t="s">
        <v>72</v>
      </c>
      <c r="C140" s="5" t="s">
        <v>231</v>
      </c>
      <c r="D140" s="5" t="s">
        <v>61</v>
      </c>
      <c r="E140" s="5" t="s">
        <v>28</v>
      </c>
      <c r="F140" s="5" t="s">
        <v>35</v>
      </c>
      <c r="G140" s="7">
        <v>43083</v>
      </c>
      <c r="H140" s="7">
        <v>43083</v>
      </c>
      <c r="I140" s="5" t="s">
        <v>30</v>
      </c>
      <c r="J140" s="5" t="s">
        <v>31</v>
      </c>
      <c r="K140" s="8">
        <v>-25</v>
      </c>
      <c r="L140" s="5" t="s">
        <v>75</v>
      </c>
    </row>
    <row r="141" spans="1:12">
      <c r="A141" s="5" t="s">
        <v>52</v>
      </c>
      <c r="B141" s="5" t="s">
        <v>72</v>
      </c>
      <c r="C141" s="5" t="s">
        <v>231</v>
      </c>
      <c r="D141" s="5" t="s">
        <v>61</v>
      </c>
      <c r="E141" s="5" t="s">
        <v>28</v>
      </c>
      <c r="F141" s="5" t="s">
        <v>36</v>
      </c>
      <c r="G141" s="7">
        <v>43083</v>
      </c>
      <c r="H141" s="7">
        <v>43083</v>
      </c>
      <c r="I141" s="5" t="s">
        <v>30</v>
      </c>
      <c r="J141" s="5" t="s">
        <v>31</v>
      </c>
      <c r="K141" s="8">
        <v>-125</v>
      </c>
      <c r="L141" s="5" t="s">
        <v>75</v>
      </c>
    </row>
    <row r="142" spans="1:12">
      <c r="A142" s="5" t="s">
        <v>52</v>
      </c>
      <c r="B142" s="5" t="s">
        <v>72</v>
      </c>
      <c r="C142" s="5" t="s">
        <v>231</v>
      </c>
      <c r="D142" s="5" t="s">
        <v>61</v>
      </c>
      <c r="E142" s="5" t="s">
        <v>28</v>
      </c>
      <c r="F142" s="5" t="s">
        <v>37</v>
      </c>
      <c r="G142" s="7">
        <v>43089</v>
      </c>
      <c r="H142" s="7">
        <v>43089</v>
      </c>
      <c r="I142" s="5" t="s">
        <v>30</v>
      </c>
      <c r="J142" s="5" t="s">
        <v>31</v>
      </c>
      <c r="K142" s="8">
        <v>-250</v>
      </c>
      <c r="L142" s="5" t="s">
        <v>75</v>
      </c>
    </row>
    <row r="143" spans="1:12">
      <c r="A143" s="5" t="s">
        <v>196</v>
      </c>
      <c r="B143" s="5" t="s">
        <v>197</v>
      </c>
      <c r="C143" s="5" t="s">
        <v>232</v>
      </c>
      <c r="D143" s="5" t="s">
        <v>61</v>
      </c>
      <c r="E143" s="5" t="s">
        <v>79</v>
      </c>
      <c r="F143" s="5" t="s">
        <v>80</v>
      </c>
      <c r="G143" s="7">
        <v>43070</v>
      </c>
      <c r="H143" s="7">
        <v>43070</v>
      </c>
      <c r="I143" s="5" t="s">
        <v>47</v>
      </c>
      <c r="J143" s="5" t="s">
        <v>30</v>
      </c>
      <c r="K143" s="8">
        <v>8</v>
      </c>
      <c r="L143" s="5" t="s">
        <v>76</v>
      </c>
    </row>
    <row r="144" spans="1:12">
      <c r="A144" s="5" t="s">
        <v>198</v>
      </c>
      <c r="B144" s="5" t="s">
        <v>199</v>
      </c>
      <c r="C144" s="5" t="s">
        <v>231</v>
      </c>
      <c r="D144" s="5" t="s">
        <v>61</v>
      </c>
      <c r="E144" s="5" t="s">
        <v>79</v>
      </c>
      <c r="F144" s="5" t="s">
        <v>80</v>
      </c>
      <c r="G144" s="7">
        <v>43070</v>
      </c>
      <c r="H144" s="7">
        <v>43070</v>
      </c>
      <c r="I144" s="5" t="s">
        <v>47</v>
      </c>
      <c r="J144" s="5" t="s">
        <v>30</v>
      </c>
      <c r="K144" s="8">
        <v>20</v>
      </c>
      <c r="L144" s="5" t="s">
        <v>75</v>
      </c>
    </row>
    <row r="145" spans="1:12">
      <c r="A145" s="5" t="s">
        <v>200</v>
      </c>
      <c r="B145" s="5" t="s">
        <v>201</v>
      </c>
      <c r="C145" s="5" t="s">
        <v>232</v>
      </c>
      <c r="D145" s="5" t="s">
        <v>61</v>
      </c>
      <c r="E145" s="5" t="s">
        <v>79</v>
      </c>
      <c r="F145" s="5" t="s">
        <v>80</v>
      </c>
      <c r="G145" s="7">
        <v>43070</v>
      </c>
      <c r="H145" s="7">
        <v>43070</v>
      </c>
      <c r="I145" s="5" t="s">
        <v>47</v>
      </c>
      <c r="J145" s="5" t="s">
        <v>30</v>
      </c>
      <c r="K145" s="8">
        <v>7</v>
      </c>
      <c r="L145" s="5" t="s">
        <v>76</v>
      </c>
    </row>
    <row r="146" spans="1:12">
      <c r="A146" s="5" t="s">
        <v>202</v>
      </c>
      <c r="B146" s="5" t="s">
        <v>203</v>
      </c>
      <c r="C146" s="5" t="s">
        <v>232</v>
      </c>
      <c r="D146" s="5" t="s">
        <v>61</v>
      </c>
      <c r="E146" s="5" t="s">
        <v>79</v>
      </c>
      <c r="F146" s="5" t="s">
        <v>80</v>
      </c>
      <c r="G146" s="7">
        <v>43070</v>
      </c>
      <c r="H146" s="7">
        <v>43070</v>
      </c>
      <c r="I146" s="5" t="s">
        <v>47</v>
      </c>
      <c r="J146" s="5" t="s">
        <v>30</v>
      </c>
      <c r="K146" s="8">
        <v>23</v>
      </c>
      <c r="L146" s="5" t="s">
        <v>76</v>
      </c>
    </row>
    <row r="147" spans="1:12">
      <c r="A147" s="5" t="s">
        <v>204</v>
      </c>
      <c r="B147" s="5" t="s">
        <v>205</v>
      </c>
      <c r="C147" s="5" t="s">
        <v>232</v>
      </c>
      <c r="D147" s="5" t="s">
        <v>61</v>
      </c>
      <c r="E147" s="5" t="s">
        <v>79</v>
      </c>
      <c r="F147" s="5" t="s">
        <v>80</v>
      </c>
      <c r="G147" s="7">
        <v>43070</v>
      </c>
      <c r="H147" s="7">
        <v>43070</v>
      </c>
      <c r="I147" s="5" t="s">
        <v>47</v>
      </c>
      <c r="J147" s="5" t="s">
        <v>30</v>
      </c>
      <c r="K147" s="8">
        <v>32</v>
      </c>
      <c r="L147" s="5" t="s">
        <v>76</v>
      </c>
    </row>
    <row r="148" spans="1:12">
      <c r="A148" s="5" t="s">
        <v>206</v>
      </c>
      <c r="B148" s="5" t="s">
        <v>207</v>
      </c>
      <c r="C148" s="5" t="s">
        <v>231</v>
      </c>
      <c r="D148" s="5" t="s">
        <v>61</v>
      </c>
      <c r="E148" s="5" t="s">
        <v>79</v>
      </c>
      <c r="F148" s="5" t="s">
        <v>80</v>
      </c>
      <c r="G148" s="7">
        <v>43070</v>
      </c>
      <c r="H148" s="7">
        <v>43070</v>
      </c>
      <c r="I148" s="5" t="s">
        <v>47</v>
      </c>
      <c r="J148" s="5" t="s">
        <v>30</v>
      </c>
      <c r="K148" s="8">
        <v>481</v>
      </c>
      <c r="L148" s="5" t="s">
        <v>75</v>
      </c>
    </row>
    <row r="149" spans="1:12">
      <c r="A149" s="5" t="s">
        <v>208</v>
      </c>
      <c r="B149" s="5" t="s">
        <v>209</v>
      </c>
      <c r="C149" s="5" t="s">
        <v>231</v>
      </c>
      <c r="D149" s="5" t="s">
        <v>61</v>
      </c>
      <c r="E149" s="5" t="s">
        <v>79</v>
      </c>
      <c r="F149" s="5" t="s">
        <v>80</v>
      </c>
      <c r="G149" s="7">
        <v>43070</v>
      </c>
      <c r="H149" s="7">
        <v>43070</v>
      </c>
      <c r="I149" s="5" t="s">
        <v>47</v>
      </c>
      <c r="J149" s="5" t="s">
        <v>30</v>
      </c>
      <c r="K149" s="8">
        <v>183.2</v>
      </c>
      <c r="L149" s="5" t="s">
        <v>75</v>
      </c>
    </row>
    <row r="150" spans="1:12">
      <c r="A150" s="5" t="s">
        <v>210</v>
      </c>
      <c r="B150" s="5" t="s">
        <v>211</v>
      </c>
      <c r="C150" s="5" t="s">
        <v>231</v>
      </c>
      <c r="D150" s="5" t="s">
        <v>61</v>
      </c>
      <c r="E150" s="5" t="s">
        <v>79</v>
      </c>
      <c r="F150" s="5" t="s">
        <v>80</v>
      </c>
      <c r="G150" s="7">
        <v>43070</v>
      </c>
      <c r="H150" s="7">
        <v>43070</v>
      </c>
      <c r="I150" s="5" t="s">
        <v>47</v>
      </c>
      <c r="J150" s="5" t="s">
        <v>30</v>
      </c>
      <c r="K150" s="8">
        <v>0.32</v>
      </c>
      <c r="L150" s="5" t="s">
        <v>75</v>
      </c>
    </row>
    <row r="151" spans="1:12">
      <c r="A151" s="5" t="s">
        <v>212</v>
      </c>
      <c r="B151" s="5" t="s">
        <v>213</v>
      </c>
      <c r="C151" s="5" t="s">
        <v>231</v>
      </c>
      <c r="D151" s="5" t="s">
        <v>61</v>
      </c>
      <c r="E151" s="5" t="s">
        <v>79</v>
      </c>
      <c r="F151" s="5" t="s">
        <v>80</v>
      </c>
      <c r="G151" s="7">
        <v>43070</v>
      </c>
      <c r="H151" s="7">
        <v>43070</v>
      </c>
      <c r="I151" s="5" t="s">
        <v>47</v>
      </c>
      <c r="J151" s="5" t="s">
        <v>30</v>
      </c>
      <c r="K151" s="8">
        <v>37.33</v>
      </c>
      <c r="L151" s="5" t="s">
        <v>75</v>
      </c>
    </row>
    <row r="152" spans="1:12" ht="30">
      <c r="A152" s="5" t="s">
        <v>214</v>
      </c>
      <c r="B152" s="9" t="s">
        <v>215</v>
      </c>
      <c r="C152" s="5" t="s">
        <v>232</v>
      </c>
      <c r="D152" s="5" t="s">
        <v>61</v>
      </c>
      <c r="E152" s="5" t="s">
        <v>79</v>
      </c>
      <c r="F152" s="5" t="s">
        <v>80</v>
      </c>
      <c r="G152" s="7">
        <v>43070</v>
      </c>
      <c r="H152" s="7">
        <v>43070</v>
      </c>
      <c r="I152" s="5" t="s">
        <v>47</v>
      </c>
      <c r="J152" s="5" t="s">
        <v>30</v>
      </c>
      <c r="K152" s="8">
        <v>95</v>
      </c>
      <c r="L152" s="5" t="s">
        <v>76</v>
      </c>
    </row>
    <row r="153" spans="1:12">
      <c r="A153" s="5" t="s">
        <v>53</v>
      </c>
      <c r="B153" s="5" t="s">
        <v>73</v>
      </c>
      <c r="C153" s="5" t="s">
        <v>233</v>
      </c>
      <c r="D153" s="5" t="s">
        <v>61</v>
      </c>
      <c r="E153" s="5" t="s">
        <v>79</v>
      </c>
      <c r="F153" s="5" t="s">
        <v>80</v>
      </c>
      <c r="G153" s="7">
        <v>43070</v>
      </c>
      <c r="H153" s="7">
        <v>43070</v>
      </c>
      <c r="I153" s="5" t="s">
        <v>47</v>
      </c>
      <c r="J153" s="5" t="s">
        <v>30</v>
      </c>
      <c r="K153" s="8">
        <v>43.2</v>
      </c>
      <c r="L153" s="5" t="s">
        <v>75</v>
      </c>
    </row>
    <row r="154" spans="1:12">
      <c r="A154" s="5" t="s">
        <v>53</v>
      </c>
      <c r="B154" s="5" t="s">
        <v>73</v>
      </c>
      <c r="C154" s="5" t="s">
        <v>233</v>
      </c>
      <c r="D154" s="5" t="s">
        <v>61</v>
      </c>
      <c r="E154" s="5" t="s">
        <v>79</v>
      </c>
      <c r="F154" s="5" t="s">
        <v>80</v>
      </c>
      <c r="G154" s="7">
        <v>43070</v>
      </c>
      <c r="H154" s="7">
        <v>43070</v>
      </c>
      <c r="I154" s="5" t="s">
        <v>47</v>
      </c>
      <c r="J154" s="5" t="s">
        <v>30</v>
      </c>
      <c r="K154" s="8">
        <v>116.8</v>
      </c>
      <c r="L154" s="5" t="s">
        <v>75</v>
      </c>
    </row>
    <row r="155" spans="1:12">
      <c r="A155" s="5" t="s">
        <v>53</v>
      </c>
      <c r="B155" s="5" t="s">
        <v>73</v>
      </c>
      <c r="C155" s="5" t="s">
        <v>233</v>
      </c>
      <c r="D155" s="5" t="s">
        <v>61</v>
      </c>
      <c r="E155" s="5" t="s">
        <v>28</v>
      </c>
      <c r="F155" s="5" t="s">
        <v>36</v>
      </c>
      <c r="G155" s="7">
        <v>43083</v>
      </c>
      <c r="H155" s="7">
        <v>43083</v>
      </c>
      <c r="I155" s="5" t="s">
        <v>30</v>
      </c>
      <c r="J155" s="5" t="s">
        <v>31</v>
      </c>
      <c r="K155" s="8">
        <v>-13.5</v>
      </c>
      <c r="L155" s="5" t="s">
        <v>75</v>
      </c>
    </row>
    <row r="156" spans="1:12">
      <c r="A156" s="5" t="s">
        <v>53</v>
      </c>
      <c r="B156" s="5" t="s">
        <v>73</v>
      </c>
      <c r="C156" s="5" t="s">
        <v>233</v>
      </c>
      <c r="D156" s="5" t="s">
        <v>61</v>
      </c>
      <c r="E156" s="5" t="s">
        <v>28</v>
      </c>
      <c r="F156" s="5" t="s">
        <v>35</v>
      </c>
      <c r="G156" s="7">
        <v>43083</v>
      </c>
      <c r="H156" s="7">
        <v>43083</v>
      </c>
      <c r="I156" s="5" t="s">
        <v>30</v>
      </c>
      <c r="J156" s="5" t="s">
        <v>31</v>
      </c>
      <c r="K156" s="8">
        <v>-2.7</v>
      </c>
      <c r="L156" s="5" t="s">
        <v>75</v>
      </c>
    </row>
    <row r="157" spans="1:12">
      <c r="A157" s="5" t="s">
        <v>53</v>
      </c>
      <c r="B157" s="5" t="s">
        <v>73</v>
      </c>
      <c r="C157" s="5" t="s">
        <v>233</v>
      </c>
      <c r="D157" s="5" t="s">
        <v>61</v>
      </c>
      <c r="E157" s="5" t="s">
        <v>45</v>
      </c>
      <c r="F157" s="5" t="s">
        <v>54</v>
      </c>
      <c r="G157" s="7">
        <v>43083</v>
      </c>
      <c r="H157" s="7">
        <v>43083</v>
      </c>
      <c r="I157" s="5" t="s">
        <v>47</v>
      </c>
      <c r="J157" s="5" t="s">
        <v>30</v>
      </c>
      <c r="K157" s="8">
        <v>4518.5</v>
      </c>
      <c r="L157" s="5" t="s">
        <v>75</v>
      </c>
    </row>
    <row r="158" spans="1:12">
      <c r="A158" s="5" t="s">
        <v>53</v>
      </c>
      <c r="B158" s="5" t="s">
        <v>73</v>
      </c>
      <c r="C158" s="5" t="s">
        <v>233</v>
      </c>
      <c r="D158" s="5" t="s">
        <v>61</v>
      </c>
      <c r="E158" s="5" t="s">
        <v>45</v>
      </c>
      <c r="F158" s="5" t="s">
        <v>55</v>
      </c>
      <c r="G158" s="7">
        <v>43083</v>
      </c>
      <c r="H158" s="7"/>
      <c r="I158" s="5" t="s">
        <v>56</v>
      </c>
      <c r="J158" s="5" t="s">
        <v>30</v>
      </c>
      <c r="K158" s="8">
        <v>451.85</v>
      </c>
      <c r="L158" s="5" t="s">
        <v>75</v>
      </c>
    </row>
    <row r="159" spans="1:12">
      <c r="A159" s="5" t="s">
        <v>53</v>
      </c>
      <c r="B159" s="5" t="s">
        <v>73</v>
      </c>
      <c r="C159" s="5" t="s">
        <v>233</v>
      </c>
      <c r="D159" s="5" t="s">
        <v>61</v>
      </c>
      <c r="E159" s="5" t="s">
        <v>45</v>
      </c>
      <c r="F159" s="5" t="s">
        <v>29</v>
      </c>
      <c r="G159" s="7">
        <v>43083</v>
      </c>
      <c r="H159" s="7">
        <v>43083</v>
      </c>
      <c r="I159" s="5" t="s">
        <v>47</v>
      </c>
      <c r="J159" s="5" t="s">
        <v>30</v>
      </c>
      <c r="K159" s="8">
        <v>451.85</v>
      </c>
      <c r="L159" s="5" t="s">
        <v>75</v>
      </c>
    </row>
    <row r="160" spans="1:12">
      <c r="A160" s="5" t="s">
        <v>53</v>
      </c>
      <c r="B160" s="5" t="s">
        <v>73</v>
      </c>
      <c r="C160" s="5" t="s">
        <v>233</v>
      </c>
      <c r="D160" s="5" t="s">
        <v>61</v>
      </c>
      <c r="E160" s="5" t="s">
        <v>45</v>
      </c>
      <c r="F160" s="5" t="s">
        <v>32</v>
      </c>
      <c r="G160" s="7">
        <v>43088</v>
      </c>
      <c r="H160" s="7">
        <v>43088</v>
      </c>
      <c r="I160" s="5" t="s">
        <v>47</v>
      </c>
      <c r="J160" s="5" t="s">
        <v>30</v>
      </c>
      <c r="K160" s="8">
        <v>451.85</v>
      </c>
      <c r="L160" s="5" t="s">
        <v>75</v>
      </c>
    </row>
    <row r="161" spans="1:12">
      <c r="A161" s="5" t="s">
        <v>53</v>
      </c>
      <c r="B161" s="5" t="s">
        <v>73</v>
      </c>
      <c r="C161" s="5" t="s">
        <v>233</v>
      </c>
      <c r="D161" s="5" t="s">
        <v>61</v>
      </c>
      <c r="E161" s="5" t="s">
        <v>45</v>
      </c>
      <c r="F161" s="5" t="s">
        <v>33</v>
      </c>
      <c r="G161" s="7">
        <v>43089</v>
      </c>
      <c r="H161" s="7">
        <v>43089</v>
      </c>
      <c r="I161" s="5" t="s">
        <v>47</v>
      </c>
      <c r="J161" s="5" t="s">
        <v>30</v>
      </c>
      <c r="K161" s="8">
        <v>4518.5</v>
      </c>
      <c r="L161" s="5" t="s">
        <v>75</v>
      </c>
    </row>
    <row r="162" spans="1:12">
      <c r="A162" s="5" t="s">
        <v>53</v>
      </c>
      <c r="B162" s="5" t="s">
        <v>73</v>
      </c>
      <c r="C162" s="5" t="s">
        <v>233</v>
      </c>
      <c r="D162" s="5" t="s">
        <v>61</v>
      </c>
      <c r="E162" s="5" t="s">
        <v>28</v>
      </c>
      <c r="F162" s="5" t="s">
        <v>37</v>
      </c>
      <c r="G162" s="7">
        <v>43089</v>
      </c>
      <c r="H162" s="7">
        <v>43089</v>
      </c>
      <c r="I162" s="5" t="s">
        <v>30</v>
      </c>
      <c r="J162" s="5" t="s">
        <v>31</v>
      </c>
      <c r="K162" s="8">
        <v>-27</v>
      </c>
      <c r="L162" s="5" t="s">
        <v>75</v>
      </c>
    </row>
    <row r="163" spans="1:12">
      <c r="A163" s="5" t="s">
        <v>216</v>
      </c>
      <c r="B163" s="5" t="s">
        <v>217</v>
      </c>
      <c r="C163" s="5" t="s">
        <v>233</v>
      </c>
      <c r="D163" s="5" t="s">
        <v>61</v>
      </c>
      <c r="E163" s="5" t="s">
        <v>79</v>
      </c>
      <c r="F163" s="5" t="s">
        <v>80</v>
      </c>
      <c r="G163" s="7">
        <v>43070</v>
      </c>
      <c r="H163" s="7">
        <v>43070</v>
      </c>
      <c r="I163" s="5" t="s">
        <v>47</v>
      </c>
      <c r="J163" s="5" t="s">
        <v>30</v>
      </c>
      <c r="K163" s="8">
        <v>150</v>
      </c>
      <c r="L163" s="5" t="s">
        <v>75</v>
      </c>
    </row>
    <row r="164" spans="1:12">
      <c r="A164" s="5" t="s">
        <v>218</v>
      </c>
      <c r="B164" s="5" t="s">
        <v>219</v>
      </c>
      <c r="C164" s="5" t="s">
        <v>231</v>
      </c>
      <c r="D164" s="5" t="s">
        <v>61</v>
      </c>
      <c r="E164" s="5" t="s">
        <v>79</v>
      </c>
      <c r="F164" s="5" t="s">
        <v>80</v>
      </c>
      <c r="G164" s="7">
        <v>43070</v>
      </c>
      <c r="H164" s="7">
        <v>43070</v>
      </c>
      <c r="I164" s="5" t="s">
        <v>47</v>
      </c>
      <c r="J164" s="5" t="s">
        <v>30</v>
      </c>
      <c r="K164" s="8">
        <v>174.8</v>
      </c>
      <c r="L164" s="5" t="s">
        <v>75</v>
      </c>
    </row>
    <row r="165" spans="1:12">
      <c r="A165" s="5" t="s">
        <v>57</v>
      </c>
      <c r="B165" s="5" t="s">
        <v>74</v>
      </c>
      <c r="C165" s="5" t="s">
        <v>231</v>
      </c>
      <c r="D165" s="5" t="s">
        <v>61</v>
      </c>
      <c r="E165" s="5" t="s">
        <v>79</v>
      </c>
      <c r="F165" s="5" t="s">
        <v>80</v>
      </c>
      <c r="G165" s="7">
        <v>43070</v>
      </c>
      <c r="H165" s="7">
        <v>43070</v>
      </c>
      <c r="I165" s="5" t="s">
        <v>47</v>
      </c>
      <c r="J165" s="5" t="s">
        <v>30</v>
      </c>
      <c r="K165" s="8">
        <v>858.06000000000006</v>
      </c>
      <c r="L165" s="5" t="s">
        <v>75</v>
      </c>
    </row>
    <row r="166" spans="1:12">
      <c r="A166" s="5" t="s">
        <v>57</v>
      </c>
      <c r="B166" s="5" t="s">
        <v>74</v>
      </c>
      <c r="C166" s="5" t="s">
        <v>231</v>
      </c>
      <c r="D166" s="5" t="s">
        <v>61</v>
      </c>
      <c r="E166" s="5" t="s">
        <v>28</v>
      </c>
      <c r="F166" s="5" t="s">
        <v>29</v>
      </c>
      <c r="G166" s="7">
        <v>43083</v>
      </c>
      <c r="H166" s="7">
        <v>43083</v>
      </c>
      <c r="I166" s="5" t="s">
        <v>30</v>
      </c>
      <c r="J166" s="5" t="s">
        <v>31</v>
      </c>
      <c r="K166" s="8">
        <v>-450</v>
      </c>
      <c r="L166" s="5" t="s">
        <v>75</v>
      </c>
    </row>
    <row r="167" spans="1:12">
      <c r="A167" s="5" t="s">
        <v>57</v>
      </c>
      <c r="B167" s="5" t="s">
        <v>74</v>
      </c>
      <c r="C167" s="5" t="s">
        <v>231</v>
      </c>
      <c r="D167" s="5" t="s">
        <v>61</v>
      </c>
      <c r="E167" s="5" t="s">
        <v>87</v>
      </c>
      <c r="F167" s="5" t="s">
        <v>88</v>
      </c>
      <c r="G167" s="7">
        <v>43083</v>
      </c>
      <c r="H167" s="7">
        <v>43083</v>
      </c>
      <c r="I167" s="5" t="s">
        <v>47</v>
      </c>
      <c r="J167" s="5" t="s">
        <v>30</v>
      </c>
      <c r="K167" s="8">
        <v>125000</v>
      </c>
      <c r="L167" s="5" t="s">
        <v>75</v>
      </c>
    </row>
    <row r="168" spans="1:12">
      <c r="A168" s="5" t="s">
        <v>57</v>
      </c>
      <c r="B168" s="5" t="s">
        <v>74</v>
      </c>
      <c r="C168" s="5" t="s">
        <v>231</v>
      </c>
      <c r="D168" s="5" t="s">
        <v>61</v>
      </c>
      <c r="E168" s="5" t="s">
        <v>28</v>
      </c>
      <c r="F168" s="5" t="s">
        <v>58</v>
      </c>
      <c r="G168" s="7">
        <v>43088</v>
      </c>
      <c r="H168" s="7"/>
      <c r="I168" s="5" t="s">
        <v>30</v>
      </c>
      <c r="J168" s="5" t="s">
        <v>59</v>
      </c>
      <c r="K168" s="8">
        <v>-10</v>
      </c>
      <c r="L168" s="5" t="s">
        <v>75</v>
      </c>
    </row>
    <row r="169" spans="1:12">
      <c r="A169" s="5" t="s">
        <v>57</v>
      </c>
      <c r="B169" s="5" t="s">
        <v>74</v>
      </c>
      <c r="C169" s="5" t="s">
        <v>231</v>
      </c>
      <c r="D169" s="5" t="s">
        <v>61</v>
      </c>
      <c r="E169" s="5" t="s">
        <v>28</v>
      </c>
      <c r="F169" s="5" t="s">
        <v>32</v>
      </c>
      <c r="G169" s="7">
        <v>43088</v>
      </c>
      <c r="H169" s="7">
        <v>43088</v>
      </c>
      <c r="I169" s="5" t="s">
        <v>30</v>
      </c>
      <c r="J169" s="5" t="s">
        <v>31</v>
      </c>
      <c r="K169" s="8">
        <v>-450</v>
      </c>
      <c r="L169" s="5" t="s">
        <v>75</v>
      </c>
    </row>
    <row r="170" spans="1:12">
      <c r="A170" s="5" t="s">
        <v>57</v>
      </c>
      <c r="B170" s="5" t="s">
        <v>74</v>
      </c>
      <c r="C170" s="5" t="s">
        <v>231</v>
      </c>
      <c r="D170" s="5" t="s">
        <v>61</v>
      </c>
      <c r="E170" s="5" t="s">
        <v>28</v>
      </c>
      <c r="F170" s="5" t="s">
        <v>33</v>
      </c>
      <c r="G170" s="7">
        <v>43089</v>
      </c>
      <c r="H170" s="7">
        <v>43089</v>
      </c>
      <c r="I170" s="5" t="s">
        <v>30</v>
      </c>
      <c r="J170" s="5" t="s">
        <v>31</v>
      </c>
      <c r="K170" s="8">
        <v>-4500</v>
      </c>
      <c r="L170" s="5" t="s">
        <v>75</v>
      </c>
    </row>
    <row r="171" spans="1:12">
      <c r="A171" s="5" t="s">
        <v>220</v>
      </c>
      <c r="B171" s="5" t="s">
        <v>221</v>
      </c>
      <c r="C171" s="5" t="s">
        <v>231</v>
      </c>
      <c r="D171" s="5" t="s">
        <v>61</v>
      </c>
      <c r="E171" s="5" t="s">
        <v>79</v>
      </c>
      <c r="F171" s="5" t="s">
        <v>80</v>
      </c>
      <c r="G171" s="7">
        <v>43070</v>
      </c>
      <c r="H171" s="7">
        <v>43070</v>
      </c>
      <c r="I171" s="5" t="s">
        <v>47</v>
      </c>
      <c r="J171" s="5" t="s">
        <v>30</v>
      </c>
      <c r="K171" s="8">
        <v>125</v>
      </c>
      <c r="L171" s="5" t="s">
        <v>75</v>
      </c>
    </row>
    <row r="172" spans="1:12">
      <c r="A172" s="5" t="s">
        <v>222</v>
      </c>
      <c r="B172" s="5" t="s">
        <v>223</v>
      </c>
      <c r="C172" s="5" t="s">
        <v>231</v>
      </c>
      <c r="D172" s="5" t="s">
        <v>61</v>
      </c>
      <c r="E172" s="5" t="s">
        <v>79</v>
      </c>
      <c r="F172" s="5" t="s">
        <v>80</v>
      </c>
      <c r="G172" s="7">
        <v>43070</v>
      </c>
      <c r="H172" s="7">
        <v>43070</v>
      </c>
      <c r="I172" s="5" t="s">
        <v>47</v>
      </c>
      <c r="J172" s="5" t="s">
        <v>30</v>
      </c>
      <c r="K172" s="8">
        <v>168.8</v>
      </c>
      <c r="L172" s="5" t="s">
        <v>75</v>
      </c>
    </row>
    <row r="173" spans="1:12">
      <c r="A173" s="5" t="s">
        <v>224</v>
      </c>
      <c r="B173" s="5" t="s">
        <v>225</v>
      </c>
      <c r="C173" s="5" t="s">
        <v>231</v>
      </c>
      <c r="D173" s="5" t="s">
        <v>61</v>
      </c>
      <c r="E173" s="5" t="s">
        <v>79</v>
      </c>
      <c r="F173" s="5" t="s">
        <v>80</v>
      </c>
      <c r="G173" s="7">
        <v>43070</v>
      </c>
      <c r="H173" s="7">
        <v>43070</v>
      </c>
      <c r="I173" s="5" t="s">
        <v>47</v>
      </c>
      <c r="J173" s="5" t="s">
        <v>30</v>
      </c>
      <c r="K173" s="8">
        <v>715</v>
      </c>
      <c r="L173" s="5" t="s">
        <v>75</v>
      </c>
    </row>
    <row r="174" spans="1:12">
      <c r="A174" s="5" t="s">
        <v>226</v>
      </c>
      <c r="B174" s="5" t="s">
        <v>227</v>
      </c>
      <c r="C174" s="5" t="s">
        <v>231</v>
      </c>
      <c r="D174" s="5" t="s">
        <v>61</v>
      </c>
      <c r="E174" s="5" t="s">
        <v>79</v>
      </c>
      <c r="F174" s="5" t="s">
        <v>80</v>
      </c>
      <c r="G174" s="7">
        <v>43070</v>
      </c>
      <c r="H174" s="7">
        <v>43070</v>
      </c>
      <c r="I174" s="5" t="s">
        <v>47</v>
      </c>
      <c r="J174" s="5" t="s">
        <v>30</v>
      </c>
      <c r="K174" s="8">
        <v>42</v>
      </c>
      <c r="L174" s="5" t="s">
        <v>75</v>
      </c>
    </row>
    <row r="175" spans="1:12">
      <c r="A175" s="5" t="s">
        <v>228</v>
      </c>
      <c r="B175" s="5" t="s">
        <v>229</v>
      </c>
      <c r="C175" s="5" t="s">
        <v>231</v>
      </c>
      <c r="D175" s="5" t="s">
        <v>61</v>
      </c>
      <c r="E175" s="5" t="s">
        <v>79</v>
      </c>
      <c r="F175" s="5" t="s">
        <v>80</v>
      </c>
      <c r="G175" s="7">
        <v>43070</v>
      </c>
      <c r="H175" s="7">
        <v>43070</v>
      </c>
      <c r="I175" s="5" t="s">
        <v>47</v>
      </c>
      <c r="J175" s="5" t="s">
        <v>30</v>
      </c>
      <c r="K175" s="8">
        <v>1257.05</v>
      </c>
      <c r="L175" s="5" t="s">
        <v>75</v>
      </c>
    </row>
    <row r="176" spans="1:12">
      <c r="A176" s="3" t="s">
        <v>26</v>
      </c>
      <c r="B176" s="4"/>
      <c r="C176" s="4"/>
      <c r="D176" s="4"/>
      <c r="E176" s="4"/>
      <c r="F176" s="4"/>
      <c r="G176" s="6"/>
      <c r="H176" s="6"/>
      <c r="I176" s="4"/>
      <c r="J176" s="4"/>
      <c r="K176" s="3">
        <f>SUBTOTAL(109,AtlasReport_1_Table_1[Quantity])</f>
        <v>1292745.8700000006</v>
      </c>
      <c r="L176" s="3"/>
    </row>
    <row r="177" spans="1:12">
      <c r="A177" s="3"/>
      <c r="B177" s="3"/>
      <c r="C177" s="3"/>
      <c r="D177" s="3"/>
      <c r="E177" s="3"/>
      <c r="F177" s="3"/>
      <c r="G177" s="6"/>
      <c r="H177" s="6"/>
      <c r="I177" s="3"/>
      <c r="J177" s="3"/>
      <c r="K177" s="3"/>
      <c r="L177" s="3"/>
    </row>
    <row r="178" spans="1:12">
      <c r="A178" s="3"/>
      <c r="B178" s="3"/>
      <c r="C178" s="3"/>
      <c r="D178" s="3"/>
      <c r="E178" s="3"/>
      <c r="F178" s="3"/>
      <c r="G178" s="6"/>
      <c r="H178" s="6"/>
      <c r="I178" s="3"/>
      <c r="J178" s="3"/>
      <c r="K178" s="3"/>
      <c r="L178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9"/>
  <sheetViews>
    <sheetView workbookViewId="0">
      <selection activeCell="H3" sqref="H3"/>
    </sheetView>
  </sheetViews>
  <sheetFormatPr defaultRowHeight="15"/>
  <cols>
    <col min="1" max="1" width="18.140625" customWidth="1"/>
    <col min="2" max="2" width="17.42578125" customWidth="1"/>
    <col min="3" max="3" width="11.85546875" customWidth="1"/>
    <col min="4" max="4" width="11.42578125" customWidth="1"/>
    <col min="5" max="5" width="28.7109375" customWidth="1"/>
    <col min="6" max="6" width="25.7109375" customWidth="1"/>
    <col min="7" max="7" width="20.5703125" customWidth="1"/>
    <col min="8" max="8" width="17.5703125" customWidth="1"/>
  </cols>
  <sheetData>
    <row r="1" spans="1:8">
      <c r="A1" t="s">
        <v>4</v>
      </c>
      <c r="B1" t="s">
        <v>240</v>
      </c>
      <c r="C1" t="s">
        <v>59</v>
      </c>
      <c r="D1" t="s">
        <v>56</v>
      </c>
      <c r="E1" t="s">
        <v>241</v>
      </c>
      <c r="F1" t="s">
        <v>242</v>
      </c>
      <c r="G1" t="s">
        <v>243</v>
      </c>
      <c r="H1" t="s">
        <v>244</v>
      </c>
    </row>
    <row r="2" spans="1:8">
      <c r="A2" s="5" t="s">
        <v>77</v>
      </c>
      <c r="B2" s="8">
        <v>56</v>
      </c>
      <c r="C2" s="8">
        <v>0</v>
      </c>
      <c r="D2" s="8">
        <v>0</v>
      </c>
      <c r="E2" s="8">
        <v>56</v>
      </c>
      <c r="F2" s="8">
        <v>0</v>
      </c>
      <c r="G2" s="8">
        <f>AtlasReport_2_Table_1[[#This Row],[Posted quantity]]-AtlasReport_2_Table_1[[#This Row],[Deducted]]+AtlasReport_2_Table_1[[#This Row],[Received]]-AtlasReport_2_Table_1[[#This Row],[Trans backwords(Beginning)]]</f>
        <v>0</v>
      </c>
      <c r="H2" s="8">
        <f>AtlasReport_2_Table_1[[#This Row],[Posted quantity]]-AtlasReport_2_Table_1[[#This Row],[Deducted]]+AtlasReport_2_Table_1[[#This Row],[Received]]-AtlasReport_2_Table_1[[#This Row],[Trans backwords(Ending)]]</f>
        <v>56</v>
      </c>
    </row>
    <row r="3" spans="1:8">
      <c r="A3" s="5" t="s">
        <v>81</v>
      </c>
      <c r="B3" s="8">
        <v>56.9</v>
      </c>
      <c r="C3" s="8">
        <v>0</v>
      </c>
      <c r="D3" s="8">
        <v>0</v>
      </c>
      <c r="E3" s="8">
        <v>56.9</v>
      </c>
      <c r="F3" s="8">
        <v>0</v>
      </c>
      <c r="G3" s="8">
        <f>AtlasReport_2_Table_1[[#This Row],[Posted quantity]]-AtlasReport_2_Table_1[[#This Row],[Deducted]]+AtlasReport_2_Table_1[[#This Row],[Received]]-AtlasReport_2_Table_1[[#This Row],[Trans backwords(Beginning)]]</f>
        <v>0</v>
      </c>
      <c r="H3" s="8">
        <f>AtlasReport_2_Table_1[[#This Row],[Posted quantity]]-AtlasReport_2_Table_1[[#This Row],[Deducted]]+AtlasReport_2_Table_1[[#This Row],[Received]]-AtlasReport_2_Table_1[[#This Row],[Trans backwords(Ending)]]</f>
        <v>56.9</v>
      </c>
    </row>
    <row r="4" spans="1:8">
      <c r="A4" s="5" t="s">
        <v>83</v>
      </c>
      <c r="B4" s="8">
        <v>295</v>
      </c>
      <c r="C4" s="8">
        <v>0</v>
      </c>
      <c r="D4" s="8">
        <v>0</v>
      </c>
      <c r="E4" s="8">
        <v>295</v>
      </c>
      <c r="F4" s="8">
        <v>0</v>
      </c>
      <c r="G4" s="8">
        <f>AtlasReport_2_Table_1[[#This Row],[Posted quantity]]-AtlasReport_2_Table_1[[#This Row],[Deducted]]+AtlasReport_2_Table_1[[#This Row],[Received]]-AtlasReport_2_Table_1[[#This Row],[Trans backwords(Beginning)]]</f>
        <v>0</v>
      </c>
      <c r="H4" s="8">
        <f>AtlasReport_2_Table_1[[#This Row],[Posted quantity]]-AtlasReport_2_Table_1[[#This Row],[Deducted]]+AtlasReport_2_Table_1[[#This Row],[Received]]-AtlasReport_2_Table_1[[#This Row],[Trans backwords(Ending)]]</f>
        <v>295</v>
      </c>
    </row>
    <row r="5" spans="1:8">
      <c r="A5" s="5" t="s">
        <v>85</v>
      </c>
      <c r="B5" s="8">
        <v>0.31</v>
      </c>
      <c r="C5" s="8">
        <v>0</v>
      </c>
      <c r="D5" s="8">
        <v>0</v>
      </c>
      <c r="E5" s="8">
        <v>0.31</v>
      </c>
      <c r="F5" s="8">
        <v>0</v>
      </c>
      <c r="G5" s="8">
        <f>AtlasReport_2_Table_1[[#This Row],[Posted quantity]]-AtlasReport_2_Table_1[[#This Row],[Deducted]]+AtlasReport_2_Table_1[[#This Row],[Received]]-AtlasReport_2_Table_1[[#This Row],[Trans backwords(Beginning)]]</f>
        <v>0</v>
      </c>
      <c r="H5" s="8">
        <f>AtlasReport_2_Table_1[[#This Row],[Posted quantity]]-AtlasReport_2_Table_1[[#This Row],[Deducted]]+AtlasReport_2_Table_1[[#This Row],[Received]]-AtlasReport_2_Table_1[[#This Row],[Trans backwords(Ending)]]</f>
        <v>0.31</v>
      </c>
    </row>
    <row r="6" spans="1:8">
      <c r="A6" s="5" t="s">
        <v>27</v>
      </c>
      <c r="B6" s="8">
        <v>250005.75</v>
      </c>
      <c r="C6" s="8">
        <v>0</v>
      </c>
      <c r="D6" s="8">
        <v>0</v>
      </c>
      <c r="E6" s="8">
        <v>250005.75</v>
      </c>
      <c r="F6" s="8">
        <v>0</v>
      </c>
      <c r="G6" s="8">
        <f>AtlasReport_2_Table_1[[#This Row],[Posted quantity]]-AtlasReport_2_Table_1[[#This Row],[Deducted]]+AtlasReport_2_Table_1[[#This Row],[Received]]-AtlasReport_2_Table_1[[#This Row],[Trans backwords(Beginning)]]</f>
        <v>0</v>
      </c>
      <c r="H6" s="8">
        <f>AtlasReport_2_Table_1[[#This Row],[Posted quantity]]-AtlasReport_2_Table_1[[#This Row],[Deducted]]+AtlasReport_2_Table_1[[#This Row],[Received]]-AtlasReport_2_Table_1[[#This Row],[Trans backwords(Ending)]]</f>
        <v>250005.75</v>
      </c>
    </row>
    <row r="7" spans="1:8">
      <c r="A7" s="5" t="s">
        <v>89</v>
      </c>
      <c r="B7" s="8">
        <v>175</v>
      </c>
      <c r="C7" s="8">
        <v>0</v>
      </c>
      <c r="D7" s="8">
        <v>0</v>
      </c>
      <c r="E7" s="8">
        <v>175</v>
      </c>
      <c r="F7" s="8">
        <v>0</v>
      </c>
      <c r="G7" s="8">
        <f>AtlasReport_2_Table_1[[#This Row],[Posted quantity]]-AtlasReport_2_Table_1[[#This Row],[Deducted]]+AtlasReport_2_Table_1[[#This Row],[Received]]-AtlasReport_2_Table_1[[#This Row],[Trans backwords(Beginning)]]</f>
        <v>0</v>
      </c>
      <c r="H7" s="8">
        <f>AtlasReport_2_Table_1[[#This Row],[Posted quantity]]-AtlasReport_2_Table_1[[#This Row],[Deducted]]+AtlasReport_2_Table_1[[#This Row],[Received]]-AtlasReport_2_Table_1[[#This Row],[Trans backwords(Ending)]]</f>
        <v>175</v>
      </c>
    </row>
    <row r="8" spans="1:8">
      <c r="A8" s="5" t="s">
        <v>91</v>
      </c>
      <c r="B8" s="8">
        <v>5.95</v>
      </c>
      <c r="C8" s="8">
        <v>0</v>
      </c>
      <c r="D8" s="8">
        <v>0</v>
      </c>
      <c r="E8" s="8">
        <v>5.95</v>
      </c>
      <c r="F8" s="8">
        <v>0</v>
      </c>
      <c r="G8" s="8">
        <f>AtlasReport_2_Table_1[[#This Row],[Posted quantity]]-AtlasReport_2_Table_1[[#This Row],[Deducted]]+AtlasReport_2_Table_1[[#This Row],[Received]]-AtlasReport_2_Table_1[[#This Row],[Trans backwords(Beginning)]]</f>
        <v>0</v>
      </c>
      <c r="H8" s="8">
        <f>AtlasReport_2_Table_1[[#This Row],[Posted quantity]]-AtlasReport_2_Table_1[[#This Row],[Deducted]]+AtlasReport_2_Table_1[[#This Row],[Received]]-AtlasReport_2_Table_1[[#This Row],[Trans backwords(Ending)]]</f>
        <v>5.95</v>
      </c>
    </row>
    <row r="9" spans="1:8">
      <c r="A9" s="5" t="s">
        <v>93</v>
      </c>
      <c r="B9" s="8">
        <v>30</v>
      </c>
      <c r="C9" s="8">
        <v>0</v>
      </c>
      <c r="D9" s="8">
        <v>0</v>
      </c>
      <c r="E9" s="8">
        <v>30</v>
      </c>
      <c r="F9" s="8">
        <v>0</v>
      </c>
      <c r="G9" s="8">
        <f>AtlasReport_2_Table_1[[#This Row],[Posted quantity]]-AtlasReport_2_Table_1[[#This Row],[Deducted]]+AtlasReport_2_Table_1[[#This Row],[Received]]-AtlasReport_2_Table_1[[#This Row],[Trans backwords(Beginning)]]</f>
        <v>0</v>
      </c>
      <c r="H9" s="8">
        <f>AtlasReport_2_Table_1[[#This Row],[Posted quantity]]-AtlasReport_2_Table_1[[#This Row],[Deducted]]+AtlasReport_2_Table_1[[#This Row],[Received]]-AtlasReport_2_Table_1[[#This Row],[Trans backwords(Ending)]]</f>
        <v>30</v>
      </c>
    </row>
    <row r="10" spans="1:8">
      <c r="A10" s="5" t="s">
        <v>95</v>
      </c>
      <c r="B10" s="8">
        <v>34.18</v>
      </c>
      <c r="C10" s="8">
        <v>0</v>
      </c>
      <c r="D10" s="8">
        <v>0</v>
      </c>
      <c r="E10" s="8">
        <v>34.18</v>
      </c>
      <c r="F10" s="8">
        <v>0</v>
      </c>
      <c r="G10" s="8">
        <f>AtlasReport_2_Table_1[[#This Row],[Posted quantity]]-AtlasReport_2_Table_1[[#This Row],[Deducted]]+AtlasReport_2_Table_1[[#This Row],[Received]]-AtlasReport_2_Table_1[[#This Row],[Trans backwords(Beginning)]]</f>
        <v>0</v>
      </c>
      <c r="H10" s="8">
        <f>AtlasReport_2_Table_1[[#This Row],[Posted quantity]]-AtlasReport_2_Table_1[[#This Row],[Deducted]]+AtlasReport_2_Table_1[[#This Row],[Received]]-AtlasReport_2_Table_1[[#This Row],[Trans backwords(Ending)]]</f>
        <v>34.18</v>
      </c>
    </row>
    <row r="11" spans="1:8">
      <c r="A11" s="5" t="s">
        <v>97</v>
      </c>
      <c r="B11" s="8">
        <v>2</v>
      </c>
      <c r="C11" s="8">
        <v>0</v>
      </c>
      <c r="D11" s="8">
        <v>0</v>
      </c>
      <c r="E11" s="8">
        <v>2</v>
      </c>
      <c r="F11" s="8">
        <v>0</v>
      </c>
      <c r="G11" s="8">
        <f>AtlasReport_2_Table_1[[#This Row],[Posted quantity]]-AtlasReport_2_Table_1[[#This Row],[Deducted]]+AtlasReport_2_Table_1[[#This Row],[Received]]-AtlasReport_2_Table_1[[#This Row],[Trans backwords(Beginning)]]</f>
        <v>0</v>
      </c>
      <c r="H11" s="8">
        <f>AtlasReport_2_Table_1[[#This Row],[Posted quantity]]-AtlasReport_2_Table_1[[#This Row],[Deducted]]+AtlasReport_2_Table_1[[#This Row],[Received]]-AtlasReport_2_Table_1[[#This Row],[Trans backwords(Ending)]]</f>
        <v>2</v>
      </c>
    </row>
    <row r="12" spans="1:8">
      <c r="A12" s="5" t="s">
        <v>99</v>
      </c>
      <c r="B12" s="8">
        <v>190</v>
      </c>
      <c r="C12" s="8">
        <v>0</v>
      </c>
      <c r="D12" s="8">
        <v>0</v>
      </c>
      <c r="E12" s="8">
        <v>190</v>
      </c>
      <c r="F12" s="8">
        <v>0</v>
      </c>
      <c r="G12" s="8">
        <f>AtlasReport_2_Table_1[[#This Row],[Posted quantity]]-AtlasReport_2_Table_1[[#This Row],[Deducted]]+AtlasReport_2_Table_1[[#This Row],[Received]]-AtlasReport_2_Table_1[[#This Row],[Trans backwords(Beginning)]]</f>
        <v>0</v>
      </c>
      <c r="H12" s="8">
        <f>AtlasReport_2_Table_1[[#This Row],[Posted quantity]]-AtlasReport_2_Table_1[[#This Row],[Deducted]]+AtlasReport_2_Table_1[[#This Row],[Received]]-AtlasReport_2_Table_1[[#This Row],[Trans backwords(Ending)]]</f>
        <v>190</v>
      </c>
    </row>
    <row r="13" spans="1:8">
      <c r="A13" s="5" t="s">
        <v>34</v>
      </c>
      <c r="B13" s="8">
        <v>101393</v>
      </c>
      <c r="C13" s="8">
        <v>0</v>
      </c>
      <c r="D13" s="8">
        <v>0</v>
      </c>
      <c r="E13" s="8">
        <v>101393</v>
      </c>
      <c r="F13" s="8">
        <v>0</v>
      </c>
      <c r="G13" s="8">
        <f>AtlasReport_2_Table_1[[#This Row],[Posted quantity]]-AtlasReport_2_Table_1[[#This Row],[Deducted]]+AtlasReport_2_Table_1[[#This Row],[Received]]-AtlasReport_2_Table_1[[#This Row],[Trans backwords(Beginning)]]</f>
        <v>0</v>
      </c>
      <c r="H13" s="8">
        <f>AtlasReport_2_Table_1[[#This Row],[Posted quantity]]-AtlasReport_2_Table_1[[#This Row],[Deducted]]+AtlasReport_2_Table_1[[#This Row],[Received]]-AtlasReport_2_Table_1[[#This Row],[Trans backwords(Ending)]]</f>
        <v>101393</v>
      </c>
    </row>
    <row r="14" spans="1:8">
      <c r="A14" s="5" t="s">
        <v>38</v>
      </c>
      <c r="B14" s="8">
        <v>102406</v>
      </c>
      <c r="C14" s="8">
        <v>0</v>
      </c>
      <c r="D14" s="8">
        <v>0</v>
      </c>
      <c r="E14" s="8">
        <v>102406</v>
      </c>
      <c r="F14" s="8">
        <v>0</v>
      </c>
      <c r="G14" s="8">
        <f>AtlasReport_2_Table_1[[#This Row],[Posted quantity]]-AtlasReport_2_Table_1[[#This Row],[Deducted]]+AtlasReport_2_Table_1[[#This Row],[Received]]-AtlasReport_2_Table_1[[#This Row],[Trans backwords(Beginning)]]</f>
        <v>0</v>
      </c>
      <c r="H14" s="8">
        <f>AtlasReport_2_Table_1[[#This Row],[Posted quantity]]-AtlasReport_2_Table_1[[#This Row],[Deducted]]+AtlasReport_2_Table_1[[#This Row],[Received]]-AtlasReport_2_Table_1[[#This Row],[Trans backwords(Ending)]]</f>
        <v>102406</v>
      </c>
    </row>
    <row r="15" spans="1:8">
      <c r="A15" s="5" t="s">
        <v>103</v>
      </c>
      <c r="B15" s="8">
        <v>420</v>
      </c>
      <c r="C15" s="8">
        <v>0</v>
      </c>
      <c r="D15" s="8">
        <v>0</v>
      </c>
      <c r="E15" s="8">
        <v>420</v>
      </c>
      <c r="F15" s="8">
        <v>0</v>
      </c>
      <c r="G15" s="8">
        <f>AtlasReport_2_Table_1[[#This Row],[Posted quantity]]-AtlasReport_2_Table_1[[#This Row],[Deducted]]+AtlasReport_2_Table_1[[#This Row],[Received]]-AtlasReport_2_Table_1[[#This Row],[Trans backwords(Beginning)]]</f>
        <v>0</v>
      </c>
      <c r="H15" s="8">
        <f>AtlasReport_2_Table_1[[#This Row],[Posted quantity]]-AtlasReport_2_Table_1[[#This Row],[Deducted]]+AtlasReport_2_Table_1[[#This Row],[Received]]-AtlasReport_2_Table_1[[#This Row],[Trans backwords(Ending)]]</f>
        <v>420</v>
      </c>
    </row>
    <row r="16" spans="1:8">
      <c r="A16" s="5" t="s">
        <v>107</v>
      </c>
      <c r="B16" s="8">
        <v>270</v>
      </c>
      <c r="C16" s="8">
        <v>0</v>
      </c>
      <c r="D16" s="8">
        <v>0</v>
      </c>
      <c r="E16" s="8">
        <v>270</v>
      </c>
      <c r="F16" s="8">
        <v>0</v>
      </c>
      <c r="G16" s="8">
        <f>AtlasReport_2_Table_1[[#This Row],[Posted quantity]]-AtlasReport_2_Table_1[[#This Row],[Deducted]]+AtlasReport_2_Table_1[[#This Row],[Received]]-AtlasReport_2_Table_1[[#This Row],[Trans backwords(Beginning)]]</f>
        <v>0</v>
      </c>
      <c r="H16" s="8">
        <f>AtlasReport_2_Table_1[[#This Row],[Posted quantity]]-AtlasReport_2_Table_1[[#This Row],[Deducted]]+AtlasReport_2_Table_1[[#This Row],[Received]]-AtlasReport_2_Table_1[[#This Row],[Trans backwords(Ending)]]</f>
        <v>270</v>
      </c>
    </row>
    <row r="17" spans="1:8">
      <c r="A17" s="5" t="s">
        <v>109</v>
      </c>
      <c r="B17" s="8">
        <v>270</v>
      </c>
      <c r="C17" s="8">
        <v>0</v>
      </c>
      <c r="D17" s="8">
        <v>0</v>
      </c>
      <c r="E17" s="8">
        <v>270</v>
      </c>
      <c r="F17" s="8">
        <v>0</v>
      </c>
      <c r="G17" s="8">
        <f>AtlasReport_2_Table_1[[#This Row],[Posted quantity]]-AtlasReport_2_Table_1[[#This Row],[Deducted]]+AtlasReport_2_Table_1[[#This Row],[Received]]-AtlasReport_2_Table_1[[#This Row],[Trans backwords(Beginning)]]</f>
        <v>0</v>
      </c>
      <c r="H17" s="8">
        <f>AtlasReport_2_Table_1[[#This Row],[Posted quantity]]-AtlasReport_2_Table_1[[#This Row],[Deducted]]+AtlasReport_2_Table_1[[#This Row],[Received]]-AtlasReport_2_Table_1[[#This Row],[Trans backwords(Ending)]]</f>
        <v>270</v>
      </c>
    </row>
    <row r="18" spans="1:8">
      <c r="A18" s="5" t="s">
        <v>111</v>
      </c>
      <c r="B18" s="8">
        <v>30</v>
      </c>
      <c r="C18" s="8">
        <v>0</v>
      </c>
      <c r="D18" s="8">
        <v>0</v>
      </c>
      <c r="E18" s="8">
        <v>30</v>
      </c>
      <c r="F18" s="8">
        <v>0</v>
      </c>
      <c r="G18" s="8">
        <f>AtlasReport_2_Table_1[[#This Row],[Posted quantity]]-AtlasReport_2_Table_1[[#This Row],[Deducted]]+AtlasReport_2_Table_1[[#This Row],[Received]]-AtlasReport_2_Table_1[[#This Row],[Trans backwords(Beginning)]]</f>
        <v>0</v>
      </c>
      <c r="H18" s="8">
        <f>AtlasReport_2_Table_1[[#This Row],[Posted quantity]]-AtlasReport_2_Table_1[[#This Row],[Deducted]]+AtlasReport_2_Table_1[[#This Row],[Received]]-AtlasReport_2_Table_1[[#This Row],[Trans backwords(Ending)]]</f>
        <v>30</v>
      </c>
    </row>
    <row r="19" spans="1:8">
      <c r="A19" s="5" t="s">
        <v>113</v>
      </c>
      <c r="B19" s="8">
        <v>251</v>
      </c>
      <c r="C19" s="8">
        <v>0</v>
      </c>
      <c r="D19" s="8">
        <v>0</v>
      </c>
      <c r="E19" s="8">
        <v>251</v>
      </c>
      <c r="F19" s="8">
        <v>0</v>
      </c>
      <c r="G19" s="8">
        <f>AtlasReport_2_Table_1[[#This Row],[Posted quantity]]-AtlasReport_2_Table_1[[#This Row],[Deducted]]+AtlasReport_2_Table_1[[#This Row],[Received]]-AtlasReport_2_Table_1[[#This Row],[Trans backwords(Beginning)]]</f>
        <v>0</v>
      </c>
      <c r="H19" s="8">
        <f>AtlasReport_2_Table_1[[#This Row],[Posted quantity]]-AtlasReport_2_Table_1[[#This Row],[Deducted]]+AtlasReport_2_Table_1[[#This Row],[Received]]-AtlasReport_2_Table_1[[#This Row],[Trans backwords(Ending)]]</f>
        <v>251</v>
      </c>
    </row>
    <row r="20" spans="1:8">
      <c r="A20" s="5" t="s">
        <v>39</v>
      </c>
      <c r="B20" s="8">
        <v>80013</v>
      </c>
      <c r="C20" s="8">
        <v>0</v>
      </c>
      <c r="D20" s="8">
        <v>0</v>
      </c>
      <c r="E20" s="8">
        <v>80013</v>
      </c>
      <c r="F20" s="8">
        <v>0</v>
      </c>
      <c r="G20" s="8">
        <f>AtlasReport_2_Table_1[[#This Row],[Posted quantity]]-AtlasReport_2_Table_1[[#This Row],[Deducted]]+AtlasReport_2_Table_1[[#This Row],[Received]]-AtlasReport_2_Table_1[[#This Row],[Trans backwords(Beginning)]]</f>
        <v>0</v>
      </c>
      <c r="H20" s="8">
        <f>AtlasReport_2_Table_1[[#This Row],[Posted quantity]]-AtlasReport_2_Table_1[[#This Row],[Deducted]]+AtlasReport_2_Table_1[[#This Row],[Received]]-AtlasReport_2_Table_1[[#This Row],[Trans backwords(Ending)]]</f>
        <v>80013</v>
      </c>
    </row>
    <row r="21" spans="1:8">
      <c r="A21" s="5" t="s">
        <v>115</v>
      </c>
      <c r="B21" s="8">
        <v>58</v>
      </c>
      <c r="C21" s="8">
        <v>0</v>
      </c>
      <c r="D21" s="8">
        <v>0</v>
      </c>
      <c r="E21" s="8">
        <v>58</v>
      </c>
      <c r="F21" s="8">
        <v>0</v>
      </c>
      <c r="G21" s="8">
        <f>AtlasReport_2_Table_1[[#This Row],[Posted quantity]]-AtlasReport_2_Table_1[[#This Row],[Deducted]]+AtlasReport_2_Table_1[[#This Row],[Received]]-AtlasReport_2_Table_1[[#This Row],[Trans backwords(Beginning)]]</f>
        <v>0</v>
      </c>
      <c r="H21" s="8">
        <f>AtlasReport_2_Table_1[[#This Row],[Posted quantity]]-AtlasReport_2_Table_1[[#This Row],[Deducted]]+AtlasReport_2_Table_1[[#This Row],[Received]]-AtlasReport_2_Table_1[[#This Row],[Trans backwords(Ending)]]</f>
        <v>58</v>
      </c>
    </row>
    <row r="22" spans="1:8">
      <c r="A22" s="5" t="s">
        <v>117</v>
      </c>
      <c r="B22" s="8">
        <v>22.09</v>
      </c>
      <c r="C22" s="8">
        <v>0</v>
      </c>
      <c r="D22" s="8">
        <v>0</v>
      </c>
      <c r="E22" s="8">
        <v>22.09</v>
      </c>
      <c r="F22" s="8">
        <v>0</v>
      </c>
      <c r="G22" s="8">
        <f>AtlasReport_2_Table_1[[#This Row],[Posted quantity]]-AtlasReport_2_Table_1[[#This Row],[Deducted]]+AtlasReport_2_Table_1[[#This Row],[Received]]-AtlasReport_2_Table_1[[#This Row],[Trans backwords(Beginning)]]</f>
        <v>0</v>
      </c>
      <c r="H22" s="8">
        <f>AtlasReport_2_Table_1[[#This Row],[Posted quantity]]-AtlasReport_2_Table_1[[#This Row],[Deducted]]+AtlasReport_2_Table_1[[#This Row],[Received]]-AtlasReport_2_Table_1[[#This Row],[Trans backwords(Ending)]]</f>
        <v>22.09</v>
      </c>
    </row>
    <row r="23" spans="1:8">
      <c r="A23" s="5" t="s">
        <v>119</v>
      </c>
      <c r="B23" s="8">
        <v>3575</v>
      </c>
      <c r="C23" s="8">
        <v>0</v>
      </c>
      <c r="D23" s="8">
        <v>0</v>
      </c>
      <c r="E23" s="8">
        <v>3575</v>
      </c>
      <c r="F23" s="8">
        <v>0</v>
      </c>
      <c r="G23" s="8">
        <f>AtlasReport_2_Table_1[[#This Row],[Posted quantity]]-AtlasReport_2_Table_1[[#This Row],[Deducted]]+AtlasReport_2_Table_1[[#This Row],[Received]]-AtlasReport_2_Table_1[[#This Row],[Trans backwords(Beginning)]]</f>
        <v>0</v>
      </c>
      <c r="H23" s="8">
        <f>AtlasReport_2_Table_1[[#This Row],[Posted quantity]]-AtlasReport_2_Table_1[[#This Row],[Deducted]]+AtlasReport_2_Table_1[[#This Row],[Received]]-AtlasReport_2_Table_1[[#This Row],[Trans backwords(Ending)]]</f>
        <v>3575</v>
      </c>
    </row>
    <row r="24" spans="1:8">
      <c r="A24" s="5" t="s">
        <v>40</v>
      </c>
      <c r="B24" s="8">
        <v>105501</v>
      </c>
      <c r="C24" s="8">
        <v>0</v>
      </c>
      <c r="D24" s="8">
        <v>0</v>
      </c>
      <c r="E24" s="8">
        <v>105501</v>
      </c>
      <c r="F24" s="8">
        <v>0</v>
      </c>
      <c r="G24" s="8">
        <f>AtlasReport_2_Table_1[[#This Row],[Posted quantity]]-AtlasReport_2_Table_1[[#This Row],[Deducted]]+AtlasReport_2_Table_1[[#This Row],[Received]]-AtlasReport_2_Table_1[[#This Row],[Trans backwords(Beginning)]]</f>
        <v>0</v>
      </c>
      <c r="H24" s="8">
        <f>AtlasReport_2_Table_1[[#This Row],[Posted quantity]]-AtlasReport_2_Table_1[[#This Row],[Deducted]]+AtlasReport_2_Table_1[[#This Row],[Received]]-AtlasReport_2_Table_1[[#This Row],[Trans backwords(Ending)]]</f>
        <v>105501</v>
      </c>
    </row>
    <row r="25" spans="1:8">
      <c r="A25" s="5" t="s">
        <v>41</v>
      </c>
      <c r="B25" s="8">
        <v>104892</v>
      </c>
      <c r="C25" s="8">
        <v>0</v>
      </c>
      <c r="D25" s="8">
        <v>0</v>
      </c>
      <c r="E25" s="8">
        <v>104892</v>
      </c>
      <c r="F25" s="8">
        <v>0</v>
      </c>
      <c r="G25" s="8">
        <f>AtlasReport_2_Table_1[[#This Row],[Posted quantity]]-AtlasReport_2_Table_1[[#This Row],[Deducted]]+AtlasReport_2_Table_1[[#This Row],[Received]]-AtlasReport_2_Table_1[[#This Row],[Trans backwords(Beginning)]]</f>
        <v>0</v>
      </c>
      <c r="H25" s="8">
        <f>AtlasReport_2_Table_1[[#This Row],[Posted quantity]]-AtlasReport_2_Table_1[[#This Row],[Deducted]]+AtlasReport_2_Table_1[[#This Row],[Received]]-AtlasReport_2_Table_1[[#This Row],[Trans backwords(Ending)]]</f>
        <v>104892</v>
      </c>
    </row>
    <row r="26" spans="1:8">
      <c r="A26" s="5" t="s">
        <v>42</v>
      </c>
      <c r="B26" s="8">
        <v>109392</v>
      </c>
      <c r="C26" s="8">
        <v>0</v>
      </c>
      <c r="D26" s="8">
        <v>0</v>
      </c>
      <c r="E26" s="8">
        <v>109392</v>
      </c>
      <c r="F26" s="8">
        <v>0</v>
      </c>
      <c r="G26" s="8">
        <f>AtlasReport_2_Table_1[[#This Row],[Posted quantity]]-AtlasReport_2_Table_1[[#This Row],[Deducted]]+AtlasReport_2_Table_1[[#This Row],[Received]]-AtlasReport_2_Table_1[[#This Row],[Trans backwords(Beginning)]]</f>
        <v>0</v>
      </c>
      <c r="H26" s="8">
        <f>AtlasReport_2_Table_1[[#This Row],[Posted quantity]]-AtlasReport_2_Table_1[[#This Row],[Deducted]]+AtlasReport_2_Table_1[[#This Row],[Received]]-AtlasReport_2_Table_1[[#This Row],[Trans backwords(Ending)]]</f>
        <v>109392</v>
      </c>
    </row>
    <row r="27" spans="1:8">
      <c r="A27" s="5" t="s">
        <v>43</v>
      </c>
      <c r="B27" s="8">
        <v>89407</v>
      </c>
      <c r="C27" s="8">
        <v>0</v>
      </c>
      <c r="D27" s="8">
        <v>0</v>
      </c>
      <c r="E27" s="8">
        <v>89407</v>
      </c>
      <c r="F27" s="8">
        <v>0</v>
      </c>
      <c r="G27" s="8">
        <f>AtlasReport_2_Table_1[[#This Row],[Posted quantity]]-AtlasReport_2_Table_1[[#This Row],[Deducted]]+AtlasReport_2_Table_1[[#This Row],[Received]]-AtlasReport_2_Table_1[[#This Row],[Trans backwords(Beginning)]]</f>
        <v>0</v>
      </c>
      <c r="H27" s="8">
        <f>AtlasReport_2_Table_1[[#This Row],[Posted quantity]]-AtlasReport_2_Table_1[[#This Row],[Deducted]]+AtlasReport_2_Table_1[[#This Row],[Received]]-AtlasReport_2_Table_1[[#This Row],[Trans backwords(Ending)]]</f>
        <v>89407</v>
      </c>
    </row>
    <row r="28" spans="1:8">
      <c r="A28" s="5" t="s">
        <v>121</v>
      </c>
      <c r="B28" s="8">
        <v>3200</v>
      </c>
      <c r="C28" s="8">
        <v>0</v>
      </c>
      <c r="D28" s="8">
        <v>0</v>
      </c>
      <c r="E28" s="8">
        <v>3200</v>
      </c>
      <c r="F28" s="8">
        <v>0</v>
      </c>
      <c r="G28" s="8">
        <f>AtlasReport_2_Table_1[[#This Row],[Posted quantity]]-AtlasReport_2_Table_1[[#This Row],[Deducted]]+AtlasReport_2_Table_1[[#This Row],[Received]]-AtlasReport_2_Table_1[[#This Row],[Trans backwords(Beginning)]]</f>
        <v>0</v>
      </c>
      <c r="H28" s="8">
        <f>AtlasReport_2_Table_1[[#This Row],[Posted quantity]]-AtlasReport_2_Table_1[[#This Row],[Deducted]]+AtlasReport_2_Table_1[[#This Row],[Received]]-AtlasReport_2_Table_1[[#This Row],[Trans backwords(Ending)]]</f>
        <v>3200</v>
      </c>
    </row>
    <row r="29" spans="1:8">
      <c r="A29" s="5" t="s">
        <v>123</v>
      </c>
      <c r="B29" s="8">
        <v>1026.5</v>
      </c>
      <c r="C29" s="8">
        <v>0</v>
      </c>
      <c r="D29" s="8">
        <v>0</v>
      </c>
      <c r="E29" s="8">
        <v>1026.5</v>
      </c>
      <c r="F29" s="8">
        <v>0</v>
      </c>
      <c r="G29" s="8">
        <f>AtlasReport_2_Table_1[[#This Row],[Posted quantity]]-AtlasReport_2_Table_1[[#This Row],[Deducted]]+AtlasReport_2_Table_1[[#This Row],[Received]]-AtlasReport_2_Table_1[[#This Row],[Trans backwords(Beginning)]]</f>
        <v>0</v>
      </c>
      <c r="H29" s="8">
        <f>AtlasReport_2_Table_1[[#This Row],[Posted quantity]]-AtlasReport_2_Table_1[[#This Row],[Deducted]]+AtlasReport_2_Table_1[[#This Row],[Received]]-AtlasReport_2_Table_1[[#This Row],[Trans backwords(Ending)]]</f>
        <v>1026.5</v>
      </c>
    </row>
    <row r="30" spans="1:8">
      <c r="A30" s="5" t="s">
        <v>125</v>
      </c>
      <c r="B30" s="8">
        <v>27.23</v>
      </c>
      <c r="C30" s="8">
        <v>0</v>
      </c>
      <c r="D30" s="8">
        <v>0</v>
      </c>
      <c r="E30" s="8">
        <v>27.23</v>
      </c>
      <c r="F30" s="8">
        <v>0</v>
      </c>
      <c r="G30" s="8">
        <f>AtlasReport_2_Table_1[[#This Row],[Posted quantity]]-AtlasReport_2_Table_1[[#This Row],[Deducted]]+AtlasReport_2_Table_1[[#This Row],[Received]]-AtlasReport_2_Table_1[[#This Row],[Trans backwords(Beginning)]]</f>
        <v>0</v>
      </c>
      <c r="H30" s="8">
        <f>AtlasReport_2_Table_1[[#This Row],[Posted quantity]]-AtlasReport_2_Table_1[[#This Row],[Deducted]]+AtlasReport_2_Table_1[[#This Row],[Received]]-AtlasReport_2_Table_1[[#This Row],[Trans backwords(Ending)]]</f>
        <v>27.23</v>
      </c>
    </row>
    <row r="31" spans="1:8">
      <c r="A31" s="5" t="s">
        <v>127</v>
      </c>
      <c r="B31" s="8">
        <v>152</v>
      </c>
      <c r="C31" s="8">
        <v>0</v>
      </c>
      <c r="D31" s="8">
        <v>0</v>
      </c>
      <c r="E31" s="8">
        <v>152</v>
      </c>
      <c r="F31" s="8">
        <v>0</v>
      </c>
      <c r="G31" s="8">
        <f>AtlasReport_2_Table_1[[#This Row],[Posted quantity]]-AtlasReport_2_Table_1[[#This Row],[Deducted]]+AtlasReport_2_Table_1[[#This Row],[Received]]-AtlasReport_2_Table_1[[#This Row],[Trans backwords(Beginning)]]</f>
        <v>0</v>
      </c>
      <c r="H31" s="8">
        <f>AtlasReport_2_Table_1[[#This Row],[Posted quantity]]-AtlasReport_2_Table_1[[#This Row],[Deducted]]+AtlasReport_2_Table_1[[#This Row],[Received]]-AtlasReport_2_Table_1[[#This Row],[Trans backwords(Ending)]]</f>
        <v>152</v>
      </c>
    </row>
    <row r="32" spans="1:8">
      <c r="A32" s="5" t="s">
        <v>129</v>
      </c>
      <c r="B32" s="8">
        <v>26</v>
      </c>
      <c r="C32" s="8">
        <v>0</v>
      </c>
      <c r="D32" s="8">
        <v>0</v>
      </c>
      <c r="E32" s="8">
        <v>26</v>
      </c>
      <c r="F32" s="8">
        <v>0</v>
      </c>
      <c r="G32" s="8">
        <f>AtlasReport_2_Table_1[[#This Row],[Posted quantity]]-AtlasReport_2_Table_1[[#This Row],[Deducted]]+AtlasReport_2_Table_1[[#This Row],[Received]]-AtlasReport_2_Table_1[[#This Row],[Trans backwords(Beginning)]]</f>
        <v>0</v>
      </c>
      <c r="H32" s="8">
        <f>AtlasReport_2_Table_1[[#This Row],[Posted quantity]]-AtlasReport_2_Table_1[[#This Row],[Deducted]]+AtlasReport_2_Table_1[[#This Row],[Received]]-AtlasReport_2_Table_1[[#This Row],[Trans backwords(Ending)]]</f>
        <v>26</v>
      </c>
    </row>
    <row r="33" spans="1:8">
      <c r="A33" s="5" t="s">
        <v>131</v>
      </c>
      <c r="B33" s="8">
        <v>19</v>
      </c>
      <c r="C33" s="8">
        <v>0</v>
      </c>
      <c r="D33" s="8">
        <v>0</v>
      </c>
      <c r="E33" s="8">
        <v>19</v>
      </c>
      <c r="F33" s="8">
        <v>0</v>
      </c>
      <c r="G33" s="8">
        <f>AtlasReport_2_Table_1[[#This Row],[Posted quantity]]-AtlasReport_2_Table_1[[#This Row],[Deducted]]+AtlasReport_2_Table_1[[#This Row],[Received]]-AtlasReport_2_Table_1[[#This Row],[Trans backwords(Beginning)]]</f>
        <v>0</v>
      </c>
      <c r="H33" s="8">
        <f>AtlasReport_2_Table_1[[#This Row],[Posted quantity]]-AtlasReport_2_Table_1[[#This Row],[Deducted]]+AtlasReport_2_Table_1[[#This Row],[Received]]-AtlasReport_2_Table_1[[#This Row],[Trans backwords(Ending)]]</f>
        <v>19</v>
      </c>
    </row>
    <row r="34" spans="1:8">
      <c r="A34" s="5" t="s">
        <v>133</v>
      </c>
      <c r="B34" s="8">
        <v>502</v>
      </c>
      <c r="C34" s="8">
        <v>0</v>
      </c>
      <c r="D34" s="8">
        <v>0</v>
      </c>
      <c r="E34" s="8">
        <v>502</v>
      </c>
      <c r="F34" s="8">
        <v>0</v>
      </c>
      <c r="G34" s="8">
        <f>AtlasReport_2_Table_1[[#This Row],[Posted quantity]]-AtlasReport_2_Table_1[[#This Row],[Deducted]]+AtlasReport_2_Table_1[[#This Row],[Received]]-AtlasReport_2_Table_1[[#This Row],[Trans backwords(Beginning)]]</f>
        <v>0</v>
      </c>
      <c r="H34" s="8">
        <f>AtlasReport_2_Table_1[[#This Row],[Posted quantity]]-AtlasReport_2_Table_1[[#This Row],[Deducted]]+AtlasReport_2_Table_1[[#This Row],[Received]]-AtlasReport_2_Table_1[[#This Row],[Trans backwords(Ending)]]</f>
        <v>502</v>
      </c>
    </row>
    <row r="35" spans="1:8">
      <c r="A35" s="5" t="s">
        <v>151</v>
      </c>
      <c r="B35" s="8">
        <v>150</v>
      </c>
      <c r="C35" s="8">
        <v>0</v>
      </c>
      <c r="D35" s="8">
        <v>0</v>
      </c>
      <c r="E35" s="8">
        <v>150</v>
      </c>
      <c r="F35" s="8">
        <v>0</v>
      </c>
      <c r="G35" s="8">
        <f>AtlasReport_2_Table_1[[#This Row],[Posted quantity]]-AtlasReport_2_Table_1[[#This Row],[Deducted]]+AtlasReport_2_Table_1[[#This Row],[Received]]-AtlasReport_2_Table_1[[#This Row],[Trans backwords(Beginning)]]</f>
        <v>0</v>
      </c>
      <c r="H35" s="8">
        <f>AtlasReport_2_Table_1[[#This Row],[Posted quantity]]-AtlasReport_2_Table_1[[#This Row],[Deducted]]+AtlasReport_2_Table_1[[#This Row],[Received]]-AtlasReport_2_Table_1[[#This Row],[Trans backwords(Ending)]]</f>
        <v>150</v>
      </c>
    </row>
    <row r="36" spans="1:8">
      <c r="A36" s="5" t="s">
        <v>153</v>
      </c>
      <c r="B36" s="8">
        <v>450</v>
      </c>
      <c r="C36" s="8">
        <v>0</v>
      </c>
      <c r="D36" s="8">
        <v>0</v>
      </c>
      <c r="E36" s="8">
        <v>450</v>
      </c>
      <c r="F36" s="8">
        <v>0</v>
      </c>
      <c r="G36" s="8">
        <f>AtlasReport_2_Table_1[[#This Row],[Posted quantity]]-AtlasReport_2_Table_1[[#This Row],[Deducted]]+AtlasReport_2_Table_1[[#This Row],[Received]]-AtlasReport_2_Table_1[[#This Row],[Trans backwords(Beginning)]]</f>
        <v>0</v>
      </c>
      <c r="H36" s="8">
        <f>AtlasReport_2_Table_1[[#This Row],[Posted quantity]]-AtlasReport_2_Table_1[[#This Row],[Deducted]]+AtlasReport_2_Table_1[[#This Row],[Received]]-AtlasReport_2_Table_1[[#This Row],[Trans backwords(Ending)]]</f>
        <v>450</v>
      </c>
    </row>
    <row r="37" spans="1:8">
      <c r="A37" s="5" t="s">
        <v>158</v>
      </c>
      <c r="B37" s="8">
        <v>150</v>
      </c>
      <c r="C37" s="8">
        <v>0</v>
      </c>
      <c r="D37" s="8">
        <v>0</v>
      </c>
      <c r="E37" s="8">
        <v>150</v>
      </c>
      <c r="F37" s="8">
        <v>0</v>
      </c>
      <c r="G37" s="8">
        <f>AtlasReport_2_Table_1[[#This Row],[Posted quantity]]-AtlasReport_2_Table_1[[#This Row],[Deducted]]+AtlasReport_2_Table_1[[#This Row],[Received]]-AtlasReport_2_Table_1[[#This Row],[Trans backwords(Beginning)]]</f>
        <v>0</v>
      </c>
      <c r="H37" s="8">
        <f>AtlasReport_2_Table_1[[#This Row],[Posted quantity]]-AtlasReport_2_Table_1[[#This Row],[Deducted]]+AtlasReport_2_Table_1[[#This Row],[Received]]-AtlasReport_2_Table_1[[#This Row],[Trans backwords(Ending)]]</f>
        <v>150</v>
      </c>
    </row>
    <row r="38" spans="1:8">
      <c r="A38" s="5" t="s">
        <v>162</v>
      </c>
      <c r="B38" s="8">
        <v>350</v>
      </c>
      <c r="C38" s="8">
        <v>0</v>
      </c>
      <c r="D38" s="8">
        <v>0</v>
      </c>
      <c r="E38" s="8">
        <v>350</v>
      </c>
      <c r="F38" s="8">
        <v>0</v>
      </c>
      <c r="G38" s="8">
        <f>AtlasReport_2_Table_1[[#This Row],[Posted quantity]]-AtlasReport_2_Table_1[[#This Row],[Deducted]]+AtlasReport_2_Table_1[[#This Row],[Received]]-AtlasReport_2_Table_1[[#This Row],[Trans backwords(Beginning)]]</f>
        <v>0</v>
      </c>
      <c r="H38" s="8">
        <f>AtlasReport_2_Table_1[[#This Row],[Posted quantity]]-AtlasReport_2_Table_1[[#This Row],[Deducted]]+AtlasReport_2_Table_1[[#This Row],[Received]]-AtlasReport_2_Table_1[[#This Row],[Trans backwords(Ending)]]</f>
        <v>350</v>
      </c>
    </row>
    <row r="39" spans="1:8">
      <c r="A39" s="5" t="s">
        <v>164</v>
      </c>
      <c r="B39" s="8">
        <v>269</v>
      </c>
      <c r="C39" s="8">
        <v>0</v>
      </c>
      <c r="D39" s="8">
        <v>0</v>
      </c>
      <c r="E39" s="8">
        <v>269</v>
      </c>
      <c r="F39" s="8">
        <v>0</v>
      </c>
      <c r="G39" s="8">
        <f>AtlasReport_2_Table_1[[#This Row],[Posted quantity]]-AtlasReport_2_Table_1[[#This Row],[Deducted]]+AtlasReport_2_Table_1[[#This Row],[Received]]-AtlasReport_2_Table_1[[#This Row],[Trans backwords(Beginning)]]</f>
        <v>0</v>
      </c>
      <c r="H39" s="8">
        <f>AtlasReport_2_Table_1[[#This Row],[Posted quantity]]-AtlasReport_2_Table_1[[#This Row],[Deducted]]+AtlasReport_2_Table_1[[#This Row],[Received]]-AtlasReport_2_Table_1[[#This Row],[Trans backwords(Ending)]]</f>
        <v>269</v>
      </c>
    </row>
    <row r="40" spans="1:8">
      <c r="A40" s="5" t="s">
        <v>166</v>
      </c>
      <c r="B40" s="8">
        <v>400</v>
      </c>
      <c r="C40" s="8">
        <v>0</v>
      </c>
      <c r="D40" s="8">
        <v>0</v>
      </c>
      <c r="E40" s="8">
        <v>400</v>
      </c>
      <c r="F40" s="8">
        <v>0</v>
      </c>
      <c r="G40" s="8">
        <f>AtlasReport_2_Table_1[[#This Row],[Posted quantity]]-AtlasReport_2_Table_1[[#This Row],[Deducted]]+AtlasReport_2_Table_1[[#This Row],[Received]]-AtlasReport_2_Table_1[[#This Row],[Trans backwords(Beginning)]]</f>
        <v>0</v>
      </c>
      <c r="H40" s="8">
        <f>AtlasReport_2_Table_1[[#This Row],[Posted quantity]]-AtlasReport_2_Table_1[[#This Row],[Deducted]]+AtlasReport_2_Table_1[[#This Row],[Received]]-AtlasReport_2_Table_1[[#This Row],[Trans backwords(Ending)]]</f>
        <v>400</v>
      </c>
    </row>
    <row r="41" spans="1:8">
      <c r="A41" s="5" t="s">
        <v>168</v>
      </c>
      <c r="B41" s="8">
        <v>450</v>
      </c>
      <c r="C41" s="8">
        <v>0</v>
      </c>
      <c r="D41" s="8">
        <v>0</v>
      </c>
      <c r="E41" s="8">
        <v>450</v>
      </c>
      <c r="F41" s="8">
        <v>0</v>
      </c>
      <c r="G41" s="8">
        <f>AtlasReport_2_Table_1[[#This Row],[Posted quantity]]-AtlasReport_2_Table_1[[#This Row],[Deducted]]+AtlasReport_2_Table_1[[#This Row],[Received]]-AtlasReport_2_Table_1[[#This Row],[Trans backwords(Beginning)]]</f>
        <v>0</v>
      </c>
      <c r="H41" s="8">
        <f>AtlasReport_2_Table_1[[#This Row],[Posted quantity]]-AtlasReport_2_Table_1[[#This Row],[Deducted]]+AtlasReport_2_Table_1[[#This Row],[Received]]-AtlasReport_2_Table_1[[#This Row],[Trans backwords(Ending)]]</f>
        <v>450</v>
      </c>
    </row>
    <row r="42" spans="1:8">
      <c r="A42" s="5" t="s">
        <v>170</v>
      </c>
      <c r="B42" s="8">
        <v>650</v>
      </c>
      <c r="C42" s="8">
        <v>0</v>
      </c>
      <c r="D42" s="8">
        <v>0</v>
      </c>
      <c r="E42" s="8">
        <v>650</v>
      </c>
      <c r="F42" s="8">
        <v>0</v>
      </c>
      <c r="G42" s="8">
        <f>AtlasReport_2_Table_1[[#This Row],[Posted quantity]]-AtlasReport_2_Table_1[[#This Row],[Deducted]]+AtlasReport_2_Table_1[[#This Row],[Received]]-AtlasReport_2_Table_1[[#This Row],[Trans backwords(Beginning)]]</f>
        <v>0</v>
      </c>
      <c r="H42" s="8">
        <f>AtlasReport_2_Table_1[[#This Row],[Posted quantity]]-AtlasReport_2_Table_1[[#This Row],[Deducted]]+AtlasReport_2_Table_1[[#This Row],[Received]]-AtlasReport_2_Table_1[[#This Row],[Trans backwords(Ending)]]</f>
        <v>650</v>
      </c>
    </row>
    <row r="43" spans="1:8">
      <c r="A43" s="5" t="s">
        <v>172</v>
      </c>
      <c r="B43" s="8">
        <v>436</v>
      </c>
      <c r="C43" s="8">
        <v>0</v>
      </c>
      <c r="D43" s="8">
        <v>0</v>
      </c>
      <c r="E43" s="8">
        <v>436</v>
      </c>
      <c r="F43" s="8">
        <v>0</v>
      </c>
      <c r="G43" s="8">
        <f>AtlasReport_2_Table_1[[#This Row],[Posted quantity]]-AtlasReport_2_Table_1[[#This Row],[Deducted]]+AtlasReport_2_Table_1[[#This Row],[Received]]-AtlasReport_2_Table_1[[#This Row],[Trans backwords(Beginning)]]</f>
        <v>0</v>
      </c>
      <c r="H43" s="8">
        <f>AtlasReport_2_Table_1[[#This Row],[Posted quantity]]-AtlasReport_2_Table_1[[#This Row],[Deducted]]+AtlasReport_2_Table_1[[#This Row],[Received]]-AtlasReport_2_Table_1[[#This Row],[Trans backwords(Ending)]]</f>
        <v>436</v>
      </c>
    </row>
    <row r="44" spans="1:8">
      <c r="A44" s="5" t="s">
        <v>174</v>
      </c>
      <c r="B44" s="8">
        <v>16</v>
      </c>
      <c r="C44" s="8">
        <v>0</v>
      </c>
      <c r="D44" s="8">
        <v>0</v>
      </c>
      <c r="E44" s="8">
        <v>16</v>
      </c>
      <c r="F44" s="8">
        <v>0</v>
      </c>
      <c r="G44" s="8">
        <f>AtlasReport_2_Table_1[[#This Row],[Posted quantity]]-AtlasReport_2_Table_1[[#This Row],[Deducted]]+AtlasReport_2_Table_1[[#This Row],[Received]]-AtlasReport_2_Table_1[[#This Row],[Trans backwords(Beginning)]]</f>
        <v>0</v>
      </c>
      <c r="H44" s="8">
        <f>AtlasReport_2_Table_1[[#This Row],[Posted quantity]]-AtlasReport_2_Table_1[[#This Row],[Deducted]]+AtlasReport_2_Table_1[[#This Row],[Received]]-AtlasReport_2_Table_1[[#This Row],[Trans backwords(Ending)]]</f>
        <v>16</v>
      </c>
    </row>
    <row r="45" spans="1:8">
      <c r="A45" s="5" t="s">
        <v>176</v>
      </c>
      <c r="B45" s="8">
        <v>18</v>
      </c>
      <c r="C45" s="8">
        <v>0</v>
      </c>
      <c r="D45" s="8">
        <v>0</v>
      </c>
      <c r="E45" s="8">
        <v>18</v>
      </c>
      <c r="F45" s="8">
        <v>0</v>
      </c>
      <c r="G45" s="8">
        <f>AtlasReport_2_Table_1[[#This Row],[Posted quantity]]-AtlasReport_2_Table_1[[#This Row],[Deducted]]+AtlasReport_2_Table_1[[#This Row],[Received]]-AtlasReport_2_Table_1[[#This Row],[Trans backwords(Beginning)]]</f>
        <v>0</v>
      </c>
      <c r="H45" s="8">
        <f>AtlasReport_2_Table_1[[#This Row],[Posted quantity]]-AtlasReport_2_Table_1[[#This Row],[Deducted]]+AtlasReport_2_Table_1[[#This Row],[Received]]-AtlasReport_2_Table_1[[#This Row],[Trans backwords(Ending)]]</f>
        <v>18</v>
      </c>
    </row>
    <row r="46" spans="1:8">
      <c r="A46" s="5" t="s">
        <v>178</v>
      </c>
      <c r="B46" s="8">
        <v>16</v>
      </c>
      <c r="C46" s="8">
        <v>0</v>
      </c>
      <c r="D46" s="8">
        <v>0</v>
      </c>
      <c r="E46" s="8">
        <v>16</v>
      </c>
      <c r="F46" s="8">
        <v>0</v>
      </c>
      <c r="G46" s="8">
        <f>AtlasReport_2_Table_1[[#This Row],[Posted quantity]]-AtlasReport_2_Table_1[[#This Row],[Deducted]]+AtlasReport_2_Table_1[[#This Row],[Received]]-AtlasReport_2_Table_1[[#This Row],[Trans backwords(Beginning)]]</f>
        <v>0</v>
      </c>
      <c r="H46" s="8">
        <f>AtlasReport_2_Table_1[[#This Row],[Posted quantity]]-AtlasReport_2_Table_1[[#This Row],[Deducted]]+AtlasReport_2_Table_1[[#This Row],[Received]]-AtlasReport_2_Table_1[[#This Row],[Trans backwords(Ending)]]</f>
        <v>16</v>
      </c>
    </row>
    <row r="47" spans="1:8">
      <c r="A47" s="5" t="s">
        <v>180</v>
      </c>
      <c r="B47" s="8">
        <v>31</v>
      </c>
      <c r="C47" s="8">
        <v>0</v>
      </c>
      <c r="D47" s="8">
        <v>0</v>
      </c>
      <c r="E47" s="8">
        <v>31</v>
      </c>
      <c r="F47" s="8">
        <v>0</v>
      </c>
      <c r="G47" s="8">
        <f>AtlasReport_2_Table_1[[#This Row],[Posted quantity]]-AtlasReport_2_Table_1[[#This Row],[Deducted]]+AtlasReport_2_Table_1[[#This Row],[Received]]-AtlasReport_2_Table_1[[#This Row],[Trans backwords(Beginning)]]</f>
        <v>0</v>
      </c>
      <c r="H47" s="8">
        <f>AtlasReport_2_Table_1[[#This Row],[Posted quantity]]-AtlasReport_2_Table_1[[#This Row],[Deducted]]+AtlasReport_2_Table_1[[#This Row],[Received]]-AtlasReport_2_Table_1[[#This Row],[Trans backwords(Ending)]]</f>
        <v>31</v>
      </c>
    </row>
    <row r="48" spans="1:8">
      <c r="A48" s="5" t="s">
        <v>182</v>
      </c>
      <c r="B48" s="8">
        <v>62</v>
      </c>
      <c r="C48" s="8">
        <v>0</v>
      </c>
      <c r="D48" s="8">
        <v>0</v>
      </c>
      <c r="E48" s="8">
        <v>62</v>
      </c>
      <c r="F48" s="8">
        <v>0</v>
      </c>
      <c r="G48" s="8">
        <f>AtlasReport_2_Table_1[[#This Row],[Posted quantity]]-AtlasReport_2_Table_1[[#This Row],[Deducted]]+AtlasReport_2_Table_1[[#This Row],[Received]]-AtlasReport_2_Table_1[[#This Row],[Trans backwords(Beginning)]]</f>
        <v>0</v>
      </c>
      <c r="H48" s="8">
        <f>AtlasReport_2_Table_1[[#This Row],[Posted quantity]]-AtlasReport_2_Table_1[[#This Row],[Deducted]]+AtlasReport_2_Table_1[[#This Row],[Received]]-AtlasReport_2_Table_1[[#This Row],[Trans backwords(Ending)]]</f>
        <v>62</v>
      </c>
    </row>
    <row r="49" spans="1:8">
      <c r="A49" s="5" t="s">
        <v>184</v>
      </c>
      <c r="B49" s="8">
        <v>243</v>
      </c>
      <c r="C49" s="8">
        <v>0</v>
      </c>
      <c r="D49" s="8">
        <v>0</v>
      </c>
      <c r="E49" s="8">
        <v>243</v>
      </c>
      <c r="F49" s="8">
        <v>0</v>
      </c>
      <c r="G49" s="8">
        <f>AtlasReport_2_Table_1[[#This Row],[Posted quantity]]-AtlasReport_2_Table_1[[#This Row],[Deducted]]+AtlasReport_2_Table_1[[#This Row],[Received]]-AtlasReport_2_Table_1[[#This Row],[Trans backwords(Beginning)]]</f>
        <v>0</v>
      </c>
      <c r="H49" s="8">
        <f>AtlasReport_2_Table_1[[#This Row],[Posted quantity]]-AtlasReport_2_Table_1[[#This Row],[Deducted]]+AtlasReport_2_Table_1[[#This Row],[Received]]-AtlasReport_2_Table_1[[#This Row],[Trans backwords(Ending)]]</f>
        <v>243</v>
      </c>
    </row>
    <row r="50" spans="1:8">
      <c r="A50" s="5" t="s">
        <v>186</v>
      </c>
      <c r="B50" s="8">
        <v>77</v>
      </c>
      <c r="C50" s="8">
        <v>0</v>
      </c>
      <c r="D50" s="8">
        <v>0</v>
      </c>
      <c r="E50" s="8">
        <v>77</v>
      </c>
      <c r="F50" s="8">
        <v>0</v>
      </c>
      <c r="G50" s="8">
        <f>AtlasReport_2_Table_1[[#This Row],[Posted quantity]]-AtlasReport_2_Table_1[[#This Row],[Deducted]]+AtlasReport_2_Table_1[[#This Row],[Received]]-AtlasReport_2_Table_1[[#This Row],[Trans backwords(Beginning)]]</f>
        <v>0</v>
      </c>
      <c r="H50" s="8">
        <f>AtlasReport_2_Table_1[[#This Row],[Posted quantity]]-AtlasReport_2_Table_1[[#This Row],[Deducted]]+AtlasReport_2_Table_1[[#This Row],[Received]]-AtlasReport_2_Table_1[[#This Row],[Trans backwords(Ending)]]</f>
        <v>77</v>
      </c>
    </row>
    <row r="51" spans="1:8">
      <c r="A51" s="5" t="s">
        <v>44</v>
      </c>
      <c r="B51" s="8">
        <v>962</v>
      </c>
      <c r="C51" s="8">
        <v>0</v>
      </c>
      <c r="D51" s="8">
        <v>0</v>
      </c>
      <c r="E51" s="8">
        <v>962</v>
      </c>
      <c r="F51" s="8">
        <v>0</v>
      </c>
      <c r="G51" s="8">
        <f>AtlasReport_2_Table_1[[#This Row],[Posted quantity]]-AtlasReport_2_Table_1[[#This Row],[Deducted]]+AtlasReport_2_Table_1[[#This Row],[Received]]-AtlasReport_2_Table_1[[#This Row],[Trans backwords(Beginning)]]</f>
        <v>0</v>
      </c>
      <c r="H51" s="8">
        <f>AtlasReport_2_Table_1[[#This Row],[Posted quantity]]-AtlasReport_2_Table_1[[#This Row],[Deducted]]+AtlasReport_2_Table_1[[#This Row],[Received]]-AtlasReport_2_Table_1[[#This Row],[Trans backwords(Ending)]]</f>
        <v>962</v>
      </c>
    </row>
    <row r="52" spans="1:8">
      <c r="A52" s="5" t="s">
        <v>50</v>
      </c>
      <c r="B52" s="8">
        <v>1.7</v>
      </c>
      <c r="C52" s="8">
        <v>0</v>
      </c>
      <c r="D52" s="8">
        <v>0</v>
      </c>
      <c r="E52" s="8">
        <v>1.7</v>
      </c>
      <c r="F52" s="8">
        <v>0</v>
      </c>
      <c r="G52" s="8">
        <f>AtlasReport_2_Table_1[[#This Row],[Posted quantity]]-AtlasReport_2_Table_1[[#This Row],[Deducted]]+AtlasReport_2_Table_1[[#This Row],[Received]]-AtlasReport_2_Table_1[[#This Row],[Trans backwords(Beginning)]]</f>
        <v>0</v>
      </c>
      <c r="H52" s="8">
        <f>AtlasReport_2_Table_1[[#This Row],[Posted quantity]]-AtlasReport_2_Table_1[[#This Row],[Deducted]]+AtlasReport_2_Table_1[[#This Row],[Received]]-AtlasReport_2_Table_1[[#This Row],[Trans backwords(Ending)]]</f>
        <v>1.7</v>
      </c>
    </row>
    <row r="53" spans="1:8">
      <c r="A53" s="5" t="s">
        <v>188</v>
      </c>
      <c r="B53" s="8">
        <v>7</v>
      </c>
      <c r="C53" s="8">
        <v>0</v>
      </c>
      <c r="D53" s="8">
        <v>0</v>
      </c>
      <c r="E53" s="8">
        <v>7</v>
      </c>
      <c r="F53" s="8">
        <v>0</v>
      </c>
      <c r="G53" s="8">
        <f>AtlasReport_2_Table_1[[#This Row],[Posted quantity]]-AtlasReport_2_Table_1[[#This Row],[Deducted]]+AtlasReport_2_Table_1[[#This Row],[Received]]-AtlasReport_2_Table_1[[#This Row],[Trans backwords(Beginning)]]</f>
        <v>0</v>
      </c>
      <c r="H53" s="8">
        <f>AtlasReport_2_Table_1[[#This Row],[Posted quantity]]-AtlasReport_2_Table_1[[#This Row],[Deducted]]+AtlasReport_2_Table_1[[#This Row],[Received]]-AtlasReport_2_Table_1[[#This Row],[Trans backwords(Ending)]]</f>
        <v>7</v>
      </c>
    </row>
    <row r="54" spans="1:8">
      <c r="A54" s="5" t="s">
        <v>190</v>
      </c>
      <c r="B54" s="8">
        <v>38</v>
      </c>
      <c r="C54" s="8">
        <v>0</v>
      </c>
      <c r="D54" s="8">
        <v>0</v>
      </c>
      <c r="E54" s="8">
        <v>38</v>
      </c>
      <c r="F54" s="8">
        <v>0</v>
      </c>
      <c r="G54" s="8">
        <f>AtlasReport_2_Table_1[[#This Row],[Posted quantity]]-AtlasReport_2_Table_1[[#This Row],[Deducted]]+AtlasReport_2_Table_1[[#This Row],[Received]]-AtlasReport_2_Table_1[[#This Row],[Trans backwords(Beginning)]]</f>
        <v>0</v>
      </c>
      <c r="H54" s="8">
        <f>AtlasReport_2_Table_1[[#This Row],[Posted quantity]]-AtlasReport_2_Table_1[[#This Row],[Deducted]]+AtlasReport_2_Table_1[[#This Row],[Received]]-AtlasReport_2_Table_1[[#This Row],[Trans backwords(Ending)]]</f>
        <v>38</v>
      </c>
    </row>
    <row r="55" spans="1:8">
      <c r="A55" s="5" t="s">
        <v>192</v>
      </c>
      <c r="B55" s="8">
        <v>2</v>
      </c>
      <c r="C55" s="8">
        <v>0</v>
      </c>
      <c r="D55" s="8">
        <v>0</v>
      </c>
      <c r="E55" s="8">
        <v>2</v>
      </c>
      <c r="F55" s="8">
        <v>0</v>
      </c>
      <c r="G55" s="8">
        <f>AtlasReport_2_Table_1[[#This Row],[Posted quantity]]-AtlasReport_2_Table_1[[#This Row],[Deducted]]+AtlasReport_2_Table_1[[#This Row],[Received]]-AtlasReport_2_Table_1[[#This Row],[Trans backwords(Beginning)]]</f>
        <v>0</v>
      </c>
      <c r="H55" s="8">
        <f>AtlasReport_2_Table_1[[#This Row],[Posted quantity]]-AtlasReport_2_Table_1[[#This Row],[Deducted]]+AtlasReport_2_Table_1[[#This Row],[Received]]-AtlasReport_2_Table_1[[#This Row],[Trans backwords(Ending)]]</f>
        <v>2</v>
      </c>
    </row>
    <row r="56" spans="1:8">
      <c r="A56" s="5" t="s">
        <v>194</v>
      </c>
      <c r="B56" s="8">
        <v>22.56</v>
      </c>
      <c r="C56" s="8">
        <v>0</v>
      </c>
      <c r="D56" s="8">
        <v>0</v>
      </c>
      <c r="E56" s="8">
        <v>22.56</v>
      </c>
      <c r="F56" s="8">
        <v>0</v>
      </c>
      <c r="G56" s="8">
        <f>AtlasReport_2_Table_1[[#This Row],[Posted quantity]]-AtlasReport_2_Table_1[[#This Row],[Deducted]]+AtlasReport_2_Table_1[[#This Row],[Received]]-AtlasReport_2_Table_1[[#This Row],[Trans backwords(Beginning)]]</f>
        <v>0</v>
      </c>
      <c r="H56" s="8">
        <f>AtlasReport_2_Table_1[[#This Row],[Posted quantity]]-AtlasReport_2_Table_1[[#This Row],[Deducted]]+AtlasReport_2_Table_1[[#This Row],[Received]]-AtlasReport_2_Table_1[[#This Row],[Trans backwords(Ending)]]</f>
        <v>22.56</v>
      </c>
    </row>
    <row r="57" spans="1:8">
      <c r="A57" s="5" t="s">
        <v>52</v>
      </c>
      <c r="B57" s="8">
        <v>199763.79</v>
      </c>
      <c r="C57" s="8">
        <v>0</v>
      </c>
      <c r="D57" s="8">
        <v>0</v>
      </c>
      <c r="E57" s="8">
        <v>199763.79</v>
      </c>
      <c r="F57" s="8">
        <v>0</v>
      </c>
      <c r="G57" s="8">
        <f>AtlasReport_2_Table_1[[#This Row],[Posted quantity]]-AtlasReport_2_Table_1[[#This Row],[Deducted]]+AtlasReport_2_Table_1[[#This Row],[Received]]-AtlasReport_2_Table_1[[#This Row],[Trans backwords(Beginning)]]</f>
        <v>0</v>
      </c>
      <c r="H57" s="8">
        <f>AtlasReport_2_Table_1[[#This Row],[Posted quantity]]-AtlasReport_2_Table_1[[#This Row],[Deducted]]+AtlasReport_2_Table_1[[#This Row],[Received]]-AtlasReport_2_Table_1[[#This Row],[Trans backwords(Ending)]]</f>
        <v>199763.79</v>
      </c>
    </row>
    <row r="58" spans="1:8">
      <c r="A58" s="5" t="s">
        <v>196</v>
      </c>
      <c r="B58" s="8">
        <v>8</v>
      </c>
      <c r="C58" s="8">
        <v>0</v>
      </c>
      <c r="D58" s="8">
        <v>0</v>
      </c>
      <c r="E58" s="8">
        <v>8</v>
      </c>
      <c r="F58" s="8">
        <v>0</v>
      </c>
      <c r="G58" s="8">
        <f>AtlasReport_2_Table_1[[#This Row],[Posted quantity]]-AtlasReport_2_Table_1[[#This Row],[Deducted]]+AtlasReport_2_Table_1[[#This Row],[Received]]-AtlasReport_2_Table_1[[#This Row],[Trans backwords(Beginning)]]</f>
        <v>0</v>
      </c>
      <c r="H58" s="8">
        <f>AtlasReport_2_Table_1[[#This Row],[Posted quantity]]-AtlasReport_2_Table_1[[#This Row],[Deducted]]+AtlasReport_2_Table_1[[#This Row],[Received]]-AtlasReport_2_Table_1[[#This Row],[Trans backwords(Ending)]]</f>
        <v>8</v>
      </c>
    </row>
    <row r="59" spans="1:8">
      <c r="A59" s="5" t="s">
        <v>198</v>
      </c>
      <c r="B59" s="8">
        <v>20</v>
      </c>
      <c r="C59" s="8">
        <v>0</v>
      </c>
      <c r="D59" s="8">
        <v>0</v>
      </c>
      <c r="E59" s="8">
        <v>20</v>
      </c>
      <c r="F59" s="8">
        <v>0</v>
      </c>
      <c r="G59" s="8">
        <f>AtlasReport_2_Table_1[[#This Row],[Posted quantity]]-AtlasReport_2_Table_1[[#This Row],[Deducted]]+AtlasReport_2_Table_1[[#This Row],[Received]]-AtlasReport_2_Table_1[[#This Row],[Trans backwords(Beginning)]]</f>
        <v>0</v>
      </c>
      <c r="H59" s="8">
        <f>AtlasReport_2_Table_1[[#This Row],[Posted quantity]]-AtlasReport_2_Table_1[[#This Row],[Deducted]]+AtlasReport_2_Table_1[[#This Row],[Received]]-AtlasReport_2_Table_1[[#This Row],[Trans backwords(Ending)]]</f>
        <v>20</v>
      </c>
    </row>
    <row r="60" spans="1:8">
      <c r="A60" s="5" t="s">
        <v>200</v>
      </c>
      <c r="B60" s="8">
        <v>7</v>
      </c>
      <c r="C60" s="8">
        <v>0</v>
      </c>
      <c r="D60" s="8">
        <v>0</v>
      </c>
      <c r="E60" s="8">
        <v>7</v>
      </c>
      <c r="F60" s="8">
        <v>0</v>
      </c>
      <c r="G60" s="8">
        <f>AtlasReport_2_Table_1[[#This Row],[Posted quantity]]-AtlasReport_2_Table_1[[#This Row],[Deducted]]+AtlasReport_2_Table_1[[#This Row],[Received]]-AtlasReport_2_Table_1[[#This Row],[Trans backwords(Beginning)]]</f>
        <v>0</v>
      </c>
      <c r="H60" s="8">
        <f>AtlasReport_2_Table_1[[#This Row],[Posted quantity]]-AtlasReport_2_Table_1[[#This Row],[Deducted]]+AtlasReport_2_Table_1[[#This Row],[Received]]-AtlasReport_2_Table_1[[#This Row],[Trans backwords(Ending)]]</f>
        <v>7</v>
      </c>
    </row>
    <row r="61" spans="1:8">
      <c r="A61" s="5" t="s">
        <v>202</v>
      </c>
      <c r="B61" s="8">
        <v>23</v>
      </c>
      <c r="C61" s="8">
        <v>0</v>
      </c>
      <c r="D61" s="8">
        <v>0</v>
      </c>
      <c r="E61" s="8">
        <v>23</v>
      </c>
      <c r="F61" s="8">
        <v>0</v>
      </c>
      <c r="G61" s="8">
        <f>AtlasReport_2_Table_1[[#This Row],[Posted quantity]]-AtlasReport_2_Table_1[[#This Row],[Deducted]]+AtlasReport_2_Table_1[[#This Row],[Received]]-AtlasReport_2_Table_1[[#This Row],[Trans backwords(Beginning)]]</f>
        <v>0</v>
      </c>
      <c r="H61" s="8">
        <f>AtlasReport_2_Table_1[[#This Row],[Posted quantity]]-AtlasReport_2_Table_1[[#This Row],[Deducted]]+AtlasReport_2_Table_1[[#This Row],[Received]]-AtlasReport_2_Table_1[[#This Row],[Trans backwords(Ending)]]</f>
        <v>23</v>
      </c>
    </row>
    <row r="62" spans="1:8">
      <c r="A62" s="5" t="s">
        <v>204</v>
      </c>
      <c r="B62" s="8">
        <v>32</v>
      </c>
      <c r="C62" s="8">
        <v>0</v>
      </c>
      <c r="D62" s="8">
        <v>0</v>
      </c>
      <c r="E62" s="8">
        <v>32</v>
      </c>
      <c r="F62" s="8">
        <v>0</v>
      </c>
      <c r="G62" s="8">
        <f>AtlasReport_2_Table_1[[#This Row],[Posted quantity]]-AtlasReport_2_Table_1[[#This Row],[Deducted]]+AtlasReport_2_Table_1[[#This Row],[Received]]-AtlasReport_2_Table_1[[#This Row],[Trans backwords(Beginning)]]</f>
        <v>0</v>
      </c>
      <c r="H62" s="8">
        <f>AtlasReport_2_Table_1[[#This Row],[Posted quantity]]-AtlasReport_2_Table_1[[#This Row],[Deducted]]+AtlasReport_2_Table_1[[#This Row],[Received]]-AtlasReport_2_Table_1[[#This Row],[Trans backwords(Ending)]]</f>
        <v>32</v>
      </c>
    </row>
    <row r="63" spans="1:8">
      <c r="A63" s="5" t="s">
        <v>206</v>
      </c>
      <c r="B63" s="8">
        <v>481</v>
      </c>
      <c r="C63" s="8">
        <v>0</v>
      </c>
      <c r="D63" s="8">
        <v>0</v>
      </c>
      <c r="E63" s="8">
        <v>481</v>
      </c>
      <c r="F63" s="8">
        <v>0</v>
      </c>
      <c r="G63" s="8">
        <f>AtlasReport_2_Table_1[[#This Row],[Posted quantity]]-AtlasReport_2_Table_1[[#This Row],[Deducted]]+AtlasReport_2_Table_1[[#This Row],[Received]]-AtlasReport_2_Table_1[[#This Row],[Trans backwords(Beginning)]]</f>
        <v>0</v>
      </c>
      <c r="H63" s="8">
        <f>AtlasReport_2_Table_1[[#This Row],[Posted quantity]]-AtlasReport_2_Table_1[[#This Row],[Deducted]]+AtlasReport_2_Table_1[[#This Row],[Received]]-AtlasReport_2_Table_1[[#This Row],[Trans backwords(Ending)]]</f>
        <v>481</v>
      </c>
    </row>
    <row r="64" spans="1:8">
      <c r="A64" s="5" t="s">
        <v>208</v>
      </c>
      <c r="B64" s="8">
        <v>183.2</v>
      </c>
      <c r="C64" s="8">
        <v>0</v>
      </c>
      <c r="D64" s="8">
        <v>0</v>
      </c>
      <c r="E64" s="8">
        <v>183.2</v>
      </c>
      <c r="F64" s="8">
        <v>0</v>
      </c>
      <c r="G64" s="8">
        <f>AtlasReport_2_Table_1[[#This Row],[Posted quantity]]-AtlasReport_2_Table_1[[#This Row],[Deducted]]+AtlasReport_2_Table_1[[#This Row],[Received]]-AtlasReport_2_Table_1[[#This Row],[Trans backwords(Beginning)]]</f>
        <v>0</v>
      </c>
      <c r="H64" s="8">
        <f>AtlasReport_2_Table_1[[#This Row],[Posted quantity]]-AtlasReport_2_Table_1[[#This Row],[Deducted]]+AtlasReport_2_Table_1[[#This Row],[Received]]-AtlasReport_2_Table_1[[#This Row],[Trans backwords(Ending)]]</f>
        <v>183.2</v>
      </c>
    </row>
    <row r="65" spans="1:8">
      <c r="A65" s="5" t="s">
        <v>210</v>
      </c>
      <c r="B65" s="8">
        <v>0.32</v>
      </c>
      <c r="C65" s="8">
        <v>0</v>
      </c>
      <c r="D65" s="8">
        <v>0</v>
      </c>
      <c r="E65" s="8">
        <v>0.32</v>
      </c>
      <c r="F65" s="8">
        <v>0</v>
      </c>
      <c r="G65" s="8">
        <f>AtlasReport_2_Table_1[[#This Row],[Posted quantity]]-AtlasReport_2_Table_1[[#This Row],[Deducted]]+AtlasReport_2_Table_1[[#This Row],[Received]]-AtlasReport_2_Table_1[[#This Row],[Trans backwords(Beginning)]]</f>
        <v>0</v>
      </c>
      <c r="H65" s="8">
        <f>AtlasReport_2_Table_1[[#This Row],[Posted quantity]]-AtlasReport_2_Table_1[[#This Row],[Deducted]]+AtlasReport_2_Table_1[[#This Row],[Received]]-AtlasReport_2_Table_1[[#This Row],[Trans backwords(Ending)]]</f>
        <v>0.32</v>
      </c>
    </row>
    <row r="66" spans="1:8">
      <c r="A66" s="5" t="s">
        <v>212</v>
      </c>
      <c r="B66" s="8">
        <v>37.33</v>
      </c>
      <c r="C66" s="8">
        <v>0</v>
      </c>
      <c r="D66" s="8">
        <v>0</v>
      </c>
      <c r="E66" s="8">
        <v>37.33</v>
      </c>
      <c r="F66" s="8">
        <v>0</v>
      </c>
      <c r="G66" s="8">
        <f>AtlasReport_2_Table_1[[#This Row],[Posted quantity]]-AtlasReport_2_Table_1[[#This Row],[Deducted]]+AtlasReport_2_Table_1[[#This Row],[Received]]-AtlasReport_2_Table_1[[#This Row],[Trans backwords(Beginning)]]</f>
        <v>0</v>
      </c>
      <c r="H66" s="8">
        <f>AtlasReport_2_Table_1[[#This Row],[Posted quantity]]-AtlasReport_2_Table_1[[#This Row],[Deducted]]+AtlasReport_2_Table_1[[#This Row],[Received]]-AtlasReport_2_Table_1[[#This Row],[Trans backwords(Ending)]]</f>
        <v>37.33</v>
      </c>
    </row>
    <row r="67" spans="1:8">
      <c r="A67" s="5" t="s">
        <v>214</v>
      </c>
      <c r="B67" s="8">
        <v>95</v>
      </c>
      <c r="C67" s="8">
        <v>0</v>
      </c>
      <c r="D67" s="8">
        <v>0</v>
      </c>
      <c r="E67" s="8">
        <v>95</v>
      </c>
      <c r="F67" s="8">
        <v>0</v>
      </c>
      <c r="G67" s="8">
        <f>AtlasReport_2_Table_1[[#This Row],[Posted quantity]]-AtlasReport_2_Table_1[[#This Row],[Deducted]]+AtlasReport_2_Table_1[[#This Row],[Received]]-AtlasReport_2_Table_1[[#This Row],[Trans backwords(Beginning)]]</f>
        <v>0</v>
      </c>
      <c r="H67" s="8">
        <f>AtlasReport_2_Table_1[[#This Row],[Posted quantity]]-AtlasReport_2_Table_1[[#This Row],[Deducted]]+AtlasReport_2_Table_1[[#This Row],[Received]]-AtlasReport_2_Table_1[[#This Row],[Trans backwords(Ending)]]</f>
        <v>95</v>
      </c>
    </row>
    <row r="68" spans="1:8">
      <c r="A68" s="5" t="s">
        <v>53</v>
      </c>
      <c r="B68" s="8">
        <v>10057.5</v>
      </c>
      <c r="C68" s="8">
        <v>0</v>
      </c>
      <c r="D68" s="8">
        <v>451.85</v>
      </c>
      <c r="E68" s="8">
        <v>10509.35</v>
      </c>
      <c r="F68" s="8">
        <v>0</v>
      </c>
      <c r="G68" s="8">
        <f>AtlasReport_2_Table_1[[#This Row],[Posted quantity]]-AtlasReport_2_Table_1[[#This Row],[Deducted]]+AtlasReport_2_Table_1[[#This Row],[Received]]-AtlasReport_2_Table_1[[#This Row],[Trans backwords(Beginning)]]</f>
        <v>0</v>
      </c>
      <c r="H68" s="8">
        <f>AtlasReport_2_Table_1[[#This Row],[Posted quantity]]-AtlasReport_2_Table_1[[#This Row],[Deducted]]+AtlasReport_2_Table_1[[#This Row],[Received]]-AtlasReport_2_Table_1[[#This Row],[Trans backwords(Ending)]]</f>
        <v>10509.35</v>
      </c>
    </row>
    <row r="69" spans="1:8">
      <c r="A69" s="5" t="s">
        <v>216</v>
      </c>
      <c r="B69" s="8">
        <v>150</v>
      </c>
      <c r="C69" s="8">
        <v>0</v>
      </c>
      <c r="D69" s="8">
        <v>0</v>
      </c>
      <c r="E69" s="8">
        <v>150</v>
      </c>
      <c r="F69" s="8">
        <v>0</v>
      </c>
      <c r="G69" s="8">
        <f>AtlasReport_2_Table_1[[#This Row],[Posted quantity]]-AtlasReport_2_Table_1[[#This Row],[Deducted]]+AtlasReport_2_Table_1[[#This Row],[Received]]-AtlasReport_2_Table_1[[#This Row],[Trans backwords(Beginning)]]</f>
        <v>0</v>
      </c>
      <c r="H69" s="8">
        <f>AtlasReport_2_Table_1[[#This Row],[Posted quantity]]-AtlasReport_2_Table_1[[#This Row],[Deducted]]+AtlasReport_2_Table_1[[#This Row],[Received]]-AtlasReport_2_Table_1[[#This Row],[Trans backwords(Ending)]]</f>
        <v>150</v>
      </c>
    </row>
    <row r="70" spans="1:8">
      <c r="A70" s="5" t="s">
        <v>218</v>
      </c>
      <c r="B70" s="8">
        <v>174.8</v>
      </c>
      <c r="C70" s="8">
        <v>0</v>
      </c>
      <c r="D70" s="8">
        <v>0</v>
      </c>
      <c r="E70" s="8">
        <v>174.8</v>
      </c>
      <c r="F70" s="8">
        <v>0</v>
      </c>
      <c r="G70" s="8">
        <f>AtlasReport_2_Table_1[[#This Row],[Posted quantity]]-AtlasReport_2_Table_1[[#This Row],[Deducted]]+AtlasReport_2_Table_1[[#This Row],[Received]]-AtlasReport_2_Table_1[[#This Row],[Trans backwords(Beginning)]]</f>
        <v>0</v>
      </c>
      <c r="H70" s="8">
        <f>AtlasReport_2_Table_1[[#This Row],[Posted quantity]]-AtlasReport_2_Table_1[[#This Row],[Deducted]]+AtlasReport_2_Table_1[[#This Row],[Received]]-AtlasReport_2_Table_1[[#This Row],[Trans backwords(Ending)]]</f>
        <v>174.8</v>
      </c>
    </row>
    <row r="71" spans="1:8">
      <c r="A71" s="5" t="s">
        <v>57</v>
      </c>
      <c r="B71" s="8">
        <v>120458.06</v>
      </c>
      <c r="C71" s="8">
        <v>10</v>
      </c>
      <c r="D71" s="8">
        <v>0</v>
      </c>
      <c r="E71" s="8">
        <v>120448.06</v>
      </c>
      <c r="F71" s="8">
        <v>0</v>
      </c>
      <c r="G71" s="8">
        <f>AtlasReport_2_Table_1[[#This Row],[Posted quantity]]-AtlasReport_2_Table_1[[#This Row],[Deducted]]+AtlasReport_2_Table_1[[#This Row],[Received]]-AtlasReport_2_Table_1[[#This Row],[Trans backwords(Beginning)]]</f>
        <v>0</v>
      </c>
      <c r="H71" s="8">
        <f>AtlasReport_2_Table_1[[#This Row],[Posted quantity]]-AtlasReport_2_Table_1[[#This Row],[Deducted]]+AtlasReport_2_Table_1[[#This Row],[Received]]-AtlasReport_2_Table_1[[#This Row],[Trans backwords(Ending)]]</f>
        <v>120448.06</v>
      </c>
    </row>
    <row r="72" spans="1:8">
      <c r="A72" s="5" t="s">
        <v>220</v>
      </c>
      <c r="B72" s="8">
        <v>125</v>
      </c>
      <c r="C72" s="8">
        <v>0</v>
      </c>
      <c r="D72" s="8">
        <v>0</v>
      </c>
      <c r="E72" s="8">
        <v>125</v>
      </c>
      <c r="F72" s="8">
        <v>0</v>
      </c>
      <c r="G72" s="8">
        <f>AtlasReport_2_Table_1[[#This Row],[Posted quantity]]-AtlasReport_2_Table_1[[#This Row],[Deducted]]+AtlasReport_2_Table_1[[#This Row],[Received]]-AtlasReport_2_Table_1[[#This Row],[Trans backwords(Beginning)]]</f>
        <v>0</v>
      </c>
      <c r="H72" s="8">
        <f>AtlasReport_2_Table_1[[#This Row],[Posted quantity]]-AtlasReport_2_Table_1[[#This Row],[Deducted]]+AtlasReport_2_Table_1[[#This Row],[Received]]-AtlasReport_2_Table_1[[#This Row],[Trans backwords(Ending)]]</f>
        <v>125</v>
      </c>
    </row>
    <row r="73" spans="1:8">
      <c r="A73" s="5" t="s">
        <v>222</v>
      </c>
      <c r="B73" s="8">
        <v>168.8</v>
      </c>
      <c r="C73" s="8">
        <v>0</v>
      </c>
      <c r="D73" s="8">
        <v>0</v>
      </c>
      <c r="E73" s="8">
        <v>168.8</v>
      </c>
      <c r="F73" s="8">
        <v>0</v>
      </c>
      <c r="G73" s="8">
        <f>AtlasReport_2_Table_1[[#This Row],[Posted quantity]]-AtlasReport_2_Table_1[[#This Row],[Deducted]]+AtlasReport_2_Table_1[[#This Row],[Received]]-AtlasReport_2_Table_1[[#This Row],[Trans backwords(Beginning)]]</f>
        <v>0</v>
      </c>
      <c r="H73" s="8">
        <f>AtlasReport_2_Table_1[[#This Row],[Posted quantity]]-AtlasReport_2_Table_1[[#This Row],[Deducted]]+AtlasReport_2_Table_1[[#This Row],[Received]]-AtlasReport_2_Table_1[[#This Row],[Trans backwords(Ending)]]</f>
        <v>168.8</v>
      </c>
    </row>
    <row r="74" spans="1:8">
      <c r="A74" s="5" t="s">
        <v>224</v>
      </c>
      <c r="B74" s="8">
        <v>715</v>
      </c>
      <c r="C74" s="8">
        <v>0</v>
      </c>
      <c r="D74" s="8">
        <v>0</v>
      </c>
      <c r="E74" s="8">
        <v>715</v>
      </c>
      <c r="F74" s="8">
        <v>0</v>
      </c>
      <c r="G74" s="8">
        <f>AtlasReport_2_Table_1[[#This Row],[Posted quantity]]-AtlasReport_2_Table_1[[#This Row],[Deducted]]+AtlasReport_2_Table_1[[#This Row],[Received]]-AtlasReport_2_Table_1[[#This Row],[Trans backwords(Beginning)]]</f>
        <v>0</v>
      </c>
      <c r="H74" s="8">
        <f>AtlasReport_2_Table_1[[#This Row],[Posted quantity]]-AtlasReport_2_Table_1[[#This Row],[Deducted]]+AtlasReport_2_Table_1[[#This Row],[Received]]-AtlasReport_2_Table_1[[#This Row],[Trans backwords(Ending)]]</f>
        <v>715</v>
      </c>
    </row>
    <row r="75" spans="1:8">
      <c r="A75" s="5" t="s">
        <v>226</v>
      </c>
      <c r="B75" s="8">
        <v>42</v>
      </c>
      <c r="C75" s="8">
        <v>0</v>
      </c>
      <c r="D75" s="8">
        <v>0</v>
      </c>
      <c r="E75" s="8">
        <v>42</v>
      </c>
      <c r="F75" s="8">
        <v>0</v>
      </c>
      <c r="G75" s="8">
        <f>AtlasReport_2_Table_1[[#This Row],[Posted quantity]]-AtlasReport_2_Table_1[[#This Row],[Deducted]]+AtlasReport_2_Table_1[[#This Row],[Received]]-AtlasReport_2_Table_1[[#This Row],[Trans backwords(Beginning)]]</f>
        <v>0</v>
      </c>
      <c r="H75" s="8">
        <f>AtlasReport_2_Table_1[[#This Row],[Posted quantity]]-AtlasReport_2_Table_1[[#This Row],[Deducted]]+AtlasReport_2_Table_1[[#This Row],[Received]]-AtlasReport_2_Table_1[[#This Row],[Trans backwords(Ending)]]</f>
        <v>42</v>
      </c>
    </row>
    <row r="76" spans="1:8">
      <c r="A76" s="5" t="s">
        <v>228</v>
      </c>
      <c r="B76" s="8">
        <v>1257.05</v>
      </c>
      <c r="C76" s="8">
        <v>0</v>
      </c>
      <c r="D76" s="8">
        <v>0</v>
      </c>
      <c r="E76" s="8">
        <v>1257.05</v>
      </c>
      <c r="F76" s="8">
        <v>0</v>
      </c>
      <c r="G76" s="8">
        <f>AtlasReport_2_Table_1[[#This Row],[Posted quantity]]-AtlasReport_2_Table_1[[#This Row],[Deducted]]+AtlasReport_2_Table_1[[#This Row],[Received]]-AtlasReport_2_Table_1[[#This Row],[Trans backwords(Beginning)]]</f>
        <v>0</v>
      </c>
      <c r="H76" s="8">
        <f>AtlasReport_2_Table_1[[#This Row],[Posted quantity]]-AtlasReport_2_Table_1[[#This Row],[Deducted]]+AtlasReport_2_Table_1[[#This Row],[Received]]-AtlasReport_2_Table_1[[#This Row],[Trans backwords(Ending)]]</f>
        <v>1257.05</v>
      </c>
    </row>
    <row r="77" spans="1:8">
      <c r="A77" s="3" t="s">
        <v>26</v>
      </c>
      <c r="B77" s="3">
        <f>SUBTOTAL(109,AtlasReport_2_Table_1[Posted quantity])</f>
        <v>1292304.0200000003</v>
      </c>
      <c r="C77" s="3">
        <f>SUBTOTAL(109,AtlasReport_2_Table_1[Deducted])</f>
        <v>10</v>
      </c>
      <c r="D77" s="3">
        <f>SUBTOTAL(109,AtlasReport_2_Table_1[Received])</f>
        <v>451.85</v>
      </c>
      <c r="E77" s="3"/>
      <c r="F77" s="3"/>
      <c r="G77" s="3"/>
      <c r="H77" s="3"/>
    </row>
    <row r="78" spans="1:8">
      <c r="A78" s="3"/>
      <c r="B78" s="3"/>
      <c r="C78" s="3"/>
      <c r="D78" s="3"/>
      <c r="E78" s="3"/>
      <c r="F78" s="3"/>
      <c r="G78" s="3"/>
      <c r="H78" s="3"/>
    </row>
    <row r="79" spans="1:8">
      <c r="A79" s="3"/>
      <c r="B79" s="3"/>
      <c r="C79" s="3"/>
      <c r="D79" s="3"/>
      <c r="E79" s="3"/>
      <c r="F79" s="3"/>
      <c r="G79" s="3"/>
      <c r="H79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O8"/>
  <sheetViews>
    <sheetView tabSelected="1" workbookViewId="0">
      <selection activeCell="L9" sqref="L9"/>
    </sheetView>
  </sheetViews>
  <sheetFormatPr defaultRowHeight="15"/>
  <cols>
    <col min="2" max="2" width="11.7109375" customWidth="1"/>
    <col min="3" max="5" width="11.5703125" bestFit="1" customWidth="1"/>
    <col min="6" max="6" width="10.5703125" bestFit="1" customWidth="1"/>
    <col min="7" max="9" width="11.5703125" bestFit="1" customWidth="1"/>
    <col min="10" max="10" width="10.5703125" bestFit="1" customWidth="1"/>
    <col min="11" max="11" width="10.42578125" customWidth="1"/>
    <col min="12" max="12" width="12.140625" customWidth="1"/>
    <col min="13" max="13" width="11.5703125" bestFit="1" customWidth="1"/>
    <col min="14" max="14" width="11.5703125" customWidth="1"/>
    <col min="15" max="15" width="11.5703125" bestFit="1" customWidth="1"/>
  </cols>
  <sheetData>
    <row r="2" spans="2:15" ht="60">
      <c r="C2" s="11" t="s">
        <v>60</v>
      </c>
      <c r="D2" s="11" t="s">
        <v>62</v>
      </c>
      <c r="E2" s="11" t="s">
        <v>64</v>
      </c>
      <c r="F2" s="11" t="s">
        <v>65</v>
      </c>
      <c r="G2" s="11" t="s">
        <v>66</v>
      </c>
      <c r="H2" s="11" t="s">
        <v>67</v>
      </c>
      <c r="I2" s="11" t="s">
        <v>68</v>
      </c>
      <c r="J2" s="11" t="s">
        <v>69</v>
      </c>
      <c r="K2" s="11" t="s">
        <v>70</v>
      </c>
      <c r="L2" s="11" t="s">
        <v>71</v>
      </c>
      <c r="M2" s="11" t="s">
        <v>72</v>
      </c>
      <c r="N2" s="11" t="s">
        <v>73</v>
      </c>
      <c r="O2" s="11" t="s">
        <v>74</v>
      </c>
    </row>
    <row r="3" spans="2:15">
      <c r="B3" t="s">
        <v>245</v>
      </c>
      <c r="C3" t="s">
        <v>27</v>
      </c>
      <c r="D3" t="s">
        <v>34</v>
      </c>
      <c r="E3" t="s">
        <v>38</v>
      </c>
      <c r="F3" t="s">
        <v>39</v>
      </c>
      <c r="G3" t="s">
        <v>40</v>
      </c>
      <c r="H3" t="s">
        <v>41</v>
      </c>
      <c r="I3" t="s">
        <v>42</v>
      </c>
      <c r="J3" t="s">
        <v>43</v>
      </c>
      <c r="K3" t="s">
        <v>44</v>
      </c>
      <c r="L3" t="s">
        <v>50</v>
      </c>
      <c r="M3" t="s">
        <v>52</v>
      </c>
      <c r="N3" t="s">
        <v>53</v>
      </c>
      <c r="O3" t="s">
        <v>57</v>
      </c>
    </row>
    <row r="4" spans="2:15">
      <c r="B4" s="2">
        <v>43070</v>
      </c>
      <c r="C4" s="10">
        <v>27.95</v>
      </c>
      <c r="D4" s="10">
        <v>22593</v>
      </c>
      <c r="E4" s="10">
        <v>25606</v>
      </c>
      <c r="F4" s="10">
        <v>29</v>
      </c>
      <c r="G4" s="10">
        <v>27101</v>
      </c>
      <c r="H4" s="10">
        <v>28892</v>
      </c>
      <c r="I4" s="10">
        <v>32992</v>
      </c>
      <c r="J4" s="10">
        <v>12607</v>
      </c>
      <c r="K4" s="10">
        <v>40</v>
      </c>
      <c r="L4" s="10">
        <v>0</v>
      </c>
      <c r="M4" s="10">
        <v>163.79000000000002</v>
      </c>
      <c r="N4" s="10">
        <v>160</v>
      </c>
      <c r="O4" s="10">
        <v>858.06000000000006</v>
      </c>
    </row>
    <row r="5" spans="2:15">
      <c r="B5" s="2">
        <v>43083</v>
      </c>
      <c r="C5" s="10">
        <v>250026.1</v>
      </c>
      <c r="D5" s="10">
        <v>102143</v>
      </c>
      <c r="E5" s="10">
        <v>104406</v>
      </c>
      <c r="F5" s="10">
        <v>80023</v>
      </c>
      <c r="G5" s="10">
        <v>106501</v>
      </c>
      <c r="H5" s="10">
        <v>107392</v>
      </c>
      <c r="I5" s="10">
        <v>111642</v>
      </c>
      <c r="J5" s="10">
        <v>91407</v>
      </c>
      <c r="K5" s="10">
        <v>522</v>
      </c>
      <c r="L5" s="10">
        <v>24.700000000000728</v>
      </c>
      <c r="M5" s="10">
        <v>200013.79</v>
      </c>
      <c r="N5" s="10">
        <v>5566.0000000000009</v>
      </c>
      <c r="O5" s="10">
        <v>125408.06</v>
      </c>
    </row>
    <row r="6" spans="2:15">
      <c r="B6" s="2">
        <v>43088</v>
      </c>
      <c r="C6" s="10">
        <v>250024.25</v>
      </c>
      <c r="D6" s="10">
        <v>102143</v>
      </c>
      <c r="E6" s="10">
        <v>104406</v>
      </c>
      <c r="F6" s="10">
        <v>80023</v>
      </c>
      <c r="G6" s="10">
        <v>106501</v>
      </c>
      <c r="H6" s="10">
        <v>107392</v>
      </c>
      <c r="I6" s="10">
        <v>111642</v>
      </c>
      <c r="J6" s="10">
        <v>91407</v>
      </c>
      <c r="K6" s="10">
        <v>522</v>
      </c>
      <c r="L6" s="10">
        <v>24.700000000000728</v>
      </c>
      <c r="M6" s="10">
        <v>200013.79</v>
      </c>
      <c r="N6" s="10">
        <v>6017.8500000000013</v>
      </c>
      <c r="O6" s="10">
        <v>124948.06</v>
      </c>
    </row>
    <row r="7" spans="2:15">
      <c r="B7" s="2">
        <v>43089</v>
      </c>
      <c r="C7" s="10">
        <v>250005.75</v>
      </c>
      <c r="D7" s="10">
        <v>101393</v>
      </c>
      <c r="E7" s="10">
        <v>102406</v>
      </c>
      <c r="F7" s="10">
        <v>80013</v>
      </c>
      <c r="G7" s="10">
        <v>105501</v>
      </c>
      <c r="H7" s="10">
        <v>104892</v>
      </c>
      <c r="I7" s="10">
        <v>109392</v>
      </c>
      <c r="J7" s="10">
        <v>89407</v>
      </c>
      <c r="K7" s="10">
        <v>962</v>
      </c>
      <c r="L7" s="10">
        <v>1.7</v>
      </c>
      <c r="M7" s="10">
        <v>199763.79</v>
      </c>
      <c r="N7" s="10">
        <v>10509.350000000002</v>
      </c>
      <c r="O7" s="10">
        <v>120448.06</v>
      </c>
    </row>
    <row r="8" spans="2:15">
      <c r="B8" s="2">
        <v>43100</v>
      </c>
      <c r="C8" s="10">
        <v>250005.75</v>
      </c>
      <c r="D8" s="10">
        <v>101393</v>
      </c>
      <c r="E8" s="10">
        <v>102406</v>
      </c>
      <c r="F8" s="10">
        <v>80013</v>
      </c>
      <c r="G8" s="10">
        <v>105501</v>
      </c>
      <c r="H8" s="10">
        <v>104892</v>
      </c>
      <c r="I8" s="10">
        <v>109392</v>
      </c>
      <c r="J8" s="10">
        <v>89407</v>
      </c>
      <c r="K8" s="10">
        <v>962</v>
      </c>
      <c r="L8" s="10">
        <v>1.7</v>
      </c>
      <c r="M8" s="10">
        <v>199763.79</v>
      </c>
      <c r="N8" s="10">
        <v>10509.350000000002</v>
      </c>
      <c r="O8" s="10">
        <v>120448.06</v>
      </c>
    </row>
  </sheetData>
  <sortState ref="B4:B8">
    <sortCondition ref="B4:B8"/>
  </sortState>
  <phoneticPr fontId="3" type="noConversion"/>
  <pageMargins left="0.7" right="0.7" top="0.75" bottom="0.75" header="0.3" footer="0.3"/>
  <legacy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tlas>
  <Query type="ReportList" id="b534d5be-549e-4dd0-80e9-b9ebd9409ba0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QAAAAJEgAAAAc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wAAAAM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BAAAAAkSAAAAB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K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QAAAAJEgAAAAc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SW52ZW50VHJhbnMGHgAAABZJbnZlbnRvcnkgdHJhbnNhY3Rpb25zCQgAAAAJCAAAAAkIAAAABeD///8wR2xvYmVTb2Z0d2FyZS5BdGxhczQwLkF0bGFzQ29tbW9uLkRhdGFTb3VyY2VUeXBlAQAAAAd2YWx1ZV9fAAgCAAAAAAAAAAkhAAAACSIAAAAE3f///wtTeXN0ZW0uR3VpZAsAAAACX2ECX2ICX2MCX2QCX2UCX2YCX2cCX2gCX2kCX2oCX2sAAAAAAAAAAAAAAAgHBwICAgICAgICFTyOGdD+6kSsf9KRsu19iAkIAAAACQgAAAAJJQAAAAYmAAAAEVRhYmxlLkludmVudFRyYW5z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E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pUYWJsZS5JbnZlbnRUcmFucy5JdGVtSWR+VGFibGUuSW52ZW50VGFibGUJMQAAAAHO////1P///wYzAAAALVRhYmxlLkludmVudFRyYW5zLmludmVudERpbUlkflRhYmxlLkludmVudERpbQk0AAAAAcv////U////BjYAAAAwVGFibGUuSW52ZW50VHJhbnMuSXRlbUlkflRhYmxlLkludmVudFRhYmxlTW9kdWxlCTcAAAAHFAAAAAABAAAAEAAAAAQtR2xvYmVTb2Z0d2FyZS5BdGxhczQwLkF0bGFzQ29tbW9uLlR5cGUuQ29sdW1uAgAAAAk4AAAACTkAAAAJOgAAAAk7AAAACTwAAAAJPQAAAAk+AAAACT8AAAAJQAAAAAlBAAAACUIAAAAJQwAAAA0EERUAAAAEAAAABkQAAAANQXRsYXNSZXBvcnRfMQ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u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uf///7v///8GSAAAABFUYWJsZS5JbnZlbnRUYWJsZQkwAAAAAbb///+7////BksAAAAPVGFibGUuSW52ZW50RGltCTMAAAABs////7v///8GTgAAABdUYWJsZS5JbnZlbnRUYWJsZU1vZHVsZQk2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w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a////8+R2xvYmVTb2Z0d2FyZS5BdGxhczQwLkF0bGFzQ29tbW9uLlR5cGUuQXRsYXNRdWVyeUF0dHJpYnV0ZU5hbWUBAAAAB3ZhbHVlX18ACAIAAAACAAAABlIAAAAkYjUzNGQ1YmUtNTQ5ZS00ZGQwLTgwZTktYjllYmQ5NDA5YmEwAa3///+w////Aaz///+v////AAAAAAZVAAAABFRydWUBqv///7D///8Bqf///6////8LAAAABlgAAAAWSW52ZW50b3J5IHRyYW5zYWN0aW9ucwGn////sP///wGm////r////xsAAAAGWwAAAAVGYWxzZQGk////sP///wGj////r////wYAAAAJWwAAAAGi////sP///wGh////r////xwAAAAJVQAAAAGf////sP///wGe////r////x0AAAAJWwAAAAGc////sP///wGb////r////yoAAAAJVQAAAAGZ////sP///wGY////r////wEAAAAGaQAAAAMzNzEBlv///7D///8Blf///6////8nAAAABmwAAAALPURhdGFBcmVhSWQBk////7D///8Bkv///6////8ZAAAABm8AAAAPQ2VsbHNWZXJ0aWNhbGx5AZD///+w////AY////+v////CQAAAAoBjv///7D///8Bjf///6////8oAAAABnQAAAACMTIBi////7D///8Biv///6////8rAAAABnc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j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eQAAAAtJbnZlbnRUcmFucwEAAAABhv///4j///8GewAAAAtJbnZlbnRUYWJsZQEAAAABhP///4j///8GfQAAAAlJbnZlbnREaW0BAAAAAYL///+I////Bn8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YAAAAARAAAACYE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mDAAAAASUAAAAEAAAAAwAAAAmAAAAAAwAAAAmF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YAAAAAAAAAByoAAAAAAQAAAAAAAAAELUdsb2JlU29mdHdhcmUuQXRsYXM0MC5BdGxhc0NvbW1vbi5UeXBlLkNvbHVtbgIAAAABMQAAAA4AAAD/////BocAAAALSW52ZW50VGFibGUGiAAAAAVJdGVtcwkIAAAACQgAAAAJCAAAAAF2////4P///wAAAAAJiwAAAAmMAAAAAXP////d////L576Vc5y70iFsacY5v7v+AkIAAAACQgAAAAJjwAAAAkwAAAABpEAAAALSW52ZW50VHJhbnMGkgAAABFUYWJsZS5JbnZlbnRUcmFucwaTAAAAGFRhYmxlLkludmVudFRyYW5zLkl0ZW1JZAaUAAAABkl0ZW1JZAaVAAAABkl0ZW1JZAEAAAABav///9n///8AAAAAAWn////Y////AAAAAAAJmAAAAAE0AAAADgAAAP////8GmQAAAAlJbnZlbnREaW0GmgAAABRJbnZlbnRvcnkgZGltZW5zaW9ucwkIAAAACQgAAAAJCAAAAAFk////4P///wAAAAAJnQAAAAmeAAAAAWH////d////tZ+HK3dZVE6r/tX+tP97rQkIAAAACQgAAAAJoQAAAAkzAAAABqMAAAALSW52ZW50VHJhbnMGpAAAABFUYWJsZS5JbnZlbnRUcmFucwalAAAAHVRhYmxlLkludmVudFRyYW5zLmludmVudERpbUlkBqYAAAALaW52ZW50RGltSWQGpwAAAAtpbnZlbnREaW1JZAEAAAABWP///9n///8AAAAAAVf////Y////AAAAAAAJqgAAAAE3AAAADgAAAP////8GqwAAABFJbnZlbnRUYWJsZU1vZHVsZQasAAAAG0ludmVudG9yeSBtb2R1bGUgcGFyYW1ldGVycwkIAAAACQgAAAAJCAAAAAFS////4P///wAAAAAJrwAAAAmwAAAAAU/////d////OETacw7L9UO0tTC8uK0hrAkIAAAACQgAAAAJswAAAAk2AAAABrUAAAALSW52ZW50VHJhbnMGtgAAABFUYWJsZS5JbnZlbnRUcmFucwa3AAAAGFRhYmxlLkludmVudFRyYW5zLkl0ZW1JZAa4AAAABkl0ZW1JZAa5AAAABkl0ZW1JZAEAAAABRv///9n///8AAAAAAUX////Y////AAAAAAAJvAAAAAU4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9AAAACb4AAAAJvwAAAAbAAAAABkl0ZW1JZAbBAAAAC0l0ZW0gbnVtYmVyBsIAAAAGU3RyaW5nCQgAAAAGxAAAACQ2OWQyYjUzZS1lYWJjLTRhZTUtYTRjZi0yMWNkMTZkZmZmZGMFO////y1HbG9iZVNvZnR3YXJlLkF0bGFzNDAuQXRsYXNDb21tb24uQWdncmVnYXRpb24BAAAAB3ZhbHVlX18ACAIAAAD/////AAAAAAU6////LEdsb2JlU29mdHdhcmUuQXRsYXM0MC5BdGxhc0NvbW1vbi5Db2x1bW5UeXBlAQAAAAd2YWx1ZV9fAAgCAAAAAAAAAAU5////K0dsb2JlU29mdHdhcmUuQXRsYXM0MC5BdGxhc0NvbW1vbi5Tb3J0T3JkZXIBAAAAB3ZhbHVlX18ACAIAAAAAAAAAAAAAAAAFOP///0BHbG9iZVNvZnR3YXJlLkF0bGFzNDAuQXRsYXNDb21tb24uVHlwZS5Db2x1bW4rQ3Jvc3NUYWJDb2x1bW5UeXBlAQAAAAd2YWx1ZV9fAAgCAAAAAAAAAAoBAAAAAAAAAAAAAAAAAAbJAAAAJDM2ZGNiZjU2LTA1ZTItNDg4My04ZGVhLWEyZDllMjBlM2JkYgbKAAAAGFRhYmxlLkludmVudFRyYW5zLkl0ZW1JZAoKCgoBOQAAADgAAAAJywAAAAnMAAAACc0AAAAGzgAAAAhJdGVtTmFtZQbPAAAACUl0ZW0gbmFtZQbQAAAABlN0cmluZwkIAAAABtIAAAAkZDNlY2M2YWEtOTIyMy00ZTY3LTgwYTctNzA3YWEyNDFkOTM3AS3///87/////////wEAAAABLP///zr///8AAAAAASv///85////AgAAAAAAAAAAASr///84////AAAAAAoBAAAAAAAAAAABAAAAAAbXAAAAJGVkZjA3ZWY4LWYzZDYtNGRlMS04NTU1LWM5NzdiZGZmZjI0ZAbYAAAAM1RhYmxlLkludmVudFRyYW5zLkl0ZW1JZH5UYWJsZS5JbnZlbnRUYWJsZS5JdGVtTmFtZQoKCgoBOgAAADgAAAAJ2QAAAAnaAAAACdsAAAAG3AAAAAtJdGVtR3JvdXBJZAbdAAAACkl0ZW0gZ3JvdXAG3gAAAAZTdHJpbmcJCAAAAAbgAAAAJDgwYzZhZmYxLTczOGItNDBmMS04MWMzLWY2MDEwZmE3ZTU3NQEf////O/////////8CAAAAAR7///86////AAAAAAEd////Of///wIAAAAAAAAAAAEc////OP///wAAAAAKAQAAAAAAAAAAAgAAAAAG5QAAACQ0MmY2OTE2Ny00OTI2LTQ2OTEtYTg4My03ZTUxM2Q5Y2M4NDMG5gAAADZUYWJsZS5JbnZlbnRUcmFucy5JdGVtSWR+VGFibGUuSW52ZW50VGFibGUuSXRlbUdyb3VwSWQKCgoKATsAAAA4AAAACecAAAAJ6AAAAAnpAAAABuoAAAAQSW52ZW50TG9jYXRpb25JZAbrAAAACVdhcmVob3VzZQbsAAAABlN0cmluZwkIAAAABu4AAAAkYjRhODdmM2UtN2E1Mi00ODgxLTliNDEtMjUwYjFjYzRlMGM2ARH///87/////////wMAAAABEP///zr///8AAAAAAQ////85////AgAAAAAAAAAAAQ7///84////AAAAAAoBAAAAAAAAAAADAAAAAAbzAAAAJDZjYzhiNzA0LTIzNWQtNDBhZS05Mjc5LTYyYjNmOTIxZGRiMgb0AAAAPlRhYmxlLkludmVudFRyYW5zLmludmVudERpbUlkflRhYmxlLkludmVudERpbS5JbnZlbnRMb2NhdGlvbklkCgoKCgE8AAAAOAAAAAn1AAAACfYAAAAJ9wAAAAb4AAAACVRyYW5zVHlwZQb5AAAACVJlZmVyZW5jZQb6AAAABEVudW0JCAAAAAb8AAAAJDU2M2NmY2E2LWYyMGQtNDFjYy04NDJkLTMwNTBjMDg4ZDcwNAED////O/////////8EAAAAAQL///86////AAAAAAEB////Of///wIAAAAAAAAAAAEA////OP///wAAAAAKAQAAAAAAAAAABAAAAAAGAQEAACQ4ZjhjNzU2ZS03NzMxLTQ4NjItOGVjMC1kZGE0MDU5Yjc0OGIGAgEAABtUYWJsZS5JbnZlbnRUcmFucy5UcmFuc1R5cGUKCgoKAT0AAAA4AAAACQMBAAAJBAEAAAkFAQAABgYBAAAKVHJhbnNSZWZJZAYHAQAABk51bWJlcgYIAQAABlN0cmluZwkIAAAABgoBAAAkNzExOTlmY2EtMzQzNC00NDJlLWE1ZTEtMzIwMzFiNTFhOWE1AfX+//87/////////wUAAAAB9P7//zr///8AAAAAAfP+//85////AgAAAAAAAAAAAfL+//84////AAAAAAoBAAAAAAAAAAAFAAAAAAYPAQAAJGI2Yjc1ZmY4LTM4NDMtNDJiYS1iZWM4LThiMGY5NjBjNGQxZgYQAQAAHFRhYmxlLkludmVudFRyYW5zLlRyYW5zUmVmSWQKCgoKAT4AAAA4AAAACREBAAAJEgEAAAkTAQAABhQBAAAMRGF0ZVBoeXNpY2FsBhUBAAANUGh5c2ljYWwgZGF0ZQYWAQAABERhdGUJCAAAAAYYAQAAJDRkYzFkZDkyLTNkMGItNGM1OC05NmQxLTYwMmQzNDRiY2QzOAHn/v//O/////////8GAAAAAeb+//86////AAAAAAHl/v//Of///wAAAAAAAAAAAAHk/v//OP///wAAAAAKAQAAAAAAAAAABgAAAAAGHQEAACRkNmIyZTliZS1jZGVlLTQ0YjctYjFhZC0xYjk1YTY2MjNhMDQGHgEAAB5UYWJsZS5JbnZlbnRUcmFucy5EYXRlUGh5c2ljYWwKCgoKAT8AAAA4AAAACR8BAAAJIAEAAAkhAQAABiIBAAANRGF0ZUZpbmFuY2lhbAYjAQAADkZpbmFuY2lhbCBkYXRlBiQBAAAERGF0ZQkIAAAABiYBAAAkMTQxNmM4ZWMtNGU5Mi00M2Y5LWJjNmMtZjliOWMwZDdiODVjAdn+//87/////////wcAAAAB2P7//zr///8AAAAAAdf+//85////AgAAAAAAAAAAAdb+//84////AAAAAAoBAAAAAAAAAAAHAAAAAAYrAQAAJGFiMzc3M2EyLTBkNTAtNGRjMi1iMTM3LWQwZjI3NThhM2Y5NwYsAQAAH1RhYmxlLkludmVudFRyYW5zLkRhdGVGaW5hbmNpYWwKCgoKAUAAAAA4AAAACS0BAAAJLgEAAAkvAQAABjABAAANU3RhdHVzUmVjZWlwdAYxAQAADlJlY2VpcHQgc3RhdHVzBjIBAAAERW51bQkIAAAABjQBAAAkMzIwMjJmMGQtYjgyZC00M2RhLTlhYWEtMDRiM2MwZTBlMDYxAcv+//87/////////wgAAAAByv7//zr///8AAAAAAcn+//85////AgAAAAAAAAAAAcj+//84////AAAAAAoBAAAAAAAAAAAIAAAAAAY5AQAAJGRiNzdkODg0LTkzZGYtNDdlZS1iMzAyLWZmNGFlZWZlY2Y5NwY6AQAAH1RhYmxlLkludmVudFRyYW5zLlN0YXR1c1JlY2VpcHQKCgoKAUEAAAA4AAAACTsBAAAJPAEAAAk9AQAABj4BAAALU3RhdHVzSXNzdWUGPwEAAAxJc3N1ZSBzdGF0dXMGQAEAAARFbnVtCQgAAAAGQgEAACQ1ZWIwODZkZC1mM2M5LTQxZjUtYjlmZC1kOTFmYmYwODhmZTYBvf7//zv/////////CQAAAAG8/v//Ov///wAAAAABu/7//zn///8CAAAAAAAAAAABuv7//zj///8AAAAACgEAAAAAAAAAAAkAAAAABkcBAAAkOWRiNWEwMTAtZWI5Ni00ZjExLWEzZDgtMmIyY2ZiYTJiOTNjBkgBAAAdVGFibGUuSW52ZW50VHJhbnMuU3RhdHVzSXNzdWUKCgoKAUIAAAA4AAAACUkBAAAJSgEAAAlLAQAABkwBAAADUXR5Bk0BAAAIUXVhbnRpdHkGTgEAAARSZWFsCQgAAAAGUAEAACQyOTQyZmFmZi1lYTAyLTQ1MGEtODM5Mi00Y2FhZjY0MWRhMjABr/7//zv///8BAAAACgAAAAGu/v//Ov///wAAAAABrf7//zn///8CAAAAAAAAAAABrP7//zj///8AAAAACgEAAAAAAAAAAAoAAAAABlUBAAAkNDUwYmEzNjctMjU2ZS00MDg1LWFmMDUtMjczNzMzNzI0OWVmBlYBAAAVVGFibGUuSW52ZW50VHJhbnMuUXR5CgoKCgFDAAAAOAAAAAlXAQAACVgBAAAJWQEAAAZaAQAABlVuaXRJZAZbAQAABFVuaXQGXAEAAAZTdHJpbmcJCAAAAAZeAQAAJGRkYzViZjNiLWQ4Y2UtNGU0NC1hZGJlLTg1MzE2ZDhjYzNhNgGh/v//O/////////8LAAAAAaD+//86////AAAAAAGf/v//Of///wIAAAAAAAAAAAGe/v//OP///wAAAAAKAQAAAAAAAAAACwAAAAAGYwEAACQ4YTQzOGQ5YS01ODQ3LTRmYjYtODRmMS1iNmYxNmI4YTliOTMGZAEAADdUYWJsZS5JbnZlbnRUcmFucy5JdGVtSWR+VGFibGUuSW52ZW50VGFibGVNb2R1bGUuVW5pdElkCgoKCgGAAAAAEgAAAAeBAA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Sb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ZmAQAAGFRhYmxlLkludmVudFRyYW5zLkl0ZW1JZAlnAQAAAZj+//+b/v//BmkBAAAbVGFibGUuSW52ZW50VHJhbnMuVHJhbnNUeXBlCWoBAAABlf7//5v+//8GbAEAABxUYWJsZS5JbnZlbnRUcmFucy5UcmFuc1JlZklkCW0BAAABkv7//5v+//8GbwEAAB5UYWJsZS5JbnZlbnRUcmFucy5EYXRlUGh5c2ljYWwJcAEAAAGP/v//m/7//wZyAQAAH1RhYmxlLkludmVudFRyYW5zLkRhdGVGaW5hbmNpYWwJcwEAAAGM/v//m/7//wZ1AQAAH1RhYmxlLkludmVudFRyYW5zLlN0YXR1c1JlY2VpcHQJdgEAAAGJ/v//m/7//wZ4AQAAHVRhYmxlLkludmVudFRyYW5zLlN0YXR1c0lzc3VlCXkBAAABhv7//5v+//8GewEAABVUYWJsZS5JbnZlbnRUcmFucy5RdHkJfAEAAAeD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g/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Z+AQAAHlRhYmxlLkludmVudFRyYW5zLkRhdGVQaHlzaWNhbAl/AQAAB4UA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YD+///U////CTAAAAAJMQAAAAF9/v//1P///wkzAAAACTQAAAABev7//9T///8JNgAAAAk3AAAABIY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LAAAAIQAAAAIAAAAJiQEAAAMAAAAJigEAAAGMAAAAIgAAAAEAAAAJEgAAAAMAAAAJjAEAAAGPAAAABAAAAAIAAAAJiQEAAAMAAAAJjgEAAAGYAAAAKQAAAAAAAAAJjwEAAAAAAAABnQAAACEAAAABAAAACYkBAAADAAAACZEBAAAEn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h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iQEAAAAAAAABqgAAACkAAAAAAAAACY8BAAAAAAAAAa8AAAAhAAAAAQAAAAmVAQAAAwAAAAmWAQAAAbAAAAAiAAAAAQAAAAkSAAAAAwAAAAmYAQAABLM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VAQAAAAAAAAG8AAAAKQAAAAAAAAAJmgEAAAAAAAAEv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mwEAAAEAAAABAAAABL4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WQAAAAmcAQAABwAAAAmdAQAABL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eAQAABwAAAAmfAQAAAcsAAAC9AAAACaABAAABAAAAAQAAAAHMAAAAvgAAAEkAAAAJoQEAAAcAAAAJog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iQEAAAcAAAAJpAEAAAHZAAAAvQAAAAmlAQAAAQAAAAEAAAAB2gAAAL4AAAAfAAAACaYBAAAHAAAACacBAAAE2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agBAAAHAAAACakBAAAB5wAAAL0AAAAJqgEAAAEAAAABAAAAAegAAAC+AAAASQAAAAmhAQAABwAAAAmsAQAABO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mJAQAABwAAAAmuAQAAAfUAAAC9AAAACa8BAAABAAAAAQAAAAH2AAAAvgAAAFgAAAAJnAEAAAcAAAAJsQEAAAT3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ngEAAAcAAAAJswEAAAEDAQAAvQAAAAm0AQAAAQAAAAEAAAABBAEAAL4AAABYAAAACZwBAAAHAAAACbYBAAAEB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Z4BAAAHAAAACbgBAAABEQEAAL0AAAAJuQEAAAEAAAABAAAAARIBAAC+AAAAWAAAAAmcAQAABwAAAAm7AQAABB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eAQAABwAAAAm9AQAAAR8BAAC9AAAACb4BAAABAAAAAQAAAAEgAQAAvgAAAFgAAAAJnAEAAAcAAAAJwA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ngEAAAcAAAAJwgEAAAEtAQAAvQAAAAnDAQAAAQAAAAEAAAABLgEAAL4AAABYAAAACZwBAAAHAAAACcUBAAAEL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Z4BAAAHAAAACccBAAABOwEAAL0AAAAJyAEAAAEAAAABAAAAATwBAAC+AAAAWAAAAAmcAQAABwAAAAnKAQAABD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eAQAABwAAAAnMAQAAAUkBAAC9AAAACc0BAAABAAAAAQAAAAFKAQAAvgAAAFgAAAAJnAEAAAcAAAAJzwEAAAR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ngEAAAcAAAAJ0QEAAAFXAQAAvQAAAAnSAQAAAQAAAAEAAAABWAEAAL4AAABCAAAACdMBAAAHAAAACdQBAAAEW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ZUBAAAHAAAACdYBAAAFZw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Kf7//zv/////////AAbYAQAABlN0cmluZwbZAQAAC0l0ZW0gbnVtYmVyCdoBAAABJf7//zn///8AAAAABST+//85R2xvYmVTb2Z0d2FyZS5BdGxhczQwLkF0bGFzQ29tbW9uLk51bWJlclNlcXVlbmNlQ29uZGl0aW9uAQAAAAd2YWx1ZV9fAAgCAAAAAQAAAAAABt0BAAARVGFibGUuSW52ZW50VHJhbnMJwAAAAAkIAAAACv////8J3QEAAAoJwAAAAAoKCgkIAAAACeMBAAAJCAAAAAFqAQAAZwEAAAEb/v//O/////////8ABuYBAAAERW51bQbnAQAACVJlZmVyZW5jZQnaAQAAARf+//85////AgAAAAEW/v//JP7//wEAAAAAAAndAQAACfgAAAAJCAAAAAr/////Cd0BAAAKCfgAAAAKCgoJCAAAAAnxAQAACQgAAAABbQEAAGcBAAABDf7//zv/////////AAb0AQAABlN0cmluZwb1AQAABk51bWJlcgnaAQAAAQn+//85////AgAAAAEI/v//JP7//wEAAAAAAAndAQAACQYBAAAJCAAAAAr/////Cd0BAAAKCQYBAAAKCgoJCAAAAAn/AQAACQgAAAABcAEAAGcBAAAB//3//zv/////////AAYCAgAABERhdGUGAwIAAA1QaHlzaWNhbCBkYXRlCdoBAAAB+/3//zn///8AAAAAAfr9//8k/v//AQAAAAAACd0BAAAJFAEAAAkIAAAACv////8J3QEAAAoJFAEAAAoKCgkIAAAACQ0CAAAJCAAAAAFzAQAAZwEAAAHx/f//O/////////8ABhACAAAERGF0ZQYRAgAADkZpbmFuY2lhbCBkYXRlCdoBAAAB7f3//zn///8CAAAAAez9//8k/v//AQAAAAAACd0BAAAJIgEAAAkIAAAACv////8J3QEAAAoJIgEAAAoKCgkIAAAACRsCAAAJCAAAAAF2AQAAZwEAAAHj/f//O/////////8ABh4CAAAERW51bQYfAgAADlJlY2VpcHQgc3RhdHVzCdoBAAAB3/3//zn///8CAAAAAd79//8k/v//AQAAAAAACd0BAAAJMAEAAAkIAAAACv////8J3QEAAAoJMAEAAAoKCgkIAAAACSkCAAAJCAAAAAF5AQAAZwEAAAHV/f//O/////////8ABiwCAAAERW51bQYtAgAADElzc3VlIHN0YXR1cwnaAQAAAdH9//85////AgAAAAHQ/f//JP7//wEAAAAAAAndAQAACT4BAAAJCAAAAAr/////Cd0BAAAKCT4BAAAKCgoJCAAAAAk3AgAACQgAAAABfAEAAGcBAAABx/3//zv/////////AAY6AgAABFJlYWwGOwIAAAhRdWFudGl0eQnaAQAAAcP9//85////AgAAAAHC/f//JP7//wEAAAAAAAndAQAACUwBAAAJCAAAAAr/////Cd0BAAAKCUwBAAAKCgoJCAAAAAlFAgAACQgAAAAFfw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kcCAAARVGFibGUuSW52ZW50VHJhbnMGSAIAAAxEYXRlUGh5c2ljYWwJCAAAAAZKAgAAGDEyLjAxLjIwMTcgLi4gMTIuMzEuMjAxN/////8JRwIAAAoJSAIAAAoKCgkIAAAACU4CAAAJCAAAAAGJAQAAEgAAAAeKA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w/f//m/7//wZRAgAAM1RhYmxlLkludmVudFRyYW5zLkl0ZW1JZH5UYWJsZS5JbnZlbnRUYWJsZS5JdGVtTmFtZQlSAgAAAa39//+b/v//BlQCAAA2VGFibGUuSW52ZW50VHJhbnMuSXRlbUlkflRhYmxlLkludmVudFRhYmxlLkl0ZW1Hcm91cElkCVUCAAAHjA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ar9//+D/v//BlcCAAAzVGFibGUuSW52ZW50VHJhbnMuSXRlbUlkflRhYmxlLkludmVudFRhYmxlLkl0ZW1UeXBlCVgCAAAHjgEAAAABAAAAA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jwEAAIYAAAAHk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p/3//5v+//8GWgIAAD5UYWJsZS5JbnZlbnRUcmFucy5pbnZlbnREaW1JZH5UYWJsZS5JbnZlbnREaW0uSW52ZW50TG9jYXRpb25JZAlbAgAAAZUBAAASAAAAB5Y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T9//+b/v//Bl0CAAA3VGFibGUuSW52ZW50VHJhbnMuSXRlbUlkflRhYmxlLkludmVudFRhYmxlTW9kdWxlLlVuaXRJZAleAgAAB5g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h/f//g/7//wZgAgAAO1RhYmxlLkludmVudFRyYW5zLkl0ZW1JZH5UYWJsZS5JbnZlbnRUYWJsZU1vZHVsZS5Nb2R1bGVUeXBlCWECAAABmgEAAIYAAAAHmwEAAAABAAAABAAAAAQ3R2xvYmVTb2Z0d2FyZS5BdGxhczQwLkF0bGFzQ29tbW9uLlR5cGUuRmllbGRPdXRwdXRGaWVsZAIAAAAJZwEAAA0DBJw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50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d/f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Zz9//8yR2xvYmVTb2Z0d2FyZS5BdGxhczQwLkF0bGFzQ29tbW9uLkNvbHVtbkF0dHJpYnV0ZXMBAAAAB3ZhbHVlX18ACAIAAAAGAAAABmUCAAAFVG90YWwBmv3//539//8Bmf3//5z9//8QAAAABmgCAAAETm9uZQGX/f//nf3//wGW/f//nP3//wkAAAAJCAAAAAGU/f//nf3//wGT/f//nP3//wsAAAAGbgIAAAEwAZH9//+d/f//AZD9//+c/f//BAAAAAZxAgAAB0dlbmVyYWwBjv3//539//8Bjf3//5z9//8CAAAABnQCAAABMQGL/f//nf3//wGK/f//nP3//wAAAAAGdwIAAAUxMC40MwGeAQAAEgAAAAe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Ij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eQIAAAhGb250Qm9sZAZ6AgAABUZhbHNlAYX9//+I/f//BnwCAAAKRm9udEl0YWxpYwl6AgAAAYL9//+I/f//Bn8CAAANRm9udFVuZGVybGluZQaAAgAABS00MTQyAX/9//+I/f//BoICAAAIRm9udE5hbWUGgwIAAAdDYWxpYnJpAXz9//+I/f//BoUCAAAJRm9udENvbG9yBoYCAAABMAF5/f//iP3//waIAgAACEZvbnRTaXplBokCAAACMTEBdv3//4j9//8GiwIAAAlGb250U3R5bGUGjAIAAAdSZWd1bGFyB6ABAAAAAQAAAAQAAAAEN0dsb2JlU29mdHdhcmUuQXRsYXM0MC5BdGxhc0NvbW1vbi5UeXBlLkZpZWxkT3V0cHV0RmllbGQCAAAACVICAAANAwGhAQAAnAEAAAei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v3//539//8Bcf3//5z9//8JAAAACQgAAAABb/3//539//8Bbv3//5z9//8LAAAABpMCAAABMQFs/f//nf3//wFr/f//nP3//wQAAAAGlgIAAAdHZW5lcmFsAWn9//+d/f//AWj9//+c/f//AgAAAAaZAgAAATEBZv3//539//8BZf3//5z9//8AAAAABpwCAAACMjc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j/f//iP3//waeAgAACEZvbnRCb2xkCXoCAAABYP3//4j9//8GoQIAAApGb250SXRhbGljCXoCAAABXf3//4j9//8GpAIAAA1Gb250VW5kZXJsaW5lBqUCAAAFLTQxNDIBWv3//4j9//8GpwIAAAhGb250TmFtZQaoAgAAB0NhbGlicmkBV/3//4j9//8GqgIAAAlGb250Q29sb3IGqwIAAAEwAVT9//+I/f//Bq0CAAAIRm9udFNpemUGrgIAAAIxMQFR/f//iP3//wawAgAACUZvbnRTdHlsZQaxAgAAB1JlZ3VsYXIHpQEAAAABAAAABAAAAAQ3R2xvYmVTb2Z0d2FyZS5BdGxhczQwLkF0bGFzQ29tbW9uLlR5cGUuRmllbGRPdXRwdXRGaWVsZAIAAAAJVQIAAA0DAaYBAACcAQAAB6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N/f//nf3//wFM/f//nP3//wkAAAAJCAAAAAFK/f//nf3//wFJ/f//nP3//wsAAAAGuAIAAAEyAUf9//+d/f//AUb9//+c/f//BAAAAAa7AgAAB0dlbmVyYWwBRP3//539//8BQ/3//5z9//8CAAAABr4CAAABMQFB/f//nf3//wFA/f//nP3//wAAAAAGwQIAAAUxMi4yOQGoAQAAEgAAAAep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79//+I/f//BsMCAAAIRm9udEJvbGQJegIAAAE7/f//iP3//wbGAgAACkZvbnRJdGFsaWMJegIAAAE4/f//iP3//wbJAgAADUZvbnRVbmRlcmxpbmUGygIAAAUtNDE0MgE1/f//iP3//wbMAgAACEZvbnROYW1lBs0CAAAHQ2FsaWJyaQEy/f//iP3//wbPAgAACUZvbnRDb2xvcgbQAgAAATABL/3//4j9//8G0gIAAAhGb250U2l6ZQbTAgAAAjExASz9//+I/f//BtUCAAAJRm9udFN0eWxlBtYCAAAHUmVndWxhcgeqAQAAAAEAAAAEAAAABDdHbG9iZVNvZnR3YXJlLkF0bGFzNDAuQXRsYXNDb21tb24uVHlwZS5GaWVsZE91dHB1dEZpZWxkAgAAAAlbAgAADQMHr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j9//+d/f//ASf9//+c/f//CQAAAAkIAAAAASX9//+d/f//AST9//+c/f//CwAAAAbdAgAAATMBIv3//539//8BIf3//5z9//8EAAAABuACAAAHR2VuZXJhbAEf/f//nf3//wEe/f//nP3//wIAAAAG4wIAAAExARz9//+d/f//ARv9//+c/f//AAAAAAbmAgAABDUuMTQHr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f//iP3//wmeAgAACXoCAAABFv3//4j9//8JoQIAAAl6AgAAARP9//+I/f//CaQCAAAG7wIAAAUtNDE0MgEQ/f//iP3//wmnAgAABvICAAAHQ2FsaWJyaQEN/f//iP3//wmqAgAABvUCAAABMAEK/f//iP3//wmtAgAABvgCAAACMTEBB/3//4j9//8JsAIAAAb7AgAAB1JlZ3VsYXIHrwEAAAABAAAABAAAAAQ3R2xvYmVTb2Z0d2FyZS5BdGxhczQwLkF0bGFzQ29tbW9uLlR5cGUuRmllbGRPdXRwdXRGaWVsZAIAAAAJagEAAA0DB7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f//nf3//wEC/f//nP3//xAAAAAJaAIAAAEA/f//nf3//wH//P//nP3//wkAAAAJCAAAAAH9/P//nf3//wH8/P//nP3//wsAAAAGBQMAAAE0Afr8//+d/f//Afn8//+c/f//BAAAAAYIAwAAB0dlbmVyYWwB9/z//539//8B9vz//5z9//8CAAAABgsDAAABMQH0/P//nf3//wHz/P//nP3//wAAAAAGDgMAAAUxNC44Nge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8//+I/f//CXkCAAAJegIAAAHu/P//iP3//wl8AgAACXoCAAAB6/z//4j9//8JfwIAAAYXAwAABS00MTQyAej8//+I/f//CYICAAAGGgMAAAdDYWxpYnJpAeX8//+I/f//CYUCAAAGHQMAAAEwAeL8//+I/f//CYgCAAAGIAMAAAIxMQHf/P//iP3//wmLAgAABiMDAAAHUmVndWxhcge0AQAAAAEAAAAEAAAABDdHbG9iZVNvZnR3YXJlLkF0bGFzNDAuQXRsYXNDb21tb24uVHlwZS5GaWVsZE91dHB1dEZpZWxkAgAAAAltAQAADQMHt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8//+d/f//Adr8//+c/f//EAAAAAloAgAAAdj8//+d/f//Adf8//+c/f//CQAAAAkIAAAAAdX8//+d/f//AdT8//+c/f//CwAAAAYtAwAAATUB0vz//539//8B0fz//5z9//8EAAAABjADAAAHR2VuZXJhbAHP/P//nf3//wHO/P//nP3//wIAAAAGMwMAAAExAcz8//+d/f//Acv8//+c/f//AAAAAAY2AwAABTE0LjQzB7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z//4j9//8JeQIAAAl6AgAAAcb8//+I/f//CXwCAAAJegIAAAHD/P//iP3//wl/AgAABj8DAAAFLTQxNDIBwPz//4j9//8JggIAAAZCAwAAB0NhbGlicmkBvfz//4j9//8JhQIAAAZFAwAAATABuvz//4j9//8JiAIAAAZIAwAAAjExAbf8//+I/f//CYsCAAAGSwMAAAdSZWd1bGFyB7kBAAAAAQAAAAQAAAAEN0dsb2JlU29mdHdhcmUuQXRsYXM0MC5BdGxhc0NvbW1vbi5UeXBlLkZpZWxkT3V0cHV0RmllbGQCAAAACXABAAANAwe7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/z//539//8Bsvz//5z9//8QAAAACWgCAAABsPz//539//8Br/z//5z9//8JAAAACQgAAAABrfz//539//8BrPz//5z9//8LAAAABlUDAAABNgGq/P//nf3//wGp/P//nP3//wQAAAAGWAMAAAhtL2QveXl5eQGn/P//nf3//wGm/P//nP3//wIAAAAGWwMAAAExAaT8//+d/f//AaP8//+c/f//AAAAAAZeAwAABTE0LjE0B70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z//4j9//8JeQIAAAl6AgAAAZ78//+I/f//CXwCAAAJegIAAAGb/P//iP3//wl/AgAABmcDAAAFLTQxNDIBmPz//4j9//8JggIAAAZqAwAAB0NhbGlicmkBlfz//4j9//8JhQIAAAZtAwAAATABkvz//4j9//8JiAIAAAZwAwAAAjExAY/8//+I/f//CYsCAAAGcwMAAAdSZWd1bGFyB74BAAAAAQAAAAQAAAAEN0dsb2JlU29mdHdhcmUuQXRsYXM0MC5BdGxhc0NvbW1vbi5UeXBlLkZpZWxkT3V0cHV0RmllbGQCAAAACXMBAAANAwf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z//539//8Bivz//5z9//8QAAAACWgCAAABiPz//539//8Bh/z//5z9//8JAAAACQgAAAABhfz//539//8BhPz//5z9//8LAAAABn0DAAABNwGC/P//nf3//wGB/P//nP3//wQAAAAGgAMAAAhtL2QveXl5eQF//P//nf3//wF+/P//nP3//wIAAAAGgwMAAAExAXz8//+d/f//AXv8//+c/f//AAAAAAaGAwAAAjE1B8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z//4j9//8JeQIAAAl6AgAAAXb8//+I/f//CXwCAAAJegIAAAFz/P//iP3//wl/AgAABo8DAAAFLTQxNDIBcPz//4j9//8JggIAAAaSAwAAB0NhbGlicmkBbfz//4j9//8JhQIAAAaVAwAAATABavz//4j9//8JiAIAAAaYAwAAAjExAWf8//+I/f//CYsCAAAGmwMAAAdSZWd1bGFyB8MBAAAAAQAAAAQAAAAEN0dsb2JlU29mdHdhcmUuQXRsYXM0MC5BdGxhc0NvbW1vbi5UeXBlLkZpZWxkT3V0cHV0RmllbGQCAAAACXYBAAANAwf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/z//539//8BYvz//5z9//8QAAAACWgCAAABYPz//539//8BX/z//5z9//8JAAAACQgAAAABXfz//539//8BXPz//5z9//8LAAAABqUDAAABOAFa/P//nf3//wFZ/P//nP3//wQAAAAGqAMAAAdHZW5lcmFsAVf8//+d/f//AVb8//+c/f//AgAAAAarAwAAATEBVPz//539//8BU/z//5z9//8AAAAABq4DAAAFMTUuMTQHx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/P//iP3//wl5AgAACXoCAAABTvz//4j9//8JfAIAAAl6AgAAAUv8//+I/f//CX8CAAAGtwMAAAUtNDE0MgFI/P//iP3//wmCAgAABroDAAAHQ2FsaWJyaQFF/P//iP3//wmFAgAABr0DAAABMAFC/P//iP3//wmIAgAABsADAAACMTEBP/z//4j9//8JiwIAAAbDAwAAB1JlZ3VsYXIHyAEAAAABAAAABAAAAAQ3R2xvYmVTb2Z0d2FyZS5BdGxhczQwLkF0bGFzQ29tbW9uLlR5cGUuRmllbGRPdXRwdXRGaWVsZAIAAAAJeQEAAA0DB8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7/P//nf3//wE6/P//nP3//xAAAAAJaAIAAAE4/P//nf3//wE3/P//nP3//wkAAAAJCAAAAAE1/P//nf3//wE0/P//nP3//wsAAAAGzQMAAAE5ATL8//+d/f//ATH8//+c/f//BAAAAAbQAwAAB0dlbmVyYWwBL/z//539//8BLvz//5z9//8CAAAABtMDAAABMQEs/P//nf3//wEr/P//nP3//wAAAAAG1gMAAAUxMi44Ngf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8//+I/f//CXkCAAAJegIAAAEm/P//iP3//wl8AgAACXoCAAABI/z//4j9//8JfwIAAAbfAwAABS00MTQyASD8//+I/f//CYICAAAG4gMAAAdDYWxpYnJpAR38//+I/f//CYUCAAAG5QMAAAEwARr8//+I/f//CYgCAAAG6AMAAAIxMQEX/P//iP3//wmLAgAABusDAAAHUmVndWxhcgfNAQAAAAEAAAAEAAAABDdHbG9iZVNvZnR3YXJlLkF0bGFzNDAuQXRsYXNDb21tb24uVHlwZS5GaWVsZE91dHB1dEZpZWxkAgAAAAl8AQAADQMHz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P8//+d/f//ARL8//+c/f//EAAAAAloAgAAARD8//+d/f//AQ/8//+c/f//CQAAAAkIAAAAAQ38//+d/f//AQz8//+c/f//CwAAAAb1AwAAAjEwAQr8//+d/f//AQn8//+c/f//BAAAAAb4AwAAB0dlbmVyYWwBB/z//539//8BBvz//5z9//8CAAAABvsDAAABMQEE/P//nf3//wED/P//nP3//wAAAAAG/gMAAAUxMC4yOQfR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H8//+I/f//CXkCAAAJegIAAAH++///iP3//wl8AgAACXoCAAAB+/v//4j9//8JfwIAAAYHBAAABS00MTQyAfj7//+I/f//CYICAAAGCgQAAAdDYWxpYnJpAfX7//+I/f//CYUCAAAGDQQAAAEwAfL7//+I/f//CYgCAAAGEAQAAAIxMQHv+///iP3//wmLAgAABhMEAAAHUmVndWxhcgfSAQAAAAEAAAAEAAAABDdHbG9iZVNvZnR3YXJlLkF0bGFzNDAuQXRsYXNDb21tb24uVHlwZS5GaWVsZE91dHB1dEZpZWxkAgAAAAleAgAADQMB0wEAAJwBAAAH1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v7//+d/f//Aer7//+c/f//CQAAAAkIAAAAAej7//+d/f//Aef7//+c/f//CwAAAAYaBAAAAjExAeX7//+d/f//AeT7//+c/f//BAAAAAYdBAAAB0dlbmVyYWwB4vv//539//8B4fv//5z9//8CAAAABiAEAAABMQHf+///nf3//wHe+///nP3//wAAAAAGIwQAAAQ2LjQzB9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Pv//4j9//8JngIAAAl6AgAAAdn7//+I/f//CaECAAAJegIAAAHW+///iP3//wmkAgAABiwEAAAFLTQxNDIB0/v//4j9//8JpwIAAAYvBAAAB0NhbGlicmkB0Pv//4j9//8JqgIAAAYyBAAAATABzfv//4j9//8JrQIAAAY1BAAAAjExAcr7//+I/f//CbACAAAGOAQAAAdSZWd1bGFyAdoBAAAOAAAAsQAAAAY5BAAAC0ludmVudFRyYW5zBjoEAAAWSW52ZW50b3J5IHRyYW5zYWN0aW9ucwkIAAAACQgAAAAJCAAAAAHE+///4P///wAAAAAJPQQAAAk+BAAAAcH7///d////7hXKqvIqsEWe8RFJ8HNfSgkIAAAACQgAAAAJQQQAAAndAQAACgoKCgoBAAAAAb37///Z////AAAAAAG8+///2P///wAAAAAACUUEAAAE4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UcEAAAE8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UkEAAAE/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UsEAAAED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U0EAAAEG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U8EAAAEK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VEEAAAEN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VMEAAAER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4BAAADAAAACVUEAAAET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VYEAAADAAAACVcEAAABUgIAAGcBAAABqPv//zv/////////AAZZBAAABlN0cmluZwZaBAAACUl0ZW0gbmFtZQkxAAAAAaT7//85////AgAAAAGj+///JP7//wEAAAAAAAkwAAAACc4AAAAJCAAAAAr/////CTAAAAAKCc4AAAAGYwQAAAZJdGVtSWQGZAQAAAtJbnZlbnRUcmFucwoJCAAAAAlmBAAACQgAAAABVQIAAGcBAAABmPv//zv/////////AAZpBAAABlN0cmluZwZqBAAACkl0ZW0gZ3JvdXAJMQAAAAGU+///Of///wIAAAABk/v//yT+//8BAAAAAAAJMAAAAAncAAAACQgAAAAK/////wkwAAAACgncAAAABnMEAAAGSXRlbUlkBnQEAAALSW52ZW50VHJhbnMKCQgAAAAJdgQAAAkIAAAAAVgCAAB/AQAACTAAAAAGeQQAAAhJdGVtVHlwZQkIAAAABnsEAAAIIVNlcnZpY2X/////CTAAAAAGfQQAAAtJbnZlbnRUYWJsZQl5BAAABn8EAAAGSXRlbUlkCgoJCAAAAAmBBAAACQgAAAABWwIAAGcBAAABffv//zv/////////AAaEBAAABlN0cmluZwaFBAAACVdhcmVob3VzZQk0AAAAAXn7//85////AgAAAAF4+///JP7//wEAAAAAAAkzAAAACeoAAAAJCAAAAAr/////CTMAAAAKCeoAAAAGjgQAAAtpbnZlbnREaW1JZAaPBAAAC0ludmVudFRyYW5zCgkIAAAACZEEAAAJCAAAAAFeAgAAZwEAAAFt+///O/////////8ABpQEAAAGU3RyaW5nBpUEAAAEVW5pdAk3AAAAAWn7//85////AgAAAAFo+///JP7//wEAAAAAAAk2AAAACVoBAAAJCAAAAAr/////CTYAAAAKCVoBAAAGngQAAAZJdGVtSWQGnwQAAAtJbnZlbnRUcmFucwoJCAAAAAmhBAAACQgAAAABYQIAAH8BAAAJNgAAAAakBAAACk1vZHVsZVR5cGUJCAAAAAamBAAABkludmVudP////8JNgAAAAoJpAQAAAapBAAABkl0ZW1JZAoKCQgAAAAJqwQAAAkIAAAAAT0EAAAhAAAACgAAAAmtBAAAEQAAAAmuBAAAAT4EAAAiAAAACAAAAAmeAQAAEQAAAAmwBAAABEE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tBAAAAAAAAAFFBAAAKQAAAAAAAAAJsgQAAAAAAAAHR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+///iP3//wa0BAAACEhlbHBUZXh0BrUEAAAOSWRlbnRpZnkgaXRlbS4BSvv//4j9//8GtwQAAAVMYWJlbAnZAQAAAUf7//+I/f//BroEAAAEVHlwZQnYAQAAB0k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Pv//4j9//8JtAQAAAa+BAAAMlNwZWNpZnkgdGhlIG1vZHVsZSB0aGF0IGdlbmVyYXRlZCB0aGUgdHJhbnNhY3Rpb24uAUH7//+I/f//CbcEAAAJ5wEAAAE++///iP3//wm6BAAACeYBAAAHS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7+///iP3//wm0BAAABscEAAA1T3JkZXIgbnVtYmVyLCBwcm9qZWN0IG51bWJlciwgcHJvZHVjdGlvbiBudW1iZXIsIGV0Yy4BOPv//4j9//8JtwQAAAn1AQAAATX7//+I/f//CboEAAAJ9AEAAAdN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7//+I/f//CbQEAAAG0AQAABxEYXRlIG9mIHBoeXNpY2FsIHRyYW5zYWN0aW9uAS/7//+I/f//CbcEAAAJAwIAAAEs+///iP3//wm6BAAACQICAAAHT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+///iP3//wm0BAAABtkEAAAdRGF0ZSBvZiBmaW5hbmNpYWwgdHJhbnNhY3Rpb24BJvv//4j9//8JtwQAAAkRAgAAASP7//+I/f//CboEAAAJEAIAAAdR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D7//+I/f//CbQEAAAG4gQAAClTdGF0dXMgb2YgcXVhbnRpdHkgaW4gcmVsYXRpb24gdG8gcmVjZWlwdAEd+///iP3//wm3BAAACR8CAAABGvv//4j9//8JugQAAAkeAgAAB1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/v//4j9//8JtAQAAAbrBAAAKVN0YXR1cyBmb3IgcXVhbnRpdHkgaW4gcmVsYXRpb24gdG8gaXNzdWVzART7//+I/f//CbcEAAAJLQIAAAER+///iP3//wm6BAAACSwCAAAHV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O+///iP3//wm0BAAABvQEAAAkUXVhbnRpdHkgYXR0YWNoZWQgdG8gdGhlIHRyYW5zYWN0aW9uAQv7//+I/f//CbcEAAAJOwIAAAEI+///iP3//wm6BAAACToCAAABVgQAABIAAAAHV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F+///iP3//wb8BAAABFR5cGUJAgIAAAEC+///iP3//wb/BAAABUxhYmVsCQMCAAAB//r//4j9//8GAgUAAAhSZWZlcnNUbwYDBQAACj1EYXRlUmFuZ2UEZ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YkBAAADAAAACQUFAAAEd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agBAAADAAAACQcFAAAEg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VYEAAADAAAACQkFAAAEk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YkBAAADAAAACQsFAAAEo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ZUBAAADAAAACQ0FAAAEq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VYEAAADAAAACQ8FAAABrQQAABIAAAAHrgQ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8Pr//5v+//8GEQUAABhUYWJsZS5JbnZlbnRUcmFucy5JdGVtSWQJZwEAAAHt+v//m/7//wYUBQAAH1RhYmxlLkludmVudFRyYW5zLkludmVudFRyYW5zSWQJFQUAAAHq+v//m/7//wYXBQAAG1RhYmxlLkludmVudFRyYW5zLlRyYW5zVHlwZQlqAQAAAef6//+b/v//BhoFAAAcVGFibGUuSW52ZW50VHJhbnMuVHJhbnNSZWZJZAltAQAAAeT6//+b/v//Bh0FAAAeVGFibGUuSW52ZW50VHJhbnMuRGF0ZVBoeXNpY2FsCXABAAAB4fr//5v+//8GIAUAAB9UYWJsZS5JbnZlbnRUcmFucy5EYXRlRmluYW5jaWFsCXMBAAAB3vr//5v+//8GIwUAAB9UYWJsZS5JbnZlbnRUcmFucy5TdGF0dXNSZWNlaXB0CXYBAAAB2/r//5v+//8GJgUAAB1UYWJsZS5JbnZlbnRUcmFucy5TdGF0dXNJc3N1ZQl5AQAAAdj6//+b/v//BikFAAAVVGFibGUuSW52ZW50VHJhbnMuUXR5CXwBAAAB1fr//5v+//8GLAUAACJUYWJsZS5JbnZlbnRUcmFucy5Db3N0QW1vdW50UG9zdGVkCS0FAAAHsAQAAAABAAAAC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dL6//+D/v//Bi8FAAAfVGFibGUuSW52ZW50VHJhbnMuRGF0ZUZpbmFuY2lhbAkwBQAAAc/6//+D/v//BjIFAAAdVGFibGUuSW52ZW50VHJhbnMuU3RhdHVzSXNzdWUJMwUAAAHM+v//g/7//wY1BQAAGFRhYmxlLkludmVudFRyYW5zLkl0ZW1JZAk2BQAAAcn6//+D/v//BjgFAAAfVGFibGUuSW52ZW50VHJhbnMuSW52ZW50VHJhbnNJZAk5BQAAAcb6//+D/v//BjsFAAAcVGFibGUuSW52ZW50VHJhbnMuVHJhbnNSZWZJZAk8BQAAAcP6//+D/v//Bj4FAAAeVGFibGUuSW52ZW50VHJhbnMuRGF0ZVBoeXNpY2FsCT8FAAABwPr//4P+//8GQQUAAB9UYWJsZS5JbnZlbnRUcmFucy5TdGF0dXNSZWNlaXB0CUIFAAABvfr//4P+//8GRAUAABtUYWJsZS5JbnZlbnRUcmFucy5UcmFuc1R5cGUJRQUAAAGyBAAAhgAAAAcF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r6//+I/f//BkcFAAAFTGFiZWwJWgQAAAG3+v//iP3//wZKBQAABFR5cGUJWQQAAAcH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T6//+I/f//Bk0FAAAFTGFiZWwJagQAAAGx+v//iP3//wZQBQAABFR5cGUJaQQAAAcJ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76//+I/f//CfwEAAAGVAUAAARFbnVtAav6//+I/f//Cf8EAAAGVwUAAAlJdGVtIHR5cGUHC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+v//iP3//wlHBQAACYUEAAABpfr//4j9//8JSgUAAAmEBAAABw0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r//4j9//8GXwUAAAVMYWJlbAmVBAAAAZ/6//+I/f//BmIFAAAEVHlwZQmUBAAABw8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r//4j9//8J/AQAAAZmBQAABEVudW0Bmfr//4j9//8J/wQAAAZpBQAAC01vZHVsZSB0eXBlARUFAABnAQAAAZb6//87/////////wAGawUAAAZTdHJpbmcGbAUAAAZMb3QgSUQJ2gEAAAGS+v//Of///wIAAAABkfr//yT+//8BAAAAAAAJ3QEAAAZxBQAADUludmVudFRyYW5zSWQJCAAAAAr/////Cd0BAAAKCXEFAAAKCgoJCAAAAAl2BQAACQgAAAABLQUAAGcBAAABiPr//zv/////////AAZ5BQAABFJlYWwGegUAABVGaW5hbmNpYWwgY29zdCBhbW91bnQJ2gEAAAGE+v//Of///wIAAAABg/r//yT+//8BAAAAAAAJ3QEAAAZ/BQAAEENvc3RBbW91bnRQb3N0ZWQJCAAAAAr/////Cd0BAAAKCX8FAAAKCgoJCAAAAAmEBQAACQgAAAABMAUAAH8BAAAJ3QEAAAaHBQAADURhdGVGaW5hbmNpYWwJCAAAAAkIAAAA/////wndAQAACgmHBQAACgoKCQgAAAAJjAUAAAkIAAAAATMFAAB/AQAACd0BAAAGjwUAAAtTdGF0dXNJc3N1ZQkIAAAACQgAAAD/////Cd0BAAAKCY8FAAAKCgoJCAAAAAmUBQAACQgAAAABNgUAAH8BAAAJ3QEAAAaXBQAABkl0ZW1JZAkIAAAACQgAAAD/////Cd0BAAAKCZcFAAAKCgoJCAAAAAmcBQAACQgAAAABOQUAAH8BAAAJ3QEAAAafBQAADUludmVudFRyYW5zSWQJCAAAAAkIAAAA/////wndAQAACgmfBQAACgoKCQgAAAAJpAUAAAkIAAAAATwFAAB/AQAACd0BAAAGpwUAAApUcmFuc1JlZklkCQgAAAAJCAAAAP////8J3QEAAAoJpwUAAAoKCgkIAAAACawFAAAJCAAAAAE/BQAAfwEAAAndAQAACUgCAAAJCAAAAAaxBQAAGDAxLjAxLjIwMTcgLi4gMTIuMzEuMjAxN/////8J3QEAAAoJSAIAAAoKCgkIAAAACbUFAAAJCAAAAAFCBQAAfwEAAAndAQAABrgFAAANU3RhdHVzUmVjZWlwdAkIAAAACQgAAAD/////Cd0BAAAKCbgFAAAKCgoJCAAAAAm9BQAACQgAAAABRQUAAH8BAAAJ3QEAAAbABQAACVRyYW5zVHlwZQkIAAAABsIFAAATUHJvZHVjdGlvbixQcm9kTGluZf////8J3QEAAAbEBQAAC0ludmVudFRyYW5zCcAFAAAKCgoJCAAAAAnHBQAACQgAAAAEdg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zAAAACZ4BAAADAAAACcoFAAAEh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Z4BAAADAAAACcwFAAAEj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Z4BAAADAAAACc4FAAAEl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Z4BAAADAAAACdAFAAAEn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Z4BAAADAAAACdIFAAAEp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Z4BAAADAAAACdQFAAAEr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Z4BAAADAAAACdYFAAAEt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Z4BAAADAAAACdgFAAAEv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Z4BAAADAAAACdoFAAAExw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Z4BAAADAAAACdwFAAAHy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j+v//iP3//wm0BAAABt8FAABSU3VtbWFyeSBudW1iZXIvTG90IElEIGZvciB0cmFuc2FjdGlvbnMgYXR0YWNoZWQgdG8gdGhlIHNhbWUgaW52ZW50b3J5IHRyYW5zYWN0aW9uLgEg+v//iP3//wm3BAAACWwFAAABHfr//4j9//8JugQAAAlrBQAAB8w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r//4j9//8JtAQAAAboBQAANUludmVudG9yeSB2YWx1ZSBmb3IgdGhlIGZpbmFuY2lhbGx5IHVwZGF0ZWQgcXVhbnRpdHkuARf6//+I/f//CbcEAAAJegUAAAEU+v//iP3//wm6BAAACXkFAAAHz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+v//iP3//wm6BAAABvEFAAAERGF0ZQEO+v//iP3//wm3BAAABvQFAAAORmluYW5jaWFsIGRhdGUH0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L+v//iP3//wm6BAAABvcFAAAERW51bQEI+v//iP3//wm3BAAABvoFAAAMSXNzdWUgc3RhdHVzB9I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r//4j9//8JugQAAAb9BQAABlN0cmluZwEC+v//iP3//wm3BAAABgAGAAALSXRlbSBudW1iZXIH1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/+f//iP3//wm6BAAABgMGAAAGU3RyaW5nAfz5//+I/f//CbcEAAAGBgYAAAZMb3QgSUQH1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5+f//iP3//wm6BAAABgkGAAAGU3RyaW5nAfb5//+I/f//CbcEAAAGDAYAAAZOdW1iZXIH2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+f//iP3//wm6BAAABg8GAAAERGF0ZQHw+f//iP3//wm3BAAABhIGAAANUGh5c2ljYWwgZGF0ZQHt+f//iP3//wYUBgAACFJlZmVyc1RvCQMFAAAH2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+f//iP3//wm6BAAABhgGAAAERW51bQHn+f//iP3//wm3BAAABhsGAAAOUmVjZWlwdCBzdGF0dXMH3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+f//iP3//wm6BAAABh4GAAAERW51bQHh+f//iP3//wm3BAAABiEGAAAJUmVmZXJlbmNlCw==
    <Output>
      <OutputObject name="AtlasReport_1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MAAAAD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DQQMIA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gAAAACAIAAAAGIQAAABVBdGxhc1JlcG9ydF8xX1RhYmxlXzEJIg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IAAAAAgICSMAAAAEAAAABA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kAAAACSUAAAAJJgAAAAYnAAAABkl0ZW1JZAYoAAAAC0l0ZW0gbnVtYmVyBikAAAAGU3RyaW5nBioAAAAABisAAAAkNjlkMmI1M2UtZWFiYy00YWU1LWE0Y2YtMjFjZDE2ZGZmZmRjBdT///8tR2xvYmVTb2Z0d2FyZS5BdGxhczQwLkF0bGFzQ29tbW9uLkFnZ3JlZ2F0aW9uAQAAAAd2YWx1ZV9fAAgOAAAA/////wAAAAAF0////yxHbG9iZVNvZnR3YXJlLkF0bGFzNDAuQXRsYXNDb21tb24uQ29sdW1uVHlwZQEAAAAHdmFsdWVfXwAIDgAAAAAAAAAF0v///ytHbG9iZVNvZnR3YXJlLkF0bGFzNDAuQXRsYXNDb21tb24uU29ydE9yZGVyAQAAAAd2YWx1ZV9fAAgOAAAAAAAAAAAAAAAABdH///9AR2xvYmVTb2Z0d2FyZS5BdGxhczQwLkF0bGFzQ29tbW9uLlR5cGUuQ29sdW1uK0Nyb3NzVGFiQ29sdW1uVHlwZQEAAAAHdmFsdWVfXwAIDgAAAAAAAAAKAQAAAAAAAAAAAAAAAAAGMAAAACQzNmRjYmY1Ni0wNWUyLTQ4ODMtOGRlYS1hMmQ5ZTIwZTNiZGIGMQAAABhUYWJsZS5JbnZlbnRUcmFucy5JdGVtSWQKCgoKARUAAAAUAAAACTIAAAAJMwAAAAk0AAAABjUAAAAISXRlbU5hbWUGNgAAAAlJdGVtIG5hbWUGNwAAAAZTdHJpbmcJKgAAAAY5AAAAJGQzZWNjNmFhLTkyMjMtNGU2Ny04MGE3LTcwN2FhMjQxZDkzNwHG////1P////////8BAAAAAcX////T////AAAAAAHE////0v///wIAAAAAAAAAAAHD////0f///wAAAAAKAQAAAAAAAAAAAQAAAAAGPgAAACRlZGYwN2VmOC1mM2Q2LTRkZTEtODU1NS1jOTc3YmRmZmYyNGQGPwAAADNUYWJsZS5JbnZlbnRUcmFucy5JdGVtSWR+VGFibGUuSW52ZW50VGFibGUuSXRlbU5hbWUKCgoKARYAAAAUAAAACUAAAAAJQQAAAAlCAAAABkMAAAALSXRlbUdyb3VwSWQGRAAAAApJdGVtIGdyb3VwBkUAAAAGU3RyaW5nCSoAAAAGRwAAACQ4MGM2YWZmMS03MzhiLTQwZjEtODFjMy1mNjAxMGZhN2U1NzUBuP///9T/////////AgAAAAG3////0////wAAAAABtv///9L///8CAAAAAAAAAAABtf///9H///8AAAAACgEAAAAAAAAAAAIAAAAABkwAAAAkNDJmNjkxNjctNDkyNi00NjkxLWE4ODMtN2U1MTNkOWNjODQzBk0AAAA2VGFibGUuSW52ZW50VHJhbnMuSXRlbUlkflRhYmxlLkludmVudFRhYmxlLkl0ZW1Hcm91cElkCgoKCgEXAAAAFAAAAAlOAAAACU8AAAAJUAAAAAZRAAAAEEludmVudExvY2F0aW9uSWQGUgAAAAlXYXJlaG91c2UGUwAAAAZTdHJpbmcJKgAAAAZVAAAAJGI0YTg3ZjNlLTdhNTItNDg4MS05YjQxLTI1MGIxY2M0ZTBjNgGq////1P////////8DAAAAAan////T////AAAAAAGo////0v///wIAAAAAAAAAAAGn////0f///wAAAAAKAQAAAAAAAAAAAwAAAAAGWgAAACQ2Y2M4YjcwNC0yMzVkLTQwYWUtOTI3OS02MmIzZjkyMWRkYjIGWwAAAD5UYWJsZS5JbnZlbnRUcmFucy5pbnZlbnREaW1JZH5UYWJsZS5JbnZlbnREaW0uSW52ZW50TG9jYXRpb25JZAoKCgoBGAAAABQAAAAJXAAAAAldAAAACV4AAAAGXwAAAAlUcmFuc1R5cGUGYAAAAAlSZWZlcmVuY2UGYQAAAARFbnVtCSoAAAAGYwAAACQ1NjNjZmNhNi1mMjBkLTQxY2MtODQyZC0zMDUwYzA4OGQ3MDQBnP///9T/////////BAAAAAGb////0////wAAAAABmv///9L///8CAAAAAAAAAAABmf///9H///8AAAAACgEAAAAAAAAAAAQAAAAABmgAAAAkOGY4Yzc1NmUtNzczMS00ODYyLThlYzAtZGRhNDA1OWI3NDhiBmkAAAAbVGFibGUuSW52ZW50VHJhbnMuVHJhbnNUeXBlCgoKCgEZAAAAFAAAAAlqAAAACWsAAAAJbAAAAAZtAAAAClRyYW5zUmVmSWQGbgAAAAZOdW1iZXIGbwAAAAZTdHJpbmcJKgAAAAZxAAAAJDcxMTk5ZmNhLTM0MzQtNDQyZS1hNWUxLTMyMDMxYjUxYTlhNQGO////1P////////8FAAAAAY3////T////AAAAAAGM////0v///wIAAAAAAAAAAAGL////0f///wAAAAAKAQAAAAAAAAAABQAAAAAGdgAAACRiNmI3NWZmOC0zODQzLTQyYmEtYmVjOC04YjBmOTYwYzRkMWYGdwAAABxUYWJsZS5JbnZlbnRUcmFucy5UcmFuc1JlZklkCgoKCgEaAAAAFAAAAAl4AAAACXkAAAAJegAAAAZ7AAAADERhdGVQaHlzaWNhbAZ8AAAADVBoeXNpY2FsIGRhdGUGfQAAAAREYXRlCSoAAAAGfwAAACQ0ZGMxZGQ5Mi0zZDBiLTRjNTgtOTZkMS02MDJkMzQ0YmNkMzgBgP///9T/////////BgAAAAF/////0////wAAAAABfv///9L///8AAAAAAAAAAAABff///9H///8AAAAACgEAAAAAAAAAAAYAAAAABoQAAAAkZDZiMmU5YmUtY2RlZS00NGI3LWIxYWQtMWI5NWE2NjIzYTA0BoUAAAAeVGFibGUuSW52ZW50VHJhbnMuRGF0ZVBoeXNpY2FsCgoKCgEbAAAAFAAAAAmGAAAACYcAAAAJiAAAAAaJAAAADURhdGVGaW5hbmNpYWwGigAAAA5GaW5hbmNpYWwgZGF0ZQaLAAAABERhdGUJKgAAAAaNAAAAJDE0MTZjOGVjLTRlOTItNDNmOS1iYzZjLWY5YjljMGQ3Yjg1YwFy////1P////////8HAAAAAXH////T////AAAAAAFw////0v///wIAAAAAAAAAAAFv////0f///wAAAAAKAQAAAAAAAAAABwAAAAAGkgAAACRhYjM3NzNhMi0wZDUwLTRkYzItYjEzNy1kMGYyNzU4YTNmOTcGkwAAAB9UYWJsZS5JbnZlbnRUcmFucy5EYXRlRmluYW5jaWFsCgoKCgEcAAAAFAAAAAmUAAAACZUAAAAJlgAAAAaXAAAADVN0YXR1c1JlY2VpcHQGmAAAAA5SZWNlaXB0IHN0YXR1cwaZAAAABEVudW0JKgAAAAabAAAAJDMyMDIyZjBkLWI4MmQtNDNkYS05YWFhLTA0YjNjMGUwZTA2MQFk////1P////////8IAAAAAWP////T////AAAAAAFi////0v///wIAAAAAAAAAAAFh////0f///wAAAAAKAQAAAAAAAAAACAAAAAAGoAAAACRkYjc3ZDg4NC05M2RmLTQ3ZWUtYjMwMi1mZjRhZWVmZWNmOTcGoQAAAB9UYWJsZS5JbnZlbnRUcmFucy5TdGF0dXNSZWNlaXB0CgoKCgEdAAAAFAAAAAmiAAAACaMAAAAJpAAAAAalAAAAC1N0YXR1c0lzc3VlBqYAAAAMSXNzdWUgc3RhdHVzBqcAAAAERW51bQkqAAAABqkAAAAkNWViMDg2ZGQtZjNjOS00MWY1LWI5ZmQtZDkxZmJmMDg4ZmU2AVb////U/////////wkAAAABVf///9P///8AAAAAAVT////S////AgAAAAAAAAAAAVP////R////AAAAAAoBAAAAAAAAAAAJAAAAAAauAAAAJDlkYjVhMDEwLWViOTYtNGYxMS1hM2Q4LTJiMmNmYmEyYjkzYwavAAAAHVRhYmxlLkludmVudFRyYW5zLlN0YXR1c0lzc3VlCgoKCgEeAAAAFAAAAAmwAAAACbEAAAAJsgAAAAazAAAAA1F0eQa0AAAACFF1YW50aXR5BrUAAAAEUmVhbAkqAAAABrcAAAAkMjk0MmZhZmYtZWEwMi00NTBhLTgzOTItNGNhYWY2NDFkYTIwAUj////U////AQAAAAoAAAABR////9P///8AAAAAAUb////S////AgAAAAAAAAAAAUX////R////AAAAAAoBAAAAAAAAAAAKAAAAAAa8AAAAJDQ1MGJhMzY3LTI1NmUtNDA4NS1hZjA1LTI3MzczMzcyNDllZga9AAAAFVRhYmxlLkludmVudFRyYW5zLlF0eQoKCgoBHwAAABQAAAAJvgAAAAm/AAAACcAAAAAGwQAAAAZVbml0SWQGwgAAAARVbml0BsMAAAAGU3RyaW5nCSoAAAAGxQAAACRkZGM1YmYzYi1kOGNlLTRlNDQtYWRiZS04NTMxNmQ4Y2MzYTYBOv///9T/////////CwAAAAE5////0////wAAAAABOP///9L///8CAAAAAAAAAAABN////9H///8AAAAACgEAAAAAAAAAAAsAAAAABsoAAAAkOGE0MzhkOWEtNTg0Ny00ZmI2LTg0ZjEtYjZmMTZiOGE5YjkzBssAAAA3VGFibGUuSW52ZW50VHJhbnMuSXRlbUlkflRhYmxlLkludmVudFRhYmxlTW9kdWxlLlVuaXRJZAoKCgoFIgAAADhHbG9iZVNvZnR3YXJlLkF0bGFzNDAuQXRsYXNDb21tb25DbGllbnQuUmVwb3J0LlJlZmVyZW5jZQEAAAAKX3JlZmVyZW5jZQcIIAAAAAnMAAAAByMAAAAAAQAAAAQAAAAEPEdsb2JlU29mdHdhcmUuQXRsYXM0MC5BdGxhc0NvbW1vbkNsaWVudC5EYXRhU291cmNlRmllbGRWYWx1ZSAAAAAJzQAAAAnOAAAACc8AAAAJ0AAAAAQk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nRAAAAAQAAAAEAAAAEJ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ZAAAACdIAAAAHAAAACdMAAAAEJ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dQAAAAHAAAACdUAAAABMgAAACQAAAAJ1gAAAAEAAAABAAAAATMAAAAlAAAASQAAAAnXAAAABwAAAAnYAAAAATQAAAAmAAAARgAAAAnZAAAABwAAAAnaAAAAAUAAAAAkAAAACdsAAAABAAAAAQAAAAFBAAAAJQAAAB8AAAAJ3AAAAAcAAAAJ3QAAAAFCAAAAJgAAABwAAAAJ3gAAAAcAAAAJ3wAAAAFOAAAAJAAAAAngAAAAAQAAAAEAAAABTwAAACUAAABJAAAACdcAAAAHAAAACeIAAAABUAAAACYAAABGAAAACdkAAAAHAAAACeQAAAABXAAAACQAAAAJ5QAAAAEAAAABAAAAAV0AAAAlAAAAWAAAAAnSAAAABwAAAAnnAAAAAV4AAAAmAAAAVAAAAAnUAAAABwAAAAnpAAAAAWoAAAAkAAAACeoAAAABAAAAAQAAAAFrAAAAJQAAAFgAAAAJ0gAAAAcAAAAJ7AAAAAFsAAAAJgAAAFQAAAAJ1AAAAAcAAAAJ7gAAAAF4AAAAJAAAAAnvAAAAAQAAAAEAAAABeQAAACUAAABYAAAACdIAAAAHAAAACfEAAAABegAAACYAAABUAAAACdQAAAAHAAAACfMAAAABhgAAACQAAAAJ9AAAAAEAAAABAAAAAYcAAAAlAAAAWAAAAAnSAAAABwAAAAn2AAAAAYgAAAAmAAAAVAAAAAnUAAAABwAAAAn4AAAAAZQAAAAkAAAACfkAAAABAAAAAQAAAAGVAAAAJQAAAFgAAAAJ0gAAAAcAAAAJ+wAAAAGWAAAAJgAAAFQAAAAJ1AAAAAcAAAAJ/QAAAAGiAAAAJAAAAAn+AAAAAQAAAAEAAAABowAAACUAAABYAAAACdIAAAAHAAAACQABAAABpAAAACYAAABUAAAACdQAAAAHAAAACQIBAAABsAAAACQAAAAJAwEAAAEAAAABAAAAAbEAAAAlAAAAWAAAAAnSAAAABwAAAAkFAQAAAbIAAAAmAAAAVAAAAAnUAAAABwAAAAkHAQAAAb4AAAAkAAAACQgBAAABAAAAAQAAAAG/AAAAJQAAAEIAAAAJCQEAAAcAAAAJCgEAAAHAAAAAJgAAAD8AAAAJCwEAAAcAAAAJDAEAAA/MAAAAAQAAAAgBAAAABc0AAAA8R2xvYmVTb2Z0d2FyZS5BdGxhczQwLkF0bGFzQ29tbW9uQ2xpZW50LkRhdGFTb3VyY2VGaWVsZFZhbHVlBAAAABJfaXNEcmlsbERvd25GaWx0ZXIGX2RzS2V5Cl9maWVsZG5hbWULX2ZpZWxkVmFsdWUAAQEBASAAAAAABg0BAAARVGFibGUuSW52ZW50VHJhbnMGDgEAAApEYXRhQXJlYUlkCQYAAAABzgAAAM0AAAAACQ0BAAAGEQEAAAxEYXRlUGh5c2ljYWwGEgEAABgxMi4wMS4yMDE3IC4uIDEyLjMxLjIwMTcBzwAAAM0AAAAABhMBAAAqVGFibGUuSW52ZW50VHJhbnMuSXRlbUlkflRhYmxlLkludmVudFRhYmxlBhQBAAAISXRlbVR5cGUGFQEAAAghU2VydmljZQHQAAAAzQAAAAAGFgEAADBUYWJsZS5JbnZlbnRUcmFucy5JdGVtSWR+VGFibGUuSW52ZW50VGFibGVNb2R1bGUGFwEAAApNb2R1bGVUeXBlBhgBAAAGSW52ZW50B9EAAAAAAQAAAAQAAAAEN0dsb2JlU29mdHdhcmUuQXRsYXM0MC5BdGxhc0NvbW1vbi5UeXBlLkZpZWxkT3V0cHV0RmllbGQOAAAACRkBAAANAwTS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T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5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Xl/v//Mkdsb2JlU29mdHdhcmUuQXRsYXM0MC5BdGxhc0NvbW1vbi5Db2x1bW5BdHRyaWJ1dGVzAQAAAAd2YWx1ZV9fAAgOAAAABgAAAAYcAQAABVRvdGFsAeP+///m/v//AeL+///l/v//EAAAAAYfAQAABE5vbmUB4P7//+b+//8B3/7//+X+//8JAAAACSoAAAAB3f7//+b+//8B3P7//+X+//8LAAAABiUBAAABMAHa/v//5v7//wHZ/v//5f7//wQAAAAGKAEAAAdHZW5lcmFsAdf+///m/v//Adb+///l/v//AgAAAAYrAQAAATEB1P7//+b+//8B0/7//+X+//8AAAAABi4BAAAFMTAuNDMB1AAAAAwAAAAH1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R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jABAAAIRm9udEJvbGQGMQEAAAVGYWxzZQHO/v//0f7//wYzAQAACkZvbnRJdGFsaWMJMQEAAAHL/v//0f7//wY2AQAADUZvbnRVbmRlcmxpbmUGNwEAAAUtNDE0MgHI/v//0f7//wY5AQAACEZvbnROYW1lBjoBAAAHQ2FsaWJyaQHF/v//0f7//wY8AQAACUZvbnRDb2xvcgY9AQAAATABwv7//9H+//8GPwEAAAhGb250U2l6ZQZAAQAAAjExAb/+///R/v//BkIBAAAJRm9udFN0eWxlBkMBAAAHUmVndWxhcgfWAAAAAAEAAAAEAAAABDdHbG9iZVNvZnR3YXJlLkF0bGFzNDAuQXRsYXNDb21tb24uVHlwZS5GaWVsZE91dHB1dEZpZWxkDgAAAAlEAQAADQMB1wAAANIAAAAH2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v+///m/v//Abr+///l/v//CQAAAAkqAAAAAbj+///m/v//Abf+///l/v//CwAAAAZKAQAAATEBtf7//+b+//8BtP7//+X+//8EAAAABk0BAAAHR2VuZXJhbAGy/v//5v7//wGx/v//5f7//wIAAAAGUAEAAAExAa/+///m/v//Aa7+///l/v//AAAAAAZTAQAAAjI3AdkAAAAMAAAAB9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P7//9H+//8GVQEAAAhGb250Qm9sZAkxAQAAAan+///R/v//BlgBAAAKRm9udEl0YWxpYwkxAQAAAab+///R/v//BlsBAAANRm9udFVuZGVybGluZQZcAQAABS00MTQyAaP+///R/v//Bl4BAAAIRm9udE5hbWUGXwEAAAdDYWxpYnJpAaD+///R/v//BmEBAAAJRm9udENvbG9yBmIBAAABMAGd/v//0f7//wZkAQAACEZvbnRTaXplBmUBAAACMTEBmv7//9H+//8GZwEAAAlGb250U3R5bGUGaAEAAAdSZWd1bGFyB9sAAAAAAQAAAAQAAAAEN0dsb2JlU29mdHdhcmUuQXRsYXM0MC5BdGxhc0NvbW1vbi5UeXBlLkZpZWxkT3V0cHV0RmllbGQOAAAACWkBAAANAwHcAAAA0gAAAAfd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v7//+b+//8Blf7//+X+//8JAAAACSoAAAABk/7//+b+//8Bkv7//+X+//8LAAAABm8BAAABMgGQ/v//5v7//wGP/v//5f7//wQAAAAGcgEAAAdHZW5lcmFsAY3+///m/v//AYz+///l/v//AgAAAAZ1AQAAATEBiv7//+b+//8Bif7//+X+//8AAAAABngBAAAFMTIuMjkB3gAAAAwAAAAH3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v//0f7//wZ6AQAACEZvbnRCb2xkCTEBAAABhP7//9H+//8GfQEAAApGb250SXRhbGljCTEBAAABgf7//9H+//8GgAEAAA1Gb250VW5kZXJsaW5lBoEBAAAFLTQxNDIBfv7//9H+//8GgwEAAAhGb250TmFtZQaEAQAAB0NhbGlicmkBe/7//9H+//8GhgEAAAlGb250Q29sb3IGhwEAAAEwAXj+///R/v//BokBAAAIRm9udFNpemUGigEAAAIxMQF1/v//0f7//waMAQAACUZvbnRTdHlsZQaNAQAAB1JlZ3VsYXIH4AAAAAABAAAABAAAAAQ3R2xvYmVTb2Z0d2FyZS5BdGxhczQwLkF0bGFzQ29tbW9uLlR5cGUuRmllbGRPdXRwdXRGaWVsZA4AAAAJjgEAAA0DB+I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x/v//5v7//wFw/v//5f7//wkAAAAJKgAAAAFu/v//5v7//wFt/v//5f7//wsAAAAGlAEAAAEzAWv+///m/v//AWr+///l/v//BAAAAAaXAQAAB0dlbmVyYWwBaP7//+b+//8BZ/7//+X+//8CAAAABpoBAAABMQFl/v//5v7//wFk/v//5f7//wAAAAAGnQEAAAQ1LjE0B+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7//9H+//8JVQEAAAkxAQAAAV/+///R/v//CVgBAAAJMQEAAAFc/v//0f7//wlbAQAABqYBAAAFLTQxNDIBWf7//9H+//8JXgEAAAapAQAAB0NhbGlicmkBVv7//9H+//8JYQEAAAasAQAAATABU/7//9H+//8JZAEAAAavAQAAAjExAVD+///R/v//CWcBAAAGsgEAAAdSZWd1bGFyB+UAAAAAAQAAAAQAAAAEN0dsb2JlU29mdHdhcmUuQXRsYXM0MC5BdGxhc0NvbW1vbi5UeXBlLkZpZWxkT3V0cHV0RmllbGQOAAAACbMBAAANAwf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P7//+b+//8BS/7//+X+//8QAAAACR8BAAABSf7//+b+//8BSP7//+X+//8JAAAACSoAAAABRv7//+b+//8BRf7//+X+//8LAAAABrwBAAABNAFD/v//5v7//wFC/v//5f7//wQAAAAGvwEAAAdHZW5lcmFsAUD+///m/v//AT/+///l/v//AgAAAAbCAQAAATEBPf7//+b+//8BPP7//+X+//8AAAAABsUBAAAFMTQuODYH6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6/v//0f7//wkwAQAACTEBAAABN/7//9H+//8JMwEAAAkxAQAAATT+///R/v//CTYBAAAGzgEAAAUtNDE0MgEx/v//0f7//wk5AQAABtEBAAAHQ2FsaWJyaQEu/v//0f7//wk8AQAABtQBAAABMAEr/v//0f7//wk/AQAABtcBAAACMTEBKP7//9H+//8JQgEAAAbaAQAAB1JlZ3VsYXIH6gAAAAABAAAABAAAAAQ3R2xvYmVTb2Z0d2FyZS5BdGxhczQwLkF0bGFzQ29tbW9uLlR5cGUuRmllbGRPdXRwdXRGaWVsZA4AAAAJ2wEAAA0DB+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k/v//5v7//wEj/v//5f7//xAAAAAJHwEAAAEh/v//5v7//wEg/v//5f7//wkAAAAJKgAAAAEe/v//5v7//wEd/v//5f7//wsAAAAG5AEAAAE1ARv+///m/v//ARr+///l/v//BAAAAAbnAQAAB0dlbmVyYWwBGP7//+b+//8BF/7//+X+//8CAAAABuoBAAABMQEV/v//5v7//wEU/v//5f7//wAAAAAG7QEAAAUxNC40Mwfu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+///R/v//CTABAAAJMQEAAAEP/v//0f7//wkzAQAACTEBAAABDP7//9H+//8JNgEAAAb2AQAABS00MTQyAQn+///R/v//CTkBAAAG+QEAAAdDYWxpYnJpAQb+///R/v//CTwBAAAG/AEAAAEwAQP+///R/v//CT8BAAAG/wEAAAIxMQEA/v//0f7//wlCAQAABgICAAAHUmVndWxhcgfvAAAAAAEAAAAEAAAABDdHbG9iZVNvZnR3YXJlLkF0bGFzNDAuQXRsYXNDb21tb24uVHlwZS5GaWVsZE91dHB1dEZpZWxkDgAAAAkDAgAADQMH8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z9///m/v//Afv9///l/v//EAAAAAkfAQAAAfn9///m/v//Afj9///l/v//CQAAAAkqAAAAAfb9///m/v//AfX9///l/v//CwAAAAYMAgAAATYB8/3//+b+//8B8v3//+X+//8EAAAABg8CAAAIbS9kL3l5eXkB8P3//+b+//8B7/3//+X+//8CAAAABhICAAABMQHt/f//5v7//wHs/f//5f7//wAAAAAGFQIAAAUxNC4xNAfz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r9///R/v//CTABAAAJMQEAAAHn/f//0f7//wkzAQAACTEBAAAB5P3//9H+//8JNgEAAAYeAgAABS00MTQyAeH9///R/v//CTkBAAAGIQIAAAdDYWxpYnJpAd79///R/v//CTwBAAAGJAIAAAEwAdv9///R/v//CT8BAAAGJwIAAAIxMQHY/f//0f7//wlCAQAABioCAAAHUmVndWxhcgf0AAAAAAEAAAAEAAAABDdHbG9iZVNvZnR3YXJlLkF0bGFzNDAuQXRsYXNDb21tb24uVHlwZS5GaWVsZE91dHB1dEZpZWxkDgAAAAkrAgAADQMH9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T9///m/v//AdP9///l/v//EAAAAAkfAQAAAdH9///m/v//AdD9///l/v//CQAAAAkqAAAAAc79///m/v//Ac39///l/v//CwAAAAY0AgAAATcBy/3//+b+//8Byv3//+X+//8EAAAABjcCAAAIbS9kL3l5eXkByP3//+b+//8Bx/3//+X+//8CAAAABjoCAAABMQHF/f//5v7//wHE/f//5f7//wAAAAAGPQIAAAIxNQf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L9///R/v//CTABAAAJMQEAAAG//f//0f7//wkzAQAACTEBAAABvP3//9H+//8JNgEAAAZGAgAABS00MTQyAbn9///R/v//CTkBAAAGSQIAAAdDYWxpYnJpAbb9///R/v//CTwBAAAGTAIAAAEwAbP9///R/v//CT8BAAAGTwIAAAIxMQGw/f//0f7//wlCAQAABlICAAAHUmVndWxhcgf5AAAAAAEAAAAEAAAABDdHbG9iZVNvZnR3YXJlLkF0bGFzNDAuQXRsYXNDb21tb24uVHlwZS5GaWVsZE91dHB1dEZpZWxkDgAAAAlTAgAADQMH+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z9///m/v//Aav9///l/v//EAAAAAkfAQAAAan9///m/v//Aaj9///l/v//CQAAAAkqAAAAAab9///m/v//AaX9///l/v//CwAAAAZcAgAAATgBo/3//+b+//8Bov3//+X+//8EAAAABl8CAAAHR2VuZXJhbAGg/f//5v7//wGf/f//5f7//wIAAAAGYgIAAAExAZ39///m/v//AZz9///l/v//AAAAAAZlAgAABTE1LjE0B/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v3//9H+//8JMAEAAAkxAQAAAZf9///R/v//CTMBAAAJMQEAAAGU/f//0f7//wk2AQAABm4CAAAFLTQxNDIBkf3//9H+//8JOQEAAAZxAgAAB0NhbGlicmkBjv3//9H+//8JPAEAAAZ0AgAAATABi/3//9H+//8JPwEAAAZ3AgAAAjExAYj9///R/v//CUIBAAAGegIAAAdSZWd1bGFyB/4AAAAAAQAAAAQAAAAEN0dsb2JlU29mdHdhcmUuQXRsYXM0MC5BdGxhc0NvbW1vbi5UeXBlLkZpZWxkT3V0cHV0RmllbGQOAAAACXsCAAANAwc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P3//+b+//8Bg/3//+X+//8QAAAACR8BAAABgf3//+b+//8BgP3//+X+//8JAAAACSoAAAABfv3//+b+//8Bff3//+X+//8LAAAABoQCAAABOQF7/f//5v7//wF6/f//5f7//wQAAAAGhwIAAAdHZW5lcmFsAXj9///m/v//AXf9///l/v//AgAAAAaKAgAAATEBdf3//+b+//8BdP3//+X+//8AAAAABo0CAAAFMTIuODY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f//0f7//wkwAQAACTEBAAABb/3//9H+//8JMwEAAAkxAQAAAWz9///R/v//CTYBAAAGlgIAAAUtNDE0MgFp/f//0f7//wk5AQAABpkCAAAHQ2FsaWJyaQFm/f//0f7//wk8AQAABpwCAAABMAFj/f//0f7//wk/AQAABp8CAAACMTEBYP3//9H+//8JQgEAAAaiAgAAB1JlZ3VsYXIHAwEAAAABAAAABAAAAAQ3R2xvYmVTb2Z0d2FyZS5BdGxhczQwLkF0bGFzQ29tbW9uLlR5cGUuRmllbGRPdXRwdXRGaWVsZA4AAAAJowIAAA0DBwU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c/f//5v7//wFb/f//5f7//xAAAAAJHwEAAAFZ/f//5v7//wFY/f//5f7//wkAAAAJKgAAAAFW/f//5v7//wFV/f//5f7//wsAAAAGrAIAAAIxMAFT/f//5v7//wFS/f//5f7//wQAAAAGrwIAAAdHZW5lcmFsAVD9///m/v//AU/9///l/v//AgAAAAayAgAAATEBTf3//+b+//8BTP3//+X+//8AAAAABrUCAAAFMTAuMjkHB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/f//0f7//wkwAQAACTEBAAABR/3//9H+//8JMwEAAAkxAQAAAUT9///R/v//CTYBAAAGvgIAAAUtNDE0MgFB/f//0f7//wk5AQAABsECAAAHQ2FsaWJyaQE+/f//0f7//wk8AQAABsQCAAABMAE7/f//0f7//wk/AQAABscCAAACMTEBOP3//9H+//8JQgEAAAbKAgAAB1JlZ3VsYXIHCAEAAAABAAAABAAAAAQ3R2xvYmVTb2Z0d2FyZS5BdGxhczQwLkF0bGFzQ29tbW9uLlR5cGUuRmllbGRPdXRwdXRGaWVsZA4AAAAJywIAAA0DAQkBAADSAAAABw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0/f//5v7//wEz/f//5f7//wkAAAAJKgAAAAEx/f//5v7//wEw/f//5f7//wsAAAAG0QIAAAIxMQEu/f//5v7//wEt/f//5f7//wQAAAAG1AIAAAdHZW5lcmFsASv9///m/v//ASr9///l/v//AgAAAAbXAgAAATEBKP3//+b+//8BJ/3//+X+//8AAAAABtoCAAAENi40MwELAQAADAAAAA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X9///R/v//CVUBAAAJMQEAAAEi/f//0f7//wlYAQAACTEBAAABH/3//9H+//8JWwEAAAbjAgAABS00MTQyARz9///R/v//CV4BAAAG5gIAAAdDYWxpYnJpARn9///R/v//CWEBAAAG6QIAAAEwARb9///R/v//CWQBAAAG7AIAAAIxMQET/f//0f7//wlnAQAABu8CAAAHUmVndWxhcgUZ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Q/f//1P////////8ABvECAAAGU3RyaW5nBvICAAALSXRlbSBudW1iZXIJ8wIAAAEM/f//0v///wAAAAAFC/3//zlHbG9iZVNvZnR3YXJlLkF0bGFzNDAuQXRsYXNDb21tb24uTnVtYmVyU2VxdWVuY2VDb25kaXRpb24BAAAAB3ZhbHVlX18ACA4AAAABAAAAAAAG9gIAABFUYWJsZS5JbnZlbnRUcmFucwknAAAACSoAAAAK/////wn2AgAACgknAAAACgoKCSoAAAAJ/AIAAAkqAAAAAUQBAAAZAQAAAQL9///U/////////wAG/wIAAAZTdHJpbmcGAAMAAAlJdGVtIG5hbWUJAQMAAAH+/P//0v///wIAAAAB/fz//wv9//8BAAAAAAAJEwEAAAk1AAAACSoAAAAK/////wkTAQAACgk1AAAABgkDAAAGSXRlbUlkBgoDAAALSW52ZW50VHJhbnMKCSoAAAAJDAMAAAkqAAAAAWkBAAAZAQAAAfL8///U/////////wAGDwMAAAZTdHJpbmcGEAMAAApJdGVtIGdyb3VwCQEDAAAB7vz//9L///8CAAAAAe38//8L/f//AQAAAAAACRMBAAAJQwAAAAkqAAAACv////8JEwEAAAoJQwAAAAYZAwAABkl0ZW1JZAYaAwAAC0ludmVudFRyYW5zCgkqAAAACRwDAAAJKgAAAAGOAQAAGQEAAAHi/P//1P////////8ABh8DAAAGU3RyaW5nBiADAAAJV2FyZWhvdXNlCSEDAAAB3vz//9L///8CAAAAAd38//8L/f//AQAAAAAABiQDAAAtVGFibGUuSW52ZW50VHJhbnMuaW52ZW50RGltSWR+VGFibGUuSW52ZW50RGltCVEAAAAJKgAAAAr/////CSQDAAAKCVEAAAAGKQMAAAtpbnZlbnREaW1JZAYqAwAAC0ludmVudFRyYW5zCgkqAAAACSwDAAAJKgAAAAGzAQAAGQEAAAHS/P//1P////////8ABi8DAAAERW51bQYwAwAACVJlZmVyZW5jZQnzAgAAAc78///S////AgAAAAHN/P//C/3//wEAAAAAAAn2AgAACV8AAAAJKgAAAAr/////CfYCAAAKCV8AAAAKCgoJKgAAAAk6AwAACSoAAAAB2wEAABkBAAABxPz//9T/////////AAY9AwAABlN0cmluZwY+AwAABk51bWJlcgnzAgAAAcD8///S////AgAAAAG//P//C/3//wEAAAAAAAn2AgAACW0AAAAJKgAAAAr/////CfYCAAAKCW0AAAAKCgoJKgAAAAlIAwAACSoAAAABAwIAABkBAAABtvz//9T/////////AAZLAwAABERhdGUGTAMAAA1QaHlzaWNhbCBkYXRlCfMCAAABsvz//9L///8AAAAAAbH8//8L/f//AQAAAAAACfYCAAAJewAAAAkqAAAACv////8J9gIAAAoJewAAAAoKCgkqAAAACVYDAAAJKgAAAAErAgAAGQEAAAGo/P//1P////////8ABlkDAAAERGF0ZQZaAwAADkZpbmFuY2lhbCBkYXRlCfMCAAABpPz//9L///8CAAAAAaP8//8L/f//AQAAAAAACfYCAAAJiQAAAAkqAAAACv////8J9gIAAAoJiQAAAAoKCgkqAAAACWQDAAAJKgAAAAFTAgAAGQEAAAGa/P//1P////////8ABmcDAAAERW51bQZoAwAADlJlY2VpcHQgc3RhdHVzCfMCAAABlvz//9L///8CAAAAAZX8//8L/f//AQAAAAAACfYCAAAJlwAAAAkqAAAACv////8J9gIAAAoJlwAAAAoKCgkqAAAACXIDAAAJKgAAAAF7AgAAGQEAAAGM/P//1P////////8ABnUDAAAERW51bQZ2AwAADElzc3VlIHN0YXR1cwnzAgAAAYj8///S////AgAAAAGH/P//C/3//wEAAAAAAAn2AgAACaUAAAAJKgAAAAr/////CfYCAAAKCaUAAAAKCgoJKgAAAAmAAwAACSoAAAABowIAABkBAAABfvz//9T/////////AAaDAwAABFJlYWwGhAMAAAhRdWFudGl0eQnzAgAAAXr8///S////AgAAAAF5/P//C/3//wEAAAAAAAn2AgAACbMAAAAJKgAAAAr/////CfYCAAAKCbMAAAAKCgoJKgAAAAmOAwAACSoAAAABywIAABkBAAABcPz//9T/////////AAaRAwAABlN0cmluZwaSAwAABFVuaXQJkwMAAAFs/P//0v///wIAAAABa/z//wv9//8BAAAAAAAJFgEAAAnBAAAACSoAAAAK/////wkWAQAACgnBAAAABpsDAAAGSXRlbUlkBpwDAAALSW52ZW50VHJhbnMKCSoAAAAJngMAAAkqAAAABfM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LEAAAAGoAMAAAtJbnZlbnRUcmFucwahAwAAFkludmVudG9yeSB0cmFuc2FjdGlvbnMJKgAAAAkqAAAACSoAAAAFXfz//zBHbG9iZVNvZnR3YXJlLkF0bGFzNDAuQXRsYXNDb21tb24uRGF0YVNvdXJjZVR5cGUBAAAAB3ZhbHVlX18ACA4AAAAAAAAACaQDAAAJpQMAAARa/P//C1N5c3RlbS5HdWlkCwAAAAJfYQJfYgJfYwJfZAJfZQJfZgJfZwJfaAJfaQJfagJfawAAAAAAAAAAAAAACAcHAgICAgICAgLuFcqq8iqwRZ7xEUnwc19KCSoAAAAJKgAAAAmoAwAACfYCAAAKCgoKCgEAAAAFVvz//zRHbG9iZVNvZnR3YXJlLkF0bGFzNDAuQXRsYXNDb21tb24uRGF0YVNvdXJjZUpvaW5Nb2RlAQAAAAd2YWx1ZV9fAAgOAAAAAAAAAAVV/P//NUdsb2JlU29mdHdhcmUuQXRsYXM0MC5BdGxhc0NvbW1vbi5EYXRhU291cmNlRmV0Y2hNb2RlAQAAAAd2YWx1ZV9fAAgOAAAAAAAAAAAJrAMAAAH8AgAAJgAAAEEAAAAJ1AAAAAMAAAAJrgMAAAEBAwAA8wIAAP////8GrwMAAAtJbnZlbnRUYWJsZQawAwAABUl0ZW1zCSoAAAAJKgAAAAkqAAAAAU78//9d/P//AAAAAAmzAwAACbQDAAABS/z//1r8//8vnvpVznLvSIWxpxjm/u/4CSoAAAAJKgAAAAm3AwAACRMBAAAGuQMAAAtJbnZlbnRUcmFucwa6AwAAEVRhYmxlLkludmVudFRyYW5zBrsDAAAYVGFibGUuSW52ZW50VHJhbnMuSXRlbUlkBrwDAAAGSXRlbUlkBr0DAAAGSXRlbUlkAQAAAAFC/P//Vvz//wAAAAABQfz//1X8//8AAAAAAAnAAwAAAQwDAAAmAAAAMgAAAAnZAAAAAwAAAAnCAwAAARwDAAAmAAAADgAAAAneAAAAAwAAAAnEAwAAASEDAADzAgAA/////wbFAwAACUludmVudERpbQbGAwAAFEludmVudG9yeSBkaW1lbnNpb25zCSoAAAAJKgAAAAkqAAAAATj8//9d/P//AAAAAAnJAwAACcoDAAABNfz//1r8//+1n4crd1lUTqv+1f60/3utCSoAAAAJKgAAAAnNAwAACSQDAAAGzwMAAAtJbnZlbnRUcmFucwbQAwAAEVRhYmxlLkludmVudFRyYW5zBtEDAAAdVGFibGUuSW52ZW50VHJhbnMuaW52ZW50RGltSWQG0gMAAAtpbnZlbnREaW1JZAbTAwAAC2ludmVudERpbUlkAQAAAAEs/P//Vvz//wAAAAABK/z//1X8//8AAAAAAAnWAwAAASwDAAAmAAAAMgAAAAnZAAAAAwAAAAnYAwAAAToDAAAmAAAAQQAAAAnUAAAAAwAAAAnaAwAAAUgDAAAmAAAAQQAAAAnUAAAAAwAAAAncAwAAAVYDAAAmAAAAQQAAAAnUAAAAAwAAAAneAwAAAWQDAAAmAAAAQQAAAAnUAAAAAwAAAAngAwAAAXIDAAAmAAAAQQAAAAnUAAAAAwAAAAniAwAAAYADAAAmAAAAQQAAAAnUAAAAAwAAAAnkAwAAAY4DAAAmAAAAQQAAAAnUAAAAAwAAAAnmAwAAAZMDAADzAgAA/////wbnAwAAEUludmVudFRhYmxlTW9kdWxlBugDAAAbSW52ZW50b3J5IG1vZHVsZSBwYXJhbWV0ZXJzCSoAAAAJKgAAAAkqAAAAARb8//9d/P//AAAAAAnrAwAACewDAAABE/z//1r8//84RNpzDsv1Q7S1MLy4rSGsCSoAAAAJKgAAAAnvAwAACRYBAAAG8QMAAAtJbnZlbnRUcmFucwbyAwAAEVRhYmxlLkludmVudFRyYW5zBvMDAAAYVGFibGUuSW52ZW50VHJhbnMuSXRlbUlkBvQDAAAGSXRlbUlkBvUDAAAGSXRlbUlkAQAAAAEK/P//Vvz//wAAAAABCfz//1X8//8AAAAAAAn4AwAAAZ4DAAAmAAAALAAAAAkLAQAAAwAAAAn6AwAABKQD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KAAAACfsDAAARAAAACfwDAAAEpQ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CAAAAAnUAAAAEQAAAAn+AwAABKg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7AwAAAAAAAASsAw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ABAAAAAAAAAeu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/7///R/v//BgIEAAAISGVscFRleHQGAwQAAA5JZGVudGlmeSBpdGVtLgH8+///0f7//wYFBAAABUxhYmVsCfICAAAB+fv//9H+//8GCAQAAARUeXBlCfECAAABswMAAKQDAAACAAAACdkAAAADAAAACQsEAAABtAMAAKUDAAABAAAACQwEAAADAAAACQ0EAAAEt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2QAAAAMAAAAJDwQAAAHAAwAArAMAAAAAAAAJEAQAAAAAAAAHw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v+///0f7//wYSBAAABUxhYmVsCQADAAAB7Pv//9H+//8GFQQAAARUeXBlCf8CAAAHx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///0f7//wYYBAAABUxhYmVsCRADAAAB5vv//9H+//8GGwQAAARUeXBlCQ8DAAAByQMAAKQDAAABAAAACdkAAAADAAAACR4EAAAEyg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MBAAAAAAAAAHNAwAAqAMAAAAAAAAJ2QAAAAAAAAAB1gMAAKwDAAAAAAAACRAEAAAAAAAAB9g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v//9H+//8JEgQAAAkgAwAAAdv7///R/v//CRUEAAAJHwMAAAfa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j7///R/v//CQIEAAAGKgQAADJTcGVjaWZ5IHRoZSBtb2R1bGUgdGhhdCBnZW5lcmF0ZWQgdGhlIHRyYW5zYWN0aW9uLgHV+///0f7//wkFBAAACTADAAAB0vv//9H+//8JCAQAAAkvAwAAB9w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v//9H+//8JAgQAAAYzBAAANU9yZGVyIG51bWJlciwgcHJvamVjdCBudW1iZXIsIHByb2R1Y3Rpb24gbnVtYmVyLCBldGMuAcz7///R/v//CQUEAAAJPgMAAAHJ+///0f7//wkIBAAACT0DAAAH3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G+///0f7//wkCBAAABjwEAAAcRGF0ZSBvZiBwaHlzaWNhbCB0cmFuc2FjdGlvbgHD+///0f7//wkFBAAACUwDAAABwPv//9H+//8JCAQAAAlLAwAAB+A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v//9H+//8JAgQAAAZFBAAAHURhdGUgb2YgZmluYW5jaWFsIHRyYW5zYWN0aW9uAbr7///R/v//CQUEAAAJWgMAAAG3+///0f7//wkIBAAACVkDAAAH4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+///0f7//wkCBAAABk4EAAApU3RhdHVzIG9mIHF1YW50aXR5IGluIHJlbGF0aW9uIHRvIHJlY2VpcHQBsfv//9H+//8JBQQAAAloAwAAAa77///R/v//CQgEAAAJZwMAAAfk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7///R/v//CQIEAAAGVwQAAClTdGF0dXMgZm9yIHF1YW50aXR5IGluIHJlbGF0aW9uIHRvIGlzc3VlcwGo+///0f7//wkFBAAACXYDAAABpfv//9H+//8JCAQAAAl1AwAAB+Y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v//9H+//8JAgQAAAZgBAAAJFF1YW50aXR5IGF0dGFjaGVkIHRvIHRoZSB0cmFuc2FjdGlvbgGf+///0f7//wkFBAAACYQDAAABnPv//9H+//8JCAQAAAmDAwAAAesDAACkAwAAAQAAAAkLAQAAAwAAAAloBAAAAewDAAClAwAAAQAAAAkMBAAAAwAAAAlqBAAAAe8DAACoAwAAAAAAAAkLAQAAAAAAAAH4AwAArAMAAAAAAAAJbAQAAAAAAAAH+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T+///0f7//wZuBAAABUxhYmVsCZIDAAABkPv//9H+//8GcQQAAARUeXBlCZEDAAAB+wMAAAwAAAAH/AM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jfv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dAQAABhUYWJsZS5JbnZlbnRUcmFucy5JdGVtSWQJGQEAAAGK+///jfv//wZ3BAAAH1RhYmxlLkludmVudFRyYW5zLkludmVudFRyYW5zSWQJeAQAAAGH+///jfv//wZ6BAAAG1RhYmxlLkludmVudFRyYW5zLlRyYW5zVHlwZQmzAQAAAYT7//+N+///Bn0EAAAcVGFibGUuSW52ZW50VHJhbnMuVHJhbnNSZWZJZAnbAQAAAYH7//+N+///BoAEAAAeVGFibGUuSW52ZW50VHJhbnMuRGF0ZVBoeXNpY2FsCQMCAAABfvv//437//8GgwQAAB9UYWJsZS5JbnZlbnRUcmFucy5EYXRlRmluYW5jaWFsCSsCAAABe/v//437//8GhgQAAB9UYWJsZS5JbnZlbnRUcmFucy5TdGF0dXNSZWNlaXB0CVMCAAABePv//437//8GiQQAAB1UYWJsZS5JbnZlbnRUcmFucy5TdGF0dXNJc3N1ZQl7AgAAAXX7//+N+///BowEAAAVVGFibGUuSW52ZW50VHJhbnMuUXR5CaMCAAABcvv//437//8GjwQAACJUYWJsZS5JbnZlbnRUcmFucy5Db3N0QW1vdW50UG9zdGVkCZAEAAAH/gMAAAABAAAAC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G/7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kgQAAB9UYWJsZS5JbnZlbnRUcmFucy5EYXRlRmluYW5jaWFsCZMEAAABbPv//2/7//8GlQQAAB1UYWJsZS5JbnZlbnRUcmFucy5TdGF0dXNJc3N1ZQmWBAAAAWn7//9v+///BpgEAAAYVGFibGUuSW52ZW50VHJhbnMuSXRlbUlkCZkEAAABZvv//2/7//8GmwQAAB9UYWJsZS5JbnZlbnRUcmFucy5JbnZlbnRUcmFuc0lkCZwEAAABY/v//2/7//8GngQAABxUYWJsZS5JbnZlbnRUcmFucy5UcmFuc1JlZklkCZ8EAAABYPv//2/7//8GoQQAAB5UYWJsZS5JbnZlbnRUcmFucy5EYXRlUGh5c2ljYWwJogQAAAFd+///b/v//wakBAAAH1RhYmxlLkludmVudFRyYW5zLlN0YXR1c1JlY2VpcHQJpQQAAAFa+///b/v//wanBAAAG1RhYmxlLkludmVudFRyYW5zLlRyYW5zVHlwZQmoBAAABAAE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cLB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X+///jfv//waqBAAAM1RhYmxlLkludmVudFRyYW5zLkl0ZW1JZH5UYWJsZS5JbnZlbnRUYWJsZS5JdGVtTmFtZQlEAQAAAVT7//+N+///Bq0EAAA2VGFibGUuSW52ZW50VHJhbnMuSXRlbUlkflRhYmxlLkludmVudFRhYmxlLkl0ZW1Hcm91cElkCWkBAAABDAQAAAwAAAAHDQ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H7//9v+///BrAEAAAzVGFibGUuSW52ZW50VHJhbnMuSXRlbUlkflRhYmxlLkludmVudFRhYmxlLkl0ZW1UeXBlCbEEAAAHDwQAAAABAAAAA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EAQAAAAEAAAHHgQ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Tvv//437//8GswQAAD5UYWJsZS5JbnZlbnRUcmFucy5pbnZlbnREaW1JZH5UYWJsZS5JbnZlbnREaW0uSW52ZW50TG9jYXRpb25JZAmOAQAAB2g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v7//+N+///BrYEAAA3VGFibGUuSW52ZW50VHJhbnMuSXRlbUlkflRhYmxlLkludmVudFRhYmxlTW9kdWxlLlVuaXRJZAnLAgAAB2oE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I+///b/v//wa5BAAAO1RhYmxlLkludmVudFRyYW5zLkl0ZW1JZH5UYWJsZS5JbnZlbnRUYWJsZU1vZHVsZS5Nb2R1bGVUeXBlCboEAAABbAQAAAAEAAABeAQAABkBAAABRfv//9T/////////AAa8BAAABlN0cmluZwa9BAAABkxvdCBJRAnzAgAAAUH7///S////AgAAAAFA+///C/3//wEAAAAAAAn2AgAABsIEAAANSW52ZW50VHJhbnNJZAkqAAAACv////8J9gIAAAoJwgQAAAoKCgkqAAAACccEAAAJKgAAAAGQBAAAGQEAAAE3+///1P////////8ABsoEAAAEUmVhbAbLBAAAFUZpbmFuY2lhbCBjb3N0IGFtb3VudAnzAgAAATP7///S////AgAAAAEy+///C/3//wEAAAAAAAn2AgAABtAEAAAQQ29zdEFtb3VudFBvc3RlZAkqAAAACv////8J9gIAAAoJ0AQAAAoKCgkqAAAACdUEAAAJKgAAAAWT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9gIAAAbYBAAADURhdGVGaW5hbmNpYWwJKgAAAAkqAAAA/////wn2AgAACgnYBAAACgoKCSoAAAAJ3QQAAAkqAAAAAZYEAACTBAAACfYCAAAG4AQAAAtTdGF0dXNJc3N1ZQkqAAAACSoAAAD/////CfYCAAAKCeAEAAAKCgoJKgAAAAnlBAAACSoAAAABmQQAAJMEAAAJ9gIAAAboBAAABkl0ZW1JZAkqAAAACSoAAAD/////CfYCAAAKCegEAAAKCgoJKgAAAAntBAAACSoAAAABnAQAAJMEAAAJ9gIAAAbwBAAADUludmVudFRyYW5zSWQJKgAAAAkqAAAA/////wn2AgAACgnwBAAACgoKCSoAAAAJ9QQAAAkqAAAAAZ8EAACTBAAACfYCAAAG+AQAAApUcmFuc1JlZklkCSoAAAAJKgAAAP////8J9gIAAAoJ+AQAAAoKCgkqAAAACf0EAAAJKgAAAAGiBAAAkwQAAAn2AgAACREBAAAJKgAAAAYCBQAAGDAxLjAxLjIwMTcgLi4gMTIuMzEuMjAxN/////8J9gIAAAoJEQEAAAoKCgkqAAAACQYFAAAJKgAAAAGlBAAAkwQAAAn2AgAABgkFAAANU3RhdHVzUmVjZWlwdAkqAAAACSoAAAD/////CfYCAAAKCQkFAAAKCgoJKgAAAAkOBQAACSoAAAABqAQAAJMEAAAJ9gIAAAYRBQAACVRyYW5zVHlwZQkqAAAABhMFAAATUHJvZHVjdGlvbixQcm9kTGluZf////8J9gIAAAYVBQAAC0ludmVudFRyYW5zCREFAAAKCgoJKgAAAAkYBQAACSoAAAABsQQAAJMEAAAJEwEAAAkUAQAACSoAAAAJFQEAAP////8JEwEAAAYfBQAAC0ludmVudFRhYmxlCRQBAAAGIQUAAAZJdGVtSWQKCgkqAAAACSMFAAAJKgAAAAG6BAAAkwQAAAkWAQAACRcBAAAJKgAAAAkYAQAA/////wkWAQAACgkXAQAABisFAAAGSXRlbUlkCgoJKgAAAAktBQAACSoAAAABxwQAACYAAAAzAAAACdQAAAADAAAACTAFAAAB1QQAACYAAAAPAAAACdQAAAADAAAACTIFAAAB3QQAACYAAAACAAAACdQAAAADAAAACTQFAAAB5QQAACYAAAACAAAACdQAAAADAAAACTYFAAAB7QQAACYAAAACAAAACdQAAAADAAAACTgFAAAB9QQAACYAAAACAAAACdQAAAADAAAACToFAAAB/QQAACYAAAACAAAACdQAAAADAAAACTwFAAABBgUAACYAAAAYAAAACdQAAAADAAAACT4FAAABDgUAACYAAAACAAAACdQAAAADAAAACUAFAAABGAUAACYAAAAUAAAACdQAAAADAAAACUIFAAABIwUAACYAAAAcAAAACUMFAAADAAAACUQFAAABLQUAACYAAAAcAAAACUMFAAADAAAACUYFAAAHM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5+v//0f7//wkCBAAABkkFAABSU3VtbWFyeSBudW1iZXIvTG90IElEIGZvciB0cmFuc2FjdGlvbnMgYXR0YWNoZWQgdG8gdGhlIHNhbWUgaW52ZW50b3J5IHRyYW5zYWN0aW9uLgG2+v//0f7//wkFBAAACb0EAAABs/r//9H+//8JCAQAAAm8BAAABzI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r//9H+//8JAgQAAAZSBQAANUludmVudG9yeSB2YWx1ZSBmb3IgdGhlIGZpbmFuY2lhbGx5IHVwZGF0ZWQgcXVhbnRpdHkuAa36///R/v//CQUEAAAJywQAAAGq+v//0f7//wkIBAAACcoEAAAHN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+v//0f7//wkIBAAABlsFAAAERGF0ZQGk+v//0f7//wkFBAAABl4FAAAORmluYW5jaWFsIGRhdGUHN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+v//0f7//wkIBAAABmEFAAAERW51bQGe+v//0f7//wkFBAAABmQFAAAMSXNzdWUgc3RhdHVzBzg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r//9H+//8JCAQAAAZnBQAABlN0cmluZwGY+v//0f7//wkFBAAABmoFAAALSXRlbSBudW1iZXIHO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v//0f7//wkIBAAABm0FAAAGU3RyaW5nAZL6///R/v//CQUEAAAGcAUAAAZMb3QgSUQHP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+v//0f7//wkIBAAABnMFAAAGU3RyaW5nAYz6///R/v//CQUEAAAGdgUAAAZOdW1iZXIHP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+v//0f7//wkIBAAABnkFAAAERGF0ZQGG+v//0f7//wkFBAAABnwFAAANUGh5c2ljYWwgZGF0ZQGD+v//0f7//wZ+BQAACFJlZmVyc1RvBn8FAAAKPURhdGVSYW5nZQdA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D6///R/v//CQgEAAAGggUAAARFbnVtAX36///R/v//CQUEAAAGhQUAAA5SZWNlaXB0IHN0YXR1cwdC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r6///R/v//CQgEAAAGiAUAAARFbnVtAXf6///R/v//CQUEAAAGiwUAAAlSZWZlcmVuY2UBQwUAAAwAAAAHR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0+v//0f7//waNBQAABFR5cGUGjgUAAARFbnVtAXH6///R/v//BpAFAAAFTGFiZWwGkQUAAAlJdGVtIHR5cGUHR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v//0f7//wmNBQAABpQFAAAERW51bQFr+v//0f7//wmQBQAABpcFAAALTW9kdWxlIHR5cGUL</Report>
</Atlas>
</file>

<file path=customXml/item3.xml><?xml version="1.0" encoding="utf-8"?>
<Atlas>
  <Query type="ReportSummary" id="68cf9d71-051a-4498-8591-81c66447b77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gAAAAI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Jg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JSW52ZW50U3VtBh4AAAART24taGFuZCBpbnZlbnRvcnkJCAAAAAkIAAAACQgAAAAF4P///zBHbG9iZVNvZnR3YXJlLkF0bGFzNDAuQXRsYXNDb21tb24uRGF0YVNvdXJjZVR5cGUBAAAAB3ZhbHVlX18ACAIAAAAAAAAACSEAAAAJIgAAAATd////C1N5c3RlbS5HdWlkCwAAAAJfYQJfYgJfYwJfZAJfZQJfZgJfZwJfaAJfaQJfagJfawAAAAAAAAAAAAAACAcHAgICAgICAgKKFKHyYEhIRIAZcjoV+J0DCQgAAAAJCAAAAAklAAAABiYAAAAPVGFibGUuSW52ZW50U3Vt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hUYWJsZS5JbnZlbnRTdW0uSXRlbUlkflRhYmxlLkludmVudFRhYmxlCTEAAAAHFAAAAAABAAAACAAAAAQtR2xvYmVTb2Z0d2FyZS5BdGxhczQwLkF0bGFzQ29tbW9uLlR5cGUuQ29sdW1uAgAAAAkyAAAACTMAAAAJNAAAAAk1AAAACTYAAAAJNwAAAAk4AAAACTkAAAARFQAAAAQAAAAGOgAAAA1BdGxhc1JlcG9ydF8y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F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D////xf///wY+AAAAEVRhYmxlLkludmVudFRhYm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D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////z5HbG9iZVNvZnR3YXJlLkF0bGFzNDAuQXRsYXNDb21tb24uVHlwZS5BdGxhc1F1ZXJ5QXR0cmlidXRlTmFtZQEAAAAHdmFsdWVfXwAIAgAAAAIAAAAGQgAAACQ2OGNmOWQ3MS0wNTFhLTQ0OTgtODU5MS04MWM2NjQ0N2I3N2EBvf///8D///8BvP///7////8AAAAABkUAAAAEVHJ1ZQG6////wP///wG5////v////wsAAAAGSAAAABFPbi1oYW5kIGludmVudG9yeQG3////wP///wG2////v////xsAAAAGSwAAAAVGYWxzZQG0////wP///wGz////v////wYAAAAJSwAAAAGy////wP///wGx////v////xwAAAAJRQAAAAGv////wP///wGu////v////x0AAAAJSwAAAAGs////wP///wGr////v////yoAAAAJRQAAAAGp////wP///wGo////v////wkAAAAKAaf////A////Aab///+/////GQAAAAZbAAAAD0NlbGxzVmVydGljYWxseQGk////wP///wGj////v////wEAAAAGXgAAAAMzNzEBof///8D///8BoP///7////8nAAAABmEAAAALPURhdGFBcmVhSWQBnv///8D///8Bnf///7////8oAAAABmQAAAABOAGb////wP///wGa////v////ysAAAAGZwAAABFUYWJsZVN0eWxlTWVkaXVtMgccAAAAAAEAAAAC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mP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pAAAACUludmVudFN1bQEAAAABlv///5j///8Gaw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QAAAAJbAAAAAcAAAAJb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W8AAAABJQAAAAQAAAABAAAACWwAAAADAAAACXE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cgAAAAAAAAAHKgAAAAABAAAAAAAAAAQtR2xvYmVTb2Z0d2FyZS5BdGxhczQwLkF0bGFzQ29tbW9uLlR5cGUuQ29sdW1uAgAAAAExAAAADgAAAP////8GcwAAAAtJbnZlbnRUYWJsZQZ0AAAABUl0ZW1zCQgAAAAJCAAAAAkIAAAAAYr////g////AAAAAAl3AAAACXgAAAABh////93///9ARxnZyGr3Q40/uCbBNHkWCQgAAAAJCAAAAAl7AAAACTAAAAAGfQAAAAlJbnZlbnRTdW0GfgAAAA9UYWJsZS5JbnZlbnRTdW0GfwAAABZUYWJsZS5JbnZlbnRTdW0uSXRlbUlkBoAAAAAGSXRlbUlkBoEAAAAGSXRlbUlkAQAAAAF+////2f///wAAAAABff///9j///8AAAAAAAmE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UAAAAJhgAAAAmHAAAABogAAAAGSXRlbUlkBokAAAALSXRlbSBudW1iZXIGigAAAAZTdHJpbmcJCAAAAAaMAAAAJDhlMmEwNDdhLTE0NzktNDE1MS05MGE0LTA1YTJjMTMwYjk5MQVz////LUdsb2JlU29mdHdhcmUuQXRsYXM0MC5BdGxhc0NvbW1vbi5BZ2dyZWdhdGlvbgEAAAAHdmFsdWVfXwAIAgAAAP////8AAAAABXL///8sR2xvYmVTb2Z0d2FyZS5BdGxhczQwLkF0bGFzQ29tbW9uLkNvbHVtblR5cGUBAAAAB3ZhbHVlX18ACAIAAAAAAAAABXH///8rR2xvYmVTb2Z0d2FyZS5BdGxhczQwLkF0bGFzQ29tbW9uLlNvcnRPcmRlcgEAAAAHdmFsdWVfXwAIAgAAAAIAAAAAAAAAAAVw////QEdsb2JlU29mdHdhcmUuQXRsYXM0MC5BdGxhc0NvbW1vbi5UeXBlLkNvbHVtbitDcm9zc1RhYkNvbHVtblR5cGUBAAAAB3ZhbHVlX18ACAIAAAAAAAAACgEAAAAAAAAAAAAAAAAABpEAAAAkNTQzNDUyMDktNzBiYi00MWJmLWE0Y2MtZmZlYWFmNmNiYjZkBpIAAAAWVGFibGUuSW52ZW50U3VtLkl0ZW1JZAoKCgoBMwAAADIAAAAJkwAAAAmUAAAACZUAAAAGlgAAAAlQb3N0ZWRRdHkGlwAAAA9Qb3N0ZWQgcXVhbnRpdHkGmAAAAARSZWFsCQgAAAAGmgAAACQ0YTUyMWI3Ni0xYmE0LTRjZjItOGQ5My1kMTQ2YWU5NjYwM2YBZf///3P///8BAAAAAQAAAAFk////cv///wAAAAABY////3H///8CAAAAAAAAAAABYv///3D///8AAAAACgEAAAAAAAAAAAEAAAAABp8AAAAkOWU0ZDI4OTgtMWZlZi00YmNhLWFiNzItMTViZDNlZjg5YTVjBqAAAAAZVGFibGUuSW52ZW50U3VtLlBvc3RlZFF0eQoKCgoBNAAAADIAAAAJoQAAAAmiAAAACaMAAAAGpAAAAAhEZWR1Y3RlZAalAAAACERlZHVjdGVkBqYAAAAEUmVhbAkIAAAABqgAAAAkNjMzZTIwN2UtNzQ1OC00ZGJhLThkMTgtYTBkYjFiMTI2NjNlAVf///9z////AQAAAAIAAAABVv///3L///8AAAAAAVX///9x////AgAAAAAAAAAAAVT///9w////AAAAAAoBAAAAAAAAAAACAAAAAAatAAAAJGVmNmRiYWM2LWZiYWUtNGIwNi1hN2U1LTFjNjgzMTA3ZDdiOAauAAAAGFRhYmxlLkludmVudFN1bS5EZWR1Y3RlZAoKCgoBNQAAADIAAAAJrwAAAAmwAAAACbEAAAAGsgAAAAhSZWNlaXZlZAazAAAACFJlY2VpdmVkBrQAAAAEUmVhbAkIAAAABrYAAAAkMTE5NTQ0OGMtMTc1Yi00Y2M4LThhMGMtMWIwOTM1Y2ZmNjY3AUn///9z////AQAAAAMAAAABSP///3L///8AAAAAAUf///9x////AgAAAAAAAAAAAUb///9w////AAAAAAoBAAAAAAAAAAADAAAAAAa7AAAAJDM2MjUyYzE0LWYzOGEtNDZmZi1iMDcwLTVlNTJhMDYwZDA2Nga8AAAAGFRhYmxlLkludmVudFN1bS5SZWNlaXZlZAoKCgoBNgAAADIAAAAJvQAAAAm+AAAACb8AAAAGwAAAADdBdGxhc01hbmFnZWRDb2x1bW5fMThlODdjYWYtNDgyZi00NTMyLWE5NzUtZjkxMjRiZTZkOTc5BsEAAAAaVHJhbnMgYmFja3dvcmRzKEJlZ2lubmluZykJCAAAAAkIAAAABsMAAAAkZjc1N2NjMjUtMDUwYy00NDA1LWI3MDctZTBiZjRjMGQwOTFhATz///9z/////////wQAAAABO////3L///8CAAAAATr///9x////AgAAAAAAAAAAATn///9w////AAAAAAoBAAAAAAAAAAAEAAAAAAbIAAAAJGYwMzkwYWYxLTc4YzMtNDIyZi04ZGY5LTBiMjVjM2I4NjczNAkIAAAACgoKCgE3AAAAMgAAAAnKAAAACcsAAAAJzAAAAAbNAAAAN0F0bGFzTWFuYWdlZENvbHVtbl9hZmIyNTBkOS1hYWUyLTQ0N2UtYmM5Zi0wNzJlMjgyNmMxMmIGzgAAABdUcmFucyBiYWNrd29yZHMoRW5kaW5nKQkIAAAACQgAAAAG0AAAACQxZWU1YmU2OC05NmQ1LTRmOWItOWVjMi04MDU1Nzk5ZTE0YjgBL////3P/////////BQAAAAEu////cv///wIAAAABLf///3H///8CAAAAAAAAAAABLP///3D///8AAAAACgEAAAAAAAAAAAUAAAAABtUAAAAkYmJjODcxMTUtZWY1MS00ZTQwLTg0NGItZjEzYTcwNTEwNzhjCQgAAAAKCgoKATgAAAAyAAAACdcAAAAJ2AAAAAnZAAAABtoAAAA3QXRsYXNNYW5hZ2VkQ29sdW1uXzU5ODA4Y2M2LTQ5Y2QtNDlhYy1iYWFiLTY2OTEzOGUzYzlmZAbbAAAAEUJlZ2lubmluZyBPbi1oYW5kCQgAAAAJCAAAAAbdAAAAJDJkY2UzYTIwLWRhMzYtNDAwNi1hNTNhLTcyOWEyZjU3ZjQ5ZQEi////c/////////8GAAAAASH///9y////AgAAAAEg////cf///wIAAAAAAAAAAAEf////cP///wAAAAAKAQAAAAAAAAAABgAAAAAG4gAAACQ5N2NkNzkxNC0yNGJlLTQ2OWUtYmExMC0xYzY4ZDk4NDAzN2MJCAAAAAoKCgoBOQAAADIAAAAJ5AAAAAnlAAAACeYAAAAG5wAAADdBdGxhc01hbmFnZWRDb2x1bW5fMWU0YzY5YjMtNTliOC00MGI5LTlkNDEtOGYzNTczZTRlYTkzBugAAAAORW5kaW5nIE9uLWhhbmQJCAAAAAkIAAAABuoAAAAkMWQ3NjE0MzItMTI5ZS00Yzk0LWJmMjAtM2M1ZWY0YWI4NTA3ARX///9z/////////wcAAAABFP///3L///8CAAAAARP///9x////AgAAAAAAAAAAARL///9w////AAAAAAoBAAAAAAAAAAAHAAAAAAbvAAAAJDNkZmY5Yzk3LWZmYTYtNDc0NS1iYzBiLTU5OWUyNWUwMjBlZgkIAAAACgoKCgFsAAAAEgAAAAdtAA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P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yAAAAFlRhYmxlLkludmVudFN1bS5JdGVtSWQJ8wAAAAEM////D////wb1AAAAGVRhYmxlLkludmVudFN1bS5Qb3N0ZWRRdHkJ9gAAAAEJ////D////wb4AAAAGFRhYmxlLkludmVudFN1bS5EZWR1Y3RlZAn5AAAAAQb///8P////BvsAAAAYVGFibGUuSW52ZW50U3VtLlJlY2VpdmVkCfwAAAAHbwA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P/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/gAAABZUYWJsZS5JbnZlbnRTdW0uSXRlbUlkCf8AAAAHcQ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AP///9T///8JMAAAAAkxAAAABHI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3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eAAAACIAAAABAAAACRIAAAADAAAACQQBAAAEew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YQAAAApAAAAAAAAAAkGAQAAAAAAAAS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HAQAAAQAAAAEAAAAEh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gAAAACQgBAAAHAAAACQkBAAAEh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RIAAAAHAAAACQsBAAABkwAAAIUAAAAJDAEAAAEAAAABAAAAAZQAAACGAAAAHwAAAAkIAQAABwAAAAkOAQAABJ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SAAAABwAAAAkQAQAAAaEAAACFAAAACREBAAABAAAAAQAAAAGiAAAAhgAAAB8AAAAJCAEAAAcAAAAJEwEAAAS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EgAAAAcAAAAJFQEAAAGvAAAAhQAAAAkWAQAAAQAAAAEAAAABsAAAAIYAAAAfAAAACQgBAAAHAAAACRgBAAAEs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RIAAAAHAAAACRoBAAABvQAAAIUAAAAJGwEAAAAAAAAAAAAAAb4AAACGAAAAGgAAAAkIAQAABwAAAAkdAQAABL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fAQAAAcoAAACFAAAACRsBAAAAAAAAAAAAAAHLAAAAhgAAABoAAAAJCAEAAAcAAAAJIgEAAATM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JAEAAAHXAAAAhQAAAAkbAQAAAAAAAAAAAAAB2AAAAIYAAAAaAAAACQgBAAAHAAAACScBAAAE2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SkBAAAB5AAAAIUAAAAJGwEAAAAAAAAAAAAAAeUAAACGAAAAGgAAAAkIAQAABwAAAAksAQAABO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uAQAABfM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dH+//9z/////////wAGMAEAAAZTdHJpbmcGMQEAAAtJdGVtIG51bWJlcgkyAQAAAc3+//9x////AgAAAAXM/v//OUdsb2JlU29mdHdhcmUuQXRsYXM0MC5BdGxhc0NvbW1vbi5OdW1iZXJTZXF1ZW5jZUNvbmRpdGlvbgEAAAAHdmFsdWVfXwAIAgAAAAEAAAAAAAY1AQAAD1RhYmxlLkludmVudFN1bQmIAAAACQgAAAAK/////wk1AQAACgmIAAAACgoKCQgAAAAJOwEAAAkIAAAAAfYAAADzAAAAAcP+//9z////AQAAAAAGPgEAAARSZWFsBj8BAAAPUG9zdGVkIHF1YW50aXR5CTIBAAABv/7//3H///8CAAAAAb7+///M/v//AQAAAAAACTUBAAAJlgAAAAkIAAAACv////8JNQEAAAoJlgAAAAoKCgkIAAAACUkBAAAJCAAAAAH5AAAA8wAAAAG1/v//c////wEAAAAABkwBAAAEUmVhbAZNAQAACERlZHVjdGVkCTIBAAABsf7//3H///8CAAAAAbD+///M/v//AQAAAAAACTUBAAAJpAAAAAkIAAAACv////8JNQEAAAoJpAAAAAoKCgkIAAAACVcBAAAJCAAAAAH8AAAA8wAAAAGn/v//c////wEAAAAABloBAAAEUmVhbAZbAQAACFJlY2VpdmVkCTIBAAABo/7//3H///8CAAAAAaL+///M/v//AQAAAAAACTUBAAAJsgAAAAkIAAAACv////8JNQEAAAoJsgAAAAoKCgkIAAAACWUBAAAJCAAAAAX/A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JNQEAAAZoAQAABkl0ZW1JZAkIAAAABmoBAAABKv////8JNQEAAAoJaAEAAAoKCgkIAAAACW4BAAAJCAAAAAcE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kP7//wP///8GcQEAADFUYWJsZS5JbnZlbnRTdW0uSXRlbUlkflRhYmxlLkludmVudFRhYmxlLkl0ZW1UeXBlCXIBAAABBgEAAHIAAAAHBwEAAAABAAAABAAAAAQ3R2xvYmVTb2Z0d2FyZS5BdGxhczQwLkF0bGFzQ29tbW9uLlR5cGUuRmllbGRPdXRwdXRGaWVsZAIAAAAJ8wAAAA0DBAg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w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M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Yv+//8yR2xvYmVTb2Z0d2FyZS5BdGxhczQwLkF0bGFzQ29tbW9uLkNvbHVtbkF0dHJpYnV0ZXMBAAAAB3ZhbHVlX18ACAIAAAAGAAAABnYBAAAFVG90YWwBif7//4z+//8BiP7//4v+//8JAAAACQgAAAABhv7//4z+//8Bhf7//4v+//8LAAAABnwBAAABMAGD/v//jP7//wGC/v//i/7//wQAAAAGfwEAAAdHZW5lcmFsAYD+//+M/v//AX/+//+L/v//AgAAAAaCAQAAATEBff7//4z+//8BfP7//4v+//8AAAAABoUBAAAFMTcuNDMHC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6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cBAAAIRm9udEJvbGQGiAEAAAVGYWxzZQF3/v//ev7//waKAQAACkZvbnRJdGFsaWMJiAEAAAF0/v//ev7//waNAQAADUZvbnRVbmRlcmxpbmUGjgEAAAUtNDE0MgFx/v//ev7//waQAQAACEZvbnROYW1lBpEBAAAHQ2FsaWJyaQFu/v//ev7//waTAQAACUZvbnRDb2xvcgaUAQAAATABa/7//3r+//8GlgEAAAhGb250U2l6ZQaXAQAAAjExAWj+//96/v//BpkBAAAJRm9udFN0eWxlBpoBAAAHUmVndWxhcgcMAQAAAAEAAAAEAAAABDdHbG9iZVNvZnR3YXJlLkF0bGFzNDAuQXRsYXNDb21tb24uVHlwZS5GaWVsZE91dHB1dEZpZWxkAgAAAAn2AAAADQMHD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T+//+M/v//AWP+//+L/v//CQAAAAkIAAAAAWH+//+M/v//AWD+//+L/v//CwAAAAahAQAAATEBXv7//4z+//8BXf7//4v+//8EAAAABqQBAAAHR2VuZXJhbAFb/v//jP7//wFa/v//i/7//wIAAAAGpwEAAAExAVj+//+M/v//AVf+//+L/v//AAAAAAaqAQAABTE2LjcxBx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7//3r+//8JhwEAAAmIAQAAAVL+//96/v//CYoBAAAJiAEAAAFP/v//ev7//wmNAQAABrMBAAAFLTQxNDIBTP7//3r+//8JkAEAAAa2AQAAB0NhbGlicmkBSf7//3r+//8JkwEAAAa5AQAAATABRv7//3r+//8JlgEAAAa8AQAAAjExAUP+//96/v//CZkBAAAGvwEAAAdSZWd1bGFyBxEBAAAAAQAAAAQAAAAEN0dsb2JlU29mdHdhcmUuQXRsYXM0MC5BdGxhc0NvbW1vbi5UeXBlLkZpZWxkT3V0cHV0RmllbGQCAAAACfkAAAANAwcT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7//4z+//8BPv7//4v+//8JAAAACQgAAAABPP7//4z+//8BO/7//4v+//8LAAAABsYBAAABMgE5/v//jP7//wE4/v//i/7//wQAAAAGyQEAAAdHZW5lcmFsATb+//+M/v//ATX+//+L/v//AgAAAAbMAQAAATEBM/7//4z+//8BMv7//4v+//8AAAAABs8BAAAFMTEuMTQHF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v//ev7//wmHAQAACYgBAAABLf7//3r+//8JigEAAAmIAQAAASr+//96/v//CY0BAAAG2AEAAAUtNDE0MgEn/v//ev7//wmQAQAABtsBAAAHQ2FsaWJyaQEk/v//ev7//wmTAQAABt4BAAABMAEh/v//ev7//wmWAQAABuEBAAACMTEBHv7//3r+//8JmQEAAAbkAQAAB1JlZ3VsYXIHFgEAAAABAAAABAAAAAQ3R2xvYmVTb2Z0d2FyZS5BdGxhczQwLkF0bGFzQ29tbW9uLlR5cGUuRmllbGRPdXRwdXRGaWVsZAIAAAAJ/AAAAA0DBxg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a/v//jP7//wEZ/v//i/7//wkAAAAJCAAAAAEX/v//jP7//wEW/v//i/7//wsAAAAG6wEAAAEzART+//+M/v//ARP+//+L/v//BAAAAAbuAQAAB0dlbmVyYWwBEf7//4z+//8BEP7//4v+//8CAAAABvEBAAABMQEO/v//jP7//wEN/v//i/7//wAAAAAG9AEAAAUxMC43MQca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v+//96/v//CYcBAAAJiAEAAAEI/v//ev7//wmKAQAACYgBAAABBf7//3r+//8JjQEAAAb9AQAABS00MTQyAQL+//96/v//CZABAAAGAAIAAAdDYWxpYnJpAf/9//96/v//CZMBAAAGAwIAAAEwAfz9//96/v//CZYBAAAGBgIAAAIxMQH5/f//ev7//wmZAQAABgkCAAAHUmVndWxhcgcbAQAAAAEAAAAAAAAABDdHbG9iZVNvZnR3YXJlLkF0bGFzNDAuQXRsYXNDb21tb24uVHlwZS5GaWVsZE91dHB1dEZpZWxkAgAAAAcd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v3//4z+//8B9f3//4v+//8kAAAACcEAAAAB8/3//4z+//8B8v3//4v+//8LAAAABg8CAAABNAHw/f//jP7//wHv/f//i/7//wQAAAAGEgIAAAdHZW5lcmFsAe39//+M/v//Aez9//+L/v//AgAAAAYVAgAAATEB6v3//4z+//8B6f3//4v+//8AAAAABhgCAAACMjgB5/3//4z+//8B5v3//4v+//8DAAAABhsCAAB3PUF0bGFzQmFsYW5jZSgiVUFUIixEYXRhQXJlYUlkLCJULkludmVudFRyYW5zIiwiU3VtfFF0eXwwIiwiIiwiIiwiIiwiIiwiIiwiIiwiSXRlbUlkfERhdGVQaHlzaWNhbCIsJEEyLFBlcmlvZEJlZ2lubmluZykHH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f//ev7//wYdAgAACEZvbnRCb2xkCYgBAAAB4f3//3r+//8GIAIAAApGb250SXRhbGljCYgBAAAB3v3//3r+//8GIwIAAA1Gb250VW5kZXJsaW5lBiQCAAAFLTQxNDIB2/3//3r+//8GJgIAAAhGb250TmFtZQYnAgAAB0NhbGlicmkB2P3//3r+//8GKQIAAAlGb250Q29sb3IGKgIAAAEwAdX9//96/v//BiwCAAAIRm9udFNpemUGLQIAAAIxMQHS/f//ev7//wYvAgAACUZvbnRTdHlsZQYwAgAAB1JlZ3VsYXIHI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9//+M/v//Ac79//+L/v//JAAAAAnOAAAAAcz9//+M/v//Acv9//+L/v//CwAAAAY2AgAAATUByf3//4z+//8ByP3//4v+//8EAAAABjkCAAAHR2VuZXJhbAHG/f//jP7//wHF/f//i/7//wIAAAAGPAIAAAExAcP9//+M/v//AcL9//+L/v//AAAAAAY/AgAAAjI1AcD9//+M/v//Ab/9//+L/v//AwAAAAZCAgAAdD1BdGxhc0JhbGFuY2UoIlVBVCIsRGF0YUFyZWFJZCwiVC5JbnZlbnRUcmFucyIsIlN1bXxRdHl8MCIsIiIsIiIsIiIsIiIsIiIsIiIsIkl0ZW1JZHxEYXRlUGh5c2ljYWwiLCRBMixQZXJpb2RFbmRpbmcpBy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3//3r+//8JHQIAAAmIAQAAAbr9//96/v//CSACAAAJiAEAAAG3/f//ev7//wkjAgAABksCAAAFLTQxNDIBtP3//3r+//8JJgIAAAZOAgAAB0NhbGlicmkBsf3//3r+//8JKQIAAAZRAgAAATABrv3//3r+//8JLAIAAAZUAgAAAjExAav9//96/v//CS8CAAAGVwIAAAdSZWd1bGFyByc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o/f//jP7//wGn/f//i/7//yQAAAAJ2wAAAAGl/f//jP7//wGk/f//i/7//wsAAAAGXQIAAAE2AaL9//+M/v//AaH9//+L/v//BAAAAAZgAgAAB0dlbmVyYWwBn/3//4z+//8Bnv3//4v+//8CAAAABmMCAAABMQGc/f//jP7//wGb/f//i/7//wAAAAAGZgIAAAUxOS44NgGZ/f//jP7//wGY/f//i/7//wMAAAAGaQIAAE09W0BbUG9zdGVkIHF1YW50aXR5XV0tW0BEZWR1Y3RlZF0rW0BSZWNlaXZlZF0tW0BbVHJhbnMgYmFja3dvcmRzKEJlZ2lubmluZyldXQcp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9//96/v//CR0CAAAJiAEAAAGT/f//ev7//wkgAgAACYgBAAABkP3//3r+//8JIwIAAAZyAgAABS00MTQyAY39//96/v//CSYCAAAGdQIAAAdDYWxpYnJpAYr9//96/v//CSkCAAAGeAIAAAEwAYf9//96/v//CSwCAAAGewIAAAIxMQGE/f//ev7//wkvAgAABn4CAAAHUmVndWxhcgcs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f3//4z+//8BgP3//4v+//8kAAAACegAAAABfv3//4z+//8Bff3//4v+//8LAAAABoQCAAABNwF7/f//jP7//wF6/f//i/7//wQAAAAGhwIAAAdHZW5lcmFsAXj9//+M/v//AXf9//+L/v//AgAAAAaKAgAAATEBdf3//4z+//8BdP3//4v+//8AAAAABo0CAAAFMTYuODYBcv3//4z+//8Bcf3//4v+//8DAAAABpACAABKPVtAW1Bvc3RlZCBxdWFudGl0eV1dLVtARGVkdWN0ZWRdK1tAUmVjZWl2ZWRdLVtAW1RyYW5zIGJhY2t3b3JkcyhFbmRpbmcpXV0HL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f//ev7//wkdAgAACYgBAAABbP3//3r+//8JIAIAAAmIAQAAAWn9//96/v//CSMCAAAGmQIAAAUtNDE0MgFm/f//ev7//wkmAgAABpwCAAAHQ2FsaWJyaQFj/f//ev7//wkpAgAABp8CAAABMAFg/f//ev7//wksAgAABqICAAACMTEBXf3//3r+//8JLwIAAAalAgAAB1JlZ3VsYXIBMgEAAA4AAACuAAAABqYCAAAJSW52ZW50U3VtBqcCAAART24taGFuZCBpbnZlbnRvcnkJCAAAAAkIAAAACQgAAAABV/3//+D///8AAAAACaoCAAAJqwIAAAFU/f//3f///5LMFUTwIdpCggBWvfZr9rAJCAAAAAkIAAAACa4CAAAJNQEAAAoKCgoKAQAAAAFQ/f//2f///wAAAAABT/3//9j///8AAAAAAAmyAgAABD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m0AgAABE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m2AgAABF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m4AgAABG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AAAAkSAAAAAwAAAAm6AgAABG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kSAAAAAwAAAAm8AgAAAXIBAAD/AAAACTAAAAAGvgIAAAhJdGVtVHlwZQkIAAAABsACAAAIIVNlcnZpY2X/////CTAAAAAKCb4CAAAGwwIAAAZJdGVtSWQKCgkIAAAACcUCAAAJCAAAAAGqAgAAIQAAAA4AAAAJxwIAABEAAAAJyAIAAAGrAgAAIgAAAAIAAAAJxwIAAAMAAAAJygIAAAGuAgAABAAAAAEAAAAJxwIAAAMAAAAJzAIAAAGyAgAAKQAAAAAAAAAJzQIAAAAAAAAHt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f//ev7//wbPAgAACEhlbHBUZXh0BtACAAATSWRlbnRpZmllIGwnYXJ0aWNsZQEv/f//ev7//wbSAgAABUxhYmVsCTEBAAABLP3//3r+//8G1QIAAARUeXBlCTABAAAHt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/f//ev7//wnPAgAABtkCAAAgUXVhbnRpdMOpIHNhaXNpZSBmaW5hbmNpw6hyZW1lbnQBJv3//3r+//8J0gIAAAk/AQAAASP9//96/v//CdUCAAAJPgEAAAe4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D9//96/v//Cc8CAAAG4gIAADNRdWFudGl0w6kgcGh5c2lxdWVtZW50IGTDqWR1aXRlLCBtYWlzIG5vbiB2YWxpZMOpZS4BHf3//3r+//8J0gIAAAlNAQAAARr9//96/v//CdUCAAAJTAEAAAe6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9//96/v//Cc8CAAAG6wIAACxRdWFudGl0w6kgcGh5c2lxdWUgcmXDp3VlLCBtYWlzIG5vbiB2YWxpZMOpZQEU/f//ev7//wnSAgAACVsBAAABEf3//3r+//8J1QIAAAlaAQAAB7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v3//3r+//8J1QIAAAkwAQAAAQv9//96/v//CdICAAAJMQEAAAEI/f//ev7//wb5AgAACFJlZmVyc1RvBvoCAAALPUl0ZW1OdW1iZXIEx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RIAAAADAAAACfwCAAABxwIAABIAAAAHyAI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A/3//w////8G/gIAABZUYWJsZS5JbnZlbnRTdW0uSXRlbUlkCfMAAAABAP3//w////8GAQMAABlUYWJsZS5JbnZlbnRTdW0uUG9zdGVkUXR5CfYAAAAB/fz//w////8GBAMAABhUYWJsZS5JbnZlbnRTdW0uRGVkdWN0ZWQJ+QAAAAH6/P//D////wYHAwAAGFRhYmxlLkludmVudFN1bS5SZWNlaXZlZAn8AAAAB8oC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3/P//A////wYKAwAAGlRhYmxlLkludmVudFN1bS5EYXRhQXJlYUlkCQsDAAAB9Pz//wP///8GDQMAABZUYWJsZS5JbnZlbnRTdW0uSXRlbUlkCQ4DAAAHzAI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8fz//9T///8JMAAAAAkxAAAAAc0CAAByAAAAB/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vz//3r+//8J1QIAAAYUAwAABEVudW0B6/z//3r+//8J0gIAAAYXAwAACUl0ZW0gdHlwZQHo/P//ev7//wn5AgAABhoDAAAJPUl0ZW1UeXBlAQsDAAD/AAAACTUBAAAGHAMAAApEYXRhQXJlYUlkCQgAAAAJCAAAAP////8JNQEAAAoJHAMAAAoKCgkIAAAACSEDAAAJCAAAAAEOAwAA/wAAAAk1AQAABiQDAAAGSXRlbUlkCQgAAAAJCAAAAP////8JNQEAAAoJJAMAAAoKCgkIAAAACSkDAAAJCAAAAAEhAwAAEAAAAAAAAAAJEgAAAAAAAAABKQMAABAAAAAAAAAACRIAAAAAAAAACw==
    <Output>
      <OutputObject name="AtlasReport_2"/>
    </Output>
  </Query>
</Atlas>
</file>

<file path=customXml/item4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J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SXRlbUlkBiQAAAALSXRlbSBudW1iZXIGJQAAAAZTdHJpbmcGJgAAAAAGJwAAACQ4ZTJhMDQ3YS0xNDc5LTQxNTEtOTBhNC0wNWEyYzEzMGI5OTE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CAAAAAAAAAAAF1f///0BHbG9iZVNvZnR3YXJlLkF0bGFzNDAuQXRsYXNDb21tb24uVHlwZS5Db2x1bW4rQ3Jvc3NUYWJDb2x1bW5UeXBlAQAAAAd2YWx1ZV9fAAgOAAAAAAAAAAoBAAAAAAAAAAAAAAAAAAYsAAAAJDU0MzQ1MjA5LTcwYmItNDFiZi1hNGNjLWZmZWFhZjZjYmI2ZAYtAAAAFlRhYmxlLkludmVudFN1bS5JdGVtSWQKCgoKARUAAAAUAAAACS4AAAAJLwAAAAkwAAAABjEAAAAJUG9zdGVkUXR5BjIAAAAPUG9zdGVkIHF1YW50aXR5BjMAAAAEUmVhbAkmAAAABjUAAAAkNGE1MjFiNzYtMWJhNC00Y2YyLThkOTMtZDE0NmFlOTY2MDNmAcr////Y////AQAAAAEAAAAByf///9f///8AAAAAAcj////W////AgAAAAAAAAAAAcf////V////AAAAAAoBAAAAAAAAAAABAAAAAAY6AAAAJDllNGQyODk4LTFmZWYtNGJjYS1hYjcyLTE1YmQzZWY4OWE1YwY7AAAAGVRhYmxlLkludmVudFN1bS5Qb3N0ZWRRdHkKCgoKARYAAAAUAAAACTwAAAAJPQAAAAk+AAAABj8AAAAIRGVkdWN0ZWQGQAAAAAhEZWR1Y3RlZAZBAAAABFJlYWwJJgAAAAZDAAAAJDYzM2UyMDdlLTc0NTgtNGRiYS04ZDE4LWEwZGIxYjEyNjYzZQG8////2P///wEAAAACAAAAAbv////X////AAAAAAG6////1v///wIAAAAAAAAAAAG5////1f///wAAAAAKAQAAAAAAAAAAAgAAAAAGSAAAACRlZjZkYmFjNi1mYmFlLTRiMDYtYTdlNS0xYzY4MzEwN2Q3YjgGSQAAABhUYWJsZS5JbnZlbnRTdW0uRGVkdWN0ZWQKCgoKARcAAAAUAAAACUoAAAAJSwAAAAlMAAAABk0AAAAIUmVjZWl2ZWQGTgAAAAhSZWNlaXZlZAZPAAAABFJlYWwJJgAAAAZRAAAAJDExOTU0NDhjLTE3NWItNGNjOC04YTBjLTFiMDkzNWNmZjY2NwGu////2P///wEAAAADAAAAAa3////X////AAAAAAGs////1v///wIAAAAAAAAAAAGr////1f///wAAAAAKAQAAAAAAAAAAAwAAAAAGVgAAACQzNjI1MmMxNC1mMzhhLTQ2ZmYtYjA3MC01ZTUyYTA2MGQwNjYGVwAAABhUYWJsZS5JbnZlbnRTdW0uUmVjZWl2ZWQKCgoKARgAAAAUAAAACVgAAAAJWQAAAAlaAAAABlsAAAA3QXRsYXNNYW5hZ2VkQ29sdW1uXzE4ZTg3Y2FmLTQ4MmYtNDUzMi1hOTc1LWY5MTI0YmU2ZDk3OQZcAAAAGlRyYW5zIGJhY2t3b3JkcyhCZWdpbm5pbmcpCSYAAAAJJgAAAAZeAAAAJGY3NTdjYzI1LTA1MGMtNDQwNS1iNzA3LWUwYmY0YzBkMDkxYQGh////2P////////8EAAAAAaD////X////AgAAAAGf////1v///wIAAAAAAAAAAAGe////1f///wAAAAAKAQAAAAAAAAAABAAAAAAGYwAAACRmMDM5MGFmMS03OGMzLTQyMmYtOGRmOS0wYjI1YzNiODY3MzQJJgAAAAoKCgoBGQAAABQAAAAJZQAAAAlmAAAACWcAAAAGaAAAADdBdGxhc01hbmFnZWRDb2x1bW5fYWZiMjUwZDktYWFlMi00NDdlLWJjOWYtMDcyZTI4MjZjMTJiBmkAAAAXVHJhbnMgYmFja3dvcmRzKEVuZGluZykJJgAAAAkmAAAABmsAAAAkMWVlNWJlNjgtOTZkNS00ZjliLTllYzItODA1NTc5OWUxNGI4AZT////Y/////////wUAAAABk////9f///8CAAAAAZL////W////AgAAAAAAAAAAAZH////V////AAAAAAoBAAAAAAAAAAAFAAAAAAZwAAAAJGJiYzg3MTE1LWVmNTEtNGU0MC04NDRiLWYxM2E3MDUxMDc4YwkmAAAACgoKCgEaAAAAFAAAAAlyAAAACXMAAAAJdAAAAAZ1AAAAN0F0bGFzTWFuYWdlZENvbHVtbl81OTgwOGNjNi00OWNkLTQ5YWMtYmFhYi02NjkxMzhlM2M5ZmQGdgAAABFCZWdpbm5pbmcgT24taGFuZAkmAAAACSYAAAAGeAAAACQyZGNlM2EyMC1kYTM2LTQwMDYtYTUzYS03MjlhMmY1N2Y0OWUBh////9j/////////BgAAAAGG////1////wIAAAABhf///9b///8CAAAAAAAAAAABhP///9X///8AAAAACgEAAAAAAAAAAAYAAAAABn0AAAAkOTdjZDc5MTQtMjRiZS00NjllLWJhMTAtMWM2OGQ5ODQwMzdjCSYAAAAKCgoKARsAAAAUAAAACX8AAAAJgAAAAAmBAAAABoIAAAA3QXRsYXNNYW5hZ2VkQ29sdW1uXzFlNGM2OWIzLTU5YjgtNDBiOS05ZDQxLThmMzU3M2U0ZWE5MwaDAAAADkVuZGluZyBPbi1oYW5kCSYAAAAJJgAAAAaFAAAAJDFkNzYxNDMyLTEyOWUtNGM5NC1iZjIwLTNjNWVmNGFiODUwNwF6////2P////////8HAAAAAXn////X////AgAAAAF4////1v///wIAAAAAAAAAAAF3////1f///wAAAAAKAQAAAAAAAAAABwAAAAAGigAAACQzZGZmOWM5Ny1mZmE2LTQ3NDUtYmMwYi01OTllMjVlMDIwZWYJJgAAAAoKCgoFHgAAADhHbG9iZVNvZnR3YXJlLkF0bGFzNDAuQXRsYXNDb21tb25DbGllbnQuUmVwb3J0LlJlZmVyZW5jZQEAAAAKX3JlZmVyZW5jZQcIHAAAAAmMAAAABx8AAAAAAQAAAAQAAAAEPEdsb2JlU29mdHdhcmUuQXRsYXM0MC5BdGxhc0NvbW1vbkNsaWVudC5EYXRhU291cmNlRmllbGRWYWx1ZRwAAAAJjQAAAAmOAAAACY8AAAAKBCA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ZAAAAABAAAAAQAAAAQh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SAAAAAJkQAAAAcAAAAJkgAAAAQi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kwAAAAcAAAAJlAAAAAEuAAAAIAAAAAmVAAAAAQAAAAEAAAABLwAAACEAAAAfAAAACZEAAAAHAAAACZcAAAABMAAAACIAAAAcAAAACZMAAAAHAAAACZkAAAABPAAAACAAAAAJmgAAAAEAAAABAAAAAT0AAAAhAAAAHwAAAAmRAAAABwAAAAmcAAAAAT4AAAAiAAAAHAAAAAmTAAAABwAAAAmeAAAAAUoAAAAgAAAACZ8AAAABAAAAAQAAAAFLAAAAIQAAAB8AAAAJkQAAAAcAAAAJoQAAAAFMAAAAIgAAABwAAAAJkwAAAAcAAAAJowAAAAFYAAAAIAAAAAmkAAAAAAAAAAAAAAABWQAAACEAAAAaAAAACZEAAAAHAAAACaYAAAABWgAAACIAAAAVAAAACZMAAAAHAAAACagAAAABZQAAACAAAAAJpAAAAAAAAAAAAAAAAWYAAAAhAAAAGgAAAAmRAAAABwAAAAmrAAAAAWcAAAAiAAAAFQAAAAmTAAAABwAAAAmtAAAAAXIAAAAgAAAACaQAAAAAAAAAAAAAAAFzAAAAIQAAABoAAAAJkQAAAAcAAAAJsAAAAAF0AAAAIgAAABUAAAAJkwAAAAcAAAAJsgAAAAF/AAAAIAAAAAmkAAAAAAAAAAAAAAABgAAAACEAAAAaAAAACZEAAAAHAAAACbUAAAABgQAAACIAAAAVAAAACZMAAAAHAAAACbcAAAAPjAAAAAEAAAAIAQAAAAWNAAAAPEdsb2JlU29mdHdhcmUuQXRsYXM0MC5BdGxhc0NvbW1vbkNsaWVudC5EYXRhU291cmNlRmllbGRWYWx1ZQQAAAASX2lzRHJpbGxEb3duRmlsdGVyBl9kc0tleQpfZmllbGRuYW1lC19maWVsZFZhbHVlAAEBAQEcAAAAAAa4AAAAD1RhYmxlLkludmVudFN1bQa5AAAACkRhdGFBcmVhSWQJBgAAAAGOAAAAjQAAAAAJuAAAAAa8AAAABkl0ZW1JZAa9AAAAASoBjwAAAI0AAAAABr4AAAAoVGFibGUuSW52ZW50U3VtLkl0ZW1JZH5UYWJsZS5JbnZlbnRUYWJsZQa/AAAACEl0ZW1UeXBlBsAAAAAIIVNlcnZpY2UHkAAAAAABAAAABAAAAAQ3R2xvYmVTb2Z0d2FyZS5BdGxhczQwLkF0bGFzQ29tbW9uLlR5cGUuRmllbGRPdXRwdXRGaWVsZA4AAAAJwQAAAA0DBJE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+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T3///8yR2xvYmVTb2Z0d2FyZS5BdGxhczQwLkF0bGFzQ29tbW9uLkNvbHVtbkF0dHJpYnV0ZXMBAAAAB3ZhbHVlX18ACA4AAAAGAAAABsQAAAAFVG90YWwBO////z7///8BOv///z3///8JAAAACSYAAAABOP///z7///8BN////z3///8LAAAABsoAAAABMAE1////Pv///wE0////Pf///wQAAAAGzQAAAAdHZW5lcmFsATL///8+////ATH///89////AgAAAAbQAAAAATEBL////z7///8BLv///z3///8AAAAABtMAAAAFMTcuNDMBkwAAAAwAAAAHl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s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UAAAAIRm9udEJvbGQG1gAAAAVGYWxzZQEp////LP///wbYAAAACkZvbnRJdGFsaWMJ1gAAAAEm////LP///wbbAAAADUZvbnRVbmRlcmxpbmUG3AAAAAUtNDE0MgEj////LP///wbeAAAACEZvbnROYW1lBt8AAAAHQ2FsaWJyaQEg////LP///wbhAAAACUZvbnRDb2xvcgbiAAAAATABHf///yz///8G5AAAAAhGb250U2l6ZQblAAAAAjExARr///8s////BucAAAAJRm9udFN0eWxlBugAAAAHUmVndWxhcgeVAAAAAAEAAAAEAAAABDdHbG9iZVNvZnR3YXJlLkF0bGFzNDAuQXRsYXNDb21tb24uVHlwZS5GaWVsZE91dHB1dEZpZWxkDgAAAAnpAAAADQMHl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b///8+////ARX///89////CQAAAAkmAAAAARP///8+////ARL///89////CwAAAAbvAAAAATEBEP///z7///8BD////z3///8EAAAABvIAAAAHR2VuZXJhbAEN////Pv///wEM////Pf///wIAAAAG9QAAAAExAQr///8+////AQn///89////AAAAAAb4AAAABTE2LjcxB5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///yz///8J1QAAAAnWAAAAAQT///8s////CdgAAAAJ1gAAAAEB////LP///wnbAAAABgEBAAAFLTQxNDIB/v7//yz///8J3gAAAAYEAQAAB0NhbGlicmkB+/7//yz///8J4QAAAAYHAQAAATAB+P7//yz///8J5AAAAAYKAQAAAjExAfX+//8s////CecAAAAGDQEAAAdSZWd1bGFyB5oAAAAAAQAAAAQAAAAEN0dsb2JlU29mdHdhcmUuQXRsYXM0MC5BdGxhc0NvbW1vbi5UeXBlLkZpZWxkT3V0cHV0RmllbGQOAAAACQ4BAAANAwec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8f7//z7///8B8P7//z3///8JAAAACSYAAAAB7v7//z7///8B7f7//z3///8LAAAABhQBAAABMgHr/v//Pv///wHq/v//Pf///wQAAAAGFwEAAAdHZW5lcmFsAej+//8+////Aef+//89////AgAAAAYaAQAAATEB5f7//z7///8B5P7//z3///8AAAAABh0BAAAFMTEuMTQHn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i/v//LP///wnVAAAACdYAAAAB3/7//yz///8J2AAAAAnWAAAAAdz+//8s////CdsAAAAGJgEAAAUtNDE0MgHZ/v//LP///wneAAAABikBAAAHQ2FsaWJyaQHW/v//LP///wnhAAAABiwBAAABMAHT/v//LP///wnkAAAABi8BAAACMTEB0P7//yz///8J5wAAAAYyAQAAB1JlZ3VsYXIHnwAAAAABAAAABAAAAAQ3R2xvYmVTb2Z0d2FyZS5BdGxhczQwLkF0bGFzQ29tbW9uLlR5cGUuRmllbGRPdXRwdXRGaWVsZA4AAAAJMwEAAA0DB6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M/v//Pv///wHL/v//Pf///wkAAAAJJgAAAAHJ/v//Pv///wHI/v//Pf///wsAAAAGOQEAAAEzAcb+//8+////AcX+//89////BAAAAAY8AQAAB0dlbmVyYWwBw/7//z7///8Bwv7//z3///8CAAAABj8BAAABMQHA/v//Pv///wG//v//Pf///wAAAAAGQgEAAAUxMC43MQej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+//8s////CdUAAAAJ1gAAAAG6/v//LP///wnYAAAACdYAAAABt/7//yz///8J2wAAAAZLAQAABS00MTQyAbT+//8s////Cd4AAAAGTgEAAAdDYWxpYnJpAbH+//8s////CeEAAAAGUQEAAAEwAa7+//8s////CeQAAAAGVAEAAAIxMQGr/v//LP///wnnAAAABlcBAAAHUmVndWxhcgekAAAAAAEAAAAAAAAABDdHbG9iZVNvZnR3YXJlLkF0bGFzNDAuQXRsYXNDb21tb24uVHlwZS5GaWVsZE91dHB1dEZpZWxkDgAAAAem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7//z7///8Bp/7//z3///8kAAAACVwAAAABpf7//z7///8BpP7//z3///8LAAAABl0BAAABNAGi/v//Pv///wGh/v//Pf///wQAAAAGYAEAAAdHZW5lcmFsAZ/+//8+////AZ7+//89////AgAAAAZjAQAAATEBnP7//z7///8Bm/7//z3///8AAAAABmYBAAACMjgBmf7//z7///8BmP7//z3///8DAAAABmkBAAB3PUF0bGFzQmFsYW5jZSgiVUFUIixEYXRhQXJlYUlkLCJULkludmVudFRyYW5zIiwiU3VtfFF0eXwwIiwiIiwiIiwiIiwiIiwiIiwiIiwiSXRlbUlkfERhdGVQaHlzaWNhbCIsJEEyLFBlcmlvZEJlZ2lubmluZykHq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/v//LP///wZrAQAACEZvbnRCb2xkCdYAAAABk/7//yz///8GbgEAAApGb250SXRhbGljCdYAAAABkP7//yz///8GcQEAAA1Gb250VW5kZXJsaW5lBnIBAAAFLTQxNDIBjf7//yz///8GdAEAAAhGb250TmFtZQZ1AQAAB0NhbGlicmkBiv7//yz///8GdwEAAAlGb250Q29sb3IGeAEAAAEwAYf+//8s////BnoBAAAIRm9udFNpemUGewEAAAIxMQGE/v//LP///wZ9AQAACUZvbnRTdHlsZQZ+AQAAB1JlZ3VsYXIHq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H+//8+////AYD+//89////JAAAAAlpAAAAAX7+//8+////AX3+//89////CwAAAAaEAQAAATUBe/7//z7///8Bev7//z3///8EAAAABocBAAAHR2VuZXJhbAF4/v//Pv///wF3/v//Pf///wIAAAAGigEAAAExAXX+//8+////AXT+//89////AAAAAAaNAQAAAjI1AXL+//8+////AXH+//89////AwAAAAaQAQAAdD1BdGxhc0JhbGFuY2UoIlVBVCIsRGF0YUFyZWFJZCwiVC5JbnZlbnRUcmFucyIsIlN1bXxRdHl8MCIsIiIsIiIsIiIsIiIsIiIsIiIsIkl0ZW1JZHxEYXRlUGh5c2ljYWwiLCRBMixQZXJpb2RFbmRpbmcpB60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7//yz///8JawEAAAnWAAAAAWz+//8s////CW4BAAAJ1gAAAAFp/v//LP///wlxAQAABpkBAAAFLTQxNDIBZv7//yz///8JdAEAAAacAQAAB0NhbGlicmkBY/7//yz///8JdwEAAAafAQAAATABYP7//yz///8JegEAAAaiAQAAAjExAV3+//8s////CX0BAAAGpQEAAAdSZWd1bGFyB7A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a/v//Pv///wFZ/v//Pf///yQAAAAJdgAAAAFX/v//Pv///wFW/v//Pf///wsAAAAGqwEAAAE2AVT+//8+////AVP+//89////BAAAAAauAQAAB0dlbmVyYWwBUf7//z7///8BUP7//z3///8CAAAABrEBAAABMQFO/v//Pv///wFN/v//Pf///wAAAAAGtAEAAAUxOS44NgFL/v//Pv///wFK/v//Pf///wMAAAAGtwEAAE09W0BbUG9zdGVkIHF1YW50aXR5XV0tW0BEZWR1Y3RlZF0rW0BSZWNlaXZlZF0tW0BbVHJhbnMgYmFja3dvcmRzKEJlZ2lubmluZyldXQey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j+//8s////CWsBAAAJ1gAAAAFF/v//LP///wluAQAACdYAAAABQv7//yz///8JcQEAAAbAAQAABS00MTQyAT/+//8s////CXQBAAAGwwEAAAdDYWxpYnJpATz+//8s////CXcBAAAGxgEAAAEwATn+//8s////CXoBAAAGyQEAAAIxMQE2/v//LP///wl9AQAABswBAAAHUmVndWxhcge1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/7//z7///8BMv7//z3///8kAAAACYMAAAABMP7//z7///8BL/7//z3///8LAAAABtIBAAABNwEt/v//Pv///wEs/v//Pf///wQAAAAG1QEAAAdHZW5lcmFsASr+//8+////ASn+//89////AgAAAAbYAQAAATEBJ/7//z7///8BJv7//z3///8AAAAABtsBAAAFMTYuODYBJP7//z7///8BI/7//z3///8DAAAABt4BAABKPVtAW1Bvc3RlZCBxdWFudGl0eV1dLVtARGVkdWN0ZWRdK1tAUmVjZWl2ZWRdLVtAW1RyYW5zIGJhY2t3b3JkcyhFbmRpbmcpXV0Ht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v//LP///wlrAQAACdYAAAABHv7//yz///8JbgEAAAnWAAAAARv+//8s////CXEBAAAG5wEAAAUtNDE0MgEY/v//LP///wl0AQAABuoBAAAHQ2FsaWJyaQEV/v//LP///wl3AQAABu0BAAABMAES/v//LP///wl6AQAABvABAAACMTEBD/7//yz///8JfQEAAAbzAQAAB1JlZ3VsYXIFw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DP7//9j/////////AAb1AQAABlN0cmluZwb2AQAAC0l0ZW0gbnVtYmVyCfcBAAABCP7//9b///8CAAAABQf+//85R2xvYmVTb2Z0d2FyZS5BdGxhczQwLkF0bGFzQ29tbW9uLk51bWJlclNlcXVlbmNlQ29uZGl0aW9uAQAAAAd2YWx1ZV9fAAgOAAAAAQAAAAAABvoBAAAPVGFibGUuSW52ZW50U3VtCSMAAAAJJgAAAAr/////CfoBAAAKCSMAAAAKCgoJJgAAAAkAAgAACSYAAAAB6QAAAMEAAAAB/v3//9j///8BAAAAAAYDAgAABFJlYWwGBAIAAA9Qb3N0ZWQgcXVhbnRpdHkJ9wEAAAH6/f//1v///wIAAAAB+f3//wf+//8BAAAAAAAJ+gEAAAkxAAAACSYAAAAK/////wn6AQAACgkxAAAACgoKCSYAAAAJDgIAAAkmAAAAAQ4BAADBAAAAAfD9///Y////AQAAAAAGEQIAAARSZWFsBhICAAAIRGVkdWN0ZWQJ9wEAAAHs/f//1v///wIAAAAB6/3//wf+//8BAAAAAAAJ+gEAAAk/AAAACSYAAAAK/////wn6AQAACgk/AAAACgoKCSYAAAAJHAIAAAkmAAAAATMBAADBAAAAAeL9///Y////AQAAAAAGHwIAAARSZWFsBiACAAAIUmVjZWl2ZWQJ9wEAAAHe/f//1v///wIAAAAB3f3//wf+//8BAAAAAAAJ+gEAAAlNAAAACSYAAAAK/////wn6AQAACglNAAAACgoKCSYAAAAJKgIAAAkmAAAABfc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4AAAAGLAIAAAlJbnZlbnRTdW0GLQIAABFPbi1oYW5kIGludmVudG9yeQkmAAAACSYAAAAJJgAAAAXR/f//MEdsb2JlU29mdHdhcmUuQXRsYXM0MC5BdGxhc0NvbW1vbi5EYXRhU291cmNlVHlwZQEAAAAHdmFsdWVfXwAIDgAAAAAAAAAJMAIAAAkxAgAABM79//8LU3lzdGVtLkd1aWQLAAAAAl9hAl9iAl9jAl9kAl9lAl9mAl9nAl9oAl9pAl9qAl9rAAAAAAAAAAAAAAAIBwcCAgICAgICApLMFUTwIdpCggBWvfZr9rAJJgAAAAkmAAAACTQCAAAJ+gEAAAoKCgoKAQAAAAXK/f//NEdsb2JlU29mdHdhcmUuQXRsYXM0MC5BdGxhc0NvbW1vbi5EYXRhU291cmNlSm9pbk1vZGUBAAAAB3ZhbHVlX18ACA4AAAAAAAAABcn9//81R2xvYmVTb2Z0d2FyZS5BdGxhczQwLkF0bGFzQ29tbW9uLkRhdGFTb3VyY2VGZXRjaE1vZGUBAAAAB3ZhbHVlX18ACA4AAAAAAAAAAAk4AgAAAQACAAAiAAAAEQAAAAmTAAAAAwAAAAk6AgAAAQ4CAAAiAAAAEQAAAAmTAAAAAwAAAAk8AgAAARwCAAAiAAAAEQAAAAmTAAAAAwAAAAk+AgAAASoCAAAiAAAAEQAAAAmTAAAAAwAAAAlAAgAABDA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OAAAACUECAAARAAAACUICAAAEMQ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lBAgAAAwAAAAlEAgAABDQ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UECAAADAAAACUYCAAAEOA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RwIAAAAAAAAHO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4/f//LP///wZJAgAACEhlbHBUZXh0BkoCAAATSWRlbnRpZmllIGwnYXJ0aWNsZQG1/f//LP///wZMAgAABUxhYmVsCfYBAAABsv3//yz///8GTwIAAARUeXBlCfUBAAAHP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f//LP///wlJAgAABlMCAAAgUXVhbnRpdMOpIHNhaXNpZSBmaW5hbmNpw6hyZW1lbnQBrP3//yz///8JTAIAAAkEAgAAAan9//8s////CU8CAAAJAwIAAAc+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b9//8s////CUkCAAAGXAIAADNRdWFudGl0w6kgcGh5c2lxdWVtZW50IGTDqWR1aXRlLCBtYWlzIG5vbiB2YWxpZMOpZS4Bo/3//yz///8JTAIAAAkSAgAAAaD9//8s////CU8CAAAJEQIAAAdA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39//8s////CUkCAAAGZQIAACxRdWFudGl0w6kgcGh5c2lxdWUgcmXDp3VlLCBtYWlzIG5vbiB2YWxpZMOpZQGa/f//LP///wlMAgAACSACAAABl/3//yz///8JTwIAAAkfAgAAAUECAAAMAAAAB0IC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JT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m0CAAAWVGFibGUuSW52ZW50U3VtLkl0ZW1JZAnBAAAAAZH9//+U/f//BnACAAAZVGFibGUuSW52ZW50U3VtLlBvc3RlZFF0eQnpAAAAAY79//+U/f//BnMCAAAYVGFibGUuSW52ZW50U3VtLkRlZHVjdGVkCQ4BAAABi/3//5T9//8GdgIAABhUYWJsZS5JbnZlbnRTdW0uUmVjZWl2ZWQJMwEAAAdEAg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iP3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Z5AgAAGlRhYmxlLkludmVudFN1bS5EYXRhQXJlYUlkCXoCAAABhf3//4j9//8GfAIAABZUYWJsZS5JbnZlbnRTdW0uSXRlbUlkCX0CAAAHRgI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gv3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vgAAAAmAAgAABEc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V6A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+gEAAAaCAgAACkRhdGFBcmVhSWQJJgAAAAkmAAAA/////wn6AQAACgmCAgAACgoKCSYAAAAJhwIAAAkmAAAAAX0CAAB6AgAACfoBAAAGigIAAAZJdGVtSWQJJgAAAAkmAAAA/////wn6AQAACgmKAgAACgoKCSYAAAAJjwIAAAkmAAAAAYACAAD3AQAA/////waRAgAAC0ludmVudFRhYmxlBpICAAAFSXRlbXMJJgAAAAkmAAAACSYAAAABbP3//9H9//8AAAAACZUCAAAJlgIAAAFp/f//zv3//0BHGdnIavdDjT+4JsE0eRYJJgAAAAkmAAAACZkCAAAJvgAAAAabAgAACUludmVudFN1bQacAgAAD1RhYmxlLkludmVudFN1bQadAgAAFlRhYmxlLkludmVudFN1bS5JdGVtSWQGngIAAAZJdGVtSWQGnwIAAAZJdGVtSWQBAAAAAWD9///K/f//AAAAAAFf/f//yf3//wAAAAAACaICAAAEh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kwAAAAAAAAAEj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kwAAAAAAAAAEl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ZMAAAAAAAAAAZYCAAAxAgAAAQAAAAmTAAAAAwAAAAmkAgAABJk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TAAAAAAAAAAGiAgAAOAIAAAAAAAAJpgIAAAAAAAAHpAI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n9//+I/f//BqgCAAAxVGFibGUuSW52ZW50U3VtLkl0ZW1JZH5UYWJsZS5JbnZlbnRUYWJsZS5JdGVtVHlwZQmpAgAAAaYCAABHAgAAAakCAAB6AgAACb4AAAAJvwAAAAkmAAAACcAAAAD/////Cb4AAAAKCb8AAAAGsAIAAAZJdGVtSWQKCgkmAAAACbICAAAJJgAAAAGyAgAAIgAAABIAAAAJkwAAAAMAAAAJtQIAAAe1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r9//8s////CU8CAAAGuAIAAARFbnVtAUf9//8s////CUwCAAAGuwIAAAlJdGVtIHR5cGUBRP3//yz///8GvQIAAAhSZWZlcnNUbwa+AgAACT1JdGVtVHlwZQs=</Report>
</Atlas>
</file>

<file path=customXml/itemProps1.xml><?xml version="1.0" encoding="utf-8"?>
<ds:datastoreItem xmlns:ds="http://schemas.openxmlformats.org/officeDocument/2006/customXml" ds:itemID="{ACCE9B94-A894-4CC1-B8F7-25903B22B539}">
  <ds:schemaRefs/>
</ds:datastoreItem>
</file>

<file path=customXml/itemProps2.xml><?xml version="1.0" encoding="utf-8"?>
<ds:datastoreItem xmlns:ds="http://schemas.openxmlformats.org/officeDocument/2006/customXml" ds:itemID="{B45D79B7-5D5F-4C6D-96A5-6B43FEF3F9A8}">
  <ds:schemaRefs/>
</ds:datastoreItem>
</file>

<file path=customXml/itemProps3.xml><?xml version="1.0" encoding="utf-8"?>
<ds:datastoreItem xmlns:ds="http://schemas.openxmlformats.org/officeDocument/2006/customXml" ds:itemID="{D0EA32FE-C2A3-4034-84F8-4EC09BB0867F}">
  <ds:schemaRefs/>
</ds:datastoreItem>
</file>

<file path=customXml/itemProps4.xml><?xml version="1.0" encoding="utf-8"?>
<ds:datastoreItem xmlns:ds="http://schemas.openxmlformats.org/officeDocument/2006/customXml" ds:itemID="{2327427D-A82A-4470-846C-834C07969FE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General</vt:lpstr>
      <vt:lpstr>InventTrans</vt:lpstr>
      <vt:lpstr>InventSum</vt:lpstr>
      <vt:lpstr>Report</vt:lpstr>
      <vt:lpstr>InventTrans!AtlasReport_1</vt:lpstr>
      <vt:lpstr>InventSum!AtlasReport_2</vt:lpstr>
      <vt:lpstr>DataAreaId</vt:lpstr>
      <vt:lpstr>DateFormat</vt:lpstr>
      <vt:lpstr>DateRange</vt:lpstr>
      <vt:lpstr>DateRegion</vt:lpstr>
      <vt:lpstr>FromDate</vt:lpstr>
      <vt:lpstr>ItemNumber</vt:lpstr>
      <vt:lpstr>ItemType</vt:lpstr>
      <vt:lpstr>PeriodBeginning</vt:lpstr>
      <vt:lpstr>PeriodEnding</vt:lpstr>
      <vt:lpstr>Region</vt:lpstr>
      <vt:lpstr>ToDate</vt:lpstr>
    </vt:vector>
  </TitlesOfParts>
  <Company>Simpson Strong-Tie Company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2018-01-02T05:20:07Z</dcterms:created>
  <dcterms:modified xsi:type="dcterms:W3CDTF">2018-01-05T05:01:34Z</dcterms:modified>
</cp:coreProperties>
</file>