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2600"/>
  </bookViews>
  <sheets>
    <sheet name="General" sheetId="1" r:id="rId1"/>
    <sheet name="ReportChart" sheetId="7" r:id="rId2"/>
    <sheet name="ReportDetails" sheetId="6" r:id="rId3"/>
    <sheet name="SalesDelivery" sheetId="5" r:id="rId4"/>
    <sheet name="Holidays" sheetId="4" r:id="rId5"/>
    <sheet name="Notes" sheetId="3" r:id="rId6"/>
  </sheets>
  <functionGroups builtInGroupCount="17"/>
  <definedNames>
    <definedName name="AtlasReport_2" localSheetId="3">SalesDelivery!$A$1:$I$231</definedName>
    <definedName name="DataAreaId">General!$C$2</definedName>
    <definedName name="DateFormat">General!$G$1</definedName>
    <definedName name="DatePeriod">General!$C$6</definedName>
    <definedName name="FromDate">General!$C$4</definedName>
    <definedName name="ToDate">General!$C$5</definedName>
  </definedNames>
  <calcPr calcId="145621"/>
</workbook>
</file>

<file path=xl/calcChain.xml><?xml version="1.0" encoding="utf-8"?>
<calcChain xmlns="http://schemas.openxmlformats.org/spreadsheetml/2006/main">
  <c r="I3" i="5" l="1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H230" i="5"/>
  <c r="G1" i="1"/>
  <c r="C6" i="1" l="1"/>
</calcChain>
</file>

<file path=xl/sharedStrings.xml><?xml version="1.0" encoding="utf-8"?>
<sst xmlns="http://schemas.openxmlformats.org/spreadsheetml/2006/main" count="955" uniqueCount="276">
  <si>
    <t>Company:</t>
  </si>
  <si>
    <t>Date format:</t>
  </si>
  <si>
    <t>From date:</t>
  </si>
  <si>
    <t>To date:</t>
  </si>
  <si>
    <t>Date period:</t>
  </si>
  <si>
    <t>Total</t>
  </si>
  <si>
    <t>Sales order</t>
  </si>
  <si>
    <t>360362ApP0001228</t>
  </si>
  <si>
    <t>360362ApP0001230</t>
  </si>
  <si>
    <t>360364ApP0001099</t>
  </si>
  <si>
    <t>360364ApP0001105</t>
  </si>
  <si>
    <t>360364ApP0001106</t>
  </si>
  <si>
    <t>360364ApP0001108</t>
  </si>
  <si>
    <t>360364ApP0001118</t>
  </si>
  <si>
    <t>360364ApP0001119</t>
  </si>
  <si>
    <t>360364ApP0001120</t>
  </si>
  <si>
    <t>360ApP0006142</t>
  </si>
  <si>
    <t>360ApP0006143</t>
  </si>
  <si>
    <t>360ApP0006294</t>
  </si>
  <si>
    <t>360ApP0006295</t>
  </si>
  <si>
    <t>360ApP0006322</t>
  </si>
  <si>
    <t>360ApP0006323</t>
  </si>
  <si>
    <t>360ApP0006356</t>
  </si>
  <si>
    <t>366ApP0000546</t>
  </si>
  <si>
    <t>366ApP0000547</t>
  </si>
  <si>
    <t>SO0000599</t>
  </si>
  <si>
    <t>SO0000609</t>
  </si>
  <si>
    <t>SO0000610</t>
  </si>
  <si>
    <t>SO0000612</t>
  </si>
  <si>
    <t>SO0000616</t>
  </si>
  <si>
    <t>SO0000619</t>
  </si>
  <si>
    <t>SO0000621</t>
  </si>
  <si>
    <t>SO0000622</t>
  </si>
  <si>
    <t>SO0000624</t>
  </si>
  <si>
    <t>SO0000625</t>
  </si>
  <si>
    <t>SO0000636</t>
  </si>
  <si>
    <t>SO0000637</t>
  </si>
  <si>
    <t>SO0000638</t>
  </si>
  <si>
    <t>SO0000639</t>
  </si>
  <si>
    <t>SO0000640</t>
  </si>
  <si>
    <t>SO0000641</t>
  </si>
  <si>
    <t>SO0000642</t>
  </si>
  <si>
    <t>SO0000643</t>
  </si>
  <si>
    <t>SO0000644</t>
  </si>
  <si>
    <t>SO0000645</t>
  </si>
  <si>
    <t>SO0000646</t>
  </si>
  <si>
    <t>SO0000647</t>
  </si>
  <si>
    <t>SO0000648</t>
  </si>
  <si>
    <t>SO0000649</t>
  </si>
  <si>
    <t>SO0000650</t>
  </si>
  <si>
    <t>SO0000651</t>
  </si>
  <si>
    <t>SO0000652</t>
  </si>
  <si>
    <t>SO0000654</t>
  </si>
  <si>
    <t>SO0000656</t>
  </si>
  <si>
    <t>SO0000657</t>
  </si>
  <si>
    <t>SO0000658</t>
  </si>
  <si>
    <t>SO0000661</t>
  </si>
  <si>
    <t>SO0000662</t>
  </si>
  <si>
    <t>SO0000663</t>
  </si>
  <si>
    <t>SO0000664</t>
  </si>
  <si>
    <t>SO0000665</t>
  </si>
  <si>
    <t>SO0000666</t>
  </si>
  <si>
    <t>SO0000667</t>
  </si>
  <si>
    <t>SO0000668</t>
  </si>
  <si>
    <t>SO0000669</t>
  </si>
  <si>
    <t>SO0000670</t>
  </si>
  <si>
    <t>SO0000671</t>
  </si>
  <si>
    <t>SO0000672</t>
  </si>
  <si>
    <t>SO0000673</t>
  </si>
  <si>
    <t>SO0000674</t>
  </si>
  <si>
    <t>SO0000675</t>
  </si>
  <si>
    <t>SO0000676</t>
  </si>
  <si>
    <t>SO0000677</t>
  </si>
  <si>
    <t>SO0000678</t>
  </si>
  <si>
    <t>SO0000681</t>
  </si>
  <si>
    <t>SO0000682</t>
  </si>
  <si>
    <t>SO0000685</t>
  </si>
  <si>
    <t>SO0000689</t>
  </si>
  <si>
    <t>SO0000691</t>
  </si>
  <si>
    <t>SO0000692</t>
  </si>
  <si>
    <t>SO0000693</t>
  </si>
  <si>
    <t>SO0000694</t>
  </si>
  <si>
    <t>SO0000695</t>
  </si>
  <si>
    <t>SO0000696</t>
  </si>
  <si>
    <t>SO0000698</t>
  </si>
  <si>
    <t>SO0000699</t>
  </si>
  <si>
    <t>SO0000703</t>
  </si>
  <si>
    <t>SO0000704</t>
  </si>
  <si>
    <t>SO0000705</t>
  </si>
  <si>
    <t>SO0000706</t>
  </si>
  <si>
    <t>SO0000707</t>
  </si>
  <si>
    <t>SO0000709</t>
  </si>
  <si>
    <t>SO0000710</t>
  </si>
  <si>
    <t>SO0000711</t>
  </si>
  <si>
    <t>SO0000712</t>
  </si>
  <si>
    <t>SO0000713</t>
  </si>
  <si>
    <t>SO0000714</t>
  </si>
  <si>
    <t>SO0000715</t>
  </si>
  <si>
    <t>SO0000716</t>
  </si>
  <si>
    <t>SO0000717</t>
  </si>
  <si>
    <t>SO0000718</t>
  </si>
  <si>
    <t>SO0000721</t>
  </si>
  <si>
    <t>SO0000722</t>
  </si>
  <si>
    <t>SO0000724</t>
  </si>
  <si>
    <t>SO0000725</t>
  </si>
  <si>
    <t>SO0000726</t>
  </si>
  <si>
    <t>SO0000727</t>
  </si>
  <si>
    <t>SO0000728</t>
  </si>
  <si>
    <t>SO0000729</t>
  </si>
  <si>
    <t>SO0000730</t>
  </si>
  <si>
    <t>SO0000731</t>
  </si>
  <si>
    <t>SO0000732</t>
  </si>
  <si>
    <t>SO0000734</t>
  </si>
  <si>
    <t>SO0000735</t>
  </si>
  <si>
    <t>SO0000736</t>
  </si>
  <si>
    <t>SO0000737</t>
  </si>
  <si>
    <t>SO0000738</t>
  </si>
  <si>
    <t>SO0000739</t>
  </si>
  <si>
    <t>SO0000741</t>
  </si>
  <si>
    <t>SO0000743</t>
  </si>
  <si>
    <t>SO0000744</t>
  </si>
  <si>
    <t>SO0000752</t>
  </si>
  <si>
    <t>SO0000753</t>
  </si>
  <si>
    <t>SO0000754</t>
  </si>
  <si>
    <t>SO0000755</t>
  </si>
  <si>
    <t>SO0000757</t>
  </si>
  <si>
    <t>Created date</t>
  </si>
  <si>
    <t>Ship date</t>
  </si>
  <si>
    <t>Customer group</t>
  </si>
  <si>
    <t>IC-AX</t>
  </si>
  <si>
    <t>Export</t>
  </si>
  <si>
    <t>Domestic</t>
  </si>
  <si>
    <t>Export3C</t>
  </si>
  <si>
    <t>PeriodOfTime</t>
  </si>
  <si>
    <t>I would like to have an overview of the period of time between order entry and date of packing slip.</t>
  </si>
  <si>
    <t>Information I think we need:</t>
  </si>
  <si>
    <t>•</t>
  </si>
  <si>
    <t>All sales orders with a packing slip date within the selected period of time</t>
  </si>
  <si>
    <t>We don't need credit notes (NICE TO HAVE, no must)</t>
  </si>
  <si>
    <t>For these filtered sales orders I need the period of time (measures in days) between order entry and date of packing slip</t>
  </si>
  <si>
    <t xml:space="preserve">I would like to have an average per month split by IC-orders and other orders. </t>
  </si>
  <si>
    <t>A graph would be nice to show development per split and per total. (average of period)</t>
  </si>
  <si>
    <t>Customer packing slips</t>
  </si>
  <si>
    <t>Terms</t>
  </si>
  <si>
    <t>Mode of delivery</t>
  </si>
  <si>
    <t>Sales quantity</t>
  </si>
  <si>
    <t>CPT</t>
  </si>
  <si>
    <t>Freight</t>
  </si>
  <si>
    <t>REG</t>
  </si>
  <si>
    <t>FED</t>
  </si>
  <si>
    <t>EXW</t>
  </si>
  <si>
    <t>DDP</t>
  </si>
  <si>
    <t>PUP</t>
  </si>
  <si>
    <t>ShipMonth</t>
  </si>
  <si>
    <t>2021Jan</t>
  </si>
  <si>
    <t>2021Feb</t>
  </si>
  <si>
    <t>2021Mar</t>
  </si>
  <si>
    <t>Overall</t>
  </si>
  <si>
    <t>ShipMonth\CustGroup</t>
  </si>
  <si>
    <t>AFF</t>
  </si>
  <si>
    <t>SO0000745</t>
  </si>
  <si>
    <t>SO0000740</t>
  </si>
  <si>
    <t>SO0000761</t>
  </si>
  <si>
    <t>SO0000762</t>
  </si>
  <si>
    <t>360ApP0006398</t>
  </si>
  <si>
    <t>SO0000723</t>
  </si>
  <si>
    <t>SO0000539</t>
  </si>
  <si>
    <t>SO0000746</t>
  </si>
  <si>
    <t>360ApP0006399</t>
  </si>
  <si>
    <t>SO0000766</t>
  </si>
  <si>
    <t>SO0000767</t>
  </si>
  <si>
    <t>SO0000771</t>
  </si>
  <si>
    <t>SO0000756</t>
  </si>
  <si>
    <t>SO0000758</t>
  </si>
  <si>
    <t>SO0000747</t>
  </si>
  <si>
    <t>SO0000748</t>
  </si>
  <si>
    <t>SO0000759</t>
  </si>
  <si>
    <t>SO0000781</t>
  </si>
  <si>
    <t>SO0000782</t>
  </si>
  <si>
    <t>360369ApP0000917</t>
  </si>
  <si>
    <t>SO0000775</t>
  </si>
  <si>
    <t>SO0000773</t>
  </si>
  <si>
    <t>360369ApP0000918</t>
  </si>
  <si>
    <t>SO0000760</t>
  </si>
  <si>
    <t>360364ApP0001140</t>
  </si>
  <si>
    <t>SO0000660</t>
  </si>
  <si>
    <t>SO0000742</t>
  </si>
  <si>
    <t>SO0000785</t>
  </si>
  <si>
    <t>SO0000784</t>
  </si>
  <si>
    <t>SO0000787</t>
  </si>
  <si>
    <t>SO0000788</t>
  </si>
  <si>
    <t>360364ApP0001141</t>
  </si>
  <si>
    <t>360ApP0006278</t>
  </si>
  <si>
    <t>360ApP0006279</t>
  </si>
  <si>
    <t>360ApP0006506</t>
  </si>
  <si>
    <t>FCA</t>
  </si>
  <si>
    <t>SO0000795</t>
  </si>
  <si>
    <t>SO0000786</t>
  </si>
  <si>
    <t>DAP</t>
  </si>
  <si>
    <t>SO0000768</t>
  </si>
  <si>
    <t>SO0000769</t>
  </si>
  <si>
    <t>SO0000790</t>
  </si>
  <si>
    <t>SO0000733</t>
  </si>
  <si>
    <t>SO0000796</t>
  </si>
  <si>
    <t>SO0000776</t>
  </si>
  <si>
    <t>SO0000789</t>
  </si>
  <si>
    <t>SO0000804</t>
  </si>
  <si>
    <t>SO0000809</t>
  </si>
  <si>
    <t>SO0000806</t>
  </si>
  <si>
    <t>SO0000774</t>
  </si>
  <si>
    <t>SO0000800</t>
  </si>
  <si>
    <t>SO0000801</t>
  </si>
  <si>
    <t>SO0000802</t>
  </si>
  <si>
    <t>SO0000763</t>
  </si>
  <si>
    <t>SO0000792</t>
  </si>
  <si>
    <t>SO0000810</t>
  </si>
  <si>
    <t>SO0000814</t>
  </si>
  <si>
    <t>SO0000797</t>
  </si>
  <si>
    <t>360369ApP0000951</t>
  </si>
  <si>
    <t>360369ApP0000952</t>
  </si>
  <si>
    <t>SO0000783</t>
  </si>
  <si>
    <t>SO0000808</t>
  </si>
  <si>
    <t>SO0000749</t>
  </si>
  <si>
    <t>SO0000750</t>
  </si>
  <si>
    <t>SO0000751</t>
  </si>
  <si>
    <t>SO0000825</t>
  </si>
  <si>
    <t>SO0000815</t>
  </si>
  <si>
    <t>SO0000817</t>
  </si>
  <si>
    <t>360ApP0006612</t>
  </si>
  <si>
    <t>360ApP0006613</t>
  </si>
  <si>
    <t>SO0000832</t>
  </si>
  <si>
    <t>SO0000833</t>
  </si>
  <si>
    <t>SO0000827</t>
  </si>
  <si>
    <t>SO0000826</t>
  </si>
  <si>
    <t>SO0000811</t>
  </si>
  <si>
    <t>SO0000818</t>
  </si>
  <si>
    <t>SO0000824</t>
  </si>
  <si>
    <t>360371ApP0001270</t>
  </si>
  <si>
    <t>360371ApP0001271</t>
  </si>
  <si>
    <t>360ApP0006638</t>
  </si>
  <si>
    <t>360ApP0006639</t>
  </si>
  <si>
    <t>SO0000835</t>
  </si>
  <si>
    <t>SO0000834</t>
  </si>
  <si>
    <t>SO0000842</t>
  </si>
  <si>
    <t>SO0000845</t>
  </si>
  <si>
    <t>SO0000812</t>
  </si>
  <si>
    <t>360ApP0006664</t>
  </si>
  <si>
    <t>SO0000848</t>
  </si>
  <si>
    <t>SO0000700</t>
  </si>
  <si>
    <t>SO0000831</t>
  </si>
  <si>
    <t>SO0000791</t>
  </si>
  <si>
    <t>SO0000853</t>
  </si>
  <si>
    <t>SO0000851</t>
  </si>
  <si>
    <t>SO0000854</t>
  </si>
  <si>
    <t>SO0000856</t>
  </si>
  <si>
    <t>SO0000813</t>
  </si>
  <si>
    <t>SO0000823</t>
  </si>
  <si>
    <t>SO0000844</t>
  </si>
  <si>
    <t>2021Apr</t>
  </si>
  <si>
    <t>2021May</t>
  </si>
  <si>
    <t>2021Jun</t>
  </si>
  <si>
    <t>Version:</t>
    <phoneticPr fontId="3" type="noConversion"/>
  </si>
  <si>
    <t>V1</t>
    <phoneticPr fontId="3" type="noConversion"/>
  </si>
  <si>
    <t>Initial version</t>
    <phoneticPr fontId="3" type="noConversion"/>
  </si>
  <si>
    <t>Note:</t>
    <phoneticPr fontId="3" type="noConversion"/>
  </si>
  <si>
    <t>1. Please maintain the holidays in sheet "Holidays", all holidays should be listed in column A and they will be used to calculate time of delivery in sheet "SalesDelivery", column E.</t>
    <phoneticPr fontId="3" type="noConversion"/>
  </si>
  <si>
    <t>2. Maintain the parameters from C2 to C5, then click "Refresh" in Atlas5.1 to fetch the latest data.</t>
    <phoneticPr fontId="3" type="noConversion"/>
  </si>
  <si>
    <t>3. Click button "Generate report" to get the data present in sheet ReportChart and ReportDetails.</t>
    <phoneticPr fontId="3" type="noConversion"/>
  </si>
  <si>
    <t>SO0000807</t>
  </si>
  <si>
    <t>SO0000855</t>
  </si>
  <si>
    <t>360371ApP0001287</t>
  </si>
  <si>
    <t>360371ApP0001292</t>
  </si>
  <si>
    <t>SO0000864</t>
  </si>
  <si>
    <t>SO0000863</t>
  </si>
  <si>
    <t>360ApP0006614</t>
  </si>
  <si>
    <t>360ApP0006615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</si>
</sst>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* #,##0.00_ ;_ * \-#,##0.00_ ;_ * &quot;-&quot;??_ ;_ @_ "/>
  </numFmts>
  <fonts count="6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sz val="11"/>
      <color rgb="FF000000"/>
      <name val="宋体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>
      <alignment vertical="center"/>
    </xf>
  </cellStyleXfs>
  <cellXfs count="12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0" fontId="2" fillId="0" borderId="0" xfId="0" applyNumberFormat="1" applyFont="1" applyAlignment="1"/>
    <xf numFmtId="22" fontId="0" fillId="0" borderId="0" xfId="0" applyNumberFormat="1" applyAlignment="1"/>
    <xf numFmtId="22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164" fontId="0" fillId="0" borderId="0" xfId="2" applyFont="1" applyAlignment="1"/>
  </cellXfs>
  <cellStyles count="3">
    <cellStyle name="Comma" xfId="2" builtinId="3"/>
    <cellStyle name="Normal" xfId="0" builtinId="0"/>
    <cellStyle name="Title" xfId="1" builtinId="15"/>
  </cellStyles>
  <dxfs count="18"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27" formatCode="m/d/yyyy\ h:mm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27" formatCode="m/d/yyyy\ h:mm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of period of time per customer group and month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v>Overall</c:v>
          </c:tx>
          <c:invertIfNegative val="0"/>
          <c:cat>
            <c:strRef>
              <c:f>ReportDetails!$A$2:$A$7</c:f>
              <c:strCache>
                <c:ptCount val="6"/>
                <c:pt idx="0">
                  <c:v>2021Jan</c:v>
                </c:pt>
                <c:pt idx="1">
                  <c:v>2021Feb</c:v>
                </c:pt>
                <c:pt idx="2">
                  <c:v>2021Mar</c:v>
                </c:pt>
                <c:pt idx="3">
                  <c:v>2021Apr</c:v>
                </c:pt>
                <c:pt idx="4">
                  <c:v>2021May</c:v>
                </c:pt>
                <c:pt idx="5">
                  <c:v>2021Jun</c:v>
                </c:pt>
              </c:strCache>
            </c:strRef>
          </c:cat>
          <c:val>
            <c:numRef>
              <c:f>ReportDetails!$F$2:$F$7</c:f>
              <c:numCache>
                <c:formatCode>_ * #,##0.00_ ;_ * \-#,##0.00_ ;_ * "-"??_ ;_ @_ </c:formatCode>
                <c:ptCount val="6"/>
                <c:pt idx="0">
                  <c:v>8.3030303030303028</c:v>
                </c:pt>
                <c:pt idx="1">
                  <c:v>9.1071428571428577</c:v>
                </c:pt>
                <c:pt idx="2">
                  <c:v>11.5</c:v>
                </c:pt>
                <c:pt idx="3">
                  <c:v>14.058823529411764</c:v>
                </c:pt>
                <c:pt idx="4">
                  <c:v>15.444444444444445</c:v>
                </c:pt>
                <c:pt idx="5">
                  <c:v>10.083333333333334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725248"/>
        <c:axId val="52728576"/>
      </c:barChart>
      <c:lineChart>
        <c:grouping val="standard"/>
        <c:varyColors val="0"/>
        <c:ser>
          <c:idx val="0"/>
          <c:order val="0"/>
          <c:tx>
            <c:v>Export</c:v>
          </c:tx>
          <c:val>
            <c:numRef>
              <c:f>ReportDetails!$B$2:$B$7</c:f>
              <c:numCache>
                <c:formatCode>_ * #,##0.00_ ;_ * \-#,##0.00_ ;_ * "-"??_ ;_ @_ </c:formatCode>
                <c:ptCount val="6"/>
                <c:pt idx="0">
                  <c:v>9.1199999999999992</c:v>
                </c:pt>
                <c:pt idx="1">
                  <c:v>10.666666666666666</c:v>
                </c:pt>
                <c:pt idx="2">
                  <c:v>13.96875</c:v>
                </c:pt>
                <c:pt idx="3">
                  <c:v>20.833333333333332</c:v>
                </c:pt>
                <c:pt idx="4">
                  <c:v>14.222222222222221</c:v>
                </c:pt>
                <c:pt idx="5">
                  <c:v>11.117647058823529</c:v>
                </c:pt>
              </c:numCache>
            </c:numRef>
          </c:val>
          <c:smooth val="0"/>
        </c:ser>
        <c:ser>
          <c:idx val="1"/>
          <c:order val="1"/>
          <c:tx>
            <c:v>Domestic</c:v>
          </c:tx>
          <c:val>
            <c:numRef>
              <c:f>ReportDetails!$C$2:$C$7</c:f>
              <c:numCache>
                <c:formatCode>_ * #,##0.00_ ;_ * \-#,##0.00_ ;_ * "-"??_ ;_ @_ </c:formatCode>
                <c:ptCount val="6"/>
                <c:pt idx="0">
                  <c:v>6</c:v>
                </c:pt>
                <c:pt idx="1">
                  <c:v>5.4</c:v>
                </c:pt>
                <c:pt idx="2">
                  <c:v>7.333333333333333</c:v>
                </c:pt>
                <c:pt idx="3">
                  <c:v>6.666666666666667</c:v>
                </c:pt>
                <c:pt idx="4">
                  <c:v>9.25</c:v>
                </c:pt>
                <c:pt idx="5">
                  <c:v>1.5</c:v>
                </c:pt>
              </c:numCache>
            </c:numRef>
          </c:val>
          <c:smooth val="0"/>
        </c:ser>
        <c:ser>
          <c:idx val="2"/>
          <c:order val="2"/>
          <c:tx>
            <c:v>Export3C</c:v>
          </c:tx>
          <c:val>
            <c:numRef>
              <c:f>ReportDetails!$D$2:$D$7</c:f>
              <c:numCache>
                <c:formatCode>_ * #,##0.00_ ;_ * \-#,##0.00_ ;_ * "-"??_ ;_ @_ </c:formatCode>
                <c:ptCount val="6"/>
                <c:pt idx="0">
                  <c:v>6.666666666666667</c:v>
                </c:pt>
                <c:pt idx="1">
                  <c:v>8.7142857142857135</c:v>
                </c:pt>
                <c:pt idx="2">
                  <c:v>9.6666666666666661</c:v>
                </c:pt>
                <c:pt idx="3">
                  <c:v>16.222222222222221</c:v>
                </c:pt>
                <c:pt idx="4">
                  <c:v>24.571428571428573</c:v>
                </c:pt>
                <c:pt idx="5">
                  <c:v>16.5</c:v>
                </c:pt>
              </c:numCache>
            </c:numRef>
          </c:val>
          <c:smooth val="0"/>
        </c:ser>
        <c:ser>
          <c:idx val="3"/>
          <c:order val="3"/>
          <c:tx>
            <c:v>IC-AX</c:v>
          </c:tx>
          <c:val>
            <c:numRef>
              <c:f>ReportDetails!$E$2:$E$7</c:f>
              <c:numCache>
                <c:formatCode>_ * #,##0.00_ ;_ * \-#,##0.00_ ;_ * "-"??_ ;_ @_ </c:formatCode>
                <c:ptCount val="6"/>
                <c:pt idx="0">
                  <c:v>2</c:v>
                </c:pt>
                <c:pt idx="1">
                  <c:v>9.75</c:v>
                </c:pt>
                <c:pt idx="2">
                  <c:v>8.615384615384615</c:v>
                </c:pt>
                <c:pt idx="3">
                  <c:v>6</c:v>
                </c:pt>
                <c:pt idx="4">
                  <c:v>13</c:v>
                </c:pt>
                <c:pt idx="5">
                  <c:v>6.5454545454545459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25248"/>
        <c:axId val="52728576"/>
      </c:lineChart>
      <c:catAx>
        <c:axId val="52725248"/>
        <c:scaling>
          <c:orientation val="minMax"/>
        </c:scaling>
        <c:delete val="0"/>
        <c:axPos val="b"/>
        <c:majorTickMark val="out"/>
        <c:minorTickMark val="none"/>
        <c:tickLblPos val="nextTo"/>
        <c:crossAx val="52728576"/>
        <c:crosses val="autoZero"/>
        <c:auto val="1"/>
        <c:lblAlgn val="ctr"/>
        <c:lblOffset val="100"/>
        <c:noMultiLvlLbl val="0"/>
      </c:catAx>
      <c:valAx>
        <c:axId val="52728576"/>
        <c:scaling>
          <c:orientation val="minMax"/>
        </c:scaling>
        <c:delete val="0"/>
        <c:axPos val="l"/>
        <c:majorGridlines/>
        <c:numFmt formatCode="_ * #,##0.00_ ;_ * \-#,##0.00_ ;_ * &quot;-&quot;??_ ;_ @_ " sourceLinked="1"/>
        <c:majorTickMark val="out"/>
        <c:minorTickMark val="none"/>
        <c:tickLblPos val="nextTo"/>
        <c:crossAx val="52725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2</xdr:row>
          <xdr:rowOff>0</xdr:rowOff>
        </xdr:from>
        <xdr:to>
          <xdr:col>7</xdr:col>
          <xdr:colOff>504825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390525</xdr:colOff>
      <xdr:row>2</xdr:row>
      <xdr:rowOff>0</xdr:rowOff>
    </xdr:from>
    <xdr:to>
      <xdr:col>26</xdr:col>
      <xdr:colOff>323850</xdr:colOff>
      <xdr:row>36</xdr:row>
      <xdr:rowOff>38100</xdr:rowOff>
    </xdr:to>
    <xdr:graphicFrame macro="">
      <xdr:nvGraphicFramePr>
        <xdr:cNvPr id="2" name="AveragePerGroupMont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AveragePerGroupMonth" displayName="AveragePerGroupMonth" ref="A1:F7" totalsRowShown="0" headerRowCellStyle="Comma" dataCellStyle="Comma">
  <autoFilter ref="A1:F7"/>
  <tableColumns count="6">
    <tableColumn id="1" name="ShipMonth\CustGroup" dataCellStyle="Comma"/>
    <tableColumn id="2" name="Export" dataCellStyle="Comma"/>
    <tableColumn id="3" name="Domestic" dataCellStyle="Comma"/>
    <tableColumn id="4" name="Export3C" dataCellStyle="Comma"/>
    <tableColumn id="5" name="IC-AX" dataCellStyle="Comma"/>
    <tableColumn id="6" name="Overall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AtlasReport_2_Table_1" displayName="AtlasReport_2_Table_1" ref="A2:I230" totalsRowCount="1">
  <autoFilter ref="A2:I229"/>
  <tableColumns count="9">
    <tableColumn id="1" name="Sales order" totalsRowLabel="Total" dataDxfId="17" totalsRowDxfId="9"/>
    <tableColumn id="2" name="Customer group" dataDxfId="16" totalsRowDxfId="8"/>
    <tableColumn id="3" name="Created date" dataDxfId="15" totalsRowDxfId="7"/>
    <tableColumn id="4" name="Ship date" dataDxfId="14" totalsRowDxfId="6"/>
    <tableColumn id="5" name="PeriodOfTime" dataDxfId="10" totalsRowDxfId="5">
      <calculatedColumnFormula>NETWORKDAYS(AtlasReport_2_Table_1[[#This Row],[Created date]],AtlasReport_2_Table_1[[#This Row],[Ship date]],Holidays!A:A)</calculatedColumnFormula>
    </tableColumn>
    <tableColumn id="6" name="Terms" dataDxfId="13" totalsRowDxfId="4"/>
    <tableColumn id="7" name="Mode of delivery" dataDxfId="12" totalsRowDxfId="3"/>
    <tableColumn id="8" name="Sales quantity" totalsRowFunction="sum" dataDxfId="11" totalsRowDxfId="2"/>
    <tableColumn id="9" name="ShipMonth" dataDxfId="0" totalsRowDxfId="1">
      <calculatedColumnFormula>TEXT(AtlasReport_2_Table_1[[#This Row],[Ship date]],"YYYYMMM")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General"/>
  <dimension ref="B1:N13"/>
  <sheetViews>
    <sheetView tabSelected="1" workbookViewId="0">
      <selection activeCell="C6" sqref="C6"/>
    </sheetView>
  </sheetViews>
  <sheetFormatPr defaultRowHeight="15"/>
  <cols>
    <col min="2" max="2" width="12" bestFit="1" customWidth="1"/>
    <col min="3" max="3" width="22.85546875" bestFit="1" customWidth="1"/>
    <col min="6" max="6" width="12.140625" bestFit="1" customWidth="1"/>
    <col min="12" max="12" width="10.42578125" bestFit="1" customWidth="1"/>
  </cols>
  <sheetData>
    <row r="1" spans="2:14">
      <c r="F1" t="s">
        <v>1</v>
      </c>
      <c r="G1" t="str">
        <f>GetDateFormat()</f>
        <v>mm/dd/yyyy</v>
      </c>
      <c r="L1" t="s">
        <v>261</v>
      </c>
    </row>
    <row r="2" spans="2:14">
      <c r="B2" t="s">
        <v>0</v>
      </c>
      <c r="C2">
        <v>372</v>
      </c>
      <c r="L2" s="1">
        <v>44368</v>
      </c>
      <c r="M2" t="s">
        <v>262</v>
      </c>
      <c r="N2" t="s">
        <v>263</v>
      </c>
    </row>
    <row r="4" spans="2:14">
      <c r="B4" t="s">
        <v>2</v>
      </c>
      <c r="C4" s="1">
        <v>44197</v>
      </c>
    </row>
    <row r="5" spans="2:14">
      <c r="B5" t="s">
        <v>3</v>
      </c>
      <c r="C5" s="1">
        <v>44377</v>
      </c>
    </row>
    <row r="6" spans="2:14">
      <c r="B6" t="s">
        <v>4</v>
      </c>
      <c r="C6" t="str">
        <f>TEXT(FromDate,DateFormat) &amp; " .. " &amp; TEXT(ToDate,DateFormat)</f>
        <v>01/01/2021 .. 06/30/2021</v>
      </c>
    </row>
    <row r="10" spans="2:14">
      <c r="B10" t="s">
        <v>264</v>
      </c>
    </row>
    <row r="11" spans="2:14">
      <c r="B11" t="s">
        <v>265</v>
      </c>
    </row>
    <row r="12" spans="2:14">
      <c r="B12" t="s">
        <v>266</v>
      </c>
    </row>
    <row r="13" spans="2:14">
      <c r="B13" t="s">
        <v>267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4</xdr:col>
                    <xdr:colOff>666750</xdr:colOff>
                    <xdr:row>2</xdr:row>
                    <xdr:rowOff>0</xdr:rowOff>
                  </from>
                  <to>
                    <xdr:col>7</xdr:col>
                    <xdr:colOff>504825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Chart">
    <tabColor rgb="FFFFFF00"/>
  </sheetPr>
  <dimension ref="A1"/>
  <sheetViews>
    <sheetView workbookViewId="0">
      <selection activeCell="J40" sqref="J40"/>
    </sheetView>
  </sheetViews>
  <sheetFormatPr defaultRowHeight="15"/>
  <sheetData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Details">
    <tabColor rgb="FFFFFF00"/>
  </sheetPr>
  <dimension ref="A1:F7"/>
  <sheetViews>
    <sheetView workbookViewId="0">
      <selection activeCell="A19" sqref="A19"/>
    </sheetView>
  </sheetViews>
  <sheetFormatPr defaultRowHeight="15"/>
  <cols>
    <col min="1" max="1" width="24.140625" customWidth="1"/>
    <col min="2" max="2" width="9.42578125" customWidth="1"/>
    <col min="3" max="5" width="11.7109375" customWidth="1"/>
    <col min="6" max="6" width="10.5703125" customWidth="1"/>
  </cols>
  <sheetData>
    <row r="1" spans="1:6">
      <c r="A1" s="11" t="s">
        <v>158</v>
      </c>
      <c r="B1" s="11" t="s">
        <v>130</v>
      </c>
      <c r="C1" s="11" t="s">
        <v>131</v>
      </c>
      <c r="D1" s="11" t="s">
        <v>132</v>
      </c>
      <c r="E1" s="11" t="s">
        <v>129</v>
      </c>
      <c r="F1" s="11" t="s">
        <v>157</v>
      </c>
    </row>
    <row r="2" spans="1:6">
      <c r="A2" s="11" t="s">
        <v>154</v>
      </c>
      <c r="B2" s="11">
        <v>9.1199999999999992</v>
      </c>
      <c r="C2" s="11">
        <v>6</v>
      </c>
      <c r="D2" s="11">
        <v>6.666666666666667</v>
      </c>
      <c r="E2" s="11">
        <v>2</v>
      </c>
      <c r="F2" s="11">
        <v>8.3030303030303028</v>
      </c>
    </row>
    <row r="3" spans="1:6">
      <c r="A3" s="11" t="s">
        <v>155</v>
      </c>
      <c r="B3" s="11">
        <v>10.666666666666666</v>
      </c>
      <c r="C3" s="11">
        <v>5.4</v>
      </c>
      <c r="D3" s="11">
        <v>8.7142857142857135</v>
      </c>
      <c r="E3" s="11">
        <v>9.75</v>
      </c>
      <c r="F3" s="11">
        <v>9.1071428571428577</v>
      </c>
    </row>
    <row r="4" spans="1:6">
      <c r="A4" s="11" t="s">
        <v>156</v>
      </c>
      <c r="B4" s="11">
        <v>13.96875</v>
      </c>
      <c r="C4" s="11">
        <v>7.333333333333333</v>
      </c>
      <c r="D4" s="11">
        <v>9.6666666666666661</v>
      </c>
      <c r="E4" s="11">
        <v>8.615384615384615</v>
      </c>
      <c r="F4" s="11">
        <v>11.5</v>
      </c>
    </row>
    <row r="5" spans="1:6">
      <c r="A5" s="11" t="s">
        <v>258</v>
      </c>
      <c r="B5" s="11">
        <v>20.833333333333332</v>
      </c>
      <c r="C5" s="11">
        <v>6.666666666666667</v>
      </c>
      <c r="D5" s="11">
        <v>16.222222222222221</v>
      </c>
      <c r="E5" s="11">
        <v>6</v>
      </c>
      <c r="F5" s="11">
        <v>14.058823529411764</v>
      </c>
    </row>
    <row r="6" spans="1:6">
      <c r="A6" s="11" t="s">
        <v>259</v>
      </c>
      <c r="B6" s="11">
        <v>14.222222222222221</v>
      </c>
      <c r="C6" s="11">
        <v>9.25</v>
      </c>
      <c r="D6" s="11">
        <v>24.571428571428573</v>
      </c>
      <c r="E6" s="11">
        <v>13</v>
      </c>
      <c r="F6" s="11">
        <v>15.444444444444445</v>
      </c>
    </row>
    <row r="7" spans="1:6">
      <c r="A7" s="11" t="s">
        <v>260</v>
      </c>
      <c r="B7" s="11">
        <v>11.117647058823529</v>
      </c>
      <c r="C7" s="11">
        <v>1.5</v>
      </c>
      <c r="D7" s="11">
        <v>16.5</v>
      </c>
      <c r="E7" s="11">
        <v>6.5454545454545459</v>
      </c>
      <c r="F7" s="11">
        <v>10.083333333333334</v>
      </c>
    </row>
  </sheetData>
  <sortState ref="A2:A4">
    <sortCondition ref="A2:A4"/>
  </sortState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alesDelivery">
    <tabColor rgb="FF92D050"/>
  </sheetPr>
  <dimension ref="A1:I232"/>
  <sheetViews>
    <sheetView workbookViewId="0">
      <selection activeCell="E64" sqref="E64:E121"/>
    </sheetView>
  </sheetViews>
  <sheetFormatPr defaultRowHeight="15"/>
  <cols>
    <col min="1" max="1" width="17.85546875" customWidth="1"/>
    <col min="2" max="2" width="17.5703125" customWidth="1"/>
    <col min="3" max="3" width="18.42578125" customWidth="1"/>
    <col min="4" max="4" width="11.5703125" customWidth="1"/>
    <col min="5" max="5" width="18.5703125" customWidth="1"/>
    <col min="6" max="6" width="8.7109375" customWidth="1"/>
    <col min="7" max="7" width="18.7109375" customWidth="1"/>
    <col min="8" max="8" width="15.85546875" customWidth="1"/>
    <col min="9" max="9" width="19.7109375" customWidth="1"/>
  </cols>
  <sheetData>
    <row r="1" spans="1:9" ht="22.5">
      <c r="A1" s="2" t="s">
        <v>142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</v>
      </c>
      <c r="B2" s="3" t="s">
        <v>128</v>
      </c>
      <c r="C2" s="7" t="s">
        <v>126</v>
      </c>
      <c r="D2" s="9" t="s">
        <v>127</v>
      </c>
      <c r="E2" s="3" t="s">
        <v>133</v>
      </c>
      <c r="F2" s="3" t="s">
        <v>143</v>
      </c>
      <c r="G2" s="3" t="s">
        <v>144</v>
      </c>
      <c r="H2" s="3" t="s">
        <v>145</v>
      </c>
      <c r="I2" s="3" t="s">
        <v>153</v>
      </c>
    </row>
    <row r="3" spans="1:9">
      <c r="A3" s="5" t="s">
        <v>33</v>
      </c>
      <c r="B3" s="5" t="s">
        <v>130</v>
      </c>
      <c r="C3" s="8">
        <v>44183.772037037037</v>
      </c>
      <c r="D3" s="10">
        <v>44202</v>
      </c>
      <c r="E3" s="6">
        <f>NETWORKDAYS(AtlasReport_2_Table_1[[#This Row],[Created date]],AtlasReport_2_Table_1[[#This Row],[Ship date]],Holidays!A:A)</f>
        <v>12</v>
      </c>
      <c r="F3" s="5" t="s">
        <v>146</v>
      </c>
      <c r="G3" s="5" t="s">
        <v>147</v>
      </c>
      <c r="H3" s="6">
        <v>251</v>
      </c>
      <c r="I3" s="6" t="str">
        <f>TEXT(AtlasReport_2_Table_1[[#This Row],[Ship date]],"YYYYMMM")</f>
        <v>2021Jan</v>
      </c>
    </row>
    <row r="4" spans="1:9">
      <c r="A4" s="5" t="s">
        <v>38</v>
      </c>
      <c r="B4" s="5" t="s">
        <v>131</v>
      </c>
      <c r="C4" s="8">
        <v>44201.792233796295</v>
      </c>
      <c r="D4" s="10">
        <v>44202</v>
      </c>
      <c r="E4" s="6">
        <f>NETWORKDAYS(AtlasReport_2_Table_1[[#This Row],[Created date]],AtlasReport_2_Table_1[[#This Row],[Ship date]],Holidays!A:A)</f>
        <v>2</v>
      </c>
      <c r="F4" s="5" t="s">
        <v>146</v>
      </c>
      <c r="G4" s="5" t="s">
        <v>148</v>
      </c>
      <c r="H4" s="6">
        <v>51</v>
      </c>
      <c r="I4" s="6" t="str">
        <f>TEXT(AtlasReport_2_Table_1[[#This Row],[Ship date]],"YYYYMMM")</f>
        <v>2021Jan</v>
      </c>
    </row>
    <row r="5" spans="1:9">
      <c r="A5" s="5" t="s">
        <v>34</v>
      </c>
      <c r="B5" s="5" t="s">
        <v>130</v>
      </c>
      <c r="C5" s="8">
        <v>44183.775509259256</v>
      </c>
      <c r="D5" s="10">
        <v>44202</v>
      </c>
      <c r="E5" s="6">
        <f>NETWORKDAYS(AtlasReport_2_Table_1[[#This Row],[Created date]],AtlasReport_2_Table_1[[#This Row],[Ship date]],Holidays!A:A)</f>
        <v>12</v>
      </c>
      <c r="F5" s="5" t="s">
        <v>146</v>
      </c>
      <c r="G5" s="5" t="s">
        <v>149</v>
      </c>
      <c r="H5" s="6">
        <v>43</v>
      </c>
      <c r="I5" s="6" t="str">
        <f>TEXT(AtlasReport_2_Table_1[[#This Row],[Ship date]],"YYYYMMM")</f>
        <v>2021Jan</v>
      </c>
    </row>
    <row r="6" spans="1:9">
      <c r="A6" s="5" t="s">
        <v>31</v>
      </c>
      <c r="B6" s="5" t="s">
        <v>130</v>
      </c>
      <c r="C6" s="8">
        <v>44183.756099537037</v>
      </c>
      <c r="D6" s="10">
        <v>44202</v>
      </c>
      <c r="E6" s="6">
        <f>NETWORKDAYS(AtlasReport_2_Table_1[[#This Row],[Created date]],AtlasReport_2_Table_1[[#This Row],[Ship date]],Holidays!A:A)</f>
        <v>12</v>
      </c>
      <c r="F6" s="5" t="s">
        <v>146</v>
      </c>
      <c r="G6" s="5" t="s">
        <v>148</v>
      </c>
      <c r="H6" s="6">
        <v>1301</v>
      </c>
      <c r="I6" s="6" t="str">
        <f>TEXT(AtlasReport_2_Table_1[[#This Row],[Ship date]],"YYYYMMM")</f>
        <v>2021Jan</v>
      </c>
    </row>
    <row r="7" spans="1:9">
      <c r="A7" s="5" t="s">
        <v>28</v>
      </c>
      <c r="B7" s="5" t="s">
        <v>130</v>
      </c>
      <c r="C7" s="8">
        <v>44169.77752314815</v>
      </c>
      <c r="D7" s="10">
        <v>44203</v>
      </c>
      <c r="E7" s="6">
        <f>NETWORKDAYS(AtlasReport_2_Table_1[[#This Row],[Created date]],AtlasReport_2_Table_1[[#This Row],[Ship date]],Holidays!A:A)</f>
        <v>23</v>
      </c>
      <c r="F7" s="5" t="s">
        <v>150</v>
      </c>
      <c r="G7" s="5" t="s">
        <v>148</v>
      </c>
      <c r="H7" s="6">
        <v>102</v>
      </c>
      <c r="I7" s="6" t="str">
        <f>TEXT(AtlasReport_2_Table_1[[#This Row],[Ship date]],"YYYYMMM")</f>
        <v>2021Jan</v>
      </c>
    </row>
    <row r="8" spans="1:9">
      <c r="A8" s="5" t="s">
        <v>36</v>
      </c>
      <c r="B8" s="5" t="s">
        <v>130</v>
      </c>
      <c r="C8" s="8">
        <v>44201.765949074077</v>
      </c>
      <c r="D8" s="10">
        <v>44203</v>
      </c>
      <c r="E8" s="6">
        <f>NETWORKDAYS(AtlasReport_2_Table_1[[#This Row],[Created date]],AtlasReport_2_Table_1[[#This Row],[Ship date]],Holidays!A:A)</f>
        <v>3</v>
      </c>
      <c r="F8" s="5" t="s">
        <v>146</v>
      </c>
      <c r="G8" s="5" t="s">
        <v>148</v>
      </c>
      <c r="H8" s="6">
        <v>301</v>
      </c>
      <c r="I8" s="6" t="str">
        <f>TEXT(AtlasReport_2_Table_1[[#This Row],[Ship date]],"YYYYMMM")</f>
        <v>2021Jan</v>
      </c>
    </row>
    <row r="9" spans="1:9">
      <c r="A9" s="5" t="s">
        <v>30</v>
      </c>
      <c r="B9" s="5" t="s">
        <v>130</v>
      </c>
      <c r="C9" s="8">
        <v>44180.855706018519</v>
      </c>
      <c r="D9" s="10">
        <v>44203</v>
      </c>
      <c r="E9" s="6">
        <f>NETWORKDAYS(AtlasReport_2_Table_1[[#This Row],[Created date]],AtlasReport_2_Table_1[[#This Row],[Ship date]],Holidays!A:A)</f>
        <v>16</v>
      </c>
      <c r="F9" s="5" t="s">
        <v>150</v>
      </c>
      <c r="G9" s="5" t="s">
        <v>148</v>
      </c>
      <c r="H9" s="6">
        <v>2</v>
      </c>
      <c r="I9" s="6" t="str">
        <f>TEXT(AtlasReport_2_Table_1[[#This Row],[Ship date]],"YYYYMMM")</f>
        <v>2021Jan</v>
      </c>
    </row>
    <row r="10" spans="1:9">
      <c r="A10" s="5" t="s">
        <v>35</v>
      </c>
      <c r="B10" s="5" t="s">
        <v>132</v>
      </c>
      <c r="C10" s="8">
        <v>44201.687048611115</v>
      </c>
      <c r="D10" s="10">
        <v>44203</v>
      </c>
      <c r="E10" s="6">
        <f>NETWORKDAYS(AtlasReport_2_Table_1[[#This Row],[Created date]],AtlasReport_2_Table_1[[#This Row],[Ship date]],Holidays!A:A)</f>
        <v>3</v>
      </c>
      <c r="F10" s="5" t="s">
        <v>146</v>
      </c>
      <c r="G10" s="5" t="s">
        <v>148</v>
      </c>
      <c r="H10" s="6">
        <v>638</v>
      </c>
      <c r="I10" s="6" t="str">
        <f>TEXT(AtlasReport_2_Table_1[[#This Row],[Ship date]],"YYYYMMM")</f>
        <v>2021Jan</v>
      </c>
    </row>
    <row r="11" spans="1:9">
      <c r="A11" s="5" t="s">
        <v>40</v>
      </c>
      <c r="B11" s="5" t="s">
        <v>130</v>
      </c>
      <c r="C11" s="8">
        <v>44202.679340277777</v>
      </c>
      <c r="D11" s="10">
        <v>44207</v>
      </c>
      <c r="E11" s="6">
        <f>NETWORKDAYS(AtlasReport_2_Table_1[[#This Row],[Created date]],AtlasReport_2_Table_1[[#This Row],[Ship date]],Holidays!A:A)</f>
        <v>4</v>
      </c>
      <c r="F11" s="5" t="s">
        <v>146</v>
      </c>
      <c r="G11" s="5" t="s">
        <v>149</v>
      </c>
      <c r="H11" s="6">
        <v>353</v>
      </c>
      <c r="I11" s="6" t="str">
        <f>TEXT(AtlasReport_2_Table_1[[#This Row],[Ship date]],"YYYYMMM")</f>
        <v>2021Jan</v>
      </c>
    </row>
    <row r="12" spans="1:9">
      <c r="A12" s="5" t="s">
        <v>29</v>
      </c>
      <c r="B12" s="5" t="s">
        <v>131</v>
      </c>
      <c r="C12" s="8">
        <v>44176.694097222222</v>
      </c>
      <c r="D12" s="10">
        <v>44207</v>
      </c>
      <c r="E12" s="6">
        <f>NETWORKDAYS(AtlasReport_2_Table_1[[#This Row],[Created date]],AtlasReport_2_Table_1[[#This Row],[Ship date]],Holidays!A:A)</f>
        <v>20</v>
      </c>
      <c r="F12" s="5" t="s">
        <v>150</v>
      </c>
      <c r="G12" s="5" t="s">
        <v>147</v>
      </c>
      <c r="H12" s="6">
        <v>4001</v>
      </c>
      <c r="I12" s="6" t="str">
        <f>TEXT(AtlasReport_2_Table_1[[#This Row],[Ship date]],"YYYYMMM")</f>
        <v>2021Jan</v>
      </c>
    </row>
    <row r="13" spans="1:9">
      <c r="A13" s="5" t="s">
        <v>25</v>
      </c>
      <c r="B13" s="5" t="s">
        <v>130</v>
      </c>
      <c r="C13" s="8">
        <v>44159.685081018521</v>
      </c>
      <c r="D13" s="10">
        <v>44207</v>
      </c>
      <c r="E13" s="6">
        <f>NETWORKDAYS(AtlasReport_2_Table_1[[#This Row],[Created date]],AtlasReport_2_Table_1[[#This Row],[Ship date]],Holidays!A:A)</f>
        <v>33</v>
      </c>
      <c r="F13" s="5" t="s">
        <v>150</v>
      </c>
      <c r="G13" s="5" t="s">
        <v>147</v>
      </c>
      <c r="H13" s="6">
        <v>13371.75</v>
      </c>
      <c r="I13" s="6" t="str">
        <f>TEXT(AtlasReport_2_Table_1[[#This Row],[Ship date]],"YYYYMMM")</f>
        <v>2021Jan</v>
      </c>
    </row>
    <row r="14" spans="1:9">
      <c r="A14" s="5" t="s">
        <v>26</v>
      </c>
      <c r="B14" s="5" t="s">
        <v>130</v>
      </c>
      <c r="C14" s="8">
        <v>44167.688391203701</v>
      </c>
      <c r="D14" s="10">
        <v>44207</v>
      </c>
      <c r="E14" s="6">
        <f>NETWORKDAYS(AtlasReport_2_Table_1[[#This Row],[Created date]],AtlasReport_2_Table_1[[#This Row],[Ship date]],Holidays!A:A)</f>
        <v>27</v>
      </c>
      <c r="F14" s="5" t="s">
        <v>150</v>
      </c>
      <c r="G14" s="5" t="s">
        <v>148</v>
      </c>
      <c r="H14" s="6">
        <v>2082</v>
      </c>
      <c r="I14" s="6" t="str">
        <f>TEXT(AtlasReport_2_Table_1[[#This Row],[Ship date]],"YYYYMMM")</f>
        <v>2021Jan</v>
      </c>
    </row>
    <row r="15" spans="1:9">
      <c r="A15" s="5" t="s">
        <v>44</v>
      </c>
      <c r="B15" s="5" t="s">
        <v>130</v>
      </c>
      <c r="C15" s="8">
        <v>44207.707604166666</v>
      </c>
      <c r="D15" s="10">
        <v>44208</v>
      </c>
      <c r="E15" s="6">
        <f>NETWORKDAYS(AtlasReport_2_Table_1[[#This Row],[Created date]],AtlasReport_2_Table_1[[#This Row],[Ship date]],Holidays!A:A)</f>
        <v>2</v>
      </c>
      <c r="F15" s="5" t="s">
        <v>146</v>
      </c>
      <c r="G15" s="5" t="s">
        <v>148</v>
      </c>
      <c r="H15" s="6">
        <v>422</v>
      </c>
      <c r="I15" s="6" t="str">
        <f>TEXT(AtlasReport_2_Table_1[[#This Row],[Ship date]],"YYYYMMM")</f>
        <v>2021Jan</v>
      </c>
    </row>
    <row r="16" spans="1:9">
      <c r="A16" s="5" t="s">
        <v>45</v>
      </c>
      <c r="B16" s="5" t="s">
        <v>130</v>
      </c>
      <c r="C16" s="8">
        <v>44208.669479166667</v>
      </c>
      <c r="D16" s="10">
        <v>44209</v>
      </c>
      <c r="E16" s="6">
        <f>NETWORKDAYS(AtlasReport_2_Table_1[[#This Row],[Created date]],AtlasReport_2_Table_1[[#This Row],[Ship date]],Holidays!A:A)</f>
        <v>2</v>
      </c>
      <c r="F16" s="5" t="s">
        <v>146</v>
      </c>
      <c r="G16" s="5" t="s">
        <v>148</v>
      </c>
      <c r="H16" s="6">
        <v>486</v>
      </c>
      <c r="I16" s="6" t="str">
        <f>TEXT(AtlasReport_2_Table_1[[#This Row],[Ship date]],"YYYYMMM")</f>
        <v>2021Jan</v>
      </c>
    </row>
    <row r="17" spans="1:9">
      <c r="A17" s="5" t="s">
        <v>49</v>
      </c>
      <c r="B17" s="5" t="s">
        <v>130</v>
      </c>
      <c r="C17" s="8">
        <v>44210.770011574074</v>
      </c>
      <c r="D17" s="10">
        <v>44210</v>
      </c>
      <c r="E17" s="6">
        <f>NETWORKDAYS(AtlasReport_2_Table_1[[#This Row],[Created date]],AtlasReport_2_Table_1[[#This Row],[Ship date]],Holidays!A:A)</f>
        <v>1</v>
      </c>
      <c r="F17" s="5" t="s">
        <v>146</v>
      </c>
      <c r="G17" s="5" t="s">
        <v>148</v>
      </c>
      <c r="H17" s="6">
        <v>101</v>
      </c>
      <c r="I17" s="6" t="str">
        <f>TEXT(AtlasReport_2_Table_1[[#This Row],[Ship date]],"YYYYMMM")</f>
        <v>2021Jan</v>
      </c>
    </row>
    <row r="18" spans="1:9">
      <c r="A18" s="5" t="s">
        <v>52</v>
      </c>
      <c r="B18" s="5" t="s">
        <v>130</v>
      </c>
      <c r="C18" s="8">
        <v>44210.867986111109</v>
      </c>
      <c r="D18" s="10">
        <v>44210</v>
      </c>
      <c r="E18" s="6">
        <f>NETWORKDAYS(AtlasReport_2_Table_1[[#This Row],[Created date]],AtlasReport_2_Table_1[[#This Row],[Ship date]],Holidays!A:A)</f>
        <v>1</v>
      </c>
      <c r="F18" s="5" t="s">
        <v>146</v>
      </c>
      <c r="G18" s="5" t="s">
        <v>148</v>
      </c>
      <c r="H18" s="6">
        <v>422</v>
      </c>
      <c r="I18" s="6" t="str">
        <f>TEXT(AtlasReport_2_Table_1[[#This Row],[Ship date]],"YYYYMMM")</f>
        <v>2021Jan</v>
      </c>
    </row>
    <row r="19" spans="1:9">
      <c r="A19" s="5" t="s">
        <v>53</v>
      </c>
      <c r="B19" s="5" t="s">
        <v>130</v>
      </c>
      <c r="C19" s="8">
        <v>44210.886354166665</v>
      </c>
      <c r="D19" s="10">
        <v>44210</v>
      </c>
      <c r="E19" s="6">
        <f>NETWORKDAYS(AtlasReport_2_Table_1[[#This Row],[Created date]],AtlasReport_2_Table_1[[#This Row],[Ship date]],Holidays!A:A)</f>
        <v>1</v>
      </c>
      <c r="F19" s="5" t="s">
        <v>146</v>
      </c>
      <c r="G19" s="5" t="s">
        <v>148</v>
      </c>
      <c r="H19" s="6">
        <v>486</v>
      </c>
      <c r="I19" s="6" t="str">
        <f>TEXT(AtlasReport_2_Table_1[[#This Row],[Ship date]],"YYYYMMM")</f>
        <v>2021Jan</v>
      </c>
    </row>
    <row r="20" spans="1:9">
      <c r="A20" s="5" t="s">
        <v>54</v>
      </c>
      <c r="B20" s="5" t="s">
        <v>130</v>
      </c>
      <c r="C20" s="8">
        <v>44210.922094907408</v>
      </c>
      <c r="D20" s="10">
        <v>44210</v>
      </c>
      <c r="E20" s="6">
        <f>NETWORKDAYS(AtlasReport_2_Table_1[[#This Row],[Created date]],AtlasReport_2_Table_1[[#This Row],[Ship date]],Holidays!A:A)</f>
        <v>1</v>
      </c>
      <c r="F20" s="5" t="s">
        <v>146</v>
      </c>
      <c r="G20" s="5" t="s">
        <v>148</v>
      </c>
      <c r="H20" s="6">
        <v>501</v>
      </c>
      <c r="I20" s="6" t="str">
        <f>TEXT(AtlasReport_2_Table_1[[#This Row],[Ship date]],"YYYYMMM")</f>
        <v>2021Jan</v>
      </c>
    </row>
    <row r="21" spans="1:9">
      <c r="A21" s="5" t="s">
        <v>50</v>
      </c>
      <c r="B21" s="5" t="s">
        <v>130</v>
      </c>
      <c r="C21" s="8">
        <v>44210.786539351851</v>
      </c>
      <c r="D21" s="10">
        <v>44214</v>
      </c>
      <c r="E21" s="6">
        <f>NETWORKDAYS(AtlasReport_2_Table_1[[#This Row],[Created date]],AtlasReport_2_Table_1[[#This Row],[Ship date]],Holidays!A:A)</f>
        <v>3</v>
      </c>
      <c r="F21" s="5" t="s">
        <v>146</v>
      </c>
      <c r="G21" s="5" t="s">
        <v>148</v>
      </c>
      <c r="H21" s="6">
        <v>551</v>
      </c>
      <c r="I21" s="6" t="str">
        <f>TEXT(AtlasReport_2_Table_1[[#This Row],[Ship date]],"YYYYMMM")</f>
        <v>2021Jan</v>
      </c>
    </row>
    <row r="22" spans="1:9">
      <c r="A22" s="5" t="s">
        <v>48</v>
      </c>
      <c r="B22" s="5" t="s">
        <v>130</v>
      </c>
      <c r="C22" s="8">
        <v>44210.754374999997</v>
      </c>
      <c r="D22" s="10">
        <v>44215</v>
      </c>
      <c r="E22" s="6">
        <f>NETWORKDAYS(AtlasReport_2_Table_1[[#This Row],[Created date]],AtlasReport_2_Table_1[[#This Row],[Ship date]],Holidays!A:A)</f>
        <v>4</v>
      </c>
      <c r="F22" s="5" t="s">
        <v>146</v>
      </c>
      <c r="G22" s="5" t="s">
        <v>148</v>
      </c>
      <c r="H22" s="6">
        <v>1060</v>
      </c>
      <c r="I22" s="6" t="str">
        <f>TEXT(AtlasReport_2_Table_1[[#This Row],[Ship date]],"YYYYMMM")</f>
        <v>2021Jan</v>
      </c>
    </row>
    <row r="23" spans="1:9">
      <c r="A23" s="5" t="s">
        <v>37</v>
      </c>
      <c r="B23" s="5" t="s">
        <v>130</v>
      </c>
      <c r="C23" s="8">
        <v>44201.781481481485</v>
      </c>
      <c r="D23" s="10">
        <v>44215</v>
      </c>
      <c r="E23" s="6">
        <f>NETWORKDAYS(AtlasReport_2_Table_1[[#This Row],[Created date]],AtlasReport_2_Table_1[[#This Row],[Ship date]],Holidays!A:A)</f>
        <v>11</v>
      </c>
      <c r="F23" s="5" t="s">
        <v>146</v>
      </c>
      <c r="G23" s="5" t="s">
        <v>148</v>
      </c>
      <c r="H23" s="6">
        <v>2002</v>
      </c>
      <c r="I23" s="6" t="str">
        <f>TEXT(AtlasReport_2_Table_1[[#This Row],[Ship date]],"YYYYMMM")</f>
        <v>2021Jan</v>
      </c>
    </row>
    <row r="24" spans="1:9">
      <c r="A24" s="5" t="s">
        <v>9</v>
      </c>
      <c r="B24" s="5" t="s">
        <v>129</v>
      </c>
      <c r="C24" s="8">
        <v>44215.936192129629</v>
      </c>
      <c r="D24" s="10">
        <v>44216</v>
      </c>
      <c r="E24" s="6">
        <f>NETWORKDAYS(AtlasReport_2_Table_1[[#This Row],[Created date]],AtlasReport_2_Table_1[[#This Row],[Ship date]],Holidays!A:A)</f>
        <v>2</v>
      </c>
      <c r="F24" s="5" t="s">
        <v>150</v>
      </c>
      <c r="G24" s="5" t="s">
        <v>148</v>
      </c>
      <c r="H24" s="6">
        <v>1050</v>
      </c>
      <c r="I24" s="6" t="str">
        <f>TEXT(AtlasReport_2_Table_1[[#This Row],[Ship date]],"YYYYMMM")</f>
        <v>2021Jan</v>
      </c>
    </row>
    <row r="25" spans="1:9">
      <c r="A25" s="5" t="s">
        <v>42</v>
      </c>
      <c r="B25" s="5" t="s">
        <v>130</v>
      </c>
      <c r="C25" s="8">
        <v>44207.681701388887</v>
      </c>
      <c r="D25" s="10">
        <v>44216</v>
      </c>
      <c r="E25" s="6">
        <f>NETWORKDAYS(AtlasReport_2_Table_1[[#This Row],[Created date]],AtlasReport_2_Table_1[[#This Row],[Ship date]],Holidays!A:A)</f>
        <v>8</v>
      </c>
      <c r="F25" s="5" t="s">
        <v>146</v>
      </c>
      <c r="G25" s="5" t="s">
        <v>148</v>
      </c>
      <c r="H25" s="6">
        <v>1001</v>
      </c>
      <c r="I25" s="6" t="str">
        <f>TEXT(AtlasReport_2_Table_1[[#This Row],[Ship date]],"YYYYMMM")</f>
        <v>2021Jan</v>
      </c>
    </row>
    <row r="26" spans="1:9">
      <c r="A26" s="5" t="s">
        <v>57</v>
      </c>
      <c r="B26" s="5" t="s">
        <v>130</v>
      </c>
      <c r="C26" s="8">
        <v>44216.893020833333</v>
      </c>
      <c r="D26" s="10">
        <v>44217</v>
      </c>
      <c r="E26" s="6">
        <f>NETWORKDAYS(AtlasReport_2_Table_1[[#This Row],[Created date]],AtlasReport_2_Table_1[[#This Row],[Ship date]],Holidays!A:A)</f>
        <v>2</v>
      </c>
      <c r="F26" s="5" t="s">
        <v>146</v>
      </c>
      <c r="G26" s="5" t="s">
        <v>148</v>
      </c>
      <c r="H26" s="6">
        <v>651</v>
      </c>
      <c r="I26" s="6" t="str">
        <f>TEXT(AtlasReport_2_Table_1[[#This Row],[Ship date]],"YYYYMMM")</f>
        <v>2021Jan</v>
      </c>
    </row>
    <row r="27" spans="1:9">
      <c r="A27" s="5" t="s">
        <v>46</v>
      </c>
      <c r="B27" s="5" t="s">
        <v>130</v>
      </c>
      <c r="C27" s="8">
        <v>44209.878449074073</v>
      </c>
      <c r="D27" s="10">
        <v>44222</v>
      </c>
      <c r="E27" s="6">
        <f>NETWORKDAYS(AtlasReport_2_Table_1[[#This Row],[Created date]],AtlasReport_2_Table_1[[#This Row],[Ship date]],Holidays!A:A)</f>
        <v>10</v>
      </c>
      <c r="F27" s="5" t="s">
        <v>146</v>
      </c>
      <c r="G27" s="5" t="s">
        <v>148</v>
      </c>
      <c r="H27" s="6">
        <v>521</v>
      </c>
      <c r="I27" s="6" t="str">
        <f>TEXT(AtlasReport_2_Table_1[[#This Row],[Ship date]],"YYYYMMM")</f>
        <v>2021Jan</v>
      </c>
    </row>
    <row r="28" spans="1:9">
      <c r="A28" s="5" t="s">
        <v>43</v>
      </c>
      <c r="B28" s="5" t="s">
        <v>132</v>
      </c>
      <c r="C28" s="8">
        <v>44207.702974537038</v>
      </c>
      <c r="D28" s="10">
        <v>44223</v>
      </c>
      <c r="E28" s="6">
        <f>NETWORKDAYS(AtlasReport_2_Table_1[[#This Row],[Created date]],AtlasReport_2_Table_1[[#This Row],[Ship date]],Holidays!A:A)</f>
        <v>13</v>
      </c>
      <c r="F28" s="5" t="s">
        <v>146</v>
      </c>
      <c r="G28" s="5" t="s">
        <v>148</v>
      </c>
      <c r="H28" s="6">
        <v>1896</v>
      </c>
      <c r="I28" s="6" t="str">
        <f>TEXT(AtlasReport_2_Table_1[[#This Row],[Ship date]],"YYYYMMM")</f>
        <v>2021Jan</v>
      </c>
    </row>
    <row r="29" spans="1:9">
      <c r="A29" s="5" t="s">
        <v>59</v>
      </c>
      <c r="B29" s="5" t="s">
        <v>130</v>
      </c>
      <c r="C29" s="8">
        <v>44222.656597222223</v>
      </c>
      <c r="D29" s="10">
        <v>44223</v>
      </c>
      <c r="E29" s="6">
        <f>NETWORKDAYS(AtlasReport_2_Table_1[[#This Row],[Created date]],AtlasReport_2_Table_1[[#This Row],[Ship date]],Holidays!A:A)</f>
        <v>2</v>
      </c>
      <c r="F29" s="5" t="s">
        <v>146</v>
      </c>
      <c r="G29" s="5" t="s">
        <v>148</v>
      </c>
      <c r="H29" s="6">
        <v>931</v>
      </c>
      <c r="I29" s="6" t="str">
        <f>TEXT(AtlasReport_2_Table_1[[#This Row],[Ship date]],"YYYYMMM")</f>
        <v>2021Jan</v>
      </c>
    </row>
    <row r="30" spans="1:9">
      <c r="A30" s="5" t="s">
        <v>39</v>
      </c>
      <c r="B30" s="5" t="s">
        <v>130</v>
      </c>
      <c r="C30" s="8">
        <v>44201.805555555555</v>
      </c>
      <c r="D30" s="10">
        <v>44224</v>
      </c>
      <c r="E30" s="6">
        <f>NETWORKDAYS(AtlasReport_2_Table_1[[#This Row],[Created date]],AtlasReport_2_Table_1[[#This Row],[Ship date]],Holidays!A:A)</f>
        <v>18</v>
      </c>
      <c r="F30" s="5" t="s">
        <v>146</v>
      </c>
      <c r="G30" s="5" t="s">
        <v>148</v>
      </c>
      <c r="H30" s="6">
        <v>704</v>
      </c>
      <c r="I30" s="6" t="str">
        <f>TEXT(AtlasReport_2_Table_1[[#This Row],[Ship date]],"YYYYMMM")</f>
        <v>2021Jan</v>
      </c>
    </row>
    <row r="31" spans="1:9">
      <c r="A31" s="5" t="s">
        <v>58</v>
      </c>
      <c r="B31" s="5" t="s">
        <v>132</v>
      </c>
      <c r="C31" s="8">
        <v>44221.672118055554</v>
      </c>
      <c r="D31" s="10">
        <v>44224</v>
      </c>
      <c r="E31" s="6">
        <f>NETWORKDAYS(AtlasReport_2_Table_1[[#This Row],[Created date]],AtlasReport_2_Table_1[[#This Row],[Ship date]],Holidays!A:A)</f>
        <v>4</v>
      </c>
      <c r="F31" s="5" t="s">
        <v>146</v>
      </c>
      <c r="G31" s="5" t="s">
        <v>148</v>
      </c>
      <c r="H31" s="6">
        <v>1251</v>
      </c>
      <c r="I31" s="6" t="str">
        <f>TEXT(AtlasReport_2_Table_1[[#This Row],[Ship date]],"YYYYMMM")</f>
        <v>2021Jan</v>
      </c>
    </row>
    <row r="32" spans="1:9">
      <c r="A32" s="5" t="s">
        <v>41</v>
      </c>
      <c r="B32" s="5" t="s">
        <v>130</v>
      </c>
      <c r="C32" s="8">
        <v>44202.735659722224</v>
      </c>
      <c r="D32" s="10">
        <v>44224</v>
      </c>
      <c r="E32" s="6">
        <f>NETWORKDAYS(AtlasReport_2_Table_1[[#This Row],[Created date]],AtlasReport_2_Table_1[[#This Row],[Ship date]],Holidays!A:A)</f>
        <v>17</v>
      </c>
      <c r="F32" s="5" t="s">
        <v>146</v>
      </c>
      <c r="G32" s="5" t="s">
        <v>148</v>
      </c>
      <c r="H32" s="6">
        <v>10001</v>
      </c>
      <c r="I32" s="6" t="str">
        <f>TEXT(AtlasReport_2_Table_1[[#This Row],[Ship date]],"YYYYMMM")</f>
        <v>2021Jan</v>
      </c>
    </row>
    <row r="33" spans="1:9">
      <c r="A33" s="5" t="s">
        <v>61</v>
      </c>
      <c r="B33" s="5" t="s">
        <v>130</v>
      </c>
      <c r="C33" s="8">
        <v>44222.788368055553</v>
      </c>
      <c r="D33" s="10">
        <v>44224</v>
      </c>
      <c r="E33" s="6">
        <f>NETWORKDAYS(AtlasReport_2_Table_1[[#This Row],[Created date]],AtlasReport_2_Table_1[[#This Row],[Ship date]],Holidays!A:A)</f>
        <v>3</v>
      </c>
      <c r="F33" s="5" t="s">
        <v>146</v>
      </c>
      <c r="G33" s="5" t="s">
        <v>148</v>
      </c>
      <c r="H33" s="6">
        <v>241</v>
      </c>
      <c r="I33" s="6" t="str">
        <f>TEXT(AtlasReport_2_Table_1[[#This Row],[Ship date]],"YYYYMMM")</f>
        <v>2021Jan</v>
      </c>
    </row>
    <row r="34" spans="1:9">
      <c r="A34" s="5" t="s">
        <v>66</v>
      </c>
      <c r="B34" s="5" t="s">
        <v>131</v>
      </c>
      <c r="C34" s="8">
        <v>44225.69054398148</v>
      </c>
      <c r="D34" s="10">
        <v>44225</v>
      </c>
      <c r="E34" s="6">
        <f>NETWORKDAYS(AtlasReport_2_Table_1[[#This Row],[Created date]],AtlasReport_2_Table_1[[#This Row],[Ship date]],Holidays!A:A)</f>
        <v>1</v>
      </c>
      <c r="F34" s="5" t="s">
        <v>146</v>
      </c>
      <c r="G34" s="5" t="s">
        <v>149</v>
      </c>
      <c r="H34" s="6">
        <v>1</v>
      </c>
      <c r="I34" s="6" t="str">
        <f>TEXT(AtlasReport_2_Table_1[[#This Row],[Ship date]],"YYYYMMM")</f>
        <v>2021Jan</v>
      </c>
    </row>
    <row r="35" spans="1:9">
      <c r="A35" s="5" t="s">
        <v>66</v>
      </c>
      <c r="B35" s="5" t="s">
        <v>131</v>
      </c>
      <c r="C35" s="8">
        <v>44225.69054398148</v>
      </c>
      <c r="D35" s="10">
        <v>44225</v>
      </c>
      <c r="E35" s="6">
        <f>NETWORKDAYS(AtlasReport_2_Table_1[[#This Row],[Created date]],AtlasReport_2_Table_1[[#This Row],[Ship date]],Holidays!A:A)</f>
        <v>1</v>
      </c>
      <c r="F35" s="5" t="s">
        <v>146</v>
      </c>
      <c r="G35" s="5" t="s">
        <v>149</v>
      </c>
      <c r="H35" s="6">
        <v>700</v>
      </c>
      <c r="I35" s="6" t="str">
        <f>TEXT(AtlasReport_2_Table_1[[#This Row],[Ship date]],"YYYYMMM")</f>
        <v>2021Jan</v>
      </c>
    </row>
    <row r="36" spans="1:9">
      <c r="A36" s="5" t="s">
        <v>27</v>
      </c>
      <c r="B36" s="5" t="s">
        <v>130</v>
      </c>
      <c r="C36" s="8">
        <v>44167.712951388887</v>
      </c>
      <c r="D36" s="10">
        <v>44229</v>
      </c>
      <c r="E36" s="6">
        <f>NETWORKDAYS(AtlasReport_2_Table_1[[#This Row],[Created date]],AtlasReport_2_Table_1[[#This Row],[Ship date]],Holidays!A:A)</f>
        <v>43</v>
      </c>
      <c r="F36" s="5" t="s">
        <v>150</v>
      </c>
      <c r="G36" s="5" t="s">
        <v>148</v>
      </c>
      <c r="H36" s="6">
        <v>3462</v>
      </c>
      <c r="I36" s="6" t="str">
        <f>TEXT(AtlasReport_2_Table_1[[#This Row],[Ship date]],"YYYYMMM")</f>
        <v>2021Feb</v>
      </c>
    </row>
    <row r="37" spans="1:9">
      <c r="A37" s="5" t="s">
        <v>62</v>
      </c>
      <c r="B37" s="5" t="s">
        <v>130</v>
      </c>
      <c r="C37" s="8">
        <v>44223.670972222222</v>
      </c>
      <c r="D37" s="10">
        <v>44229</v>
      </c>
      <c r="E37" s="6">
        <f>NETWORKDAYS(AtlasReport_2_Table_1[[#This Row],[Created date]],AtlasReport_2_Table_1[[#This Row],[Ship date]],Holidays!A:A)</f>
        <v>5</v>
      </c>
      <c r="F37" s="5" t="s">
        <v>146</v>
      </c>
      <c r="G37" s="5" t="s">
        <v>148</v>
      </c>
      <c r="H37" s="6">
        <v>401</v>
      </c>
      <c r="I37" s="6" t="str">
        <f>TEXT(AtlasReport_2_Table_1[[#This Row],[Ship date]],"YYYYMMM")</f>
        <v>2021Feb</v>
      </c>
    </row>
    <row r="38" spans="1:9">
      <c r="A38" s="5" t="s">
        <v>70</v>
      </c>
      <c r="B38" s="5" t="s">
        <v>131</v>
      </c>
      <c r="C38" s="8">
        <v>44228.758321759262</v>
      </c>
      <c r="D38" s="10">
        <v>44229</v>
      </c>
      <c r="E38" s="6">
        <f>NETWORKDAYS(AtlasReport_2_Table_1[[#This Row],[Created date]],AtlasReport_2_Table_1[[#This Row],[Ship date]],Holidays!A:A)</f>
        <v>2</v>
      </c>
      <c r="F38" s="5" t="s">
        <v>146</v>
      </c>
      <c r="G38" s="5" t="s">
        <v>149</v>
      </c>
      <c r="H38" s="6">
        <v>11</v>
      </c>
      <c r="I38" s="6" t="str">
        <f>TEXT(AtlasReport_2_Table_1[[#This Row],[Ship date]],"YYYYMMM")</f>
        <v>2021Feb</v>
      </c>
    </row>
    <row r="39" spans="1:9">
      <c r="A39" s="5" t="s">
        <v>72</v>
      </c>
      <c r="B39" s="5" t="s">
        <v>131</v>
      </c>
      <c r="C39" s="8">
        <v>44228.849641203706</v>
      </c>
      <c r="D39" s="10">
        <v>44230</v>
      </c>
      <c r="E39" s="6">
        <f>NETWORKDAYS(AtlasReport_2_Table_1[[#This Row],[Created date]],AtlasReport_2_Table_1[[#This Row],[Ship date]],Holidays!A:A)</f>
        <v>3</v>
      </c>
      <c r="F39" s="5" t="s">
        <v>146</v>
      </c>
      <c r="G39" s="5" t="s">
        <v>149</v>
      </c>
      <c r="H39" s="6">
        <v>81</v>
      </c>
      <c r="I39" s="6" t="str">
        <f>TEXT(AtlasReport_2_Table_1[[#This Row],[Ship date]],"YYYYMMM")</f>
        <v>2021Feb</v>
      </c>
    </row>
    <row r="40" spans="1:9">
      <c r="A40" s="5" t="s">
        <v>74</v>
      </c>
      <c r="B40" s="5" t="s">
        <v>130</v>
      </c>
      <c r="C40" s="8">
        <v>44230.705358796295</v>
      </c>
      <c r="D40" s="10">
        <v>44230</v>
      </c>
      <c r="E40" s="6">
        <f>NETWORKDAYS(AtlasReport_2_Table_1[[#This Row],[Created date]],AtlasReport_2_Table_1[[#This Row],[Ship date]],Holidays!A:A)</f>
        <v>1</v>
      </c>
      <c r="F40" s="5" t="s">
        <v>146</v>
      </c>
      <c r="G40" s="5" t="s">
        <v>148</v>
      </c>
      <c r="H40" s="6">
        <v>11031</v>
      </c>
      <c r="I40" s="6" t="str">
        <f>TEXT(AtlasReport_2_Table_1[[#This Row],[Ship date]],"YYYYMMM")</f>
        <v>2021Feb</v>
      </c>
    </row>
    <row r="41" spans="1:9">
      <c r="A41" s="5" t="s">
        <v>12</v>
      </c>
      <c r="B41" s="5" t="s">
        <v>129</v>
      </c>
      <c r="C41" s="8">
        <v>44230.883611111109</v>
      </c>
      <c r="D41" s="10">
        <v>44230</v>
      </c>
      <c r="E41" s="6">
        <f>NETWORKDAYS(AtlasReport_2_Table_1[[#This Row],[Created date]],AtlasReport_2_Table_1[[#This Row],[Ship date]],Holidays!A:A)</f>
        <v>1</v>
      </c>
      <c r="F41" s="5" t="s">
        <v>150</v>
      </c>
      <c r="G41" s="5" t="s">
        <v>148</v>
      </c>
      <c r="H41" s="6">
        <v>1050</v>
      </c>
      <c r="I41" s="6" t="str">
        <f>TEXT(AtlasReport_2_Table_1[[#This Row],[Ship date]],"YYYYMMM")</f>
        <v>2021Feb</v>
      </c>
    </row>
    <row r="42" spans="1:9">
      <c r="A42" s="5" t="s">
        <v>55</v>
      </c>
      <c r="B42" s="5" t="s">
        <v>132</v>
      </c>
      <c r="C42" s="8">
        <v>44214.754942129628</v>
      </c>
      <c r="D42" s="10">
        <v>44235</v>
      </c>
      <c r="E42" s="6">
        <f>NETWORKDAYS(AtlasReport_2_Table_1[[#This Row],[Created date]],AtlasReport_2_Table_1[[#This Row],[Ship date]],Holidays!A:A)</f>
        <v>16</v>
      </c>
      <c r="F42" s="5" t="s">
        <v>146</v>
      </c>
      <c r="G42" s="5" t="s">
        <v>148</v>
      </c>
      <c r="H42" s="6">
        <v>289</v>
      </c>
      <c r="I42" s="6" t="str">
        <f>TEXT(AtlasReport_2_Table_1[[#This Row],[Ship date]],"YYYYMMM")</f>
        <v>2021Feb</v>
      </c>
    </row>
    <row r="43" spans="1:9">
      <c r="A43" s="5" t="s">
        <v>69</v>
      </c>
      <c r="B43" s="5" t="s">
        <v>132</v>
      </c>
      <c r="C43" s="8">
        <v>44228.747372685182</v>
      </c>
      <c r="D43" s="10">
        <v>44235</v>
      </c>
      <c r="E43" s="6">
        <f>NETWORKDAYS(AtlasReport_2_Table_1[[#This Row],[Created date]],AtlasReport_2_Table_1[[#This Row],[Ship date]],Holidays!A:A)</f>
        <v>6</v>
      </c>
      <c r="F43" s="5" t="s">
        <v>146</v>
      </c>
      <c r="G43" s="5" t="s">
        <v>148</v>
      </c>
      <c r="H43" s="6">
        <v>196</v>
      </c>
      <c r="I43" s="6" t="str">
        <f>TEXT(AtlasReport_2_Table_1[[#This Row],[Ship date]],"YYYYMMM")</f>
        <v>2021Feb</v>
      </c>
    </row>
    <row r="44" spans="1:9">
      <c r="A44" s="5" t="s">
        <v>75</v>
      </c>
      <c r="B44" s="5" t="s">
        <v>130</v>
      </c>
      <c r="C44" s="8">
        <v>44231.682037037041</v>
      </c>
      <c r="D44" s="10">
        <v>44235</v>
      </c>
      <c r="E44" s="6">
        <f>NETWORKDAYS(AtlasReport_2_Table_1[[#This Row],[Created date]],AtlasReport_2_Table_1[[#This Row],[Ship date]],Holidays!A:A)</f>
        <v>3</v>
      </c>
      <c r="F44" s="5" t="s">
        <v>146</v>
      </c>
      <c r="G44" s="5" t="s">
        <v>148</v>
      </c>
      <c r="H44" s="6">
        <v>651</v>
      </c>
      <c r="I44" s="6" t="str">
        <f>TEXT(AtlasReport_2_Table_1[[#This Row],[Ship date]],"YYYYMMM")</f>
        <v>2021Feb</v>
      </c>
    </row>
    <row r="45" spans="1:9">
      <c r="A45" s="5" t="s">
        <v>77</v>
      </c>
      <c r="B45" s="5" t="s">
        <v>130</v>
      </c>
      <c r="C45" s="8">
        <v>44236.652395833335</v>
      </c>
      <c r="D45" s="10">
        <v>44236</v>
      </c>
      <c r="E45" s="6">
        <f>NETWORKDAYS(AtlasReport_2_Table_1[[#This Row],[Created date]],AtlasReport_2_Table_1[[#This Row],[Ship date]],Holidays!A:A)</f>
        <v>1</v>
      </c>
      <c r="F45" s="5" t="s">
        <v>146</v>
      </c>
      <c r="G45" s="5" t="s">
        <v>148</v>
      </c>
      <c r="H45" s="6">
        <v>151</v>
      </c>
      <c r="I45" s="6" t="str">
        <f>TEXT(AtlasReport_2_Table_1[[#This Row],[Ship date]],"YYYYMMM")</f>
        <v>2021Feb</v>
      </c>
    </row>
    <row r="46" spans="1:9">
      <c r="A46" s="5" t="s">
        <v>76</v>
      </c>
      <c r="B46" s="5" t="s">
        <v>132</v>
      </c>
      <c r="C46" s="8">
        <v>44235.850555555553</v>
      </c>
      <c r="D46" s="10">
        <v>44236</v>
      </c>
      <c r="E46" s="6">
        <f>NETWORKDAYS(AtlasReport_2_Table_1[[#This Row],[Created date]],AtlasReport_2_Table_1[[#This Row],[Ship date]],Holidays!A:A)</f>
        <v>2</v>
      </c>
      <c r="F46" s="5" t="s">
        <v>146</v>
      </c>
      <c r="G46" s="5" t="s">
        <v>148</v>
      </c>
      <c r="H46" s="6">
        <v>576</v>
      </c>
      <c r="I46" s="6" t="str">
        <f>TEXT(AtlasReport_2_Table_1[[#This Row],[Ship date]],"YYYYMMM")</f>
        <v>2021Feb</v>
      </c>
    </row>
    <row r="47" spans="1:9">
      <c r="A47" s="5" t="s">
        <v>47</v>
      </c>
      <c r="B47" s="5" t="s">
        <v>130</v>
      </c>
      <c r="C47" s="8">
        <v>44209.885613425926</v>
      </c>
      <c r="D47" s="10">
        <v>44236</v>
      </c>
      <c r="E47" s="6">
        <f>NETWORKDAYS(AtlasReport_2_Table_1[[#This Row],[Created date]],AtlasReport_2_Table_1[[#This Row],[Ship date]],Holidays!A:A)</f>
        <v>20</v>
      </c>
      <c r="F47" s="5" t="s">
        <v>146</v>
      </c>
      <c r="G47" s="5" t="s">
        <v>148</v>
      </c>
      <c r="H47" s="6">
        <v>1678</v>
      </c>
      <c r="I47" s="6" t="str">
        <f>TEXT(AtlasReport_2_Table_1[[#This Row],[Ship date]],"YYYYMMM")</f>
        <v>2021Feb</v>
      </c>
    </row>
    <row r="48" spans="1:9">
      <c r="A48" s="5" t="s">
        <v>78</v>
      </c>
      <c r="B48" s="5" t="s">
        <v>130</v>
      </c>
      <c r="C48" s="8">
        <v>44237.655972222223</v>
      </c>
      <c r="D48" s="10">
        <v>44237</v>
      </c>
      <c r="E48" s="6">
        <f>NETWORKDAYS(AtlasReport_2_Table_1[[#This Row],[Created date]],AtlasReport_2_Table_1[[#This Row],[Ship date]],Holidays!A:A)</f>
        <v>1</v>
      </c>
      <c r="F48" s="5" t="s">
        <v>146</v>
      </c>
      <c r="G48" s="5" t="s">
        <v>148</v>
      </c>
      <c r="H48" s="6">
        <v>3</v>
      </c>
      <c r="I48" s="6" t="str">
        <f>TEXT(AtlasReport_2_Table_1[[#This Row],[Ship date]],"YYYYMMM")</f>
        <v>2021Feb</v>
      </c>
    </row>
    <row r="49" spans="1:9">
      <c r="A49" s="5" t="s">
        <v>63</v>
      </c>
      <c r="B49" s="5" t="s">
        <v>130</v>
      </c>
      <c r="C49" s="8">
        <v>44223.7575</v>
      </c>
      <c r="D49" s="10">
        <v>44237</v>
      </c>
      <c r="E49" s="6">
        <f>NETWORKDAYS(AtlasReport_2_Table_1[[#This Row],[Created date]],AtlasReport_2_Table_1[[#This Row],[Ship date]],Holidays!A:A)</f>
        <v>11</v>
      </c>
      <c r="F49" s="5" t="s">
        <v>146</v>
      </c>
      <c r="G49" s="5" t="s">
        <v>148</v>
      </c>
      <c r="H49" s="6">
        <v>505.68</v>
      </c>
      <c r="I49" s="6" t="str">
        <f>TEXT(AtlasReport_2_Table_1[[#This Row],[Ship date]],"YYYYMMM")</f>
        <v>2021Feb</v>
      </c>
    </row>
    <row r="50" spans="1:9">
      <c r="A50" s="5" t="s">
        <v>67</v>
      </c>
      <c r="B50" s="5" t="s">
        <v>130</v>
      </c>
      <c r="C50" s="8">
        <v>44228.688032407408</v>
      </c>
      <c r="D50" s="10">
        <v>44238</v>
      </c>
      <c r="E50" s="6">
        <f>NETWORKDAYS(AtlasReport_2_Table_1[[#This Row],[Created date]],AtlasReport_2_Table_1[[#This Row],[Ship date]],Holidays!A:A)</f>
        <v>9</v>
      </c>
      <c r="F50" s="5" t="s">
        <v>146</v>
      </c>
      <c r="G50" s="5" t="s">
        <v>148</v>
      </c>
      <c r="H50" s="6">
        <v>201</v>
      </c>
      <c r="I50" s="6" t="str">
        <f>TEXT(AtlasReport_2_Table_1[[#This Row],[Ship date]],"YYYYMMM")</f>
        <v>2021Feb</v>
      </c>
    </row>
    <row r="51" spans="1:9">
      <c r="A51" s="5" t="s">
        <v>71</v>
      </c>
      <c r="B51" s="5" t="s">
        <v>130</v>
      </c>
      <c r="C51" s="8">
        <v>44228.774652777778</v>
      </c>
      <c r="D51" s="10">
        <v>44238</v>
      </c>
      <c r="E51" s="6">
        <f>NETWORKDAYS(AtlasReport_2_Table_1[[#This Row],[Created date]],AtlasReport_2_Table_1[[#This Row],[Ship date]],Holidays!A:A)</f>
        <v>9</v>
      </c>
      <c r="F51" s="5" t="s">
        <v>146</v>
      </c>
      <c r="G51" s="5" t="s">
        <v>148</v>
      </c>
      <c r="H51" s="6">
        <v>2047</v>
      </c>
      <c r="I51" s="6" t="str">
        <f>TEXT(AtlasReport_2_Table_1[[#This Row],[Ship date]],"YYYYMMM")</f>
        <v>2021Feb</v>
      </c>
    </row>
    <row r="52" spans="1:9">
      <c r="A52" s="5" t="s">
        <v>79</v>
      </c>
      <c r="B52" s="5" t="s">
        <v>131</v>
      </c>
      <c r="C52" s="8">
        <v>44237.704375000001</v>
      </c>
      <c r="D52" s="10">
        <v>44242</v>
      </c>
      <c r="E52" s="6">
        <f>NETWORKDAYS(AtlasReport_2_Table_1[[#This Row],[Created date]],AtlasReport_2_Table_1[[#This Row],[Ship date]],Holidays!A:A)</f>
        <v>4</v>
      </c>
      <c r="F52" s="5" t="s">
        <v>146</v>
      </c>
      <c r="G52" s="5" t="s">
        <v>149</v>
      </c>
      <c r="H52" s="6">
        <v>151</v>
      </c>
      <c r="I52" s="6" t="str">
        <f>TEXT(AtlasReport_2_Table_1[[#This Row],[Ship date]],"YYYYMMM")</f>
        <v>2021Feb</v>
      </c>
    </row>
    <row r="53" spans="1:9">
      <c r="A53" s="5" t="s">
        <v>10</v>
      </c>
      <c r="B53" s="5" t="s">
        <v>129</v>
      </c>
      <c r="C53" s="8">
        <v>44221.736064814817</v>
      </c>
      <c r="D53" s="10">
        <v>44244</v>
      </c>
      <c r="E53" s="6">
        <f>NETWORKDAYS(AtlasReport_2_Table_1[[#This Row],[Created date]],AtlasReport_2_Table_1[[#This Row],[Ship date]],Holidays!A:A)</f>
        <v>18</v>
      </c>
      <c r="F53" s="5" t="s">
        <v>150</v>
      </c>
      <c r="G53" s="5" t="s">
        <v>148</v>
      </c>
      <c r="H53" s="6">
        <v>388</v>
      </c>
      <c r="I53" s="6" t="str">
        <f>TEXT(AtlasReport_2_Table_1[[#This Row],[Ship date]],"YYYYMMM")</f>
        <v>2021Feb</v>
      </c>
    </row>
    <row r="54" spans="1:9">
      <c r="A54" s="5" t="s">
        <v>11</v>
      </c>
      <c r="B54" s="5" t="s">
        <v>129</v>
      </c>
      <c r="C54" s="8">
        <v>44221.736296296294</v>
      </c>
      <c r="D54" s="10">
        <v>44244</v>
      </c>
      <c r="E54" s="6">
        <f>NETWORKDAYS(AtlasReport_2_Table_1[[#This Row],[Created date]],AtlasReport_2_Table_1[[#This Row],[Ship date]],Holidays!A:A)</f>
        <v>18</v>
      </c>
      <c r="F54" s="5" t="s">
        <v>150</v>
      </c>
      <c r="G54" s="5" t="s">
        <v>148</v>
      </c>
      <c r="H54" s="6">
        <v>1</v>
      </c>
      <c r="I54" s="6" t="str">
        <f>TEXT(AtlasReport_2_Table_1[[#This Row],[Ship date]],"YYYYMMM")</f>
        <v>2021Feb</v>
      </c>
    </row>
    <row r="55" spans="1:9">
      <c r="A55" s="5" t="s">
        <v>64</v>
      </c>
      <c r="B55" s="5" t="s">
        <v>131</v>
      </c>
      <c r="C55" s="8">
        <v>44223.859444444446</v>
      </c>
      <c r="D55" s="10">
        <v>44244</v>
      </c>
      <c r="E55" s="6">
        <f>NETWORKDAYS(AtlasReport_2_Table_1[[#This Row],[Created date]],AtlasReport_2_Table_1[[#This Row],[Ship date]],Holidays!A:A)</f>
        <v>16</v>
      </c>
      <c r="F55" s="5" t="s">
        <v>146</v>
      </c>
      <c r="G55" s="5" t="s">
        <v>148</v>
      </c>
      <c r="H55" s="6">
        <v>2018</v>
      </c>
      <c r="I55" s="6" t="str">
        <f>TEXT(AtlasReport_2_Table_1[[#This Row],[Ship date]],"YYYYMMM")</f>
        <v>2021Feb</v>
      </c>
    </row>
    <row r="56" spans="1:9">
      <c r="A56" s="5" t="s">
        <v>13</v>
      </c>
      <c r="B56" s="5" t="s">
        <v>129</v>
      </c>
      <c r="C56" s="8">
        <v>44244.887361111112</v>
      </c>
      <c r="D56" s="10">
        <v>44245</v>
      </c>
      <c r="E56" s="6">
        <f>NETWORKDAYS(AtlasReport_2_Table_1[[#This Row],[Created date]],AtlasReport_2_Table_1[[#This Row],[Ship date]],Holidays!A:A)</f>
        <v>2</v>
      </c>
      <c r="F56" s="5" t="s">
        <v>150</v>
      </c>
      <c r="G56" s="5" t="s">
        <v>148</v>
      </c>
      <c r="H56" s="6">
        <v>388</v>
      </c>
      <c r="I56" s="6" t="str">
        <f>TEXT(AtlasReport_2_Table_1[[#This Row],[Ship date]],"YYYYMMM")</f>
        <v>2021Feb</v>
      </c>
    </row>
    <row r="57" spans="1:9">
      <c r="A57" s="5" t="s">
        <v>84</v>
      </c>
      <c r="B57" s="5" t="s">
        <v>132</v>
      </c>
      <c r="C57" s="8">
        <v>44243.70140046296</v>
      </c>
      <c r="D57" s="10">
        <v>44245</v>
      </c>
      <c r="E57" s="6">
        <f>NETWORKDAYS(AtlasReport_2_Table_1[[#This Row],[Created date]],AtlasReport_2_Table_1[[#This Row],[Ship date]],Holidays!A:A)</f>
        <v>3</v>
      </c>
      <c r="F57" s="5" t="s">
        <v>146</v>
      </c>
      <c r="G57" s="5" t="s">
        <v>148</v>
      </c>
      <c r="H57" s="6">
        <v>746</v>
      </c>
      <c r="I57" s="6" t="str">
        <f>TEXT(AtlasReport_2_Table_1[[#This Row],[Ship date]],"YYYYMMM")</f>
        <v>2021Feb</v>
      </c>
    </row>
    <row r="58" spans="1:9">
      <c r="A58" s="5" t="s">
        <v>88</v>
      </c>
      <c r="B58" s="5" t="s">
        <v>132</v>
      </c>
      <c r="C58" s="8">
        <v>44249.745520833334</v>
      </c>
      <c r="D58" s="10">
        <v>44249</v>
      </c>
      <c r="E58" s="6">
        <f>NETWORKDAYS(AtlasReport_2_Table_1[[#This Row],[Created date]],AtlasReport_2_Table_1[[#This Row],[Ship date]],Holidays!A:A)</f>
        <v>1</v>
      </c>
      <c r="F58" s="5" t="s">
        <v>146</v>
      </c>
      <c r="G58" s="5" t="s">
        <v>148</v>
      </c>
      <c r="H58" s="6">
        <v>306</v>
      </c>
      <c r="I58" s="6" t="str">
        <f>TEXT(AtlasReport_2_Table_1[[#This Row],[Ship date]],"YYYYMMM")</f>
        <v>2021Feb</v>
      </c>
    </row>
    <row r="59" spans="1:9">
      <c r="A59" s="5" t="s">
        <v>60</v>
      </c>
      <c r="B59" s="5" t="s">
        <v>130</v>
      </c>
      <c r="C59" s="8">
        <v>44222.676863425928</v>
      </c>
      <c r="D59" s="10">
        <v>44249</v>
      </c>
      <c r="E59" s="6">
        <f>NETWORKDAYS(AtlasReport_2_Table_1[[#This Row],[Created date]],AtlasReport_2_Table_1[[#This Row],[Ship date]],Holidays!A:A)</f>
        <v>20</v>
      </c>
      <c r="F59" s="5" t="s">
        <v>146</v>
      </c>
      <c r="G59" s="5" t="s">
        <v>148</v>
      </c>
      <c r="H59" s="6">
        <v>2</v>
      </c>
      <c r="I59" s="6" t="str">
        <f>TEXT(AtlasReport_2_Table_1[[#This Row],[Ship date]],"YYYYMMM")</f>
        <v>2021Feb</v>
      </c>
    </row>
    <row r="60" spans="1:9">
      <c r="A60" s="5" t="s">
        <v>68</v>
      </c>
      <c r="B60" s="5" t="s">
        <v>132</v>
      </c>
      <c r="C60" s="8">
        <v>44228.708148148151</v>
      </c>
      <c r="D60" s="10">
        <v>44249</v>
      </c>
      <c r="E60" s="6">
        <f>NETWORKDAYS(AtlasReport_2_Table_1[[#This Row],[Created date]],AtlasReport_2_Table_1[[#This Row],[Ship date]],Holidays!A:A)</f>
        <v>16</v>
      </c>
      <c r="F60" s="5" t="s">
        <v>146</v>
      </c>
      <c r="G60" s="5" t="s">
        <v>148</v>
      </c>
      <c r="H60" s="6">
        <v>502</v>
      </c>
      <c r="I60" s="6" t="str">
        <f>TEXT(AtlasReport_2_Table_1[[#This Row],[Ship date]],"YYYYMMM")</f>
        <v>2021Feb</v>
      </c>
    </row>
    <row r="61" spans="1:9">
      <c r="A61" s="5" t="s">
        <v>87</v>
      </c>
      <c r="B61" s="5" t="s">
        <v>131</v>
      </c>
      <c r="C61" s="8">
        <v>44249.717546296299</v>
      </c>
      <c r="D61" s="10">
        <v>44250</v>
      </c>
      <c r="E61" s="6">
        <f>NETWORKDAYS(AtlasReport_2_Table_1[[#This Row],[Created date]],AtlasReport_2_Table_1[[#This Row],[Ship date]],Holidays!A:A)</f>
        <v>2</v>
      </c>
      <c r="F61" s="5" t="s">
        <v>146</v>
      </c>
      <c r="G61" s="5" t="s">
        <v>149</v>
      </c>
      <c r="H61" s="6">
        <v>31</v>
      </c>
      <c r="I61" s="6" t="str">
        <f>TEXT(AtlasReport_2_Table_1[[#This Row],[Ship date]],"YYYYMMM")</f>
        <v>2021Feb</v>
      </c>
    </row>
    <row r="62" spans="1:9">
      <c r="A62" s="5" t="s">
        <v>73</v>
      </c>
      <c r="B62" s="5" t="s">
        <v>132</v>
      </c>
      <c r="C62" s="8">
        <v>44228.912974537037</v>
      </c>
      <c r="D62" s="10">
        <v>44250</v>
      </c>
      <c r="E62" s="6">
        <f>NETWORKDAYS(AtlasReport_2_Table_1[[#This Row],[Created date]],AtlasReport_2_Table_1[[#This Row],[Ship date]],Holidays!A:A)</f>
        <v>17</v>
      </c>
      <c r="F62" s="5" t="s">
        <v>146</v>
      </c>
      <c r="G62" s="5" t="s">
        <v>149</v>
      </c>
      <c r="H62" s="6">
        <v>2</v>
      </c>
      <c r="I62" s="6" t="str">
        <f>TEXT(AtlasReport_2_Table_1[[#This Row],[Ship date]],"YYYYMMM")</f>
        <v>2021Feb</v>
      </c>
    </row>
    <row r="63" spans="1:9">
      <c r="A63" s="5" t="s">
        <v>86</v>
      </c>
      <c r="B63" s="5" t="s">
        <v>130</v>
      </c>
      <c r="C63" s="8">
        <v>44245.750810185185</v>
      </c>
      <c r="D63" s="10">
        <v>44251</v>
      </c>
      <c r="E63" s="6">
        <f>NETWORKDAYS(AtlasReport_2_Table_1[[#This Row],[Created date]],AtlasReport_2_Table_1[[#This Row],[Ship date]],Holidays!A:A)</f>
        <v>5</v>
      </c>
      <c r="F63" s="5" t="s">
        <v>146</v>
      </c>
      <c r="G63" s="5" t="s">
        <v>148</v>
      </c>
      <c r="H63" s="6">
        <v>1001</v>
      </c>
      <c r="I63" s="6" t="str">
        <f>TEXT(AtlasReport_2_Table_1[[#This Row],[Ship date]],"YYYYMMM")</f>
        <v>2021Feb</v>
      </c>
    </row>
    <row r="64" spans="1:9">
      <c r="A64" s="5" t="s">
        <v>95</v>
      </c>
      <c r="B64" s="5" t="s">
        <v>130</v>
      </c>
      <c r="C64" s="8">
        <v>44256.747754629629</v>
      </c>
      <c r="D64" s="10">
        <v>44257</v>
      </c>
      <c r="E64" s="6">
        <f>NETWORKDAYS(AtlasReport_2_Table_1[[#This Row],[Created date]],AtlasReport_2_Table_1[[#This Row],[Ship date]],Holidays!A:A)</f>
        <v>2</v>
      </c>
      <c r="F64" s="5" t="s">
        <v>146</v>
      </c>
      <c r="G64" s="5" t="s">
        <v>148</v>
      </c>
      <c r="H64" s="6">
        <v>1250</v>
      </c>
      <c r="I64" s="6" t="str">
        <f>TEXT(AtlasReport_2_Table_1[[#This Row],[Ship date]],"YYYYMMM")</f>
        <v>2021Mar</v>
      </c>
    </row>
    <row r="65" spans="1:9">
      <c r="A65" s="5" t="s">
        <v>92</v>
      </c>
      <c r="B65" s="5" t="s">
        <v>131</v>
      </c>
      <c r="C65" s="8">
        <v>44250.794398148151</v>
      </c>
      <c r="D65" s="10">
        <v>44257</v>
      </c>
      <c r="E65" s="6">
        <f>NETWORKDAYS(AtlasReport_2_Table_1[[#This Row],[Created date]],AtlasReport_2_Table_1[[#This Row],[Ship date]],Holidays!A:A)</f>
        <v>6</v>
      </c>
      <c r="F65" s="5" t="s">
        <v>146</v>
      </c>
      <c r="G65" s="5" t="s">
        <v>149</v>
      </c>
      <c r="H65" s="6">
        <v>3</v>
      </c>
      <c r="I65" s="6" t="str">
        <f>TEXT(AtlasReport_2_Table_1[[#This Row],[Ship date]],"YYYYMMM")</f>
        <v>2021Mar</v>
      </c>
    </row>
    <row r="66" spans="1:9">
      <c r="A66" s="5" t="s">
        <v>89</v>
      </c>
      <c r="B66" s="5" t="s">
        <v>132</v>
      </c>
      <c r="C66" s="8">
        <v>44249.755069444444</v>
      </c>
      <c r="D66" s="10">
        <v>44257</v>
      </c>
      <c r="E66" s="6">
        <f>NETWORKDAYS(AtlasReport_2_Table_1[[#This Row],[Created date]],AtlasReport_2_Table_1[[#This Row],[Ship date]],Holidays!A:A)</f>
        <v>7</v>
      </c>
      <c r="F66" s="5" t="s">
        <v>146</v>
      </c>
      <c r="G66" s="5" t="s">
        <v>149</v>
      </c>
      <c r="H66" s="6">
        <v>651</v>
      </c>
      <c r="I66" s="6" t="str">
        <f>TEXT(AtlasReport_2_Table_1[[#This Row],[Ship date]],"YYYYMMM")</f>
        <v>2021Mar</v>
      </c>
    </row>
    <row r="67" spans="1:9">
      <c r="A67" s="5" t="s">
        <v>99</v>
      </c>
      <c r="B67" s="5" t="s">
        <v>130</v>
      </c>
      <c r="C67" s="8">
        <v>44257.775266203702</v>
      </c>
      <c r="D67" s="10">
        <v>44258</v>
      </c>
      <c r="E67" s="6">
        <f>NETWORKDAYS(AtlasReport_2_Table_1[[#This Row],[Created date]],AtlasReport_2_Table_1[[#This Row],[Ship date]],Holidays!A:A)</f>
        <v>2</v>
      </c>
      <c r="F67" s="5" t="s">
        <v>146</v>
      </c>
      <c r="G67" s="5" t="s">
        <v>147</v>
      </c>
      <c r="H67" s="6">
        <v>201</v>
      </c>
      <c r="I67" s="6" t="str">
        <f>TEXT(AtlasReport_2_Table_1[[#This Row],[Ship date]],"YYYYMMM")</f>
        <v>2021Mar</v>
      </c>
    </row>
    <row r="68" spans="1:9">
      <c r="A68" s="5" t="s">
        <v>96</v>
      </c>
      <c r="B68" s="5" t="s">
        <v>130</v>
      </c>
      <c r="C68" s="8">
        <v>44256.847719907404</v>
      </c>
      <c r="D68" s="10">
        <v>44258</v>
      </c>
      <c r="E68" s="6">
        <f>NETWORKDAYS(AtlasReport_2_Table_1[[#This Row],[Created date]],AtlasReport_2_Table_1[[#This Row],[Ship date]],Holidays!A:A)</f>
        <v>3</v>
      </c>
      <c r="F68" s="5" t="s">
        <v>146</v>
      </c>
      <c r="G68" s="5" t="s">
        <v>149</v>
      </c>
      <c r="H68" s="6">
        <v>201</v>
      </c>
      <c r="I68" s="6" t="str">
        <f>TEXT(AtlasReport_2_Table_1[[#This Row],[Ship date]],"YYYYMMM")</f>
        <v>2021Mar</v>
      </c>
    </row>
    <row r="69" spans="1:9">
      <c r="A69" s="5" t="s">
        <v>96</v>
      </c>
      <c r="B69" s="5" t="s">
        <v>130</v>
      </c>
      <c r="C69" s="8">
        <v>44256.847719907404</v>
      </c>
      <c r="D69" s="10">
        <v>44258</v>
      </c>
      <c r="E69" s="6">
        <f>NETWORKDAYS(AtlasReport_2_Table_1[[#This Row],[Created date]],AtlasReport_2_Table_1[[#This Row],[Ship date]],Holidays!A:A)</f>
        <v>3</v>
      </c>
      <c r="F69" s="5" t="s">
        <v>146</v>
      </c>
      <c r="G69" s="5" t="s">
        <v>147</v>
      </c>
      <c r="H69" s="6">
        <v>200</v>
      </c>
      <c r="I69" s="6" t="str">
        <f>TEXT(AtlasReport_2_Table_1[[#This Row],[Ship date]],"YYYYMMM")</f>
        <v>2021Mar</v>
      </c>
    </row>
    <row r="70" spans="1:9">
      <c r="A70" s="5" t="s">
        <v>102</v>
      </c>
      <c r="B70" s="5" t="s">
        <v>130</v>
      </c>
      <c r="C70" s="8">
        <v>44258.870370370372</v>
      </c>
      <c r="D70" s="10">
        <v>44259</v>
      </c>
      <c r="E70" s="6">
        <f>NETWORKDAYS(AtlasReport_2_Table_1[[#This Row],[Created date]],AtlasReport_2_Table_1[[#This Row],[Ship date]],Holidays!A:A)</f>
        <v>2</v>
      </c>
      <c r="F70" s="5" t="s">
        <v>146</v>
      </c>
      <c r="G70" s="5" t="s">
        <v>149</v>
      </c>
      <c r="H70" s="6">
        <v>1</v>
      </c>
      <c r="I70" s="6" t="str">
        <f>TEXT(AtlasReport_2_Table_1[[#This Row],[Ship date]],"YYYYMMM")</f>
        <v>2021Mar</v>
      </c>
    </row>
    <row r="71" spans="1:9">
      <c r="A71" s="5" t="s">
        <v>14</v>
      </c>
      <c r="B71" s="5" t="s">
        <v>129</v>
      </c>
      <c r="C71" s="8">
        <v>44257.973425925928</v>
      </c>
      <c r="D71" s="10">
        <v>44263</v>
      </c>
      <c r="E71" s="6">
        <f>NETWORKDAYS(AtlasReport_2_Table_1[[#This Row],[Created date]],AtlasReport_2_Table_1[[#This Row],[Ship date]],Holidays!A:A)</f>
        <v>5</v>
      </c>
      <c r="F71" s="5" t="s">
        <v>150</v>
      </c>
      <c r="G71" s="5" t="s">
        <v>148</v>
      </c>
      <c r="H71" s="6">
        <v>401</v>
      </c>
      <c r="I71" s="6" t="str">
        <f>TEXT(AtlasReport_2_Table_1[[#This Row],[Ship date]],"YYYYMMM")</f>
        <v>2021Mar</v>
      </c>
    </row>
    <row r="72" spans="1:9">
      <c r="A72" s="5" t="s">
        <v>15</v>
      </c>
      <c r="B72" s="5" t="s">
        <v>129</v>
      </c>
      <c r="C72" s="8">
        <v>44257.97383101852</v>
      </c>
      <c r="D72" s="10">
        <v>44263</v>
      </c>
      <c r="E72" s="6">
        <f>NETWORKDAYS(AtlasReport_2_Table_1[[#This Row],[Created date]],AtlasReport_2_Table_1[[#This Row],[Ship date]],Holidays!A:A)</f>
        <v>5</v>
      </c>
      <c r="F72" s="5" t="s">
        <v>150</v>
      </c>
      <c r="G72" s="5" t="s">
        <v>148</v>
      </c>
      <c r="H72" s="6">
        <v>1</v>
      </c>
      <c r="I72" s="6" t="str">
        <f>TEXT(AtlasReport_2_Table_1[[#This Row],[Ship date]],"YYYYMMM")</f>
        <v>2021Mar</v>
      </c>
    </row>
    <row r="73" spans="1:9">
      <c r="A73" s="5" t="s">
        <v>85</v>
      </c>
      <c r="B73" s="5" t="s">
        <v>132</v>
      </c>
      <c r="C73" s="8">
        <v>44243.789965277778</v>
      </c>
      <c r="D73" s="10">
        <v>44263</v>
      </c>
      <c r="E73" s="6">
        <f>NETWORKDAYS(AtlasReport_2_Table_1[[#This Row],[Created date]],AtlasReport_2_Table_1[[#This Row],[Ship date]],Holidays!A:A)</f>
        <v>15</v>
      </c>
      <c r="F73" s="5" t="s">
        <v>146</v>
      </c>
      <c r="G73" s="5" t="s">
        <v>148</v>
      </c>
      <c r="H73" s="6">
        <v>12403</v>
      </c>
      <c r="I73" s="6" t="str">
        <f>TEXT(AtlasReport_2_Table_1[[#This Row],[Ship date]],"YYYYMMM")</f>
        <v>2021Mar</v>
      </c>
    </row>
    <row r="74" spans="1:9">
      <c r="A74" s="5" t="s">
        <v>103</v>
      </c>
      <c r="B74" s="5" t="s">
        <v>131</v>
      </c>
      <c r="C74" s="8">
        <v>44263.691782407404</v>
      </c>
      <c r="D74" s="10">
        <v>44263</v>
      </c>
      <c r="E74" s="6">
        <f>NETWORKDAYS(AtlasReport_2_Table_1[[#This Row],[Created date]],AtlasReport_2_Table_1[[#This Row],[Ship date]],Holidays!A:A)</f>
        <v>1</v>
      </c>
      <c r="F74" s="5" t="s">
        <v>146</v>
      </c>
      <c r="G74" s="5" t="s">
        <v>148</v>
      </c>
      <c r="H74" s="6">
        <v>2</v>
      </c>
      <c r="I74" s="6" t="str">
        <f>TEXT(AtlasReport_2_Table_1[[#This Row],[Ship date]],"YYYYMMM")</f>
        <v>2021Mar</v>
      </c>
    </row>
    <row r="75" spans="1:9">
      <c r="A75" s="5" t="s">
        <v>16</v>
      </c>
      <c r="B75" s="5" t="s">
        <v>129</v>
      </c>
      <c r="C75" s="8">
        <v>44214.754687499997</v>
      </c>
      <c r="D75" s="10">
        <v>44264</v>
      </c>
      <c r="E75" s="6">
        <f>NETWORKDAYS(AtlasReport_2_Table_1[[#This Row],[Created date]],AtlasReport_2_Table_1[[#This Row],[Ship date]],Holidays!A:A)</f>
        <v>37</v>
      </c>
      <c r="F75" s="5" t="s">
        <v>150</v>
      </c>
      <c r="G75" s="5" t="s">
        <v>148</v>
      </c>
      <c r="H75" s="6">
        <v>4650</v>
      </c>
      <c r="I75" s="6" t="str">
        <f>TEXT(AtlasReport_2_Table_1[[#This Row],[Ship date]],"YYYYMMM")</f>
        <v>2021Mar</v>
      </c>
    </row>
    <row r="76" spans="1:9">
      <c r="A76" s="5" t="s">
        <v>17</v>
      </c>
      <c r="B76" s="5" t="s">
        <v>129</v>
      </c>
      <c r="C76" s="8">
        <v>44214.754953703705</v>
      </c>
      <c r="D76" s="10">
        <v>44264</v>
      </c>
      <c r="E76" s="6">
        <f>NETWORKDAYS(AtlasReport_2_Table_1[[#This Row],[Created date]],AtlasReport_2_Table_1[[#This Row],[Ship date]],Holidays!A:A)</f>
        <v>37</v>
      </c>
      <c r="F76" s="5" t="s">
        <v>150</v>
      </c>
      <c r="G76" s="5" t="s">
        <v>148</v>
      </c>
      <c r="H76" s="6">
        <v>1</v>
      </c>
      <c r="I76" s="6" t="str">
        <f>TEXT(AtlasReport_2_Table_1[[#This Row],[Ship date]],"YYYYMMM")</f>
        <v>2021Mar</v>
      </c>
    </row>
    <row r="77" spans="1:9">
      <c r="A77" s="5" t="s">
        <v>65</v>
      </c>
      <c r="B77" s="5" t="s">
        <v>130</v>
      </c>
      <c r="C77" s="8">
        <v>44223.884872685187</v>
      </c>
      <c r="D77" s="10">
        <v>44264</v>
      </c>
      <c r="E77" s="6">
        <f>NETWORKDAYS(AtlasReport_2_Table_1[[#This Row],[Created date]],AtlasReport_2_Table_1[[#This Row],[Ship date]],Holidays!A:A)</f>
        <v>30</v>
      </c>
      <c r="F77" s="5" t="s">
        <v>146</v>
      </c>
      <c r="G77" s="5" t="s">
        <v>148</v>
      </c>
      <c r="H77" s="6">
        <v>20001</v>
      </c>
      <c r="I77" s="6" t="str">
        <f>TEXT(AtlasReport_2_Table_1[[#This Row],[Ship date]],"YYYYMMM")</f>
        <v>2021Mar</v>
      </c>
    </row>
    <row r="78" spans="1:9">
      <c r="A78" s="5" t="s">
        <v>51</v>
      </c>
      <c r="B78" s="5" t="s">
        <v>130</v>
      </c>
      <c r="C78" s="8">
        <v>44210.855416666665</v>
      </c>
      <c r="D78" s="10">
        <v>44264</v>
      </c>
      <c r="E78" s="6">
        <f>NETWORKDAYS(AtlasReport_2_Table_1[[#This Row],[Created date]],AtlasReport_2_Table_1[[#This Row],[Ship date]],Holidays!A:A)</f>
        <v>39</v>
      </c>
      <c r="F78" s="5" t="s">
        <v>146</v>
      </c>
      <c r="G78" s="5" t="s">
        <v>148</v>
      </c>
      <c r="H78" s="6">
        <v>3117</v>
      </c>
      <c r="I78" s="6" t="str">
        <f>TEXT(AtlasReport_2_Table_1[[#This Row],[Ship date]],"YYYYMMM")</f>
        <v>2021Mar</v>
      </c>
    </row>
    <row r="79" spans="1:9">
      <c r="A79" s="5" t="s">
        <v>18</v>
      </c>
      <c r="B79" s="5" t="s">
        <v>129</v>
      </c>
      <c r="C79" s="8">
        <v>44265.729803240742</v>
      </c>
      <c r="D79" s="10">
        <v>44265</v>
      </c>
      <c r="E79" s="6">
        <f>NETWORKDAYS(AtlasReport_2_Table_1[[#This Row],[Created date]],AtlasReport_2_Table_1[[#This Row],[Ship date]],Holidays!A:A)</f>
        <v>1</v>
      </c>
      <c r="F79" s="5" t="s">
        <v>150</v>
      </c>
      <c r="G79" s="5" t="s">
        <v>148</v>
      </c>
      <c r="H79" s="6">
        <v>600</v>
      </c>
      <c r="I79" s="6" t="str">
        <f>TEXT(AtlasReport_2_Table_1[[#This Row],[Ship date]],"YYYYMMM")</f>
        <v>2021Mar</v>
      </c>
    </row>
    <row r="80" spans="1:9">
      <c r="A80" s="5" t="s">
        <v>19</v>
      </c>
      <c r="B80" s="5" t="s">
        <v>129</v>
      </c>
      <c r="C80" s="8">
        <v>44265.737384259257</v>
      </c>
      <c r="D80" s="10">
        <v>44266</v>
      </c>
      <c r="E80" s="6">
        <f>NETWORKDAYS(AtlasReport_2_Table_1[[#This Row],[Created date]],AtlasReport_2_Table_1[[#This Row],[Ship date]],Holidays!A:A)</f>
        <v>2</v>
      </c>
      <c r="F80" s="5" t="s">
        <v>150</v>
      </c>
      <c r="G80" s="5" t="s">
        <v>148</v>
      </c>
      <c r="H80" s="6">
        <v>1</v>
      </c>
      <c r="I80" s="6" t="str">
        <f>TEXT(AtlasReport_2_Table_1[[#This Row],[Ship date]],"YYYYMMM")</f>
        <v>2021Mar</v>
      </c>
    </row>
    <row r="81" spans="1:9">
      <c r="A81" s="5" t="s">
        <v>107</v>
      </c>
      <c r="B81" s="5" t="s">
        <v>130</v>
      </c>
      <c r="C81" s="8">
        <v>44264.70652777778</v>
      </c>
      <c r="D81" s="10">
        <v>44266</v>
      </c>
      <c r="E81" s="6">
        <f>NETWORKDAYS(AtlasReport_2_Table_1[[#This Row],[Created date]],AtlasReport_2_Table_1[[#This Row],[Ship date]],Holidays!A:A)</f>
        <v>3</v>
      </c>
      <c r="F81" s="5" t="s">
        <v>146</v>
      </c>
      <c r="G81" s="5" t="s">
        <v>148</v>
      </c>
      <c r="H81" s="6">
        <v>751</v>
      </c>
      <c r="I81" s="6" t="str">
        <f>TEXT(AtlasReport_2_Table_1[[#This Row],[Ship date]],"YYYYMMM")</f>
        <v>2021Mar</v>
      </c>
    </row>
    <row r="82" spans="1:9">
      <c r="A82" s="5" t="s">
        <v>108</v>
      </c>
      <c r="B82" s="5" t="s">
        <v>132</v>
      </c>
      <c r="C82" s="8">
        <v>44265.808611111112</v>
      </c>
      <c r="D82" s="10">
        <v>44266</v>
      </c>
      <c r="E82" s="6">
        <f>NETWORKDAYS(AtlasReport_2_Table_1[[#This Row],[Created date]],AtlasReport_2_Table_1[[#This Row],[Ship date]],Holidays!A:A)</f>
        <v>2</v>
      </c>
      <c r="F82" s="5" t="s">
        <v>146</v>
      </c>
      <c r="G82" s="5" t="s">
        <v>148</v>
      </c>
      <c r="H82" s="6">
        <v>976</v>
      </c>
      <c r="I82" s="6" t="str">
        <f>TEXT(AtlasReport_2_Table_1[[#This Row],[Ship date]],"YYYYMMM")</f>
        <v>2021Mar</v>
      </c>
    </row>
    <row r="83" spans="1:9">
      <c r="A83" s="5" t="s">
        <v>104</v>
      </c>
      <c r="B83" s="5" t="s">
        <v>130</v>
      </c>
      <c r="C83" s="8">
        <v>44263.749849537038</v>
      </c>
      <c r="D83" s="10">
        <v>44266</v>
      </c>
      <c r="E83" s="6">
        <f>NETWORKDAYS(AtlasReport_2_Table_1[[#This Row],[Created date]],AtlasReport_2_Table_1[[#This Row],[Ship date]],Holidays!A:A)</f>
        <v>4</v>
      </c>
      <c r="F83" s="5" t="s">
        <v>146</v>
      </c>
      <c r="G83" s="5" t="s">
        <v>148</v>
      </c>
      <c r="H83" s="6">
        <v>301</v>
      </c>
      <c r="I83" s="6" t="str">
        <f>TEXT(AtlasReport_2_Table_1[[#This Row],[Ship date]],"YYYYMMM")</f>
        <v>2021Mar</v>
      </c>
    </row>
    <row r="84" spans="1:9">
      <c r="A84" s="5" t="s">
        <v>110</v>
      </c>
      <c r="B84" s="5" t="s">
        <v>130</v>
      </c>
      <c r="C84" s="8">
        <v>44266.746516203704</v>
      </c>
      <c r="D84" s="10">
        <v>44270</v>
      </c>
      <c r="E84" s="6">
        <f>NETWORKDAYS(AtlasReport_2_Table_1[[#This Row],[Created date]],AtlasReport_2_Table_1[[#This Row],[Ship date]],Holidays!A:A)</f>
        <v>3</v>
      </c>
      <c r="F84" s="5" t="s">
        <v>146</v>
      </c>
      <c r="G84" s="5" t="s">
        <v>148</v>
      </c>
      <c r="H84" s="6">
        <v>851</v>
      </c>
      <c r="I84" s="6" t="str">
        <f>TEXT(AtlasReport_2_Table_1[[#This Row],[Ship date]],"YYYYMMM")</f>
        <v>2021Mar</v>
      </c>
    </row>
    <row r="85" spans="1:9">
      <c r="A85" s="5" t="s">
        <v>111</v>
      </c>
      <c r="B85" s="5" t="s">
        <v>130</v>
      </c>
      <c r="C85" s="8">
        <v>44266.816238425927</v>
      </c>
      <c r="D85" s="10">
        <v>44270</v>
      </c>
      <c r="E85" s="6">
        <f>NETWORKDAYS(AtlasReport_2_Table_1[[#This Row],[Created date]],AtlasReport_2_Table_1[[#This Row],[Ship date]],Holidays!A:A)</f>
        <v>3</v>
      </c>
      <c r="F85" s="5" t="s">
        <v>146</v>
      </c>
      <c r="G85" s="5" t="s">
        <v>148</v>
      </c>
      <c r="H85" s="6">
        <v>872</v>
      </c>
      <c r="I85" s="6" t="str">
        <f>TEXT(AtlasReport_2_Table_1[[#This Row],[Ship date]],"YYYYMMM")</f>
        <v>2021Mar</v>
      </c>
    </row>
    <row r="86" spans="1:9">
      <c r="A86" s="5" t="s">
        <v>114</v>
      </c>
      <c r="B86" s="5" t="s">
        <v>130</v>
      </c>
      <c r="C86" s="8">
        <v>44271.802395833336</v>
      </c>
      <c r="D86" s="10">
        <v>44271</v>
      </c>
      <c r="E86" s="6">
        <f>NETWORKDAYS(AtlasReport_2_Table_1[[#This Row],[Created date]],AtlasReport_2_Table_1[[#This Row],[Ship date]],Holidays!A:A)</f>
        <v>1</v>
      </c>
      <c r="F86" s="5" t="s">
        <v>146</v>
      </c>
      <c r="G86" s="5" t="s">
        <v>148</v>
      </c>
      <c r="H86" s="6">
        <v>261</v>
      </c>
      <c r="I86" s="6" t="str">
        <f>TEXT(AtlasReport_2_Table_1[[#This Row],[Ship date]],"YYYYMMM")</f>
        <v>2021Mar</v>
      </c>
    </row>
    <row r="87" spans="1:9">
      <c r="A87" s="5" t="s">
        <v>98</v>
      </c>
      <c r="B87" s="5" t="s">
        <v>132</v>
      </c>
      <c r="C87" s="8">
        <v>44256.892141203702</v>
      </c>
      <c r="D87" s="10">
        <v>44271</v>
      </c>
      <c r="E87" s="6">
        <f>NETWORKDAYS(AtlasReport_2_Table_1[[#This Row],[Created date]],AtlasReport_2_Table_1[[#This Row],[Ship date]],Holidays!A:A)</f>
        <v>12</v>
      </c>
      <c r="F87" s="5" t="s">
        <v>146</v>
      </c>
      <c r="G87" s="5" t="s">
        <v>149</v>
      </c>
      <c r="H87" s="6">
        <v>2891</v>
      </c>
      <c r="I87" s="6" t="str">
        <f>TEXT(AtlasReport_2_Table_1[[#This Row],[Ship date]],"YYYYMMM")</f>
        <v>2021Mar</v>
      </c>
    </row>
    <row r="88" spans="1:9">
      <c r="A88" s="5" t="s">
        <v>91</v>
      </c>
      <c r="B88" s="5" t="s">
        <v>131</v>
      </c>
      <c r="C88" s="8">
        <v>44250.790312500001</v>
      </c>
      <c r="D88" s="10">
        <v>44271</v>
      </c>
      <c r="E88" s="6">
        <f>NETWORKDAYS(AtlasReport_2_Table_1[[#This Row],[Created date]],AtlasReport_2_Table_1[[#This Row],[Ship date]],Holidays!A:A)</f>
        <v>16</v>
      </c>
      <c r="F88" s="5" t="s">
        <v>146</v>
      </c>
      <c r="G88" s="5" t="s">
        <v>149</v>
      </c>
      <c r="H88" s="6">
        <v>186</v>
      </c>
      <c r="I88" s="6" t="str">
        <f>TEXT(AtlasReport_2_Table_1[[#This Row],[Ship date]],"YYYYMMM")</f>
        <v>2021Mar</v>
      </c>
    </row>
    <row r="89" spans="1:9">
      <c r="A89" s="5" t="s">
        <v>101</v>
      </c>
      <c r="B89" s="5" t="s">
        <v>130</v>
      </c>
      <c r="C89" s="8">
        <v>44258.679467592592</v>
      </c>
      <c r="D89" s="10">
        <v>44272</v>
      </c>
      <c r="E89" s="6">
        <f>NETWORKDAYS(AtlasReport_2_Table_1[[#This Row],[Created date]],AtlasReport_2_Table_1[[#This Row],[Ship date]],Holidays!A:A)</f>
        <v>11</v>
      </c>
      <c r="F89" s="5" t="s">
        <v>146</v>
      </c>
      <c r="G89" s="5" t="s">
        <v>148</v>
      </c>
      <c r="H89" s="6">
        <v>10001</v>
      </c>
      <c r="I89" s="6" t="str">
        <f>TEXT(AtlasReport_2_Table_1[[#This Row],[Ship date]],"YYYYMMM")</f>
        <v>2021Mar</v>
      </c>
    </row>
    <row r="90" spans="1:9">
      <c r="A90" s="5" t="s">
        <v>115</v>
      </c>
      <c r="B90" s="5" t="s">
        <v>131</v>
      </c>
      <c r="C90" s="8">
        <v>44272.696192129632</v>
      </c>
      <c r="D90" s="10">
        <v>44272</v>
      </c>
      <c r="E90" s="6">
        <f>NETWORKDAYS(AtlasReport_2_Table_1[[#This Row],[Created date]],AtlasReport_2_Table_1[[#This Row],[Ship date]],Holidays!A:A)</f>
        <v>1</v>
      </c>
      <c r="F90" s="5" t="s">
        <v>146</v>
      </c>
      <c r="G90" s="5" t="s">
        <v>149</v>
      </c>
      <c r="H90" s="6">
        <v>13</v>
      </c>
      <c r="I90" s="6" t="str">
        <f>TEXT(AtlasReport_2_Table_1[[#This Row],[Ship date]],"YYYYMMM")</f>
        <v>2021Mar</v>
      </c>
    </row>
    <row r="91" spans="1:9">
      <c r="A91" s="5" t="s">
        <v>32</v>
      </c>
      <c r="B91" s="5" t="s">
        <v>130</v>
      </c>
      <c r="C91" s="8">
        <v>44183.761956018519</v>
      </c>
      <c r="D91" s="10">
        <v>44272</v>
      </c>
      <c r="E91" s="6">
        <f>NETWORKDAYS(AtlasReport_2_Table_1[[#This Row],[Created date]],AtlasReport_2_Table_1[[#This Row],[Ship date]],Holidays!A:A)</f>
        <v>62</v>
      </c>
      <c r="F91" s="5" t="s">
        <v>146</v>
      </c>
      <c r="G91" s="5" t="s">
        <v>148</v>
      </c>
      <c r="H91" s="6">
        <v>4001</v>
      </c>
      <c r="I91" s="6" t="str">
        <f>TEXT(AtlasReport_2_Table_1[[#This Row],[Ship date]],"YYYYMMM")</f>
        <v>2021Mar</v>
      </c>
    </row>
    <row r="92" spans="1:9">
      <c r="A92" s="5" t="s">
        <v>81</v>
      </c>
      <c r="B92" s="5" t="s">
        <v>130</v>
      </c>
      <c r="C92" s="8">
        <v>44242.870983796296</v>
      </c>
      <c r="D92" s="10">
        <v>44272</v>
      </c>
      <c r="E92" s="6">
        <f>NETWORKDAYS(AtlasReport_2_Table_1[[#This Row],[Created date]],AtlasReport_2_Table_1[[#This Row],[Ship date]],Holidays!A:A)</f>
        <v>23</v>
      </c>
      <c r="F92" s="5" t="s">
        <v>146</v>
      </c>
      <c r="G92" s="5" t="s">
        <v>148</v>
      </c>
      <c r="H92" s="6">
        <v>2901</v>
      </c>
      <c r="I92" s="6" t="str">
        <f>TEXT(AtlasReport_2_Table_1[[#This Row],[Ship date]],"YYYYMMM")</f>
        <v>2021Mar</v>
      </c>
    </row>
    <row r="93" spans="1:9">
      <c r="A93" s="5" t="s">
        <v>97</v>
      </c>
      <c r="B93" s="5" t="s">
        <v>130</v>
      </c>
      <c r="C93" s="8">
        <v>44256.877326388887</v>
      </c>
      <c r="D93" s="10">
        <v>44273</v>
      </c>
      <c r="E93" s="6">
        <f>NETWORKDAYS(AtlasReport_2_Table_1[[#This Row],[Created date]],AtlasReport_2_Table_1[[#This Row],[Ship date]],Holidays!A:A)</f>
        <v>14</v>
      </c>
      <c r="F93" s="5" t="s">
        <v>146</v>
      </c>
      <c r="G93" s="5" t="s">
        <v>148</v>
      </c>
      <c r="H93" s="6">
        <v>1001</v>
      </c>
      <c r="I93" s="6" t="str">
        <f>TEXT(AtlasReport_2_Table_1[[#This Row],[Ship date]],"YYYYMMM")</f>
        <v>2021Mar</v>
      </c>
    </row>
    <row r="94" spans="1:9">
      <c r="A94" s="5" t="s">
        <v>116</v>
      </c>
      <c r="B94" s="5" t="s">
        <v>130</v>
      </c>
      <c r="C94" s="8">
        <v>44272.900810185187</v>
      </c>
      <c r="D94" s="10">
        <v>44273</v>
      </c>
      <c r="E94" s="6">
        <f>NETWORKDAYS(AtlasReport_2_Table_1[[#This Row],[Created date]],AtlasReport_2_Table_1[[#This Row],[Ship date]],Holidays!A:A)</f>
        <v>2</v>
      </c>
      <c r="F94" s="5" t="s">
        <v>146</v>
      </c>
      <c r="G94" s="5" t="s">
        <v>148</v>
      </c>
      <c r="H94" s="6">
        <v>231</v>
      </c>
      <c r="I94" s="6" t="str">
        <f>TEXT(AtlasReport_2_Table_1[[#This Row],[Ship date]],"YYYYMMM")</f>
        <v>2021Mar</v>
      </c>
    </row>
    <row r="95" spans="1:9">
      <c r="A95" s="5" t="s">
        <v>8</v>
      </c>
      <c r="B95" s="5" t="s">
        <v>129</v>
      </c>
      <c r="C95" s="8">
        <v>44273.813113425924</v>
      </c>
      <c r="D95" s="10">
        <v>44273</v>
      </c>
      <c r="E95" s="6">
        <f>NETWORKDAYS(AtlasReport_2_Table_1[[#This Row],[Created date]],AtlasReport_2_Table_1[[#This Row],[Ship date]],Holidays!A:A)</f>
        <v>1</v>
      </c>
      <c r="F95" s="5" t="s">
        <v>150</v>
      </c>
      <c r="G95" s="5" t="s">
        <v>148</v>
      </c>
      <c r="H95" s="6">
        <v>3100</v>
      </c>
      <c r="I95" s="6" t="str">
        <f>TEXT(AtlasReport_2_Table_1[[#This Row],[Ship date]],"YYYYMMM")</f>
        <v>2021Mar</v>
      </c>
    </row>
    <row r="96" spans="1:9">
      <c r="A96" s="5" t="s">
        <v>7</v>
      </c>
      <c r="B96" s="5" t="s">
        <v>129</v>
      </c>
      <c r="C96" s="8">
        <v>44272.988449074073</v>
      </c>
      <c r="D96" s="10">
        <v>44273</v>
      </c>
      <c r="E96" s="6">
        <f>NETWORKDAYS(AtlasReport_2_Table_1[[#This Row],[Created date]],AtlasReport_2_Table_1[[#This Row],[Ship date]],Holidays!A:A)</f>
        <v>2</v>
      </c>
      <c r="F96" s="5" t="s">
        <v>150</v>
      </c>
      <c r="G96" s="5" t="s">
        <v>148</v>
      </c>
      <c r="H96" s="6">
        <v>1</v>
      </c>
      <c r="I96" s="6" t="str">
        <f>TEXT(AtlasReport_2_Table_1[[#This Row],[Ship date]],"YYYYMMM")</f>
        <v>2021Mar</v>
      </c>
    </row>
    <row r="97" spans="1:9">
      <c r="A97" s="5" t="s">
        <v>20</v>
      </c>
      <c r="B97" s="5" t="s">
        <v>129</v>
      </c>
      <c r="C97" s="8">
        <v>44272.660358796296</v>
      </c>
      <c r="D97" s="10">
        <v>44274</v>
      </c>
      <c r="E97" s="6">
        <f>NETWORKDAYS(AtlasReport_2_Table_1[[#This Row],[Created date]],AtlasReport_2_Table_1[[#This Row],[Ship date]],Holidays!A:A)</f>
        <v>3</v>
      </c>
      <c r="F97" s="5" t="s">
        <v>146</v>
      </c>
      <c r="G97" s="5" t="s">
        <v>148</v>
      </c>
      <c r="H97" s="6">
        <v>126</v>
      </c>
      <c r="I97" s="6" t="str">
        <f>TEXT(AtlasReport_2_Table_1[[#This Row],[Ship date]],"YYYYMMM")</f>
        <v>2021Mar</v>
      </c>
    </row>
    <row r="98" spans="1:9">
      <c r="A98" s="5" t="s">
        <v>119</v>
      </c>
      <c r="B98" s="5" t="s">
        <v>130</v>
      </c>
      <c r="C98" s="8">
        <v>44277.780844907407</v>
      </c>
      <c r="D98" s="10">
        <v>44277</v>
      </c>
      <c r="E98" s="6">
        <f>NETWORKDAYS(AtlasReport_2_Table_1[[#This Row],[Created date]],AtlasReport_2_Table_1[[#This Row],[Ship date]],Holidays!A:A)</f>
        <v>1</v>
      </c>
      <c r="F98" s="5" t="s">
        <v>146</v>
      </c>
      <c r="G98" s="5" t="s">
        <v>148</v>
      </c>
      <c r="H98" s="6">
        <v>21</v>
      </c>
      <c r="I98" s="6" t="str">
        <f>TEXT(AtlasReport_2_Table_1[[#This Row],[Ship date]],"YYYYMMM")</f>
        <v>2021Mar</v>
      </c>
    </row>
    <row r="99" spans="1:9">
      <c r="A99" s="5" t="s">
        <v>117</v>
      </c>
      <c r="B99" s="5" t="s">
        <v>130</v>
      </c>
      <c r="C99" s="8">
        <v>44273.708796296298</v>
      </c>
      <c r="D99" s="10">
        <v>44277</v>
      </c>
      <c r="E99" s="6">
        <f>NETWORKDAYS(AtlasReport_2_Table_1[[#This Row],[Created date]],AtlasReport_2_Table_1[[#This Row],[Ship date]],Holidays!A:A)</f>
        <v>3</v>
      </c>
      <c r="F99" s="5" t="s">
        <v>146</v>
      </c>
      <c r="G99" s="5" t="s">
        <v>148</v>
      </c>
      <c r="H99" s="6">
        <v>501</v>
      </c>
      <c r="I99" s="6" t="str">
        <f>TEXT(AtlasReport_2_Table_1[[#This Row],[Ship date]],"YYYYMMM")</f>
        <v>2021Mar</v>
      </c>
    </row>
    <row r="100" spans="1:9">
      <c r="A100" s="5" t="s">
        <v>80</v>
      </c>
      <c r="B100" s="5" t="s">
        <v>130</v>
      </c>
      <c r="C100" s="8">
        <v>44242.762141203704</v>
      </c>
      <c r="D100" s="10">
        <v>44277</v>
      </c>
      <c r="E100" s="6">
        <f>NETWORKDAYS(AtlasReport_2_Table_1[[#This Row],[Created date]],AtlasReport_2_Table_1[[#This Row],[Ship date]],Holidays!A:A)</f>
        <v>26</v>
      </c>
      <c r="F100" s="5" t="s">
        <v>146</v>
      </c>
      <c r="G100" s="5" t="s">
        <v>148</v>
      </c>
      <c r="H100" s="6">
        <v>1501</v>
      </c>
      <c r="I100" s="6" t="str">
        <f>TEXT(AtlasReport_2_Table_1[[#This Row],[Ship date]],"YYYYMMM")</f>
        <v>2021Mar</v>
      </c>
    </row>
    <row r="101" spans="1:9">
      <c r="A101" s="5" t="s">
        <v>56</v>
      </c>
      <c r="B101" s="5" t="s">
        <v>130</v>
      </c>
      <c r="C101" s="8">
        <v>44216.880914351852</v>
      </c>
      <c r="D101" s="10">
        <v>44277</v>
      </c>
      <c r="E101" s="6">
        <f>NETWORKDAYS(AtlasReport_2_Table_1[[#This Row],[Created date]],AtlasReport_2_Table_1[[#This Row],[Ship date]],Holidays!A:A)</f>
        <v>44</v>
      </c>
      <c r="F101" s="5" t="s">
        <v>146</v>
      </c>
      <c r="G101" s="5" t="s">
        <v>148</v>
      </c>
      <c r="H101" s="6">
        <v>1724</v>
      </c>
      <c r="I101" s="6" t="str">
        <f>TEXT(AtlasReport_2_Table_1[[#This Row],[Ship date]],"YYYYMMM")</f>
        <v>2021Mar</v>
      </c>
    </row>
    <row r="102" spans="1:9">
      <c r="A102" s="5" t="s">
        <v>21</v>
      </c>
      <c r="B102" s="5" t="s">
        <v>129</v>
      </c>
      <c r="C102" s="8">
        <v>44272.662210648145</v>
      </c>
      <c r="D102" s="10">
        <v>44277</v>
      </c>
      <c r="E102" s="6">
        <f>NETWORKDAYS(AtlasReport_2_Table_1[[#This Row],[Created date]],AtlasReport_2_Table_1[[#This Row],[Ship date]],Holidays!A:A)</f>
        <v>4</v>
      </c>
      <c r="F102" s="5" t="s">
        <v>150</v>
      </c>
      <c r="G102" s="5" t="s">
        <v>148</v>
      </c>
      <c r="H102" s="6">
        <v>1</v>
      </c>
      <c r="I102" s="6" t="str">
        <f>TEXT(AtlasReport_2_Table_1[[#This Row],[Ship date]],"YYYYMMM")</f>
        <v>2021Mar</v>
      </c>
    </row>
    <row r="103" spans="1:9">
      <c r="A103" s="5" t="s">
        <v>120</v>
      </c>
      <c r="B103" s="5" t="s">
        <v>132</v>
      </c>
      <c r="C103" s="8">
        <v>44277.78806712963</v>
      </c>
      <c r="D103" s="10">
        <v>44279</v>
      </c>
      <c r="E103" s="6">
        <f>NETWORKDAYS(AtlasReport_2_Table_1[[#This Row],[Created date]],AtlasReport_2_Table_1[[#This Row],[Ship date]],Holidays!A:A)</f>
        <v>3</v>
      </c>
      <c r="F103" s="5" t="s">
        <v>146</v>
      </c>
      <c r="G103" s="5" t="s">
        <v>149</v>
      </c>
      <c r="H103" s="6">
        <v>276</v>
      </c>
      <c r="I103" s="6" t="str">
        <f>TEXT(AtlasReport_2_Table_1[[#This Row],[Ship date]],"YYYYMMM")</f>
        <v>2021Mar</v>
      </c>
    </row>
    <row r="104" spans="1:9">
      <c r="A104" s="5" t="s">
        <v>23</v>
      </c>
      <c r="B104" s="5" t="s">
        <v>129</v>
      </c>
      <c r="C104" s="8">
        <v>44273.706932870373</v>
      </c>
      <c r="D104" s="10">
        <v>44279</v>
      </c>
      <c r="E104" s="6">
        <f>NETWORKDAYS(AtlasReport_2_Table_1[[#This Row],[Created date]],AtlasReport_2_Table_1[[#This Row],[Ship date]],Holidays!A:A)</f>
        <v>5</v>
      </c>
      <c r="F104" s="5" t="s">
        <v>150</v>
      </c>
      <c r="G104" s="5" t="s">
        <v>148</v>
      </c>
      <c r="H104" s="6">
        <v>100</v>
      </c>
      <c r="I104" s="6" t="str">
        <f>TEXT(AtlasReport_2_Table_1[[#This Row],[Ship date]],"YYYYMMM")</f>
        <v>2021Mar</v>
      </c>
    </row>
    <row r="105" spans="1:9">
      <c r="A105" s="5" t="s">
        <v>112</v>
      </c>
      <c r="B105" s="5" t="s">
        <v>130</v>
      </c>
      <c r="C105" s="8">
        <v>44270.795729166668</v>
      </c>
      <c r="D105" s="10">
        <v>44280</v>
      </c>
      <c r="E105" s="6">
        <f>NETWORKDAYS(AtlasReport_2_Table_1[[#This Row],[Created date]],AtlasReport_2_Table_1[[#This Row],[Ship date]],Holidays!A:A)</f>
        <v>9</v>
      </c>
      <c r="F105" s="5" t="s">
        <v>146</v>
      </c>
      <c r="G105" s="5" t="s">
        <v>148</v>
      </c>
      <c r="H105" s="6">
        <v>1181</v>
      </c>
      <c r="I105" s="6" t="str">
        <f>TEXT(AtlasReport_2_Table_1[[#This Row],[Ship date]],"YYYYMMM")</f>
        <v>2021Mar</v>
      </c>
    </row>
    <row r="106" spans="1:9">
      <c r="A106" s="5" t="s">
        <v>94</v>
      </c>
      <c r="B106" s="5" t="s">
        <v>130</v>
      </c>
      <c r="C106" s="8">
        <v>44251.863136574073</v>
      </c>
      <c r="D106" s="10">
        <v>44280</v>
      </c>
      <c r="E106" s="6">
        <f>NETWORKDAYS(AtlasReport_2_Table_1[[#This Row],[Created date]],AtlasReport_2_Table_1[[#This Row],[Ship date]],Holidays!A:A)</f>
        <v>22</v>
      </c>
      <c r="F106" s="5" t="s">
        <v>146</v>
      </c>
      <c r="G106" s="5" t="s">
        <v>148</v>
      </c>
      <c r="H106" s="6">
        <v>420</v>
      </c>
      <c r="I106" s="6" t="str">
        <f>TEXT(AtlasReport_2_Table_1[[#This Row],[Ship date]],"YYYYMMM")</f>
        <v>2021Mar</v>
      </c>
    </row>
    <row r="107" spans="1:9">
      <c r="A107" s="5" t="s">
        <v>100</v>
      </c>
      <c r="B107" s="5" t="s">
        <v>131</v>
      </c>
      <c r="C107" s="8">
        <v>44257.905358796299</v>
      </c>
      <c r="D107" s="10">
        <v>44280</v>
      </c>
      <c r="E107" s="6">
        <f>NETWORKDAYS(AtlasReport_2_Table_1[[#This Row],[Created date]],AtlasReport_2_Table_1[[#This Row],[Ship date]],Holidays!A:A)</f>
        <v>18</v>
      </c>
      <c r="F107" s="5" t="s">
        <v>146</v>
      </c>
      <c r="G107" s="5" t="s">
        <v>149</v>
      </c>
      <c r="H107" s="6">
        <v>3001</v>
      </c>
      <c r="I107" s="6" t="str">
        <f>TEXT(AtlasReport_2_Table_1[[#This Row],[Ship date]],"YYYYMMM")</f>
        <v>2021Mar</v>
      </c>
    </row>
    <row r="108" spans="1:9">
      <c r="A108" s="5" t="s">
        <v>93</v>
      </c>
      <c r="B108" s="5" t="s">
        <v>130</v>
      </c>
      <c r="C108" s="8">
        <v>44251.848923611113</v>
      </c>
      <c r="D108" s="10">
        <v>44280</v>
      </c>
      <c r="E108" s="6">
        <f>NETWORKDAYS(AtlasReport_2_Table_1[[#This Row],[Created date]],AtlasReport_2_Table_1[[#This Row],[Ship date]],Holidays!A:A)</f>
        <v>22</v>
      </c>
      <c r="F108" s="5" t="s">
        <v>146</v>
      </c>
      <c r="G108" s="5" t="s">
        <v>148</v>
      </c>
      <c r="H108" s="6">
        <v>981</v>
      </c>
      <c r="I108" s="6" t="str">
        <f>TEXT(AtlasReport_2_Table_1[[#This Row],[Ship date]],"YYYYMMM")</f>
        <v>2021Mar</v>
      </c>
    </row>
    <row r="109" spans="1:9">
      <c r="A109" s="5" t="s">
        <v>82</v>
      </c>
      <c r="B109" s="5" t="s">
        <v>130</v>
      </c>
      <c r="C109" s="8">
        <v>44242.893842592595</v>
      </c>
      <c r="D109" s="10">
        <v>44280</v>
      </c>
      <c r="E109" s="6">
        <f>NETWORKDAYS(AtlasReport_2_Table_1[[#This Row],[Created date]],AtlasReport_2_Table_1[[#This Row],[Ship date]],Holidays!A:A)</f>
        <v>29</v>
      </c>
      <c r="F109" s="5" t="s">
        <v>146</v>
      </c>
      <c r="G109" s="5" t="s">
        <v>148</v>
      </c>
      <c r="H109" s="6">
        <v>5401</v>
      </c>
      <c r="I109" s="6" t="str">
        <f>TEXT(AtlasReport_2_Table_1[[#This Row],[Ship date]],"YYYYMMM")</f>
        <v>2021Mar</v>
      </c>
    </row>
    <row r="110" spans="1:9">
      <c r="A110" s="5" t="s">
        <v>83</v>
      </c>
      <c r="B110" s="5" t="s">
        <v>130</v>
      </c>
      <c r="C110" s="8">
        <v>44242.897361111114</v>
      </c>
      <c r="D110" s="10">
        <v>44280</v>
      </c>
      <c r="E110" s="6">
        <f>NETWORKDAYS(AtlasReport_2_Table_1[[#This Row],[Created date]],AtlasReport_2_Table_1[[#This Row],[Ship date]],Holidays!A:A)</f>
        <v>29</v>
      </c>
      <c r="F110" s="5" t="s">
        <v>146</v>
      </c>
      <c r="G110" s="5" t="s">
        <v>148</v>
      </c>
      <c r="H110" s="6">
        <v>3901</v>
      </c>
      <c r="I110" s="6" t="str">
        <f>TEXT(AtlasReport_2_Table_1[[#This Row],[Ship date]],"YYYYMMM")</f>
        <v>2021Mar</v>
      </c>
    </row>
    <row r="111" spans="1:9">
      <c r="A111" s="5" t="s">
        <v>24</v>
      </c>
      <c r="B111" s="5" t="s">
        <v>129</v>
      </c>
      <c r="C111" s="8">
        <v>44273.709907407407</v>
      </c>
      <c r="D111" s="10">
        <v>44280</v>
      </c>
      <c r="E111" s="6">
        <f>NETWORKDAYS(AtlasReport_2_Table_1[[#This Row],[Created date]],AtlasReport_2_Table_1[[#This Row],[Ship date]],Holidays!A:A)</f>
        <v>6</v>
      </c>
      <c r="F111" s="5" t="s">
        <v>150</v>
      </c>
      <c r="G111" s="5" t="s">
        <v>148</v>
      </c>
      <c r="H111" s="6">
        <v>1</v>
      </c>
      <c r="I111" s="6" t="str">
        <f>TEXT(AtlasReport_2_Table_1[[#This Row],[Ship date]],"YYYYMMM")</f>
        <v>2021Mar</v>
      </c>
    </row>
    <row r="112" spans="1:9">
      <c r="A112" s="5" t="s">
        <v>113</v>
      </c>
      <c r="B112" s="5" t="s">
        <v>132</v>
      </c>
      <c r="C112" s="8">
        <v>44271.749525462961</v>
      </c>
      <c r="D112" s="10">
        <v>44284</v>
      </c>
      <c r="E112" s="6">
        <f>NETWORKDAYS(AtlasReport_2_Table_1[[#This Row],[Created date]],AtlasReport_2_Table_1[[#This Row],[Ship date]],Holidays!A:A)</f>
        <v>10</v>
      </c>
      <c r="F112" s="5" t="s">
        <v>146</v>
      </c>
      <c r="G112" s="5" t="s">
        <v>148</v>
      </c>
      <c r="H112" s="6">
        <v>601</v>
      </c>
      <c r="I112" s="6" t="str">
        <f>TEXT(AtlasReport_2_Table_1[[#This Row],[Ship date]],"YYYYMMM")</f>
        <v>2021Mar</v>
      </c>
    </row>
    <row r="113" spans="1:9">
      <c r="A113" s="5" t="s">
        <v>22</v>
      </c>
      <c r="B113" s="5" t="s">
        <v>129</v>
      </c>
      <c r="C113" s="8">
        <v>44279.740648148145</v>
      </c>
      <c r="D113" s="10">
        <v>44284</v>
      </c>
      <c r="E113" s="6">
        <f>NETWORKDAYS(AtlasReport_2_Table_1[[#This Row],[Created date]],AtlasReport_2_Table_1[[#This Row],[Ship date]],Holidays!A:A)</f>
        <v>4</v>
      </c>
      <c r="F113" s="5" t="s">
        <v>151</v>
      </c>
      <c r="G113" s="5" t="s">
        <v>148</v>
      </c>
      <c r="H113" s="6">
        <v>5400</v>
      </c>
      <c r="I113" s="6" t="str">
        <f>TEXT(AtlasReport_2_Table_1[[#This Row],[Ship date]],"YYYYMMM")</f>
        <v>2021Mar</v>
      </c>
    </row>
    <row r="114" spans="1:9">
      <c r="A114" s="5" t="s">
        <v>123</v>
      </c>
      <c r="B114" s="5" t="s">
        <v>131</v>
      </c>
      <c r="C114" s="8">
        <v>44284.660057870373</v>
      </c>
      <c r="D114" s="10">
        <v>44285</v>
      </c>
      <c r="E114" s="6">
        <f>NETWORKDAYS(AtlasReport_2_Table_1[[#This Row],[Created date]],AtlasReport_2_Table_1[[#This Row],[Ship date]],Holidays!A:A)</f>
        <v>2</v>
      </c>
      <c r="F114" s="5" t="s">
        <v>146</v>
      </c>
      <c r="G114" s="5" t="s">
        <v>149</v>
      </c>
      <c r="H114" s="6">
        <v>26</v>
      </c>
      <c r="I114" s="6" t="str">
        <f>TEXT(AtlasReport_2_Table_1[[#This Row],[Ship date]],"YYYYMMM")</f>
        <v>2021Mar</v>
      </c>
    </row>
    <row r="115" spans="1:9">
      <c r="A115" s="5" t="s">
        <v>109</v>
      </c>
      <c r="B115" s="5" t="s">
        <v>130</v>
      </c>
      <c r="C115" s="8">
        <v>44266.731504629628</v>
      </c>
      <c r="D115" s="10">
        <v>44285</v>
      </c>
      <c r="E115" s="6">
        <f>NETWORKDAYS(AtlasReport_2_Table_1[[#This Row],[Created date]],AtlasReport_2_Table_1[[#This Row],[Ship date]],Holidays!A:A)</f>
        <v>14</v>
      </c>
      <c r="F115" s="5" t="s">
        <v>146</v>
      </c>
      <c r="G115" s="5" t="s">
        <v>149</v>
      </c>
      <c r="H115" s="6">
        <v>41</v>
      </c>
      <c r="I115" s="6" t="str">
        <f>TEXT(AtlasReport_2_Table_1[[#This Row],[Ship date]],"YYYYMMM")</f>
        <v>2021Mar</v>
      </c>
    </row>
    <row r="116" spans="1:9">
      <c r="A116" s="5" t="s">
        <v>124</v>
      </c>
      <c r="B116" s="5" t="s">
        <v>130</v>
      </c>
      <c r="C116" s="8">
        <v>44284.664861111109</v>
      </c>
      <c r="D116" s="10">
        <v>44285</v>
      </c>
      <c r="E116" s="6">
        <f>NETWORKDAYS(AtlasReport_2_Table_1[[#This Row],[Created date]],AtlasReport_2_Table_1[[#This Row],[Ship date]],Holidays!A:A)</f>
        <v>2</v>
      </c>
      <c r="F116" s="5" t="s">
        <v>146</v>
      </c>
      <c r="G116" s="5" t="s">
        <v>148</v>
      </c>
      <c r="H116" s="6">
        <v>151</v>
      </c>
      <c r="I116" s="6" t="str">
        <f>TEXT(AtlasReport_2_Table_1[[#This Row],[Ship date]],"YYYYMMM")</f>
        <v>2021Mar</v>
      </c>
    </row>
    <row r="117" spans="1:9">
      <c r="A117" s="5" t="s">
        <v>121</v>
      </c>
      <c r="B117" s="5" t="s">
        <v>132</v>
      </c>
      <c r="C117" s="8">
        <v>44284.635057870371</v>
      </c>
      <c r="D117" s="10">
        <v>44285</v>
      </c>
      <c r="E117" s="6">
        <f>NETWORKDAYS(AtlasReport_2_Table_1[[#This Row],[Created date]],AtlasReport_2_Table_1[[#This Row],[Ship date]],Holidays!A:A)</f>
        <v>2</v>
      </c>
      <c r="F117" s="5" t="s">
        <v>146</v>
      </c>
      <c r="G117" s="5" t="s">
        <v>149</v>
      </c>
      <c r="H117" s="6">
        <v>101</v>
      </c>
      <c r="I117" s="6" t="str">
        <f>TEXT(AtlasReport_2_Table_1[[#This Row],[Ship date]],"YYYYMMM")</f>
        <v>2021Mar</v>
      </c>
    </row>
    <row r="118" spans="1:9">
      <c r="A118" s="5" t="s">
        <v>122</v>
      </c>
      <c r="B118" s="5" t="s">
        <v>130</v>
      </c>
      <c r="C118" s="8">
        <v>44284.642523148148</v>
      </c>
      <c r="D118" s="10">
        <v>44285</v>
      </c>
      <c r="E118" s="6">
        <f>NETWORKDAYS(AtlasReport_2_Table_1[[#This Row],[Created date]],AtlasReport_2_Table_1[[#This Row],[Ship date]],Holidays!A:A)</f>
        <v>2</v>
      </c>
      <c r="F118" s="5" t="s">
        <v>146</v>
      </c>
      <c r="G118" s="5" t="s">
        <v>148</v>
      </c>
      <c r="H118" s="6">
        <v>471</v>
      </c>
      <c r="I118" s="6" t="str">
        <f>TEXT(AtlasReport_2_Table_1[[#This Row],[Ship date]],"YYYYMMM")</f>
        <v>2021Mar</v>
      </c>
    </row>
    <row r="119" spans="1:9">
      <c r="A119" s="5" t="s">
        <v>90</v>
      </c>
      <c r="B119" s="5" t="s">
        <v>130</v>
      </c>
      <c r="C119" s="8">
        <v>44249.880659722221</v>
      </c>
      <c r="D119" s="10">
        <v>44285</v>
      </c>
      <c r="E119" s="6">
        <f>NETWORKDAYS(AtlasReport_2_Table_1[[#This Row],[Created date]],AtlasReport_2_Table_1[[#This Row],[Ship date]],Holidays!A:A)</f>
        <v>27</v>
      </c>
      <c r="F119" s="5" t="s">
        <v>146</v>
      </c>
      <c r="G119" s="5" t="s">
        <v>148</v>
      </c>
      <c r="H119" s="6">
        <v>6061</v>
      </c>
      <c r="I119" s="6" t="str">
        <f>TEXT(AtlasReport_2_Table_1[[#This Row],[Ship date]],"YYYYMMM")</f>
        <v>2021Mar</v>
      </c>
    </row>
    <row r="120" spans="1:9">
      <c r="A120" s="5" t="s">
        <v>118</v>
      </c>
      <c r="B120" s="5" t="s">
        <v>130</v>
      </c>
      <c r="C120" s="8">
        <v>44277.740833333337</v>
      </c>
      <c r="D120" s="10">
        <v>44285</v>
      </c>
      <c r="E120" s="6">
        <f>NETWORKDAYS(AtlasReport_2_Table_1[[#This Row],[Created date]],AtlasReport_2_Table_1[[#This Row],[Ship date]],Holidays!A:A)</f>
        <v>7</v>
      </c>
      <c r="F120" s="5" t="s">
        <v>146</v>
      </c>
      <c r="G120" s="5" t="s">
        <v>148</v>
      </c>
      <c r="H120" s="6">
        <v>14007</v>
      </c>
      <c r="I120" s="6" t="str">
        <f>TEXT(AtlasReport_2_Table_1[[#This Row],[Ship date]],"YYYYMMM")</f>
        <v>2021Mar</v>
      </c>
    </row>
    <row r="121" spans="1:9">
      <c r="A121" s="5" t="s">
        <v>125</v>
      </c>
      <c r="B121" s="5" t="s">
        <v>130</v>
      </c>
      <c r="C121" s="8">
        <v>44284.836527777778</v>
      </c>
      <c r="D121" s="10">
        <v>44286</v>
      </c>
      <c r="E121" s="6">
        <f>NETWORKDAYS(AtlasReport_2_Table_1[[#This Row],[Created date]],AtlasReport_2_Table_1[[#This Row],[Ship date]],Holidays!A:A)</f>
        <v>3</v>
      </c>
      <c r="F121" s="5" t="s">
        <v>146</v>
      </c>
      <c r="G121" s="5" t="s">
        <v>152</v>
      </c>
      <c r="H121" s="6">
        <v>1000</v>
      </c>
      <c r="I121" s="6" t="str">
        <f>TEXT(AtlasReport_2_Table_1[[#This Row],[Ship date]],"YYYYMMM")</f>
        <v>2021Mar</v>
      </c>
    </row>
    <row r="122" spans="1:9">
      <c r="A122" s="5" t="s">
        <v>105</v>
      </c>
      <c r="B122" s="5" t="s">
        <v>132</v>
      </c>
      <c r="C122" s="8">
        <v>44263.94121527778</v>
      </c>
      <c r="D122" s="10">
        <v>44286</v>
      </c>
      <c r="E122" s="6">
        <f>NETWORKDAYS(AtlasReport_2_Table_1[[#This Row],[Created date]],AtlasReport_2_Table_1[[#This Row],[Ship date]],Holidays!A:A)</f>
        <v>18</v>
      </c>
      <c r="F122" s="5" t="s">
        <v>146</v>
      </c>
      <c r="G122" s="5" t="s">
        <v>149</v>
      </c>
      <c r="H122" s="6">
        <v>1853.71</v>
      </c>
      <c r="I122" s="6" t="str">
        <f>TEXT(AtlasReport_2_Table_1[[#This Row],[Ship date]],"YYYYMMM")</f>
        <v>2021Mar</v>
      </c>
    </row>
    <row r="123" spans="1:9">
      <c r="A123" s="5" t="s">
        <v>106</v>
      </c>
      <c r="B123" s="5" t="s">
        <v>132</v>
      </c>
      <c r="C123" s="8">
        <v>44263.943784722222</v>
      </c>
      <c r="D123" s="10">
        <v>44286</v>
      </c>
      <c r="E123" s="6">
        <f>NETWORKDAYS(AtlasReport_2_Table_1[[#This Row],[Created date]],AtlasReport_2_Table_1[[#This Row],[Ship date]],Holidays!A:A)</f>
        <v>18</v>
      </c>
      <c r="F123" s="5" t="s">
        <v>146</v>
      </c>
      <c r="G123" s="5" t="s">
        <v>149</v>
      </c>
      <c r="H123" s="6">
        <v>1899.67</v>
      </c>
      <c r="I123" s="6" t="str">
        <f>TEXT(AtlasReport_2_Table_1[[#This Row],[Ship date]],"YYYYMMM")</f>
        <v>2021Mar</v>
      </c>
    </row>
    <row r="124" spans="1:9">
      <c r="A124" s="5" t="s">
        <v>160</v>
      </c>
      <c r="B124" s="5" t="s">
        <v>132</v>
      </c>
      <c r="C124" s="8">
        <v>44278.652326388888</v>
      </c>
      <c r="D124" s="10">
        <v>44287</v>
      </c>
      <c r="E124" s="6">
        <f>NETWORKDAYS(AtlasReport_2_Table_1[[#This Row],[Created date]],AtlasReport_2_Table_1[[#This Row],[Ship date]],Holidays!A:A)</f>
        <v>8</v>
      </c>
      <c r="F124" s="5" t="s">
        <v>146</v>
      </c>
      <c r="G124" s="5" t="s">
        <v>149</v>
      </c>
      <c r="H124" s="6">
        <v>1</v>
      </c>
      <c r="I124" s="6" t="str">
        <f>TEXT(AtlasReport_2_Table_1[[#This Row],[Ship date]],"YYYYMMM")</f>
        <v>2021Apr</v>
      </c>
    </row>
    <row r="125" spans="1:9">
      <c r="A125" s="5" t="s">
        <v>160</v>
      </c>
      <c r="B125" s="5" t="s">
        <v>132</v>
      </c>
      <c r="C125" s="8">
        <v>44278.652326388888</v>
      </c>
      <c r="D125" s="10">
        <v>44287</v>
      </c>
      <c r="E125" s="6">
        <f>NETWORKDAYS(AtlasReport_2_Table_1[[#This Row],[Created date]],AtlasReport_2_Table_1[[#This Row],[Ship date]],Holidays!A:A)</f>
        <v>8</v>
      </c>
      <c r="F125" s="5" t="s">
        <v>146</v>
      </c>
      <c r="G125" s="5" t="s">
        <v>147</v>
      </c>
      <c r="H125" s="6">
        <v>1</v>
      </c>
      <c r="I125" s="6" t="str">
        <f>TEXT(AtlasReport_2_Table_1[[#This Row],[Ship date]],"YYYYMMM")</f>
        <v>2021Apr</v>
      </c>
    </row>
    <row r="126" spans="1:9">
      <c r="A126" s="5" t="s">
        <v>161</v>
      </c>
      <c r="B126" s="5" t="s">
        <v>130</v>
      </c>
      <c r="C126" s="8">
        <v>44273.79724537037</v>
      </c>
      <c r="D126" s="10">
        <v>44287</v>
      </c>
      <c r="E126" s="6">
        <f>NETWORKDAYS(AtlasReport_2_Table_1[[#This Row],[Created date]],AtlasReport_2_Table_1[[#This Row],[Ship date]],Holidays!A:A)</f>
        <v>11</v>
      </c>
      <c r="F126" s="5" t="s">
        <v>146</v>
      </c>
      <c r="G126" s="5" t="s">
        <v>148</v>
      </c>
      <c r="H126" s="6">
        <v>591</v>
      </c>
      <c r="I126" s="6" t="str">
        <f>TEXT(AtlasReport_2_Table_1[[#This Row],[Ship date]],"YYYYMMM")</f>
        <v>2021Apr</v>
      </c>
    </row>
    <row r="127" spans="1:9">
      <c r="A127" s="5" t="s">
        <v>162</v>
      </c>
      <c r="B127" s="5" t="s">
        <v>130</v>
      </c>
      <c r="C127" s="8">
        <v>44287.75917824074</v>
      </c>
      <c r="D127" s="10">
        <v>44294</v>
      </c>
      <c r="E127" s="6">
        <f>NETWORKDAYS(AtlasReport_2_Table_1[[#This Row],[Created date]],AtlasReport_2_Table_1[[#This Row],[Ship date]],Holidays!A:A)</f>
        <v>6</v>
      </c>
      <c r="F127" s="5" t="s">
        <v>146</v>
      </c>
      <c r="G127" s="5" t="s">
        <v>148</v>
      </c>
      <c r="H127" s="6">
        <v>483</v>
      </c>
      <c r="I127" s="6" t="str">
        <f>TEXT(AtlasReport_2_Table_1[[#This Row],[Ship date]],"YYYYMMM")</f>
        <v>2021Apr</v>
      </c>
    </row>
    <row r="128" spans="1:9">
      <c r="A128" s="5" t="s">
        <v>163</v>
      </c>
      <c r="B128" s="5" t="s">
        <v>130</v>
      </c>
      <c r="C128" s="8">
        <v>44287.784687500003</v>
      </c>
      <c r="D128" s="10">
        <v>44294</v>
      </c>
      <c r="E128" s="6">
        <f>NETWORKDAYS(AtlasReport_2_Table_1[[#This Row],[Created date]],AtlasReport_2_Table_1[[#This Row],[Ship date]],Holidays!A:A)</f>
        <v>6</v>
      </c>
      <c r="F128" s="5" t="s">
        <v>146</v>
      </c>
      <c r="G128" s="5" t="s">
        <v>148</v>
      </c>
      <c r="H128" s="6">
        <v>551</v>
      </c>
      <c r="I128" s="6" t="str">
        <f>TEXT(AtlasReport_2_Table_1[[#This Row],[Ship date]],"YYYYMMM")</f>
        <v>2021Apr</v>
      </c>
    </row>
    <row r="129" spans="1:9">
      <c r="A129" s="5" t="s">
        <v>164</v>
      </c>
      <c r="B129" s="5" t="s">
        <v>129</v>
      </c>
      <c r="C129" s="8">
        <v>44287.841192129628</v>
      </c>
      <c r="D129" s="10">
        <v>44294</v>
      </c>
      <c r="E129" s="6">
        <f>NETWORKDAYS(AtlasReport_2_Table_1[[#This Row],[Created date]],AtlasReport_2_Table_1[[#This Row],[Ship date]],Holidays!A:A)</f>
        <v>6</v>
      </c>
      <c r="F129" s="5" t="s">
        <v>150</v>
      </c>
      <c r="G129" s="5" t="s">
        <v>148</v>
      </c>
      <c r="H129" s="6">
        <v>1950</v>
      </c>
      <c r="I129" s="6" t="str">
        <f>TEXT(AtlasReport_2_Table_1[[#This Row],[Ship date]],"YYYYMMM")</f>
        <v>2021Apr</v>
      </c>
    </row>
    <row r="130" spans="1:9">
      <c r="A130" s="5" t="s">
        <v>165</v>
      </c>
      <c r="B130" s="5" t="s">
        <v>131</v>
      </c>
      <c r="C130" s="8">
        <v>44259.869120370371</v>
      </c>
      <c r="D130" s="10">
        <v>44298</v>
      </c>
      <c r="E130" s="6">
        <f>NETWORKDAYS(AtlasReport_2_Table_1[[#This Row],[Created date]],AtlasReport_2_Table_1[[#This Row],[Ship date]],Holidays!A:A)</f>
        <v>28</v>
      </c>
      <c r="F130" s="5" t="s">
        <v>146</v>
      </c>
      <c r="G130" s="5" t="s">
        <v>149</v>
      </c>
      <c r="H130" s="6">
        <v>24</v>
      </c>
      <c r="I130" s="6" t="str">
        <f>TEXT(AtlasReport_2_Table_1[[#This Row],[Ship date]],"YYYYMMM")</f>
        <v>2021Apr</v>
      </c>
    </row>
    <row r="131" spans="1:9">
      <c r="A131" s="5" t="s">
        <v>166</v>
      </c>
      <c r="B131" s="5" t="s">
        <v>130</v>
      </c>
      <c r="C131" s="8">
        <v>44111.656284722223</v>
      </c>
      <c r="D131" s="10">
        <v>44298</v>
      </c>
      <c r="E131" s="6">
        <f>NETWORKDAYS(AtlasReport_2_Table_1[[#This Row],[Created date]],AtlasReport_2_Table_1[[#This Row],[Ship date]],Holidays!A:A)</f>
        <v>132</v>
      </c>
      <c r="F131" s="5" t="s">
        <v>150</v>
      </c>
      <c r="G131" s="5" t="s">
        <v>159</v>
      </c>
      <c r="H131" s="6">
        <v>2</v>
      </c>
      <c r="I131" s="6" t="str">
        <f>TEXT(AtlasReport_2_Table_1[[#This Row],[Ship date]],"YYYYMMM")</f>
        <v>2021Apr</v>
      </c>
    </row>
    <row r="132" spans="1:9">
      <c r="A132" s="5" t="s">
        <v>167</v>
      </c>
      <c r="B132" s="5" t="s">
        <v>132</v>
      </c>
      <c r="C132" s="8">
        <v>44278.692129629628</v>
      </c>
      <c r="D132" s="10">
        <v>44298</v>
      </c>
      <c r="E132" s="6">
        <f>NETWORKDAYS(AtlasReport_2_Table_1[[#This Row],[Created date]],AtlasReport_2_Table_1[[#This Row],[Ship date]],Holidays!A:A)</f>
        <v>15</v>
      </c>
      <c r="F132" s="5" t="s">
        <v>146</v>
      </c>
      <c r="G132" s="5" t="s">
        <v>149</v>
      </c>
      <c r="H132" s="6">
        <v>24.5</v>
      </c>
      <c r="I132" s="6" t="str">
        <f>TEXT(AtlasReport_2_Table_1[[#This Row],[Ship date]],"YYYYMMM")</f>
        <v>2021Apr</v>
      </c>
    </row>
    <row r="133" spans="1:9">
      <c r="A133" s="5" t="s">
        <v>168</v>
      </c>
      <c r="B133" s="5" t="s">
        <v>129</v>
      </c>
      <c r="C133" s="8">
        <v>44287.844594907408</v>
      </c>
      <c r="D133" s="10">
        <v>44298</v>
      </c>
      <c r="E133" s="6">
        <f>NETWORKDAYS(AtlasReport_2_Table_1[[#This Row],[Created date]],AtlasReport_2_Table_1[[#This Row],[Ship date]],Holidays!A:A)</f>
        <v>8</v>
      </c>
      <c r="F133" s="5" t="s">
        <v>150</v>
      </c>
      <c r="G133" s="5" t="s">
        <v>148</v>
      </c>
      <c r="H133" s="6">
        <v>1</v>
      </c>
      <c r="I133" s="6" t="str">
        <f>TEXT(AtlasReport_2_Table_1[[#This Row],[Ship date]],"YYYYMMM")</f>
        <v>2021Apr</v>
      </c>
    </row>
    <row r="134" spans="1:9">
      <c r="A134" s="5" t="s">
        <v>169</v>
      </c>
      <c r="B134" s="5" t="s">
        <v>132</v>
      </c>
      <c r="C134" s="8">
        <v>44295.939398148148</v>
      </c>
      <c r="D134" s="10">
        <v>44301</v>
      </c>
      <c r="E134" s="6">
        <f>NETWORKDAYS(AtlasReport_2_Table_1[[#This Row],[Created date]],AtlasReport_2_Table_1[[#This Row],[Ship date]],Holidays!A:A)</f>
        <v>5</v>
      </c>
      <c r="F134" s="5" t="s">
        <v>146</v>
      </c>
      <c r="G134" s="5" t="s">
        <v>148</v>
      </c>
      <c r="H134" s="6">
        <v>1126</v>
      </c>
      <c r="I134" s="6" t="str">
        <f>TEXT(AtlasReport_2_Table_1[[#This Row],[Ship date]],"YYYYMMM")</f>
        <v>2021Apr</v>
      </c>
    </row>
    <row r="135" spans="1:9">
      <c r="A135" s="5" t="s">
        <v>170</v>
      </c>
      <c r="B135" s="5" t="s">
        <v>131</v>
      </c>
      <c r="C135" s="8">
        <v>44295.960532407407</v>
      </c>
      <c r="D135" s="10">
        <v>44301</v>
      </c>
      <c r="E135" s="6">
        <f>NETWORKDAYS(AtlasReport_2_Table_1[[#This Row],[Created date]],AtlasReport_2_Table_1[[#This Row],[Ship date]],Holidays!A:A)</f>
        <v>5</v>
      </c>
      <c r="F135" s="5" t="s">
        <v>146</v>
      </c>
      <c r="G135" s="5" t="s">
        <v>149</v>
      </c>
      <c r="H135" s="6">
        <v>31</v>
      </c>
      <c r="I135" s="6" t="str">
        <f>TEXT(AtlasReport_2_Table_1[[#This Row],[Ship date]],"YYYYMMM")</f>
        <v>2021Apr</v>
      </c>
    </row>
    <row r="136" spans="1:9">
      <c r="A136" s="5" t="s">
        <v>171</v>
      </c>
      <c r="B136" s="5" t="s">
        <v>131</v>
      </c>
      <c r="C136" s="8">
        <v>44298.996168981481</v>
      </c>
      <c r="D136" s="10">
        <v>44301</v>
      </c>
      <c r="E136" s="6">
        <f>NETWORKDAYS(AtlasReport_2_Table_1[[#This Row],[Created date]],AtlasReport_2_Table_1[[#This Row],[Ship date]],Holidays!A:A)</f>
        <v>4</v>
      </c>
      <c r="F136" s="5" t="s">
        <v>146</v>
      </c>
      <c r="G136" s="5" t="s">
        <v>149</v>
      </c>
      <c r="H136" s="6">
        <v>101</v>
      </c>
      <c r="I136" s="6" t="str">
        <f>TEXT(AtlasReport_2_Table_1[[#This Row],[Ship date]],"YYYYMMM")</f>
        <v>2021Apr</v>
      </c>
    </row>
    <row r="137" spans="1:9">
      <c r="A137" s="5" t="s">
        <v>172</v>
      </c>
      <c r="B137" s="5" t="s">
        <v>132</v>
      </c>
      <c r="C137" s="8">
        <v>44284.670659722222</v>
      </c>
      <c r="D137" s="10">
        <v>44301</v>
      </c>
      <c r="E137" s="6">
        <f>NETWORKDAYS(AtlasReport_2_Table_1[[#This Row],[Created date]],AtlasReport_2_Table_1[[#This Row],[Ship date]],Holidays!A:A)</f>
        <v>14</v>
      </c>
      <c r="F137" s="5" t="s">
        <v>146</v>
      </c>
      <c r="G137" s="5" t="s">
        <v>148</v>
      </c>
      <c r="H137" s="6">
        <v>169</v>
      </c>
      <c r="I137" s="6" t="str">
        <f>TEXT(AtlasReport_2_Table_1[[#This Row],[Ship date]],"YYYYMMM")</f>
        <v>2021Apr</v>
      </c>
    </row>
    <row r="138" spans="1:9">
      <c r="A138" s="5" t="s">
        <v>173</v>
      </c>
      <c r="B138" s="5" t="s">
        <v>132</v>
      </c>
      <c r="C138" s="8">
        <v>44286.74560185185</v>
      </c>
      <c r="D138" s="10">
        <v>44302</v>
      </c>
      <c r="E138" s="6">
        <f>NETWORKDAYS(AtlasReport_2_Table_1[[#This Row],[Created date]],AtlasReport_2_Table_1[[#This Row],[Ship date]],Holidays!A:A)</f>
        <v>13</v>
      </c>
      <c r="F138" s="5" t="s">
        <v>146</v>
      </c>
      <c r="G138" s="5" t="s">
        <v>148</v>
      </c>
      <c r="H138" s="6">
        <v>1101</v>
      </c>
      <c r="I138" s="6" t="str">
        <f>TEXT(AtlasReport_2_Table_1[[#This Row],[Ship date]],"YYYYMMM")</f>
        <v>2021Apr</v>
      </c>
    </row>
    <row r="139" spans="1:9">
      <c r="A139" s="5" t="s">
        <v>174</v>
      </c>
      <c r="B139" s="5" t="s">
        <v>130</v>
      </c>
      <c r="C139" s="8">
        <v>44279.659918981481</v>
      </c>
      <c r="D139" s="10">
        <v>44302</v>
      </c>
      <c r="E139" s="6">
        <f>NETWORKDAYS(AtlasReport_2_Table_1[[#This Row],[Created date]],AtlasReport_2_Table_1[[#This Row],[Ship date]],Holidays!A:A)</f>
        <v>18</v>
      </c>
      <c r="F139" s="5" t="s">
        <v>146</v>
      </c>
      <c r="G139" s="5" t="s">
        <v>148</v>
      </c>
      <c r="H139" s="6">
        <v>4251</v>
      </c>
      <c r="I139" s="6" t="str">
        <f>TEXT(AtlasReport_2_Table_1[[#This Row],[Ship date]],"YYYYMMM")</f>
        <v>2021Apr</v>
      </c>
    </row>
    <row r="140" spans="1:9">
      <c r="A140" s="5" t="s">
        <v>175</v>
      </c>
      <c r="B140" s="5" t="s">
        <v>130</v>
      </c>
      <c r="C140" s="8">
        <v>44279.763807870368</v>
      </c>
      <c r="D140" s="10">
        <v>44302</v>
      </c>
      <c r="E140" s="6">
        <f>NETWORKDAYS(AtlasReport_2_Table_1[[#This Row],[Created date]],AtlasReport_2_Table_1[[#This Row],[Ship date]],Holidays!A:A)</f>
        <v>18</v>
      </c>
      <c r="F140" s="5" t="s">
        <v>146</v>
      </c>
      <c r="G140" s="5" t="s">
        <v>148</v>
      </c>
      <c r="H140" s="6">
        <v>4751</v>
      </c>
      <c r="I140" s="6" t="str">
        <f>TEXT(AtlasReport_2_Table_1[[#This Row],[Ship date]],"YYYYMMM")</f>
        <v>2021Apr</v>
      </c>
    </row>
    <row r="141" spans="1:9">
      <c r="A141" s="5" t="s">
        <v>176</v>
      </c>
      <c r="B141" s="5" t="s">
        <v>132</v>
      </c>
      <c r="C141" s="8">
        <v>44287.640462962961</v>
      </c>
      <c r="D141" s="10">
        <v>44305</v>
      </c>
      <c r="E141" s="6">
        <f>NETWORKDAYS(AtlasReport_2_Table_1[[#This Row],[Created date]],AtlasReport_2_Table_1[[#This Row],[Ship date]],Holidays!A:A)</f>
        <v>13</v>
      </c>
      <c r="F141" s="5" t="s">
        <v>146</v>
      </c>
      <c r="G141" s="5" t="s">
        <v>148</v>
      </c>
      <c r="H141" s="6">
        <v>2641</v>
      </c>
      <c r="I141" s="6" t="str">
        <f>TEXT(AtlasReport_2_Table_1[[#This Row],[Ship date]],"YYYYMMM")</f>
        <v>2021Apr</v>
      </c>
    </row>
    <row r="142" spans="1:9">
      <c r="A142" s="5" t="s">
        <v>177</v>
      </c>
      <c r="B142" s="5" t="s">
        <v>131</v>
      </c>
      <c r="C142" s="8">
        <v>44306.928935185184</v>
      </c>
      <c r="D142" s="10">
        <v>44306</v>
      </c>
      <c r="E142" s="6">
        <f>NETWORKDAYS(AtlasReport_2_Table_1[[#This Row],[Created date]],AtlasReport_2_Table_1[[#This Row],[Ship date]],Holidays!A:A)</f>
        <v>1</v>
      </c>
      <c r="F142" s="5" t="s">
        <v>146</v>
      </c>
      <c r="G142" s="5" t="s">
        <v>149</v>
      </c>
      <c r="H142" s="6">
        <v>101</v>
      </c>
      <c r="I142" s="6" t="str">
        <f>TEXT(AtlasReport_2_Table_1[[#This Row],[Ship date]],"YYYYMMM")</f>
        <v>2021Apr</v>
      </c>
    </row>
    <row r="143" spans="1:9">
      <c r="A143" s="5" t="s">
        <v>178</v>
      </c>
      <c r="B143" s="5" t="s">
        <v>131</v>
      </c>
      <c r="C143" s="8">
        <v>44307.733993055554</v>
      </c>
      <c r="D143" s="10">
        <v>44307</v>
      </c>
      <c r="E143" s="6">
        <f>NETWORKDAYS(AtlasReport_2_Table_1[[#This Row],[Created date]],AtlasReport_2_Table_1[[#This Row],[Ship date]],Holidays!A:A)</f>
        <v>1</v>
      </c>
      <c r="F143" s="5" t="s">
        <v>146</v>
      </c>
      <c r="G143" s="5" t="s">
        <v>149</v>
      </c>
      <c r="H143" s="6">
        <v>26</v>
      </c>
      <c r="I143" s="6" t="str">
        <f>TEXT(AtlasReport_2_Table_1[[#This Row],[Ship date]],"YYYYMMM")</f>
        <v>2021Apr</v>
      </c>
    </row>
    <row r="144" spans="1:9">
      <c r="A144" s="5" t="s">
        <v>179</v>
      </c>
      <c r="B144" s="5" t="s">
        <v>129</v>
      </c>
      <c r="C144" s="8">
        <v>44294.781967592593</v>
      </c>
      <c r="D144" s="10">
        <v>44308</v>
      </c>
      <c r="E144" s="6">
        <f>NETWORKDAYS(AtlasReport_2_Table_1[[#This Row],[Created date]],AtlasReport_2_Table_1[[#This Row],[Ship date]],Holidays!A:A)</f>
        <v>11</v>
      </c>
      <c r="F144" s="5" t="s">
        <v>150</v>
      </c>
      <c r="G144" s="5" t="s">
        <v>148</v>
      </c>
      <c r="H144" s="6">
        <v>30</v>
      </c>
      <c r="I144" s="6" t="str">
        <f>TEXT(AtlasReport_2_Table_1[[#This Row],[Ship date]],"YYYYMMM")</f>
        <v>2021Apr</v>
      </c>
    </row>
    <row r="145" spans="1:9">
      <c r="A145" s="5" t="s">
        <v>180</v>
      </c>
      <c r="B145" s="5" t="s">
        <v>130</v>
      </c>
      <c r="C145" s="8">
        <v>44302.061747685184</v>
      </c>
      <c r="D145" s="10">
        <v>44308</v>
      </c>
      <c r="E145" s="6">
        <f>NETWORKDAYS(AtlasReport_2_Table_1[[#This Row],[Created date]],AtlasReport_2_Table_1[[#This Row],[Ship date]],Holidays!A:A)</f>
        <v>5</v>
      </c>
      <c r="F145" s="5" t="s">
        <v>146</v>
      </c>
      <c r="G145" s="5" t="s">
        <v>148</v>
      </c>
      <c r="H145" s="6">
        <v>1101</v>
      </c>
      <c r="I145" s="6" t="str">
        <f>TEXT(AtlasReport_2_Table_1[[#This Row],[Ship date]],"YYYYMMM")</f>
        <v>2021Apr</v>
      </c>
    </row>
    <row r="146" spans="1:9">
      <c r="A146" s="5" t="s">
        <v>181</v>
      </c>
      <c r="B146" s="5" t="s">
        <v>130</v>
      </c>
      <c r="C146" s="8">
        <v>44302.04414351852</v>
      </c>
      <c r="D146" s="10">
        <v>44308</v>
      </c>
      <c r="E146" s="6">
        <f>NETWORKDAYS(AtlasReport_2_Table_1[[#This Row],[Created date]],AtlasReport_2_Table_1[[#This Row],[Ship date]],Holidays!A:A)</f>
        <v>5</v>
      </c>
      <c r="F146" s="5" t="s">
        <v>146</v>
      </c>
      <c r="G146" s="5" t="s">
        <v>148</v>
      </c>
      <c r="H146" s="6">
        <v>1326</v>
      </c>
      <c r="I146" s="6" t="str">
        <f>TEXT(AtlasReport_2_Table_1[[#This Row],[Ship date]],"YYYYMMM")</f>
        <v>2021Apr</v>
      </c>
    </row>
    <row r="147" spans="1:9">
      <c r="A147" s="5" t="s">
        <v>182</v>
      </c>
      <c r="B147" s="5" t="s">
        <v>129</v>
      </c>
      <c r="C147" s="8">
        <v>44294.782210648147</v>
      </c>
      <c r="D147" s="10">
        <v>44308</v>
      </c>
      <c r="E147" s="6">
        <f>NETWORKDAYS(AtlasReport_2_Table_1[[#This Row],[Created date]],AtlasReport_2_Table_1[[#This Row],[Ship date]],Holidays!A:A)</f>
        <v>11</v>
      </c>
      <c r="F147" s="5" t="s">
        <v>150</v>
      </c>
      <c r="G147" s="5" t="s">
        <v>148</v>
      </c>
      <c r="H147" s="6">
        <v>1</v>
      </c>
      <c r="I147" s="6" t="str">
        <f>TEXT(AtlasReport_2_Table_1[[#This Row],[Ship date]],"YYYYMMM")</f>
        <v>2021Apr</v>
      </c>
    </row>
    <row r="148" spans="1:9">
      <c r="A148" s="5" t="s">
        <v>183</v>
      </c>
      <c r="B148" s="5" t="s">
        <v>130</v>
      </c>
      <c r="C148" s="8">
        <v>44287.668055555558</v>
      </c>
      <c r="D148" s="10">
        <v>44308</v>
      </c>
      <c r="E148" s="6">
        <f>NETWORKDAYS(AtlasReport_2_Table_1[[#This Row],[Created date]],AtlasReport_2_Table_1[[#This Row],[Ship date]],Holidays!A:A)</f>
        <v>16</v>
      </c>
      <c r="F148" s="5" t="s">
        <v>146</v>
      </c>
      <c r="G148" s="5" t="s">
        <v>148</v>
      </c>
      <c r="H148" s="6">
        <v>483</v>
      </c>
      <c r="I148" s="6" t="str">
        <f>TEXT(AtlasReport_2_Table_1[[#This Row],[Ship date]],"YYYYMMM")</f>
        <v>2021Apr</v>
      </c>
    </row>
    <row r="149" spans="1:9">
      <c r="A149" s="5" t="s">
        <v>184</v>
      </c>
      <c r="B149" s="5" t="s">
        <v>129</v>
      </c>
      <c r="C149" s="8">
        <v>44306.793136574073</v>
      </c>
      <c r="D149" s="10">
        <v>44308</v>
      </c>
      <c r="E149" s="6">
        <f>NETWORKDAYS(AtlasReport_2_Table_1[[#This Row],[Created date]],AtlasReport_2_Table_1[[#This Row],[Ship date]],Holidays!A:A)</f>
        <v>3</v>
      </c>
      <c r="F149" s="5" t="s">
        <v>150</v>
      </c>
      <c r="G149" s="5" t="s">
        <v>148</v>
      </c>
      <c r="H149" s="6">
        <v>398</v>
      </c>
      <c r="I149" s="6" t="str">
        <f>TEXT(AtlasReport_2_Table_1[[#This Row],[Ship date]],"YYYYMMM")</f>
        <v>2021Apr</v>
      </c>
    </row>
    <row r="150" spans="1:9">
      <c r="A150" s="5" t="s">
        <v>185</v>
      </c>
      <c r="B150" s="5" t="s">
        <v>132</v>
      </c>
      <c r="C150" s="8">
        <v>44216.768993055557</v>
      </c>
      <c r="D150" s="10">
        <v>44312</v>
      </c>
      <c r="E150" s="6">
        <f>NETWORKDAYS(AtlasReport_2_Table_1[[#This Row],[Created date]],AtlasReport_2_Table_1[[#This Row],[Ship date]],Holidays!A:A)</f>
        <v>69</v>
      </c>
      <c r="F150" s="5" t="s">
        <v>146</v>
      </c>
      <c r="G150" s="5" t="s">
        <v>148</v>
      </c>
      <c r="H150" s="6">
        <v>2</v>
      </c>
      <c r="I150" s="6" t="str">
        <f>TEXT(AtlasReport_2_Table_1[[#This Row],[Ship date]],"YYYYMMM")</f>
        <v>2021Apr</v>
      </c>
    </row>
    <row r="151" spans="1:9">
      <c r="A151" s="5" t="s">
        <v>186</v>
      </c>
      <c r="B151" s="5" t="s">
        <v>130</v>
      </c>
      <c r="C151" s="8">
        <v>44277.750243055554</v>
      </c>
      <c r="D151" s="10">
        <v>44312</v>
      </c>
      <c r="E151" s="6">
        <f>NETWORKDAYS(AtlasReport_2_Table_1[[#This Row],[Created date]],AtlasReport_2_Table_1[[#This Row],[Ship date]],Holidays!A:A)</f>
        <v>26</v>
      </c>
      <c r="F151" s="5" t="s">
        <v>146</v>
      </c>
      <c r="G151" s="5" t="s">
        <v>148</v>
      </c>
      <c r="H151" s="6">
        <v>26007</v>
      </c>
      <c r="I151" s="6" t="str">
        <f>TEXT(AtlasReport_2_Table_1[[#This Row],[Ship date]],"YYYYMMM")</f>
        <v>2021Apr</v>
      </c>
    </row>
    <row r="152" spans="1:9">
      <c r="A152" s="5" t="s">
        <v>187</v>
      </c>
      <c r="B152" s="5" t="s">
        <v>130</v>
      </c>
      <c r="C152" s="8">
        <v>44308.733703703707</v>
      </c>
      <c r="D152" s="10">
        <v>44312</v>
      </c>
      <c r="E152" s="6">
        <f>NETWORKDAYS(AtlasReport_2_Table_1[[#This Row],[Created date]],AtlasReport_2_Table_1[[#This Row],[Ship date]],Holidays!A:A)</f>
        <v>3</v>
      </c>
      <c r="F152" s="5" t="s">
        <v>146</v>
      </c>
      <c r="G152" s="5" t="s">
        <v>148</v>
      </c>
      <c r="H152" s="6">
        <v>901</v>
      </c>
      <c r="I152" s="6" t="str">
        <f>TEXT(AtlasReport_2_Table_1[[#This Row],[Ship date]],"YYYYMMM")</f>
        <v>2021Apr</v>
      </c>
    </row>
    <row r="153" spans="1:9">
      <c r="A153" s="5" t="s">
        <v>188</v>
      </c>
      <c r="B153" s="5" t="s">
        <v>130</v>
      </c>
      <c r="C153" s="8">
        <v>44307.838101851848</v>
      </c>
      <c r="D153" s="10">
        <v>44312</v>
      </c>
      <c r="E153" s="6">
        <f>NETWORKDAYS(AtlasReport_2_Table_1[[#This Row],[Created date]],AtlasReport_2_Table_1[[#This Row],[Ship date]],Holidays!A:A)</f>
        <v>4</v>
      </c>
      <c r="F153" s="5" t="s">
        <v>146</v>
      </c>
      <c r="G153" s="5" t="s">
        <v>148</v>
      </c>
      <c r="H153" s="6">
        <v>401</v>
      </c>
      <c r="I153" s="6" t="str">
        <f>TEXT(AtlasReport_2_Table_1[[#This Row],[Ship date]],"YYYYMMM")</f>
        <v>2021Apr</v>
      </c>
    </row>
    <row r="154" spans="1:9">
      <c r="A154" s="5" t="s">
        <v>189</v>
      </c>
      <c r="B154" s="5" t="s">
        <v>132</v>
      </c>
      <c r="C154" s="8">
        <v>44312.645856481482</v>
      </c>
      <c r="D154" s="10">
        <v>44312</v>
      </c>
      <c r="E154" s="6">
        <f>NETWORKDAYS(AtlasReport_2_Table_1[[#This Row],[Created date]],AtlasReport_2_Table_1[[#This Row],[Ship date]],Holidays!A:A)</f>
        <v>1</v>
      </c>
      <c r="F154" s="5" t="s">
        <v>146</v>
      </c>
      <c r="G154" s="5" t="s">
        <v>148</v>
      </c>
      <c r="H154" s="6">
        <v>186</v>
      </c>
      <c r="I154" s="6" t="str">
        <f>TEXT(AtlasReport_2_Table_1[[#This Row],[Ship date]],"YYYYMMM")</f>
        <v>2021Apr</v>
      </c>
    </row>
    <row r="155" spans="1:9">
      <c r="A155" s="5" t="s">
        <v>190</v>
      </c>
      <c r="B155" s="5" t="s">
        <v>131</v>
      </c>
      <c r="C155" s="8">
        <v>44312.732002314813</v>
      </c>
      <c r="D155" s="10">
        <v>44312</v>
      </c>
      <c r="E155" s="6">
        <f>NETWORKDAYS(AtlasReport_2_Table_1[[#This Row],[Created date]],AtlasReport_2_Table_1[[#This Row],[Ship date]],Holidays!A:A)</f>
        <v>1</v>
      </c>
      <c r="F155" s="5" t="s">
        <v>146</v>
      </c>
      <c r="G155" s="5" t="s">
        <v>148</v>
      </c>
      <c r="H155" s="6">
        <v>180</v>
      </c>
      <c r="I155" s="6" t="str">
        <f>TEXT(AtlasReport_2_Table_1[[#This Row],[Ship date]],"YYYYMMM")</f>
        <v>2021Apr</v>
      </c>
    </row>
    <row r="156" spans="1:9">
      <c r="A156" s="5" t="s">
        <v>191</v>
      </c>
      <c r="B156" s="5" t="s">
        <v>129</v>
      </c>
      <c r="C156" s="8">
        <v>44306.793726851851</v>
      </c>
      <c r="D156" s="10">
        <v>44314</v>
      </c>
      <c r="E156" s="6">
        <f>NETWORKDAYS(AtlasReport_2_Table_1[[#This Row],[Created date]],AtlasReport_2_Table_1[[#This Row],[Ship date]],Holidays!A:A)</f>
        <v>7</v>
      </c>
      <c r="F156" s="5" t="s">
        <v>150</v>
      </c>
      <c r="G156" s="5" t="s">
        <v>148</v>
      </c>
      <c r="H156" s="6">
        <v>1</v>
      </c>
      <c r="I156" s="6" t="str">
        <f>TEXT(AtlasReport_2_Table_1[[#This Row],[Ship date]],"YYYYMMM")</f>
        <v>2021Apr</v>
      </c>
    </row>
    <row r="157" spans="1:9">
      <c r="A157" s="5" t="s">
        <v>192</v>
      </c>
      <c r="B157" s="5" t="s">
        <v>129</v>
      </c>
      <c r="C157" s="8">
        <v>44263.91678240741</v>
      </c>
      <c r="D157" s="10">
        <v>44319</v>
      </c>
      <c r="E157" s="6">
        <f>NETWORKDAYS(AtlasReport_2_Table_1[[#This Row],[Created date]],AtlasReport_2_Table_1[[#This Row],[Ship date]],Holidays!A:A)</f>
        <v>41</v>
      </c>
      <c r="F157" s="5" t="s">
        <v>151</v>
      </c>
      <c r="G157" s="5" t="s">
        <v>148</v>
      </c>
      <c r="H157" s="6">
        <v>5400</v>
      </c>
      <c r="I157" s="6" t="str">
        <f>TEXT(AtlasReport_2_Table_1[[#This Row],[Ship date]],"YYYYMMM")</f>
        <v>2021May</v>
      </c>
    </row>
    <row r="158" spans="1:9">
      <c r="A158" s="5" t="s">
        <v>193</v>
      </c>
      <c r="B158" s="5" t="s">
        <v>129</v>
      </c>
      <c r="C158" s="8">
        <v>44263.919641203705</v>
      </c>
      <c r="D158" s="10">
        <v>44319</v>
      </c>
      <c r="E158" s="6">
        <f>NETWORKDAYS(AtlasReport_2_Table_1[[#This Row],[Created date]],AtlasReport_2_Table_1[[#This Row],[Ship date]],Holidays!A:A)</f>
        <v>41</v>
      </c>
      <c r="F158" s="5" t="s">
        <v>150</v>
      </c>
      <c r="G158" s="5" t="s">
        <v>148</v>
      </c>
      <c r="H158" s="6">
        <v>1</v>
      </c>
      <c r="I158" s="6" t="str">
        <f>TEXT(AtlasReport_2_Table_1[[#This Row],[Ship date]],"YYYYMMM")</f>
        <v>2021May</v>
      </c>
    </row>
    <row r="159" spans="1:9">
      <c r="A159" s="5" t="s">
        <v>194</v>
      </c>
      <c r="B159" s="5" t="s">
        <v>129</v>
      </c>
      <c r="C159" s="8">
        <v>44314.601388888892</v>
      </c>
      <c r="D159" s="10">
        <v>44320</v>
      </c>
      <c r="E159" s="6">
        <f>NETWORKDAYS(AtlasReport_2_Table_1[[#This Row],[Created date]],AtlasReport_2_Table_1[[#This Row],[Ship date]],Holidays!A:A)</f>
        <v>5</v>
      </c>
      <c r="F159" s="5" t="s">
        <v>195</v>
      </c>
      <c r="G159" s="5" t="s">
        <v>148</v>
      </c>
      <c r="H159" s="6">
        <v>1000</v>
      </c>
      <c r="I159" s="6" t="str">
        <f>TEXT(AtlasReport_2_Table_1[[#This Row],[Ship date]],"YYYYMMM")</f>
        <v>2021May</v>
      </c>
    </row>
    <row r="160" spans="1:9">
      <c r="A160" s="5" t="s">
        <v>196</v>
      </c>
      <c r="B160" s="5" t="s">
        <v>129</v>
      </c>
      <c r="C160" s="8">
        <v>44321.725810185184</v>
      </c>
      <c r="D160" s="10">
        <v>44316</v>
      </c>
      <c r="E160" s="6">
        <f>NETWORKDAYS(AtlasReport_2_Table_1[[#This Row],[Created date]],AtlasReport_2_Table_1[[#This Row],[Ship date]],Holidays!A:A)</f>
        <v>-4</v>
      </c>
      <c r="F160" s="5" t="s">
        <v>146</v>
      </c>
      <c r="G160" s="5" t="s">
        <v>148</v>
      </c>
      <c r="H160" s="6">
        <v>2</v>
      </c>
      <c r="I160" s="6" t="str">
        <f>TEXT(AtlasReport_2_Table_1[[#This Row],[Ship date]],"YYYYMMM")</f>
        <v>2021Apr</v>
      </c>
    </row>
    <row r="161" spans="1:9">
      <c r="A161" s="5" t="s">
        <v>197</v>
      </c>
      <c r="B161" s="5" t="s">
        <v>132</v>
      </c>
      <c r="C161" s="8">
        <v>44309.686643518522</v>
      </c>
      <c r="D161" s="10">
        <v>44321</v>
      </c>
      <c r="E161" s="6">
        <f>NETWORKDAYS(AtlasReport_2_Table_1[[#This Row],[Created date]],AtlasReport_2_Table_1[[#This Row],[Ship date]],Holidays!A:A)</f>
        <v>9</v>
      </c>
      <c r="F161" s="5" t="s">
        <v>198</v>
      </c>
      <c r="G161" s="5" t="s">
        <v>147</v>
      </c>
      <c r="H161" s="6">
        <v>5</v>
      </c>
      <c r="I161" s="6" t="str">
        <f>TEXT(AtlasReport_2_Table_1[[#This Row],[Ship date]],"YYYYMMM")</f>
        <v>2021May</v>
      </c>
    </row>
    <row r="162" spans="1:9">
      <c r="A162" s="5" t="s">
        <v>199</v>
      </c>
      <c r="B162" s="5" t="s">
        <v>130</v>
      </c>
      <c r="C162" s="8">
        <v>44298.941701388889</v>
      </c>
      <c r="D162" s="10">
        <v>44322</v>
      </c>
      <c r="E162" s="6">
        <f>NETWORKDAYS(AtlasReport_2_Table_1[[#This Row],[Created date]],AtlasReport_2_Table_1[[#This Row],[Ship date]],Holidays!A:A)</f>
        <v>19</v>
      </c>
      <c r="F162" s="5" t="s">
        <v>146</v>
      </c>
      <c r="G162" s="5" t="s">
        <v>148</v>
      </c>
      <c r="H162" s="6">
        <v>4551</v>
      </c>
      <c r="I162" s="6" t="str">
        <f>TEXT(AtlasReport_2_Table_1[[#This Row],[Ship date]],"YYYYMMM")</f>
        <v>2021May</v>
      </c>
    </row>
    <row r="163" spans="1:9">
      <c r="A163" s="5" t="s">
        <v>200</v>
      </c>
      <c r="B163" s="5" t="s">
        <v>130</v>
      </c>
      <c r="C163" s="8">
        <v>44298.958749999998</v>
      </c>
      <c r="D163" s="10">
        <v>44322</v>
      </c>
      <c r="E163" s="6">
        <f>NETWORKDAYS(AtlasReport_2_Table_1[[#This Row],[Created date]],AtlasReport_2_Table_1[[#This Row],[Ship date]],Holidays!A:A)</f>
        <v>19</v>
      </c>
      <c r="F163" s="5" t="s">
        <v>146</v>
      </c>
      <c r="G163" s="5" t="s">
        <v>148</v>
      </c>
      <c r="H163" s="6">
        <v>4051</v>
      </c>
      <c r="I163" s="6" t="str">
        <f>TEXT(AtlasReport_2_Table_1[[#This Row],[Ship date]],"YYYYMMM")</f>
        <v>2021May</v>
      </c>
    </row>
    <row r="164" spans="1:9">
      <c r="A164" s="5" t="s">
        <v>201</v>
      </c>
      <c r="B164" s="5" t="s">
        <v>130</v>
      </c>
      <c r="C164" s="8">
        <v>44315.835300925923</v>
      </c>
      <c r="D164" s="10">
        <v>44326</v>
      </c>
      <c r="E164" s="6">
        <f>NETWORKDAYS(AtlasReport_2_Table_1[[#This Row],[Created date]],AtlasReport_2_Table_1[[#This Row],[Ship date]],Holidays!A:A)</f>
        <v>8</v>
      </c>
      <c r="F164" s="5" t="s">
        <v>146</v>
      </c>
      <c r="G164" s="5" t="s">
        <v>148</v>
      </c>
      <c r="H164" s="6">
        <v>2567</v>
      </c>
      <c r="I164" s="6" t="str">
        <f>TEXT(AtlasReport_2_Table_1[[#This Row],[Ship date]],"YYYYMMM")</f>
        <v>2021May</v>
      </c>
    </row>
    <row r="165" spans="1:9">
      <c r="A165" s="5" t="s">
        <v>202</v>
      </c>
      <c r="B165" s="5" t="s">
        <v>130</v>
      </c>
      <c r="C165" s="8">
        <v>44266.91479166667</v>
      </c>
      <c r="D165" s="10">
        <v>44327</v>
      </c>
      <c r="E165" s="6">
        <f>NETWORKDAYS(AtlasReport_2_Table_1[[#This Row],[Created date]],AtlasReport_2_Table_1[[#This Row],[Ship date]],Holidays!A:A)</f>
        <v>44</v>
      </c>
      <c r="F165" s="5" t="s">
        <v>146</v>
      </c>
      <c r="G165" s="5" t="s">
        <v>148</v>
      </c>
      <c r="H165" s="6">
        <v>1596</v>
      </c>
      <c r="I165" s="6" t="str">
        <f>TEXT(AtlasReport_2_Table_1[[#This Row],[Ship date]],"YYYYMMM")</f>
        <v>2021May</v>
      </c>
    </row>
    <row r="166" spans="1:9">
      <c r="A166" s="5" t="s">
        <v>203</v>
      </c>
      <c r="B166" s="5" t="s">
        <v>131</v>
      </c>
      <c r="C166" s="8">
        <v>44321.739733796298</v>
      </c>
      <c r="D166" s="10">
        <v>44327</v>
      </c>
      <c r="E166" s="6">
        <f>NETWORKDAYS(AtlasReport_2_Table_1[[#This Row],[Created date]],AtlasReport_2_Table_1[[#This Row],[Ship date]],Holidays!A:A)</f>
        <v>5</v>
      </c>
      <c r="F166" s="5" t="s">
        <v>146</v>
      </c>
      <c r="G166" s="5" t="s">
        <v>149</v>
      </c>
      <c r="H166" s="6">
        <v>24</v>
      </c>
      <c r="I166" s="6" t="str">
        <f>TEXT(AtlasReport_2_Table_1[[#This Row],[Ship date]],"YYYYMMM")</f>
        <v>2021May</v>
      </c>
    </row>
    <row r="167" spans="1:9">
      <c r="A167" s="5" t="s">
        <v>204</v>
      </c>
      <c r="B167" s="5" t="s">
        <v>130</v>
      </c>
      <c r="C167" s="8">
        <v>44302.106608796297</v>
      </c>
      <c r="D167" s="10">
        <v>44327</v>
      </c>
      <c r="E167" s="6">
        <f>NETWORKDAYS(AtlasReport_2_Table_1[[#This Row],[Created date]],AtlasReport_2_Table_1[[#This Row],[Ship date]],Holidays!A:A)</f>
        <v>18</v>
      </c>
      <c r="F167" s="5" t="s">
        <v>146</v>
      </c>
      <c r="G167" s="5" t="s">
        <v>148</v>
      </c>
      <c r="H167" s="6">
        <v>20001</v>
      </c>
      <c r="I167" s="6" t="str">
        <f>TEXT(AtlasReport_2_Table_1[[#This Row],[Ship date]],"YYYYMMM")</f>
        <v>2021May</v>
      </c>
    </row>
    <row r="168" spans="1:9">
      <c r="A168" s="5" t="s">
        <v>205</v>
      </c>
      <c r="B168" s="5" t="s">
        <v>132</v>
      </c>
      <c r="C168" s="8">
        <v>44314.746018518519</v>
      </c>
      <c r="D168" s="10">
        <v>44327</v>
      </c>
      <c r="E168" s="6">
        <f>NETWORKDAYS(AtlasReport_2_Table_1[[#This Row],[Created date]],AtlasReport_2_Table_1[[#This Row],[Ship date]],Holidays!A:A)</f>
        <v>10</v>
      </c>
      <c r="F168" s="5" t="s">
        <v>146</v>
      </c>
      <c r="G168" s="5" t="s">
        <v>149</v>
      </c>
      <c r="H168" s="6">
        <v>426</v>
      </c>
      <c r="I168" s="6" t="str">
        <f>TEXT(AtlasReport_2_Table_1[[#This Row],[Ship date]],"YYYYMMM")</f>
        <v>2021May</v>
      </c>
    </row>
    <row r="169" spans="1:9">
      <c r="A169" s="5" t="s">
        <v>206</v>
      </c>
      <c r="B169" s="5" t="s">
        <v>130</v>
      </c>
      <c r="C169" s="8">
        <v>44323.902858796297</v>
      </c>
      <c r="D169" s="10">
        <v>44327</v>
      </c>
      <c r="E169" s="6">
        <f>NETWORKDAYS(AtlasReport_2_Table_1[[#This Row],[Created date]],AtlasReport_2_Table_1[[#This Row],[Ship date]],Holidays!A:A)</f>
        <v>3</v>
      </c>
      <c r="F169" s="5" t="s">
        <v>146</v>
      </c>
      <c r="G169" s="5" t="s">
        <v>148</v>
      </c>
      <c r="H169" s="6">
        <v>1201</v>
      </c>
      <c r="I169" s="6" t="str">
        <f>TEXT(AtlasReport_2_Table_1[[#This Row],[Ship date]],"YYYYMMM")</f>
        <v>2021May</v>
      </c>
    </row>
    <row r="170" spans="1:9">
      <c r="A170" s="5" t="s">
        <v>207</v>
      </c>
      <c r="B170" s="5" t="s">
        <v>131</v>
      </c>
      <c r="C170" s="8">
        <v>44326.834872685184</v>
      </c>
      <c r="D170" s="10">
        <v>44328</v>
      </c>
      <c r="E170" s="6">
        <f>NETWORKDAYS(AtlasReport_2_Table_1[[#This Row],[Created date]],AtlasReport_2_Table_1[[#This Row],[Ship date]],Holidays!A:A)</f>
        <v>3</v>
      </c>
      <c r="F170" s="5" t="s">
        <v>146</v>
      </c>
      <c r="G170" s="5" t="s">
        <v>149</v>
      </c>
      <c r="H170" s="6">
        <v>21</v>
      </c>
      <c r="I170" s="6" t="str">
        <f>TEXT(AtlasReport_2_Table_1[[#This Row],[Ship date]],"YYYYMMM")</f>
        <v>2021May</v>
      </c>
    </row>
    <row r="171" spans="1:9">
      <c r="A171" s="5" t="s">
        <v>208</v>
      </c>
      <c r="B171" s="5" t="s">
        <v>130</v>
      </c>
      <c r="C171" s="8">
        <v>44326.715497685182</v>
      </c>
      <c r="D171" s="10">
        <v>44328</v>
      </c>
      <c r="E171" s="6">
        <f>NETWORKDAYS(AtlasReport_2_Table_1[[#This Row],[Created date]],AtlasReport_2_Table_1[[#This Row],[Ship date]],Holidays!A:A)</f>
        <v>3</v>
      </c>
      <c r="F171" s="5" t="s">
        <v>146</v>
      </c>
      <c r="G171" s="5" t="s">
        <v>148</v>
      </c>
      <c r="H171" s="6">
        <v>256</v>
      </c>
      <c r="I171" s="6" t="str">
        <f>TEXT(AtlasReport_2_Table_1[[#This Row],[Ship date]],"YYYYMMM")</f>
        <v>2021May</v>
      </c>
    </row>
    <row r="172" spans="1:9">
      <c r="A172" s="5" t="s">
        <v>209</v>
      </c>
      <c r="B172" s="5" t="s">
        <v>130</v>
      </c>
      <c r="C172" s="8">
        <v>44302.051562499997</v>
      </c>
      <c r="D172" s="10">
        <v>44328</v>
      </c>
      <c r="E172" s="6">
        <f>NETWORKDAYS(AtlasReport_2_Table_1[[#This Row],[Created date]],AtlasReport_2_Table_1[[#This Row],[Ship date]],Holidays!A:A)</f>
        <v>19</v>
      </c>
      <c r="F172" s="5" t="s">
        <v>146</v>
      </c>
      <c r="G172" s="5" t="s">
        <v>148</v>
      </c>
      <c r="H172" s="6">
        <v>10101</v>
      </c>
      <c r="I172" s="6" t="str">
        <f>TEXT(AtlasReport_2_Table_1[[#This Row],[Ship date]],"YYYYMMM")</f>
        <v>2021May</v>
      </c>
    </row>
    <row r="173" spans="1:9">
      <c r="A173" s="5" t="s">
        <v>210</v>
      </c>
      <c r="B173" s="5" t="s">
        <v>130</v>
      </c>
      <c r="C173" s="8">
        <v>44322.639305555553</v>
      </c>
      <c r="D173" s="10">
        <v>44328</v>
      </c>
      <c r="E173" s="6">
        <f>NETWORKDAYS(AtlasReport_2_Table_1[[#This Row],[Created date]],AtlasReport_2_Table_1[[#This Row],[Ship date]],Holidays!A:A)</f>
        <v>5</v>
      </c>
      <c r="F173" s="5" t="s">
        <v>146</v>
      </c>
      <c r="G173" s="5" t="s">
        <v>148</v>
      </c>
      <c r="H173" s="6">
        <v>901</v>
      </c>
      <c r="I173" s="6" t="str">
        <f>TEXT(AtlasReport_2_Table_1[[#This Row],[Ship date]],"YYYYMMM")</f>
        <v>2021May</v>
      </c>
    </row>
    <row r="174" spans="1:9">
      <c r="A174" s="5" t="s">
        <v>211</v>
      </c>
      <c r="B174" s="5" t="s">
        <v>130</v>
      </c>
      <c r="C174" s="8">
        <v>44322.703159722223</v>
      </c>
      <c r="D174" s="10">
        <v>44333</v>
      </c>
      <c r="E174" s="6">
        <f>NETWORKDAYS(AtlasReport_2_Table_1[[#This Row],[Created date]],AtlasReport_2_Table_1[[#This Row],[Ship date]],Holidays!A:A)</f>
        <v>8</v>
      </c>
      <c r="F174" s="5" t="s">
        <v>146</v>
      </c>
      <c r="G174" s="5" t="s">
        <v>148</v>
      </c>
      <c r="H174" s="6">
        <v>621</v>
      </c>
      <c r="I174" s="6" t="str">
        <f>TEXT(AtlasReport_2_Table_1[[#This Row],[Ship date]],"YYYYMMM")</f>
        <v>2021May</v>
      </c>
    </row>
    <row r="175" spans="1:9">
      <c r="A175" s="5" t="s">
        <v>212</v>
      </c>
      <c r="B175" s="5" t="s">
        <v>130</v>
      </c>
      <c r="C175" s="8">
        <v>44322.892754629633</v>
      </c>
      <c r="D175" s="10">
        <v>44333</v>
      </c>
      <c r="E175" s="6">
        <f>NETWORKDAYS(AtlasReport_2_Table_1[[#This Row],[Created date]],AtlasReport_2_Table_1[[#This Row],[Ship date]],Holidays!A:A)</f>
        <v>8</v>
      </c>
      <c r="F175" s="5" t="s">
        <v>146</v>
      </c>
      <c r="G175" s="5" t="s">
        <v>148</v>
      </c>
      <c r="H175" s="6">
        <v>35</v>
      </c>
      <c r="I175" s="6" t="str">
        <f>TEXT(AtlasReport_2_Table_1[[#This Row],[Ship date]],"YYYYMMM")</f>
        <v>2021May</v>
      </c>
    </row>
    <row r="176" spans="1:9">
      <c r="A176" s="5" t="s">
        <v>213</v>
      </c>
      <c r="B176" s="5" t="s">
        <v>130</v>
      </c>
      <c r="C176" s="8">
        <v>44287.921469907407</v>
      </c>
      <c r="D176" s="10">
        <v>44334</v>
      </c>
      <c r="E176" s="6">
        <f>NETWORKDAYS(AtlasReport_2_Table_1[[#This Row],[Created date]],AtlasReport_2_Table_1[[#This Row],[Ship date]],Holidays!A:A)</f>
        <v>34</v>
      </c>
      <c r="F176" s="5" t="s">
        <v>146</v>
      </c>
      <c r="G176" s="5" t="s">
        <v>148</v>
      </c>
      <c r="H176" s="6">
        <v>3066</v>
      </c>
      <c r="I176" s="6" t="str">
        <f>TEXT(AtlasReport_2_Table_1[[#This Row],[Ship date]],"YYYYMMM")</f>
        <v>2021May</v>
      </c>
    </row>
    <row r="177" spans="1:9">
      <c r="A177" s="5" t="s">
        <v>214</v>
      </c>
      <c r="B177" s="5" t="s">
        <v>132</v>
      </c>
      <c r="C177" s="8">
        <v>44321.717291666668</v>
      </c>
      <c r="D177" s="10">
        <v>44335</v>
      </c>
      <c r="E177" s="6">
        <f>NETWORKDAYS(AtlasReport_2_Table_1[[#This Row],[Created date]],AtlasReport_2_Table_1[[#This Row],[Ship date]],Holidays!A:A)</f>
        <v>11</v>
      </c>
      <c r="F177" s="5" t="s">
        <v>146</v>
      </c>
      <c r="G177" s="5" t="s">
        <v>148</v>
      </c>
      <c r="H177" s="6">
        <v>761</v>
      </c>
      <c r="I177" s="6" t="str">
        <f>TEXT(AtlasReport_2_Table_1[[#This Row],[Ship date]],"YYYYMMM")</f>
        <v>2021May</v>
      </c>
    </row>
    <row r="178" spans="1:9">
      <c r="A178" s="5" t="s">
        <v>215</v>
      </c>
      <c r="B178" s="5" t="s">
        <v>130</v>
      </c>
      <c r="C178" s="8">
        <v>44328.689293981479</v>
      </c>
      <c r="D178" s="10">
        <v>44335</v>
      </c>
      <c r="E178" s="6">
        <f>NETWORKDAYS(AtlasReport_2_Table_1[[#This Row],[Created date]],AtlasReport_2_Table_1[[#This Row],[Ship date]],Holidays!A:A)</f>
        <v>6</v>
      </c>
      <c r="F178" s="5" t="s">
        <v>146</v>
      </c>
      <c r="G178" s="5" t="s">
        <v>148</v>
      </c>
      <c r="H178" s="6">
        <v>501</v>
      </c>
      <c r="I178" s="6" t="str">
        <f>TEXT(AtlasReport_2_Table_1[[#This Row],[Ship date]],"YYYYMMM")</f>
        <v>2021May</v>
      </c>
    </row>
    <row r="179" spans="1:9">
      <c r="A179" s="5" t="s">
        <v>216</v>
      </c>
      <c r="B179" s="5" t="s">
        <v>130</v>
      </c>
      <c r="C179" s="8">
        <v>44333.748530092591</v>
      </c>
      <c r="D179" s="10">
        <v>44336</v>
      </c>
      <c r="E179" s="6">
        <f>NETWORKDAYS(AtlasReport_2_Table_1[[#This Row],[Created date]],AtlasReport_2_Table_1[[#This Row],[Ship date]],Holidays!A:A)</f>
        <v>4</v>
      </c>
      <c r="F179" s="5" t="s">
        <v>146</v>
      </c>
      <c r="G179" s="5" t="s">
        <v>148</v>
      </c>
      <c r="H179" s="6">
        <v>751</v>
      </c>
      <c r="I179" s="6" t="str">
        <f>TEXT(AtlasReport_2_Table_1[[#This Row],[Ship date]],"YYYYMMM")</f>
        <v>2021May</v>
      </c>
    </row>
    <row r="180" spans="1:9">
      <c r="A180" s="5" t="s">
        <v>217</v>
      </c>
      <c r="B180" s="5" t="s">
        <v>131</v>
      </c>
      <c r="C180" s="8">
        <v>44321.812847222223</v>
      </c>
      <c r="D180" s="10">
        <v>44336</v>
      </c>
      <c r="E180" s="6">
        <f>NETWORKDAYS(AtlasReport_2_Table_1[[#This Row],[Created date]],AtlasReport_2_Table_1[[#This Row],[Ship date]],Holidays!A:A)</f>
        <v>12</v>
      </c>
      <c r="F180" s="5" t="s">
        <v>146</v>
      </c>
      <c r="G180" s="5" t="s">
        <v>148</v>
      </c>
      <c r="H180" s="6">
        <v>180</v>
      </c>
      <c r="I180" s="6" t="str">
        <f>TEXT(AtlasReport_2_Table_1[[#This Row],[Ship date]],"YYYYMMM")</f>
        <v>2021May</v>
      </c>
    </row>
    <row r="181" spans="1:9">
      <c r="A181" s="5" t="s">
        <v>218</v>
      </c>
      <c r="B181" s="5" t="s">
        <v>129</v>
      </c>
      <c r="C181" s="8">
        <v>44335.722777777781</v>
      </c>
      <c r="D181" s="10">
        <v>44341</v>
      </c>
      <c r="E181" s="6">
        <f>NETWORKDAYS(AtlasReport_2_Table_1[[#This Row],[Created date]],AtlasReport_2_Table_1[[#This Row],[Ship date]],Holidays!A:A)</f>
        <v>5</v>
      </c>
      <c r="F181" s="5" t="s">
        <v>150</v>
      </c>
      <c r="G181" s="5" t="s">
        <v>148</v>
      </c>
      <c r="H181" s="6">
        <v>29</v>
      </c>
      <c r="I181" s="6" t="str">
        <f>TEXT(AtlasReport_2_Table_1[[#This Row],[Ship date]],"YYYYMMM")</f>
        <v>2021May</v>
      </c>
    </row>
    <row r="182" spans="1:9">
      <c r="A182" s="5" t="s">
        <v>219</v>
      </c>
      <c r="B182" s="5" t="s">
        <v>129</v>
      </c>
      <c r="C182" s="8">
        <v>44335.723020833335</v>
      </c>
      <c r="D182" s="10">
        <v>44341</v>
      </c>
      <c r="E182" s="6">
        <f>NETWORKDAYS(AtlasReport_2_Table_1[[#This Row],[Created date]],AtlasReport_2_Table_1[[#This Row],[Ship date]],Holidays!A:A)</f>
        <v>5</v>
      </c>
      <c r="F182" s="5" t="s">
        <v>150</v>
      </c>
      <c r="G182" s="5" t="s">
        <v>148</v>
      </c>
      <c r="H182" s="6">
        <v>1</v>
      </c>
      <c r="I182" s="6" t="str">
        <f>TEXT(AtlasReport_2_Table_1[[#This Row],[Ship date]],"YYYYMMM")</f>
        <v>2021May</v>
      </c>
    </row>
    <row r="183" spans="1:9">
      <c r="A183" s="5" t="s">
        <v>220</v>
      </c>
      <c r="B183" s="5" t="s">
        <v>130</v>
      </c>
      <c r="C183" s="8">
        <v>44307.803182870368</v>
      </c>
      <c r="D183" s="10">
        <v>44342</v>
      </c>
      <c r="E183" s="6">
        <f>NETWORKDAYS(AtlasReport_2_Table_1[[#This Row],[Created date]],AtlasReport_2_Table_1[[#This Row],[Ship date]],Holidays!A:A)</f>
        <v>26</v>
      </c>
      <c r="F183" s="5" t="s">
        <v>146</v>
      </c>
      <c r="G183" s="5" t="s">
        <v>148</v>
      </c>
      <c r="H183" s="6">
        <v>2201</v>
      </c>
      <c r="I183" s="6" t="str">
        <f>TEXT(AtlasReport_2_Table_1[[#This Row],[Ship date]],"YYYYMMM")</f>
        <v>2021May</v>
      </c>
    </row>
    <row r="184" spans="1:9">
      <c r="A184" s="5" t="s">
        <v>221</v>
      </c>
      <c r="B184" s="5" t="s">
        <v>130</v>
      </c>
      <c r="C184" s="8">
        <v>44326.814456018517</v>
      </c>
      <c r="D184" s="10">
        <v>44343</v>
      </c>
      <c r="E184" s="6">
        <f>NETWORKDAYS(AtlasReport_2_Table_1[[#This Row],[Created date]],AtlasReport_2_Table_1[[#This Row],[Ship date]],Holidays!A:A)</f>
        <v>14</v>
      </c>
      <c r="F184" s="5" t="s">
        <v>146</v>
      </c>
      <c r="G184" s="5" t="s">
        <v>148</v>
      </c>
      <c r="H184" s="6">
        <v>501</v>
      </c>
      <c r="I184" s="6" t="str">
        <f>TEXT(AtlasReport_2_Table_1[[#This Row],[Ship date]],"YYYYMMM")</f>
        <v>2021May</v>
      </c>
    </row>
    <row r="185" spans="1:9">
      <c r="A185" s="5" t="s">
        <v>217</v>
      </c>
      <c r="B185" s="5" t="s">
        <v>131</v>
      </c>
      <c r="C185" s="8">
        <v>44321.812847222223</v>
      </c>
      <c r="D185" s="10">
        <v>44343</v>
      </c>
      <c r="E185" s="6">
        <f>NETWORKDAYS(AtlasReport_2_Table_1[[#This Row],[Created date]],AtlasReport_2_Table_1[[#This Row],[Ship date]],Holidays!A:A)</f>
        <v>17</v>
      </c>
      <c r="F185" s="5" t="s">
        <v>146</v>
      </c>
      <c r="G185" s="5" t="s">
        <v>148</v>
      </c>
      <c r="H185" s="6">
        <v>759</v>
      </c>
      <c r="I185" s="6" t="str">
        <f>TEXT(AtlasReport_2_Table_1[[#This Row],[Ship date]],"YYYYMMM")</f>
        <v>2021May</v>
      </c>
    </row>
    <row r="186" spans="1:9">
      <c r="A186" s="5" t="s">
        <v>222</v>
      </c>
      <c r="B186" s="5" t="s">
        <v>132</v>
      </c>
      <c r="C186" s="8">
        <v>44279.799687500003</v>
      </c>
      <c r="D186" s="10">
        <v>44343</v>
      </c>
      <c r="E186" s="6">
        <f>NETWORKDAYS(AtlasReport_2_Table_1[[#This Row],[Created date]],AtlasReport_2_Table_1[[#This Row],[Ship date]],Holidays!A:A)</f>
        <v>47</v>
      </c>
      <c r="F186" s="5" t="s">
        <v>146</v>
      </c>
      <c r="G186" s="5" t="s">
        <v>149</v>
      </c>
      <c r="H186" s="6">
        <v>1</v>
      </c>
      <c r="I186" s="6" t="str">
        <f>TEXT(AtlasReport_2_Table_1[[#This Row],[Ship date]],"YYYYMMM")</f>
        <v>2021May</v>
      </c>
    </row>
    <row r="187" spans="1:9">
      <c r="A187" s="5" t="s">
        <v>223</v>
      </c>
      <c r="B187" s="5" t="s">
        <v>132</v>
      </c>
      <c r="C187" s="8">
        <v>44279.807546296295</v>
      </c>
      <c r="D187" s="10">
        <v>44343</v>
      </c>
      <c r="E187" s="6">
        <f>NETWORKDAYS(AtlasReport_2_Table_1[[#This Row],[Created date]],AtlasReport_2_Table_1[[#This Row],[Ship date]],Holidays!A:A)</f>
        <v>47</v>
      </c>
      <c r="F187" s="5" t="s">
        <v>146</v>
      </c>
      <c r="G187" s="5" t="s">
        <v>149</v>
      </c>
      <c r="H187" s="6">
        <v>1</v>
      </c>
      <c r="I187" s="6" t="str">
        <f>TEXT(AtlasReport_2_Table_1[[#This Row],[Ship date]],"YYYYMMM")</f>
        <v>2021May</v>
      </c>
    </row>
    <row r="188" spans="1:9">
      <c r="A188" s="5" t="s">
        <v>224</v>
      </c>
      <c r="B188" s="5" t="s">
        <v>132</v>
      </c>
      <c r="C188" s="8">
        <v>44279.81318287037</v>
      </c>
      <c r="D188" s="10">
        <v>44343</v>
      </c>
      <c r="E188" s="6">
        <f>NETWORKDAYS(AtlasReport_2_Table_1[[#This Row],[Created date]],AtlasReport_2_Table_1[[#This Row],[Ship date]],Holidays!A:A)</f>
        <v>47</v>
      </c>
      <c r="F188" s="5" t="s">
        <v>146</v>
      </c>
      <c r="G188" s="5" t="s">
        <v>149</v>
      </c>
      <c r="H188" s="6">
        <v>1</v>
      </c>
      <c r="I188" s="6" t="str">
        <f>TEXT(AtlasReport_2_Table_1[[#This Row],[Ship date]],"YYYYMMM")</f>
        <v>2021May</v>
      </c>
    </row>
    <row r="189" spans="1:9">
      <c r="A189" s="5" t="s">
        <v>225</v>
      </c>
      <c r="B189" s="5" t="s">
        <v>132</v>
      </c>
      <c r="C189" s="8">
        <v>44343.847546296296</v>
      </c>
      <c r="D189" s="10">
        <v>44343</v>
      </c>
      <c r="E189" s="6">
        <f>NETWORKDAYS(AtlasReport_2_Table_1[[#This Row],[Created date]],AtlasReport_2_Table_1[[#This Row],[Ship date]],Holidays!A:A)</f>
        <v>1</v>
      </c>
      <c r="F189" s="5" t="s">
        <v>146</v>
      </c>
      <c r="G189" s="5" t="s">
        <v>149</v>
      </c>
      <c r="H189" s="6">
        <v>1</v>
      </c>
      <c r="I189" s="6" t="str">
        <f>TEXT(AtlasReport_2_Table_1[[#This Row],[Ship date]],"YYYYMMM")</f>
        <v>2021May</v>
      </c>
    </row>
    <row r="190" spans="1:9">
      <c r="A190" s="5" t="s">
        <v>226</v>
      </c>
      <c r="B190" s="5" t="s">
        <v>130</v>
      </c>
      <c r="C190" s="8">
        <v>44333.817766203705</v>
      </c>
      <c r="D190" s="10">
        <v>44344</v>
      </c>
      <c r="E190" s="6">
        <f>NETWORKDAYS(AtlasReport_2_Table_1[[#This Row],[Created date]],AtlasReport_2_Table_1[[#This Row],[Ship date]],Holidays!A:A)</f>
        <v>10</v>
      </c>
      <c r="F190" s="5" t="s">
        <v>146</v>
      </c>
      <c r="G190" s="5" t="s">
        <v>148</v>
      </c>
      <c r="H190" s="6">
        <v>1186</v>
      </c>
      <c r="I190" s="6" t="str">
        <f>TEXT(AtlasReport_2_Table_1[[#This Row],[Ship date]],"YYYYMMM")</f>
        <v>2021May</v>
      </c>
    </row>
    <row r="191" spans="1:9">
      <c r="A191" s="5" t="s">
        <v>227</v>
      </c>
      <c r="B191" s="5" t="s">
        <v>130</v>
      </c>
      <c r="C191" s="8">
        <v>44336.820300925923</v>
      </c>
      <c r="D191" s="10">
        <v>44347</v>
      </c>
      <c r="E191" s="6">
        <f>NETWORKDAYS(AtlasReport_2_Table_1[[#This Row],[Created date]],AtlasReport_2_Table_1[[#This Row],[Ship date]],Holidays!A:A)</f>
        <v>8</v>
      </c>
      <c r="F191" s="5" t="s">
        <v>146</v>
      </c>
      <c r="G191" s="5" t="s">
        <v>148</v>
      </c>
      <c r="H191" s="6">
        <v>600</v>
      </c>
      <c r="I191" s="6" t="str">
        <f>TEXT(AtlasReport_2_Table_1[[#This Row],[Ship date]],"YYYYMMM")</f>
        <v>2021May</v>
      </c>
    </row>
    <row r="192" spans="1:9">
      <c r="A192" s="5" t="s">
        <v>228</v>
      </c>
      <c r="B192" s="5" t="s">
        <v>129</v>
      </c>
      <c r="C192" s="8">
        <v>44342.595694444448</v>
      </c>
      <c r="D192" s="10">
        <v>44348</v>
      </c>
      <c r="E192" s="6">
        <f>NETWORKDAYS(AtlasReport_2_Table_1[[#This Row],[Created date]],AtlasReport_2_Table_1[[#This Row],[Ship date]],Holidays!A:A)</f>
        <v>5</v>
      </c>
      <c r="F192" s="5" t="s">
        <v>146</v>
      </c>
      <c r="G192" s="5" t="s">
        <v>148</v>
      </c>
      <c r="H192" s="6">
        <v>7500</v>
      </c>
      <c r="I192" s="6" t="str">
        <f>TEXT(AtlasReport_2_Table_1[[#This Row],[Ship date]],"YYYYMMM")</f>
        <v>2021Jun</v>
      </c>
    </row>
    <row r="193" spans="1:9">
      <c r="A193" s="5" t="s">
        <v>229</v>
      </c>
      <c r="B193" s="5" t="s">
        <v>129</v>
      </c>
      <c r="C193" s="8">
        <v>44342.597916666666</v>
      </c>
      <c r="D193" s="10">
        <v>44348</v>
      </c>
      <c r="E193" s="6">
        <f>NETWORKDAYS(AtlasReport_2_Table_1[[#This Row],[Created date]],AtlasReport_2_Table_1[[#This Row],[Ship date]],Holidays!A:A)</f>
        <v>5</v>
      </c>
      <c r="F193" s="5" t="s">
        <v>146</v>
      </c>
      <c r="G193" s="5" t="s">
        <v>148</v>
      </c>
      <c r="H193" s="6">
        <v>1</v>
      </c>
      <c r="I193" s="6" t="str">
        <f>TEXT(AtlasReport_2_Table_1[[#This Row],[Ship date]],"YYYYMMM")</f>
        <v>2021Jun</v>
      </c>
    </row>
    <row r="194" spans="1:9">
      <c r="A194" s="5" t="s">
        <v>230</v>
      </c>
      <c r="B194" s="5" t="s">
        <v>129</v>
      </c>
      <c r="C194" s="8">
        <v>44349.222824074073</v>
      </c>
      <c r="D194" s="10">
        <v>44347</v>
      </c>
      <c r="E194" s="6">
        <f>NETWORKDAYS(AtlasReport_2_Table_1[[#This Row],[Created date]],AtlasReport_2_Table_1[[#This Row],[Ship date]],Holidays!A:A)</f>
        <v>-3</v>
      </c>
      <c r="F194" s="5" t="s">
        <v>150</v>
      </c>
      <c r="G194" s="5" t="s">
        <v>148</v>
      </c>
      <c r="H194" s="6">
        <v>2</v>
      </c>
      <c r="I194" s="6" t="str">
        <f>TEXT(AtlasReport_2_Table_1[[#This Row],[Ship date]],"YYYYMMM")</f>
        <v>2021May</v>
      </c>
    </row>
    <row r="195" spans="1:9">
      <c r="A195" s="5" t="s">
        <v>231</v>
      </c>
      <c r="B195" s="5" t="s">
        <v>129</v>
      </c>
      <c r="C195" s="8">
        <v>44349.224895833337</v>
      </c>
      <c r="D195" s="10">
        <v>44347</v>
      </c>
      <c r="E195" s="6">
        <f>NETWORKDAYS(AtlasReport_2_Table_1[[#This Row],[Created date]],AtlasReport_2_Table_1[[#This Row],[Ship date]],Holidays!A:A)</f>
        <v>-3</v>
      </c>
      <c r="F195" s="5" t="s">
        <v>146</v>
      </c>
      <c r="G195" s="5" t="s">
        <v>148</v>
      </c>
      <c r="H195" s="6">
        <v>2</v>
      </c>
      <c r="I195" s="6" t="str">
        <f>TEXT(AtlasReport_2_Table_1[[#This Row],[Ship date]],"YYYYMMM")</f>
        <v>2021May</v>
      </c>
    </row>
    <row r="196" spans="1:9">
      <c r="A196" s="5" t="s">
        <v>232</v>
      </c>
      <c r="B196" s="5" t="s">
        <v>131</v>
      </c>
      <c r="C196" s="8">
        <v>44348.739687499998</v>
      </c>
      <c r="D196" s="10">
        <v>44349</v>
      </c>
      <c r="E196" s="6">
        <f>NETWORKDAYS(AtlasReport_2_Table_1[[#This Row],[Created date]],AtlasReport_2_Table_1[[#This Row],[Ship date]],Holidays!A:A)</f>
        <v>2</v>
      </c>
      <c r="F196" s="5" t="s">
        <v>146</v>
      </c>
      <c r="G196" s="5" t="s">
        <v>147</v>
      </c>
      <c r="H196" s="6">
        <v>101</v>
      </c>
      <c r="I196" s="6" t="str">
        <f>TEXT(AtlasReport_2_Table_1[[#This Row],[Ship date]],"YYYYMMM")</f>
        <v>2021Jun</v>
      </c>
    </row>
    <row r="197" spans="1:9">
      <c r="A197" s="5" t="s">
        <v>233</v>
      </c>
      <c r="B197" s="5" t="s">
        <v>130</v>
      </c>
      <c r="C197" s="8">
        <v>44348.662048611113</v>
      </c>
      <c r="D197" s="10">
        <v>44350</v>
      </c>
      <c r="E197" s="6">
        <f>NETWORKDAYS(AtlasReport_2_Table_1[[#This Row],[Created date]],AtlasReport_2_Table_1[[#This Row],[Ship date]],Holidays!A:A)</f>
        <v>3</v>
      </c>
      <c r="F197" s="5" t="s">
        <v>146</v>
      </c>
      <c r="G197" s="5" t="s">
        <v>148</v>
      </c>
      <c r="H197" s="6">
        <v>6007</v>
      </c>
      <c r="I197" s="6" t="str">
        <f>TEXT(AtlasReport_2_Table_1[[#This Row],[Ship date]],"YYYYMMM")</f>
        <v>2021Jun</v>
      </c>
    </row>
    <row r="198" spans="1:9">
      <c r="A198" s="5" t="s">
        <v>234</v>
      </c>
      <c r="B198" s="5" t="s">
        <v>130</v>
      </c>
      <c r="C198" s="8">
        <v>44328.718865740739</v>
      </c>
      <c r="D198" s="10">
        <v>44350</v>
      </c>
      <c r="E198" s="6">
        <f>NETWORKDAYS(AtlasReport_2_Table_1[[#This Row],[Created date]],AtlasReport_2_Table_1[[#This Row],[Ship date]],Holidays!A:A)</f>
        <v>17</v>
      </c>
      <c r="F198" s="5" t="s">
        <v>146</v>
      </c>
      <c r="G198" s="5" t="s">
        <v>148</v>
      </c>
      <c r="H198" s="6">
        <v>3001</v>
      </c>
      <c r="I198" s="6" t="str">
        <f>TEXT(AtlasReport_2_Table_1[[#This Row],[Ship date]],"YYYYMMM")</f>
        <v>2021Jun</v>
      </c>
    </row>
    <row r="199" spans="1:9">
      <c r="A199" s="5" t="s">
        <v>235</v>
      </c>
      <c r="B199" s="5" t="s">
        <v>130</v>
      </c>
      <c r="C199" s="8">
        <v>44336.8905787037</v>
      </c>
      <c r="D199" s="10">
        <v>44350</v>
      </c>
      <c r="E199" s="6">
        <f>NETWORKDAYS(AtlasReport_2_Table_1[[#This Row],[Created date]],AtlasReport_2_Table_1[[#This Row],[Ship date]],Holidays!A:A)</f>
        <v>11</v>
      </c>
      <c r="F199" s="5" t="s">
        <v>146</v>
      </c>
      <c r="G199" s="5" t="s">
        <v>148</v>
      </c>
      <c r="H199" s="6">
        <v>102</v>
      </c>
      <c r="I199" s="6" t="str">
        <f>TEXT(AtlasReport_2_Table_1[[#This Row],[Ship date]],"YYYYMMM")</f>
        <v>2021Jun</v>
      </c>
    </row>
    <row r="200" spans="1:9">
      <c r="A200" s="5" t="s">
        <v>236</v>
      </c>
      <c r="B200" s="5" t="s">
        <v>130</v>
      </c>
      <c r="C200" s="8">
        <v>44343.82471064815</v>
      </c>
      <c r="D200" s="10">
        <v>44350</v>
      </c>
      <c r="E200" s="6">
        <f>NETWORKDAYS(AtlasReport_2_Table_1[[#This Row],[Created date]],AtlasReport_2_Table_1[[#This Row],[Ship date]],Holidays!A:A)</f>
        <v>6</v>
      </c>
      <c r="F200" s="5" t="s">
        <v>146</v>
      </c>
      <c r="G200" s="5" t="s">
        <v>148</v>
      </c>
      <c r="H200" s="6">
        <v>781</v>
      </c>
      <c r="I200" s="6" t="str">
        <f>TEXT(AtlasReport_2_Table_1[[#This Row],[Ship date]],"YYYYMMM")</f>
        <v>2021Jun</v>
      </c>
    </row>
    <row r="201" spans="1:9">
      <c r="A201" s="5" t="s">
        <v>237</v>
      </c>
      <c r="B201" s="5" t="s">
        <v>129</v>
      </c>
      <c r="C201" s="8">
        <v>44349.808749999997</v>
      </c>
      <c r="D201" s="10">
        <v>44350</v>
      </c>
      <c r="E201" s="6">
        <f>NETWORKDAYS(AtlasReport_2_Table_1[[#This Row],[Created date]],AtlasReport_2_Table_1[[#This Row],[Ship date]],Holidays!A:A)</f>
        <v>2</v>
      </c>
      <c r="F201" s="5" t="s">
        <v>146</v>
      </c>
      <c r="G201" s="5" t="s">
        <v>148</v>
      </c>
      <c r="H201" s="6">
        <v>70</v>
      </c>
      <c r="I201" s="6" t="str">
        <f>TEXT(AtlasReport_2_Table_1[[#This Row],[Ship date]],"YYYYMMM")</f>
        <v>2021Jun</v>
      </c>
    </row>
    <row r="202" spans="1:9">
      <c r="A202" s="5" t="s">
        <v>238</v>
      </c>
      <c r="B202" s="5" t="s">
        <v>129</v>
      </c>
      <c r="C202" s="8">
        <v>44349.808946759258</v>
      </c>
      <c r="D202" s="10">
        <v>44350</v>
      </c>
      <c r="E202" s="6">
        <f>NETWORKDAYS(AtlasReport_2_Table_1[[#This Row],[Created date]],AtlasReport_2_Table_1[[#This Row],[Ship date]],Holidays!A:A)</f>
        <v>2</v>
      </c>
      <c r="F202" s="5" t="s">
        <v>146</v>
      </c>
      <c r="G202" s="5" t="s">
        <v>148</v>
      </c>
      <c r="H202" s="6">
        <v>1</v>
      </c>
      <c r="I202" s="6" t="str">
        <f>TEXT(AtlasReport_2_Table_1[[#This Row],[Ship date]],"YYYYMMM")</f>
        <v>2021Jun</v>
      </c>
    </row>
    <row r="203" spans="1:9">
      <c r="A203" s="5" t="s">
        <v>239</v>
      </c>
      <c r="B203" s="5" t="s">
        <v>129</v>
      </c>
      <c r="C203" s="8">
        <v>44348.708645833336</v>
      </c>
      <c r="D203" s="10">
        <v>44350</v>
      </c>
      <c r="E203" s="6">
        <f>NETWORKDAYS(AtlasReport_2_Table_1[[#This Row],[Created date]],AtlasReport_2_Table_1[[#This Row],[Ship date]],Holidays!A:A)</f>
        <v>3</v>
      </c>
      <c r="F203" s="5" t="s">
        <v>150</v>
      </c>
      <c r="G203" s="5" t="s">
        <v>148</v>
      </c>
      <c r="H203" s="6">
        <v>2100</v>
      </c>
      <c r="I203" s="6" t="str">
        <f>TEXT(AtlasReport_2_Table_1[[#This Row],[Ship date]],"YYYYMMM")</f>
        <v>2021Jun</v>
      </c>
    </row>
    <row r="204" spans="1:9">
      <c r="A204" s="5" t="s">
        <v>240</v>
      </c>
      <c r="B204" s="5" t="s">
        <v>129</v>
      </c>
      <c r="C204" s="8">
        <v>44348.708831018521</v>
      </c>
      <c r="D204" s="10">
        <v>44350</v>
      </c>
      <c r="E204" s="6">
        <f>NETWORKDAYS(AtlasReport_2_Table_1[[#This Row],[Created date]],AtlasReport_2_Table_1[[#This Row],[Ship date]],Holidays!A:A)</f>
        <v>3</v>
      </c>
      <c r="F204" s="5" t="s">
        <v>150</v>
      </c>
      <c r="G204" s="5" t="s">
        <v>148</v>
      </c>
      <c r="H204" s="6">
        <v>1</v>
      </c>
      <c r="I204" s="6" t="str">
        <f>TEXT(AtlasReport_2_Table_1[[#This Row],[Ship date]],"YYYYMMM")</f>
        <v>2021Jun</v>
      </c>
    </row>
    <row r="205" spans="1:9">
      <c r="A205" s="5" t="s">
        <v>241</v>
      </c>
      <c r="B205" s="5" t="s">
        <v>130</v>
      </c>
      <c r="C205" s="8">
        <v>44350.651620370372</v>
      </c>
      <c r="D205" s="10">
        <v>44354</v>
      </c>
      <c r="E205" s="6">
        <f>NETWORKDAYS(AtlasReport_2_Table_1[[#This Row],[Created date]],AtlasReport_2_Table_1[[#This Row],[Ship date]],Holidays!A:A)</f>
        <v>3</v>
      </c>
      <c r="F205" s="5" t="s">
        <v>146</v>
      </c>
      <c r="G205" s="5" t="s">
        <v>148</v>
      </c>
      <c r="H205" s="6">
        <v>1151</v>
      </c>
      <c r="I205" s="6" t="str">
        <f>TEXT(AtlasReport_2_Table_1[[#This Row],[Ship date]],"YYYYMMM")</f>
        <v>2021Jun</v>
      </c>
    </row>
    <row r="206" spans="1:9">
      <c r="A206" s="5" t="s">
        <v>242</v>
      </c>
      <c r="B206" s="5" t="s">
        <v>130</v>
      </c>
      <c r="C206" s="8">
        <v>44350.635798611111</v>
      </c>
      <c r="D206" s="10">
        <v>44355</v>
      </c>
      <c r="E206" s="6">
        <f>NETWORKDAYS(AtlasReport_2_Table_1[[#This Row],[Created date]],AtlasReport_2_Table_1[[#This Row],[Ship date]],Holidays!A:A)</f>
        <v>4</v>
      </c>
      <c r="F206" s="5" t="s">
        <v>146</v>
      </c>
      <c r="G206" s="5" t="s">
        <v>148</v>
      </c>
      <c r="H206" s="6">
        <v>501</v>
      </c>
      <c r="I206" s="6" t="str">
        <f>TEXT(AtlasReport_2_Table_1[[#This Row],[Ship date]],"YYYYMMM")</f>
        <v>2021Jun</v>
      </c>
    </row>
    <row r="207" spans="1:9">
      <c r="A207" s="5" t="s">
        <v>243</v>
      </c>
      <c r="B207" s="5" t="s">
        <v>131</v>
      </c>
      <c r="C207" s="8">
        <v>44355.728298611109</v>
      </c>
      <c r="D207" s="10">
        <v>44355</v>
      </c>
      <c r="E207" s="6">
        <f>NETWORKDAYS(AtlasReport_2_Table_1[[#This Row],[Created date]],AtlasReport_2_Table_1[[#This Row],[Ship date]],Holidays!A:A)</f>
        <v>1</v>
      </c>
      <c r="F207" s="5" t="s">
        <v>146</v>
      </c>
      <c r="G207" s="5" t="s">
        <v>147</v>
      </c>
      <c r="H207" s="6">
        <v>4</v>
      </c>
      <c r="I207" s="6" t="str">
        <f>TEXT(AtlasReport_2_Table_1[[#This Row],[Ship date]],"YYYYMMM")</f>
        <v>2021Jun</v>
      </c>
    </row>
    <row r="208" spans="1:9">
      <c r="A208" s="5" t="s">
        <v>244</v>
      </c>
      <c r="B208" s="5" t="s">
        <v>132</v>
      </c>
      <c r="C208" s="8">
        <v>44356.701967592591</v>
      </c>
      <c r="D208" s="10">
        <v>44356</v>
      </c>
      <c r="E208" s="6">
        <f>NETWORKDAYS(AtlasReport_2_Table_1[[#This Row],[Created date]],AtlasReport_2_Table_1[[#This Row],[Ship date]],Holidays!A:A)</f>
        <v>1</v>
      </c>
      <c r="F208" s="5" t="s">
        <v>146</v>
      </c>
      <c r="G208" s="5" t="s">
        <v>147</v>
      </c>
      <c r="H208" s="6">
        <v>651</v>
      </c>
      <c r="I208" s="6" t="str">
        <f>TEXT(AtlasReport_2_Table_1[[#This Row],[Ship date]],"YYYYMMM")</f>
        <v>2021Jun</v>
      </c>
    </row>
    <row r="209" spans="1:9">
      <c r="A209" s="5" t="s">
        <v>245</v>
      </c>
      <c r="B209" s="5" t="s">
        <v>130</v>
      </c>
      <c r="C209" s="8">
        <v>44328.727083333331</v>
      </c>
      <c r="D209" s="10">
        <v>44356</v>
      </c>
      <c r="E209" s="6">
        <f>NETWORKDAYS(AtlasReport_2_Table_1[[#This Row],[Created date]],AtlasReport_2_Table_1[[#This Row],[Ship date]],Holidays!A:A)</f>
        <v>21</v>
      </c>
      <c r="F209" s="5" t="s">
        <v>146</v>
      </c>
      <c r="G209" s="5" t="s">
        <v>148</v>
      </c>
      <c r="H209" s="6">
        <v>3951</v>
      </c>
      <c r="I209" s="6" t="str">
        <f>TEXT(AtlasReport_2_Table_1[[#This Row],[Ship date]],"YYYYMMM")</f>
        <v>2021Jun</v>
      </c>
    </row>
    <row r="210" spans="1:9">
      <c r="A210" s="5" t="s">
        <v>246</v>
      </c>
      <c r="B210" s="5" t="s">
        <v>129</v>
      </c>
      <c r="C210" s="8">
        <v>44355.65116898148</v>
      </c>
      <c r="D210" s="10">
        <v>44356</v>
      </c>
      <c r="E210" s="6">
        <f>NETWORKDAYS(AtlasReport_2_Table_1[[#This Row],[Created date]],AtlasReport_2_Table_1[[#This Row],[Ship date]],Holidays!A:A)</f>
        <v>2</v>
      </c>
      <c r="F210" s="5" t="s">
        <v>150</v>
      </c>
      <c r="G210" s="5" t="s">
        <v>148</v>
      </c>
      <c r="H210" s="6">
        <v>3900</v>
      </c>
      <c r="I210" s="6" t="str">
        <f>TEXT(AtlasReport_2_Table_1[[#This Row],[Ship date]],"YYYYMMM")</f>
        <v>2021Jun</v>
      </c>
    </row>
    <row r="211" spans="1:9">
      <c r="A211" s="5" t="s">
        <v>247</v>
      </c>
      <c r="B211" s="5" t="s">
        <v>130</v>
      </c>
      <c r="C211" s="8">
        <v>44357.646284722221</v>
      </c>
      <c r="D211" s="10">
        <v>44357</v>
      </c>
      <c r="E211" s="6">
        <f>NETWORKDAYS(AtlasReport_2_Table_1[[#This Row],[Created date]],AtlasReport_2_Table_1[[#This Row],[Ship date]],Holidays!A:A)</f>
        <v>1</v>
      </c>
      <c r="F211" s="5" t="s">
        <v>146</v>
      </c>
      <c r="G211" s="5" t="s">
        <v>148</v>
      </c>
      <c r="H211" s="6">
        <v>250</v>
      </c>
      <c r="I211" s="6" t="str">
        <f>TEXT(AtlasReport_2_Table_1[[#This Row],[Ship date]],"YYYYMMM")</f>
        <v>2021Jun</v>
      </c>
    </row>
    <row r="212" spans="1:9">
      <c r="A212" s="5" t="s">
        <v>248</v>
      </c>
      <c r="B212" s="5" t="s">
        <v>132</v>
      </c>
      <c r="C212" s="8">
        <v>44244.647638888891</v>
      </c>
      <c r="D212" s="10">
        <v>44357</v>
      </c>
      <c r="E212" s="6">
        <f>NETWORKDAYS(AtlasReport_2_Table_1[[#This Row],[Created date]],AtlasReport_2_Table_1[[#This Row],[Ship date]],Holidays!A:A)</f>
        <v>82</v>
      </c>
      <c r="F212" s="5" t="s">
        <v>146</v>
      </c>
      <c r="G212" s="5" t="s">
        <v>148</v>
      </c>
      <c r="H212" s="6">
        <v>2</v>
      </c>
      <c r="I212" s="6" t="str">
        <f>TEXT(AtlasReport_2_Table_1[[#This Row],[Ship date]],"YYYYMMM")</f>
        <v>2021Jun</v>
      </c>
    </row>
    <row r="213" spans="1:9">
      <c r="A213" s="5" t="s">
        <v>249</v>
      </c>
      <c r="B213" s="5" t="s">
        <v>132</v>
      </c>
      <c r="C213" s="8">
        <v>44349.724016203705</v>
      </c>
      <c r="D213" s="10">
        <v>44361</v>
      </c>
      <c r="E213" s="6">
        <f>NETWORKDAYS(AtlasReport_2_Table_1[[#This Row],[Created date]],AtlasReport_2_Table_1[[#This Row],[Ship date]],Holidays!A:A)</f>
        <v>9</v>
      </c>
      <c r="F213" s="5" t="s">
        <v>146</v>
      </c>
      <c r="G213" s="5" t="s">
        <v>148</v>
      </c>
      <c r="H213" s="6">
        <v>25001</v>
      </c>
      <c r="I213" s="6" t="str">
        <f>TEXT(AtlasReport_2_Table_1[[#This Row],[Ship date]],"YYYYMMM")</f>
        <v>2021Jun</v>
      </c>
    </row>
    <row r="214" spans="1:9">
      <c r="A214" s="5" t="s">
        <v>250</v>
      </c>
      <c r="B214" s="5" t="s">
        <v>130</v>
      </c>
      <c r="C214" s="8">
        <v>44319.732951388891</v>
      </c>
      <c r="D214" s="10">
        <v>44362</v>
      </c>
      <c r="E214" s="6">
        <f>NETWORKDAYS(AtlasReport_2_Table_1[[#This Row],[Created date]],AtlasReport_2_Table_1[[#This Row],[Ship date]],Holidays!A:A)</f>
        <v>32</v>
      </c>
      <c r="F214" s="5" t="s">
        <v>146</v>
      </c>
      <c r="G214" s="5" t="s">
        <v>148</v>
      </c>
      <c r="H214" s="6">
        <v>1642</v>
      </c>
      <c r="I214" s="6" t="str">
        <f>TEXT(AtlasReport_2_Table_1[[#This Row],[Ship date]],"YYYYMMM")</f>
        <v>2021Jun</v>
      </c>
    </row>
    <row r="215" spans="1:9">
      <c r="A215" s="5" t="s">
        <v>251</v>
      </c>
      <c r="B215" s="5" t="s">
        <v>130</v>
      </c>
      <c r="C215" s="8">
        <v>44362.671759259261</v>
      </c>
      <c r="D215" s="10">
        <v>44362</v>
      </c>
      <c r="E215" s="6">
        <f>NETWORKDAYS(AtlasReport_2_Table_1[[#This Row],[Created date]],AtlasReport_2_Table_1[[#This Row],[Ship date]],Holidays!A:A)</f>
        <v>1</v>
      </c>
      <c r="F215" s="5" t="s">
        <v>146</v>
      </c>
      <c r="G215" s="5" t="s">
        <v>148</v>
      </c>
      <c r="H215" s="6">
        <v>51</v>
      </c>
      <c r="I215" s="6" t="str">
        <f>TEXT(AtlasReport_2_Table_1[[#This Row],[Ship date]],"YYYYMMM")</f>
        <v>2021Jun</v>
      </c>
    </row>
    <row r="216" spans="1:9">
      <c r="A216" s="5" t="s">
        <v>252</v>
      </c>
      <c r="B216" s="5" t="s">
        <v>132</v>
      </c>
      <c r="C216" s="8">
        <v>44361.737199074072</v>
      </c>
      <c r="D216" s="10">
        <v>44362</v>
      </c>
      <c r="E216" s="6">
        <f>NETWORKDAYS(AtlasReport_2_Table_1[[#This Row],[Created date]],AtlasReport_2_Table_1[[#This Row],[Ship date]],Holidays!A:A)</f>
        <v>2</v>
      </c>
      <c r="F216" s="5" t="s">
        <v>146</v>
      </c>
      <c r="G216" s="5" t="s">
        <v>148</v>
      </c>
      <c r="H216" s="6">
        <v>101</v>
      </c>
      <c r="I216" s="6" t="str">
        <f>TEXT(AtlasReport_2_Table_1[[#This Row],[Ship date]],"YYYYMMM")</f>
        <v>2021Jun</v>
      </c>
    </row>
    <row r="217" spans="1:9">
      <c r="A217" s="5" t="s">
        <v>253</v>
      </c>
      <c r="B217" s="5" t="s">
        <v>130</v>
      </c>
      <c r="C217" s="8">
        <v>44362.856030092589</v>
      </c>
      <c r="D217" s="10">
        <v>44362</v>
      </c>
      <c r="E217" s="6">
        <f>NETWORKDAYS(AtlasReport_2_Table_1[[#This Row],[Created date]],AtlasReport_2_Table_1[[#This Row],[Ship date]],Holidays!A:A)</f>
        <v>1</v>
      </c>
      <c r="F217" s="5" t="s">
        <v>146</v>
      </c>
      <c r="G217" s="5" t="s">
        <v>148</v>
      </c>
      <c r="H217" s="6">
        <v>51</v>
      </c>
      <c r="I217" s="6" t="str">
        <f>TEXT(AtlasReport_2_Table_1[[#This Row],[Ship date]],"YYYYMMM")</f>
        <v>2021Jun</v>
      </c>
    </row>
    <row r="218" spans="1:9">
      <c r="A218" s="5" t="s">
        <v>254</v>
      </c>
      <c r="B218" s="5" t="s">
        <v>132</v>
      </c>
      <c r="C218" s="8">
        <v>44363.728634259256</v>
      </c>
      <c r="D218" s="10">
        <v>44364</v>
      </c>
      <c r="E218" s="6">
        <f>NETWORKDAYS(AtlasReport_2_Table_1[[#This Row],[Created date]],AtlasReport_2_Table_1[[#This Row],[Ship date]],Holidays!A:A)</f>
        <v>2</v>
      </c>
      <c r="F218" s="5" t="s">
        <v>146</v>
      </c>
      <c r="G218" s="5" t="s">
        <v>148</v>
      </c>
      <c r="H218" s="6">
        <v>291</v>
      </c>
      <c r="I218" s="6" t="str">
        <f>TEXT(AtlasReport_2_Table_1[[#This Row],[Ship date]],"YYYYMMM")</f>
        <v>2021Jun</v>
      </c>
    </row>
    <row r="219" spans="1:9">
      <c r="A219" s="5" t="s">
        <v>255</v>
      </c>
      <c r="B219" s="5" t="s">
        <v>130</v>
      </c>
      <c r="C219" s="8">
        <v>44328.733877314815</v>
      </c>
      <c r="D219" s="10">
        <v>44364</v>
      </c>
      <c r="E219" s="6">
        <f>NETWORKDAYS(AtlasReport_2_Table_1[[#This Row],[Created date]],AtlasReport_2_Table_1[[#This Row],[Ship date]],Holidays!A:A)</f>
        <v>27</v>
      </c>
      <c r="F219" s="5" t="s">
        <v>146</v>
      </c>
      <c r="G219" s="5" t="s">
        <v>148</v>
      </c>
      <c r="H219" s="6">
        <v>3501</v>
      </c>
      <c r="I219" s="6" t="str">
        <f>TEXT(AtlasReport_2_Table_1[[#This Row],[Ship date]],"YYYYMMM")</f>
        <v>2021Jun</v>
      </c>
    </row>
    <row r="220" spans="1:9">
      <c r="A220" s="5" t="s">
        <v>256</v>
      </c>
      <c r="B220" s="5" t="s">
        <v>130</v>
      </c>
      <c r="C220" s="8">
        <v>44343.814282407409</v>
      </c>
      <c r="D220" s="10">
        <v>44364</v>
      </c>
      <c r="E220" s="6">
        <f>NETWORKDAYS(AtlasReport_2_Table_1[[#This Row],[Created date]],AtlasReport_2_Table_1[[#This Row],[Ship date]],Holidays!A:A)</f>
        <v>16</v>
      </c>
      <c r="F220" s="5" t="s">
        <v>146</v>
      </c>
      <c r="G220" s="5" t="s">
        <v>148</v>
      </c>
      <c r="H220" s="6">
        <v>1701</v>
      </c>
      <c r="I220" s="6" t="str">
        <f>TEXT(AtlasReport_2_Table_1[[#This Row],[Ship date]],"YYYYMMM")</f>
        <v>2021Jun</v>
      </c>
    </row>
    <row r="221" spans="1:9">
      <c r="A221" s="5" t="s">
        <v>257</v>
      </c>
      <c r="B221" s="5" t="s">
        <v>130</v>
      </c>
      <c r="C221" s="8">
        <v>44356.696099537039</v>
      </c>
      <c r="D221" s="10">
        <v>44364</v>
      </c>
      <c r="E221" s="6">
        <f>NETWORKDAYS(AtlasReport_2_Table_1[[#This Row],[Created date]],AtlasReport_2_Table_1[[#This Row],[Ship date]],Holidays!A:A)</f>
        <v>7</v>
      </c>
      <c r="F221" s="5" t="s">
        <v>146</v>
      </c>
      <c r="G221" s="5" t="s">
        <v>148</v>
      </c>
      <c r="H221" s="6">
        <v>10001</v>
      </c>
      <c r="I221" s="6" t="str">
        <f>TEXT(AtlasReport_2_Table_1[[#This Row],[Ship date]],"YYYYMMM")</f>
        <v>2021Jun</v>
      </c>
    </row>
    <row r="222" spans="1:9">
      <c r="A222" s="5" t="s">
        <v>268</v>
      </c>
      <c r="B222" s="5" t="s">
        <v>130</v>
      </c>
      <c r="C222" s="8">
        <v>44326.761273148149</v>
      </c>
      <c r="D222" s="10">
        <v>44368</v>
      </c>
      <c r="E222" s="6">
        <f>NETWORKDAYS(AtlasReport_2_Table_1[[#This Row],[Created date]],AtlasReport_2_Table_1[[#This Row],[Ship date]],Holidays!A:A)</f>
        <v>31</v>
      </c>
      <c r="F222" s="5" t="s">
        <v>146</v>
      </c>
      <c r="G222" s="5" t="s">
        <v>147</v>
      </c>
      <c r="H222" s="6">
        <v>41</v>
      </c>
      <c r="I222" s="6" t="str">
        <f>TEXT(AtlasReport_2_Table_1[[#This Row],[Ship date]],"YYYYMMM")</f>
        <v>2021Jun</v>
      </c>
    </row>
    <row r="223" spans="1:9">
      <c r="A223" s="5" t="s">
        <v>269</v>
      </c>
      <c r="B223" s="5" t="s">
        <v>130</v>
      </c>
      <c r="C223" s="8">
        <v>44362.880682870367</v>
      </c>
      <c r="D223" s="10">
        <v>44368</v>
      </c>
      <c r="E223" s="6">
        <f>NETWORKDAYS(AtlasReport_2_Table_1[[#This Row],[Created date]],AtlasReport_2_Table_1[[#This Row],[Ship date]],Holidays!A:A)</f>
        <v>5</v>
      </c>
      <c r="F223" s="5" t="s">
        <v>146</v>
      </c>
      <c r="G223" s="5" t="s">
        <v>148</v>
      </c>
      <c r="H223" s="6">
        <v>12031</v>
      </c>
      <c r="I223" s="6" t="str">
        <f>TEXT(AtlasReport_2_Table_1[[#This Row],[Ship date]],"YYYYMMM")</f>
        <v>2021Jun</v>
      </c>
    </row>
    <row r="224" spans="1:9">
      <c r="A224" s="5" t="s">
        <v>270</v>
      </c>
      <c r="B224" s="5" t="s">
        <v>129</v>
      </c>
      <c r="C224" s="8">
        <v>44364.785555555558</v>
      </c>
      <c r="D224" s="10">
        <v>44369</v>
      </c>
      <c r="E224" s="6">
        <f>NETWORKDAYS(AtlasReport_2_Table_1[[#This Row],[Created date]],AtlasReport_2_Table_1[[#This Row],[Ship date]],Holidays!A:A)</f>
        <v>4</v>
      </c>
      <c r="F224" s="5" t="s">
        <v>146</v>
      </c>
      <c r="G224" s="5" t="s">
        <v>148</v>
      </c>
      <c r="H224" s="6">
        <v>5050</v>
      </c>
      <c r="I224" s="6" t="str">
        <f>TEXT(AtlasReport_2_Table_1[[#This Row],[Ship date]],"YYYYMMM")</f>
        <v>2021Jun</v>
      </c>
    </row>
    <row r="225" spans="1:9">
      <c r="A225" s="5" t="s">
        <v>271</v>
      </c>
      <c r="B225" s="5" t="s">
        <v>129</v>
      </c>
      <c r="C225" s="8">
        <v>44364.78597222222</v>
      </c>
      <c r="D225" s="10">
        <v>44369</v>
      </c>
      <c r="E225" s="6">
        <f>NETWORKDAYS(AtlasReport_2_Table_1[[#This Row],[Created date]],AtlasReport_2_Table_1[[#This Row],[Ship date]],Holidays!A:A)</f>
        <v>4</v>
      </c>
      <c r="F225" s="5" t="s">
        <v>146</v>
      </c>
      <c r="G225" s="5" t="s">
        <v>148</v>
      </c>
      <c r="H225" s="6">
        <v>1</v>
      </c>
      <c r="I225" s="6" t="str">
        <f>TEXT(AtlasReport_2_Table_1[[#This Row],[Ship date]],"YYYYMMM")</f>
        <v>2021Jun</v>
      </c>
    </row>
    <row r="226" spans="1:9">
      <c r="A226" s="5" t="s">
        <v>272</v>
      </c>
      <c r="B226" s="5" t="s">
        <v>130</v>
      </c>
      <c r="C226" s="8">
        <v>44368.813819444447</v>
      </c>
      <c r="D226" s="10">
        <v>44370</v>
      </c>
      <c r="E226" s="6">
        <f>NETWORKDAYS(AtlasReport_2_Table_1[[#This Row],[Created date]],AtlasReport_2_Table_1[[#This Row],[Ship date]],Holidays!A:A)</f>
        <v>3</v>
      </c>
      <c r="F226" s="5" t="s">
        <v>146</v>
      </c>
      <c r="G226" s="5" t="s">
        <v>148</v>
      </c>
      <c r="H226" s="6">
        <v>211</v>
      </c>
      <c r="I226" s="6" t="str">
        <f>TEXT(AtlasReport_2_Table_1[[#This Row],[Ship date]],"YYYYMMM")</f>
        <v>2021Jun</v>
      </c>
    </row>
    <row r="227" spans="1:9">
      <c r="A227" s="5" t="s">
        <v>273</v>
      </c>
      <c r="B227" s="5" t="s">
        <v>132</v>
      </c>
      <c r="C227" s="8">
        <v>44368.738078703704</v>
      </c>
      <c r="D227" s="10">
        <v>44370</v>
      </c>
      <c r="E227" s="6">
        <f>NETWORKDAYS(AtlasReport_2_Table_1[[#This Row],[Created date]],AtlasReport_2_Table_1[[#This Row],[Ship date]],Holidays!A:A)</f>
        <v>3</v>
      </c>
      <c r="F227" s="5" t="s">
        <v>146</v>
      </c>
      <c r="G227" s="5" t="s">
        <v>149</v>
      </c>
      <c r="H227" s="6">
        <v>126</v>
      </c>
      <c r="I227" s="6" t="str">
        <f>TEXT(AtlasReport_2_Table_1[[#This Row],[Ship date]],"YYYYMMM")</f>
        <v>2021Jun</v>
      </c>
    </row>
    <row r="228" spans="1:9">
      <c r="A228" s="5" t="s">
        <v>274</v>
      </c>
      <c r="B228" s="5" t="s">
        <v>129</v>
      </c>
      <c r="C228" s="8">
        <v>44342.598645833335</v>
      </c>
      <c r="D228" s="10">
        <v>44370</v>
      </c>
      <c r="E228" s="6">
        <f>NETWORKDAYS(AtlasReport_2_Table_1[[#This Row],[Created date]],AtlasReport_2_Table_1[[#This Row],[Ship date]],Holidays!A:A)</f>
        <v>21</v>
      </c>
      <c r="F228" s="5" t="s">
        <v>146</v>
      </c>
      <c r="G228" s="5" t="s">
        <v>148</v>
      </c>
      <c r="H228" s="6">
        <v>7500</v>
      </c>
      <c r="I228" s="6" t="str">
        <f>TEXT(AtlasReport_2_Table_1[[#This Row],[Ship date]],"YYYYMMM")</f>
        <v>2021Jun</v>
      </c>
    </row>
    <row r="229" spans="1:9">
      <c r="A229" s="5" t="s">
        <v>275</v>
      </c>
      <c r="B229" s="5" t="s">
        <v>129</v>
      </c>
      <c r="C229" s="8">
        <v>44342.600254629629</v>
      </c>
      <c r="D229" s="10">
        <v>44370</v>
      </c>
      <c r="E229" s="6">
        <f>NETWORKDAYS(AtlasReport_2_Table_1[[#This Row],[Created date]],AtlasReport_2_Table_1[[#This Row],[Ship date]],Holidays!A:A)</f>
        <v>21</v>
      </c>
      <c r="F229" s="5" t="s">
        <v>146</v>
      </c>
      <c r="G229" s="5" t="s">
        <v>148</v>
      </c>
      <c r="H229" s="6">
        <v>1</v>
      </c>
      <c r="I229" s="6" t="str">
        <f>TEXT(AtlasReport_2_Table_1[[#This Row],[Ship date]],"YYYYMMM")</f>
        <v>2021Jun</v>
      </c>
    </row>
    <row r="230" spans="1:9">
      <c r="A230" s="3" t="s">
        <v>5</v>
      </c>
      <c r="B230" s="4"/>
      <c r="C230" s="7"/>
      <c r="D230" s="9"/>
      <c r="E230" s="3"/>
      <c r="F230" s="4"/>
      <c r="G230" s="4"/>
      <c r="H230" s="3">
        <f>SUBTOTAL(109,AtlasReport_2_Table_1[Sales quantity])</f>
        <v>407739.31</v>
      </c>
      <c r="I230" s="3"/>
    </row>
    <row r="231" spans="1:9">
      <c r="A231" s="3"/>
      <c r="B231" s="3"/>
      <c r="C231" s="7"/>
      <c r="D231" s="9"/>
      <c r="E231" s="3"/>
      <c r="F231" s="3"/>
      <c r="G231" s="3"/>
      <c r="H231" s="3"/>
      <c r="I231" s="3"/>
    </row>
    <row r="232" spans="1:9">
      <c r="A232" s="3"/>
      <c r="B232" s="3"/>
      <c r="C232" s="7"/>
      <c r="D232" s="9"/>
      <c r="E232" s="3"/>
      <c r="F232" s="3"/>
      <c r="G232" s="3"/>
      <c r="H232" s="3"/>
      <c r="I232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Holidays">
    <tabColor theme="4" tint="0.59999389629810485"/>
  </sheetPr>
  <dimension ref="A1:A4"/>
  <sheetViews>
    <sheetView workbookViewId="0">
      <selection activeCell="F41" sqref="F41"/>
    </sheetView>
  </sheetViews>
  <sheetFormatPr defaultRowHeight="15"/>
  <cols>
    <col min="1" max="1" width="11.5703125" bestFit="1" customWidth="1"/>
  </cols>
  <sheetData>
    <row r="1" spans="1:1">
      <c r="A1" s="1">
        <v>43831</v>
      </c>
    </row>
    <row r="2" spans="1:1">
      <c r="A2" s="1">
        <v>44189</v>
      </c>
    </row>
    <row r="3" spans="1:1">
      <c r="A3" s="1">
        <v>44197</v>
      </c>
    </row>
    <row r="4" spans="1:1">
      <c r="A4" s="1">
        <v>44554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7"/>
  <sheetViews>
    <sheetView workbookViewId="0">
      <selection activeCell="B7" sqref="B7:K7"/>
    </sheetView>
  </sheetViews>
  <sheetFormatPr defaultRowHeight="15"/>
  <sheetData>
    <row r="1" spans="1:2">
      <c r="A1" t="s">
        <v>134</v>
      </c>
    </row>
    <row r="2" spans="1:2">
      <c r="A2" t="s">
        <v>135</v>
      </c>
    </row>
    <row r="3" spans="1:2">
      <c r="A3" t="s">
        <v>136</v>
      </c>
      <c r="B3" t="s">
        <v>137</v>
      </c>
    </row>
    <row r="4" spans="1:2">
      <c r="A4" t="s">
        <v>136</v>
      </c>
      <c r="B4" t="s">
        <v>138</v>
      </c>
    </row>
    <row r="5" spans="1:2">
      <c r="A5" t="s">
        <v>136</v>
      </c>
      <c r="B5" t="s">
        <v>139</v>
      </c>
    </row>
    <row r="6" spans="1:2">
      <c r="A6" t="s">
        <v>136</v>
      </c>
      <c r="B6" t="s">
        <v>140</v>
      </c>
    </row>
    <row r="7" spans="1:2">
      <c r="A7" t="s">
        <v>136</v>
      </c>
      <c r="B7" t="s">
        <v>141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LAAAAC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0FDB8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HwAAAAgCAAAABiAAAAAVQXRsYXNSZXBvcnRfMV9UYWJsZV8xCSE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8AAAAICAkiAAAAAwAAAAM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IwAAAAkkAAAACSUAAAAGJgAAAAdTYWxlc0lkBicAAAALU2FsZXMgb3JkZXIGKAAAAAZTdHJpbmcGKQAAAAAGKgAAACRlZjg3NmFhNy1lNzk2LTRkYWUtYWYyYS0zMTdjM2Y3MzAyYTIF1f///y1HbG9iZVNvZnR3YXJlLkF0bGFzNDAuQXRsYXNDb21tb24uQWdncmVnYXRpb24BAAAAB3ZhbHVlX18ACA4AAAD/////AAAAAAXU////LEdsb2JlU29mdHdhcmUuQXRsYXM0MC5BdGxhc0NvbW1vbi5Db2x1bW5UeXBlAQAAAAd2YWx1ZV9fAAgOAAAAAAAAAAXT////K0dsb2JlU29mdHdhcmUuQXRsYXM0MC5BdGxhc0NvbW1vbi5Tb3J0T3JkZXIBAAAAB3ZhbHVlX18ACA4AAAACAAAAAAAAAAAF0v///0BHbG9iZVNvZnR3YXJlLkF0bGFzNDAuQXRsYXNDb21tb24uVHlwZS5Db2x1bW4rQ3Jvc3NUYWJDb2x1bW5UeXBlAQAAAAd2YWx1ZV9fAAgOAAAAAAAAAAoBAAAAAAAAAAAAAAAAAAYvAAAAJDBhMGNjNjY3LTJmZTgtNDI3YS04MWU4LTJmN2JmYzIxMzY2MAYwAAAAIlRhYmxlLkN1c3RQYWNraW5nU2xpcFRyYW5zLlNhbGVzSWQKCgoKARUAAAAUAAAACTEAAAAJMgAAAAkzAAAABjQAAAAJQ3VzdEdyb3VwBjUAAAAOQ3VzdG9tZXIgZ3JvdXAGNgAAAAZTdHJpbmcJKQAAAAY4AAAAJDQ3NDQ2Y2I4LTI0MWEtNGQxYy05MGY4LWEwMmNlY2I1NDkzMwHH////1f////////8BAAAAAcb////U////AAAAAAHF////0////wIAAAAAAAAAAAHE////0v///wAAAAAKAQAAAAAAAAAAAQAAAAAGPQAAACQ1YWQ1Zjg4Zi0yZWQ3LTRjNGItOTA3NS0xYzllNDFkZTZiNWEGPgAAAD1UYWJsZS5DdXN0UGFja2luZ1NsaXBUcmFucy5TYWxlc0lkflRhYmxlLlNhbGVzVGFibGUuQ3VzdEdyb3VwCgoKCgEWAAAAFAAAAAk/AAAACUAAAAAJQQAAAAZCAAAADVBhY2tpbmdTbGlwSWQGQwAAAAxQYWNraW5nIHNsaXAGRAAAAAZTdHJpbmcJKQAAAAZGAAAAJGVjYWQyN2RkLWVjMzQtNDUxNS1hMDBkLTdiZGE3MzZmNjAwOAG5////1f////////8CAAAAAbj////U////AAAAAAG3////0////wIAAAAAAAAAAAG2////0v///wAAAAAKAQAAAAAAAAAAAgAAAAAGSwAAACRhMGNhMmRiZS00ZDJlLTQ2YTktODQ3YS1kZDRlOTIyNTEzYTcGTAAAAChUYWJsZS5DdXN0UGFja2luZ1NsaXBUcmFucy5QYWNraW5nU2xpcElkCgoKCgEXAAAAFAAAAAlNAAAACU4AAAAJTwAAAAZQAAAABkl0ZW1JZAZRAAAABEl0ZW0GUgAAAAZTdHJpbmcJKQAAAAZUAAAAJDUwNDgzYmUwLTQ0MjEtNDgyMy05NjBjLTJiYzgzYzdiNzRkOQGr////1f////////8DAAAAAar////U////AAAAAAGp////0////wIAAAAAAAAAAAGo////0v///wAAAAAKAQAAAAAAAAAAAwAAAAAGWQAAACQwNjJkNTY2MS03OTFlLTQzYTQtOTdkMi01MzM0OGEyMTFlYjUGWgAAACFUYWJsZS5DdXN0UGFja2luZ1NsaXBUcmFucy5JdGVtSWQKCgoKARgAAAAUAAAACVsAAAAJXAAAAAldAAAABl4AAAADUXR5Bl8AAAAJRGVsaXZlcmVkBmAAAAAEUmVhbAkpAAAABmIAAAAkM2Y0YThhMGQtZDM3NC00NDkzLWI0ZWEtZjUyZjY4MjNmOTRiAZ3////V////AQAAAAQAAAABnP///9T///8AAAAAAZv////T////AgAAAAAAAAAAAZr////S////AAAAAAoBAAAAAAAAAAAEAAAAAAZnAAAAJGI5MTA0YWMxLWYwYTktNDMwOC1hZGY0LTg0YjgxZDJkZDI4ZgZoAAAAHlRhYmxlLkN1c3RQYWNraW5nU2xpcFRyYW5zLlF0eQoKCgoBGQAAABQAAAAJaQAAAAlqAAAACWsAAAAGbAAAAAdPcmRlcmVkBm0AAAAHT3JkZXJlZAZuAAAABFJlYWwJKQAAAAZwAAAAJDIxNTUyZjI0LTQzZjYtNGY4Yi1hYzBmLWZjMzE1OGJhMjQ1MwGP////1f///wEAAAAFAAAAAY7////U////AAAAAAGN////0////wIAAAAAAAAAAAGM////0v///wAAAAAKAQAAAAAAAAAABQAAAAAGdQAAACQyZWVlZTBjZi1iN2JmLTRkMWQtOGJmOS1kNDYwYmRmMTAzMTgGdgAAACJUYWJsZS5DdXN0UGFja2luZ1NsaXBUcmFucy5PcmRlcmVkCgoKCgEaAAAAFAAAAAl3AAAACXgAAAAJeQAAAAZ6AAAABlJlbWFpbgZ7AAAAElJlbWFpbmluZyBxdWFudGl0eQZ8AAAABFJlYWwJKQAAAAZ+AAAAJDk4ZjI4YTQ4LWZiZDAtNDRmMi04NmIwLTY2MjNkZjNhNzZmNgGB////1f///wEAAAAGAAAAAYD////U////AAAAAAF/////0////wIAAAAAAAAAAAF+////0v///wAAAAAKAQAAAAAAAAAABgAAAAAGgwAAACQ0ZTk5YTJjYy02ZjA3LTQ4MTEtOTgwMC0wNWM3Nzg4YzUyMDUGhAAAACFUYWJsZS5DdXN0UGFja2luZ1NsaXBUcmFucy5SZW1haW4KCgoKARsAAAAUAAAACYUAAAAJhgAAAAmHAAAABogAAAAPQ3JlYXRlZERhdGVUaW1lBokAAAAMQ3JlYXRlZCBkYXRlBooAAAAIRGF0ZVRpbWUJKQAAAAaMAAAAJDU2YmQ1ZDI2LTgxNzYtNDQwZi1hMDEzLWUzNTA2ZjM5ZTk2YwFz////1f////////8HAAAAAXL////U////AAAAAAFx////0////wIAAAAAAAAAAAFw////0v///wAAAAAKAQAAAAAAAAAABwAAAAAGkQAAACRiM2Q4MWMwMi01NWE5LTQ1ZDQtOGU2NS05ZGI1YmRlZjhmYmYGkgAAAENUYWJsZS5DdXN0UGFja2luZ1NsaXBUcmFucy5TYWxlc0lkflRhYmxlLlNhbGVzVGFibGUuQ3JlYXRlZERhdGVUaW1lCgoKCgEcAAAAFAAAAAmTAAAACZQAAAAJlQAAAAaWAAAADERlbGl2ZXJ5RGF0ZQaXAAAACVNoaXAgZGF0ZQaYAAAABERhdGUJKQAAAAaaAAAAJDQ0M2RjNjY2LWQwNmUtNGE5MS1hMzZlLTI3YzVlNjg4NWI1ZAFl////1f////////8IAAAAAWT////U////AAAAAAFj////0////wIAAAAAAAAAAAFi////0v///wAAAAAKAQAAAAAAAAAACAAAAAAGnwAAACQwYmJkNGNhZS0zZTM1LTRlMTQtYTk5OS01OTkyMTYxZjY0YjcGoAAAACdUYWJsZS5DdXN0UGFja2luZ1NsaXBUcmFucy5EZWxpdmVyeURhdGUKCgoKAR0AAAAUAAAACaEAAAAJogAAAAmjAAAABqQAAAA3QXRsYXNNYW5hZ2VkQ29sdW1uX2Q2ZjdhYTJkLTA0NjctNDRjMC04Yjk4LTliMjNkYjYxNzlkYgalAAAADFBlcmlvZE9mVGltZQkpAAAACSkAAAAGpwAAACRmMThkYTA3OS0xZTk1LTQ2ZTctOTk0My04MTlhNzZkOTA5MzYBWP///9X/////////CQAAAAFX////1P///wIAAAABVv///9P///8CAAAAAAAAAAABVf///9L///8AAAAACgEAAAAAAAAAAAkAAAAABqwAAAAkYTViMDJmYzYtMDNkMy00NjA1LTg4YjMtYTk3NmI4OTNhYzU1CSkAAAAKCgoKAR4AAAAUAAAACa4AAAAJrwAAAAmwAAAABrEAAAA3QXRsYXNNYW5hZ2VkQ29sdW1uX2UwZTg1ZDU5LTI3NDEtNDRjZC1hYzg0LTE3ZDg4ZjNkZjE0MwayAAAAClNoaXAgbW9udGgJKQAAAAkpAAAABrQAAAAkODIxODM2NGItNzJlNC00ZDU2LWI4MTktM2IzMzA2MjU5NjEyAUv////V/////////woAAAABSv///9T///8CAAAAAUn////T////AgAAAAAAAAAAAUj////S////AAAAAAoBAAAAAAAAAAAKAAAAAAa5AAAAJDQ1OWQ5ZmM2LTM1MWUtNGQwMC04NDNkLTMzMzNlNmE2NDFkYQkpAAAACgoKCgUhAAAAOEdsb2JlU29mdHdhcmUuQXRsYXM0MC5BdGxhc0NvbW1vbkNsaWVudC5SZXBvcnQuUmVmZXJlbmNlAQAAAApfcmVmZXJlbmNlBwgfAAAACbsAAAAHIgAAAAABAAAABAAAAAQ8R2xvYmVTb2Z0d2FyZS5BdGxhczQwLkF0bGFzQ29tbW9uQ2xpZW50LkRhdGFTb3VyY2VGaWVsZFZhbHVlHwAAAAm8AAAACb0AAAAJvgAAAAoEI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vwAAAAEAAAABAAAABCQ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OwAAAAnAAAAABwAAAAnBAAAABC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nCAAAABwAAAAnDAAAAATEAAAAjAAAACcQAAAABAAAAAQAAAAEyAAAAJAAAAC0AAAAJxQAAAAcAAAAJxgAAAAEzAAAAJQAAACoAAAAJxwAAAAcAAAAJyAAAAAE/AAAAIwAAAAnJAAAAAQAAAAEAAAABQAAAACQAAABEAAAACcAAAAAHAAAACcsAAAABQQAAACUAAAA/AAAACcIAAAAHAAAACc0AAAABTQAAACMAAAAJzgAAAAEAAAABAAAAAU4AAAAkAAAAQwAAAAnAAAAABwAAAAnQAAAAAU8AAAAlAAAAPwAAAAnCAAAABwAAAAnSAAAAAVsAAAAjAAAACdMAAAABAAAAAQAAAAFcAAAAJAAAAEMAAAAJwAAAAAcAAAAJ1QAAAAFdAAAAJQAAAD8AAAAJwgAAAAcAAAAJ1wAAAAFpAAAAIwAAAAnYAAAAAQAAAAEAAAABagAAACQAAABDAAAACcAAAAAHAAAACdoAAAABawAAACUAAAA/AAAACcIAAAAHAAAACdwAAAABdwAAACMAAAAJ3QAAAAEAAAABAAAAAXgAAAAkAAAAQwAAAAnAAAAABwAAAAnfAAAAAXkAAAAlAAAAPwAAAAnCAAAABwAAAAnhAAAAAYUAAAAjAAAACeIAAAABAAAAAQAAAAGGAAAAJAAAAB8AAAAJxQAAAAcAAAAJ5AAAAAGHAAAAJQAAABwAAAAJxwAAAAcAAAAJ5gAAAAGTAAAAIwAAAAnnAAAAAQAAAAEAAAABlAAAACQAAAA0AAAACcAAAAAHAAAACekAAAABlQAAACUAAAAxAAAACcIAAAAHAAAACesAAAABoQAAACMAAAAJ7AAAAAAAAAAAAAAAAaIAAAAkAAAAFQAAAAnFAAAABwAAAAnuAAAAAaMAAAAlAAAADgAAAAnHAAAABwAAAAnwAAAAAa4AAAAjAAAACfEAAAAAAAAAAAAAAAGvAAAAJAAAAAUAAAAJ8gAAAAMAAAAJ8wA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MAAAAAAAAAA+7AAAAAQAAAAgBAAAABbwAAAA8R2xvYmVTb2Z0d2FyZS5BdGxhczQwLkF0bGFzQ29tbW9uQ2xpZW50LkRhdGFTb3VyY2VGaWVsZFZhbHVlBAAAABJfaXNEcmlsbERvd25GaWx0ZXIGX2RzS2V5Cl9maWVsZG5hbWULX2ZpZWxkVmFsdWUAAQEBAR8AAAAABvUAAAAaVGFibGUuQ3VzdFBhY2tpbmdTbGlwVHJhbnMG9gAAAApEYXRhQXJlYUlkCQYAAAABvQAAALwAAAAACfUAAAAG+QAAAAxEZWxpdmVyeURhdGUG+gAAABgwMS8wMS8yMDIxIC4uIDAzLzMxLzIwMjEBvgAAALwAAAAACfUAAAAG/AAAAANRdHkG/QAAAAI+MAe/AAAAAAEAAAAEAAAABDdHbG9iZVNvZnR3YXJlLkF0bGFzNDAuQXRsYXNDb21tb24uVHlwZS5GaWVsZE91dHB1dEZpZWxkDgAAAAn+AAAADQMEwA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wQ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H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AP///zJHbG9iZVNvZnR3YXJlLkF0bGFzNDAuQXRsYXNDb21tb24uQ29sdW1uQXR0cmlidXRlcwEAAAAHdmFsdWVfXwAIDgAAAAkAAAAJKQAAAAH+/v//Af///wH9/v//AP///wsAAAAGBAEAAAEwAfv+//8B////Afr+//8A////BAAAAAYHAQAAB0dlbmVyYWwB+P7//wH///8B9/7//wD///8CAAAABgoBAAABMQH1/v//Af///wH0/v//AP///wAAAAAGDQEAAAUyNS43MQHCAAAADAAAAAfD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PL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DwEAAAhGb250Qm9sZAYQAQAABUZhbHNlAe/+///y/v//BhIBAAAKRm9udEl0YWxpYwkQAQAAAez+///y/v//BhUBAAANRm9udFVuZGVybGluZQYWAQAABS00MTQyAen+///y/v//BhgBAAAIRm9udE5hbWUGGQEAAAdDYWxpYnJpAeb+///y/v//BhsBAAAJRm9udENvbG9yBhwBAAABMAHj/v//8v7//wYeAQAACEZvbnRTaXplBh8BAAACMTEB4P7///L+//8GIQEAAAlGb250U3R5bGUGIgEAAAdSZWd1bGFyB8QAAAAAAQAAAAQAAAAEN0dsb2JlU29mdHdhcmUuQXRsYXM0MC5BdGxhc0NvbW1vbi5UeXBlLkZpZWxkT3V0cHV0RmllbGQOAAAACSMBAAANAwHFAAAAwAAAAAfG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P7//wH///8B2/7//wD///8JAAAACSkAAAAB2f7//wH///8B2P7//wD///8LAAAABikBAAABMQHW/v//Af///wHV/v//AP///wQAAAAGLAEAAAdHZW5lcmFsAdP+//8B////AdL+//8A////AgAAAAYvAQAAATEB0P7//wH///8Bz/7//wD///8AAAAABjIBAAAFMTYuODYBxwAAAAwAAAAHy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N/v//8v7//wY0AQAACEZvbnRCb2xkCRABAAAByv7///L+//8GNwEAAApGb250SXRhbGljCRABAAABx/7///L+//8GOgEAAA1Gb250VW5kZXJsaW5lBjsBAAAFLTQxNDIBxP7///L+//8GPQEAAAhGb250TmFtZQY+AQAAB0NhbGlicmkBwf7///L+//8GQAEAAAlGb250Q29sb3IGQQEAAAEwAb7+///y/v//BkMBAAAIRm9udFNpemUGRAEAAAIxMQG7/v//8v7//wZGAQAACUZvbnRTdHlsZQZHAQAAB1JlZ3VsYXIHyQAAAAABAAAABAAAAAQ3R2xvYmVTb2Z0d2FyZS5BdGxhczQwLkF0bGFzQ29tbW9uLlR5cGUuRmllbGRPdXRwdXRGaWVsZA4AAAAJSAEAAA0DB8s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3/v//Af///wG2/v//AP///wYAAAAGSwEAAAVUb3RhbAG0/v//Af///wGz/v//AP///xAAAAAGTgEAAAROb25lAbH+//8B////AbD+//8A////CQAAAAkpAAAAAa7+//8B////Aa3+//8A////CwAAAAZUAQAAATIBq/7//wH///8Bqv7//wD///8EAAAABlcBAAAHR2VuZXJhbAGo/v//Af///wGn/v//AP///wIAAAAGWgEAAAExAaX+//8B////AaT+//8A////AAAAAAZdAQAABTE5LjcxB80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7///L+//8JDwEAAAkQAQAAAZ/+///y/v//CRIBAAAJEAEAAAGc/v//8v7//wkVAQAABmYBAAAFLTQxNDIBmf7///L+//8JGAEAAAZpAQAAB0NhbGlicmkBlv7///L+//8JGwEAAAZsAQAAATABk/7///L+//8JHgEAAAZvAQAAAjExAZD+///y/v//CSEBAAAGcgEAAAdSZWd1bGFyB84AAAAAAQAAAAQAAAAEN0dsb2JlU29mdHdhcmUuQXRsYXM0MC5BdGxhc0NvbW1vbi5UeXBlLkZpZWxkT3V0cHV0RmllbGQOAAAACXMBAAANAwfQ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P7//wH///8Bi/7//wD///8QAAAACU4BAAABif7//wH///8BiP7//wD///8JAAAACSkAAAABhv7//wH///8Bhf7//wD///8LAAAABnwBAAABMwGD/v//Af///wGC/v//AP///wQAAAAGfwEAAAdHZW5lcmFsAYD+//8B////AX/+//8A////AgAAAAaCAQAAATEBff7//wH///8BfP7//wD///8AAAAABoUBAAAFMjEuODYH0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6/v//8v7//wkPAQAACRABAAABd/7///L+//8JEgEAAAkQAQAAAXT+///y/v//CRUBAAAGjgEAAAUtNDE0MgFx/v//8v7//wkYAQAABpEBAAAHQ2FsaWJyaQFu/v//8v7//wkbAQAABpQBAAABMAFr/v//8v7//wkeAQAABpcBAAACMTEBaP7///L+//8JIQEAAAaaAQAAB1JlZ3VsYXIH0wAAAAABAAAABAAAAAQ3R2xvYmVTb2Z0d2FyZS5BdGxhczQwLkF0bGFzQ29tbW9uLlR5cGUuRmllbGRPdXRwdXRGaWVsZA4AAAAJmwEAAA0DB9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k/v//Af///wFj/v//AP///xAAAAAJTgEAAAFh/v//Af///wFg/v//AP///wkAAAAJKQAAAAFe/v//Af///wFd/v//AP///wsAAAAGpAEAAAE0AVv+//8B////AVr+//8A////BAAAAAanAQAAB0dlbmVyYWwBWP7//wH///8BV/7//wD///8CAAAABqoBAAABMQFV/v//Af///wFU/v//AP///wAAAAAGrQEAAAUxMS4yOQfX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L+///y/v//CQ8BAAAJEAEAAAFP/v//8v7//wkSAQAACRABAAABTP7///L+//8JFQEAAAa2AQAABS00MTQyAUn+///y/v//CRgBAAAGuQEAAAdDYWxpYnJpAUb+///y/v//CRsBAAAGvAEAAAEwAUP+///y/v//CR4BAAAGvwEAAAIxMQFA/v//8v7//wkhAQAABsIBAAAHUmVndWxhcgfYAAAAAAEAAAAEAAAABDdHbG9iZVNvZnR3YXJlLkF0bGFzNDAuQXRsYXNDb21tb24uVHlwZS5GaWVsZE91dHB1dEZpZWxkDgAAAAnDAQAADQMH2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z+//8B////ATv+//8A////EAAAAAlOAQAAATn+//8B////ATj+//8A////CQAAAAkpAAAAATb+//8B////ATX+//8A////CwAAAAbMAQAAATUBM/7//wH///8BMv7//wD///8EAAAABs8BAAAHR2VuZXJhbAEw/v//Af///wEv/v//AP///wIAAAAG0gEAAAExAS3+//8B////ASz+//8A////AAAAAAbVAQAAAjEwB9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7///L+//8JDwEAAAkQAQAAASf+///y/v//CRIBAAAJEAEAAAEk/v//8v7//wkVAQAABt4BAAAFLTQxNDIBIf7///L+//8JGAEAAAbhAQAAB0NhbGlicmkBHv7///L+//8JGwEAAAbkAQAAATABG/7///L+//8JHgEAAAbnAQAAAjExARj+///y/v//CSEBAAAG6gEAAAdSZWd1bGFyB90AAAAAAQAAAAQAAAAEN0dsb2JlU29mdHdhcmUuQXRsYXM0MC5BdGxhc0NvbW1vbi5UeXBlLkZpZWxkT3V0cHV0RmllbGQOAAAACesBAAANAwff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7//wH///8BE/7//wD///8QAAAACU4BAAABEf7//wH///8BEP7//wD///8JAAAACSkAAAABDv7//wH///8BDf7//wD///8LAAAABvQBAAABNgEL/v//Af///wEK/v//AP///wQAAAAG9wEAAAdHZW5lcmFsAQj+//8B////AQf+//8A////AgAAAAb6AQAAATEBBf7//wH///8BBP7//wD///8AAAAABv0BAAAFMjAuMTQH4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v//8v7//wkPAQAACRABAAAB//3///L+//8JEgEAAAkQAQAAAfz9///y/v//CRUBAAAGBgIAAAUtNDE0MgH5/f//8v7//wkYAQAABgkCAAAHQ2FsaWJyaQH2/f//8v7//wkbAQAABgwCAAABMAHz/f//8v7//wkeAQAABg8CAAACMTEB8P3///L+//8JIQEAAAYSAgAAB1JlZ3VsYXIH4gAAAAABAAAABAAAAAQ3R2xvYmVTb2Z0d2FyZS5BdGxhczQwLkF0bGFzQ29tbW9uLlR5cGUuRmllbGRPdXRwdXRGaWVsZA4AAAAJEwIAAA0DB+Q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s/f//Af///wHr/f//AP///wkAAAAJKQAAAAHp/f//Af///wHo/f//AP///wsAAAAGGQIAAAE3Aeb9//8B////AeX9//8A////BAAAAAYcAgAADW0vZC95eXl5IGg6bW0B4/3//wH///8B4v3//wD///8CAAAABh8CAAABMQHg/f//Af///wHf/f//AP///wAAAAAGIgIAAAUxNS4xNAf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39///y/v//CTQBAAAJEAEAAAHa/f//8v7//wk3AQAACRABAAAB1/3///L+//8JOgEAAAYrAgAABS00MTQyAdT9///y/v//CT0BAAAGLgIAAAdDYWxpYnJpAdH9///y/v//CUABAAAGMQIAAAEwAc79///y/v//CUMBAAAGNAIAAAIxMQHL/f//8v7//wlGAQAABjcCAAAHUmVndWxhcgfnAAAAAAEAAAAEAAAABDdHbG9iZVNvZnR3YXJlLkF0bGFzNDAuQXRsYXNDb21tb24uVHlwZS5GaWVsZE91dHB1dEZpZWxkDgAAAAk4AgAADQMH6Q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f9//8B////Acb9//8A////CQAAAAkpAAAAAcT9//8B////AcP9//8A////CwAAAAY+AgAAATgBwf3//wH///8BwP3//wD///8EAAAABkECAAAIbS9kL3l5eXkBvv3//wH///8Bvf3//wD///8CAAAABkQCAAABMQG7/f//Af///wG6/f//AP///wAAAAAGRwIAAAUxMC44Ngf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9///y/v//CTQBAAAJEAEAAAG1/f//8v7//wk3AQAACRABAAABsv3///L+//8JOgEAAAZQAgAABS00MTQyAa/9///y/v//CT0BAAAGUwIAAAdDYWxpYnJpAaz9///y/v//CUABAAAGVgIAAAEwAan9///y/v//CUMBAAAGWQIAAAIxMQGm/f//8v7//wlGAQAABlwCAAAHUmVndWxhcgfsAAAAAAEAAAAAAAAABDdHbG9iZVNvZnR3YXJlLkF0bGFzNDAuQXRsYXNDb21tb24uVHlwZS5GaWVsZE91dHB1dEZpZWxkDgAAAAfu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/3//wH///8Bov3//wD///8kAAAACaUAAAABoP3//wH///8Bn/3//wD///8LAAAABmICAAABOQGd/f//Af///wGc/f//AP///wQAAAAGZQIAAAdHZW5lcmFsAZr9//8B////AZn9//8A////AgAAAAZoAgAAATEBl/3//wH///8Blv3//wD///8AAAAABmsCAAAFMTUuMTQBlP3//wH///8Bk/3//wD///8DAAAABm4CAAAwPURBVEVESUYoW0BbQ3JlYXRlZCBkYXRlXV0sW0BbU2hpcCBkYXRlXV0sImQiKSsxB/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3///L+//8GcAIAAAhGb250Qm9sZAkQAQAAAY79///y/v//BnMCAAAKRm9udEl0YWxpYwkQAQAAAYv9///y/v//BnYCAAANRm9udFVuZGVybGluZQZ3AgAABS00MTQyAYj9///y/v//BnkCAAAIRm9udE5hbWUGegIAAAdDYWxpYnJpAYX9///y/v//BnwCAAAJRm9udENvbG9yBn0CAAABMAGC/f//8v7//wZ/AgAACEZvbnRTaXplBoACAAACMTEBf/3///L+//8GggIAAAlGb250U3R5bGUGgwIAAAdSZWd1bGFyB/EAAAAAAQAAAAAAAAAEN0dsb2JlU29mdHdhcmUuQXRsYXM0MC5BdGxhc0NvbW1vbi5UeXBlLkZpZWxkT3V0cHV0RmllbGQOAAAAAfIAAADAAAAAB/M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8/f//Af///wF7/f//AP///yQAAAAJsgAAAAF5/f//Af///wF4/f//AP///wsAAAAGiQIAAAIxMAX+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2/f//1f////////8ABosCAAAGU3RyaW5nBowCAAALU2FsZXMgb3JkZXIJjQIAAAFy/f//0////wIAAAAFcf3//zlHbG9iZVNvZnR3YXJlLkF0bGFzNDAuQXRsYXNDb21tb24uTnVtYmVyU2VxdWVuY2VDb25kaXRpb24BAAAAB3ZhbHVlX18ACA4AAAABAAAAAAAGkAIAABpUYWJsZS5DdXN0UGFja2luZ1NsaXBUcmFucwkmAAAACSkAAAAK/////wmQAgAACgkmAAAACgoKCSkAAAAJlgIAAAkpAAAAASMBAAD+AAAAAWj9///V/////////wAGmQIAAAZTdHJpbmcGmgIAAA5DdXN0b21lciBncm91cAmbAgAAAWT9///T////AgAAAAFj/f//cf3//wEAAAAAAAaeAgAAM1RhYmxlLkN1c3RQYWNraW5nU2xpcFRyYW5zLlNhbGVzSWR+VGFibGUuU2FsZXNUYWJsZQk0AAAACSkAAAAK/////wmeAgAACgk0AAAABqMCAAAHU2FsZXNJZAakAgAAFEN1c3RQYWNraW5nU2xpcFRyYW5zCgkpAAAACaYCAAAJKQAAAAFIAQAA/gAAAAFY/f//1f////////8ABqkCAAAGU3RyaW5nBqoCAAAMUGFja2luZyBzbGlwCasCAAABVP3//9P///8CAAAAAVP9//9x/f//AQAAAAAABq4CAAAaVGFibGUuQ3VzdFBhY2tpbmdTbGlwVHJhbnMJQgAAAAkpAAAACv////8JrgIAAAoJQgAAAAoKCgkpAAAACbQCAAAJKQAAAAFzAQAA/gAAAAFK/f//1f////////8ABrcCAAAGU3RyaW5nBrgCAAAESXRlbQmrAgAAAUb9///T////AgAAAAFF/f//cf3//wEAAAAAAAmuAgAACVAAAAAJKQAAAAr/////Ca4CAAAKCVAAAAAKCgoJKQAAAAnCAgAACSkAAAABmwEAAP4AAAABPP3//9X/////////AAbFAgAABFJlYWwGxgIAAAlEZWxpdmVyZWQJqwIAAAE4/f//0////wIAAAABN/3//3H9//8BAAAAAAAJrgIAAAleAAAACSkAAAAK/////wmuAgAACgleAAAACgoKCSkAAAAJ0AIAAAkpAAAAAcMBAAD+AAAAAS79///V/////////wAG0wIAAARSZWFsBtQCAAAHT3JkZXJlZAmrAgAAASr9///T////AgAAAAEp/f//cf3//wEAAAAAAAmuAgAACWwAAAAJKQAAAAr/////Ca4CAAAKCWwAAAAKCgoJKQAAAAneAgAACSkAAAAB6wEAAP4AAAABIP3//9X/////////AAbhAgAABFJlYWwG4gIAABJSZW1haW5pbmcgcXVhbnRpdHkJqwIAAAEc/f//0////wIAAAABG/3//3H9//8BAAAAAAAJrgIAAAl6AAAACSkAAAAK/////wmuAgAACgl6AAAACgoKCSkAAAAJ7AIAAAkpAAAAARMCAAD+AAAAARL9///V/////////wAG7wIAAAhEYXRlVGltZQbwAgAADENyZWF0ZWQgZGF0ZQmbAgAAAQ79///T////AgAAAAEN/f//cf3//wEAAAAAAAmeAgAACYgAAAAJKQAAAAr/////CZ4CAAAKCYgAAAAG+QIAAAdTYWxlc0lkBvoCAAAUQ3VzdFBhY2tpbmdTbGlwVHJhbnMKCSkAAAAJ/AIAAAkpAAAAATgCAAD+AAAAAQL9///V/////////wAG/wIAAAREYXRlBgADAAAJU2hpcCBkYXRlCQEDAAAB/vz//9P///8CAAAAAf38//9x/f//AQAAAAAABgQDAAAaVGFibGUuQ3VzdFBhY2tpbmdTbGlwVHJhbnMJlgAAAAkpAAAACv////8JBAMAAAoJlgAAAAoKCgkpAAAACQoDAAAJKQAAAAWN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/////BgwDAAAUQ3VzdFBhY2tpbmdTbGlwVHJhbnMGDQMAAB1DdXN0b21lciAtIFBhY2tpbmcgc2xpcCBsaW5lcwkpAAAACSkAAAAJKQAAAAXx/P//MEdsb2JlU29mdHdhcmUuQXRsYXM0MC5BdGxhc0NvbW1vbi5EYXRhU291cmNlVHlwZQEAAAAHdmFsdWVfXwAIDgAAAAAAAAAJEAMAAAkRAwAABO78//8LU3lzdGVtLkd1aWQLAAAAAl9hAl9iAl9jAl9kAl9lAl9mAl9nAl9oAl9pAl9qAl9rAAAAAAAAAAAAAAAIBwcCAgICAgICAuyhKTbL099HgXskCOWW6c4JKQAAAAkpAAAACRQDAAAJkAIAAAoKCgoKAQAAAAXq/P//NEdsb2JlU29mdHdhcmUuQXRsYXM0MC5BdGxhc0NvbW1vbi5EYXRhU291cmNlSm9pbk1vZGUBAAAAB3ZhbHVlX18ACA4AAAAAAAAABen8//81R2xvYmVTb2Z0d2FyZS5BdGxhczQwLkF0bGFzQ29tbW9uLkRhdGFTb3VyY2VGZXRjaE1vZGUBAAAAB3ZhbHVlX18ACA4AAAAAAAAAAAkYAwAAAZYCAAAlAAAAMgAAAAnCAAAAAwAAAAkaAwAAAZsCAACNAgAA/////wYbAwAAClNhbGVzVGFibGUGHAMAAAxTYWxlcyBvcmRlcnMJKQAAAAkpAAAACSkAAAAB4vz///H8//8AAAAACR8DAAAJIAMAAAHf/P//7vz//+QMsnlF/DxLrddirCbfRc8JKQAAAAkpAAAACSMDAAAJngIAAAYlAwAAFEN1c3RQYWNraW5nU2xpcFRyYW5zBiYDAAAaVGFibGUuQ3VzdFBhY2tpbmdTbGlwVHJhbnMGJwMAACJUYWJsZS5DdXN0UGFja2luZ1NsaXBUcmFucy5TYWxlc0lkBigDAAAHU2FsZXNJZAYpAwAAB1NhbGVzSWQBAAAAAdb8///q/P//AAAAAAHV/P//6fz//wAAAAAACSwDAAABpgIAACUAAAAmAAAACccAAAADAAAACS4DAAABqwIAAI0CAABIAAAABi8DAAAUQ3VzdFBhY2tpbmdTbGlwVHJhbnMGMAMAAB1DdXN0b21lciAtIFBhY2tpbmcgc2xpcCBsaW5lcwkpAAAACSkAAAAJKQAAAAHO/P//8fz//wAAAAAJMwMAAAk0AwAAAcv8///u/P//9s6scThqi0mZcQNTfK8S1wkpAAAACSkAAAAJNwMAAAmuAgAACgoKCgoBAAAAAcf8///q/P//AAAAAAHG/P//6fz//wAAAAAACTsDAAABtAIAACUAAAA7AAAACcIAAAADAAAACT0DAAABwgIAACUAAAA7AAAACcIAAAADAAAACT8DAAAB0AIAACUAAAA7AAAACcIAAAADAAAACUEDAAAB3gIAACUAAAA7AAAACcIAAAADAAAACUMDAAAB7AIAACUAAAA7AAAACcIAAAADAAAACUUDAAAB/AIAACUAAAAaAAAACccAAAADAAAACUcDAAABAQMAAI0CAAD/////BkgDAAAUQ3VzdFBhY2tpbmdTbGlwVHJhbnMGSQMAAB1DdXN0b21lciAtIFBhY2tpbmcgc2xpcCBsaW5lcwkpAAAACSkAAAAJKQAAAAG1/P//8fz//wAAAAAJTAMAAAlNAwAAAbL8///u/P//NxLgyhGX70OeNVpijrKm+AkpAAAACSkAAAAJUAMAAAkEAwAACgoKCgoBAAAAAa78///q/P//AAAAAAGt/P//6fz//wAAAAAACVQDAAABCgMAACUAAAAsAAAACcIAAAADAAAACVYDAAAEEAM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YAAAAJVwMAAAcAAAAJWAMAAAQR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cIAAAADAAAACVoDAAAEFA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cDAAAAAAAABBg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VwDAAAAAAAABxo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z///L+//8GXgMAAAVMYWJlbAmMAgAAAaD8///y/v//BmEDAAAEVHlwZQmLAgAAAR8DAAAQAwAABAAAAAnHAAAAAwAAAAlkAwAABCA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DAAAAAAAAAABIwMAABQDAAAAAAAACccAAAAAAAAAASwDAAAYAwAAAAAAAAlnAwAAAAAAAAcu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j8///y/v//BmkDAAAFTGFiZWwJmgIAAAGV/P//8v7//wZsAwAABFR5cGUJmQIAAAEzAwAAEAMAAAUAAAAJbgMAAAcAAAAJbwMAAAE0AwAAEQMAAAQAAAAJbgMAAAcAAAAJcQMAAAE3AwAAFAMAAAAAAAAJbgMAAAAAAAABOwMAABgDAAAAAAAACXMDAAAAAAAABz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z///L+//8GdQMAAAhIZWxwVGV4dAZ2AwAAI0lkZW50aWZpY2F0aW9uIG9mIHRoZSBwYWNraW5nIHNsaXAuAYn8///y/v//CV4DAAAJqgIAAAGG/P//8v7//wlhAwAACakCAAAHP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P//8v7//wl1AwAABn8DAAAOSWRlbnRpZnkgaXRlbS4BgPz///L+//8JXgMAAAm4AgAAAX38///y/v//CWEDAAAJtwIAAAdB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r8///y/v//CXUDAAAGiAMAACRUb3RhbCBxdWFudGl0eSBvZiB0aGlzIGl0ZW0gcmVsZWFzZWQBd/z///L+//8JXgMAAAnGAgAAAXT8///y/v//CWEDAAAJxQIAAAdD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8///y/v//CXUDAAAGkQMAABBRdWFudGl0eSBvcmRlcmVkAW78///y/v//CV4DAAAJ1AIAAAFr/P//8v7//wlhAwAACdMCAAAHR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P//8v7//wl1AwAABpoDAABJUmVtYWluaW5nIHF1YW50aXR5IGZvciB0aGUgc2FsZXMgb3JkZXIgbGluZSBub3QgeWV0IHBhY2tpbmcgc2xpcCB1cGRhdGVkLgFl/P//8v7//wleAwAACeICAAABYvz///L+//8JYQMAAAnhAgAAB0c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z///L+//8JaQMAAAnwAgAAAVz8///y/v//CWwDAAAJ7wIAAAFMAwAAEAMAAAkAAAAJpwMAABEAAAAJqAMAAAFNAwAAEQMAAAEAAAAJwgAAAAMAAAAJqgMAAAFQAwAAFAMAAAAAAAAJpwMAAAAAAAABVAMAABgDAAAAAAAACawDAAAAAAAAB1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z///L+//8JXgMAAAkAAwAAAVD8///y/v//CWEDAAAJ/wIAAAFXAwAADAAAAAdYAw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N/P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0AwAAKFRhYmxlLkN1c3RQYWNraW5nU2xpcFRyYW5zLlBhY2tpbmdTbGlwSWQJSAEAAAFK/P//Tfz//wa3AwAAIVRhYmxlLkN1c3RQYWNraW5nU2xpcFRyYW5zLkl0ZW1JZAlzAQAAAUf8//9N/P//BroDAAAeVGFibGUuQ3VzdFBhY2tpbmdTbGlwVHJhbnMuUXR5CZsBAAABRPz//038//8GvQMAACJUYWJsZS5DdXN0UGFja2luZ1NsaXBUcmFucy5PcmRlcmVkCcMBAAABQfz//038//8GwAMAACFUYWJsZS5DdXN0UGFja2luZ1NsaXBUcmFucy5SZW1haW4J6wEAAAE+/P//Tfz//wbDAwAAIlRhYmxlLkN1c3RQYWNraW5nU2xpcFRyYW5zLlNhbGVzSWQJ/gAAAAda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O/z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bGAwAAJ1RhYmxlLkN1c3RQYWNraW5nU2xpcFRyYW5zLkRlbGl2ZXJ5RGF0ZQnHAwAABFwD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dkAw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4/P//Tfz//wbJAwAAPVRhYmxlLkN1c3RQYWNraW5nU2xpcFRyYW5zLlNhbGVzSWR+VGFibGUuU2FsZXNUYWJsZS5DdXN0R3JvdXAJIwEAAAE1/P//Tfz//wbMAwAAQ1RhYmxlLkN1c3RQYWNraW5nU2xpcFRyYW5zLlNhbGVzSWR+VGFibGUuU2FsZXNUYWJsZS5DcmVhdGVkRGF0ZVRpbWUJEwIAAAFnAwAAXAMAAAFuAwAADAAAAAdvAw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y/P//Tfz//wbPAwAAKFRhYmxlLkN1c3RQYWNraW5nU2xpcFRyYW5zLlBhY2tpbmdTbGlwSWQJSAEAAAEv/P//Tfz//wbSAwAAIVRhYmxlLkN1c3RQYWNraW5nU2xpcFRyYW5zLkl0ZW1JZAlzAQAAASz8//9N/P//BtUDAAAeVGFibGUuQ3VzdFBhY2tpbmdTbGlwVHJhbnMuUXR5CZsBAAABKfz//038//8G2AMAACJUYWJsZS5DdXN0UGFja2luZ1NsaXBUcmFucy5PcmRlcmVkCcMBAAABJvz//038//8G2wMAACFUYWJsZS5DdXN0UGFja2luZ1NsaXBUcmFucy5SZW1haW4J6wEAAAdxAw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I/z//zv8//8G3gMAACVUYWJsZS5DdXN0UGFja2luZ1NsaXBUcmFucy5EYXRhQXJlYUlkCd8DAAABIPz//zv8//8G4QMAACFUYWJsZS5DdXN0UGFja2luZ1NsaXBUcmFucy5JdGVtSWQJ4gMAAAEd/P//O/z//wbkAwAAKFRhYmxlLkN1c3RQYWNraW5nU2xpcFRyYW5zLlBhY2tpbmdTbGlwSWQJ5QMAAAEa/P//O/z//wbnAwAAJ1RhYmxlLkN1c3RQYWNraW5nU2xpcFRyYW5zLkRlbGl2ZXJ5RGF0ZQnoAwAAAXMDAABcAwAAAacDAAAMAAAAB6g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f8//9N/P//BuoDAAAiVGFibGUuQ3VzdFBhY2tpbmdTbGlwVHJhbnMuU2FsZXNJZAn+AAAAART8//9N/P//Bu0DAAAoVGFibGUuQ3VzdFBhY2tpbmdTbGlwVHJhbnMuUGFja2luZ1NsaXBJZAlIAQAAARH8//9N/P//BvADAAAhVGFibGUuQ3VzdFBhY2tpbmdTbGlwVHJhbnMuSXRlbUlkCXMBAAABDvz//038//8G8wMAAB5UYWJsZS5DdXN0UGFja2luZ1NsaXBUcmFucy5RdHkJmwEAAAEL/P//Tfz//wb2AwAAIlRhYmxlLkN1c3RQYWNraW5nU2xpcFRyYW5zLk9yZGVyZWQJwwEAAAEI/P//Tfz//wb5AwAAIVRhYmxlLkN1c3RQYWNraW5nU2xpcFRyYW5zLlJlbWFpbgnrAQAAAQX8//9N/P//BvwDAAAlVGFibGUuQ3VzdFBhY2tpbmdTbGlwVHJhbnMuU2FsZXNHcm91cAn9AwAAAQL8//9N/P//Bv8DAAAqVGFibGUuQ3VzdFBhY2tpbmdTbGlwVHJhbnMuQ3JlYXRlZERhdGVUaW1lCQAEAAAB//v//038//8GAgQAACdUYWJsZS5DdXN0UGFja2luZ1NsaXBUcmFucy5EZWxpdmVyeURhdGUJOAIAAAeq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/Pv//zv8//8GBQQAACdUYWJsZS5DdXN0UGFja2luZ1NsaXBUcmFucy5EZWxpdmVyeURhdGUJxwMAAAGsAwAAXAMAAAXHAw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rgIAAAn5AAAACSkAAAAGCgQAABgwMS8wMS8yMDIxIC4uIDAzLzMxLzIwMjH/////Ca4CAAAKCfkAAAAKCgoJKQAAAAkOBAAACSkAAAAB3wMAAMcDAAAJrgIAAAYRBAAACkRhdGFBcmVhSWQJKQAAAAkpAAAA/////wmuAgAACgkRBAAACgoKCSkAAAAJFgQAAAkpAAAAAeIDAADHAwAACa4CAAAGGQQAAAZJdGVtSWQJKQAAAAkpAAAA/////wmuAgAACgkZBAAACgoKCSkAAAAJHgQAAAkpAAAAAeUDAADHAwAACa4CAAAGIQQAAA1QYWNraW5nU2xpcElkCSkAAAAJKQAAAP////8JrgIAAAoJIQQAAAoKCgkpAAAACSYEAAAJKQAAAAHoAwAAxwMAAAmuAgAACfkAAAAJKQAAAAkpAAAA/////wmuAgAACgn5AAAACgoKCSkAAAAJLgQAAAkpAAAAAf0DAAD+AAAAAdD7///V/////////wAGMQQAAAZTdHJpbmcGMgQAAAtTYWxlcyBncm91cAkBAwAAAcz7///T////AgAAAAHL+///cf3//wEAAAAAAAkEAwAABjcEAAAKU2FsZXNHcm91cAkpAAAACv////8JBAMAAAoJNwQAAAoKCgkpAAAACTwEAAAJKQAAAAEABAAA/gAAAAHC+///1f////////8ABj8EAAAIRGF0ZVRpbWUGQAQAAAxDcmVhdGVkIGRhdGUJAQMAAAG++///0////wIAAAABvfv//3H9//8BAAAAAAAJBAMAAAZFBAAAD0NyZWF0ZWREYXRlVGltZQkpAAAACv////8JBAMAAAoJRQQAAAoKCgkpAAAACUoEAAAJKQAAAAEOBAAAJQAAADMAAAAJwgAAAAMAAAAJTQQAAAQW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CAAAAAAAAAAQe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CAAAAAAAAAAQm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CAAAAAAAAAAQu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nCAAAAAAAAAAE8BAAAJQAAAAYAAAAJwgAAAAMAAAAJTwQAAAFKBAAAJQAAABIAAAAJwgAAAAMAAAAJUQQAAAdN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77///y/v//CWEDAAAGVAQAAAREYXRlAav7///y/v//CV4DAAAGVwQAAAlTaGlwIGRhdGUBqPv///L+//8GWQQAAAhSZWZlcnNUbwZaBAAACz1EYXRlUGVyaW9kB08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v///L+//8JXgMAAAkyBAAAAaL7///y/v//CWEDAAAJMQQAAAdR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/7///y/v//CV4DAAAJQAQAAAGc+///8v7//wlhAwAACT8EAAAL</Report>
</Atlas>
</file>

<file path=customXml/item2.xml><?xml version="1.0" encoding="utf-8"?>
<Atlas>
  <Query type="ReportList" id="5571f603-e2ba-46f4-b040-a866737395d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JAAAAC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Q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E0N1c3RQYWNraW5nU2xpcEpvdXIGHgAAABZDdXN0b21lciBwYWNraW5nIHNsaXBzCQgAAAAJCAAAAAkIAAAABeD///8wR2xvYmVTb2Z0d2FyZS5BdGxhczQwLkF0bGFzQ29tbW9uLkRhdGFTb3VyY2VUeXBlAQAAAAd2YWx1ZV9fAAgCAAAAAAAAAAkhAAAACSIAAAAE3f///wtTeXN0ZW0uR3VpZAsAAAACX2ECX2ICX2MCX2QCX2UCX2YCX2cCX2gCX2kCX2oCX2sAAAAAAAAAAAAAAAgHBwICAgICAgICB5K3/Rk4j0C89M1R8IFmkwkIAAAACQgAAAAJJQAAAAYmAAAAGVRhYmxlLkN1c3RQYWNraW5nU2xpcEpvdXI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lRhYmxlLkN1c3RQYWNraW5nU2xpcEpvdXIuU2FsZXNJZH5UYWJsZS5TYWxlc1RhYmxlCTEAAAAHFAAAAAABAAAAEAAAAAQtR2xvYmVTb2Z0d2FyZS5BdGxhczQwLkF0bGFzQ29tbW9uLlR5cGUuQ29sdW1uAgAAAAkyAAAACTMAAAAJNAAAAAk1AAAACTYAAAAJNwAAAAk4AAAACTkAAAAJOgAAAA0HERUAAAAEAAAABjsAAAANQXRsYXNSZXBvcnRfMg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xP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v///8T///8GPwAAABBUYWJsZS5TYWxlc1RhYm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/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v///z5HbG9iZVNvZnR3YXJlLkF0bGFzNDAuQXRsYXNDb21tb24uVHlwZS5BdGxhc1F1ZXJ5QXR0cmlidXRlTmFtZQEAAAAHdmFsdWVfXwAIAgAAAAIAAAAGQwAAACQ1NTcxZjYwMy1lMmJhLTQ2ZjQtYjA0MC1hODY2NzM3Mzk1ZDcBvP///7////8Bu////77///8AAAAABkYAAAAEdHJ1ZQG5////v////wG4////vv///wsAAAAGSQAAABZDdXN0b21lciBwYWNraW5nIHNsaXBzAbb///+/////AbX///++////GwAAAAZMAAAABFRydWUBs////7////8Bsv///77///8GAAAABk8AAAAFRmFsc2UBsP///7////8Br////77///8cAAAACUwAAAABrf///7////8BrP///77///8dAAAACU8AAAABqv///7////8Bqf///77///8qAAAACUwAAAABp////7////8Bpv///77///8BAAAABlsAAAADMzcyAaT///+/////AaP///++////JwAAAAZeAAAACz1EYXRhQXJlYUlkAaH///+/////AaD///++////GQAAAAZhAAAAD0NlbGxzVmVydGljYWxseQGe////v////wGd////vv///wkAAAAKAZz///+/////AZv///++////KAAAAAZmAAAAATkBmf///7////8BmP///77///8rAAAABmk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b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awAAABNDdXN0UGFja2luZ1NsaXBKb3VyAQAAAAGU////lv///wZtAAAAClNhbGVz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FAAAACW4AAAAHAAAACW8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lxAAAAASUAAAAEAAAAAQAAAAluAAAAAwAAAAlz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QAAAAAAAAAByoAAAAAAQAAAAAAAAAELUdsb2JlU29mdHdhcmUuQXRsYXM0MC5BdGxhc0NvbW1vbi5UeXBlLkNvbHVtbgIAAAABMQAAAA4AAAD/////BnUAAAAKU2FsZXNUYWJsZQZ2AAAADFNhbGVzIG9yZGVycwkIAAAACQgAAAAJCAAAAAGI////4P///wAAAAAJeQAAAAl6AAAAAYX////d////xQ6bGn+0MkqDO44f1hBuGAkIAAAACQgAAAAJfQAAAAkwAAAABn8AAAATQ3VzdFBhY2tpbmdTbGlwSm91cgaAAAAAGVRhYmxlLkN1c3RQYWNraW5nU2xpcEpvdXIGgQAAACFUYWJsZS5DdXN0UGFja2luZ1NsaXBKb3VyLlNhbGVzSWQGggAAAAdTYWxlc0lkBoMAAAAHU2FsZXNJZAEAAAABfP///9n///8AAAAAAXv////Y////AAAAAAAJhg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HAAAACYgAAAAJiQAAAAaKAAAAB1NhbGVzSWQGiwAAAAtTYWxlcyBvcmRlcgaMAAAABlN0cmluZwkIAAAABo4AAAAkZDFlMTdhZWUtNzVhYi00MzRmLTk3ODYtZTA3ODg4ZTdmODM0BXH///8tR2xvYmVTb2Z0d2FyZS5BdGxhczQwLkF0bGFzQ29tbW9uLkFnZ3JlZ2F0aW9uAQAAAAd2YWx1ZV9fAAgCAAAA/////wAAAAAFcP///yxHbG9iZVNvZnR3YXJlLkF0bGFzNDAuQXRsYXNDb21tb24uQ29sdW1uVHlwZQEAAAAHdmFsdWVfXwAIAgAAAAAAAAAFb////ytHbG9iZVNvZnR3YXJlLkF0bGFzNDAuQXRsYXNDb21tb24uU29ydE9yZGVyAQAAAAd2YWx1ZV9fAAgCAAAAAgAAAAAAAAAABW7///9AR2xvYmVTb2Z0d2FyZS5BdGxhczQwLkF0bGFzQ29tbW9uLlR5cGUuQ29sdW1uK0Nyb3NzVGFiQ29sdW1uVHlwZQEAAAAHdmFsdWVfXwAIAgAAAAAAAAAKAQAAAAAAAAAAAAAAAAAGkwAAACRmZTI5YzllYS1iMmU3LTQ0Y2UtYWI3NC1jODQ1NjM4MTViMjIGlAAAACFUYWJsZS5DdXN0UGFja2luZ1NsaXBKb3VyLlNhbGVzSWQKCgoKATMAAAAyAAAACZUAAAAJlgAAAAmXAAAABpgAAAAJQ3VzdEdyb3VwBpkAAAAOQ3VzdG9tZXIgZ3JvdXAGmgAAAAZTdHJpbmcJCAAAAAacAAAAJDNmMWM0NmM3LWJkYTctNGFhNy1iMmM2LWVlZjdiZjkwNzMyNwFj////cf////////8BAAAAAWL///9w////AAAAAAFh////b////wIAAAAAAAAAAAFg////bv///wAAAAAKAQAAAAAAAAAAAQAAAAAGoQAAACQzNmE2NWMyNS02YTYzLTQ0NjgtOWY2NS1hNzk0ZTk3ODAwZDcGogAAADxUYWJsZS5DdXN0UGFja2luZ1NsaXBKb3VyLlNhbGVzSWR+VGFibGUuU2FsZXNUYWJsZS5DdXN0R3JvdXAKCgoKATQAAAAyAAAACaMAAAAJpAAAAAmlAAAABqYAAAAPQ3JlYXRlZERhdGVUaW1lBqcAAAAMQ3JlYXRlZCBkYXRlBqgAAAAIRGF0ZVRpbWUJCAAAAAaqAAAAJDcyMGYzNjhkLTljMTYtNDdiMS04M2ZlLWIwMGE2ZjA3ODEzYgFV////cf////////8CAAAAAVT///9w////AAAAAAFT////b////wIAAAAAAAAAAAFS////bv///wAAAAAKAQAAAAAAAAAAAgAAAAAGrwAAACQ5YzZkNWY4OC0wMThkLTRmY2UtODg2OS03ZDc0ZDQ4NTI3M2UGsAAAAEJUYWJsZS5DdXN0UGFja2luZ1NsaXBKb3VyLlNhbGVzSWR+VGFibGUuU2FsZXNUYWJsZS5DcmVhdGVkRGF0ZVRpbWUKCgoKATUAAAAyAAAACbEAAAAJsgAAAAmzAAAABrQAAAAMRGVsaXZlcnlEYXRlBrUAAAAJU2hpcCBkYXRlBrYAAAAERGF0ZQkIAAAABrgAAAAkYmM5MWQ0M2QtY2MzNS00MmMxLThmYjAtNTM2YWYxYzkzOTk2AUf///9x/////////wMAAAABRv///3D///8AAAAAAUX///9v////AgAAAAAAAAAAAUT///9u////AAAAAAoBAAAAAAAAAAADAAAAAAa9AAAAJDUxMWZlNmM4LTkyZjYtNDM0YS04MGFmLTFlMzAzMjcwNDY5Yga+AAAAJlRhYmxlLkN1c3RQYWNraW5nU2xpcEpvdXIuRGVsaXZlcnlEYXRlCgoKCgE2AAAAMgAAAAm/AAAACcAAAAAJwQAAAAbCAAAAN0F0bGFzTWFuYWdlZENvbHVtbl8yNjkwNGFhMi01Mjk5LTQ3ZTctYmNhNi00MzBmMmMyNWZmMDYGwwAAAAxQZXJpb2RPZlRpbWUJCAAAAAkIAAAABsUAAAAkYzI2OGNiNGUtMzExNy00NmU2LTlmMDgtOTExZmE5ODg4NzAzATr///9x/////////wQAAAABOf///3D///8CAAAAATj///9v////AgAAAAAAAAAAATf///9u////AAAAAAoBAAAAAAAAAAAEAAAAAAbKAAAAJDEyNDA5ODYzLWMyN2ItNGFiZC05YTgzLTkzMTJlZDNhMWQxOAkIAAAACgoKCgE3AAAAMgAAAAnMAAAACc0AAAAJzgAAAAbPAAAAB0RsdlRlcm0G0AAAAAVUZXJtcwbRAAAABlN0cmluZwkIAAAABtMAAAAkNTYzODQ0MGEtYjcxNy00Y2ZkLTg4NWUtMzNmYTk0NDQwMjUzASz///9x/////////wUAAAABK////3D///8AAAAAASr///9v////AgAAAAAAAAAAASn///9u////AAAAAAoBAAAAAAAAAAAFAAAAAAbYAAAAJDVjMzVmNWFhLTU0MDUtNDcwNi1iODk0LThiYTllMmQyMGQ0ZAbZAAAAIVRhYmxlLkN1c3RQYWNraW5nU2xpcEpvdXIuRGx2VGVybQoKCgoBOAAAADIAAAAJ2gAAAAnbAAAACdwAAAAG3QAAAAdEbHZNb2RlBt4AAAAQTW9kZSBvZiBkZWxpdmVyeQbfAAAABlN0cmluZwkIAAAABuEAAAAkOWQzZTc3OWQtZjczZC00NmVmLTkxMzEtMmYxYzk4OTljN2JmAR7///9x/////////wYAAAABHf///3D///8AAAAAARz///9v////AgAAAAAAAAAAARv///9u////AAAAAAoBAAAAAAAAAAAGAAAAAAbmAAAAJDM4MmJlMDM5LWFiYTktNDgzYi05ZmJjLWUxNDVhMjZjMWRjZAbnAAAAIVRhYmxlLkN1c3RQYWNraW5nU2xpcEpvdXIuRGx2TW9kZQoKCgoBOQAAADIAAAAJ6AAAAAnpAAAACeoAAAAG6wAAAANRdHkG7AAAAA5TYWxlcyBxdWFudGl0eQbtAAAABFJlYWwJCAAAAAbvAAAAJGNjOTViYTIwLTRjMDMtNDllYy1hZGM5LTQ2ZjM1Mzk5OWUyNgEQ////cf///wEAAAAHAAAAAQ////9w////AAAAAAEO////b////wIAAAAAAAAAAAEN////bv///wAAAAAKAQAAAAAAAAAABwAAAAAG9AAAACRmMzkzZTk1ZS1iMWU5LTQyMjQtYTY5NS02Y2Q0MzIyMjBjYWYG9QAAAB1UYWJsZS5DdXN0UGFja2luZ1NsaXBKb3VyLlF0eQoKCgoBOgAAADIAAAAJ9gAAAAn3AAAACfgAAAAG+QAAADdBdGxhc01hbmFnZWRDb2x1bW5fNmUxMTk3NGItMTQwYi00M2I2LTk5NDMtYWZjZWNmNTc5YTI0BvoAAAAJU2hpcE1vbnRoCQgAAAAJCAAAAAb8AAAAJDZkMDRmOGM5LTI0YTUtNDM0OC1iNmZiLWIwOTZhYWJmNTU4NQED////cf////////8IAAAAAQL///9w////AgAAAAEB////b////wIAAAAAAAAAAAEA////bv///wAAAAAKAQAAAAAAAAAACAAAAAAGAQEAACRiODc4MmM1MS05Njk5LTQ0YTgtYWUwZi01ZGU1Mjc4ZTIwYTkJCAAAAAoKCgoBbgAAABIAAAAHbwA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/f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BAEAACFUYWJsZS5DdXN0UGFja2luZ1NsaXBKb3VyLlNhbGVzSWQJBQEAAAH6/v///f7//wYHAQAAJlRhYmxlLkN1c3RQYWNraW5nU2xpcEpvdXIuRGVsaXZlcnlEYXRlCQgBAAAB9/7///3+//8GCgEAACFUYWJsZS5DdXN0UGFja2luZ1NsaXBKb3VyLkRsdlRlcm0JCwEAAAH0/v///f7//wYNAQAAIVRhYmxlLkN1c3RQYWNraW5nU2xpcEpvdXIuRGx2TW9kZQkOAQAAAfH+///9/v//BhABAAAdVGFibGUuQ3VzdFBhY2tpbmdTbGlwSm91ci5RdHkJEQEAAAdx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7v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YTAQAAJlRhYmxlLkN1c3RQYWNraW5nU2xpcEpvdXIuRGVsaXZlcnlEYXRlCRQBAAAB6/7//+7+//8GFgEAAB1UYWJsZS5DdXN0UGFja2luZ1NsaXBKb3VyLlF0eQkXAQAAB3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ej+///U////CTAAAAAJMQAAAAR0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eQAAACEAAAACAAAACRsBAAADAAAACRwBAAAEe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R9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GwEAAAAAAAABhgAAACkAAAAAAAAACR8BAAAAAAAABIc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SABAAABAAAAAQAAAASI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TwAAAAJIQEAAAcAAAAJIgE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IwEAAAcAAAAJJAEAAAGVAAAAhwAAAAklAQAAAQAAAAEAAAABlgAAAIgAAAAmAAAACSYBAAAHAAAACScBAAAEl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RsBAAAHAAAACSkBAAABowAAAIcAAAAJKgEAAAEAAAABAAAAAaQAAACIAAAAJgAAAAkmAQAABwAAAAksAQAABK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bAQAABwAAAAkuAQAAAbEAAACHAAAACS8BAAABAAAAAQAAAAGyAAAAiAAAADwAAAAJIQEAAAcAAAAJMQEAAASz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IwEAAAcAAAAJMwEAAAG/AAAAhwAAAAk0AQAAAAAAAAAAAAABwAAAAIgAAAAjAAAACTUBAAAHAAAACTYBAAAEw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cBAAAHAAAACTgBAAABzAAAAIcAAAAJOQEAAAEAAAABAAAAAc0AAACIAAAAPAAAAAkhAQAABwAAAAk7AQAABM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kjAQAABwAAAAk9AQAAAdoAAACHAAAACT4BAAABAAAAAQAAAAHbAAAAiAAAADwAAAAJIQEAAAcAAAAJQAEAAATc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IwEAAAcAAAAJQgEAAAHoAAAAhwAAAAlDAQAAAQAAAAEAAAAB6QAAAIgAAAA8AAAACSEBAAAHAAAACUUBAAAE6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SMBAAAHAAAACUcBAAAB9gAAAIcAAAAJNAEAAAAAAAAAAAAAAfcAAACIAAAAIwAAAAk1AQAABwAAAAlKAQAABP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3AQAABwAAAAlMAQAABQU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P+//9x/////////wAGTgEAAAZTdHJpbmcGTwEAAAtTYWxlcyBvcmRlcglQAQAAAa/+//9v////AgAAAAWu/v//OUdsb2JlU29mdHdhcmUuQXRsYXM0MC5BdGxhc0NvbW1vbi5OdW1iZXJTZXF1ZW5jZUNvbmRpdGlvbgEAAAAHdmFsdWVfXwAIAgAAAAEAAAAAAAZTAQAAGVRhYmxlLkN1c3RQYWNraW5nU2xpcEpvdXIJigAAAAkIAAAACv////8JUwEAAAoJigAAAAoKCgkIAAAACVkBAAAJCAAAAAEIAQAABQEAAAGl/v//cf////////8ABlwBAAAERGF0ZQZdAQAACVNoaXAgZGF0ZQlQAQAAAaH+//9v////AgAAAAGg/v//rv7//wEAAAAAAAlTAQAACbQAAAAJCAAAAAr/////CVMBAAAKCbQAAAAKCgoJCAAAAAlnAQAACQgAAAABCwEAAAUBAAABl/7//3H/////////AAZqAQAABlN0cmluZwZrAQAABVRlcm1zCVABAAABk/7//2////8CAAAAAZL+//+u/v//AQAAAAAACVMBAAAJzwAAAAkIAAAACv////8JUwEAAAoJzwAAAAoKCgkIAAAACXUBAAAJCAAAAAEOAQAABQEAAAGJ/v//cf////////8ABngBAAAGU3RyaW5nBnkBAAAQTW9kZSBvZiBkZWxpdmVyeQlQAQAAAYX+//9v////AgAAAAGE/v//rv7//wEAAAAAAAlTAQAACd0AAAAJCAAAAAr/////CVMBAAAKCd0AAAAKCgoJCAAAAAmDAQAACQgAAAABEQEAAAUBAAABe/7//3H/////////AAaGAQAABFJlYWwGhwEAAA5TYWxlcyBxdWFudGl0eQlQAQAAAXf+//9v////AgAAAAF2/v//rv7//wEAAAAAAAlTAQAACesAAAAJCAAAAAr/////CVMBAAAKCesAAAAKCgoJCAAAAAmRAQAACQgAAAAFFA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pMBAAAZVGFibGUuQ3VzdFBhY2tpbmdTbGlwSm91cgaUAQAADERlbGl2ZXJ5RGF0ZQkIAAAABpYBAAAYMDEvMDEvMjAyMSAuLiAwNi8zMC8yMDIx/////wmTAQAACgmUAQAACgoKCQgAAAAJmgEAAAkIAAAAARcBAAAUAQAACZMBAAAGnQEAAANRdHkJCAAAAAafAQAAAj4w/////wmTAQAACgmdAQAACgoKCQgAAAAJowEAAAkIAAAAARsBAAASAAAABxw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v+///9/v//BqYBAAA8VGFibGUuQ3VzdFBhY2tpbmdTbGlwSm91ci5TYWxlc0lkflRhYmxlLlNhbGVzVGFibGUuQ3VzdEdyb3VwCacBAAABWP7///3+//8GqQEAAEJUYWJsZS5DdXN0UGFja2luZ1NsaXBKb3VyLlNhbGVzSWR+VGFibGUuU2FsZXNUYWJsZS5DcmVhdGVkRGF0ZVRpbWUJqgEAAAEfAQAAdAAAAAcgAQAAAAEAAAAEAAAABDdHbG9iZVNvZnR3YXJlLkF0bGFzNDAuQXRsYXNDb21tb24uVHlwZS5GaWVsZE91dHB1dEZpZWxkAgAAAAkFAQAADQMEI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I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FT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U/7//zJHbG9iZVNvZnR3YXJlLkF0bGFzNDAuQXRsYXNDb21tb24uQ29sdW1uQXR0cmlidXRlcwEAAAAHdmFsdWVfXwAIAgAAABAAAAAGrgEAAAROb25lAVH+//9U/v//AVD+//9T/v//CQAAAAkIAAAAAU7+//9U/v//AU3+//9T/v//CwAAAAa0AQAAATABS/7//1T+//8BSv7//1P+//8EAAAABrcBAAAHR2VuZXJhbAFI/v//VP7//wFH/v//U/7//wIAAAAGugEAAAExAUX+//9U/v//AUT+//9T/v//AAAAAAa9AQAABTE3LjE0ASMBAAASAAAABy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/AQAACEZvbnRCb2xkBsABAAAFRmFsc2UBP/7//0L+//8GwgEAAApGb250SXRhbGljCcABAAABPP7//0L+//8GxQEAAA1Gb250VW5kZXJsaW5lBsYBAAAFLTQxNDIBOf7//0L+//8GyAEAAAhGb250TmFtZQbJAQAAB0NhbGlicmkBNv7//0L+//8GywEAAAlGb250Q29sb3IGzAEAAAEwATP+//9C/v//Bs4BAAAIRm9udFNpemUGzwEAAAIxMQEw/v//Qv7//wbRAQAACUZvbnRTdHlsZQbSAQAAB1JlZ3VsYXIHJQEAAAABAAAABAAAAAQ3R2xvYmVTb2Z0d2FyZS5BdGxhczQwLkF0bGFzQ29tbW9uLlR5cGUuRmllbGRPdXRwdXRGaWVsZAIAAAAJpwEAAA0DASYBAAAhAQAABy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s/v//VP7//wEr/v//U/7//wkAAAAJCAAAAAEp/v//VP7//wEo/v//U/7//wsAAAAG2QEAAAExASb+//9U/v//ASX+//9T/v//BAAAAAbcAQAAB0dlbmVyYWwBI/7//1T+//8BIv7//1P+//8CAAAABt8BAAABMQEg/v//VP7//wEf/v//U/7//wAAAAAG4gEAAAUxNi44Ngcp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3+//9C/v//BuQBAAAIRm9udEJvbGQJwAEAAAEa/v//Qv7//wbnAQAACkZvbnRJdGFsaWMJwAEAAAEX/v//Qv7//wbqAQAADUZvbnRVbmRlcmxpbmUG6wEAAAUtNDE0MgEU/v//Qv7//wbtAQAACEZvbnROYW1lBu4BAAAHQ2FsaWJyaQER/v//Qv7//wbwAQAACUZvbnRDb2xvcgbxAQAAATABDv7//0L+//8G8wEAAAhGb250U2l6ZQb0AQAAAjExAQv+//9C/v//BvYBAAAJRm9udFN0eWxlBvcBAAAHUmVndWxhcgcqAQAAAAEAAAAEAAAABDdHbG9iZVNvZnR3YXJlLkF0bGFzNDAuQXRsYXNDb21tb24uVHlwZS5GaWVsZE91dHB1dEZpZWxkAgAAAAmqAQAADQMHL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+//9U/v//AQb+//9T/v//CQAAAAkIAAAAAQT+//9U/v//AQP+//9T/v//CwAAAAb+AQAAATIBAf7//1T+//8BAP7//1P+//8EAAAABgECAAANbS9kL3l5eXkgaDptbQH+/f//VP7//wH9/f//U/7//wIAAAAGBAIAAAExAfv9//9U/v//Afr9//9T/v//AAAAAAYHAgAABTE3LjcxBy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P3//0L+//8J5AEAAAnAAQAAAfX9//9C/v//CecBAAAJwAEAAAHy/f//Qv7//wnqAQAABhACAAAFLTQxNDIB7/3//0L+//8J7QEAAAYTAgAAB0NhbGlicmkB7P3//0L+//8J8AEAAAYWAgAAATAB6f3//0L+//8J8wEAAAYZAgAAAjExAeb9//9C/v//CfYBAAAGHAIAAAdSZWd1bGFyBy8BAAAAAQAAAAQAAAAEN0dsb2JlU29mdHdhcmUuQXRsYXM0MC5BdGxhc0NvbW1vbi5UeXBlLkZpZWxkT3V0cHV0RmllbGQCAAAACQgBAAANAwcx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4v3//1T+//8B4f3//1P+//8QAAAACa4BAAAB3/3//1T+//8B3v3//1P+//8JAAAACQgAAAAB3P3//1T+//8B2/3//1P+//8LAAAABiYCAAABMwHZ/f//VP7//wHY/f//U/7//wQAAAAGKQIAAAhtL2QveXl5eQHW/f//VP7//wHV/f//U/7//wIAAAAGLAIAAAExAdP9//9U/v//AdL9//9T/v//AAAAAAYvAgAABTEwLjg2Bz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P3//0L+//8JvwEAAAnAAQAAAc39//9C/v//CcIBAAAJwAEAAAHK/f//Qv7//wnFAQAABjgCAAAFLTQxNDIBx/3//0L+//8JyAEAAAY7AgAAB0NhbGlicmkBxP3//0L+//8JywEAAAY+AgAAATABwf3//0L+//8JzgEAAAZBAgAAAjExAb79//9C/v//CdEBAAAGRAIAAAdSZWd1bGFyBzQBAAAAAQAAAAAAAAAEN0dsb2JlU29mdHdhcmUuQXRsYXM0MC5BdGxhc0NvbW1vbi5UeXBlLkZpZWxkT3V0cHV0RmllbGQCAAAAATUBAAAhAQAABz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7/f//VP7//wG6/f//U/7//yQAAAAJwwAAAAG4/f//VP7//wG3/f//U/7//wsAAAAGSgIAAAE0AbX9//9U/v//AbT9//9T/v//BAAAAAZNAgAAB0dlbmVyYWwBsv3//1T+//8Bsf3//1P+//8CAAAABlACAAABMQGv/f//VP7//wGu/f//U/7//wAAAAAGUwIAAAUxNy44NgGs/f//VP7//wGr/f//U/7//wMAAAAGVgIAADs9TkVUV09SS0RBWVMoW0BbQ3JlYXRlZCBkYXRlXV0sW0BbU2hpcCBkYXRlXV0sSG9saWRheXMhQTpBKQE3AQAAEgAAAAc4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n9//9C/v//BlgCAAAIRm9udEJvbGQJwAEAAAGm/f//Qv7//wZbAgAACkZvbnRJdGFsaWMJwAEAAAGj/f//Qv7//wZeAgAADUZvbnRVbmRlcmxpbmUGXwIAAAUtNDE0MgGg/f//Qv7//wZhAgAACEZvbnROYW1lBmICAAAHQ2FsaWJyaQGd/f//Qv7//wZkAgAACUZvbnRDb2xvcgZlAgAAATABmv3//0L+//8GZwIAAAhGb250U2l6ZQZoAgAAAjExAZf9//9C/v//BmoCAAAJRm9udFN0eWxlBmsCAAAHUmVndWxhcgc5AQAAAAEAAAAEAAAABDdHbG9iZVNvZnR3YXJlLkF0bGFzNDAuQXRsYXNDb21tb24uVHlwZS5GaWVsZE91dHB1dEZpZWxkAgAAAAkLAQAADQMHO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P9//9U/v//AZL9//9T/v//EAAAAAmuAQAAAZD9//9U/v//AY/9//9T/v//CQAAAAkIAAAAAY39//9U/v//AYz9//9T/v//CwAAAAZ1AgAAATUBiv3//1T+//8Bif3//1P+//8EAAAABngCAAAHR2VuZXJhbAGH/f//VP7//wGG/f//U/7//wIAAAAGewIAAAExAYT9//9U/v//AYP9//9T/v//AAAAAAZ+AgAAATgHP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/f//Qv7//wm/AQAACcABAAABfv3//0L+//8JwgEAAAnAAQAAAXv9//9C/v//CcUBAAAGhwIAAAUtNDE0MgF4/f//Qv7//wnIAQAABooCAAAHQ2FsaWJyaQF1/f//Qv7//wnLAQAABo0CAAABMAFy/f//Qv7//wnOAQAABpACAAACMTEBb/3//0L+//8J0QEAAAaTAgAAB1JlZ3VsYXIHPgEAAAABAAAABAAAAAQ3R2xvYmVTb2Z0d2FyZS5BdGxhczQwLkF0bGFzQ29tbW9uLlR5cGUuRmllbGRPdXRwdXRGaWVsZAIAAAAJDgEAAA0DB0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r/f//VP7//wFq/f//U/7//xAAAAAJrgEAAAFo/f//VP7//wFn/f//U/7//wkAAAAJCAAAAAFl/f//VP7//wFk/f//U/7//wsAAAAGnQIAAAE2AWL9//9U/v//AWH9//9T/v//BAAAAAagAgAAB0dlbmVyYWwBX/3//1T+//8BXv3//1P+//8CAAAABqMCAAABMQFc/f//VP7//wFb/f//U/7//wAAAAAGpgIAAAIxOAd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n9//9C/v//Cb8BAAAJwAEAAAFW/f//Qv7//wnCAQAACcABAAABU/3//0L+//8JxQEAAAavAgAABS00MTQyAVD9//9C/v//CcgBAAAGsgIAAAdDYWxpYnJpAU39//9C/v//CcsBAAAGtQIAAAEwAUr9//9C/v//Cc4BAAAGuAIAAAIxMQFH/f//Qv7//wnRAQAABrsCAAAHUmVndWxhcgdDAQAAAAEAAAAEAAAABDdHbG9iZVNvZnR3YXJlLkF0bGFzNDAuQXRsYXNDb21tb24uVHlwZS5GaWVsZE91dHB1dEZpZWxkAgAAAAkRAQAADQMHR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P9//9U/v//AUL9//9T/v//EAAAAAmuAQAAAUD9//9U/v//AT/9//9T/v//CQAAAAkIAAAAAT39//9U/v//ATz9//9T/v//CwAAAAbFAgAAATcBOv3//1T+//8BOf3//1P+//8EAAAABsgCAAAHR2VuZXJhbAE3/f//VP7//wE2/f//U/7//wIAAAAGywIAAAExATT9//9U/v//ATP9//9T/v//AAAAAAbOAgAABTE1LjE0B0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3//0L+//8JvwEAAAnAAQAAAS79//9C/v//CcIBAAAJwAEAAAEr/f//Qv7//wnFAQAABtcCAAAFLTQxNDIBKP3//0L+//8JyAEAAAbaAgAAB0NhbGlicmkBJf3//0L+//8JywEAAAbdAgAAATABIv3//0L+//8JzgEAAAbgAgAAAjExAR/9//9C/v//CdEBAAAG4wIAAAdSZWd1bGFyB0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c/f//VP7//wEb/f//U/7//yQAAAAJ+gAAAAEZ/f//VP7//wEY/f//U/7//wsAAAAG6QIAAAE4ARb9//9U/v//ARX9//9T/v//BAAAAAbsAgAAB0dlbmVyYWwBE/3//1T+//8BEv3//1P+//8CAAAABu8CAAABMQEQ/f//VP7//wEP/f//U/7//wAAAAAG8gIAAAIxOQEN/f//VP7//wEM/f//U/7//wMAAAAG9QIAAB89VEVYVChbQFtTaGlwIGRhdGVdXSwiWVlZWU1NTSIpB0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3//0L+//8JWAIAAAnAAQAAAQf9//9C/v//CVsCAAAJwAEAAAEE/f//Qv7//wleAgAABv4CAAAFLTQxNDIBAf3//0L+//8JYQIAAAYBAwAAB0NhbGlicmkB/vz//0L+//8JZAIAAAYEAwAAATAB+/z//0L+//8JZwIAAAYHAwAAAjExAfj8//9C/v//CWoCAAAGCgMAAAdSZWd1bGFyAVABAAAOAAAARwAAAAYLAwAAE0N1c3RQYWNraW5nU2xpcEpvdXIGDAMAABZDdXN0b21lciBwYWNraW5nIHNsaXBzCQgAAAAJCAAAAAkIAAAAAfL8///g////AAAAAAkPAwAACRADAAAB7/z//93///+VrYo3sduLQYzu5TOwZpxJCQgAAAAJCAAAAAkTAwAACVMBAAAKCgoKCgEAAAAB6/z//9n///8AAAAAAer8///Y////AAAAAAAJFwMAAARZ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0AAAAJIwEAAAMAAAAJGQMAAARn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0AAAAJIwEAAAMAAAAJGwMAAAR1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0AAAAJIwEAAAMAAAAJHQMAAAS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0AAAAJIwEAAAMAAAAJHwMAAAS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0AAAAJIwEAAAMAAAAJIQMAAASa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UAAAAJIgMAAAMAAAAJIwMAAAS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AAAAAJIgMAAAMAAAAJJQMAAAGnAQAABQEAAAHa/P//cf////////8ABicDAAAGU3RyaW5nBigDAAAOQ3VzdG9tZXIgZ3JvdXAJMQAAAAHW/P//b////wIAAAAB1fz//67+//8BAAAAAAAJMAAAAAmYAAAACQgAAAAK/////wkwAAAACgmYAAAABjEDAAAHU2FsZXNJZAYyAwAAE0N1c3RQYWNraW5nU2xpcEpvdXIKCQgAAAAJNAMAAAkIAAAAAaoBAAAFAQAAAcr8//9x/////////wAGNwMAAAhEYXRlVGltZQY4AwAADENyZWF0ZWQgZGF0ZQkxAAAAAcb8//9v////AgAAAAHF/P//rv7//wEAAAAAAAkwAAAACaYAAAAJCAAAAAr/////CTAAAAAKCaYAAAAGQQMAAAdTYWxlc0lkBkIDAAATQ3VzdFBhY2tpbmdTbGlwSm91cgoJCAAAAAlEAwAACQgAAAABDwMAACEAAAAJAAAACUYDAAARAAAACUcDAAABEAMAACIAAAAJAAAACUYDAAARAAAACUkDAAAEE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YDAAAAAAAAARcDAAApAAAAAAAAAAlLAwAAAAAAAAcZ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T8//9C/v//Bk0DAAAISGVscFRleHQGTgMAABxJZGVudGlmaWNhdGlvbiBvZiB0aGUgb3JkZXIuAbH8//9C/v//BlADAAAFTGFiZWwJTwEAAAGu/P//Qv7//wZTAwAABFR5cGUJTgEAAAcb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8//9C/v//CU0DAAAGVwMAADxDb25maXJtZWQgc2hpcCBkYXRlIGlmIGV4aXN0cywgb3RoZXJ3aXNlIHJlcXVlc3RlZCBzaGlwIGRhdGUBqPz//0L+//8JUAMAAAldAQAAAaX8//9C/v//CVMDAAAJXAEAAAcd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L8//9C/v//CU0DAAAGYAMAAC9TcGVjaWZ5IHRlcm1zIG9mIGRlbGl2ZXJ5IGZvciBjdXJyZW50IGRlbGl2ZXJ5LgGf/P//Qv7//wlQAwAACWsBAAABnPz//0L+//8JUwMAAAlqAQAABx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z//0L+//8JTQMAAAZpAwAAMlNwZWNpZnkgbW9kZSBvZiBkZWxpdmVyeSBmb3IgdGhlIGN1cnJlbnQgZGVsaXZlcnkuAZb8//9C/v//CVADAAAJeQEAAAGT/P//Qv7//wlTAwAACXgBAAAHI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P//Qv7//wlNAwAABnIDAAAjTnVtYmVyIG9mIHVuaXRzIG9uIHRoZSBwYWNraW5nIHNsaXABjfz//0L+//8JUAMAAAmHAQAAAYr8//9C/v//CVMDAAAJhgEAAAEiAwAAEgAAAAc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8//9C/v//BnoDAAAEVHlwZQlcAQAAAYT8//9C/v//Bn0DAAAFTGFiZWwJXQEAAAGB/P//Qv7//waAAwAACFJlZmVyc1RvBoEDAAALPURhdGVQZXJpb2QHJ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/P//Qv7//wl6AwAACYYBAAABe/z//0L+//8JfQMAAAmHAQAABDQ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AAAAAkbAQAAAwAAAAmJAwAABEQ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AAAAAkbAQAAAwAAAAmLAwAAAUYDAAASAAAAB0c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T8///9/v//Bo0DAAAmVGFibGUuQ3VzdFBhY2tpbmdTbGlwSm91ci5PcmRlckFjY291bnQJjgMAAAFx/P///f7//waQAwAAKFRhYmxlLkN1c3RQYWNraW5nU2xpcEpvdXIuSW52b2ljZUFjY291bnQJkQMAAAFu/P///f7//waTAwAAIVRhYmxlLkN1c3RQYWNraW5nU2xpcEpvdXIuU2FsZXNJZAkFAQAAAWv8///9/v//BpYDAAAmVGFibGUuQ3VzdFBhY2tpbmdTbGlwSm91ci5EZWxpdmVyeURhdGUJCAEAAAFo/P///f7//waZAwAAJ1RhYmxlLkN1c3RQYWNraW5nU2xpcEpvdXIuUGFja2luZ1NsaXBJZAmaAwAAAWX8///9/v//BpwDAAAnVGFibGUuQ3VzdFBhY2tpbmdTbGlwSm91ci5MZWRnZXJWb3VjaGVyCZ0DAAABYvz///3+//8GnwMAACFUYWJsZS5DdXN0UGFja2luZ1NsaXBKb3VyLkRsdlRlcm0JCwEAAAFf/P///f7//waiAwAAIVRhYmxlLkN1c3RQYWNraW5nU2xpcEpvdXIuRGx2TW9kZQkOAQAAAVz8///9/v//BqUDAAAdVGFibGUuQ3VzdFBhY2tpbmdTbGlwSm91ci5RdHkJEQEAAAdJAwAAAAEAAAAJ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Wfz//+7+//8GqAMAACRUYWJsZS5DdXN0UGFja2luZ1NsaXBKb3VyLkRhdGFBcmVhSWQJqQMAAAFW/P//7v7//warAwAAKFRhYmxlLkN1c3RQYWNraW5nU2xpcEpvdXIuSW52b2ljZUFjY291bnQJrAMAAAFT/P//7v7//wauAwAAIVRhYmxlLkN1c3RQYWNraW5nU2xpcEpvdXIuRGx2TW9kZQmvAwAAAVD8///u/v//BrEDAAAmVGFibGUuQ3VzdFBhY2tpbmdTbGlwSm91ci5PcmRlckFjY291bnQJsgMAAAFN/P//7v7//wa0AwAAJ1RhYmxlLkN1c3RQYWNraW5nU2xpcEpvdXIuUGFja2luZ1NsaXBJZAm1AwAAAUr8///u/v//BrcDAAAhVGFibGUuQ3VzdFBhY2tpbmdTbGlwSm91ci5TYWxlc0lkCbgDAAABR/z//+7+//8GugMAACZUYWJsZS5DdXN0UGFja2luZ1NsaXBKb3VyLkRlbGl2ZXJ5RGF0ZQm7AwAAAUT8///u/v//Br0DAAAhVGFibGUuQ3VzdFBhY2tpbmdTbGlwSm91ci5EbHZUZXJtCb4DAAABQfz//+7+//8GwAMAACdUYWJsZS5DdXN0UGFja2luZ1NsaXBKb3VyLkxlZGdlclZvdWNoZXIJwQMAAAFLAwAAdAAAAAeJ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78//9C/v//BsMDAAAFTGFiZWwJKAMAAAE7/P//Qv7//wbGAwAABFR5cGUJJwMAAAeL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j8//9C/v//CcMDAAAJOAMAAAE1/P//Qv7//wnGAwAACTcDAAABjgMAAAUBAAABMvz//3H/////////AAbPAwAABlN0cmluZwbQAwAADU9yZGVyIGFjY291bnQJUAEAAAEu/P//b////wIAAAABLfz//67+//8BAAAAAAAJUwEAAAbVAwAADE9yZGVyQWNjb3VudAkIAAAACv////8JUwEAAAoJ1QMAAAoKCgkIAAAACdoDAAAJCAAAAAGRAwAABQEAAAEk/P//cf////////8ABt0DAAAGU3RyaW5nBt4DAAAPSW52b2ljZSBhY2NvdW50CVABAAABIPz//2////8CAAAAAR/8//+u/v//AQAAAAAACVMBAAAG4wMAAA5JbnZvaWNlQWNjb3VudAkIAAAACv////8JUwEAAAoJ4wMAAAoKCgkIAAAACegDAAAJCAAAAAGaAwAABQEAAAEW/P//cf////////8ABusDAAAGU3RyaW5nBuwDAAAMUGFja2luZyBzbGlwCVABAAABEvz//2////8CAAAAARH8//+u/v//AQAAAAAACVMBAAAG8QMAAA1QYWNraW5nU2xpcElkCQgAAAAK/////wlTAQAACgnxAwAACgoKCQgAAAAJ9gMAAAkIAAAAAZ0DAAAFAQAAAQj8//9x/////////wAG+QMAAAZTdHJpbmcG+gMAAAdWb3VjaGVyCVABAAABBPz//2////8CAAAAAQP8//+u/v//AQAAAAAACVMBAAAG/wMAAA1MZWRnZXJWb3VjaGVyCQgAAAAK/////wlTAQAACgn/AwAACgoKCQgAAAAJBAQAAAkIAAAAAakDAAAUAQAACVMBAAAGBwQAAApEYXRhQXJlYUlkCQgAAAAJCAAAAP////8JUwEAAAoJBwQAAAoKCgkIAAAACQwEAAAJCAAAAAGsAwAAFAEAAAlTAQAABg8EAAAOSW52b2ljZUFjY291bnQJCAAAAAkIAAAA/////wlTAQAACgkPBAAACgoKCQgAAAAJFAQAAAkIAAAAAa8DAAAUAQAACVMBAAAGFwQAAAdEbHZNb2RlCQgAAAAJCAAAAP////8JUwEAAAoJFwQAAAoKCgkIAAAACRwEAAAJCAAAAAGyAwAAFAEAAAlTAQAABh8EAAAMT3JkZXJBY2NvdW50CQgAAAAJCAAAAP////8JUwEAAAoJHwQAAAoKCgkIAAAACSQEAAAJCAAAAAG1AwAAFAEAAAlTAQAABicEAAANUGFja2luZ1NsaXBJZAkIAAAACQgAAAD/////CVMBAAAKCScEAAAKCgoJCAAAAAksBAAACQgAAAABuAMAABQBAAAJUwEAAAYvBAAAB1NhbGVzSWQJCAAAAAkIAAAA/////wlTAQAACgkvBAAACgoKCQgAAAAJNAQAAAkIAAAAAbsDAAAUAQAACVMBAAAGNwQAAAxEZWxpdmVyeURhdGUJCAAAAAkIAAAA/////wlTAQAACgk3BAAACgoKCQgAAAAJPAQAAAkIAAAAAb4DAAAUAQAACVMBAAAGPwQAAAdEbHZUZXJtCQgAAAAJCAAAAP////8JUwEAAAoJPwQAAAoKCgkIAAAACUQEAAAJCAAAAAHBAwAAFAEAAAlTAQAABkcEAAANTGVkZ2VyVm91Y2hlcgkIAAAACQgAAAD/////CVMBAAAKCUcEAAAKCgoJCAAAAAlMBAAACQgAAAAE2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SMBAAADAAAACU8EAAAE6A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SMBAAADAAAACVEEAAAE9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SMBAAADAAAACVMEAAAEB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SMBAAADAAAACVUEAAABDAQAABAAAAAAAAAACSMBAAAAAAAAARQEAAAQAAAAAAAAAAkjAQAAAAAAAAEcBAAAEAAAAAAAAAAJIwEAAAAAAAABJAQAABAAAAAAAAAACSMBAAAAAAAAASwEAAAQAAAAAAAAAAkjAQAAAAAAAAE0BAAAEAAAAAAAAAAJIwEAAAAAAAABPAQAABAAAAAAAAAACSMBAAAAAAAAAUQEAAAQAAAAAAAAAAkjAQAAAAAAAAFMBAAAEAAAAAAAAAAJIwEAAAAAAAAHT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+///Qv7//wlNAwAABlkEAAAqQ3VzdG9tZXIgYWNjb3VudCB0aGF0IGdlbmVyYXRlZCB0aGUgb3JkZXIuAab7//9C/v//CVADAAAJ0AMAAAGj+///Qv7//wlTAwAACc8DAAAHU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+///Qv7//wlNAwAABmIEAAAvQ3VzdG9tZXIgYWNjb3VudCB0byBiZSBjaGFyZ2VkIGZvciB0aGUgZGVsaXZlcnkBnfv//0L+//8JUAMAAAneAwAAAZr7//9C/v//CVMDAAAJ3QMAAAdT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f7//9C/v//CU0DAAAGawQAABNQYWNraW5nIHNsaXAgbnVtYmVyAZT7//9C/v//CVADAAAJ7AMAAAGR+///Qv7//wlTAwAACesDAAAHV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+///Qv7//wlNAwAABnQEAAAyVm91Y2hlciBudW1iZXIgaW5jbC4gYXR0YWNoZWQgbGVkZ2VyIHRyYW5zYWN0aW9ucy4Bi/v//0L+//8JUAMAAAn6AwAAAYj7//9C/v//CVMDAAAJ+QMAAAs=
    <Output>
      <OutputObject name="AtlasReport_2"/>
    </Output>
  </Query>
</Atlas>
</file>

<file path=customXml/item3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JAAAAC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DQcMHQ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dAAAACAIAAAAGHgAAABVBdGxhc1JlcG9ydF8yX1RhYmxlXzEJHw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HQAAAAgICSAAAAADAAAAAw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hAAAACSIAAAAJIwAAAAYkAAAAB1NhbGVzSWQGJQAAAAtTYWxlcyBvcmRlcgYmAAAABlN0cmluZwYnAAAAAAYoAAAAJGQxZTE3YWVlLTc1YWItNDM0Zi05Nzg2LWUwNzg4OGU3ZjgzNAXX////LUdsb2JlU29mdHdhcmUuQXRsYXM0MC5BdGxhc0NvbW1vbi5BZ2dyZWdhdGlvbgEAAAAHdmFsdWVfXwAIDgAAAP////8AAAAABdb///8sR2xvYmVTb2Z0d2FyZS5BdGxhczQwLkF0bGFzQ29tbW9uLkNvbHVtblR5cGUBAAAAB3ZhbHVlX18ACA4AAAAAAAAABdX///8rR2xvYmVTb2Z0d2FyZS5BdGxhczQwLkF0bGFzQ29tbW9uLlNvcnRPcmRlcgEAAAAHdmFsdWVfXwAIDgAAAAIAAAAAAAAAAAXU////QEdsb2JlU29mdHdhcmUuQXRsYXM0MC5BdGxhc0NvbW1vbi5UeXBlLkNvbHVtbitDcm9zc1RhYkNvbHVtblR5cGUBAAAAB3ZhbHVlX18ACA4AAAAAAAAACgEAAAAAAAAAAAAAAAAABi0AAAAkZmUyOWM5ZWEtYjJlNy00NGNlLWFiNzQtYzg0NTYzODE1YjIyBi4AAAAhVGFibGUuQ3VzdFBhY2tpbmdTbGlwSm91ci5TYWxlc0lkCgoKCgEVAAAAFAAAAAkvAAAACTAAAAAJMQAAAAYyAAAACUN1c3RHcm91cAYzAAAADkN1c3RvbWVyIGdyb3VwBjQAAAAGU3RyaW5nCScAAAAGNgAAACQzZjFjNDZjNy1iZGE3LTRhYTctYjJjNi1lZWY3YmY5MDczMjcByf///9f/////////AQAAAAHI////1v///wAAAAABx////9X///8CAAAAAAAAAAABxv///9T///8AAAAACgEAAAAAAAAAAAEAAAAABjsAAAAkMzZhNjVjMjUtNmE2My00NDY4LTlmNjUtYTc5NGU5NzgwMGQ3BjwAAAA8VGFibGUuQ3VzdFBhY2tpbmdTbGlwSm91ci5TYWxlc0lkflRhYmxlLlNhbGVzVGFibGUuQ3VzdEdyb3VwCgoKCgEWAAAAFAAAAAk9AAAACT4AAAAJPwAAAAZAAAAAD0NyZWF0ZWREYXRlVGltZQZBAAAADENyZWF0ZWQgZGF0ZQZCAAAACERhdGVUaW1lCScAAAAGRAAAACQ3MjBmMzY4ZC05YzE2LTQ3YjEtODNmZS1iMDBhNmYwNzgxM2IBu////9f/////////AgAAAAG6////1v///wAAAAABuf///9X///8CAAAAAAAAAAABuP///9T///8AAAAACgEAAAAAAAAAAAIAAAAABkkAAAAkOWM2ZDVmODgtMDE4ZC00ZmNlLTg4NjktN2Q3NGQ0ODUyNzNlBkoAAABCVGFibGUuQ3VzdFBhY2tpbmdTbGlwSm91ci5TYWxlc0lkflRhYmxlLlNhbGVzVGFibGUuQ3JlYXRlZERhdGVUaW1lCgoKCgEXAAAAFAAAAAlLAAAACUwAAAAJTQAAAAZOAAAADERlbGl2ZXJ5RGF0ZQZPAAAACVNoaXAgZGF0ZQZQAAAABERhdGUJJwAAAAZSAAAAJGJjOTFkNDNkLWNjMzUtNDJjMS04ZmIwLTUzNmFmMWM5Mzk5NgGt////1/////////8DAAAAAaz////W////AAAAAAGr////1f///wIAAAAAAAAAAAGq////1P///wAAAAAKAQAAAAAAAAAAAwAAAAAGVwAAACQ1MTFmZTZjOC05MmY2LTQzNGEtODBhZi0xZTMwMzI3MDQ2OWIGWAAAACZUYWJsZS5DdXN0UGFja2luZ1NsaXBKb3VyLkRlbGl2ZXJ5RGF0ZQoKCgoBGAAAABQAAAAJWQAAAAlaAAAACVsAAAAGXAAAADdBdGxhc01hbmFnZWRDb2x1bW5fMjY5MDRhYTItNTI5OS00N2U3LWJjYTYtNDMwZjJjMjVmZjA2Bl0AAAAMUGVyaW9kT2ZUaW1lCScAAAAJJwAAAAZfAAAAJGMyNjhjYjRlLTMxMTctNDZlNi05ZjA4LTkxMWZhOTg4ODcwMwGg////1/////////8EAAAAAZ/////W////AgAAAAGe////1f///wIAAAAAAAAAAAGd////1P///wAAAAAKAQAAAAAAAAAABAAAAAAGZAAAACQxMjQwOTg2My1jMjdiLTRhYmQtOWE4My05MzEyZWQzYTFkMTgJJwAAAAoKCgoBGQAAABQAAAAJZgAAAAlnAAAACWgAAAAGaQAAAAdEbHZUZXJtBmoAAAAFVGVybXMGawAAAAZTdHJpbmcJJwAAAAZtAAAAJDU2Mzg0NDBhLWI3MTctNGNmZC04ODVlLTMzZmE5NDQ0MDI1MwGS////1/////////8FAAAAAZH////W////AAAAAAGQ////1f///wIAAAAAAAAAAAGP////1P///wAAAAAKAQAAAAAAAAAABQAAAAAGcgAAACQ1YzM1ZjVhYS01NDA1LTQ3MDYtYjg5NC04YmE5ZTJkMjBkNGQGcwAAACFUYWJsZS5DdXN0UGFja2luZ1NsaXBKb3VyLkRsdlRlcm0KCgoKARoAAAAUAAAACXQAAAAJdQAAAAl2AAAABncAAAAHRGx2TW9kZQZ4AAAAEE1vZGUgb2YgZGVsaXZlcnkGeQAAAAZTdHJpbmcJJwAAAAZ7AAAAJDlkM2U3NzlkLWY3M2QtNDZlZi05MTMxLTJmMWM5ODk5YzdiZgGE////1/////////8GAAAAAYP////W////AAAAAAGC////1f///wIAAAAAAAAAAAGB////1P///wAAAAAKAQAAAAAAAAAABgAAAAAGgAAAACQzODJiZTAzOS1hYmE5LTQ4M2ItOWZiYy1lMTQ1YTI2YzFkY2QGgQAAACFUYWJsZS5DdXN0UGFja2luZ1NsaXBKb3VyLkRsdk1vZGUKCgoKARsAAAAUAAAACYIAAAAJgwAAAAmEAAAABoUAAAADUXR5BoYAAAAOU2FsZXMgcXVhbnRpdHkGhwAAAARSZWFsCScAAAAGiQAAACRjYzk1YmEyMC00YzAzLTQ5ZWMtYWRjOS00NmYzNTM5OTllMjYBdv///9f///8BAAAABwAAAAF1////1v///wAAAAABdP///9X///8CAAAAAAAAAAABc////9T///8AAAAACgEAAAAAAAAAAAcAAAAABo4AAAAkZjM5M2U5NWUtYjFlOS00MjI0LWE2OTUtNmNkNDMyMjIwY2FmBo8AAAAdVGFibGUuQ3VzdFBhY2tpbmdTbGlwSm91ci5RdHkKCgoKARwAAAAUAAAACZAAAAAJkQAAAAmSAAAABpMAAAA3QXRsYXNNYW5hZ2VkQ29sdW1uXzZlMTE5NzRiLTE0MGItNDNiNi05OTQzLWFmY2VjZjU3OWEyNAaUAAAACVNoaXBNb250aAknAAAACScAAAAGlgAAACQ2ZDA0ZjhjOS0yNGE1LTQzNDgtYjZmYi1iMDk2YWFiZjU1ODUBaf///9f/////////CAAAAAFo////1v///wIAAAABZ////9X///8CAAAAAAAAAAABZv///9T///8AAAAACgEAAAAAAAAAAAgAAAAABpsAAAAkYjg3ODJjNTEtOTY5OS00NGE4LWFlMGYtNWRlNTI3OGUyMGE5CScAAAAKCgoKBR8AAAA4R2xvYmVTb2Z0d2FyZS5BdGxhczQwLkF0bGFzQ29tbW9uQ2xpZW50LlJlcG9ydC5SZWZlcmVuY2UBAAAACl9yZWZlcmVuY2UHCB0AAAAJnQAAAAcgAAAAAAEAAAAEAAAABDxHbG9iZVNvZnR3YXJlLkF0bGFzNDAuQXRsYXNDb21tb25DbGllbnQuRGF0YVNvdXJjZUZpZWxkVmFsdWUdAAAACZ4AAAAJnwAAAAmgAAAACgQh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hAAAAAQAAAAEAAAAEI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108AAAACaIAAAAHAAAACaMAAAAEI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aQAAAAHAAAACaUAAAABLwAAACEAAAAJpgAAAAEAAAABAAAAATAAAAAiAAAAJgAAAAmnAAAABwAAAAmoAAAAATEAAAAjAAAAIwAAAAmpAAAABwAAAAmqAAAAAT0AAAAhAAAACasAAAABAAAAAQAAAAE+AAAAIgAAACYAAAAJpwAAAAcAAAAJrQAAAAE/AAAAIwAAACMAAAAJqQAAAAcAAAAJrwAAAAFLAAAAIQAAAAmwAAAAAQAAAAEAAAABTAAAACIAAAA8AAAACaIAAAAHAAAACbIAAAABTQAAACMAAAA4AAAACaQAAAAHAAAACbQAAAABWQAAACEAAAAJtQAAAAAAAAAAAAAAAVoAAAAiAAAAIwAAAAm2AAAABwAAAAm3AAAAAVsAAAAjAAAAHAAAAAm4AAAABwAAAAm5AAAAAWYAAAAhAAAACboAAAABAAAAAQAAAAFnAAAAIgAAADwAAAAJogAAAAcAAAAJvAAAAAFoAAAAIwAAADgAAAAJpAAAAAcAAAAJvgAAAAF0AAAAIQAAAAm/AAAAAQAAAAEAAAABdQAAACIAAAA8AAAACaIAAAAHAAAACcEAAAABdgAAACMAAAA4AAAACaQAAAAHAAAACcMAAAABggAAACEAAAAJxAAAAAEAAAABAAAAAYMAAAAiAAAAPAAAAAmiAAAABwAAAAnGAAAAAYQAAAAjAAAAOAAAAAmkAAAABwAAAAnIAAAAAZAAAAAhAAAACbUAAAAAAAAAAAAAAAGRAAAAIgAAACMAAAAJtgAAAAcAAAAJywAAAAGSAAAAIwAAABwAAAAJuAAAAAcAAAAJzQAAAA+dAAAAAQAAAAgBAAAABZ4AAAA8R2xvYmVTb2Z0d2FyZS5BdGxhczQwLkF0bGFzQ29tbW9uQ2xpZW50LkRhdGFTb3VyY2VGaWVsZFZhbHVlBAAAABJfaXNEcmlsbERvd25GaWx0ZXIGX2RzS2V5Cl9maWVsZG5hbWULX2ZpZWxkVmFsdWUAAQEBAR0AAAAABs4AAAAZVGFibGUuQ3VzdFBhY2tpbmdTbGlwSm91cgbPAAAACkRhdGFBcmVhSWQJBgAAAAGfAAAAngAAAAAJzgAAAAbSAAAADERlbGl2ZXJ5RGF0ZQbTAAAAGDAxLzAxLzIwMjEgLi4gMDYvMzAvMjAyMQGgAAAAngAAAAAJzgAAAAbVAAAAA1F0eQbWAAAAAj4wB6EAAAAAAQAAAAQAAAAEN0dsb2JlU29mdHdhcmUuQXRsYXM0MC5BdGxhc0NvbW1vbi5UeXBlLkZpZWxkT3V0cHV0RmllbGQOAAAACdcAAAANAwSi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j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KP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n////Mkdsb2JlU29mdHdhcmUuQXRsYXM0MC5BdGxhc0NvbW1vbi5Db2x1bW5BdHRyaWJ1dGVzAQAAAAd2YWx1ZV9fAAgOAAAAEAAAAAbaAAAABE5vbmUBJf///yj///8BJP///yf///8JAAAACScAAAABIv///yj///8BIf///yf///8LAAAABuAAAAABMAEf////KP///wEe////J////wQAAAAG4wAAAAdHZW5lcmFsARz///8o////ARv///8n////AgAAAAbmAAAAATEBGf///yj///8BGP///yf///8AAAAABukAAAAFMTcuMTQBpAAAAAwAAAAHp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W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sAAAAIRm9udEJvbGQG7AAAAAVGYWxzZQET////Fv///wbuAAAACkZvbnRJdGFsaWMJ7AAAAAEQ////Fv///wbxAAAADUZvbnRVbmRlcmxpbmUG8gAAAAUtNDE0MgEN////Fv///wb0AAAACEZvbnROYW1lBvUAAAAHQ2FsaWJyaQEK////Fv///wb3AAAACUZvbnRDb2xvcgb4AAAAATABB////xb///8G+gAAAAhGb250U2l6ZQb7AAAAAjExAQT///8W////Bv0AAAAJRm9udFN0eWxlBv4AAAAHUmVndWxhcgemAAAAAAEAAAAEAAAABDdHbG9iZVNvZnR3YXJlLkF0bGFzNDAuQXRsYXNDb21tb24uVHlwZS5GaWVsZE91dHB1dEZpZWxkDgAAAAn/AAAADQMBpwAAAKIAAAAHq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D///8o////Af/+//8n////CQAAAAknAAAAAf3+//8o////Afz+//8n////CwAAAAYFAQAAATEB+v7//yj///8B+f7//yf///8EAAAABggBAAAHR2VuZXJhbAH3/v//KP///wH2/v//J////wIAAAAGCwEAAAExAfT+//8o////AfP+//8n////AAAAAAYOAQAABTE2Ljg2AakAAAAMAAAAB6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7//xb///8GEAEAAAhGb250Qm9sZAnsAAAAAe7+//8W////BhMBAAAKRm9udEl0YWxpYwnsAAAAAev+//8W////BhYBAAANRm9udFVuZGVybGluZQYXAQAABS00MTQyAej+//8W////BhkBAAAIRm9udE5hbWUGGgEAAAdDYWxpYnJpAeX+//8W////BhwBAAAJRm9udENvbG9yBh0BAAABMAHi/v//Fv///wYfAQAACEZvbnRTaXplBiABAAACMTEB3/7//xb///8GIgEAAAlGb250U3R5bGUGIwEAAAdSZWd1bGFyB6sAAAAAAQAAAAQAAAAEN0dsb2JlU29mdHdhcmUuQXRsYXM0MC5BdGxhc0NvbW1vbi5UeXBlLkZpZWxkT3V0cHV0RmllbGQOAAAACSQBAAANAwet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/7//yj///8B2v7//yf///8JAAAACScAAAAB2P7//yj///8B1/7//yf///8LAAAABioBAAABMgHV/v//KP///wHU/v//J////wQAAAAGLQEAAA1tL2QveXl5eSBoOm1tAdL+//8o////AdH+//8n////AgAAAAYwAQAAATEBz/7//yj///8Bzv7//yf///8AAAAABjMBAAAFMTcuNzEHr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/v//Fv///wkQAQAACewAAAAByf7//xb///8JEwEAAAnsAAAAAcb+//8W////CRYBAAAGPAEAAAUtNDE0MgHD/v//Fv///wkZAQAABj8BAAAHQ2FsaWJyaQHA/v//Fv///wkcAQAABkIBAAABMAG9/v//Fv///wkfAQAABkUBAAACMTEBuv7//xb///8JIgEAAAZIAQAAB1JlZ3VsYXIHsAAAAAABAAAABAAAAAQ3R2xvYmVTb2Z0d2FyZS5BdGxhczQwLkF0bGFzQ29tbW9uLlR5cGUuRmllbGRPdXRwdXRGaWVsZA4AAAAJSQEAAA0DB7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2/v//KP///wG1/v//J////xAAAAAJ2gAAAAGz/v//KP///wGy/v//J////wkAAAAJJwAAAAGw/v//KP///wGv/v//J////wsAAAAGUgEAAAEzAa3+//8o////Aaz+//8n////BAAAAAZVAQAACG0vZC95eXl5Aar+//8o////Aan+//8n////AgAAAAZYAQAAATEBp/7//yj///8Bpv7//yf///8AAAAABlsBAAAFMTAuODYHt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k/v//Fv///wnrAAAACewAAAABof7//xb///8J7gAAAAnsAAAAAZ7+//8W////CfEAAAAGZAEAAAUtNDE0MgGb/v//Fv///wn0AAAABmcBAAAHQ2FsaWJyaQGY/v//Fv///wn3AAAABmoBAAABMAGV/v//Fv///wn6AAAABm0BAAACMTEBkv7//xb///8J/QAAAAZwAQAAB1JlZ3VsYXIHtQAAAAABAAAAAAAAAAQ3R2xvYmVTb2Z0d2FyZS5BdGxhczQwLkF0bGFzQ29tbW9uLlR5cGUuRmllbGRPdXRwdXRGaWVsZA4AAAABtgAAAKIAAAAHt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/+//8o////AY7+//8n////JAAAAAldAAAAAYz+//8o////AYv+//8n////CwAAAAZ2AQAAATQBif7//yj///8BiP7//yf///8EAAAABnkBAAAHR2VuZXJhbAGG/v//KP///wGF/v//J////wIAAAAGfAEAAAExAYP+//8o////AYL+//8n////AAAAAAZ/AQAABTE3Ljg2AYD+//8o////AX/+//8n////AwAAAAaCAQAAOz1ORVRXT1JLREFZUyhbQFtDcmVhdGVkIGRhdGVdXSxbQFtTaGlwIGRhdGVdXSxIb2xpZGF5cyFBOkEpAbgAAAAMAAAAB7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7//xb///8GhAEAAAhGb250Qm9sZAnsAAAAAXr+//8W////BocBAAAKRm9udEl0YWxpYwnsAAAAAXf+//8W////BooBAAANRm9udFVuZGVybGluZQaLAQAABS00MTQyAXT+//8W////Bo0BAAAIRm9udE5hbWUGjgEAAAdDYWxpYnJpAXH+//8W////BpABAAAJRm9udENvbG9yBpEBAAABMAFu/v//Fv///waTAQAACEZvbnRTaXplBpQBAAACMTEBa/7//xb///8GlgEAAAlGb250U3R5bGUGlwEAAAdSZWd1bGFyB7oAAAAAAQAAAAQAAAAEN0dsb2JlU29mdHdhcmUuQXRsYXM0MC5BdGxhc0NvbW1vbi5UeXBlLkZpZWxkT3V0cHV0RmllbGQOAAAACZgBAAANAwe8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7//yj///8BZv7//yf///8QAAAACdoAAAABZP7//yj///8BY/7//yf///8JAAAACScAAAABYf7//yj///8BYP7//yf///8LAAAABqEBAAABNQFe/v//KP///wFd/v//J////wQAAAAGpAEAAAdHZW5lcmFsAVv+//8o////AVr+//8n////AgAAAAanAQAAATEBWP7//yj///8BV/7//yf///8AAAAABqoBAAABOAe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X+//8W////CesAAAAJ7AAAAAFS/v//Fv///wnuAAAACewAAAABT/7//xb///8J8QAAAAazAQAABS00MTQyAUz+//8W////CfQAAAAGtgEAAAdDYWxpYnJpAUn+//8W////CfcAAAAGuQEAAAEwAUb+//8W////CfoAAAAGvAEAAAIxMQFD/v//Fv///wn9AAAABr8BAAAHUmVndWxhcge/AAAAAAEAAAAEAAAABDdHbG9iZVNvZnR3YXJlLkF0bGFzNDAuQXRsYXNDb21tb24uVHlwZS5GaWVsZE91dHB1dEZpZWxkDgAAAAnAAQAADQMHw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/+//8o////AT7+//8n////EAAAAAnaAAAAATz+//8o////ATv+//8n////CQAAAAknAAAAATn+//8o////ATj+//8n////CwAAAAbJAQAAATYBNv7//yj///8BNf7//yf///8EAAAABswBAAAHR2VuZXJhbAEz/v//KP///wEy/v//J////wIAAAAGzwEAAAExATD+//8o////AS/+//8n////AAAAAAbSAQAAAjE4B8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7//xb///8J6wAAAAnsAAAAASr+//8W////Ce4AAAAJ7AAAAAEn/v//Fv///wnxAAAABtsBAAAFLTQxNDIBJP7//xb///8J9AAAAAbeAQAAB0NhbGlicmkBIf7//xb///8J9wAAAAbhAQAAATABHv7//xb///8J+gAAAAbkAQAAAjExARv+//8W////Cf0AAAAG5wEAAAdSZWd1bGFyB8QAAAAAAQAAAAQAAAAEN0dsb2JlU29mdHdhcmUuQXRsYXM0MC5BdGxhc0NvbW1vbi5UeXBlLkZpZWxkT3V0cHV0RmllbGQOAAAACegBAAANAwfG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7//yj///8BFv7//yf///8QAAAACdoAAAABFP7//yj///8BE/7//yf///8JAAAACScAAAABEf7//yj///8BEP7//yf///8LAAAABvEBAAABNwEO/v//KP///wEN/v//J////wQAAAAG9AEAAAdHZW5lcmFsAQv+//8o////AQr+//8n////AgAAAAb3AQAAATEBCP7//yj///8BB/7//yf///8AAAAABvoBAAAFMTUuMTQHy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F/v//Fv///wnrAAAACewAAAABAv7//xb///8J7gAAAAnsAAAAAf/9//8W////CfEAAAAGAwIAAAUtNDE0MgH8/f//Fv///wn0AAAABgYCAAAHQ2FsaWJyaQH5/f//Fv///wn3AAAABgkCAAABMAH2/f//Fv///wn6AAAABgwCAAACMTEB8/3//xb///8J/QAAAAYPAgAAB1JlZ3VsYXIHy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D9//8o////Ae/9//8n////JAAAAAmUAAAAAe39//8o////Aez9//8n////CwAAAAYVAgAAATgB6v3//yj///8B6f3//yf///8EAAAABhgCAAAHR2VuZXJhbAHn/f//KP///wHm/f//J////wIAAAAGGwIAAAExAeT9//8o////AeP9//8n////AAAAAAYeAgAAAjE5AeH9//8o////AeD9//8n////AwAAAAYhAgAAHz1URVhUKFtAW1NoaXAgZGF0ZV1dLCJZWVlZTU1NIikHz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f//Fv///wmEAQAACewAAAAB2/3//xb///8JhwEAAAnsAAAAAdj9//8W////CYoBAAAGKgIAAAUtNDE0MgHV/f//Fv///wmNAQAABi0CAAAHQ2FsaWJyaQHS/f//Fv///wmQAQAABjACAAABMAHP/f//Fv///wmTAQAABjMCAAACMTEBzP3//xb///8JlgEAAAY2AgAAB1JlZ3VsYXIF1w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yf3//9f/////////AAY4AgAABlN0cmluZwY5AgAAC1NhbGVzIG9yZGVyCToCAAABxf3//9X///8CAAAABcT9//85R2xvYmVTb2Z0d2FyZS5BdGxhczQwLkF0bGFzQ29tbW9uLk51bWJlclNlcXVlbmNlQ29uZGl0aW9uAQAAAAd2YWx1ZV9fAAgOAAAAAQAAAAAABj0CAAAZVGFibGUuQ3VzdFBhY2tpbmdTbGlwSm91cgkkAAAACScAAAAK/////wk9AgAACgkkAAAACgoKCScAAAAJQwIAAAknAAAAAf8AAADXAAAAAbv9///X/////////wAGRgIAAAZTdHJpbmcGRwIAAA5DdXN0b21lciBncm91cAlIAgAAAbf9///V////AgAAAAG2/f//xP3//wEAAAAAAAZLAgAAMlRhYmxlLkN1c3RQYWNraW5nU2xpcEpvdXIuU2FsZXNJZH5UYWJsZS5TYWxlc1RhYmxlCTIAAAAJJwAAAAr/////CUsCAAAKCTIAAAAGUAIAAAdTYWxlc0lkBlECAAATQ3VzdFBhY2tpbmdTbGlwSm91cgoJJwAAAAlTAgAACScAAAABJAEAANcAAAABq/3//9f/////////AAZWAgAACERhdGVUaW1lBlcCAAAMQ3JlYXRlZCBkYXRlCUgCAAABp/3//9X///8CAAAAAab9///E/f//AQAAAAAACUsCAAAJQAAAAAknAAAACv////8JSwIAAAoJQAAAAAZgAgAAB1NhbGVzSWQGYQIAABNDdXN0UGFja2luZ1NsaXBKb3VyCgknAAAACWMCAAAJJwAAAAFJAQAA1wAAAAGb/f//1/////////8ABmYCAAAERGF0ZQZnAgAACVNoaXAgZGF0ZQk6AgAAAZf9///V////AgAAAAGW/f//xP3//wEAAAAAAAk9AgAACU4AAAAJJwAAAAr/////CT0CAAAKCU4AAAAKCgoJJwAAAAlxAgAACScAAAABmAEAANcAAAABjf3//9f/////////AAZ0AgAABlN0cmluZwZ1AgAABVRlcm1zCToCAAABif3//9X///8CAAAAAYj9///E/f//AQAAAAAACT0CAAAJaQAAAAknAAAACv////8JPQIAAAoJaQAAAAoKCgknAAAACX8CAAAJJwAAAAHAAQAA1wAAAAF//f//1/////////8ABoICAAAGU3RyaW5nBoMCAAAQTW9kZSBvZiBkZWxpdmVyeQk6AgAAAXv9///V////AgAAAAF6/f//xP3//wEAAAAAAAk9AgAACXcAAAAJJwAAAAr/////CT0CAAAKCXcAAAAKCgoJJwAAAAmNAgAACScAAAAB6AEAANcAAAABcf3//9f/////////AAaQAgAABFJlYWwGkQIAAA5TYWxlcyBxdWFudGl0eQk6AgAAAW39///V////AgAAAAFs/f//xP3//wEAAAAAAAk9AgAACYUAAAAJJwAAAAr/////CT0CAAAKCYUAAAAKCgoJJwAAAAmbAgAACScAAAAFOg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wAAAAadAgAAE0N1c3RQYWNraW5nU2xpcEpvdXIGngIAABZDdXN0b21lciBwYWNraW5nIHNsaXBzCScAAAAJJwAAAAknAAAABWD9//8wR2xvYmVTb2Z0d2FyZS5BdGxhczQwLkF0bGFzQ29tbW9uLkRhdGFTb3VyY2VUeXBlAQAAAAd2YWx1ZV9fAAgOAAAAAAAAAAmhAgAACaICAAAEXf3//wtTeXN0ZW0uR3VpZAsAAAACX2ECX2ICX2MCX2QCX2UCX2YCX2cCX2gCX2kCX2oCX2sAAAAAAAAAAAAAAAgHBwICAgICAgICla2KN7Hbi0GM7uUzsGacSQknAAAACScAAAAJpQIAAAk9AgAACgoKCgoBAAAABVn9//80R2xvYmVTb2Z0d2FyZS5BdGxhczQwLkF0bGFzQ29tbW9uLkRhdGFTb3VyY2VKb2luTW9kZQEAAAAHdmFsdWVfXwAIDgAAAAAAAAAFWP3//zVHbG9iZVNvZnR3YXJlLkF0bGFzNDAuQXRsYXNDb21tb24uRGF0YVNvdXJjZUZldGNoTW9kZQEAAAAHdmFsdWVfXwAIDgAAAAAAAAAACakCAAABQwIAACMAAAAtAAAACaQAAAADAAAACasCAAABSAIAADoCAAD/////BqwCAAAKU2FsZXNUYWJsZQatAgAADFNhbGVzIG9yZGVycwknAAAACScAAAAJJwAAAAFR/f//YP3//wAAAAAJsAIAAAmxAgAAAU79//9d/f//xQ6bGn+0MkqDO44f1hBuGAknAAAACScAAAAJtAIAAAlLAgAABrYCAAATQ3VzdFBhY2tpbmdTbGlwSm91cga3AgAAGVRhYmxlLkN1c3RQYWNraW5nU2xpcEpvdXIGuAIAACFUYWJsZS5DdXN0UGFja2luZ1NsaXBKb3VyLlNhbGVzSWQGuQIAAAdTYWxlc0lkBroCAAAHU2FsZXNJZAEAAAABRf3//1n9//8AAAAAAUT9//9Y/f//AAAAAAAJvQIAAAFTAgAAIwAAABgAAAAJqQAAAAMAAAAJvwIAAAFjAgAAIwAAABgAAAAJqQAAAAMAAAAJwQIAAAFxAgAAIwAAAC0AAAAJpAAAAAMAAAAJwwIAAAF/AgAAIwAAAC0AAAAJpAAAAAMAAAAJxQIAAAGNAgAAIwAAAC0AAAAJpAAAAAMAAAAJxwIAAAGbAgAAIwAAAC0AAAAJpAAAAAMAAAAJyQIAAASh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nKAgAAEQAAAAnLAgAABKI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kAAAAJygIAABEAAAAJzQIAAASl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gIAAAAAAAAEqQ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zwIAAAAAAAAHq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f//Fv///wbRAgAACEhlbHBUZXh0BtICAAAcSWRlbnRpZmljYXRpb24gb2YgdGhlIG9yZGVyLgEt/f//Fv///wbUAgAABUxhYmVsCTkCAAABKv3//xb///8G1wIAAARUeXBlCTgCAAABsAIAAKECAAACAAAACakAAAADAAAACdoCAAAEsQ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bAgAAAAAAAAG0AgAApQIAAAAAAAAJqQAAAAAAAAABvQIAAKkCAAAAAAAACd0CAAAAAAAAB78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v3//xb///8G3wIAAAVMYWJlbAlHAgAAAR/9//8W////BuICAAAEVHlwZQlGAgAAB8E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P3//xb///8J3wIAAAlXAgAAARn9//8W////CeICAAAJVgIAAAfD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9//8W////CdECAAAG7AIAADxDb25maXJtZWQgc2hpcCBkYXRlIGlmIGV4aXN0cywgb3RoZXJ3aXNlIHJlcXVlc3RlZCBzaGlwIGRhdGUBE/3//xb///8J1AIAAAlnAgAAARD9//8W////CdcCAAAJZgIAAAfF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8W////CdECAAAG9QIAAC9TcGVjaWZ5IHRlcm1zIG9mIGRlbGl2ZXJ5IGZvciBjdXJyZW50IGRlbGl2ZXJ5LgEK/f//Fv///wnUAgAACXUCAAABB/3//xb///8J1wIAAAl0AgAAB8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3//xb///8J0QIAAAb+AgAAMlNwZWNpZnkgbW9kZSBvZiBkZWxpdmVyeSBmb3IgdGhlIGN1cnJlbnQgZGVsaXZlcnkuAQH9//8W////CdQCAAAJgwIAAAH+/P//Fv///wnXAgAACYICAAAHy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7/P//Fv///wnRAgAABgcDAAAjTnVtYmVyIG9mIHVuaXRzIG9uIHRoZSBwYWNraW5nIHNsaXAB+Pz//xb///8J1AIAAAmRAgAAAfX8//8W////CdcCAAAJkAIAAAHKAgAADAAAAAfL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y/P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PAwAAJlRhYmxlLkN1c3RQYWNraW5nU2xpcEpvdXIuT3JkZXJBY2NvdW50CRADAAAB7/z///L8//8GEgMAAChUYWJsZS5DdXN0UGFja2luZ1NsaXBKb3VyLkludm9pY2VBY2NvdW50CRMDAAAB7Pz///L8//8GFQMAACFUYWJsZS5DdXN0UGFja2luZ1NsaXBKb3VyLlNhbGVzSWQJ1wAAAAHp/P//8vz//wYYAwAAJlRhYmxlLkN1c3RQYWNraW5nU2xpcEpvdXIuRGVsaXZlcnlEYXRlCUkBAAAB5vz///L8//8GGwMAACdUYWJsZS5DdXN0UGFja2luZ1NsaXBKb3VyLlBhY2tpbmdTbGlwSWQJHAMAAAHj/P//8vz//wYeAwAAJ1RhYmxlLkN1c3RQYWNraW5nU2xpcEpvdXIuTGVkZ2VyVm91Y2hlcgkfAwAAAeD8///y/P//BiEDAAAhVGFibGUuQ3VzdFBhY2tpbmdTbGlwSm91ci5EbHZUZXJtCZgBAAAB3fz///L8//8GJAMAACFUYWJsZS5DdXN0UGFja2luZ1NsaXBKb3VyLkRsdk1vZGUJwAEAAAHa/P//8vz//wYnAwAAHVRhYmxlLkN1c3RQYWNraW5nU2xpcEpvdXIuUXR5CegBAAAHzQI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Nf8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KgMAACRUYWJsZS5DdXN0UGFja2luZ1NsaXBKb3VyLkRhdGFBcmVhSWQJKwMAAAHU/P//1/z//wYtAwAAKFRhYmxlLkN1c3RQYWNraW5nU2xpcEpvdXIuSW52b2ljZUFjY291bnQJLgMAAAHR/P//1/z//wYwAwAAIVRhYmxlLkN1c3RQYWNraW5nU2xpcEpvdXIuRGx2TW9kZQkxAwAAAc78///X/P//BjMDAAAmVGFibGUuQ3VzdFBhY2tpbmdTbGlwSm91ci5PcmRlckFjY291bnQJNAMAAAHL/P//1/z//wY2AwAAJ1RhYmxlLkN1c3RQYWNraW5nU2xpcEpvdXIuUGFja2luZ1NsaXBJZAk3AwAAAcj8///X/P//BjkDAAAhVGFibGUuQ3VzdFBhY2tpbmdTbGlwSm91ci5TYWxlc0lkCToDAAABxfz//9f8//8GPAMAACZUYWJsZS5DdXN0UGFja2luZ1NsaXBKb3VyLkRlbGl2ZXJ5RGF0ZQk9AwAAAcL8///X/P//Bj8DAAAhVGFibGUuQ3VzdFBhY2tpbmdTbGlwSm91ci5EbHZUZXJtCUADAAABv/z//9f8//8GQgMAACdUYWJsZS5DdXN0UGFja2luZ1NsaXBKb3VyLkxlZGdlclZvdWNoZXIJQwMAAATP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2gI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Pz///L8//8GRQMAADxUYWJsZS5DdXN0UGFja2luZ1NsaXBKb3VyLlNhbGVzSWR+VGFibGUuU2FsZXNUYWJsZS5DdXN0R3JvdXAJ/wAAAAG5/P//8vz//wZIAwAAQlRhYmxlLkN1c3RQYWNraW5nU2xpcEpvdXIuU2FsZXNJZH5UYWJsZS5TYWxlc1RhYmxlLkNyZWF0ZWREYXRlVGltZQkkAQAAAdsCAAAMAAAAAd0CAADPAgAAARADAADXAAAAAbb8///X/////////wAGSwMAAAZTdHJpbmcGTAMAAA1PcmRlciBhY2NvdW50CToCAAABsvz//9X///8CAAAAAbH8///E/f//AQAAAAAACT0CAAAGUQMAAAxPcmRlckFjY291bnQJJwAAAAr/////CT0CAAAKCVEDAAAKCgoJJwAAAAlWAwAACScAAAABEwMAANcAAAABqPz//9f/////////AAZZAwAABlN0cmluZwZaAwAAD0ludm9pY2UgYWNjb3VudAk6AgAAAaT8///V////AgAAAAGj/P//xP3//wEAAAAAAAk9AgAABl8DAAAOSW52b2ljZUFjY291bnQJJwAAAAr/////CT0CAAAKCV8DAAAKCgoJJwAAAAlkAwAACScAAAABHAMAANcAAAABmvz//9f/////////AAZnAwAABlN0cmluZwZoAwAADFBhY2tpbmcgc2xpcAk6AgAAAZb8///V////AgAAAAGV/P//xP3//wEAAAAAAAk9AgAABm0DAAANUGFja2luZ1NsaXBJZAknAAAACv////8JPQIAAAoJbQMAAAoKCgknAAAACXIDAAAJJwAAAAEfAwAA1wAAAAGM/P//1/////////8ABnUDAAAGU3RyaW5nBnYDAAAHVm91Y2hlcgk6AgAAAYj8///V////AgAAAAGH/P//xP3//wEAAAAAAAk9AgAABnsDAAANTGVkZ2VyVm91Y2hlcgknAAAACv////8JPQIAAAoJewMAAAoKCgknAAAACYADAAAJJwAAAAUrAw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PQIAAAaDAwAACkRhdGFBcmVhSWQJJwAAAAknAAAA/////wk9AgAACgmDAwAACgoKCScAAAAJiAMAAAknAAAAAS4DAAArAwAACT0CAAAGiwMAAA5JbnZvaWNlQWNjb3VudAknAAAACScAAAD/////CT0CAAAKCYsDAAAKCgoJJwAAAAmQAwAACScAAAABMQMAACsDAAAJPQIAAAaTAwAAB0Rsdk1vZGUJJwAAAAknAAAA/////wk9AgAACgmTAwAACgoKCScAAAAJmAMAAAknAAAAATQDAAArAwAACT0CAAAGmwMAAAxPcmRlckFjY291bnQJJwAAAAknAAAA/////wk9AgAACgmbAwAACgoKCScAAAAJoAMAAAknAAAAATcDAAArAwAACT0CAAAGowMAAA1QYWNraW5nU2xpcElkCScAAAAJJwAAAP////8JPQIAAAoJowMAAAoKCgknAAAACagDAAAJJwAAAAE6AwAAKwMAAAk9AgAABqsDAAAHU2FsZXNJZAknAAAACScAAAD/////CT0CAAAKCasDAAAKCgoJJwAAAAmwAwAACScAAAABPQMAACsDAAAJPQIAAAazAwAADERlbGl2ZXJ5RGF0ZQknAAAACScAAAD/////CT0CAAAKCbMDAAAKCgoJJwAAAAm4AwAACScAAAABQAMAACsDAAAJPQIAAAa7AwAAB0RsdlRlcm0JJwAAAAknAAAA/////wk9AgAACgm7AwAACgoKCScAAAAJwAMAAAknAAAAAUMDAAArAwAACT0CAAAGwwMAAA1MZWRnZXJWb3VjaGVyCScAAAAJJwAAAP////8JPQIAAAoJwwMAAAoKCgknAAAACcgDAAAJJwAAAAFWAwAAIwAAAAkAAAAJpAAAAAMAAAAJywMAAAFkAwAAIwAAAAkAAAAJpAAAAAMAAAAJzQMAAAFyAwAAIwAAAAkAAAAJpAAAAAMAAAAJzwMAAAGAAwAAIwAAAAkAAAAJpAAAAAMAAAAJ0QMAAASI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kAAAAAAAAAASQ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kAAAAAAAAAASY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kAAAAAAAAAASg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kAAAAAAAAAASo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kAAAAAAAAAASw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kAAAAAAAAAAS4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kAAAAAAAAAATA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kAAAAAAAAAATI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kAAAAAAAAAAfL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38//8W////CdECAAAG1QMAACpDdXN0b21lciBhY2NvdW50IHRoYXQgZ2VuZXJhdGVkIHRoZSBvcmRlci4BKvz//xb///8J1AIAAAlMAwAAASf8//8W////CdcCAAAJSwMAAAfN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8//8W////CdECAAAG3gMAAC9DdXN0b21lciBhY2NvdW50IHRvIGJlIGNoYXJnZWQgZm9yIHRoZSBkZWxpdmVyeQEh/P//Fv///wnUAgAACVoDAAABHvz//xb///8J1wIAAAlZAwAAB88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/z//xb///8J0QIAAAbnAwAAE1BhY2tpbmcgc2xpcCBudW1iZXIBGPz//xb///8J1AIAAAloAwAAARX8//8W////CdcCAAAJZwMAAAfR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8//8W////CdECAAAG8AMAADJWb3VjaGVyIG51bWJlciBpbmNsLiBhdHRhY2hlZCBsZWRnZXIgdHJhbnNhY3Rpb25zLgEP/P//Fv///wnUAgAACXYDAAABDPz//xb///8J1wIAAAl1AwAACw==</Report>
</Atlas>
</file>

<file path=customXml/itemProps1.xml><?xml version="1.0" encoding="utf-8"?>
<ds:datastoreItem xmlns:ds="http://schemas.openxmlformats.org/officeDocument/2006/customXml" ds:itemID="{B0B97B25-75AA-46F8-8F83-0B9423D70212}">
  <ds:schemaRefs/>
</ds:datastoreItem>
</file>

<file path=customXml/itemProps2.xml><?xml version="1.0" encoding="utf-8"?>
<ds:datastoreItem xmlns:ds="http://schemas.openxmlformats.org/officeDocument/2006/customXml" ds:itemID="{447E6588-9DFB-4C97-933E-DE72CCD91863}">
  <ds:schemaRefs/>
</ds:datastoreItem>
</file>

<file path=customXml/itemProps3.xml><?xml version="1.0" encoding="utf-8"?>
<ds:datastoreItem xmlns:ds="http://schemas.openxmlformats.org/officeDocument/2006/customXml" ds:itemID="{F2C2BD9A-62A8-4184-961D-5873C0AD751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General</vt:lpstr>
      <vt:lpstr>ReportChart</vt:lpstr>
      <vt:lpstr>ReportDetails</vt:lpstr>
      <vt:lpstr>SalesDelivery</vt:lpstr>
      <vt:lpstr>Holidays</vt:lpstr>
      <vt:lpstr>Notes</vt:lpstr>
      <vt:lpstr>SalesDelivery!AtlasReport_2</vt:lpstr>
      <vt:lpstr>DataAreaId</vt:lpstr>
      <vt:lpstr>DateFormat</vt:lpstr>
      <vt:lpstr>DatePeriod</vt:lpstr>
      <vt:lpstr>FromDate</vt:lpstr>
      <vt:lpstr>ToDate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2021-06-16T06:53:18Z</dcterms:created>
  <dcterms:modified xsi:type="dcterms:W3CDTF">2021-06-23T10:51:40Z</dcterms:modified>
</cp:coreProperties>
</file>