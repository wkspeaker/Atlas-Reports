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480" yWindow="105" windowWidth="18720" windowHeight="6705"/>
  </bookViews>
  <sheets>
    <sheet name="General" sheetId="1" r:id="rId1"/>
    <sheet name="Report" sheetId="4" r:id="rId2"/>
    <sheet name="DevelopmentPerPoolWeek" sheetId="5" r:id="rId3"/>
    <sheet name="Detail list" sheetId="2" r:id="rId4"/>
    <sheet name="Notes" sheetId="3" r:id="rId5"/>
  </sheets>
  <functionGroups builtInGroupCount="17"/>
  <definedNames>
    <definedName name="AtlasReport_1" localSheetId="3">'Detail list'!$A$1:$H$120</definedName>
    <definedName name="DataAreaId">General!$C$2</definedName>
    <definedName name="DateFormat">General!$G$1</definedName>
    <definedName name="DatePeriod">General!$C$6</definedName>
    <definedName name="FromDate">General!$C$4</definedName>
    <definedName name="ItemNumber">General!$C$8</definedName>
    <definedName name="ToDate">General!$C$5</definedName>
  </definedNames>
  <calcPr calcId="145621"/>
</workbook>
</file>

<file path=xl/calcChain.xml><?xml version="1.0" encoding="utf-8"?>
<calcChain xmlns="http://schemas.openxmlformats.org/spreadsheetml/2006/main">
  <c r="E3" i="2" l="1"/>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G119" i="2"/>
  <c r="F119" i="2"/>
  <c r="G1" i="1"/>
  <c r="C6" i="1" l="1"/>
</calcChain>
</file>

<file path=xl/sharedStrings.xml><?xml version="1.0" encoding="utf-8"?>
<sst xmlns="http://schemas.openxmlformats.org/spreadsheetml/2006/main" count="568" uniqueCount="219">
  <si>
    <t>I would like to have an overview on the amount of meters of material we have produced in a certain period of time.</t>
  </si>
  <si>
    <t>Information I think we need:</t>
  </si>
  <si>
    <t>•</t>
  </si>
  <si>
    <t>All production orders with a report as finished journal within the selected period of time.</t>
  </si>
  <si>
    <t>We only need the production orders for items ending with 'PROD'</t>
  </si>
  <si>
    <t>For these filtered production orders I need the amount which is reported as ready.</t>
  </si>
  <si>
    <t>The amount needs to be split into POOL and an overall total.</t>
  </si>
  <si>
    <t>I like to have an average overall amount per day or week and an average amount per day or week per pool.</t>
  </si>
  <si>
    <t>A graph would be nice to show development per pool and per total per week</t>
  </si>
  <si>
    <t>I would like to have an overview on the amount of meters of S&amp;P material (starting with LA) we have produced in a certain period of time.</t>
  </si>
  <si>
    <t>We only need the production orders for items starting with 'LA'</t>
  </si>
  <si>
    <t>The amount needs to be split per item and an overall total.</t>
  </si>
  <si>
    <t>I like to have an average overall amount per week and an average amount per week per item.</t>
  </si>
  <si>
    <t>A graph would be nice to show development per item and per total per week</t>
  </si>
  <si>
    <t>Company:</t>
  </si>
  <si>
    <t>Date format:</t>
  </si>
  <si>
    <t>From date:</t>
  </si>
  <si>
    <t>To date:</t>
  </si>
  <si>
    <t>Date period:</t>
  </si>
  <si>
    <t>Product:</t>
  </si>
  <si>
    <t>Journal</t>
  </si>
  <si>
    <t>Production</t>
  </si>
  <si>
    <t>Item number</t>
  </si>
  <si>
    <t>Date</t>
  </si>
  <si>
    <t>Error quantity</t>
  </si>
  <si>
    <t>Good quantity</t>
  </si>
  <si>
    <t>Total</t>
  </si>
  <si>
    <t>Pool</t>
  </si>
  <si>
    <t>A</t>
  </si>
  <si>
    <t>B</t>
  </si>
  <si>
    <t>C</t>
  </si>
  <si>
    <t>D</t>
  </si>
  <si>
    <t>Unit</t>
  </si>
  <si>
    <t>M</t>
  </si>
  <si>
    <t>WeekNum</t>
  </si>
  <si>
    <t>Report</t>
    <phoneticPr fontId="3" type="noConversion"/>
  </si>
  <si>
    <t>LineDetails</t>
    <phoneticPr fontId="3" type="noConversion"/>
  </si>
  <si>
    <t>ItemNumber</t>
    <phoneticPr fontId="3" type="noConversion"/>
  </si>
  <si>
    <t>Pool</t>
    <phoneticPr fontId="3" type="noConversion"/>
  </si>
  <si>
    <t>Date</t>
    <phoneticPr fontId="3" type="noConversion"/>
  </si>
  <si>
    <t>WeekNum</t>
    <phoneticPr fontId="3" type="noConversion"/>
  </si>
  <si>
    <t>ErrQty</t>
    <phoneticPr fontId="3" type="noConversion"/>
  </si>
  <si>
    <t>GoodQty</t>
    <phoneticPr fontId="3" type="noConversion"/>
  </si>
  <si>
    <t>Unit</t>
    <phoneticPr fontId="3" type="noConversion"/>
  </si>
  <si>
    <t>TotalQty</t>
    <phoneticPr fontId="3" type="noConversion"/>
  </si>
  <si>
    <t>Quantity</t>
    <phoneticPr fontId="3" type="noConversion"/>
  </si>
  <si>
    <t>Total</t>
    <phoneticPr fontId="3" type="noConversion"/>
  </si>
  <si>
    <t>Average</t>
    <phoneticPr fontId="3" type="noConversion"/>
  </si>
  <si>
    <t>AveragePerDay</t>
    <phoneticPr fontId="3" type="noConversion"/>
  </si>
  <si>
    <t>AveragePerWeek</t>
    <phoneticPr fontId="3" type="noConversion"/>
  </si>
  <si>
    <t>Avg per day</t>
  </si>
  <si>
    <t>Avg per week</t>
  </si>
  <si>
    <t>Overall</t>
  </si>
  <si>
    <t>Quantity in meters</t>
  </si>
  <si>
    <t>TotalQty</t>
  </si>
  <si>
    <t>Steps:</t>
  </si>
  <si>
    <t>1. Maintain the parameters from C2 to C8;</t>
  </si>
  <si>
    <t>2. Refresh the Atlas report in tab "Atlas 5.1";</t>
  </si>
  <si>
    <t>3. Click button "Generate report" to get the result in sheets "Report" and "DevelopmentPerPoolWeek";</t>
  </si>
  <si>
    <t>*PROD</t>
  </si>
  <si>
    <t>C1RE 10A0 PROD</t>
  </si>
  <si>
    <t>C1RO 14A0 PROD</t>
  </si>
  <si>
    <t/>
  </si>
  <si>
    <t>C1RO 1A00 PROD</t>
  </si>
  <si>
    <t>C1RO 1F00 PROD</t>
  </si>
  <si>
    <t>C1RO 2A00 PROD</t>
  </si>
  <si>
    <t>C1RO 2B00 PROD</t>
  </si>
  <si>
    <t>C1RO 3A00 PROD</t>
  </si>
  <si>
    <t>C1RO 8A00 PROD</t>
  </si>
  <si>
    <t>C1SQ 6A00 PROD</t>
  </si>
  <si>
    <t>C1TU 10B0 PROD</t>
  </si>
  <si>
    <t>C1TU 12B0 PROD</t>
  </si>
  <si>
    <t>C1TU 2A00 PROD</t>
  </si>
  <si>
    <t>C1TU 2C00 PROD</t>
  </si>
  <si>
    <t>C1TU 3A00 PROD</t>
  </si>
  <si>
    <t>C1TU 5B00 PROD</t>
  </si>
  <si>
    <t>C1TU 6B00 PROD</t>
  </si>
  <si>
    <t>C1TU 8B00 PROD</t>
  </si>
  <si>
    <t>CLEA LCA3 PROD</t>
  </si>
  <si>
    <t>G2RO 1G00 PROD</t>
  </si>
  <si>
    <t>G2RO 3A00 PROD</t>
  </si>
  <si>
    <t>G2RO 3A01 PROD</t>
  </si>
  <si>
    <t>G2RO 3A02 PROD</t>
  </si>
  <si>
    <t>GTPV PK11 PROD</t>
  </si>
  <si>
    <t>H1RE 6C00 PROD</t>
  </si>
  <si>
    <t>OrderCount</t>
  </si>
  <si>
    <t>AveragePerWeek</t>
  </si>
  <si>
    <t>Versions:</t>
    <phoneticPr fontId="3" type="noConversion"/>
  </si>
  <si>
    <t>V1</t>
    <phoneticPr fontId="3" type="noConversion"/>
  </si>
  <si>
    <t>Initial version, the average per week is the quantity in meter devided by the numbers of the week, and the average per day is the amount per week devided by 5.</t>
    <phoneticPr fontId="3" type="noConversion"/>
  </si>
  <si>
    <t>V2</t>
    <phoneticPr fontId="3" type="noConversion"/>
  </si>
  <si>
    <t>TotalQty2</t>
  </si>
  <si>
    <t>OrderCount3</t>
  </si>
  <si>
    <t>AveragePerWeek4</t>
  </si>
  <si>
    <t>TotalQty5</t>
  </si>
  <si>
    <t>OrderCount6</t>
  </si>
  <si>
    <t>AveragePerWeek7</t>
  </si>
  <si>
    <t>TotalQty8</t>
  </si>
  <si>
    <t>OrderCount9</t>
  </si>
  <si>
    <t>AveragePerWeek10</t>
  </si>
  <si>
    <t>TotalQty11</t>
  </si>
  <si>
    <t>OrderCount12</t>
  </si>
  <si>
    <t>AveragePerWeek13</t>
  </si>
  <si>
    <t>TotalQty14</t>
  </si>
  <si>
    <t>OrderCount15</t>
  </si>
  <si>
    <t>AveragePerWeek16</t>
  </si>
  <si>
    <t>C1RO 6A00 PROD</t>
  </si>
  <si>
    <t>C1TU 4A00 PROD</t>
  </si>
  <si>
    <t>Add charts for development per week/pool, update chart method for Excel 2010</t>
    <phoneticPr fontId="3" type="noConversion"/>
  </si>
  <si>
    <t>V3</t>
    <phoneticPr fontId="3" type="noConversion"/>
  </si>
  <si>
    <t>Change the logic in calculate average per week, using nature week instead of weeks with actual output; in the Chart add the weeks even though there is no output;</t>
    <phoneticPr fontId="3" type="noConversion"/>
  </si>
  <si>
    <t>00000929_067</t>
  </si>
  <si>
    <t>00000937_067</t>
  </si>
  <si>
    <t>C1RE 1A00 PROD</t>
  </si>
  <si>
    <t>00001028_067</t>
  </si>
  <si>
    <t>C1RE 50A0 PROD</t>
  </si>
  <si>
    <t>00000954_067</t>
  </si>
  <si>
    <t>C1RE 8A00 PROD</t>
  </si>
  <si>
    <t>00000930_067</t>
  </si>
  <si>
    <t>C1RO 0D00 PROD</t>
  </si>
  <si>
    <t>00001032_067</t>
  </si>
  <si>
    <t>00001089_067</t>
  </si>
  <si>
    <t>00000964_067</t>
  </si>
  <si>
    <t>C1RO 1C00 PROD</t>
  </si>
  <si>
    <t>00000979_067</t>
  </si>
  <si>
    <t>00000911_067</t>
  </si>
  <si>
    <t>00001003_067</t>
  </si>
  <si>
    <t>00001056_067</t>
  </si>
  <si>
    <t>00000936_067</t>
  </si>
  <si>
    <t>00000980_067</t>
  </si>
  <si>
    <t>00001037_067</t>
  </si>
  <si>
    <t>00001040_067</t>
  </si>
  <si>
    <t>00001078_067</t>
  </si>
  <si>
    <t>00000963_067</t>
  </si>
  <si>
    <t>C1RO 5A00 PROD</t>
  </si>
  <si>
    <t>00001067_067</t>
  </si>
  <si>
    <t>00000921_067</t>
  </si>
  <si>
    <t>00000981_067</t>
  </si>
  <si>
    <t>00001010_067</t>
  </si>
  <si>
    <t>00000971_067</t>
  </si>
  <si>
    <t>00000873_067</t>
  </si>
  <si>
    <t>00001053_067</t>
  </si>
  <si>
    <t>00000955_067</t>
  </si>
  <si>
    <t>00000935_067</t>
  </si>
  <si>
    <t>00001005_067</t>
  </si>
  <si>
    <t>00001038_067</t>
  </si>
  <si>
    <t>00000938_067</t>
  </si>
  <si>
    <t>00001029_067</t>
  </si>
  <si>
    <t>00000953_067</t>
  </si>
  <si>
    <t>C1TU 5A00 PROD</t>
  </si>
  <si>
    <t>00000928_067</t>
  </si>
  <si>
    <t>00001017_067</t>
  </si>
  <si>
    <t>00000962_067</t>
  </si>
  <si>
    <t>00001054_067</t>
  </si>
  <si>
    <t>00000994_067</t>
  </si>
  <si>
    <t>00001020_067</t>
  </si>
  <si>
    <t>00001026_067</t>
  </si>
  <si>
    <t>00001027_067</t>
  </si>
  <si>
    <t>00000934_067</t>
  </si>
  <si>
    <t>00001021_067</t>
  </si>
  <si>
    <t>G3RO 1G00 PROD</t>
  </si>
  <si>
    <t>00000925_067</t>
  </si>
  <si>
    <t>00000898_067</t>
  </si>
  <si>
    <t>00000899_067</t>
  </si>
  <si>
    <t>00000982_067</t>
  </si>
  <si>
    <t>00000983_067</t>
  </si>
  <si>
    <t>00000949_067</t>
  </si>
  <si>
    <t>00000951_067</t>
  </si>
  <si>
    <t>00000952_067</t>
  </si>
  <si>
    <t>00001006_067</t>
  </si>
  <si>
    <t>00001009_067</t>
  </si>
  <si>
    <t>00000905_067</t>
  </si>
  <si>
    <t>00001154_067</t>
  </si>
  <si>
    <t>C1RE 20A0 PROD</t>
  </si>
  <si>
    <t>00001125_067</t>
  </si>
  <si>
    <t>C1RE 3A00 PROD</t>
  </si>
  <si>
    <t>00001202_067</t>
  </si>
  <si>
    <t>C1RE 5A00 PROD</t>
  </si>
  <si>
    <t>00001158_067</t>
  </si>
  <si>
    <t>00001122_067</t>
  </si>
  <si>
    <t>C1RO 0B00 PROD</t>
  </si>
  <si>
    <t>00001144_067</t>
  </si>
  <si>
    <t>00001105_067</t>
  </si>
  <si>
    <t>00001124_067</t>
  </si>
  <si>
    <t>00001194_067</t>
  </si>
  <si>
    <t>00001126_067</t>
  </si>
  <si>
    <t>00001099_067</t>
  </si>
  <si>
    <t>00001123_067</t>
  </si>
  <si>
    <t>00001112_067</t>
  </si>
  <si>
    <t>00001156_067</t>
  </si>
  <si>
    <t>00001192_067</t>
  </si>
  <si>
    <t>00001197_067</t>
  </si>
  <si>
    <t>C1RO 4A00 PROD</t>
  </si>
  <si>
    <t>00001101_067</t>
  </si>
  <si>
    <t>00001118_067</t>
  </si>
  <si>
    <t>00001196_067</t>
  </si>
  <si>
    <t>00001182_067</t>
  </si>
  <si>
    <t>C1ST 3A00 PROD</t>
  </si>
  <si>
    <t>00001219_067</t>
  </si>
  <si>
    <t>00001217_067</t>
  </si>
  <si>
    <t>00001195_067</t>
  </si>
  <si>
    <t>C1TU 1B00 PROD</t>
  </si>
  <si>
    <t>00001145_067</t>
  </si>
  <si>
    <t>00001180_067</t>
  </si>
  <si>
    <t>00001109_067</t>
  </si>
  <si>
    <t>C1TU 4B00 PROD</t>
  </si>
  <si>
    <t>00001083_067</t>
  </si>
  <si>
    <t>00001111_067</t>
  </si>
  <si>
    <t>00001170_067</t>
  </si>
  <si>
    <t>00001090_067</t>
  </si>
  <si>
    <t>00001220_067</t>
  </si>
  <si>
    <t>00001155_067</t>
  </si>
  <si>
    <t>00001100_067</t>
  </si>
  <si>
    <t>G3RO 1H01 PROD</t>
  </si>
  <si>
    <t>00001077_067</t>
  </si>
  <si>
    <t>00001102_067</t>
  </si>
  <si>
    <t>00001103_067</t>
  </si>
  <si>
    <t>00001152_067</t>
  </si>
  <si>
    <t>00001179_067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</si>
</sst>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 #,##0.00_ ;_ * \-#,##0.00_ ;_ * &quot;-&quot;??_ ;_ @_ "/>
  </numFmts>
  <fonts count="6">
    <font>
      <sz val="11"/>
      <color theme="1"/>
      <name val="Calibri"/>
      <family val="2"/>
      <scheme val="minor"/>
    </font>
    <font>
      <b/>
      <sz val="18"/>
      <color theme="3"/>
      <name val="Cambria"/>
      <family val="2"/>
      <scheme val="major"/>
    </font>
    <font>
      <sz val="11"/>
      <color rgb="FF000000"/>
      <name val="Calibri"/>
      <family val="2"/>
      <scheme val="minor"/>
    </font>
    <font>
      <sz val="9"/>
      <name val="Calibri"/>
      <family val="3"/>
      <charset val="134"/>
      <scheme val="minor"/>
    </font>
    <font>
      <sz val="11"/>
      <color theme="1"/>
      <name val="Calibri"/>
      <family val="2"/>
      <scheme val="minor"/>
    </font>
    <font>
      <sz val="11"/>
      <color rgb="FF000000"/>
      <name val="宋体"/>
    </font>
  </fonts>
  <fills count="2">
    <fill>
      <patternFill patternType="none"/>
    </fill>
    <fill>
      <patternFill patternType="gray125"/>
    </fill>
  </fills>
  <borders count="1">
    <border>
      <left/>
      <right/>
      <top/>
      <bottom/>
      <diagonal/>
    </border>
  </borders>
  <cellStyleXfs count="3">
    <xf numFmtId="0" fontId="0" fillId="0" borderId="0"/>
    <xf numFmtId="0" fontId="1" fillId="0" borderId="0" applyNumberFormat="0" applyFill="0" applyBorder="0" applyAlignment="0" applyProtection="0"/>
    <xf numFmtId="164" fontId="4" fillId="0" borderId="0" applyFont="0" applyFill="0" applyBorder="0" applyAlignment="0" applyProtection="0">
      <alignment vertical="center"/>
    </xf>
  </cellStyleXfs>
  <cellXfs count="11">
    <xf numFmtId="0" fontId="0" fillId="0" borderId="0" xfId="0"/>
    <xf numFmtId="14" fontId="0" fillId="0" borderId="0" xfId="0" applyNumberFormat="1"/>
    <xf numFmtId="0" fontId="1" fillId="0" borderId="0" xfId="1"/>
    <xf numFmtId="0" fontId="0" fillId="0" borderId="0" xfId="0" applyNumberFormat="1" applyAlignment="1"/>
    <xf numFmtId="0" fontId="2" fillId="0" borderId="0" xfId="0" applyNumberFormat="1" applyFont="1" applyAlignment="1"/>
    <xf numFmtId="14" fontId="0" fillId="0" borderId="0" xfId="0" applyNumberFormat="1" applyAlignment="1"/>
    <xf numFmtId="14" fontId="2" fillId="0" borderId="0" xfId="0" applyNumberFormat="1" applyFont="1" applyAlignment="1"/>
    <xf numFmtId="0" fontId="0" fillId="0" borderId="0" xfId="0" quotePrefix="1" applyNumberFormat="1" applyAlignment="1"/>
    <xf numFmtId="0" fontId="2" fillId="0" borderId="0" xfId="0" quotePrefix="1" applyNumberFormat="1" applyFont="1" applyAlignment="1"/>
    <xf numFmtId="0" fontId="0" fillId="0" borderId="0" xfId="0" applyAlignment="1">
      <alignment horizontal="left" indent="1"/>
    </xf>
    <xf numFmtId="164" fontId="0" fillId="0" borderId="0" xfId="2" applyFont="1" applyAlignment="1"/>
  </cellXfs>
  <cellStyles count="3">
    <cellStyle name="Comma" xfId="2" builtinId="3"/>
    <cellStyle name="Normal" xfId="0" builtinId="0"/>
    <cellStyle name="Title" xfId="1" builtinId="15"/>
  </cellStyles>
  <dxfs count="35">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19" formatCode="m/d/yyyy"/>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
      <font>
        <b val="0"/>
        <i val="0"/>
        <strike val="0"/>
        <outline val="0"/>
        <shadow val="0"/>
        <u val="none"/>
        <vertAlign val="baseline"/>
        <sz val="11"/>
        <color rgb="FF000000"/>
        <name val="Calibri"/>
        <scheme val="minor"/>
      </font>
      <numFmt numFmtId="0" formatCode="Genera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Development per week/pool</a:t>
            </a:r>
          </a:p>
        </c:rich>
      </c:tx>
      <c:layout/>
      <c:overlay val="0"/>
    </c:title>
    <c:autoTitleDeleted val="0"/>
    <c:plotArea>
      <c:layout/>
      <c:barChart>
        <c:barDir val="col"/>
        <c:grouping val="clustered"/>
        <c:varyColors val="0"/>
        <c:ser>
          <c:idx val="5"/>
          <c:order val="5"/>
          <c:tx>
            <c:v>Overall</c:v>
          </c:tx>
          <c:invertIfNegative val="0"/>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DevelopmentPerPoolWeek!$Q$3:$Q$29</c:f>
              <c:numCache>
                <c:formatCode>_ * #,##0.00_ ;_ * \-#,##0.00_ ;_ * "-"??_ ;_ @_ </c:formatCode>
                <c:ptCount val="27"/>
                <c:pt idx="0">
                  <c:v>0</c:v>
                </c:pt>
                <c:pt idx="1">
                  <c:v>9410.2000000000007</c:v>
                </c:pt>
                <c:pt idx="2">
                  <c:v>10911.14</c:v>
                </c:pt>
                <c:pt idx="3">
                  <c:v>16143.74</c:v>
                </c:pt>
                <c:pt idx="4">
                  <c:v>3846</c:v>
                </c:pt>
                <c:pt idx="5">
                  <c:v>14099.26</c:v>
                </c:pt>
                <c:pt idx="6">
                  <c:v>3981.2200000000003</c:v>
                </c:pt>
                <c:pt idx="7">
                  <c:v>9217.0400000000009</c:v>
                </c:pt>
                <c:pt idx="8">
                  <c:v>-561.6</c:v>
                </c:pt>
                <c:pt idx="9">
                  <c:v>19571.449999999997</c:v>
                </c:pt>
                <c:pt idx="10">
                  <c:v>2818</c:v>
                </c:pt>
                <c:pt idx="11">
                  <c:v>18267.849999999999</c:v>
                </c:pt>
                <c:pt idx="12">
                  <c:v>8298.32</c:v>
                </c:pt>
                <c:pt idx="13">
                  <c:v>20101.16</c:v>
                </c:pt>
                <c:pt idx="14">
                  <c:v>27171</c:v>
                </c:pt>
                <c:pt idx="15">
                  <c:v>13153.32</c:v>
                </c:pt>
                <c:pt idx="16">
                  <c:v>9794.5</c:v>
                </c:pt>
                <c:pt idx="17">
                  <c:v>2357.5700000000002</c:v>
                </c:pt>
                <c:pt idx="18">
                  <c:v>12668.9</c:v>
                </c:pt>
                <c:pt idx="19">
                  <c:v>9677.31</c:v>
                </c:pt>
                <c:pt idx="20">
                  <c:v>10906.83</c:v>
                </c:pt>
                <c:pt idx="21">
                  <c:v>4867.78</c:v>
                </c:pt>
                <c:pt idx="22">
                  <c:v>17807.900000000001</c:v>
                </c:pt>
                <c:pt idx="23">
                  <c:v>8933.17</c:v>
                </c:pt>
                <c:pt idx="24">
                  <c:v>11172.26</c:v>
                </c:pt>
                <c:pt idx="25">
                  <c:v>0</c:v>
                </c:pt>
                <c:pt idx="26">
                  <c:v>0</c:v>
                </c:pt>
              </c:numCache>
            </c:numRef>
          </c:val>
        </c:ser>
        <c:dLbls>
          <c:showLegendKey val="0"/>
          <c:showVal val="0"/>
          <c:showCatName val="0"/>
          <c:showSerName val="0"/>
          <c:showPercent val="0"/>
          <c:showBubbleSize val="0"/>
        </c:dLbls>
        <c:gapWidth val="150"/>
        <c:axId val="84702336"/>
        <c:axId val="84703872"/>
      </c:barChart>
      <c:lineChart>
        <c:grouping val="standard"/>
        <c:varyColors val="0"/>
        <c:ser>
          <c:idx val="0"/>
          <c:order val="0"/>
          <c:tx>
            <c:v>A</c:v>
          </c:tx>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DevelopmentPerPoolWeek!$B$3:$B$29</c:f>
              <c:numCache>
                <c:formatCode>_ * #,##0.00_ ;_ * \-#,##0.00_ ;_ * "-"??_ ;_ @_ </c:formatCode>
                <c:ptCount val="27"/>
                <c:pt idx="0">
                  <c:v>0</c:v>
                </c:pt>
                <c:pt idx="1">
                  <c:v>1640.5</c:v>
                </c:pt>
                <c:pt idx="2">
                  <c:v>5359</c:v>
                </c:pt>
                <c:pt idx="3">
                  <c:v>12445.1</c:v>
                </c:pt>
                <c:pt idx="4">
                  <c:v>1737</c:v>
                </c:pt>
                <c:pt idx="5">
                  <c:v>6762.4000000000005</c:v>
                </c:pt>
                <c:pt idx="6">
                  <c:v>3981.2200000000003</c:v>
                </c:pt>
                <c:pt idx="7">
                  <c:v>2293</c:v>
                </c:pt>
                <c:pt idx="8">
                  <c:v>0</c:v>
                </c:pt>
                <c:pt idx="9">
                  <c:v>11644.4</c:v>
                </c:pt>
                <c:pt idx="10">
                  <c:v>0</c:v>
                </c:pt>
                <c:pt idx="11">
                  <c:v>3774.3199999999997</c:v>
                </c:pt>
                <c:pt idx="12">
                  <c:v>5801.32</c:v>
                </c:pt>
                <c:pt idx="13">
                  <c:v>3101.16</c:v>
                </c:pt>
                <c:pt idx="14">
                  <c:v>0</c:v>
                </c:pt>
                <c:pt idx="15">
                  <c:v>6064</c:v>
                </c:pt>
                <c:pt idx="16">
                  <c:v>7990</c:v>
                </c:pt>
                <c:pt idx="17">
                  <c:v>2339.5</c:v>
                </c:pt>
                <c:pt idx="18">
                  <c:v>12668.9</c:v>
                </c:pt>
                <c:pt idx="19">
                  <c:v>2697.31</c:v>
                </c:pt>
                <c:pt idx="20">
                  <c:v>3104</c:v>
                </c:pt>
                <c:pt idx="21">
                  <c:v>2513.7799999999997</c:v>
                </c:pt>
                <c:pt idx="22">
                  <c:v>8833.9</c:v>
                </c:pt>
                <c:pt idx="23">
                  <c:v>2100</c:v>
                </c:pt>
                <c:pt idx="24">
                  <c:v>3147.76</c:v>
                </c:pt>
                <c:pt idx="25">
                  <c:v>0</c:v>
                </c:pt>
                <c:pt idx="26">
                  <c:v>0</c:v>
                </c:pt>
              </c:numCache>
            </c:numRef>
          </c:val>
          <c:smooth val="0"/>
        </c:ser>
        <c:ser>
          <c:idx val="1"/>
          <c:order val="1"/>
          <c:tx>
            <c:v>B</c:v>
          </c:tx>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DevelopmentPerPoolWeek!$E$3:$E$29</c:f>
              <c:numCache>
                <c:formatCode>_ * #,##0.00_ ;_ * \-#,##0.00_ ;_ * "-"??_ ;_ @_ </c:formatCode>
                <c:ptCount val="27"/>
                <c:pt idx="0">
                  <c:v>0</c:v>
                </c:pt>
                <c:pt idx="1">
                  <c:v>0</c:v>
                </c:pt>
                <c:pt idx="2">
                  <c:v>5552.1399999999994</c:v>
                </c:pt>
                <c:pt idx="3">
                  <c:v>3698.64</c:v>
                </c:pt>
                <c:pt idx="4">
                  <c:v>0</c:v>
                </c:pt>
                <c:pt idx="5">
                  <c:v>7335.8600000000006</c:v>
                </c:pt>
                <c:pt idx="6">
                  <c:v>0</c:v>
                </c:pt>
                <c:pt idx="7">
                  <c:v>3630.69</c:v>
                </c:pt>
                <c:pt idx="8">
                  <c:v>0</c:v>
                </c:pt>
                <c:pt idx="9">
                  <c:v>3614.42</c:v>
                </c:pt>
                <c:pt idx="10">
                  <c:v>2329</c:v>
                </c:pt>
                <c:pt idx="11">
                  <c:v>7236.5300000000007</c:v>
                </c:pt>
                <c:pt idx="12">
                  <c:v>0</c:v>
                </c:pt>
                <c:pt idx="13">
                  <c:v>14000</c:v>
                </c:pt>
                <c:pt idx="14">
                  <c:v>26000</c:v>
                </c:pt>
                <c:pt idx="15">
                  <c:v>3601.32</c:v>
                </c:pt>
                <c:pt idx="16">
                  <c:v>602</c:v>
                </c:pt>
                <c:pt idx="17">
                  <c:v>18.07</c:v>
                </c:pt>
                <c:pt idx="18">
                  <c:v>0</c:v>
                </c:pt>
                <c:pt idx="19">
                  <c:v>3233</c:v>
                </c:pt>
                <c:pt idx="20">
                  <c:v>7243.63</c:v>
                </c:pt>
                <c:pt idx="21">
                  <c:v>1360</c:v>
                </c:pt>
                <c:pt idx="22">
                  <c:v>2298</c:v>
                </c:pt>
                <c:pt idx="23">
                  <c:v>5161.17</c:v>
                </c:pt>
                <c:pt idx="24">
                  <c:v>5224.5</c:v>
                </c:pt>
                <c:pt idx="25">
                  <c:v>0</c:v>
                </c:pt>
                <c:pt idx="26">
                  <c:v>0</c:v>
                </c:pt>
              </c:numCache>
            </c:numRef>
          </c:val>
          <c:smooth val="0"/>
        </c:ser>
        <c:ser>
          <c:idx val="2"/>
          <c:order val="2"/>
          <c:tx>
            <c:v>C</c:v>
          </c:tx>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DevelopmentPerPoolWeek!$H$3:$H$29</c:f>
              <c:numCache>
                <c:formatCode>_ * #,##0.00_ ;_ * \-#,##0.00_ ;_ * "-"??_ ;_ @_ </c:formatCode>
                <c:ptCount val="27"/>
                <c:pt idx="0">
                  <c:v>0</c:v>
                </c:pt>
                <c:pt idx="1">
                  <c:v>7170</c:v>
                </c:pt>
                <c:pt idx="2">
                  <c:v>0</c:v>
                </c:pt>
                <c:pt idx="3">
                  <c:v>0</c:v>
                </c:pt>
                <c:pt idx="4">
                  <c:v>2109</c:v>
                </c:pt>
                <c:pt idx="5">
                  <c:v>1</c:v>
                </c:pt>
                <c:pt idx="6">
                  <c:v>0</c:v>
                </c:pt>
                <c:pt idx="7">
                  <c:v>3293.35</c:v>
                </c:pt>
                <c:pt idx="8">
                  <c:v>-561.6</c:v>
                </c:pt>
                <c:pt idx="9">
                  <c:v>4309.63</c:v>
                </c:pt>
                <c:pt idx="10">
                  <c:v>0</c:v>
                </c:pt>
                <c:pt idx="11">
                  <c:v>7257</c:v>
                </c:pt>
                <c:pt idx="12">
                  <c:v>2497</c:v>
                </c:pt>
                <c:pt idx="13">
                  <c:v>3000</c:v>
                </c:pt>
                <c:pt idx="14">
                  <c:v>1171</c:v>
                </c:pt>
                <c:pt idx="15">
                  <c:v>3488</c:v>
                </c:pt>
                <c:pt idx="16">
                  <c:v>1202.5</c:v>
                </c:pt>
                <c:pt idx="17">
                  <c:v>0</c:v>
                </c:pt>
                <c:pt idx="18">
                  <c:v>0</c:v>
                </c:pt>
                <c:pt idx="19">
                  <c:v>3747</c:v>
                </c:pt>
                <c:pt idx="20">
                  <c:v>559.20000000000005</c:v>
                </c:pt>
                <c:pt idx="21">
                  <c:v>994</c:v>
                </c:pt>
                <c:pt idx="22">
                  <c:v>6676</c:v>
                </c:pt>
                <c:pt idx="23">
                  <c:v>1672</c:v>
                </c:pt>
                <c:pt idx="24">
                  <c:v>2800</c:v>
                </c:pt>
                <c:pt idx="25">
                  <c:v>0</c:v>
                </c:pt>
                <c:pt idx="26">
                  <c:v>0</c:v>
                </c:pt>
              </c:numCache>
            </c:numRef>
          </c:val>
          <c:smooth val="0"/>
        </c:ser>
        <c:ser>
          <c:idx val="3"/>
          <c:order val="3"/>
          <c:tx>
            <c:v>D</c:v>
          </c:tx>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DevelopmentPerPoolWeek!$K$3:$K$29</c:f>
              <c:numCache>
                <c:formatCode>_ * #,##0.00_ ;_ * \-#,##0.00_ ;_ * "-"??_ ;_ @_ </c:formatCode>
                <c:ptCount val="27"/>
                <c:pt idx="0">
                  <c:v>0</c:v>
                </c:pt>
                <c:pt idx="1">
                  <c:v>599.70000000000005</c:v>
                </c:pt>
                <c:pt idx="2">
                  <c:v>0</c:v>
                </c:pt>
                <c:pt idx="3">
                  <c:v>0</c:v>
                </c:pt>
                <c:pt idx="4">
                  <c:v>0</c:v>
                </c:pt>
                <c:pt idx="5">
                  <c:v>0</c:v>
                </c:pt>
                <c:pt idx="6">
                  <c:v>0</c:v>
                </c:pt>
                <c:pt idx="7">
                  <c:v>0</c:v>
                </c:pt>
                <c:pt idx="8">
                  <c:v>0</c:v>
                </c:pt>
                <c:pt idx="9">
                  <c:v>0</c:v>
                </c:pt>
                <c:pt idx="10">
                  <c:v>489</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smooth val="0"/>
        </c:ser>
        <c:ser>
          <c:idx val="4"/>
          <c:order val="4"/>
          <c:tx>
            <c:v/>
          </c:tx>
          <c:cat>
            <c:numRef>
              <c:f>DevelopmentPerPoolWeek!$A$3:$A$29</c:f>
              <c:numCache>
                <c:formatCode>General</c:formatCode>
                <c:ptCount val="27"/>
                <c:pt idx="0">
                  <c:v>202101</c:v>
                </c:pt>
                <c:pt idx="1">
                  <c:v>202102</c:v>
                </c:pt>
                <c:pt idx="2">
                  <c:v>202103</c:v>
                </c:pt>
                <c:pt idx="3">
                  <c:v>202104</c:v>
                </c:pt>
                <c:pt idx="4">
                  <c:v>202105</c:v>
                </c:pt>
                <c:pt idx="5">
                  <c:v>202106</c:v>
                </c:pt>
                <c:pt idx="6">
                  <c:v>202107</c:v>
                </c:pt>
                <c:pt idx="7">
                  <c:v>202108</c:v>
                </c:pt>
                <c:pt idx="8">
                  <c:v>202109</c:v>
                </c:pt>
                <c:pt idx="9">
                  <c:v>202110</c:v>
                </c:pt>
                <c:pt idx="10">
                  <c:v>202111</c:v>
                </c:pt>
                <c:pt idx="11">
                  <c:v>202112</c:v>
                </c:pt>
                <c:pt idx="12">
                  <c:v>202113</c:v>
                </c:pt>
                <c:pt idx="13">
                  <c:v>202114</c:v>
                </c:pt>
                <c:pt idx="14">
                  <c:v>202115</c:v>
                </c:pt>
                <c:pt idx="15">
                  <c:v>202116</c:v>
                </c:pt>
                <c:pt idx="16">
                  <c:v>202117</c:v>
                </c:pt>
                <c:pt idx="17">
                  <c:v>202118</c:v>
                </c:pt>
                <c:pt idx="18">
                  <c:v>202119</c:v>
                </c:pt>
                <c:pt idx="19">
                  <c:v>202120</c:v>
                </c:pt>
                <c:pt idx="20">
                  <c:v>202121</c:v>
                </c:pt>
                <c:pt idx="21">
                  <c:v>202122</c:v>
                </c:pt>
                <c:pt idx="22">
                  <c:v>202123</c:v>
                </c:pt>
                <c:pt idx="23">
                  <c:v>202124</c:v>
                </c:pt>
                <c:pt idx="24">
                  <c:v>202125</c:v>
                </c:pt>
                <c:pt idx="25">
                  <c:v>202126</c:v>
                </c:pt>
                <c:pt idx="26">
                  <c:v>202127</c:v>
                </c:pt>
              </c:numCache>
            </c:numRef>
          </c:cat>
          <c:val>
            <c:numRef>
              <c:f>DevelopmentPerPoolWeek!$N$3:$N$29</c:f>
              <c:numCache>
                <c:formatCode>_ * #,##0.00_ ;_ * \-#,##0.00_ ;_ * "-"??_ ;_ @_ </c:formatCode>
                <c:ptCount val="27"/>
                <c:pt idx="0">
                  <c:v>0</c:v>
                </c:pt>
                <c:pt idx="1">
                  <c:v>0</c:v>
                </c:pt>
                <c:pt idx="2">
                  <c:v>0</c:v>
                </c:pt>
                <c:pt idx="3">
                  <c:v>0</c:v>
                </c:pt>
                <c:pt idx="4">
                  <c:v>0</c:v>
                </c:pt>
                <c:pt idx="5">
                  <c:v>0</c:v>
                </c:pt>
                <c:pt idx="6">
                  <c:v>0</c:v>
                </c:pt>
                <c:pt idx="7">
                  <c:v>0</c:v>
                </c:pt>
                <c:pt idx="8">
                  <c:v>0</c:v>
                </c:pt>
                <c:pt idx="9">
                  <c:v>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smooth val="0"/>
        </c:ser>
        <c:dLbls>
          <c:showLegendKey val="0"/>
          <c:showVal val="0"/>
          <c:showCatName val="0"/>
          <c:showSerName val="0"/>
          <c:showPercent val="0"/>
          <c:showBubbleSize val="0"/>
        </c:dLbls>
        <c:marker val="1"/>
        <c:smooth val="0"/>
        <c:axId val="84702336"/>
        <c:axId val="84703872"/>
      </c:lineChart>
      <c:catAx>
        <c:axId val="84702336"/>
        <c:scaling>
          <c:orientation val="minMax"/>
        </c:scaling>
        <c:delete val="0"/>
        <c:axPos val="b"/>
        <c:numFmt formatCode="General" sourceLinked="1"/>
        <c:majorTickMark val="out"/>
        <c:minorTickMark val="none"/>
        <c:tickLblPos val="nextTo"/>
        <c:crossAx val="84703872"/>
        <c:crosses val="autoZero"/>
        <c:auto val="1"/>
        <c:lblAlgn val="ctr"/>
        <c:lblOffset val="100"/>
        <c:noMultiLvlLbl val="0"/>
      </c:catAx>
      <c:valAx>
        <c:axId val="84703872"/>
        <c:scaling>
          <c:orientation val="minMax"/>
        </c:scaling>
        <c:delete val="0"/>
        <c:axPos val="l"/>
        <c:majorGridlines/>
        <c:numFmt formatCode="_ * #,##0.00_ ;_ * \-#,##0.00_ ;_ * &quot;-&quot;??_ ;_ @_ " sourceLinked="1"/>
        <c:majorTickMark val="out"/>
        <c:minorTickMark val="none"/>
        <c:tickLblPos val="nextTo"/>
        <c:crossAx val="847023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4</xdr:row>
          <xdr:rowOff>0</xdr:rowOff>
        </xdr:from>
        <xdr:to>
          <xdr:col>8</xdr:col>
          <xdr:colOff>0</xdr:colOff>
          <xdr:row>6</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宋体"/>
                  <a:ea typeface="宋体"/>
                </a:rPr>
                <a:t>Generate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9</xdr:row>
      <xdr:rowOff>0</xdr:rowOff>
    </xdr:from>
    <xdr:to>
      <xdr:col>21</xdr:col>
      <xdr:colOff>238125</xdr:colOff>
      <xdr:row>36</xdr:row>
      <xdr:rowOff>161925</xdr:rowOff>
    </xdr:to>
    <xdr:graphicFrame macro="">
      <xdr:nvGraphicFramePr>
        <xdr:cNvPr id="2" name="DevelopmentPerWeekPool"/>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2" name="OverallReport" displayName="OverallReport" ref="B2:E8" totalsRowShown="0" headerRowDxfId="13" dataDxfId="14" headerRowCellStyle="Comma" dataCellStyle="Comma">
  <autoFilter ref="B2:E8"/>
  <tableColumns count="4">
    <tableColumn id="1" name="Pool" dataDxfId="18" dataCellStyle="Comma"/>
    <tableColumn id="2" name="Quantity in meters" dataDxfId="17" dataCellStyle="Comma"/>
    <tableColumn id="3" name="Avg per day" dataDxfId="16" dataCellStyle="Comma"/>
    <tableColumn id="4" name="Avg per week" dataDxfId="15" dataCellStyle="Comma"/>
  </tableColumns>
  <tableStyleInfo name="TableStyleMedium2" showFirstColumn="0" showLastColumn="0" showRowStripes="1" showColumnStripes="0"/>
</table>
</file>

<file path=xl/tables/table2.xml><?xml version="1.0" encoding="utf-8"?>
<table xmlns="http://schemas.openxmlformats.org/spreadsheetml/2006/main" id="3" name="DevelopmentPerWeek" displayName="DevelopmentPerWeek" ref="A2:S29" totalsRowShown="0" dataDxfId="0" dataCellStyle="Comma">
  <autoFilter ref="A2:S29"/>
  <tableColumns count="19">
    <tableColumn id="1" name="WeekNum"/>
    <tableColumn id="2" name="TotalQty" dataDxfId="12" dataCellStyle="Comma"/>
    <tableColumn id="3" name="OrderCount"/>
    <tableColumn id="4" name="AveragePerWeek" dataDxfId="11" dataCellStyle="Comma"/>
    <tableColumn id="5" name="TotalQty2" dataDxfId="10" dataCellStyle="Comma"/>
    <tableColumn id="6" name="OrderCount3"/>
    <tableColumn id="7" name="AveragePerWeek4" dataDxfId="9" dataCellStyle="Comma"/>
    <tableColumn id="8" name="TotalQty5" dataDxfId="8" dataCellStyle="Comma"/>
    <tableColumn id="9" name="OrderCount6"/>
    <tableColumn id="10" name="AveragePerWeek7" dataDxfId="7" dataCellStyle="Comma"/>
    <tableColumn id="11" name="TotalQty8" dataDxfId="6" dataCellStyle="Comma"/>
    <tableColumn id="12" name="OrderCount9"/>
    <tableColumn id="13" name="AveragePerWeek10" dataDxfId="5" dataCellStyle="Comma"/>
    <tableColumn id="14" name="TotalQty11" dataDxfId="4" dataCellStyle="Comma"/>
    <tableColumn id="15" name="OrderCount12"/>
    <tableColumn id="16" name="AveragePerWeek13" dataDxfId="3" dataCellStyle="Comma"/>
    <tableColumn id="17" name="TotalQty14" dataDxfId="2" dataCellStyle="Comma"/>
    <tableColumn id="18" name="OrderCount15"/>
    <tableColumn id="19" name="AveragePerWeek16" dataDxfId="1" dataCellStyle="Comma"/>
  </tableColumns>
  <tableStyleInfo name="TableStyleMedium2" showFirstColumn="0" showLastColumn="0" showRowStripes="1" showColumnStripes="0"/>
</table>
</file>

<file path=xl/tables/table3.xml><?xml version="1.0" encoding="utf-8"?>
<table xmlns="http://schemas.openxmlformats.org/spreadsheetml/2006/main" id="1" name="AtlasReport_1_Table_1" displayName="AtlasReport_1_Table_1" ref="A2:H119" totalsRowCount="1">
  <autoFilter ref="A2:H118"/>
  <tableColumns count="8">
    <tableColumn id="1" name="Production" totalsRowLabel="Total" dataDxfId="34" totalsRowDxfId="27"/>
    <tableColumn id="2" name="Item number" dataDxfId="33" totalsRowDxfId="26"/>
    <tableColumn id="3" name="Pool" dataDxfId="32" totalsRowDxfId="25"/>
    <tableColumn id="4" name="Date" dataDxfId="31" totalsRowDxfId="24"/>
    <tableColumn id="5" name="WeekNum" dataDxfId="19" totalsRowDxfId="23">
      <calculatedColumnFormula>YEAR(AtlasReport_1_Table_1[[#This Row],[Date]]) &amp; TEXT(WEEKNUM(AtlasReport_1_Table_1[[#This Row],[Date]]),"00")</calculatedColumnFormula>
    </tableColumn>
    <tableColumn id="6" name="Error quantity" totalsRowFunction="sum" dataDxfId="30" totalsRowDxfId="22"/>
    <tableColumn id="7" name="Good quantity" totalsRowFunction="sum" dataDxfId="29" totalsRowDxfId="21"/>
    <tableColumn id="8" name="Unit" dataDxfId="28" totalsRowDxfId="2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eneral"/>
  <dimension ref="B1:R20"/>
  <sheetViews>
    <sheetView tabSelected="1" workbookViewId="0">
      <selection activeCell="C6" sqref="C6"/>
    </sheetView>
  </sheetViews>
  <sheetFormatPr defaultRowHeight="15"/>
  <cols>
    <col min="2" max="2" width="12" bestFit="1" customWidth="1"/>
    <col min="3" max="3" width="11.42578125" customWidth="1"/>
    <col min="6" max="6" width="12.140625" bestFit="1" customWidth="1"/>
    <col min="7" max="7" width="12.42578125" bestFit="1" customWidth="1"/>
    <col min="13" max="13" width="10.42578125" bestFit="1" customWidth="1"/>
    <col min="17" max="17" width="10.7109375" bestFit="1" customWidth="1"/>
  </cols>
  <sheetData>
    <row r="1" spans="2:15">
      <c r="F1" t="s">
        <v>15</v>
      </c>
      <c r="G1" t="str">
        <f>GetDateFormat()</f>
        <v>mm/dd/yyyy</v>
      </c>
      <c r="M1" t="s">
        <v>87</v>
      </c>
    </row>
    <row r="2" spans="2:15">
      <c r="B2" t="s">
        <v>14</v>
      </c>
      <c r="C2">
        <v>372</v>
      </c>
      <c r="M2" s="1">
        <v>44364</v>
      </c>
      <c r="N2" t="s">
        <v>88</v>
      </c>
      <c r="O2" t="s">
        <v>89</v>
      </c>
    </row>
    <row r="3" spans="2:15">
      <c r="M3" s="1">
        <v>44365</v>
      </c>
      <c r="N3" t="s">
        <v>90</v>
      </c>
      <c r="O3" t="s">
        <v>108</v>
      </c>
    </row>
    <row r="4" spans="2:15">
      <c r="B4" t="s">
        <v>16</v>
      </c>
      <c r="C4" s="1">
        <v>44197</v>
      </c>
      <c r="M4" s="1">
        <v>44370</v>
      </c>
      <c r="N4" t="s">
        <v>109</v>
      </c>
      <c r="O4" t="s">
        <v>110</v>
      </c>
    </row>
    <row r="5" spans="2:15">
      <c r="B5" t="s">
        <v>17</v>
      </c>
      <c r="C5" s="1">
        <v>44377</v>
      </c>
    </row>
    <row r="6" spans="2:15">
      <c r="B6" t="s">
        <v>18</v>
      </c>
      <c r="C6" t="str">
        <f>TEXT(FromDate,DateFormat) &amp; " .. " &amp; TEXT(ToDate,DateFormat)</f>
        <v>01/01/2021 .. 06/30/2021</v>
      </c>
    </row>
    <row r="8" spans="2:15">
      <c r="B8" t="s">
        <v>19</v>
      </c>
      <c r="C8" t="s">
        <v>59</v>
      </c>
    </row>
    <row r="13" spans="2:15">
      <c r="B13" t="s">
        <v>55</v>
      </c>
    </row>
    <row r="14" spans="2:15">
      <c r="B14" t="s">
        <v>56</v>
      </c>
    </row>
    <row r="15" spans="2:15">
      <c r="B15" t="s">
        <v>57</v>
      </c>
    </row>
    <row r="16" spans="2:15">
      <c r="B16" t="s">
        <v>58</v>
      </c>
    </row>
    <row r="20" spans="17:18">
      <c r="Q20" s="1"/>
      <c r="R20" s="1"/>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6</xdr:col>
                    <xdr:colOff>0</xdr:colOff>
                    <xdr:row>4</xdr:row>
                    <xdr:rowOff>0</xdr:rowOff>
                  </from>
                  <to>
                    <xdr:col>8</xdr:col>
                    <xdr:colOff>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
  <dimension ref="B2:E8"/>
  <sheetViews>
    <sheetView workbookViewId="0">
      <selection activeCell="B3" sqref="B3:B7"/>
    </sheetView>
  </sheetViews>
  <sheetFormatPr defaultRowHeight="15"/>
  <cols>
    <col min="2" max="2" width="9.42578125" customWidth="1"/>
    <col min="3" max="3" width="25.28515625" customWidth="1"/>
    <col min="4" max="4" width="17.42578125" customWidth="1"/>
    <col min="5" max="5" width="18.42578125" customWidth="1"/>
    <col min="6" max="6" width="8.7109375" customWidth="1"/>
    <col min="7" max="10" width="9.7109375" bestFit="1" customWidth="1"/>
    <col min="11" max="11" width="11.5703125" bestFit="1" customWidth="1"/>
    <col min="12" max="14" width="9.7109375" bestFit="1" customWidth="1"/>
    <col min="15" max="19" width="8.7109375" customWidth="1"/>
    <col min="20" max="25" width="9.7109375" bestFit="1" customWidth="1"/>
    <col min="26" max="30" width="8.7109375" customWidth="1"/>
    <col min="31" max="41" width="9.7109375" bestFit="1" customWidth="1"/>
    <col min="42" max="42" width="11.28515625" bestFit="1" customWidth="1"/>
  </cols>
  <sheetData>
    <row r="2" spans="2:5">
      <c r="B2" s="10" t="s">
        <v>27</v>
      </c>
      <c r="C2" s="10" t="s">
        <v>53</v>
      </c>
      <c r="D2" s="10" t="s">
        <v>50</v>
      </c>
      <c r="E2" s="10" t="s">
        <v>51</v>
      </c>
    </row>
    <row r="3" spans="2:5">
      <c r="B3" s="10" t="s">
        <v>28</v>
      </c>
      <c r="C3" s="10">
        <v>109998.56999999999</v>
      </c>
      <c r="D3" s="10">
        <v>814.80422222222217</v>
      </c>
      <c r="E3" s="10">
        <v>4074.0211111111107</v>
      </c>
    </row>
    <row r="4" spans="2:5">
      <c r="B4" s="10" t="s">
        <v>29</v>
      </c>
      <c r="C4" s="10">
        <v>102138.97</v>
      </c>
      <c r="D4" s="10">
        <v>756.584962962963</v>
      </c>
      <c r="E4" s="10">
        <v>3782.9248148148149</v>
      </c>
    </row>
    <row r="5" spans="2:5">
      <c r="B5" s="10" t="s">
        <v>30</v>
      </c>
      <c r="C5" s="10">
        <v>51385.08</v>
      </c>
      <c r="D5" s="10">
        <v>380.63022222222224</v>
      </c>
      <c r="E5" s="10">
        <v>1903.1511111111113</v>
      </c>
    </row>
    <row r="6" spans="2:5">
      <c r="B6" s="10" t="s">
        <v>31</v>
      </c>
      <c r="C6" s="10">
        <v>1088.7</v>
      </c>
      <c r="D6" s="10">
        <v>8.0644444444444439</v>
      </c>
      <c r="E6" s="10">
        <v>40.322222222222223</v>
      </c>
    </row>
    <row r="7" spans="2:5">
      <c r="B7" s="10"/>
      <c r="C7" s="10">
        <v>3</v>
      </c>
      <c r="D7" s="10">
        <v>2.222222222222222E-2</v>
      </c>
      <c r="E7" s="10">
        <v>0.1111111111111111</v>
      </c>
    </row>
    <row r="8" spans="2:5">
      <c r="B8" s="10" t="s">
        <v>52</v>
      </c>
      <c r="C8" s="10">
        <v>264614.32</v>
      </c>
      <c r="D8" s="10">
        <v>1960.1060740740741</v>
      </c>
      <c r="E8" s="10">
        <v>9800.5303703703703</v>
      </c>
    </row>
  </sheetData>
  <sortState ref="B3:B7">
    <sortCondition ref="B3:B7"/>
  </sortState>
  <phoneticPr fontId="3" type="noConversion"/>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ReportDev"/>
  <dimension ref="A1:S29"/>
  <sheetViews>
    <sheetView workbookViewId="0">
      <selection activeCell="F27" sqref="F27"/>
    </sheetView>
  </sheetViews>
  <sheetFormatPr defaultRowHeight="15"/>
  <cols>
    <col min="1" max="1" width="12.7109375" customWidth="1"/>
    <col min="2" max="2" width="10.7109375" customWidth="1"/>
    <col min="3" max="3" width="13.5703125" customWidth="1"/>
    <col min="4" max="4" width="18.7109375" customWidth="1"/>
    <col min="5" max="5" width="11.7109375" customWidth="1"/>
    <col min="6" max="6" width="14.5703125" customWidth="1"/>
    <col min="7" max="7" width="19.7109375" customWidth="1"/>
    <col min="8" max="8" width="11.7109375" customWidth="1"/>
    <col min="9" max="9" width="14.5703125" customWidth="1"/>
    <col min="10" max="10" width="19.7109375" customWidth="1"/>
    <col min="11" max="11" width="11.7109375" customWidth="1"/>
    <col min="12" max="12" width="14.5703125" customWidth="1"/>
    <col min="13" max="13" width="20.7109375" customWidth="1"/>
    <col min="14" max="14" width="12.7109375" customWidth="1"/>
    <col min="15" max="15" width="15.5703125" customWidth="1"/>
    <col min="16" max="16" width="20.7109375" customWidth="1"/>
    <col min="17" max="17" width="12.7109375" customWidth="1"/>
    <col min="18" max="18" width="15.5703125" customWidth="1"/>
    <col min="19" max="19" width="20.7109375" customWidth="1"/>
  </cols>
  <sheetData>
    <row r="1" spans="1:19">
      <c r="B1" t="s">
        <v>28</v>
      </c>
      <c r="E1" t="s">
        <v>29</v>
      </c>
      <c r="H1" t="s">
        <v>30</v>
      </c>
      <c r="K1" t="s">
        <v>31</v>
      </c>
      <c r="Q1" t="s">
        <v>52</v>
      </c>
    </row>
    <row r="2" spans="1:19">
      <c r="A2" t="s">
        <v>34</v>
      </c>
      <c r="B2" t="s">
        <v>54</v>
      </c>
      <c r="C2" t="s">
        <v>85</v>
      </c>
      <c r="D2" t="s">
        <v>86</v>
      </c>
      <c r="E2" t="s">
        <v>91</v>
      </c>
      <c r="F2" t="s">
        <v>92</v>
      </c>
      <c r="G2" t="s">
        <v>93</v>
      </c>
      <c r="H2" t="s">
        <v>94</v>
      </c>
      <c r="I2" t="s">
        <v>95</v>
      </c>
      <c r="J2" t="s">
        <v>96</v>
      </c>
      <c r="K2" t="s">
        <v>97</v>
      </c>
      <c r="L2" t="s">
        <v>98</v>
      </c>
      <c r="M2" t="s">
        <v>99</v>
      </c>
      <c r="N2" t="s">
        <v>100</v>
      </c>
      <c r="O2" t="s">
        <v>101</v>
      </c>
      <c r="P2" t="s">
        <v>102</v>
      </c>
      <c r="Q2" t="s">
        <v>103</v>
      </c>
      <c r="R2" t="s">
        <v>104</v>
      </c>
      <c r="S2" t="s">
        <v>105</v>
      </c>
    </row>
    <row r="3" spans="1:19">
      <c r="A3">
        <v>202101</v>
      </c>
      <c r="B3" s="10">
        <v>0</v>
      </c>
      <c r="C3">
        <v>0</v>
      </c>
      <c r="D3" s="10">
        <v>0</v>
      </c>
      <c r="E3" s="10">
        <v>0</v>
      </c>
      <c r="F3">
        <v>0</v>
      </c>
      <c r="G3" s="10">
        <v>0</v>
      </c>
      <c r="H3" s="10">
        <v>0</v>
      </c>
      <c r="I3">
        <v>0</v>
      </c>
      <c r="J3" s="10">
        <v>0</v>
      </c>
      <c r="K3" s="10">
        <v>0</v>
      </c>
      <c r="L3">
        <v>0</v>
      </c>
      <c r="M3" s="10">
        <v>0</v>
      </c>
      <c r="N3" s="10">
        <v>0</v>
      </c>
      <c r="O3">
        <v>0</v>
      </c>
      <c r="P3" s="10">
        <v>0</v>
      </c>
      <c r="Q3" s="10">
        <v>0</v>
      </c>
      <c r="R3">
        <v>0</v>
      </c>
      <c r="S3" s="10">
        <v>0</v>
      </c>
    </row>
    <row r="4" spans="1:19">
      <c r="A4">
        <v>202102</v>
      </c>
      <c r="B4" s="10">
        <v>1640.5</v>
      </c>
      <c r="C4">
        <v>2</v>
      </c>
      <c r="D4" s="10">
        <v>820.25</v>
      </c>
      <c r="E4" s="10">
        <v>0</v>
      </c>
      <c r="F4">
        <v>0</v>
      </c>
      <c r="G4" s="10">
        <v>0</v>
      </c>
      <c r="H4" s="10">
        <v>7170</v>
      </c>
      <c r="I4">
        <v>3</v>
      </c>
      <c r="J4" s="10">
        <v>2390</v>
      </c>
      <c r="K4" s="10">
        <v>599.70000000000005</v>
      </c>
      <c r="L4">
        <v>1</v>
      </c>
      <c r="M4" s="10">
        <v>599.70000000000005</v>
      </c>
      <c r="N4" s="10">
        <v>0</v>
      </c>
      <c r="O4">
        <v>0</v>
      </c>
      <c r="P4" s="10">
        <v>0</v>
      </c>
      <c r="Q4" s="10">
        <v>9410.2000000000007</v>
      </c>
      <c r="R4">
        <v>6</v>
      </c>
      <c r="S4" s="10">
        <v>1568.3666666666668</v>
      </c>
    </row>
    <row r="5" spans="1:19">
      <c r="A5">
        <v>202103</v>
      </c>
      <c r="B5" s="10">
        <v>5359</v>
      </c>
      <c r="C5">
        <v>3</v>
      </c>
      <c r="D5" s="10">
        <v>1786.3333333333333</v>
      </c>
      <c r="E5" s="10">
        <v>5552.1399999999994</v>
      </c>
      <c r="F5">
        <v>2</v>
      </c>
      <c r="G5" s="10">
        <v>2776.0699999999997</v>
      </c>
      <c r="H5" s="10">
        <v>0</v>
      </c>
      <c r="I5">
        <v>0</v>
      </c>
      <c r="J5" s="10">
        <v>0</v>
      </c>
      <c r="K5" s="10">
        <v>0</v>
      </c>
      <c r="L5">
        <v>0</v>
      </c>
      <c r="M5" s="10">
        <v>0</v>
      </c>
      <c r="N5" s="10">
        <v>0</v>
      </c>
      <c r="O5">
        <v>0</v>
      </c>
      <c r="P5" s="10">
        <v>0</v>
      </c>
      <c r="Q5" s="10">
        <v>10911.14</v>
      </c>
      <c r="R5">
        <v>5</v>
      </c>
      <c r="S5" s="10">
        <v>2182.2280000000001</v>
      </c>
    </row>
    <row r="6" spans="1:19">
      <c r="A6">
        <v>202104</v>
      </c>
      <c r="B6" s="10">
        <v>12445.1</v>
      </c>
      <c r="C6">
        <v>4</v>
      </c>
      <c r="D6" s="10">
        <v>3111.2750000000001</v>
      </c>
      <c r="E6" s="10">
        <v>3698.64</v>
      </c>
      <c r="F6">
        <v>1</v>
      </c>
      <c r="G6" s="10">
        <v>3698.64</v>
      </c>
      <c r="H6" s="10">
        <v>0</v>
      </c>
      <c r="I6">
        <v>0</v>
      </c>
      <c r="J6" s="10">
        <v>0</v>
      </c>
      <c r="K6" s="10">
        <v>0</v>
      </c>
      <c r="L6">
        <v>0</v>
      </c>
      <c r="M6" s="10">
        <v>0</v>
      </c>
      <c r="N6" s="10">
        <v>0</v>
      </c>
      <c r="O6">
        <v>0</v>
      </c>
      <c r="P6" s="10">
        <v>0</v>
      </c>
      <c r="Q6" s="10">
        <v>16143.74</v>
      </c>
      <c r="R6">
        <v>5</v>
      </c>
      <c r="S6" s="10">
        <v>3228.748</v>
      </c>
    </row>
    <row r="7" spans="1:19">
      <c r="A7">
        <v>202105</v>
      </c>
      <c r="B7" s="10">
        <v>1737</v>
      </c>
      <c r="C7">
        <v>2</v>
      </c>
      <c r="D7" s="10">
        <v>868.5</v>
      </c>
      <c r="E7" s="10">
        <v>0</v>
      </c>
      <c r="F7">
        <v>0</v>
      </c>
      <c r="G7" s="10">
        <v>0</v>
      </c>
      <c r="H7" s="10">
        <v>2109</v>
      </c>
      <c r="I7">
        <v>1</v>
      </c>
      <c r="J7" s="10">
        <v>2109</v>
      </c>
      <c r="K7" s="10">
        <v>0</v>
      </c>
      <c r="L7">
        <v>0</v>
      </c>
      <c r="M7" s="10">
        <v>0</v>
      </c>
      <c r="N7" s="10">
        <v>0</v>
      </c>
      <c r="O7">
        <v>0</v>
      </c>
      <c r="P7" s="10">
        <v>0</v>
      </c>
      <c r="Q7" s="10">
        <v>3846</v>
      </c>
      <c r="R7">
        <v>3</v>
      </c>
      <c r="S7" s="10">
        <v>1282</v>
      </c>
    </row>
    <row r="8" spans="1:19">
      <c r="A8">
        <v>202106</v>
      </c>
      <c r="B8" s="10">
        <v>6762.4000000000005</v>
      </c>
      <c r="C8">
        <v>5</v>
      </c>
      <c r="D8" s="10">
        <v>1352.48</v>
      </c>
      <c r="E8" s="10">
        <v>7335.8600000000006</v>
      </c>
      <c r="F8">
        <v>6</v>
      </c>
      <c r="G8" s="10">
        <v>1222.6433333333334</v>
      </c>
      <c r="H8" s="10">
        <v>1</v>
      </c>
      <c r="I8">
        <v>1</v>
      </c>
      <c r="J8" s="10">
        <v>1</v>
      </c>
      <c r="K8" s="10">
        <v>0</v>
      </c>
      <c r="L8">
        <v>0</v>
      </c>
      <c r="M8" s="10">
        <v>0</v>
      </c>
      <c r="N8" s="10">
        <v>0</v>
      </c>
      <c r="O8">
        <v>0</v>
      </c>
      <c r="P8" s="10">
        <v>0</v>
      </c>
      <c r="Q8" s="10">
        <v>14099.26</v>
      </c>
      <c r="R8">
        <v>12</v>
      </c>
      <c r="S8" s="10">
        <v>1174.9383333333333</v>
      </c>
    </row>
    <row r="9" spans="1:19">
      <c r="A9">
        <v>202107</v>
      </c>
      <c r="B9" s="10">
        <v>3981.2200000000003</v>
      </c>
      <c r="C9">
        <v>2</v>
      </c>
      <c r="D9" s="10">
        <v>1990.6100000000001</v>
      </c>
      <c r="E9" s="10">
        <v>0</v>
      </c>
      <c r="F9">
        <v>0</v>
      </c>
      <c r="G9" s="10">
        <v>0</v>
      </c>
      <c r="H9" s="10">
        <v>0</v>
      </c>
      <c r="I9">
        <v>0</v>
      </c>
      <c r="J9" s="10">
        <v>0</v>
      </c>
      <c r="K9" s="10">
        <v>0</v>
      </c>
      <c r="L9">
        <v>0</v>
      </c>
      <c r="M9" s="10">
        <v>0</v>
      </c>
      <c r="N9" s="10">
        <v>0</v>
      </c>
      <c r="O9">
        <v>0</v>
      </c>
      <c r="P9" s="10">
        <v>0</v>
      </c>
      <c r="Q9" s="10">
        <v>3981.2200000000003</v>
      </c>
      <c r="R9">
        <v>2</v>
      </c>
      <c r="S9" s="10">
        <v>1990.6100000000001</v>
      </c>
    </row>
    <row r="10" spans="1:19">
      <c r="A10">
        <v>202108</v>
      </c>
      <c r="B10" s="10">
        <v>2293</v>
      </c>
      <c r="C10">
        <v>1</v>
      </c>
      <c r="D10" s="10">
        <v>2293</v>
      </c>
      <c r="E10" s="10">
        <v>3630.69</v>
      </c>
      <c r="F10">
        <v>2</v>
      </c>
      <c r="G10" s="10">
        <v>1815.345</v>
      </c>
      <c r="H10" s="10">
        <v>3293.35</v>
      </c>
      <c r="I10">
        <v>3</v>
      </c>
      <c r="J10" s="10">
        <v>1097.7833333333333</v>
      </c>
      <c r="K10" s="10">
        <v>0</v>
      </c>
      <c r="L10">
        <v>0</v>
      </c>
      <c r="M10" s="10">
        <v>0</v>
      </c>
      <c r="N10" s="10">
        <v>0</v>
      </c>
      <c r="O10">
        <v>0</v>
      </c>
      <c r="P10" s="10">
        <v>0</v>
      </c>
      <c r="Q10" s="10">
        <v>9217.0400000000009</v>
      </c>
      <c r="R10">
        <v>6</v>
      </c>
      <c r="S10" s="10">
        <v>1536.1733333333334</v>
      </c>
    </row>
    <row r="11" spans="1:19">
      <c r="A11">
        <v>202109</v>
      </c>
      <c r="B11" s="10">
        <v>0</v>
      </c>
      <c r="C11">
        <v>0</v>
      </c>
      <c r="D11" s="10">
        <v>0</v>
      </c>
      <c r="E11" s="10">
        <v>0</v>
      </c>
      <c r="F11">
        <v>0</v>
      </c>
      <c r="G11" s="10">
        <v>0</v>
      </c>
      <c r="H11" s="10">
        <v>-561.6</v>
      </c>
      <c r="I11">
        <v>1</v>
      </c>
      <c r="J11" s="10">
        <v>-561.6</v>
      </c>
      <c r="K11" s="10">
        <v>0</v>
      </c>
      <c r="L11">
        <v>0</v>
      </c>
      <c r="M11" s="10">
        <v>0</v>
      </c>
      <c r="N11" s="10">
        <v>0</v>
      </c>
      <c r="O11">
        <v>0</v>
      </c>
      <c r="P11" s="10">
        <v>0</v>
      </c>
      <c r="Q11" s="10">
        <v>-561.6</v>
      </c>
      <c r="R11">
        <v>1</v>
      </c>
      <c r="S11" s="10">
        <v>-561.6</v>
      </c>
    </row>
    <row r="12" spans="1:19">
      <c r="A12">
        <v>202110</v>
      </c>
      <c r="B12" s="10">
        <v>11644.4</v>
      </c>
      <c r="C12">
        <v>3</v>
      </c>
      <c r="D12" s="10">
        <v>3881.4666666666667</v>
      </c>
      <c r="E12" s="10">
        <v>3614.42</v>
      </c>
      <c r="F12">
        <v>2</v>
      </c>
      <c r="G12" s="10">
        <v>1807.21</v>
      </c>
      <c r="H12" s="10">
        <v>4309.63</v>
      </c>
      <c r="I12">
        <v>1</v>
      </c>
      <c r="J12" s="10">
        <v>4309.63</v>
      </c>
      <c r="K12" s="10">
        <v>0</v>
      </c>
      <c r="L12">
        <v>0</v>
      </c>
      <c r="M12" s="10">
        <v>0</v>
      </c>
      <c r="N12" s="10">
        <v>3</v>
      </c>
      <c r="O12">
        <v>1</v>
      </c>
      <c r="P12" s="10">
        <v>3</v>
      </c>
      <c r="Q12" s="10">
        <v>19571.449999999997</v>
      </c>
      <c r="R12">
        <v>7</v>
      </c>
      <c r="S12" s="10">
        <v>2795.9214285714284</v>
      </c>
    </row>
    <row r="13" spans="1:19">
      <c r="A13">
        <v>202111</v>
      </c>
      <c r="B13" s="10">
        <v>0</v>
      </c>
      <c r="C13">
        <v>0</v>
      </c>
      <c r="D13" s="10">
        <v>0</v>
      </c>
      <c r="E13" s="10">
        <v>2329</v>
      </c>
      <c r="F13">
        <v>2</v>
      </c>
      <c r="G13" s="10">
        <v>1164.5</v>
      </c>
      <c r="H13" s="10">
        <v>0</v>
      </c>
      <c r="I13">
        <v>0</v>
      </c>
      <c r="J13" s="10">
        <v>0</v>
      </c>
      <c r="K13" s="10">
        <v>489</v>
      </c>
      <c r="L13">
        <v>1</v>
      </c>
      <c r="M13" s="10">
        <v>489</v>
      </c>
      <c r="N13" s="10">
        <v>0</v>
      </c>
      <c r="O13">
        <v>0</v>
      </c>
      <c r="P13" s="10">
        <v>0</v>
      </c>
      <c r="Q13" s="10">
        <v>2818</v>
      </c>
      <c r="R13">
        <v>3</v>
      </c>
      <c r="S13" s="10">
        <v>939.33333333333337</v>
      </c>
    </row>
    <row r="14" spans="1:19">
      <c r="A14">
        <v>202112</v>
      </c>
      <c r="B14" s="10">
        <v>3774.3199999999997</v>
      </c>
      <c r="C14">
        <v>3</v>
      </c>
      <c r="D14" s="10">
        <v>1258.1066666666666</v>
      </c>
      <c r="E14" s="10">
        <v>7236.5300000000007</v>
      </c>
      <c r="F14">
        <v>4</v>
      </c>
      <c r="G14" s="10">
        <v>1809.1325000000002</v>
      </c>
      <c r="H14" s="10">
        <v>7257</v>
      </c>
      <c r="I14">
        <v>3</v>
      </c>
      <c r="J14" s="10">
        <v>2419</v>
      </c>
      <c r="K14" s="10">
        <v>0</v>
      </c>
      <c r="L14">
        <v>0</v>
      </c>
      <c r="M14" s="10">
        <v>0</v>
      </c>
      <c r="N14" s="10">
        <v>0</v>
      </c>
      <c r="O14">
        <v>0</v>
      </c>
      <c r="P14" s="10">
        <v>0</v>
      </c>
      <c r="Q14" s="10">
        <v>18267.849999999999</v>
      </c>
      <c r="R14">
        <v>10</v>
      </c>
      <c r="S14" s="10">
        <v>1826.7849999999999</v>
      </c>
    </row>
    <row r="15" spans="1:19">
      <c r="A15">
        <v>202113</v>
      </c>
      <c r="B15" s="10">
        <v>5801.32</v>
      </c>
      <c r="C15">
        <v>3</v>
      </c>
      <c r="D15" s="10">
        <v>1933.7733333333333</v>
      </c>
      <c r="E15" s="10">
        <v>0</v>
      </c>
      <c r="F15">
        <v>0</v>
      </c>
      <c r="G15" s="10">
        <v>0</v>
      </c>
      <c r="H15" s="10">
        <v>2497</v>
      </c>
      <c r="I15">
        <v>1</v>
      </c>
      <c r="J15" s="10">
        <v>2497</v>
      </c>
      <c r="K15" s="10">
        <v>0</v>
      </c>
      <c r="L15">
        <v>0</v>
      </c>
      <c r="M15" s="10">
        <v>0</v>
      </c>
      <c r="N15" s="10">
        <v>0</v>
      </c>
      <c r="O15">
        <v>0</v>
      </c>
      <c r="P15" s="10">
        <v>0</v>
      </c>
      <c r="Q15" s="10">
        <v>8298.32</v>
      </c>
      <c r="R15">
        <v>4</v>
      </c>
      <c r="S15" s="10">
        <v>2074.58</v>
      </c>
    </row>
    <row r="16" spans="1:19">
      <c r="A16">
        <v>202114</v>
      </c>
      <c r="B16" s="10">
        <v>3101.16</v>
      </c>
      <c r="C16">
        <v>2</v>
      </c>
      <c r="D16" s="10">
        <v>1550.58</v>
      </c>
      <c r="E16" s="10">
        <v>14000</v>
      </c>
      <c r="F16">
        <v>2</v>
      </c>
      <c r="G16" s="10">
        <v>7000</v>
      </c>
      <c r="H16" s="10">
        <v>3000</v>
      </c>
      <c r="I16">
        <v>1</v>
      </c>
      <c r="J16" s="10">
        <v>3000</v>
      </c>
      <c r="K16" s="10">
        <v>0</v>
      </c>
      <c r="L16">
        <v>0</v>
      </c>
      <c r="M16" s="10">
        <v>0</v>
      </c>
      <c r="N16" s="10">
        <v>0</v>
      </c>
      <c r="O16">
        <v>0</v>
      </c>
      <c r="P16" s="10">
        <v>0</v>
      </c>
      <c r="Q16" s="10">
        <v>20101.16</v>
      </c>
      <c r="R16">
        <v>5</v>
      </c>
      <c r="S16" s="10">
        <v>4020.232</v>
      </c>
    </row>
    <row r="17" spans="1:19">
      <c r="A17">
        <v>202115</v>
      </c>
      <c r="B17" s="10">
        <v>0</v>
      </c>
      <c r="C17">
        <v>0</v>
      </c>
      <c r="D17" s="10">
        <v>0</v>
      </c>
      <c r="E17" s="10">
        <v>26000</v>
      </c>
      <c r="F17">
        <v>1</v>
      </c>
      <c r="G17" s="10">
        <v>26000</v>
      </c>
      <c r="H17" s="10">
        <v>1171</v>
      </c>
      <c r="I17">
        <v>1</v>
      </c>
      <c r="J17" s="10">
        <v>1171</v>
      </c>
      <c r="K17" s="10">
        <v>0</v>
      </c>
      <c r="L17">
        <v>0</v>
      </c>
      <c r="M17" s="10">
        <v>0</v>
      </c>
      <c r="N17" s="10">
        <v>0</v>
      </c>
      <c r="O17">
        <v>0</v>
      </c>
      <c r="P17" s="10">
        <v>0</v>
      </c>
      <c r="Q17" s="10">
        <v>27171</v>
      </c>
      <c r="R17">
        <v>2</v>
      </c>
      <c r="S17" s="10">
        <v>13585.5</v>
      </c>
    </row>
    <row r="18" spans="1:19">
      <c r="A18">
        <v>202116</v>
      </c>
      <c r="B18" s="10">
        <v>6064</v>
      </c>
      <c r="C18">
        <v>1</v>
      </c>
      <c r="D18" s="10">
        <v>6064</v>
      </c>
      <c r="E18" s="10">
        <v>3601.32</v>
      </c>
      <c r="F18">
        <v>1</v>
      </c>
      <c r="G18" s="10">
        <v>3601.32</v>
      </c>
      <c r="H18" s="10">
        <v>3488</v>
      </c>
      <c r="I18">
        <v>2</v>
      </c>
      <c r="J18" s="10">
        <v>1744</v>
      </c>
      <c r="K18" s="10">
        <v>0</v>
      </c>
      <c r="L18">
        <v>0</v>
      </c>
      <c r="M18" s="10">
        <v>0</v>
      </c>
      <c r="N18" s="10">
        <v>0</v>
      </c>
      <c r="O18">
        <v>0</v>
      </c>
      <c r="P18" s="10">
        <v>0</v>
      </c>
      <c r="Q18" s="10">
        <v>13153.32</v>
      </c>
      <c r="R18">
        <v>4</v>
      </c>
      <c r="S18" s="10">
        <v>3288.33</v>
      </c>
    </row>
    <row r="19" spans="1:19">
      <c r="A19">
        <v>202117</v>
      </c>
      <c r="B19" s="10">
        <v>7990</v>
      </c>
      <c r="C19">
        <v>3</v>
      </c>
      <c r="D19" s="10">
        <v>2663.3333333333335</v>
      </c>
      <c r="E19" s="10">
        <v>602</v>
      </c>
      <c r="F19">
        <v>1</v>
      </c>
      <c r="G19" s="10">
        <v>602</v>
      </c>
      <c r="H19" s="10">
        <v>1202.5</v>
      </c>
      <c r="I19">
        <v>1</v>
      </c>
      <c r="J19" s="10">
        <v>1202.5</v>
      </c>
      <c r="K19" s="10">
        <v>0</v>
      </c>
      <c r="L19">
        <v>0</v>
      </c>
      <c r="M19" s="10">
        <v>0</v>
      </c>
      <c r="N19" s="10">
        <v>0</v>
      </c>
      <c r="O19">
        <v>0</v>
      </c>
      <c r="P19" s="10">
        <v>0</v>
      </c>
      <c r="Q19" s="10">
        <v>9794.5</v>
      </c>
      <c r="R19">
        <v>5</v>
      </c>
      <c r="S19" s="10">
        <v>1958.9</v>
      </c>
    </row>
    <row r="20" spans="1:19">
      <c r="A20">
        <v>202118</v>
      </c>
      <c r="B20" s="10">
        <v>2339.5</v>
      </c>
      <c r="C20">
        <v>1</v>
      </c>
      <c r="D20" s="10">
        <v>2339.5</v>
      </c>
      <c r="E20" s="10">
        <v>18.07</v>
      </c>
      <c r="F20">
        <v>2</v>
      </c>
      <c r="G20" s="10">
        <v>9.0350000000000001</v>
      </c>
      <c r="H20" s="10">
        <v>0</v>
      </c>
      <c r="I20">
        <v>0</v>
      </c>
      <c r="J20" s="10">
        <v>0</v>
      </c>
      <c r="K20" s="10">
        <v>0</v>
      </c>
      <c r="L20">
        <v>0</v>
      </c>
      <c r="M20" s="10">
        <v>0</v>
      </c>
      <c r="N20" s="10">
        <v>0</v>
      </c>
      <c r="O20">
        <v>0</v>
      </c>
      <c r="P20" s="10">
        <v>0</v>
      </c>
      <c r="Q20" s="10">
        <v>2357.5700000000002</v>
      </c>
      <c r="R20">
        <v>3</v>
      </c>
      <c r="S20" s="10">
        <v>785.85666666666668</v>
      </c>
    </row>
    <row r="21" spans="1:19">
      <c r="A21">
        <v>202119</v>
      </c>
      <c r="B21" s="10">
        <v>12668.9</v>
      </c>
      <c r="C21">
        <v>5</v>
      </c>
      <c r="D21" s="10">
        <v>2533.7799999999997</v>
      </c>
      <c r="E21" s="10">
        <v>0</v>
      </c>
      <c r="F21">
        <v>0</v>
      </c>
      <c r="G21" s="10">
        <v>0</v>
      </c>
      <c r="H21" s="10">
        <v>0</v>
      </c>
      <c r="I21">
        <v>0</v>
      </c>
      <c r="J21" s="10">
        <v>0</v>
      </c>
      <c r="K21" s="10">
        <v>0</v>
      </c>
      <c r="L21">
        <v>0</v>
      </c>
      <c r="M21" s="10">
        <v>0</v>
      </c>
      <c r="N21" s="10">
        <v>0</v>
      </c>
      <c r="O21">
        <v>0</v>
      </c>
      <c r="P21" s="10">
        <v>0</v>
      </c>
      <c r="Q21" s="10">
        <v>12668.9</v>
      </c>
      <c r="R21">
        <v>5</v>
      </c>
      <c r="S21" s="10">
        <v>2533.7799999999997</v>
      </c>
    </row>
    <row r="22" spans="1:19">
      <c r="A22">
        <v>202120</v>
      </c>
      <c r="B22" s="10">
        <v>2697.31</v>
      </c>
      <c r="C22">
        <v>1</v>
      </c>
      <c r="D22" s="10">
        <v>2697.31</v>
      </c>
      <c r="E22" s="10">
        <v>3233</v>
      </c>
      <c r="F22">
        <v>1</v>
      </c>
      <c r="G22" s="10">
        <v>3233</v>
      </c>
      <c r="H22" s="10">
        <v>3747</v>
      </c>
      <c r="I22">
        <v>3</v>
      </c>
      <c r="J22" s="10">
        <v>1249</v>
      </c>
      <c r="K22" s="10">
        <v>0</v>
      </c>
      <c r="L22">
        <v>0</v>
      </c>
      <c r="M22" s="10">
        <v>0</v>
      </c>
      <c r="N22" s="10">
        <v>0</v>
      </c>
      <c r="O22">
        <v>0</v>
      </c>
      <c r="P22" s="10">
        <v>0</v>
      </c>
      <c r="Q22" s="10">
        <v>9677.31</v>
      </c>
      <c r="R22">
        <v>5</v>
      </c>
      <c r="S22" s="10">
        <v>1935.462</v>
      </c>
    </row>
    <row r="23" spans="1:19">
      <c r="A23">
        <v>202121</v>
      </c>
      <c r="B23" s="10">
        <v>3104</v>
      </c>
      <c r="C23">
        <v>1</v>
      </c>
      <c r="D23" s="10">
        <v>3104</v>
      </c>
      <c r="E23" s="10">
        <v>7243.63</v>
      </c>
      <c r="F23">
        <v>2</v>
      </c>
      <c r="G23" s="10">
        <v>3621.8150000000001</v>
      </c>
      <c r="H23" s="10">
        <v>559.20000000000005</v>
      </c>
      <c r="I23">
        <v>1</v>
      </c>
      <c r="J23" s="10">
        <v>559.20000000000005</v>
      </c>
      <c r="K23" s="10">
        <v>0</v>
      </c>
      <c r="L23">
        <v>0</v>
      </c>
      <c r="M23" s="10">
        <v>0</v>
      </c>
      <c r="N23" s="10">
        <v>0</v>
      </c>
      <c r="O23">
        <v>0</v>
      </c>
      <c r="P23" s="10">
        <v>0</v>
      </c>
      <c r="Q23" s="10">
        <v>10906.83</v>
      </c>
      <c r="R23">
        <v>4</v>
      </c>
      <c r="S23" s="10">
        <v>2726.7075</v>
      </c>
    </row>
    <row r="24" spans="1:19">
      <c r="A24">
        <v>202122</v>
      </c>
      <c r="B24" s="10">
        <v>2513.7799999999997</v>
      </c>
      <c r="C24">
        <v>2</v>
      </c>
      <c r="D24" s="10">
        <v>1256.8899999999999</v>
      </c>
      <c r="E24" s="10">
        <v>1360</v>
      </c>
      <c r="F24">
        <v>1</v>
      </c>
      <c r="G24" s="10">
        <v>1360</v>
      </c>
      <c r="H24" s="10">
        <v>994</v>
      </c>
      <c r="I24">
        <v>1</v>
      </c>
      <c r="J24" s="10">
        <v>994</v>
      </c>
      <c r="K24" s="10">
        <v>0</v>
      </c>
      <c r="L24">
        <v>0</v>
      </c>
      <c r="M24" s="10">
        <v>0</v>
      </c>
      <c r="N24" s="10">
        <v>0</v>
      </c>
      <c r="O24">
        <v>0</v>
      </c>
      <c r="P24" s="10">
        <v>0</v>
      </c>
      <c r="Q24" s="10">
        <v>4867.78</v>
      </c>
      <c r="R24">
        <v>4</v>
      </c>
      <c r="S24" s="10">
        <v>1216.9449999999999</v>
      </c>
    </row>
    <row r="25" spans="1:19">
      <c r="A25">
        <v>202123</v>
      </c>
      <c r="B25" s="10">
        <v>8833.9</v>
      </c>
      <c r="C25">
        <v>1</v>
      </c>
      <c r="D25" s="10">
        <v>8833.9</v>
      </c>
      <c r="E25" s="10">
        <v>2298</v>
      </c>
      <c r="F25">
        <v>2</v>
      </c>
      <c r="G25" s="10">
        <v>1149</v>
      </c>
      <c r="H25" s="10">
        <v>6676</v>
      </c>
      <c r="I25">
        <v>2</v>
      </c>
      <c r="J25" s="10">
        <v>3338</v>
      </c>
      <c r="K25" s="10">
        <v>0</v>
      </c>
      <c r="L25">
        <v>0</v>
      </c>
      <c r="M25" s="10">
        <v>0</v>
      </c>
      <c r="N25" s="10">
        <v>0</v>
      </c>
      <c r="O25">
        <v>0</v>
      </c>
      <c r="P25" s="10">
        <v>0</v>
      </c>
      <c r="Q25" s="10">
        <v>17807.900000000001</v>
      </c>
      <c r="R25">
        <v>5</v>
      </c>
      <c r="S25" s="10">
        <v>3561.5800000000004</v>
      </c>
    </row>
    <row r="26" spans="1:19">
      <c r="A26">
        <v>202124</v>
      </c>
      <c r="B26" s="10">
        <v>2100</v>
      </c>
      <c r="C26">
        <v>1</v>
      </c>
      <c r="D26" s="10">
        <v>2100</v>
      </c>
      <c r="E26" s="10">
        <v>5161.17</v>
      </c>
      <c r="F26">
        <v>2</v>
      </c>
      <c r="G26" s="10">
        <v>2580.585</v>
      </c>
      <c r="H26" s="10">
        <v>1672</v>
      </c>
      <c r="I26">
        <v>1</v>
      </c>
      <c r="J26" s="10">
        <v>1672</v>
      </c>
      <c r="K26" s="10">
        <v>0</v>
      </c>
      <c r="L26">
        <v>0</v>
      </c>
      <c r="M26" s="10">
        <v>0</v>
      </c>
      <c r="N26" s="10">
        <v>0</v>
      </c>
      <c r="O26">
        <v>0</v>
      </c>
      <c r="P26" s="10">
        <v>0</v>
      </c>
      <c r="Q26" s="10">
        <v>8933.17</v>
      </c>
      <c r="R26">
        <v>4</v>
      </c>
      <c r="S26" s="10">
        <v>2233.2925</v>
      </c>
    </row>
    <row r="27" spans="1:19">
      <c r="A27">
        <v>202125</v>
      </c>
      <c r="B27" s="10">
        <v>3147.76</v>
      </c>
      <c r="C27">
        <v>1</v>
      </c>
      <c r="D27" s="10">
        <v>3147.76</v>
      </c>
      <c r="E27" s="10">
        <v>5224.5</v>
      </c>
      <c r="F27">
        <v>2</v>
      </c>
      <c r="G27" s="10">
        <v>2612.25</v>
      </c>
      <c r="H27" s="10">
        <v>2800</v>
      </c>
      <c r="I27">
        <v>3</v>
      </c>
      <c r="J27" s="10">
        <v>933.33333333333337</v>
      </c>
      <c r="K27" s="10">
        <v>0</v>
      </c>
      <c r="L27">
        <v>0</v>
      </c>
      <c r="M27" s="10">
        <v>0</v>
      </c>
      <c r="N27" s="10">
        <v>0</v>
      </c>
      <c r="O27">
        <v>0</v>
      </c>
      <c r="P27" s="10">
        <v>0</v>
      </c>
      <c r="Q27" s="10">
        <v>11172.26</v>
      </c>
      <c r="R27">
        <v>6</v>
      </c>
      <c r="S27" s="10">
        <v>1862.0433333333333</v>
      </c>
    </row>
    <row r="28" spans="1:19">
      <c r="A28">
        <v>202126</v>
      </c>
      <c r="B28" s="10">
        <v>0</v>
      </c>
      <c r="C28">
        <v>0</v>
      </c>
      <c r="D28" s="10">
        <v>0</v>
      </c>
      <c r="E28" s="10">
        <v>0</v>
      </c>
      <c r="F28">
        <v>0</v>
      </c>
      <c r="G28" s="10">
        <v>0</v>
      </c>
      <c r="H28" s="10">
        <v>0</v>
      </c>
      <c r="I28">
        <v>0</v>
      </c>
      <c r="J28" s="10">
        <v>0</v>
      </c>
      <c r="K28" s="10">
        <v>0</v>
      </c>
      <c r="L28">
        <v>0</v>
      </c>
      <c r="M28" s="10">
        <v>0</v>
      </c>
      <c r="N28" s="10">
        <v>0</v>
      </c>
      <c r="O28">
        <v>0</v>
      </c>
      <c r="P28" s="10">
        <v>0</v>
      </c>
      <c r="Q28" s="10">
        <v>0</v>
      </c>
      <c r="R28">
        <v>0</v>
      </c>
      <c r="S28" s="10">
        <v>0</v>
      </c>
    </row>
    <row r="29" spans="1:19">
      <c r="A29">
        <v>202127</v>
      </c>
      <c r="B29" s="10">
        <v>0</v>
      </c>
      <c r="C29">
        <v>0</v>
      </c>
      <c r="D29" s="10">
        <v>0</v>
      </c>
      <c r="E29" s="10">
        <v>0</v>
      </c>
      <c r="F29">
        <v>0</v>
      </c>
      <c r="G29" s="10">
        <v>0</v>
      </c>
      <c r="H29" s="10">
        <v>0</v>
      </c>
      <c r="I29">
        <v>0</v>
      </c>
      <c r="J29" s="10">
        <v>0</v>
      </c>
      <c r="K29" s="10">
        <v>0</v>
      </c>
      <c r="L29">
        <v>0</v>
      </c>
      <c r="M29" s="10">
        <v>0</v>
      </c>
      <c r="N29" s="10">
        <v>0</v>
      </c>
      <c r="O29">
        <v>0</v>
      </c>
      <c r="P29" s="10">
        <v>0</v>
      </c>
      <c r="Q29" s="10">
        <v>0</v>
      </c>
      <c r="R29">
        <v>0</v>
      </c>
      <c r="S29" s="10">
        <v>0</v>
      </c>
    </row>
  </sheetData>
  <sortState ref="A3:A51">
    <sortCondition ref="A3:A51"/>
  </sortState>
  <phoneticPr fontId="3"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ProdDetails">
    <tabColor rgb="FF92D050"/>
  </sheetPr>
  <dimension ref="A1:L121"/>
  <sheetViews>
    <sheetView topLeftCell="A185" workbookViewId="0">
      <selection activeCell="E78" sqref="E78"/>
    </sheetView>
  </sheetViews>
  <sheetFormatPr defaultRowHeight="15"/>
  <cols>
    <col min="1" max="1" width="13.140625" customWidth="1"/>
    <col min="2" max="2" width="25.5703125" customWidth="1"/>
    <col min="3" max="3" width="7.28515625" customWidth="1"/>
    <col min="4" max="4" width="10.7109375" customWidth="1"/>
    <col min="5" max="5" width="12.85546875" customWidth="1"/>
    <col min="6" max="6" width="15.5703125" customWidth="1"/>
    <col min="7" max="7" width="16.140625" customWidth="1"/>
    <col min="8" max="8" width="7.140625" customWidth="1"/>
    <col min="9" max="9" width="8.140625" bestFit="1" customWidth="1"/>
    <col min="10" max="10" width="15.5703125" customWidth="1"/>
    <col min="11" max="11" width="16.140625" customWidth="1"/>
    <col min="12" max="12" width="7.140625" customWidth="1"/>
  </cols>
  <sheetData>
    <row r="1" spans="1:12" ht="22.5">
      <c r="A1" s="2" t="s">
        <v>20</v>
      </c>
      <c r="B1" s="2"/>
      <c r="C1" s="2"/>
      <c r="D1" s="2"/>
      <c r="E1" s="2"/>
      <c r="F1" s="2"/>
      <c r="G1" s="2"/>
      <c r="H1" s="2"/>
      <c r="I1" s="3"/>
      <c r="J1" s="3"/>
      <c r="K1" s="3"/>
      <c r="L1" s="3"/>
    </row>
    <row r="2" spans="1:12">
      <c r="A2" s="3" t="s">
        <v>21</v>
      </c>
      <c r="B2" s="3" t="s">
        <v>22</v>
      </c>
      <c r="C2" s="3" t="s">
        <v>27</v>
      </c>
      <c r="D2" s="5" t="s">
        <v>23</v>
      </c>
      <c r="E2" s="3" t="s">
        <v>34</v>
      </c>
      <c r="F2" s="3" t="s">
        <v>24</v>
      </c>
      <c r="G2" s="3" t="s">
        <v>25</v>
      </c>
      <c r="H2" s="3" t="s">
        <v>32</v>
      </c>
    </row>
    <row r="3" spans="1:12">
      <c r="A3" s="8" t="s">
        <v>111</v>
      </c>
      <c r="B3" s="8" t="s">
        <v>60</v>
      </c>
      <c r="C3" s="8" t="s">
        <v>28</v>
      </c>
      <c r="D3" s="6">
        <v>44203</v>
      </c>
      <c r="E3" s="4" t="str">
        <f>YEAR(AtlasReport_1_Table_1[[#This Row],[Date]]) &amp; TEXT(WEEKNUM(AtlasReport_1_Table_1[[#This Row],[Date]]),"00")</f>
        <v>202102</v>
      </c>
      <c r="F3" s="4">
        <v>0</v>
      </c>
      <c r="G3" s="4">
        <v>1140</v>
      </c>
      <c r="H3" s="8" t="s">
        <v>33</v>
      </c>
    </row>
    <row r="4" spans="1:12">
      <c r="A4" s="8" t="s">
        <v>112</v>
      </c>
      <c r="B4" s="8" t="s">
        <v>113</v>
      </c>
      <c r="C4" s="8" t="s">
        <v>28</v>
      </c>
      <c r="D4" s="6">
        <v>44215</v>
      </c>
      <c r="E4" s="4" t="str">
        <f>YEAR(AtlasReport_1_Table_1[[#This Row],[Date]]) &amp; TEXT(WEEKNUM(AtlasReport_1_Table_1[[#This Row],[Date]]),"00")</f>
        <v>202104</v>
      </c>
      <c r="F4" s="4">
        <v>0</v>
      </c>
      <c r="G4" s="4">
        <v>970</v>
      </c>
      <c r="H4" s="8" t="s">
        <v>33</v>
      </c>
    </row>
    <row r="5" spans="1:12">
      <c r="A5" s="8" t="s">
        <v>172</v>
      </c>
      <c r="B5" s="8" t="s">
        <v>173</v>
      </c>
      <c r="C5" s="8" t="s">
        <v>30</v>
      </c>
      <c r="D5" s="6">
        <v>44328</v>
      </c>
      <c r="E5" s="4" t="str">
        <f>YEAR(AtlasReport_1_Table_1[[#This Row],[Date]]) &amp; TEXT(WEEKNUM(AtlasReport_1_Table_1[[#This Row],[Date]]),"00")</f>
        <v>202120</v>
      </c>
      <c r="F5" s="4">
        <v>0</v>
      </c>
      <c r="G5" s="4">
        <v>106</v>
      </c>
      <c r="H5" s="8" t="s">
        <v>33</v>
      </c>
    </row>
    <row r="6" spans="1:12">
      <c r="A6" s="8" t="s">
        <v>174</v>
      </c>
      <c r="B6" s="8" t="s">
        <v>175</v>
      </c>
      <c r="C6" s="8" t="s">
        <v>30</v>
      </c>
      <c r="D6" s="6">
        <v>44328</v>
      </c>
      <c r="E6" s="4" t="str">
        <f>YEAR(AtlasReport_1_Table_1[[#This Row],[Date]]) &amp; TEXT(WEEKNUM(AtlasReport_1_Table_1[[#This Row],[Date]]),"00")</f>
        <v>202120</v>
      </c>
      <c r="F6" s="4">
        <v>0</v>
      </c>
      <c r="G6" s="4">
        <v>1342</v>
      </c>
      <c r="H6" s="8" t="s">
        <v>33</v>
      </c>
    </row>
    <row r="7" spans="1:12">
      <c r="A7" s="8" t="s">
        <v>114</v>
      </c>
      <c r="B7" s="8" t="s">
        <v>115</v>
      </c>
      <c r="C7" s="8" t="s">
        <v>29</v>
      </c>
      <c r="D7" s="6">
        <v>44265</v>
      </c>
      <c r="E7" s="4" t="str">
        <f>YEAR(AtlasReport_1_Table_1[[#This Row],[Date]]) &amp; TEXT(WEEKNUM(AtlasReport_1_Table_1[[#This Row],[Date]]),"00")</f>
        <v>202111</v>
      </c>
      <c r="F7" s="4">
        <v>0</v>
      </c>
      <c r="G7" s="4">
        <v>394</v>
      </c>
      <c r="H7" s="8" t="s">
        <v>33</v>
      </c>
    </row>
    <row r="8" spans="1:12">
      <c r="A8" s="8" t="s">
        <v>176</v>
      </c>
      <c r="B8" s="8" t="s">
        <v>177</v>
      </c>
      <c r="C8" s="8" t="s">
        <v>29</v>
      </c>
      <c r="D8" s="6">
        <v>44361</v>
      </c>
      <c r="E8" s="4" t="str">
        <f>YEAR(AtlasReport_1_Table_1[[#This Row],[Date]]) &amp; TEXT(WEEKNUM(AtlasReport_1_Table_1[[#This Row],[Date]]),"00")</f>
        <v>202125</v>
      </c>
      <c r="F8" s="4">
        <v>0</v>
      </c>
      <c r="G8" s="4">
        <v>3037.5</v>
      </c>
      <c r="H8" s="8" t="s">
        <v>33</v>
      </c>
    </row>
    <row r="9" spans="1:12">
      <c r="A9" s="8" t="s">
        <v>116</v>
      </c>
      <c r="B9" s="8" t="s">
        <v>117</v>
      </c>
      <c r="C9" s="8" t="s">
        <v>28</v>
      </c>
      <c r="D9" s="6">
        <v>44217</v>
      </c>
      <c r="E9" s="4" t="str">
        <f>YEAR(AtlasReport_1_Table_1[[#This Row],[Date]]) &amp; TEXT(WEEKNUM(AtlasReport_1_Table_1[[#This Row],[Date]]),"00")</f>
        <v>202104</v>
      </c>
      <c r="F9" s="4">
        <v>0</v>
      </c>
      <c r="G9" s="4">
        <v>1034.5999999999999</v>
      </c>
      <c r="H9" s="8" t="s">
        <v>33</v>
      </c>
    </row>
    <row r="10" spans="1:12">
      <c r="A10" s="8" t="s">
        <v>178</v>
      </c>
      <c r="B10" s="8" t="s">
        <v>117</v>
      </c>
      <c r="C10" s="8" t="s">
        <v>28</v>
      </c>
      <c r="D10" s="6">
        <v>44342</v>
      </c>
      <c r="E10" s="4" t="str">
        <f>YEAR(AtlasReport_1_Table_1[[#This Row],[Date]]) &amp; TEXT(WEEKNUM(AtlasReport_1_Table_1[[#This Row],[Date]]),"00")</f>
        <v>202122</v>
      </c>
      <c r="F10" s="4">
        <v>0</v>
      </c>
      <c r="G10" s="4">
        <v>951</v>
      </c>
      <c r="H10" s="8" t="s">
        <v>33</v>
      </c>
    </row>
    <row r="11" spans="1:12">
      <c r="A11" s="8" t="s">
        <v>179</v>
      </c>
      <c r="B11" s="8" t="s">
        <v>180</v>
      </c>
      <c r="C11" s="8" t="s">
        <v>28</v>
      </c>
      <c r="D11" s="6">
        <v>44306</v>
      </c>
      <c r="E11" s="4" t="str">
        <f>YEAR(AtlasReport_1_Table_1[[#This Row],[Date]]) &amp; TEXT(WEEKNUM(AtlasReport_1_Table_1[[#This Row],[Date]]),"00")</f>
        <v>202117</v>
      </c>
      <c r="F11" s="4">
        <v>0</v>
      </c>
      <c r="G11" s="4">
        <v>2069</v>
      </c>
      <c r="H11" s="8" t="s">
        <v>33</v>
      </c>
    </row>
    <row r="12" spans="1:12">
      <c r="A12" s="8" t="s">
        <v>181</v>
      </c>
      <c r="B12" s="8" t="s">
        <v>180</v>
      </c>
      <c r="C12" s="8" t="s">
        <v>28</v>
      </c>
      <c r="D12" s="6">
        <v>44323</v>
      </c>
      <c r="E12" s="4" t="str">
        <f>YEAR(AtlasReport_1_Table_1[[#This Row],[Date]]) &amp; TEXT(WEEKNUM(AtlasReport_1_Table_1[[#This Row],[Date]]),"00")</f>
        <v>202119</v>
      </c>
      <c r="F12" s="4">
        <v>0</v>
      </c>
      <c r="G12" s="4">
        <v>2052.8000000000002</v>
      </c>
      <c r="H12" s="8" t="s">
        <v>33</v>
      </c>
    </row>
    <row r="13" spans="1:12">
      <c r="A13" s="8" t="s">
        <v>118</v>
      </c>
      <c r="B13" s="8" t="s">
        <v>119</v>
      </c>
      <c r="C13" s="8" t="s">
        <v>30</v>
      </c>
      <c r="D13" s="6">
        <v>44204</v>
      </c>
      <c r="E13" s="4" t="str">
        <f>YEAR(AtlasReport_1_Table_1[[#This Row],[Date]]) &amp; TEXT(WEEKNUM(AtlasReport_1_Table_1[[#This Row],[Date]]),"00")</f>
        <v>202102</v>
      </c>
      <c r="F13" s="4">
        <v>0</v>
      </c>
      <c r="G13" s="4">
        <v>2480</v>
      </c>
      <c r="H13" s="8" t="s">
        <v>33</v>
      </c>
    </row>
    <row r="14" spans="1:12">
      <c r="A14" s="8" t="s">
        <v>120</v>
      </c>
      <c r="B14" s="8" t="s">
        <v>61</v>
      </c>
      <c r="C14" s="8" t="s">
        <v>62</v>
      </c>
      <c r="D14" s="6">
        <v>44257</v>
      </c>
      <c r="E14" s="4" t="str">
        <f>YEAR(AtlasReport_1_Table_1[[#This Row],[Date]]) &amp; TEXT(WEEKNUM(AtlasReport_1_Table_1[[#This Row],[Date]]),"00")</f>
        <v>202110</v>
      </c>
      <c r="F14" s="4">
        <v>0</v>
      </c>
      <c r="G14" s="4">
        <v>3</v>
      </c>
      <c r="H14" s="8" t="s">
        <v>33</v>
      </c>
    </row>
    <row r="15" spans="1:12">
      <c r="A15" s="8" t="s">
        <v>121</v>
      </c>
      <c r="B15" s="8" t="s">
        <v>63</v>
      </c>
      <c r="C15" s="8" t="s">
        <v>29</v>
      </c>
      <c r="D15" s="6">
        <v>44285</v>
      </c>
      <c r="E15" s="4" t="str">
        <f>YEAR(AtlasReport_1_Table_1[[#This Row],[Date]]) &amp; TEXT(WEEKNUM(AtlasReport_1_Table_1[[#This Row],[Date]]),"00")</f>
        <v>202114</v>
      </c>
      <c r="F15" s="4">
        <v>0</v>
      </c>
      <c r="G15" s="4">
        <v>14000</v>
      </c>
      <c r="H15" s="8" t="s">
        <v>33</v>
      </c>
    </row>
    <row r="16" spans="1:12">
      <c r="A16" s="8" t="s">
        <v>121</v>
      </c>
      <c r="B16" s="8" t="s">
        <v>63</v>
      </c>
      <c r="C16" s="8" t="s">
        <v>29</v>
      </c>
      <c r="D16" s="6">
        <v>44286</v>
      </c>
      <c r="E16" s="4" t="str">
        <f>YEAR(AtlasReport_1_Table_1[[#This Row],[Date]]) &amp; TEXT(WEEKNUM(AtlasReport_1_Table_1[[#This Row],[Date]]),"00")</f>
        <v>202114</v>
      </c>
      <c r="F16" s="4">
        <v>0</v>
      </c>
      <c r="G16" s="4">
        <v>0</v>
      </c>
      <c r="H16" s="8" t="s">
        <v>33</v>
      </c>
    </row>
    <row r="17" spans="1:8">
      <c r="A17" s="8" t="s">
        <v>182</v>
      </c>
      <c r="B17" s="8" t="s">
        <v>63</v>
      </c>
      <c r="C17" s="8" t="s">
        <v>29</v>
      </c>
      <c r="D17" s="6">
        <v>44292</v>
      </c>
      <c r="E17" s="4" t="str">
        <f>YEAR(AtlasReport_1_Table_1[[#This Row],[Date]]) &amp; TEXT(WEEKNUM(AtlasReport_1_Table_1[[#This Row],[Date]]),"00")</f>
        <v>202115</v>
      </c>
      <c r="F17" s="4">
        <v>0</v>
      </c>
      <c r="G17" s="4">
        <v>26000</v>
      </c>
      <c r="H17" s="8" t="s">
        <v>33</v>
      </c>
    </row>
    <row r="18" spans="1:8">
      <c r="A18" s="8" t="s">
        <v>182</v>
      </c>
      <c r="B18" s="8" t="s">
        <v>63</v>
      </c>
      <c r="C18" s="8" t="s">
        <v>29</v>
      </c>
      <c r="D18" s="6">
        <v>44307</v>
      </c>
      <c r="E18" s="4" t="str">
        <f>YEAR(AtlasReport_1_Table_1[[#This Row],[Date]]) &amp; TEXT(WEEKNUM(AtlasReport_1_Table_1[[#This Row],[Date]]),"00")</f>
        <v>202117</v>
      </c>
      <c r="F18" s="4">
        <v>0</v>
      </c>
      <c r="G18" s="4">
        <v>602</v>
      </c>
      <c r="H18" s="8" t="s">
        <v>33</v>
      </c>
    </row>
    <row r="19" spans="1:8">
      <c r="A19" s="8" t="s">
        <v>183</v>
      </c>
      <c r="B19" s="8" t="s">
        <v>63</v>
      </c>
      <c r="C19" s="8" t="s">
        <v>28</v>
      </c>
      <c r="D19" s="6">
        <v>44312</v>
      </c>
      <c r="E19" s="4" t="str">
        <f>YEAR(AtlasReport_1_Table_1[[#This Row],[Date]]) &amp; TEXT(WEEKNUM(AtlasReport_1_Table_1[[#This Row],[Date]]),"00")</f>
        <v>202118</v>
      </c>
      <c r="F19" s="4">
        <v>0</v>
      </c>
      <c r="G19" s="4">
        <v>2339.5</v>
      </c>
      <c r="H19" s="8" t="s">
        <v>33</v>
      </c>
    </row>
    <row r="20" spans="1:8">
      <c r="A20" s="8" t="s">
        <v>184</v>
      </c>
      <c r="B20" s="8" t="s">
        <v>63</v>
      </c>
      <c r="C20" s="8" t="s">
        <v>30</v>
      </c>
      <c r="D20" s="6">
        <v>44349</v>
      </c>
      <c r="E20" s="4" t="str">
        <f>YEAR(AtlasReport_1_Table_1[[#This Row],[Date]]) &amp; TEXT(WEEKNUM(AtlasReport_1_Table_1[[#This Row],[Date]]),"00")</f>
        <v>202123</v>
      </c>
      <c r="F20" s="4">
        <v>0</v>
      </c>
      <c r="G20" s="4">
        <v>6000</v>
      </c>
      <c r="H20" s="8" t="s">
        <v>33</v>
      </c>
    </row>
    <row r="21" spans="1:8">
      <c r="A21" s="8" t="s">
        <v>122</v>
      </c>
      <c r="B21" s="8" t="s">
        <v>123</v>
      </c>
      <c r="C21" s="8" t="s">
        <v>28</v>
      </c>
      <c r="D21" s="6">
        <v>44232</v>
      </c>
      <c r="E21" s="4" t="str">
        <f>YEAR(AtlasReport_1_Table_1[[#This Row],[Date]]) &amp; TEXT(WEEKNUM(AtlasReport_1_Table_1[[#This Row],[Date]]),"00")</f>
        <v>202106</v>
      </c>
      <c r="F21" s="4">
        <v>0</v>
      </c>
      <c r="G21" s="4">
        <v>2095</v>
      </c>
      <c r="H21" s="8" t="s">
        <v>33</v>
      </c>
    </row>
    <row r="22" spans="1:8">
      <c r="A22" s="8" t="s">
        <v>124</v>
      </c>
      <c r="B22" s="8" t="s">
        <v>64</v>
      </c>
      <c r="C22" s="8" t="s">
        <v>30</v>
      </c>
      <c r="D22" s="6">
        <v>44259</v>
      </c>
      <c r="E22" s="4" t="str">
        <f>YEAR(AtlasReport_1_Table_1[[#This Row],[Date]]) &amp; TEXT(WEEKNUM(AtlasReport_1_Table_1[[#This Row],[Date]]),"00")</f>
        <v>202110</v>
      </c>
      <c r="F22" s="4">
        <v>0</v>
      </c>
      <c r="G22" s="4">
        <v>4309.63</v>
      </c>
      <c r="H22" s="8" t="s">
        <v>33</v>
      </c>
    </row>
    <row r="23" spans="1:8">
      <c r="A23" s="8" t="s">
        <v>185</v>
      </c>
      <c r="B23" s="8" t="s">
        <v>64</v>
      </c>
      <c r="C23" s="8" t="s">
        <v>30</v>
      </c>
      <c r="D23" s="6">
        <v>44327</v>
      </c>
      <c r="E23" s="4" t="str">
        <f>YEAR(AtlasReport_1_Table_1[[#This Row],[Date]]) &amp; TEXT(WEEKNUM(AtlasReport_1_Table_1[[#This Row],[Date]]),"00")</f>
        <v>202120</v>
      </c>
      <c r="F23" s="4">
        <v>0</v>
      </c>
      <c r="G23" s="4">
        <v>2299</v>
      </c>
      <c r="H23" s="8" t="s">
        <v>33</v>
      </c>
    </row>
    <row r="24" spans="1:8">
      <c r="A24" s="8" t="s">
        <v>125</v>
      </c>
      <c r="B24" s="8" t="s">
        <v>65</v>
      </c>
      <c r="C24" s="8" t="s">
        <v>30</v>
      </c>
      <c r="D24" s="6">
        <v>44204</v>
      </c>
      <c r="E24" s="4" t="str">
        <f>YEAR(AtlasReport_1_Table_1[[#This Row],[Date]]) &amp; TEXT(WEEKNUM(AtlasReport_1_Table_1[[#This Row],[Date]]),"00")</f>
        <v>202102</v>
      </c>
      <c r="F24" s="4">
        <v>0</v>
      </c>
      <c r="G24" s="4">
        <v>4000</v>
      </c>
      <c r="H24" s="8" t="s">
        <v>33</v>
      </c>
    </row>
    <row r="25" spans="1:8">
      <c r="A25" s="8" t="s">
        <v>126</v>
      </c>
      <c r="B25" s="8" t="s">
        <v>65</v>
      </c>
      <c r="C25" s="8" t="s">
        <v>28</v>
      </c>
      <c r="D25" s="6">
        <v>44238</v>
      </c>
      <c r="E25" s="4" t="str">
        <f>YEAR(AtlasReport_1_Table_1[[#This Row],[Date]]) &amp; TEXT(WEEKNUM(AtlasReport_1_Table_1[[#This Row],[Date]]),"00")</f>
        <v>202107</v>
      </c>
      <c r="F25" s="4">
        <v>0</v>
      </c>
      <c r="G25" s="4">
        <v>2420</v>
      </c>
      <c r="H25" s="8" t="s">
        <v>33</v>
      </c>
    </row>
    <row r="26" spans="1:8">
      <c r="A26" s="8" t="s">
        <v>127</v>
      </c>
      <c r="B26" s="8" t="s">
        <v>65</v>
      </c>
      <c r="C26" s="8" t="s">
        <v>28</v>
      </c>
      <c r="D26" s="6">
        <v>44277</v>
      </c>
      <c r="E26" s="4" t="str">
        <f>YEAR(AtlasReport_1_Table_1[[#This Row],[Date]]) &amp; TEXT(WEEKNUM(AtlasReport_1_Table_1[[#This Row],[Date]]),"00")</f>
        <v>202113</v>
      </c>
      <c r="F26" s="4">
        <v>0</v>
      </c>
      <c r="G26" s="4">
        <v>4105</v>
      </c>
      <c r="H26" s="8" t="s">
        <v>33</v>
      </c>
    </row>
    <row r="27" spans="1:8">
      <c r="A27" s="8" t="s">
        <v>186</v>
      </c>
      <c r="B27" s="8" t="s">
        <v>65</v>
      </c>
      <c r="C27" s="8" t="s">
        <v>28</v>
      </c>
      <c r="D27" s="6">
        <v>44305</v>
      </c>
      <c r="E27" s="4" t="str">
        <f>YEAR(AtlasReport_1_Table_1[[#This Row],[Date]]) &amp; TEXT(WEEKNUM(AtlasReport_1_Table_1[[#This Row],[Date]]),"00")</f>
        <v>202117</v>
      </c>
      <c r="F27" s="4">
        <v>0</v>
      </c>
      <c r="G27" s="4">
        <v>4812</v>
      </c>
      <c r="H27" s="8" t="s">
        <v>33</v>
      </c>
    </row>
    <row r="28" spans="1:8">
      <c r="A28" s="8" t="s">
        <v>128</v>
      </c>
      <c r="B28" s="8" t="s">
        <v>66</v>
      </c>
      <c r="C28" s="8" t="s">
        <v>28</v>
      </c>
      <c r="D28" s="6">
        <v>44217</v>
      </c>
      <c r="E28" s="4" t="str">
        <f>YEAR(AtlasReport_1_Table_1[[#This Row],[Date]]) &amp; TEXT(WEEKNUM(AtlasReport_1_Table_1[[#This Row],[Date]]),"00")</f>
        <v>202104</v>
      </c>
      <c r="F28" s="4">
        <v>0</v>
      </c>
      <c r="G28" s="4">
        <v>7280.5</v>
      </c>
      <c r="H28" s="8" t="s">
        <v>33</v>
      </c>
    </row>
    <row r="29" spans="1:8">
      <c r="A29" s="8" t="s">
        <v>129</v>
      </c>
      <c r="B29" s="8" t="s">
        <v>66</v>
      </c>
      <c r="C29" s="8" t="s">
        <v>28</v>
      </c>
      <c r="D29" s="6">
        <v>44236</v>
      </c>
      <c r="E29" s="4" t="str">
        <f>YEAR(AtlasReport_1_Table_1[[#This Row],[Date]]) &amp; TEXT(WEEKNUM(AtlasReport_1_Table_1[[#This Row],[Date]]),"00")</f>
        <v>202107</v>
      </c>
      <c r="F29" s="4">
        <v>0</v>
      </c>
      <c r="G29" s="4">
        <v>1561.22</v>
      </c>
      <c r="H29" s="8" t="s">
        <v>33</v>
      </c>
    </row>
    <row r="30" spans="1:8">
      <c r="A30" s="8" t="s">
        <v>130</v>
      </c>
      <c r="B30" s="8" t="s">
        <v>66</v>
      </c>
      <c r="C30" s="8" t="s">
        <v>28</v>
      </c>
      <c r="D30" s="6">
        <v>44272</v>
      </c>
      <c r="E30" s="4" t="str">
        <f>YEAR(AtlasReport_1_Table_1[[#This Row],[Date]]) &amp; TEXT(WEEKNUM(AtlasReport_1_Table_1[[#This Row],[Date]]),"00")</f>
        <v>202112</v>
      </c>
      <c r="F30" s="4">
        <v>0</v>
      </c>
      <c r="G30" s="4">
        <v>2206</v>
      </c>
      <c r="H30" s="8" t="s">
        <v>33</v>
      </c>
    </row>
    <row r="31" spans="1:8">
      <c r="A31" s="8" t="s">
        <v>187</v>
      </c>
      <c r="B31" s="8" t="s">
        <v>66</v>
      </c>
      <c r="C31" s="8" t="s">
        <v>28</v>
      </c>
      <c r="D31" s="6">
        <v>44328</v>
      </c>
      <c r="E31" s="4" t="str">
        <f>YEAR(AtlasReport_1_Table_1[[#This Row],[Date]]) &amp; TEXT(WEEKNUM(AtlasReport_1_Table_1[[#This Row],[Date]]),"00")</f>
        <v>202120</v>
      </c>
      <c r="F31" s="4">
        <v>0</v>
      </c>
      <c r="G31" s="4">
        <v>2697.31</v>
      </c>
      <c r="H31" s="8" t="s">
        <v>33</v>
      </c>
    </row>
    <row r="32" spans="1:8">
      <c r="A32" s="8" t="s">
        <v>131</v>
      </c>
      <c r="B32" s="8" t="s">
        <v>67</v>
      </c>
      <c r="C32" s="8" t="s">
        <v>29</v>
      </c>
      <c r="D32" s="6">
        <v>44264</v>
      </c>
      <c r="E32" s="4" t="str">
        <f>YEAR(AtlasReport_1_Table_1[[#This Row],[Date]]) &amp; TEXT(WEEKNUM(AtlasReport_1_Table_1[[#This Row],[Date]]),"00")</f>
        <v>202111</v>
      </c>
      <c r="F32" s="4">
        <v>0</v>
      </c>
      <c r="G32" s="4">
        <v>1935</v>
      </c>
      <c r="H32" s="8" t="s">
        <v>33</v>
      </c>
    </row>
    <row r="33" spans="1:8">
      <c r="A33" s="8" t="s">
        <v>132</v>
      </c>
      <c r="B33" s="8" t="s">
        <v>67</v>
      </c>
      <c r="C33" s="8" t="s">
        <v>28</v>
      </c>
      <c r="D33" s="6">
        <v>44280</v>
      </c>
      <c r="E33" s="4" t="str">
        <f>YEAR(AtlasReport_1_Table_1[[#This Row],[Date]]) &amp; TEXT(WEEKNUM(AtlasReport_1_Table_1[[#This Row],[Date]]),"00")</f>
        <v>202113</v>
      </c>
      <c r="F33" s="4">
        <v>0</v>
      </c>
      <c r="G33" s="4">
        <v>375</v>
      </c>
      <c r="H33" s="8" t="s">
        <v>33</v>
      </c>
    </row>
    <row r="34" spans="1:8">
      <c r="A34" s="8" t="s">
        <v>132</v>
      </c>
      <c r="B34" s="8" t="s">
        <v>67</v>
      </c>
      <c r="C34" s="8" t="s">
        <v>28</v>
      </c>
      <c r="D34" s="6">
        <v>44280</v>
      </c>
      <c r="E34" s="4" t="str">
        <f>YEAR(AtlasReport_1_Table_1[[#This Row],[Date]]) &amp; TEXT(WEEKNUM(AtlasReport_1_Table_1[[#This Row],[Date]]),"00")</f>
        <v>202113</v>
      </c>
      <c r="F34" s="4">
        <v>0</v>
      </c>
      <c r="G34" s="4">
        <v>1321.32</v>
      </c>
      <c r="H34" s="8" t="s">
        <v>33</v>
      </c>
    </row>
    <row r="35" spans="1:8">
      <c r="A35" s="8" t="s">
        <v>132</v>
      </c>
      <c r="B35" s="8" t="s">
        <v>67</v>
      </c>
      <c r="C35" s="8" t="s">
        <v>28</v>
      </c>
      <c r="D35" s="6">
        <v>44286</v>
      </c>
      <c r="E35" s="4" t="str">
        <f>YEAR(AtlasReport_1_Table_1[[#This Row],[Date]]) &amp; TEXT(WEEKNUM(AtlasReport_1_Table_1[[#This Row],[Date]]),"00")</f>
        <v>202114</v>
      </c>
      <c r="F35" s="4">
        <v>0</v>
      </c>
      <c r="G35" s="4">
        <v>2101.16</v>
      </c>
      <c r="H35" s="8" t="s">
        <v>33</v>
      </c>
    </row>
    <row r="36" spans="1:8">
      <c r="A36" s="8" t="s">
        <v>132</v>
      </c>
      <c r="B36" s="8" t="s">
        <v>67</v>
      </c>
      <c r="C36" s="8" t="s">
        <v>28</v>
      </c>
      <c r="D36" s="6">
        <v>44286</v>
      </c>
      <c r="E36" s="4" t="str">
        <f>YEAR(AtlasReport_1_Table_1[[#This Row],[Date]]) &amp; TEXT(WEEKNUM(AtlasReport_1_Table_1[[#This Row],[Date]]),"00")</f>
        <v>202114</v>
      </c>
      <c r="F36" s="4">
        <v>0</v>
      </c>
      <c r="G36" s="4">
        <v>1000</v>
      </c>
      <c r="H36" s="8" t="s">
        <v>33</v>
      </c>
    </row>
    <row r="37" spans="1:8">
      <c r="A37" s="8" t="s">
        <v>188</v>
      </c>
      <c r="B37" s="8" t="s">
        <v>67</v>
      </c>
      <c r="C37" s="8" t="s">
        <v>28</v>
      </c>
      <c r="D37" s="6">
        <v>44321</v>
      </c>
      <c r="E37" s="4" t="str">
        <f>YEAR(AtlasReport_1_Table_1[[#This Row],[Date]]) &amp; TEXT(WEEKNUM(AtlasReport_1_Table_1[[#This Row],[Date]]),"00")</f>
        <v>202119</v>
      </c>
      <c r="F37" s="4">
        <v>0</v>
      </c>
      <c r="G37" s="4">
        <v>1050</v>
      </c>
      <c r="H37" s="8" t="s">
        <v>33</v>
      </c>
    </row>
    <row r="38" spans="1:8">
      <c r="A38" s="8" t="s">
        <v>188</v>
      </c>
      <c r="B38" s="8" t="s">
        <v>67</v>
      </c>
      <c r="C38" s="8" t="s">
        <v>28</v>
      </c>
      <c r="D38" s="6">
        <v>44322</v>
      </c>
      <c r="E38" s="4" t="str">
        <f>YEAR(AtlasReport_1_Table_1[[#This Row],[Date]]) &amp; TEXT(WEEKNUM(AtlasReport_1_Table_1[[#This Row],[Date]]),"00")</f>
        <v>202119</v>
      </c>
      <c r="F38" s="4">
        <v>0</v>
      </c>
      <c r="G38" s="4">
        <v>2626.2</v>
      </c>
      <c r="H38" s="8" t="s">
        <v>33</v>
      </c>
    </row>
    <row r="39" spans="1:8">
      <c r="A39" s="8" t="s">
        <v>188</v>
      </c>
      <c r="B39" s="8" t="s">
        <v>67</v>
      </c>
      <c r="C39" s="8" t="s">
        <v>28</v>
      </c>
      <c r="D39" s="6">
        <v>44322</v>
      </c>
      <c r="E39" s="4" t="str">
        <f>YEAR(AtlasReport_1_Table_1[[#This Row],[Date]]) &amp; TEXT(WEEKNUM(AtlasReport_1_Table_1[[#This Row],[Date]]),"00")</f>
        <v>202119</v>
      </c>
      <c r="F39" s="4">
        <v>0</v>
      </c>
      <c r="G39" s="4">
        <v>0.4</v>
      </c>
      <c r="H39" s="8" t="s">
        <v>33</v>
      </c>
    </row>
    <row r="40" spans="1:8">
      <c r="A40" s="8" t="s">
        <v>189</v>
      </c>
      <c r="B40" s="8" t="s">
        <v>67</v>
      </c>
      <c r="C40" s="8" t="s">
        <v>28</v>
      </c>
      <c r="D40" s="6">
        <v>44335</v>
      </c>
      <c r="E40" s="4" t="str">
        <f>YEAR(AtlasReport_1_Table_1[[#This Row],[Date]]) &amp; TEXT(WEEKNUM(AtlasReport_1_Table_1[[#This Row],[Date]]),"00")</f>
        <v>202121</v>
      </c>
      <c r="F40" s="4">
        <v>0</v>
      </c>
      <c r="G40" s="4">
        <v>3104</v>
      </c>
      <c r="H40" s="8" t="s">
        <v>33</v>
      </c>
    </row>
    <row r="41" spans="1:8">
      <c r="A41" s="8" t="s">
        <v>189</v>
      </c>
      <c r="B41" s="8" t="s">
        <v>67</v>
      </c>
      <c r="C41" s="8" t="s">
        <v>28</v>
      </c>
      <c r="D41" s="6">
        <v>44342</v>
      </c>
      <c r="E41" s="4" t="str">
        <f>YEAR(AtlasReport_1_Table_1[[#This Row],[Date]]) &amp; TEXT(WEEKNUM(AtlasReport_1_Table_1[[#This Row],[Date]]),"00")</f>
        <v>202122</v>
      </c>
      <c r="F41" s="4">
        <v>0</v>
      </c>
      <c r="G41" s="4">
        <v>1562.78</v>
      </c>
      <c r="H41" s="8" t="s">
        <v>33</v>
      </c>
    </row>
    <row r="42" spans="1:8">
      <c r="A42" s="8" t="s">
        <v>190</v>
      </c>
      <c r="B42" s="8" t="s">
        <v>67</v>
      </c>
      <c r="C42" s="8" t="s">
        <v>28</v>
      </c>
      <c r="D42" s="6">
        <v>44361</v>
      </c>
      <c r="E42" s="4" t="str">
        <f>YEAR(AtlasReport_1_Table_1[[#This Row],[Date]]) &amp; TEXT(WEEKNUM(AtlasReport_1_Table_1[[#This Row],[Date]]),"00")</f>
        <v>202125</v>
      </c>
      <c r="F42" s="4">
        <v>0</v>
      </c>
      <c r="G42" s="4">
        <v>3147.76</v>
      </c>
      <c r="H42" s="8" t="s">
        <v>33</v>
      </c>
    </row>
    <row r="43" spans="1:8">
      <c r="A43" s="8" t="s">
        <v>191</v>
      </c>
      <c r="B43" s="8" t="s">
        <v>192</v>
      </c>
      <c r="C43" s="8" t="s">
        <v>30</v>
      </c>
      <c r="D43" s="6">
        <v>44361</v>
      </c>
      <c r="E43" s="4" t="str">
        <f>YEAR(AtlasReport_1_Table_1[[#This Row],[Date]]) &amp; TEXT(WEEKNUM(AtlasReport_1_Table_1[[#This Row],[Date]]),"00")</f>
        <v>202125</v>
      </c>
      <c r="F43" s="4">
        <v>0</v>
      </c>
      <c r="G43" s="4">
        <v>1008</v>
      </c>
      <c r="H43" s="8" t="s">
        <v>33</v>
      </c>
    </row>
    <row r="44" spans="1:8">
      <c r="A44" s="8" t="s">
        <v>133</v>
      </c>
      <c r="B44" s="8" t="s">
        <v>134</v>
      </c>
      <c r="C44" s="8" t="s">
        <v>28</v>
      </c>
      <c r="D44" s="6">
        <v>44230</v>
      </c>
      <c r="E44" s="4" t="str">
        <f>YEAR(AtlasReport_1_Table_1[[#This Row],[Date]]) &amp; TEXT(WEEKNUM(AtlasReport_1_Table_1[[#This Row],[Date]]),"00")</f>
        <v>202106</v>
      </c>
      <c r="F44" s="4">
        <v>0</v>
      </c>
      <c r="G44" s="4">
        <v>1673</v>
      </c>
      <c r="H44" s="8" t="s">
        <v>33</v>
      </c>
    </row>
    <row r="45" spans="1:8">
      <c r="A45" s="8" t="s">
        <v>135</v>
      </c>
      <c r="B45" s="8" t="s">
        <v>134</v>
      </c>
      <c r="C45" s="8" t="s">
        <v>30</v>
      </c>
      <c r="D45" s="6">
        <v>44280</v>
      </c>
      <c r="E45" s="4" t="str">
        <f>YEAR(AtlasReport_1_Table_1[[#This Row],[Date]]) &amp; TEXT(WEEKNUM(AtlasReport_1_Table_1[[#This Row],[Date]]),"00")</f>
        <v>202113</v>
      </c>
      <c r="F45" s="4">
        <v>0</v>
      </c>
      <c r="G45" s="4">
        <v>2497</v>
      </c>
      <c r="H45" s="8" t="s">
        <v>33</v>
      </c>
    </row>
    <row r="46" spans="1:8">
      <c r="A46" s="8" t="s">
        <v>193</v>
      </c>
      <c r="B46" s="8" t="s">
        <v>134</v>
      </c>
      <c r="C46" s="8" t="s">
        <v>30</v>
      </c>
      <c r="D46" s="6">
        <v>44301</v>
      </c>
      <c r="E46" s="4" t="str">
        <f>YEAR(AtlasReport_1_Table_1[[#This Row],[Date]]) &amp; TEXT(WEEKNUM(AtlasReport_1_Table_1[[#This Row],[Date]]),"00")</f>
        <v>202116</v>
      </c>
      <c r="F46" s="4">
        <v>0</v>
      </c>
      <c r="G46" s="4">
        <v>3238</v>
      </c>
      <c r="H46" s="8" t="s">
        <v>33</v>
      </c>
    </row>
    <row r="47" spans="1:8">
      <c r="A47" s="8" t="s">
        <v>194</v>
      </c>
      <c r="B47" s="8" t="s">
        <v>134</v>
      </c>
      <c r="C47" s="8" t="s">
        <v>30</v>
      </c>
      <c r="D47" s="6">
        <v>44301</v>
      </c>
      <c r="E47" s="4" t="str">
        <f>YEAR(AtlasReport_1_Table_1[[#This Row],[Date]]) &amp; TEXT(WEEKNUM(AtlasReport_1_Table_1[[#This Row],[Date]]),"00")</f>
        <v>202116</v>
      </c>
      <c r="F47" s="4">
        <v>0</v>
      </c>
      <c r="G47" s="4">
        <v>250</v>
      </c>
      <c r="H47" s="8" t="s">
        <v>33</v>
      </c>
    </row>
    <row r="48" spans="1:8">
      <c r="A48" s="8" t="s">
        <v>195</v>
      </c>
      <c r="B48" s="8" t="s">
        <v>106</v>
      </c>
      <c r="C48" s="8" t="s">
        <v>30</v>
      </c>
      <c r="D48" s="6">
        <v>44354</v>
      </c>
      <c r="E48" s="4" t="str">
        <f>YEAR(AtlasReport_1_Table_1[[#This Row],[Date]]) &amp; TEXT(WEEKNUM(AtlasReport_1_Table_1[[#This Row],[Date]]),"00")</f>
        <v>202124</v>
      </c>
      <c r="F48" s="4">
        <v>0</v>
      </c>
      <c r="G48" s="4">
        <v>1672</v>
      </c>
      <c r="H48" s="8" t="s">
        <v>33</v>
      </c>
    </row>
    <row r="49" spans="1:8">
      <c r="A49" s="8" t="s">
        <v>136</v>
      </c>
      <c r="B49" s="8" t="s">
        <v>68</v>
      </c>
      <c r="C49" s="8" t="s">
        <v>31</v>
      </c>
      <c r="D49" s="6">
        <v>44201</v>
      </c>
      <c r="E49" s="4" t="str">
        <f>YEAR(AtlasReport_1_Table_1[[#This Row],[Date]]) &amp; TEXT(WEEKNUM(AtlasReport_1_Table_1[[#This Row],[Date]]),"00")</f>
        <v>202102</v>
      </c>
      <c r="F49" s="4">
        <v>0</v>
      </c>
      <c r="G49" s="4">
        <v>599.70000000000005</v>
      </c>
      <c r="H49" s="8" t="s">
        <v>33</v>
      </c>
    </row>
    <row r="50" spans="1:8">
      <c r="A50" s="8" t="s">
        <v>137</v>
      </c>
      <c r="B50" s="8" t="s">
        <v>68</v>
      </c>
      <c r="C50" s="8" t="s">
        <v>30</v>
      </c>
      <c r="D50" s="6">
        <v>44228</v>
      </c>
      <c r="E50" s="4" t="str">
        <f>YEAR(AtlasReport_1_Table_1[[#This Row],[Date]]) &amp; TEXT(WEEKNUM(AtlasReport_1_Table_1[[#This Row],[Date]]),"00")</f>
        <v>202106</v>
      </c>
      <c r="F50" s="4">
        <v>0</v>
      </c>
      <c r="G50" s="4">
        <v>1</v>
      </c>
      <c r="H50" s="8" t="s">
        <v>33</v>
      </c>
    </row>
    <row r="51" spans="1:8">
      <c r="A51" s="8" t="s">
        <v>138</v>
      </c>
      <c r="B51" s="8" t="s">
        <v>68</v>
      </c>
      <c r="C51" s="8" t="s">
        <v>30</v>
      </c>
      <c r="D51" s="6">
        <v>44245</v>
      </c>
      <c r="E51" s="4" t="str">
        <f>YEAR(AtlasReport_1_Table_1[[#This Row],[Date]]) &amp; TEXT(WEEKNUM(AtlasReport_1_Table_1[[#This Row],[Date]]),"00")</f>
        <v>202108</v>
      </c>
      <c r="F51" s="4">
        <v>0</v>
      </c>
      <c r="G51" s="4">
        <v>1043.8499999999999</v>
      </c>
      <c r="H51" s="8" t="s">
        <v>33</v>
      </c>
    </row>
    <row r="52" spans="1:8">
      <c r="A52" s="8" t="s">
        <v>138</v>
      </c>
      <c r="B52" s="8" t="s">
        <v>68</v>
      </c>
      <c r="C52" s="8" t="s">
        <v>30</v>
      </c>
      <c r="D52" s="6">
        <v>44249</v>
      </c>
      <c r="E52" s="4" t="str">
        <f>YEAR(AtlasReport_1_Table_1[[#This Row],[Date]]) &amp; TEXT(WEEKNUM(AtlasReport_1_Table_1[[#This Row],[Date]]),"00")</f>
        <v>202109</v>
      </c>
      <c r="F52" s="4">
        <v>0</v>
      </c>
      <c r="G52" s="4">
        <v>-561.6</v>
      </c>
      <c r="H52" s="8" t="s">
        <v>33</v>
      </c>
    </row>
    <row r="53" spans="1:8">
      <c r="A53" s="8" t="s">
        <v>139</v>
      </c>
      <c r="B53" s="8" t="s">
        <v>69</v>
      </c>
      <c r="C53" s="8" t="s">
        <v>28</v>
      </c>
      <c r="D53" s="6">
        <v>44232</v>
      </c>
      <c r="E53" s="4" t="str">
        <f>YEAR(AtlasReport_1_Table_1[[#This Row],[Date]]) &amp; TEXT(WEEKNUM(AtlasReport_1_Table_1[[#This Row],[Date]]),"00")</f>
        <v>202106</v>
      </c>
      <c r="F53" s="4">
        <v>0</v>
      </c>
      <c r="G53" s="4">
        <v>504.68</v>
      </c>
      <c r="H53" s="8" t="s">
        <v>33</v>
      </c>
    </row>
    <row r="54" spans="1:8">
      <c r="A54" s="8" t="s">
        <v>196</v>
      </c>
      <c r="B54" s="8" t="s">
        <v>197</v>
      </c>
      <c r="C54" s="8" t="s">
        <v>29</v>
      </c>
      <c r="D54" s="6">
        <v>44343</v>
      </c>
      <c r="E54" s="4" t="str">
        <f>YEAR(AtlasReport_1_Table_1[[#This Row],[Date]]) &amp; TEXT(WEEKNUM(AtlasReport_1_Table_1[[#This Row],[Date]]),"00")</f>
        <v>202122</v>
      </c>
      <c r="F54" s="4">
        <v>0</v>
      </c>
      <c r="G54" s="4">
        <v>1360</v>
      </c>
      <c r="H54" s="8" t="s">
        <v>33</v>
      </c>
    </row>
    <row r="55" spans="1:8">
      <c r="A55" s="8" t="s">
        <v>140</v>
      </c>
      <c r="B55" s="8" t="s">
        <v>70</v>
      </c>
      <c r="C55" s="8" t="s">
        <v>28</v>
      </c>
      <c r="D55" s="6">
        <v>44201</v>
      </c>
      <c r="E55" s="4" t="str">
        <f>YEAR(AtlasReport_1_Table_1[[#This Row],[Date]]) &amp; TEXT(WEEKNUM(AtlasReport_1_Table_1[[#This Row],[Date]]),"00")</f>
        <v>202102</v>
      </c>
      <c r="F55" s="4">
        <v>0</v>
      </c>
      <c r="G55" s="4">
        <v>500.5</v>
      </c>
      <c r="H55" s="8" t="s">
        <v>33</v>
      </c>
    </row>
    <row r="56" spans="1:8">
      <c r="A56" s="8" t="s">
        <v>141</v>
      </c>
      <c r="B56" s="8" t="s">
        <v>70</v>
      </c>
      <c r="C56" s="8" t="s">
        <v>31</v>
      </c>
      <c r="D56" s="6">
        <v>44267</v>
      </c>
      <c r="E56" s="4" t="str">
        <f>YEAR(AtlasReport_1_Table_1[[#This Row],[Date]]) &amp; TEXT(WEEKNUM(AtlasReport_1_Table_1[[#This Row],[Date]]),"00")</f>
        <v>202111</v>
      </c>
      <c r="F56" s="4">
        <v>0</v>
      </c>
      <c r="G56" s="4">
        <v>489</v>
      </c>
      <c r="H56" s="8" t="s">
        <v>33</v>
      </c>
    </row>
    <row r="57" spans="1:8">
      <c r="A57" s="8" t="s">
        <v>198</v>
      </c>
      <c r="B57" s="8" t="s">
        <v>70</v>
      </c>
      <c r="C57" s="8" t="s">
        <v>30</v>
      </c>
      <c r="D57" s="6">
        <v>44363</v>
      </c>
      <c r="E57" s="4" t="str">
        <f>YEAR(AtlasReport_1_Table_1[[#This Row],[Date]]) &amp; TEXT(WEEKNUM(AtlasReport_1_Table_1[[#This Row],[Date]]),"00")</f>
        <v>202125</v>
      </c>
      <c r="F57" s="4">
        <v>0</v>
      </c>
      <c r="G57" s="4">
        <v>864</v>
      </c>
      <c r="H57" s="8" t="s">
        <v>33</v>
      </c>
    </row>
    <row r="58" spans="1:8">
      <c r="A58" s="8" t="s">
        <v>142</v>
      </c>
      <c r="B58" s="8" t="s">
        <v>71</v>
      </c>
      <c r="C58" s="8" t="s">
        <v>28</v>
      </c>
      <c r="D58" s="6">
        <v>44230</v>
      </c>
      <c r="E58" s="4" t="str">
        <f>YEAR(AtlasReport_1_Table_1[[#This Row],[Date]]) &amp; TEXT(WEEKNUM(AtlasReport_1_Table_1[[#This Row],[Date]]),"00")</f>
        <v>202106</v>
      </c>
      <c r="F58" s="4">
        <v>0</v>
      </c>
      <c r="G58" s="4">
        <v>447.71999999999997</v>
      </c>
      <c r="H58" s="8" t="s">
        <v>33</v>
      </c>
    </row>
    <row r="59" spans="1:8">
      <c r="A59" s="8" t="s">
        <v>199</v>
      </c>
      <c r="B59" s="8" t="s">
        <v>71</v>
      </c>
      <c r="C59" s="8" t="s">
        <v>30</v>
      </c>
      <c r="D59" s="6">
        <v>44361</v>
      </c>
      <c r="E59" s="4" t="str">
        <f>YEAR(AtlasReport_1_Table_1[[#This Row],[Date]]) &amp; TEXT(WEEKNUM(AtlasReport_1_Table_1[[#This Row],[Date]]),"00")</f>
        <v>202125</v>
      </c>
      <c r="F59" s="4">
        <v>0</v>
      </c>
      <c r="G59" s="4">
        <v>928</v>
      </c>
      <c r="H59" s="8" t="s">
        <v>33</v>
      </c>
    </row>
    <row r="60" spans="1:8">
      <c r="A60" s="8" t="s">
        <v>200</v>
      </c>
      <c r="B60" s="8" t="s">
        <v>201</v>
      </c>
      <c r="C60" s="8" t="s">
        <v>29</v>
      </c>
      <c r="D60" s="6">
        <v>44354</v>
      </c>
      <c r="E60" s="4" t="str">
        <f>YEAR(AtlasReport_1_Table_1[[#This Row],[Date]]) &amp; TEXT(WEEKNUM(AtlasReport_1_Table_1[[#This Row],[Date]]),"00")</f>
        <v>202124</v>
      </c>
      <c r="F60" s="4">
        <v>0</v>
      </c>
      <c r="G60" s="4">
        <v>1537</v>
      </c>
      <c r="H60" s="8" t="s">
        <v>33</v>
      </c>
    </row>
    <row r="61" spans="1:8">
      <c r="A61" s="8" t="s">
        <v>143</v>
      </c>
      <c r="B61" s="8" t="s">
        <v>72</v>
      </c>
      <c r="C61" s="8" t="s">
        <v>28</v>
      </c>
      <c r="D61" s="6">
        <v>44211</v>
      </c>
      <c r="E61" s="4" t="str">
        <f>YEAR(AtlasReport_1_Table_1[[#This Row],[Date]]) &amp; TEXT(WEEKNUM(AtlasReport_1_Table_1[[#This Row],[Date]]),"00")</f>
        <v>202103</v>
      </c>
      <c r="F61" s="4">
        <v>0</v>
      </c>
      <c r="G61" s="4">
        <v>1335</v>
      </c>
      <c r="H61" s="8" t="s">
        <v>33</v>
      </c>
    </row>
    <row r="62" spans="1:8">
      <c r="A62" s="8" t="s">
        <v>144</v>
      </c>
      <c r="B62" s="8" t="s">
        <v>72</v>
      </c>
      <c r="C62" s="8" t="s">
        <v>28</v>
      </c>
      <c r="D62" s="6">
        <v>44244</v>
      </c>
      <c r="E62" s="4" t="str">
        <f>YEAR(AtlasReport_1_Table_1[[#This Row],[Date]]) &amp; TEXT(WEEKNUM(AtlasReport_1_Table_1[[#This Row],[Date]]),"00")</f>
        <v>202108</v>
      </c>
      <c r="F62" s="4">
        <v>0</v>
      </c>
      <c r="G62" s="4">
        <v>2293</v>
      </c>
      <c r="H62" s="8" t="s">
        <v>33</v>
      </c>
    </row>
    <row r="63" spans="1:8">
      <c r="A63" s="8" t="s">
        <v>145</v>
      </c>
      <c r="B63" s="8" t="s">
        <v>73</v>
      </c>
      <c r="C63" s="8" t="s">
        <v>28</v>
      </c>
      <c r="D63" s="6">
        <v>44270</v>
      </c>
      <c r="E63" s="4" t="str">
        <f>YEAR(AtlasReport_1_Table_1[[#This Row],[Date]]) &amp; TEXT(WEEKNUM(AtlasReport_1_Table_1[[#This Row],[Date]]),"00")</f>
        <v>202112</v>
      </c>
      <c r="F63" s="4">
        <v>0</v>
      </c>
      <c r="G63" s="4">
        <v>543.31999999999994</v>
      </c>
      <c r="H63" s="8" t="s">
        <v>33</v>
      </c>
    </row>
    <row r="64" spans="1:8">
      <c r="A64" s="8" t="s">
        <v>146</v>
      </c>
      <c r="B64" s="8" t="s">
        <v>74</v>
      </c>
      <c r="C64" s="8" t="s">
        <v>28</v>
      </c>
      <c r="D64" s="6">
        <v>44215</v>
      </c>
      <c r="E64" s="4" t="str">
        <f>YEAR(AtlasReport_1_Table_1[[#This Row],[Date]]) &amp; TEXT(WEEKNUM(AtlasReport_1_Table_1[[#This Row],[Date]]),"00")</f>
        <v>202104</v>
      </c>
      <c r="F64" s="4">
        <v>0</v>
      </c>
      <c r="G64" s="4">
        <v>3160</v>
      </c>
      <c r="H64" s="8" t="s">
        <v>33</v>
      </c>
    </row>
    <row r="65" spans="1:8">
      <c r="A65" s="8" t="s">
        <v>146</v>
      </c>
      <c r="B65" s="8" t="s">
        <v>74</v>
      </c>
      <c r="C65" s="8" t="s">
        <v>28</v>
      </c>
      <c r="D65" s="6">
        <v>44223</v>
      </c>
      <c r="E65" s="4" t="str">
        <f>YEAR(AtlasReport_1_Table_1[[#This Row],[Date]]) &amp; TEXT(WEEKNUM(AtlasReport_1_Table_1[[#This Row],[Date]]),"00")</f>
        <v>202105</v>
      </c>
      <c r="F65" s="4">
        <v>60</v>
      </c>
      <c r="G65" s="4">
        <v>0</v>
      </c>
      <c r="H65" s="8" t="s">
        <v>33</v>
      </c>
    </row>
    <row r="66" spans="1:8">
      <c r="A66" s="8" t="s">
        <v>147</v>
      </c>
      <c r="B66" s="8" t="s">
        <v>74</v>
      </c>
      <c r="C66" s="8" t="s">
        <v>28</v>
      </c>
      <c r="D66" s="6">
        <v>44260</v>
      </c>
      <c r="E66" s="4" t="str">
        <f>YEAR(AtlasReport_1_Table_1[[#This Row],[Date]]) &amp; TEXT(WEEKNUM(AtlasReport_1_Table_1[[#This Row],[Date]]),"00")</f>
        <v>202110</v>
      </c>
      <c r="F66" s="4">
        <v>0</v>
      </c>
      <c r="G66" s="4">
        <v>2408</v>
      </c>
      <c r="H66" s="8" t="s">
        <v>33</v>
      </c>
    </row>
    <row r="67" spans="1:8">
      <c r="A67" s="8" t="s">
        <v>202</v>
      </c>
      <c r="B67" s="8" t="s">
        <v>74</v>
      </c>
      <c r="C67" s="8" t="s">
        <v>29</v>
      </c>
      <c r="D67" s="6">
        <v>44327</v>
      </c>
      <c r="E67" s="4" t="str">
        <f>YEAR(AtlasReport_1_Table_1[[#This Row],[Date]]) &amp; TEXT(WEEKNUM(AtlasReport_1_Table_1[[#This Row],[Date]]),"00")</f>
        <v>202120</v>
      </c>
      <c r="F67" s="4">
        <v>0</v>
      </c>
      <c r="G67" s="4">
        <v>3233</v>
      </c>
      <c r="H67" s="8" t="s">
        <v>33</v>
      </c>
    </row>
    <row r="68" spans="1:8">
      <c r="A68" s="8" t="s">
        <v>203</v>
      </c>
      <c r="B68" s="8" t="s">
        <v>107</v>
      </c>
      <c r="C68" s="8" t="s">
        <v>29</v>
      </c>
      <c r="D68" s="6">
        <v>44347</v>
      </c>
      <c r="E68" s="4" t="str">
        <f>YEAR(AtlasReport_1_Table_1[[#This Row],[Date]]) &amp; TEXT(WEEKNUM(AtlasReport_1_Table_1[[#This Row],[Date]]),"00")</f>
        <v>202123</v>
      </c>
      <c r="F68" s="4">
        <v>0</v>
      </c>
      <c r="G68" s="4">
        <v>1130</v>
      </c>
      <c r="H68" s="8" t="s">
        <v>33</v>
      </c>
    </row>
    <row r="69" spans="1:8">
      <c r="A69" s="8" t="s">
        <v>203</v>
      </c>
      <c r="B69" s="8" t="s">
        <v>107</v>
      </c>
      <c r="C69" s="8" t="s">
        <v>29</v>
      </c>
      <c r="D69" s="6">
        <v>44349</v>
      </c>
      <c r="E69" s="4" t="str">
        <f>YEAR(AtlasReport_1_Table_1[[#This Row],[Date]]) &amp; TEXT(WEEKNUM(AtlasReport_1_Table_1[[#This Row],[Date]]),"00")</f>
        <v>202123</v>
      </c>
      <c r="F69" s="4">
        <v>0</v>
      </c>
      <c r="G69" s="4">
        <v>1168</v>
      </c>
      <c r="H69" s="8" t="s">
        <v>33</v>
      </c>
    </row>
    <row r="70" spans="1:8">
      <c r="A70" s="8" t="s">
        <v>204</v>
      </c>
      <c r="B70" s="8" t="s">
        <v>205</v>
      </c>
      <c r="C70" s="8" t="s">
        <v>28</v>
      </c>
      <c r="D70" s="6">
        <v>44305</v>
      </c>
      <c r="E70" s="4" t="str">
        <f>YEAR(AtlasReport_1_Table_1[[#This Row],[Date]]) &amp; TEXT(WEEKNUM(AtlasReport_1_Table_1[[#This Row],[Date]]),"00")</f>
        <v>202117</v>
      </c>
      <c r="F70" s="4">
        <v>0</v>
      </c>
      <c r="G70" s="4">
        <v>1109</v>
      </c>
      <c r="H70" s="8" t="s">
        <v>33</v>
      </c>
    </row>
    <row r="71" spans="1:8">
      <c r="A71" s="8" t="s">
        <v>148</v>
      </c>
      <c r="B71" s="8" t="s">
        <v>149</v>
      </c>
      <c r="C71" s="8" t="s">
        <v>28</v>
      </c>
      <c r="D71" s="6">
        <v>44221</v>
      </c>
      <c r="E71" s="4" t="str">
        <f>YEAR(AtlasReport_1_Table_1[[#This Row],[Date]]) &amp; TEXT(WEEKNUM(AtlasReport_1_Table_1[[#This Row],[Date]]),"00")</f>
        <v>202105</v>
      </c>
      <c r="F71" s="4">
        <v>0</v>
      </c>
      <c r="G71" s="4">
        <v>1737</v>
      </c>
      <c r="H71" s="8" t="s">
        <v>33</v>
      </c>
    </row>
    <row r="72" spans="1:8">
      <c r="A72" s="8" t="s">
        <v>150</v>
      </c>
      <c r="B72" s="8" t="s">
        <v>75</v>
      </c>
      <c r="C72" s="8" t="s">
        <v>28</v>
      </c>
      <c r="D72" s="6">
        <v>44207</v>
      </c>
      <c r="E72" s="4" t="str">
        <f>YEAR(AtlasReport_1_Table_1[[#This Row],[Date]]) &amp; TEXT(WEEKNUM(AtlasReport_1_Table_1[[#This Row],[Date]]),"00")</f>
        <v>202103</v>
      </c>
      <c r="F72" s="4">
        <v>0</v>
      </c>
      <c r="G72" s="4">
        <v>300</v>
      </c>
      <c r="H72" s="8" t="s">
        <v>33</v>
      </c>
    </row>
    <row r="73" spans="1:8">
      <c r="A73" s="8" t="s">
        <v>150</v>
      </c>
      <c r="B73" s="8" t="s">
        <v>75</v>
      </c>
      <c r="C73" s="8" t="s">
        <v>28</v>
      </c>
      <c r="D73" s="6">
        <v>44210</v>
      </c>
      <c r="E73" s="4" t="str">
        <f>YEAR(AtlasReport_1_Table_1[[#This Row],[Date]]) &amp; TEXT(WEEKNUM(AtlasReport_1_Table_1[[#This Row],[Date]]),"00")</f>
        <v>202103</v>
      </c>
      <c r="F73" s="4">
        <v>0</v>
      </c>
      <c r="G73" s="4">
        <v>3724</v>
      </c>
      <c r="H73" s="8" t="s">
        <v>33</v>
      </c>
    </row>
    <row r="74" spans="1:8">
      <c r="A74" s="8" t="s">
        <v>151</v>
      </c>
      <c r="B74" s="8" t="s">
        <v>75</v>
      </c>
      <c r="C74" s="8" t="s">
        <v>28</v>
      </c>
      <c r="D74" s="6">
        <v>44256</v>
      </c>
      <c r="E74" s="4" t="str">
        <f>YEAR(AtlasReport_1_Table_1[[#This Row],[Date]]) &amp; TEXT(WEEKNUM(AtlasReport_1_Table_1[[#This Row],[Date]]),"00")</f>
        <v>202110</v>
      </c>
      <c r="F74" s="4">
        <v>0</v>
      </c>
      <c r="G74" s="4">
        <v>75</v>
      </c>
      <c r="H74" s="8" t="s">
        <v>33</v>
      </c>
    </row>
    <row r="75" spans="1:8">
      <c r="A75" s="8" t="s">
        <v>151</v>
      </c>
      <c r="B75" s="8" t="s">
        <v>75</v>
      </c>
      <c r="C75" s="8" t="s">
        <v>28</v>
      </c>
      <c r="D75" s="6">
        <v>44257</v>
      </c>
      <c r="E75" s="4" t="str">
        <f>YEAR(AtlasReport_1_Table_1[[#This Row],[Date]]) &amp; TEXT(WEEKNUM(AtlasReport_1_Table_1[[#This Row],[Date]]),"00")</f>
        <v>202110</v>
      </c>
      <c r="F75" s="4">
        <v>0</v>
      </c>
      <c r="G75" s="4">
        <v>9161.4</v>
      </c>
      <c r="H75" s="8" t="s">
        <v>33</v>
      </c>
    </row>
    <row r="76" spans="1:8">
      <c r="A76" s="8" t="s">
        <v>206</v>
      </c>
      <c r="B76" s="8" t="s">
        <v>75</v>
      </c>
      <c r="C76" s="8" t="s">
        <v>28</v>
      </c>
      <c r="D76" s="6">
        <v>44298</v>
      </c>
      <c r="E76" s="4" t="str">
        <f>YEAR(AtlasReport_1_Table_1[[#This Row],[Date]]) &amp; TEXT(WEEKNUM(AtlasReport_1_Table_1[[#This Row],[Date]]),"00")</f>
        <v>202116</v>
      </c>
      <c r="F76" s="4">
        <v>0</v>
      </c>
      <c r="G76" s="4">
        <v>6064</v>
      </c>
      <c r="H76" s="8" t="s">
        <v>33</v>
      </c>
    </row>
    <row r="77" spans="1:8">
      <c r="A77" s="8" t="s">
        <v>207</v>
      </c>
      <c r="B77" s="8" t="s">
        <v>75</v>
      </c>
      <c r="C77" s="8" t="s">
        <v>28</v>
      </c>
      <c r="D77" s="6">
        <v>44320</v>
      </c>
      <c r="E77" s="4" t="str">
        <f>YEAR(AtlasReport_1_Table_1[[#This Row],[Date]]) &amp; TEXT(WEEKNUM(AtlasReport_1_Table_1[[#This Row],[Date]]),"00")</f>
        <v>202119</v>
      </c>
      <c r="F77" s="4">
        <v>0</v>
      </c>
      <c r="G77" s="4">
        <v>6939.5</v>
      </c>
      <c r="H77" s="8" t="s">
        <v>33</v>
      </c>
    </row>
    <row r="78" spans="1:8">
      <c r="A78" s="8" t="s">
        <v>208</v>
      </c>
      <c r="B78" s="8" t="s">
        <v>75</v>
      </c>
      <c r="C78" s="8" t="s">
        <v>28</v>
      </c>
      <c r="D78" s="6">
        <v>44350</v>
      </c>
      <c r="E78" s="4" t="str">
        <f>YEAR(AtlasReport_1_Table_1[[#This Row],[Date]]) &amp; TEXT(WEEKNUM(AtlasReport_1_Table_1[[#This Row],[Date]]),"00")</f>
        <v>202123</v>
      </c>
      <c r="F78" s="4">
        <v>0</v>
      </c>
      <c r="G78" s="4">
        <v>8833.9</v>
      </c>
      <c r="H78" s="8" t="s">
        <v>33</v>
      </c>
    </row>
    <row r="79" spans="1:8">
      <c r="A79" s="8" t="s">
        <v>208</v>
      </c>
      <c r="B79" s="8" t="s">
        <v>75</v>
      </c>
      <c r="C79" s="8" t="s">
        <v>28</v>
      </c>
      <c r="D79" s="6">
        <v>44354</v>
      </c>
      <c r="E79" s="4" t="str">
        <f>YEAR(AtlasReport_1_Table_1[[#This Row],[Date]]) &amp; TEXT(WEEKNUM(AtlasReport_1_Table_1[[#This Row],[Date]]),"00")</f>
        <v>202124</v>
      </c>
      <c r="F79" s="4">
        <v>0</v>
      </c>
      <c r="G79" s="4">
        <v>2100</v>
      </c>
      <c r="H79" s="8" t="s">
        <v>33</v>
      </c>
    </row>
    <row r="80" spans="1:8">
      <c r="A80" s="8" t="s">
        <v>152</v>
      </c>
      <c r="B80" s="8" t="s">
        <v>76</v>
      </c>
      <c r="C80" s="8" t="s">
        <v>28</v>
      </c>
      <c r="D80" s="6">
        <v>44229</v>
      </c>
      <c r="E80" s="4" t="str">
        <f>YEAR(AtlasReport_1_Table_1[[#This Row],[Date]]) &amp; TEXT(WEEKNUM(AtlasReport_1_Table_1[[#This Row],[Date]]),"00")</f>
        <v>202106</v>
      </c>
      <c r="F80" s="4">
        <v>0</v>
      </c>
      <c r="G80" s="4">
        <v>2042</v>
      </c>
      <c r="H80" s="8" t="s">
        <v>33</v>
      </c>
    </row>
    <row r="81" spans="1:8">
      <c r="A81" s="8" t="s">
        <v>209</v>
      </c>
      <c r="B81" s="8" t="s">
        <v>76</v>
      </c>
      <c r="C81" s="8" t="s">
        <v>30</v>
      </c>
      <c r="D81" s="6">
        <v>44292</v>
      </c>
      <c r="E81" s="4" t="str">
        <f>YEAR(AtlasReport_1_Table_1[[#This Row],[Date]]) &amp; TEXT(WEEKNUM(AtlasReport_1_Table_1[[#This Row],[Date]]),"00")</f>
        <v>202115</v>
      </c>
      <c r="F81" s="4">
        <v>0</v>
      </c>
      <c r="G81" s="4">
        <v>1171</v>
      </c>
      <c r="H81" s="8" t="s">
        <v>33</v>
      </c>
    </row>
    <row r="82" spans="1:8">
      <c r="A82" s="8" t="s">
        <v>210</v>
      </c>
      <c r="B82" s="8" t="s">
        <v>76</v>
      </c>
      <c r="C82" s="8" t="s">
        <v>29</v>
      </c>
      <c r="D82" s="6">
        <v>44363</v>
      </c>
      <c r="E82" s="4" t="str">
        <f>YEAR(AtlasReport_1_Table_1[[#This Row],[Date]]) &amp; TEXT(WEEKNUM(AtlasReport_1_Table_1[[#This Row],[Date]]),"00")</f>
        <v>202125</v>
      </c>
      <c r="F82" s="4">
        <v>0</v>
      </c>
      <c r="G82" s="4">
        <v>2187</v>
      </c>
      <c r="H82" s="8" t="s">
        <v>33</v>
      </c>
    </row>
    <row r="83" spans="1:8">
      <c r="A83" s="8" t="s">
        <v>153</v>
      </c>
      <c r="B83" s="8" t="s">
        <v>77</v>
      </c>
      <c r="C83" s="8" t="s">
        <v>28</v>
      </c>
      <c r="D83" s="6">
        <v>44270</v>
      </c>
      <c r="E83" s="4" t="str">
        <f>YEAR(AtlasReport_1_Table_1[[#This Row],[Date]]) &amp; TEXT(WEEKNUM(AtlasReport_1_Table_1[[#This Row],[Date]]),"00")</f>
        <v>202112</v>
      </c>
      <c r="F83" s="4">
        <v>0</v>
      </c>
      <c r="G83" s="4">
        <v>1025</v>
      </c>
      <c r="H83" s="8" t="s">
        <v>33</v>
      </c>
    </row>
    <row r="84" spans="1:8">
      <c r="A84" s="8" t="s">
        <v>154</v>
      </c>
      <c r="B84" s="8" t="s">
        <v>78</v>
      </c>
      <c r="C84" s="8" t="s">
        <v>30</v>
      </c>
      <c r="D84" s="6">
        <v>44243</v>
      </c>
      <c r="E84" s="4" t="str">
        <f>YEAR(AtlasReport_1_Table_1[[#This Row],[Date]]) &amp; TEXT(WEEKNUM(AtlasReport_1_Table_1[[#This Row],[Date]]),"00")</f>
        <v>202108</v>
      </c>
      <c r="F84" s="4">
        <v>250</v>
      </c>
      <c r="G84" s="4">
        <v>2249.5</v>
      </c>
      <c r="H84" s="8" t="s">
        <v>33</v>
      </c>
    </row>
    <row r="85" spans="1:8">
      <c r="A85" s="8" t="s">
        <v>154</v>
      </c>
      <c r="B85" s="8" t="s">
        <v>78</v>
      </c>
      <c r="C85" s="8" t="s">
        <v>30</v>
      </c>
      <c r="D85" s="6">
        <v>44245</v>
      </c>
      <c r="E85" s="4" t="str">
        <f>YEAR(AtlasReport_1_Table_1[[#This Row],[Date]]) &amp; TEXT(WEEKNUM(AtlasReport_1_Table_1[[#This Row],[Date]]),"00")</f>
        <v>202108</v>
      </c>
      <c r="F85" s="4">
        <v>-100</v>
      </c>
      <c r="G85" s="4">
        <v>0</v>
      </c>
      <c r="H85" s="8" t="s">
        <v>33</v>
      </c>
    </row>
    <row r="86" spans="1:8">
      <c r="A86" s="8" t="s">
        <v>211</v>
      </c>
      <c r="B86" s="8" t="s">
        <v>78</v>
      </c>
      <c r="C86" s="8" t="s">
        <v>30</v>
      </c>
      <c r="D86" s="6">
        <v>44336</v>
      </c>
      <c r="E86" s="4" t="str">
        <f>YEAR(AtlasReport_1_Table_1[[#This Row],[Date]]) &amp; TEXT(WEEKNUM(AtlasReport_1_Table_1[[#This Row],[Date]]),"00")</f>
        <v>202121</v>
      </c>
      <c r="F86" s="4">
        <v>0</v>
      </c>
      <c r="G86" s="4">
        <v>559.20000000000005</v>
      </c>
      <c r="H86" s="8" t="s">
        <v>33</v>
      </c>
    </row>
    <row r="87" spans="1:8">
      <c r="A87" s="8" t="s">
        <v>211</v>
      </c>
      <c r="B87" s="8" t="s">
        <v>78</v>
      </c>
      <c r="C87" s="8" t="s">
        <v>30</v>
      </c>
      <c r="D87" s="6">
        <v>44342</v>
      </c>
      <c r="E87" s="4" t="str">
        <f>YEAR(AtlasReport_1_Table_1[[#This Row],[Date]]) &amp; TEXT(WEEKNUM(AtlasReport_1_Table_1[[#This Row],[Date]]),"00")</f>
        <v>202122</v>
      </c>
      <c r="F87" s="4">
        <v>0</v>
      </c>
      <c r="G87" s="4">
        <v>994</v>
      </c>
      <c r="H87" s="8" t="s">
        <v>33</v>
      </c>
    </row>
    <row r="88" spans="1:8">
      <c r="A88" s="8" t="s">
        <v>155</v>
      </c>
      <c r="B88" s="8" t="s">
        <v>79</v>
      </c>
      <c r="C88" s="8" t="s">
        <v>30</v>
      </c>
      <c r="D88" s="6">
        <v>44274</v>
      </c>
      <c r="E88" s="4" t="str">
        <f>YEAR(AtlasReport_1_Table_1[[#This Row],[Date]]) &amp; TEXT(WEEKNUM(AtlasReport_1_Table_1[[#This Row],[Date]]),"00")</f>
        <v>202112</v>
      </c>
      <c r="F88" s="4">
        <v>0</v>
      </c>
      <c r="G88" s="4">
        <v>3060</v>
      </c>
      <c r="H88" s="8" t="s">
        <v>33</v>
      </c>
    </row>
    <row r="89" spans="1:8">
      <c r="A89" s="8" t="s">
        <v>156</v>
      </c>
      <c r="B89" s="8" t="s">
        <v>80</v>
      </c>
      <c r="C89" s="8" t="s">
        <v>30</v>
      </c>
      <c r="D89" s="6">
        <v>44271</v>
      </c>
      <c r="E89" s="4" t="str">
        <f>YEAR(AtlasReport_1_Table_1[[#This Row],[Date]]) &amp; TEXT(WEEKNUM(AtlasReport_1_Table_1[[#This Row],[Date]]),"00")</f>
        <v>202112</v>
      </c>
      <c r="F89" s="4">
        <v>0</v>
      </c>
      <c r="G89" s="4">
        <v>2940</v>
      </c>
      <c r="H89" s="8" t="s">
        <v>33</v>
      </c>
    </row>
    <row r="90" spans="1:8">
      <c r="A90" s="8" t="s">
        <v>157</v>
      </c>
      <c r="B90" s="8" t="s">
        <v>81</v>
      </c>
      <c r="C90" s="8" t="s">
        <v>30</v>
      </c>
      <c r="D90" s="6">
        <v>44271</v>
      </c>
      <c r="E90" s="4" t="str">
        <f>YEAR(AtlasReport_1_Table_1[[#This Row],[Date]]) &amp; TEXT(WEEKNUM(AtlasReport_1_Table_1[[#This Row],[Date]]),"00")</f>
        <v>202112</v>
      </c>
      <c r="F90" s="4">
        <v>0</v>
      </c>
      <c r="G90" s="4">
        <v>1257</v>
      </c>
      <c r="H90" s="8" t="s">
        <v>33</v>
      </c>
    </row>
    <row r="91" spans="1:8">
      <c r="A91" s="8" t="s">
        <v>158</v>
      </c>
      <c r="B91" s="8" t="s">
        <v>82</v>
      </c>
      <c r="C91" s="8" t="s">
        <v>30</v>
      </c>
      <c r="D91" s="6">
        <v>44224</v>
      </c>
      <c r="E91" s="4" t="str">
        <f>YEAR(AtlasReport_1_Table_1[[#This Row],[Date]]) &amp; TEXT(WEEKNUM(AtlasReport_1_Table_1[[#This Row],[Date]]),"00")</f>
        <v>202105</v>
      </c>
      <c r="F91" s="4">
        <v>0</v>
      </c>
      <c r="G91" s="4">
        <v>2109</v>
      </c>
      <c r="H91" s="8" t="s">
        <v>33</v>
      </c>
    </row>
    <row r="92" spans="1:8">
      <c r="A92" s="8" t="s">
        <v>159</v>
      </c>
      <c r="B92" s="8" t="s">
        <v>160</v>
      </c>
      <c r="C92" s="8" t="s">
        <v>30</v>
      </c>
      <c r="D92" s="6">
        <v>44284</v>
      </c>
      <c r="E92" s="4" t="str">
        <f>YEAR(AtlasReport_1_Table_1[[#This Row],[Date]]) &amp; TEXT(WEEKNUM(AtlasReport_1_Table_1[[#This Row],[Date]]),"00")</f>
        <v>202114</v>
      </c>
      <c r="F92" s="4">
        <v>0</v>
      </c>
      <c r="G92" s="4">
        <v>3000</v>
      </c>
      <c r="H92" s="8" t="s">
        <v>33</v>
      </c>
    </row>
    <row r="93" spans="1:8">
      <c r="A93" s="8" t="s">
        <v>212</v>
      </c>
      <c r="B93" s="8" t="s">
        <v>213</v>
      </c>
      <c r="C93" s="8" t="s">
        <v>30</v>
      </c>
      <c r="D93" s="6">
        <v>44305</v>
      </c>
      <c r="E93" s="4" t="str">
        <f>YEAR(AtlasReport_1_Table_1[[#This Row],[Date]]) &amp; TEXT(WEEKNUM(AtlasReport_1_Table_1[[#This Row],[Date]]),"00")</f>
        <v>202117</v>
      </c>
      <c r="F93" s="4">
        <v>0</v>
      </c>
      <c r="G93" s="4">
        <v>1202.5</v>
      </c>
      <c r="H93" s="8" t="s">
        <v>33</v>
      </c>
    </row>
    <row r="94" spans="1:8">
      <c r="A94" s="8" t="s">
        <v>161</v>
      </c>
      <c r="B94" s="8" t="s">
        <v>83</v>
      </c>
      <c r="C94" s="8" t="s">
        <v>29</v>
      </c>
      <c r="D94" s="6">
        <v>44207</v>
      </c>
      <c r="E94" s="4" t="str">
        <f>YEAR(AtlasReport_1_Table_1[[#This Row],[Date]]) &amp; TEXT(WEEKNUM(AtlasReport_1_Table_1[[#This Row],[Date]]),"00")</f>
        <v>202103</v>
      </c>
      <c r="F94" s="4">
        <v>0</v>
      </c>
      <c r="G94" s="4">
        <v>2089.7399999999998</v>
      </c>
      <c r="H94" s="8" t="s">
        <v>33</v>
      </c>
    </row>
    <row r="95" spans="1:8">
      <c r="A95" s="8" t="s">
        <v>162</v>
      </c>
      <c r="B95" s="8" t="s">
        <v>83</v>
      </c>
      <c r="C95" s="8" t="s">
        <v>29</v>
      </c>
      <c r="D95" s="6">
        <v>44209</v>
      </c>
      <c r="E95" s="4" t="str">
        <f>YEAR(AtlasReport_1_Table_1[[#This Row],[Date]]) &amp; TEXT(WEEKNUM(AtlasReport_1_Table_1[[#This Row],[Date]]),"00")</f>
        <v>202103</v>
      </c>
      <c r="F95" s="4">
        <v>0</v>
      </c>
      <c r="G95" s="4">
        <v>3462.4</v>
      </c>
      <c r="H95" s="8" t="s">
        <v>33</v>
      </c>
    </row>
    <row r="96" spans="1:8">
      <c r="A96" s="8" t="s">
        <v>163</v>
      </c>
      <c r="B96" s="8" t="s">
        <v>83</v>
      </c>
      <c r="C96" s="8" t="s">
        <v>29</v>
      </c>
      <c r="D96" s="6">
        <v>44216</v>
      </c>
      <c r="E96" s="4" t="str">
        <f>YEAR(AtlasReport_1_Table_1[[#This Row],[Date]]) &amp; TEXT(WEEKNUM(AtlasReport_1_Table_1[[#This Row],[Date]]),"00")</f>
        <v>202104</v>
      </c>
      <c r="F96" s="4">
        <v>0</v>
      </c>
      <c r="G96" s="4">
        <v>3698.64</v>
      </c>
      <c r="H96" s="8" t="s">
        <v>33</v>
      </c>
    </row>
    <row r="97" spans="1:8">
      <c r="A97" s="8" t="s">
        <v>164</v>
      </c>
      <c r="B97" s="8" t="s">
        <v>83</v>
      </c>
      <c r="C97" s="8" t="s">
        <v>29</v>
      </c>
      <c r="D97" s="6">
        <v>44228</v>
      </c>
      <c r="E97" s="4" t="str">
        <f>YEAR(AtlasReport_1_Table_1[[#This Row],[Date]]) &amp; TEXT(WEEKNUM(AtlasReport_1_Table_1[[#This Row],[Date]]),"00")</f>
        <v>202106</v>
      </c>
      <c r="F97" s="4">
        <v>0</v>
      </c>
      <c r="G97" s="4">
        <v>1</v>
      </c>
      <c r="H97" s="8" t="s">
        <v>33</v>
      </c>
    </row>
    <row r="98" spans="1:8">
      <c r="A98" s="8" t="s">
        <v>165</v>
      </c>
      <c r="B98" s="8" t="s">
        <v>83</v>
      </c>
      <c r="C98" s="8" t="s">
        <v>29</v>
      </c>
      <c r="D98" s="6">
        <v>44229</v>
      </c>
      <c r="E98" s="4" t="str">
        <f>YEAR(AtlasReport_1_Table_1[[#This Row],[Date]]) &amp; TEXT(WEEKNUM(AtlasReport_1_Table_1[[#This Row],[Date]]),"00")</f>
        <v>202106</v>
      </c>
      <c r="F98" s="4">
        <v>0</v>
      </c>
      <c r="G98" s="4">
        <v>3707.4</v>
      </c>
      <c r="H98" s="8" t="s">
        <v>33</v>
      </c>
    </row>
    <row r="99" spans="1:8">
      <c r="A99" s="8" t="s">
        <v>165</v>
      </c>
      <c r="B99" s="8" t="s">
        <v>83</v>
      </c>
      <c r="C99" s="8" t="s">
        <v>29</v>
      </c>
      <c r="D99" s="6">
        <v>44229</v>
      </c>
      <c r="E99" s="4" t="str">
        <f>YEAR(AtlasReport_1_Table_1[[#This Row],[Date]]) &amp; TEXT(WEEKNUM(AtlasReport_1_Table_1[[#This Row],[Date]]),"00")</f>
        <v>202106</v>
      </c>
      <c r="F99" s="4">
        <v>0</v>
      </c>
      <c r="G99" s="4">
        <v>447.6</v>
      </c>
      <c r="H99" s="8" t="s">
        <v>33</v>
      </c>
    </row>
    <row r="100" spans="1:8">
      <c r="A100" s="8" t="s">
        <v>165</v>
      </c>
      <c r="B100" s="8" t="s">
        <v>83</v>
      </c>
      <c r="C100" s="8" t="s">
        <v>29</v>
      </c>
      <c r="D100" s="6">
        <v>44229</v>
      </c>
      <c r="E100" s="4" t="str">
        <f>YEAR(AtlasReport_1_Table_1[[#This Row],[Date]]) &amp; TEXT(WEEKNUM(AtlasReport_1_Table_1[[#This Row],[Date]]),"00")</f>
        <v>202106</v>
      </c>
      <c r="F100" s="4">
        <v>0</v>
      </c>
      <c r="G100" s="4">
        <v>976.31000000000006</v>
      </c>
      <c r="H100" s="8" t="s">
        <v>33</v>
      </c>
    </row>
    <row r="101" spans="1:8">
      <c r="A101" s="8" t="s">
        <v>165</v>
      </c>
      <c r="B101" s="8" t="s">
        <v>83</v>
      </c>
      <c r="C101" s="8" t="s">
        <v>29</v>
      </c>
      <c r="D101" s="6">
        <v>44230</v>
      </c>
      <c r="E101" s="4" t="str">
        <f>YEAR(AtlasReport_1_Table_1[[#This Row],[Date]]) &amp; TEXT(WEEKNUM(AtlasReport_1_Table_1[[#This Row],[Date]]),"00")</f>
        <v>202106</v>
      </c>
      <c r="F101" s="4">
        <v>0</v>
      </c>
      <c r="G101" s="4">
        <v>-1424.96</v>
      </c>
      <c r="H101" s="8" t="s">
        <v>33</v>
      </c>
    </row>
    <row r="102" spans="1:8">
      <c r="A102" s="8" t="s">
        <v>166</v>
      </c>
      <c r="B102" s="8" t="s">
        <v>83</v>
      </c>
      <c r="C102" s="8" t="s">
        <v>29</v>
      </c>
      <c r="D102" s="6">
        <v>44230</v>
      </c>
      <c r="E102" s="4" t="str">
        <f>YEAR(AtlasReport_1_Table_1[[#This Row],[Date]]) &amp; TEXT(WEEKNUM(AtlasReport_1_Table_1[[#This Row],[Date]]),"00")</f>
        <v>202106</v>
      </c>
      <c r="F102" s="4">
        <v>0</v>
      </c>
      <c r="G102" s="4">
        <v>3628.51</v>
      </c>
      <c r="H102" s="8" t="s">
        <v>33</v>
      </c>
    </row>
    <row r="103" spans="1:8">
      <c r="A103" s="8" t="s">
        <v>167</v>
      </c>
      <c r="B103" s="8" t="s">
        <v>83</v>
      </c>
      <c r="C103" s="8" t="s">
        <v>29</v>
      </c>
      <c r="D103" s="6">
        <v>44246</v>
      </c>
      <c r="E103" s="4" t="str">
        <f>YEAR(AtlasReport_1_Table_1[[#This Row],[Date]]) &amp; TEXT(WEEKNUM(AtlasReport_1_Table_1[[#This Row],[Date]]),"00")</f>
        <v>202108</v>
      </c>
      <c r="F103" s="4">
        <v>0</v>
      </c>
      <c r="G103" s="4">
        <v>3620.69</v>
      </c>
      <c r="H103" s="8" t="s">
        <v>33</v>
      </c>
    </row>
    <row r="104" spans="1:8">
      <c r="A104" s="8" t="s">
        <v>167</v>
      </c>
      <c r="B104" s="8" t="s">
        <v>83</v>
      </c>
      <c r="C104" s="8" t="s">
        <v>29</v>
      </c>
      <c r="D104" s="6">
        <v>44246</v>
      </c>
      <c r="E104" s="4" t="str">
        <f>YEAR(AtlasReport_1_Table_1[[#This Row],[Date]]) &amp; TEXT(WEEKNUM(AtlasReport_1_Table_1[[#This Row],[Date]]),"00")</f>
        <v>202108</v>
      </c>
      <c r="F104" s="4">
        <v>0</v>
      </c>
      <c r="G104" s="4">
        <v>10</v>
      </c>
      <c r="H104" s="8" t="s">
        <v>33</v>
      </c>
    </row>
    <row r="105" spans="1:8">
      <c r="A105" s="8" t="s">
        <v>168</v>
      </c>
      <c r="B105" s="8" t="s">
        <v>83</v>
      </c>
      <c r="C105" s="8" t="s">
        <v>29</v>
      </c>
      <c r="D105" s="6">
        <v>44257</v>
      </c>
      <c r="E105" s="4" t="str">
        <f>YEAR(AtlasReport_1_Table_1[[#This Row],[Date]]) &amp; TEXT(WEEKNUM(AtlasReport_1_Table_1[[#This Row],[Date]]),"00")</f>
        <v>202110</v>
      </c>
      <c r="F105" s="4">
        <v>0</v>
      </c>
      <c r="G105" s="4">
        <v>3605.42</v>
      </c>
      <c r="H105" s="8" t="s">
        <v>33</v>
      </c>
    </row>
    <row r="106" spans="1:8">
      <c r="A106" s="8" t="s">
        <v>168</v>
      </c>
      <c r="B106" s="8" t="s">
        <v>83</v>
      </c>
      <c r="C106" s="8" t="s">
        <v>29</v>
      </c>
      <c r="D106" s="6">
        <v>44257</v>
      </c>
      <c r="E106" s="4" t="str">
        <f>YEAR(AtlasReport_1_Table_1[[#This Row],[Date]]) &amp; TEXT(WEEKNUM(AtlasReport_1_Table_1[[#This Row],[Date]]),"00")</f>
        <v>202110</v>
      </c>
      <c r="F106" s="4">
        <v>0</v>
      </c>
      <c r="G106" s="4">
        <v>9</v>
      </c>
      <c r="H106" s="8" t="s">
        <v>33</v>
      </c>
    </row>
    <row r="107" spans="1:8">
      <c r="A107" s="8" t="s">
        <v>169</v>
      </c>
      <c r="B107" s="8" t="s">
        <v>83</v>
      </c>
      <c r="C107" s="8" t="s">
        <v>29</v>
      </c>
      <c r="D107" s="6">
        <v>44271</v>
      </c>
      <c r="E107" s="4" t="str">
        <f>YEAR(AtlasReport_1_Table_1[[#This Row],[Date]]) &amp; TEXT(WEEKNUM(AtlasReport_1_Table_1[[#This Row],[Date]]),"00")</f>
        <v>202112</v>
      </c>
      <c r="F107" s="4">
        <v>0</v>
      </c>
      <c r="G107" s="4">
        <v>3605.77</v>
      </c>
      <c r="H107" s="8" t="s">
        <v>33</v>
      </c>
    </row>
    <row r="108" spans="1:8">
      <c r="A108" s="8" t="s">
        <v>170</v>
      </c>
      <c r="B108" s="8" t="s">
        <v>83</v>
      </c>
      <c r="C108" s="8" t="s">
        <v>29</v>
      </c>
      <c r="D108" s="6">
        <v>44271</v>
      </c>
      <c r="E108" s="4" t="str">
        <f>YEAR(AtlasReport_1_Table_1[[#This Row],[Date]]) &amp; TEXT(WEEKNUM(AtlasReport_1_Table_1[[#This Row],[Date]]),"00")</f>
        <v>202112</v>
      </c>
      <c r="F108" s="4">
        <v>0</v>
      </c>
      <c r="G108" s="4">
        <v>3629.78</v>
      </c>
      <c r="H108" s="8" t="s">
        <v>33</v>
      </c>
    </row>
    <row r="109" spans="1:8">
      <c r="A109" s="8" t="s">
        <v>170</v>
      </c>
      <c r="B109" s="8" t="s">
        <v>83</v>
      </c>
      <c r="C109" s="8" t="s">
        <v>29</v>
      </c>
      <c r="D109" s="6">
        <v>44271</v>
      </c>
      <c r="E109" s="4" t="str">
        <f>YEAR(AtlasReport_1_Table_1[[#This Row],[Date]]) &amp; TEXT(WEEKNUM(AtlasReport_1_Table_1[[#This Row],[Date]]),"00")</f>
        <v>202112</v>
      </c>
      <c r="F109" s="4">
        <v>0</v>
      </c>
      <c r="G109" s="4">
        <v>0.97</v>
      </c>
      <c r="H109" s="8" t="s">
        <v>33</v>
      </c>
    </row>
    <row r="110" spans="1:8">
      <c r="A110" s="8" t="s">
        <v>170</v>
      </c>
      <c r="B110" s="8" t="s">
        <v>83</v>
      </c>
      <c r="C110" s="8" t="s">
        <v>29</v>
      </c>
      <c r="D110" s="6">
        <v>44271</v>
      </c>
      <c r="E110" s="4" t="str">
        <f>YEAR(AtlasReport_1_Table_1[[#This Row],[Date]]) &amp; TEXT(WEEKNUM(AtlasReport_1_Table_1[[#This Row],[Date]]),"00")</f>
        <v>202112</v>
      </c>
      <c r="F110" s="4">
        <v>0</v>
      </c>
      <c r="G110" s="4">
        <v>0.01</v>
      </c>
      <c r="H110" s="8" t="s">
        <v>33</v>
      </c>
    </row>
    <row r="111" spans="1:8">
      <c r="A111" s="8" t="s">
        <v>214</v>
      </c>
      <c r="B111" s="8" t="s">
        <v>83</v>
      </c>
      <c r="C111" s="8" t="s">
        <v>29</v>
      </c>
      <c r="D111" s="6">
        <v>44300</v>
      </c>
      <c r="E111" s="4" t="str">
        <f>YEAR(AtlasReport_1_Table_1[[#This Row],[Date]]) &amp; TEXT(WEEKNUM(AtlasReport_1_Table_1[[#This Row],[Date]]),"00")</f>
        <v>202116</v>
      </c>
      <c r="F111" s="4">
        <v>0</v>
      </c>
      <c r="G111" s="4">
        <v>3601.32</v>
      </c>
      <c r="H111" s="8" t="s">
        <v>33</v>
      </c>
    </row>
    <row r="112" spans="1:8">
      <c r="A112" s="8" t="s">
        <v>214</v>
      </c>
      <c r="B112" s="8" t="s">
        <v>83</v>
      </c>
      <c r="C112" s="8" t="s">
        <v>29</v>
      </c>
      <c r="D112" s="6">
        <v>44312</v>
      </c>
      <c r="E112" s="4" t="str">
        <f>YEAR(AtlasReport_1_Table_1[[#This Row],[Date]]) &amp; TEXT(WEEKNUM(AtlasReport_1_Table_1[[#This Row],[Date]]),"00")</f>
        <v>202118</v>
      </c>
      <c r="F112" s="4">
        <v>0</v>
      </c>
      <c r="G112" s="4">
        <v>6.9999999999999993E-2</v>
      </c>
      <c r="H112" s="8" t="s">
        <v>33</v>
      </c>
    </row>
    <row r="113" spans="1:8">
      <c r="A113" s="8" t="s">
        <v>214</v>
      </c>
      <c r="B113" s="8" t="s">
        <v>83</v>
      </c>
      <c r="C113" s="8" t="s">
        <v>29</v>
      </c>
      <c r="D113" s="6">
        <v>44312</v>
      </c>
      <c r="E113" s="4" t="str">
        <f>YEAR(AtlasReport_1_Table_1[[#This Row],[Date]]) &amp; TEXT(WEEKNUM(AtlasReport_1_Table_1[[#This Row],[Date]]),"00")</f>
        <v>202118</v>
      </c>
      <c r="F113" s="4">
        <v>0</v>
      </c>
      <c r="G113" s="4">
        <v>18</v>
      </c>
      <c r="H113" s="8" t="s">
        <v>33</v>
      </c>
    </row>
    <row r="114" spans="1:8">
      <c r="A114" s="8" t="s">
        <v>215</v>
      </c>
      <c r="B114" s="8" t="s">
        <v>83</v>
      </c>
      <c r="C114" s="8" t="s">
        <v>29</v>
      </c>
      <c r="D114" s="6">
        <v>44334</v>
      </c>
      <c r="E114" s="4" t="str">
        <f>YEAR(AtlasReport_1_Table_1[[#This Row],[Date]]) &amp; TEXT(WEEKNUM(AtlasReport_1_Table_1[[#This Row],[Date]]),"00")</f>
        <v>202121</v>
      </c>
      <c r="F114" s="4">
        <v>0</v>
      </c>
      <c r="G114" s="4">
        <v>3609.05</v>
      </c>
      <c r="H114" s="8" t="s">
        <v>33</v>
      </c>
    </row>
    <row r="115" spans="1:8">
      <c r="A115" s="8" t="s">
        <v>216</v>
      </c>
      <c r="B115" s="8" t="s">
        <v>83</v>
      </c>
      <c r="C115" s="8" t="s">
        <v>29</v>
      </c>
      <c r="D115" s="6">
        <v>44334</v>
      </c>
      <c r="E115" s="4" t="str">
        <f>YEAR(AtlasReport_1_Table_1[[#This Row],[Date]]) &amp; TEXT(WEEKNUM(AtlasReport_1_Table_1[[#This Row],[Date]]),"00")</f>
        <v>202121</v>
      </c>
      <c r="F115" s="4">
        <v>0</v>
      </c>
      <c r="G115" s="4">
        <v>3634.58</v>
      </c>
      <c r="H115" s="8" t="s">
        <v>33</v>
      </c>
    </row>
    <row r="116" spans="1:8">
      <c r="A116" s="8" t="s">
        <v>217</v>
      </c>
      <c r="B116" s="8" t="s">
        <v>83</v>
      </c>
      <c r="C116" s="8" t="s">
        <v>29</v>
      </c>
      <c r="D116" s="6">
        <v>44355</v>
      </c>
      <c r="E116" s="4" t="str">
        <f>YEAR(AtlasReport_1_Table_1[[#This Row],[Date]]) &amp; TEXT(WEEKNUM(AtlasReport_1_Table_1[[#This Row],[Date]]),"00")</f>
        <v>202124</v>
      </c>
      <c r="F116" s="4">
        <v>0</v>
      </c>
      <c r="G116" s="4">
        <v>3624.17</v>
      </c>
      <c r="H116" s="8" t="s">
        <v>33</v>
      </c>
    </row>
    <row r="117" spans="1:8">
      <c r="A117" s="8" t="s">
        <v>171</v>
      </c>
      <c r="B117" s="8" t="s">
        <v>84</v>
      </c>
      <c r="C117" s="8" t="s">
        <v>30</v>
      </c>
      <c r="D117" s="6">
        <v>44200</v>
      </c>
      <c r="E117" s="4" t="str">
        <f>YEAR(AtlasReport_1_Table_1[[#This Row],[Date]]) &amp; TEXT(WEEKNUM(AtlasReport_1_Table_1[[#This Row],[Date]]),"00")</f>
        <v>202102</v>
      </c>
      <c r="F117" s="4">
        <v>0</v>
      </c>
      <c r="G117" s="4">
        <v>690</v>
      </c>
      <c r="H117" s="8" t="s">
        <v>33</v>
      </c>
    </row>
    <row r="118" spans="1:8">
      <c r="A118" s="8" t="s">
        <v>218</v>
      </c>
      <c r="B118" s="8" t="s">
        <v>84</v>
      </c>
      <c r="C118" s="8" t="s">
        <v>30</v>
      </c>
      <c r="D118" s="6">
        <v>44349</v>
      </c>
      <c r="E118" s="4" t="str">
        <f>YEAR(AtlasReport_1_Table_1[[#This Row],[Date]]) &amp; TEXT(WEEKNUM(AtlasReport_1_Table_1[[#This Row],[Date]]),"00")</f>
        <v>202123</v>
      </c>
      <c r="F118" s="4">
        <v>0</v>
      </c>
      <c r="G118" s="4">
        <v>676</v>
      </c>
      <c r="H118" s="8" t="s">
        <v>33</v>
      </c>
    </row>
    <row r="119" spans="1:8">
      <c r="A119" s="3" t="s">
        <v>26</v>
      </c>
      <c r="B119" s="7"/>
      <c r="C119" s="7"/>
      <c r="D119" s="5"/>
      <c r="E119" s="3"/>
      <c r="F119" s="3">
        <f>SUBTOTAL(109,AtlasReport_1_Table_1[Error quantity])</f>
        <v>210</v>
      </c>
      <c r="G119" s="3">
        <f>SUBTOTAL(109,AtlasReport_1_Table_1[Good quantity])</f>
        <v>264614.32</v>
      </c>
      <c r="H119" s="3"/>
    </row>
    <row r="120" spans="1:8">
      <c r="A120" s="3"/>
      <c r="B120" s="3"/>
      <c r="C120" s="3"/>
      <c r="D120" s="5"/>
      <c r="E120" s="3"/>
      <c r="F120" s="3"/>
      <c r="G120" s="3"/>
      <c r="H120" s="3"/>
    </row>
    <row r="121" spans="1:8">
      <c r="A121" s="3"/>
      <c r="B121" s="3"/>
      <c r="C121" s="3"/>
      <c r="D121" s="5"/>
      <c r="E121" s="3"/>
      <c r="F121" s="3"/>
      <c r="G121" s="3"/>
      <c r="H121" s="3"/>
    </row>
  </sheetData>
  <phoneticPr fontId="3"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30"/>
  <sheetViews>
    <sheetView workbookViewId="0">
      <selection activeCell="J27" sqref="J27"/>
    </sheetView>
  </sheetViews>
  <sheetFormatPr defaultRowHeight="15"/>
  <sheetData>
    <row r="1" spans="1:2">
      <c r="A1" t="s">
        <v>0</v>
      </c>
    </row>
    <row r="2" spans="1:2">
      <c r="A2" t="s">
        <v>1</v>
      </c>
    </row>
    <row r="3" spans="1:2">
      <c r="A3" t="s">
        <v>2</v>
      </c>
      <c r="B3" t="s">
        <v>3</v>
      </c>
    </row>
    <row r="4" spans="1:2">
      <c r="A4" t="s">
        <v>2</v>
      </c>
      <c r="B4" t="s">
        <v>4</v>
      </c>
    </row>
    <row r="5" spans="1:2">
      <c r="A5" t="s">
        <v>2</v>
      </c>
      <c r="B5" t="s">
        <v>5</v>
      </c>
    </row>
    <row r="6" spans="1:2">
      <c r="A6" t="s">
        <v>2</v>
      </c>
      <c r="B6" t="s">
        <v>6</v>
      </c>
    </row>
    <row r="7" spans="1:2">
      <c r="A7" t="s">
        <v>2</v>
      </c>
      <c r="B7" t="s">
        <v>7</v>
      </c>
    </row>
    <row r="8" spans="1:2">
      <c r="A8" t="s">
        <v>2</v>
      </c>
      <c r="B8" t="s">
        <v>8</v>
      </c>
    </row>
    <row r="11" spans="1:2">
      <c r="A11" t="s">
        <v>9</v>
      </c>
    </row>
    <row r="12" spans="1:2">
      <c r="A12" t="s">
        <v>1</v>
      </c>
    </row>
    <row r="13" spans="1:2">
      <c r="A13" t="s">
        <v>2</v>
      </c>
      <c r="B13" t="s">
        <v>3</v>
      </c>
    </row>
    <row r="14" spans="1:2">
      <c r="A14" t="s">
        <v>2</v>
      </c>
      <c r="B14" t="s">
        <v>10</v>
      </c>
    </row>
    <row r="15" spans="1:2">
      <c r="A15" t="s">
        <v>2</v>
      </c>
      <c r="B15" t="s">
        <v>5</v>
      </c>
    </row>
    <row r="16" spans="1:2">
      <c r="A16" t="s">
        <v>2</v>
      </c>
      <c r="B16" t="s">
        <v>11</v>
      </c>
    </row>
    <row r="17" spans="1:7">
      <c r="A17" t="s">
        <v>2</v>
      </c>
      <c r="B17" t="s">
        <v>12</v>
      </c>
    </row>
    <row r="18" spans="1:7">
      <c r="A18" t="s">
        <v>2</v>
      </c>
      <c r="B18" t="s">
        <v>13</v>
      </c>
    </row>
    <row r="23" spans="1:7">
      <c r="C23" t="s">
        <v>35</v>
      </c>
      <c r="E23" t="s">
        <v>36</v>
      </c>
      <c r="G23" t="s">
        <v>45</v>
      </c>
    </row>
    <row r="24" spans="1:7">
      <c r="C24" s="9" t="s">
        <v>44</v>
      </c>
      <c r="E24" s="9" t="s">
        <v>37</v>
      </c>
      <c r="G24" t="s">
        <v>46</v>
      </c>
    </row>
    <row r="25" spans="1:7">
      <c r="C25" s="9" t="s">
        <v>48</v>
      </c>
      <c r="E25" s="9" t="s">
        <v>38</v>
      </c>
      <c r="G25" t="s">
        <v>47</v>
      </c>
    </row>
    <row r="26" spans="1:7">
      <c r="C26" s="9" t="s">
        <v>49</v>
      </c>
      <c r="E26" s="9" t="s">
        <v>39</v>
      </c>
    </row>
    <row r="27" spans="1:7">
      <c r="E27" s="9" t="s">
        <v>40</v>
      </c>
    </row>
    <row r="28" spans="1:7">
      <c r="E28" s="9" t="s">
        <v>41</v>
      </c>
    </row>
    <row r="29" spans="1:7">
      <c r="E29" s="9" t="s">
        <v>42</v>
      </c>
    </row>
    <row r="30" spans="1:7">
      <c r="E30" s="9" t="s">
        <v>43</v>
      </c>
    </row>
  </sheetData>
  <phoneticPr fontId="3"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tlas>
  <Query type="ReportList" id="17ae37a3-1867-4350-9faf-959387dc3685">
    AAEAAAD/////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v///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V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wYdAAAADVByb2RUYWJsZUpvdXIGHgAAAAdKb3VybmFsCQgAAAAJCAAAAAkIAAAABeD///8wR2xvYmVTb2Z0d2FyZS5BdGxhczQwLkF0bGFzQ29tbW9uLkRhdGFTb3VyY2VUeXBlAQAAAAd2YWx1ZV9fAAgCAAAAAAAAAAkhAAAACSIAAAAE3f///wtTeXN0ZW0uR3VpZAsAAAACX2ECX2ICX2MCX2QCX2UCX2YCX2cCX2gCX2kCX2oCX2sAAAAAAAAAAAAAAAgHBwICAgICAgIC5SUcwzVUf0KHHf2+64yAHgkIAAAACQgAAAAJJQAAAAYmAAAAE1RhYmxlLlByb2RUYWJsZUpvdXIKCgoKCgEAAAAF2f///zRHbG9iZVNvZnR3YXJlLkF0bGFzNDAuQXRsYXNDb21tb24uRGF0YVNvdXJjZUpvaW5Nb2RlAQAAAAd2YWx1ZV9fAAgCAAAAAAAAAAXY////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M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1P///wYwAAAAKlRhYmxlLlByb2RUYWJsZUpvdXIuUHJvZElkflRhYmxlLlByb2RUYWJsZQkxAAAAAc7////U////BjMAAAAyVGFibGUuUHJvZFRhYmxlSm91ci5JdGVtSWR+VGFibGUuSW52ZW50VGFibGVNb2R1bGUJNAAAAAcUAAAAAAEAAAAIAAAABC1HbG9iZVNvZnR3YXJlLkF0bGFzNDAuQXRsYXNDb21tb24uVHlwZS5Db2x1bW4CAAAACTUAAAAJNgAAAAk3AAAACTgAAAAJOQAAAAk6AAAACTsAAAAJPAAAABEVAAAABAAAAAY9AAAADUF0bGFzUmVwb3J0XzENAwcXAAAAAAEAAAADAAAAA+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L////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D////C////BkEAAAAPVGFibGUuUHJvZFRhYmxlCTAAAAABvf///8L///8GRAAAABdUYWJsZS5JbnZlbnRUYWJsZU1vZHV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6////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R2xvYmVTb2Z0d2FyZS5BdGxhczQwLkF0bGFzQ29tbW9uLlR5cGUuQXRsYXNRdWVyeUF0dHJpYnV0ZU5hbWUCAAAABbn///8+R2xvYmVTb2Z0d2FyZS5BdGxhczQwLkF0bGFzQ29tbW9uLlR5cGUuQXRsYXNRdWVyeUF0dHJpYnV0ZU5hbWUBAAAAB3ZhbHVlX18ACAIAAAACAAAABkgAAAAkMTdhZTM3YTMtMTg2Ny00MzUwLTlmYWYtOTU5Mzg3ZGMzNjg1Abf///+6////Abb///+5////AAAAAAZLAAAABHRydWUBtP///7r///8Bs////7n///8LAAAABk4AAAAHSm91cm5hbAGx////uv///wGw////uf///xsAAAAGUQAAAARUcnVlAa7///+6////Aa3///+5////BgAAAAZUAAAABUZhbHNlAav///+6////Aar///+5////HAAAAAlRAAAAAaj///+6////Aaf///+5////HQAAAAlUAAAAAaX///+6////AaT///+5////KgAAAAlRAAAAAaL///+6////AaH///+5////AQAAAAZgAAAAAzM3MgGf////uv///wGe////uf///ycAAAAGYwAAAAs9RGF0YUFyZWFJZAGc////uv///wGb////uf///xkAAAAGZgAAAA9DZWxsc1ZlcnRpY2FsbHkBmf///7r///8BmP///7n///8JAAAACgGX////uv///wGW////uf///ygAAAAGawAAAAE4AZT///+6////AZP///+5////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NUHJvZFRhYmxlSm91cgEAAAABj////5H///8GcgAAAAlQcm9kVGFibGUBAAAAAY3///+R////BnQ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FAAAACXUAAAAHAAAACXY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wAAAAkSAAAAAwAAAAl4AAAAASUAAAAEAAAAAgAAAAl1AAAAAwAAAAl6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sAAAAAAAAAByoAAAAAAQAAAAAAAAAELUdsb2JlU29mdHdhcmUuQXRsYXM0MC5BdGxhc0NvbW1vbi5UeXBlLkNvbHVtbgIAAAABMQAAAA4AAAD/////BnwAAAAJUHJvZFRhYmxlBn0AAAARUHJvZHVjdGlvbiBvcmRlcnMJCAAAAAkIAAAACQgAAAABgf///+D///8AAAAACYAAAAAJgQAAAAF+////3f///zTDZo3f3JtAvK3xnoj6Ee0JCAAAAAkIAAAACYQAAAAJMAAAAAaGAAAADVByb2RUYWJsZUpvdXIGhwAAABNUYWJsZS5Qcm9kVGFibGVKb3VyBogAAAAaVGFibGUuUHJvZFRhYmxlSm91ci5Qcm9kSWQGiQAAAAZQcm9kSWQGigAAAAZQcm9kSWQBAAAAAXX////Z////AAAAAAF0////2P///wAAAAAACY0AAAABNAAAAA4AAAD/////Bo4AAAARSW52ZW50VGFibGVNb2R1bGUGjwAAABtJbnZlbnRvcnkgbW9kdWxlIHBhcmFtZXRlcnMJCAAAAAkIAAAACQgAAAABb////+D///8AAAAACZIAAAAJkwAAAAFs////3f///w2I50ogIOxMgZjz7MTRca4JCAAAAAkIAAAACZYAAAAJMwAAAAaYAAAADVByb2RUYWJsZUpvdXIGmQAAABNUYWJsZS5Qcm9kVGFibGVKb3VyBpoAAAAaVGFibGUuUHJvZFRhYmxlSm91ci5JdGVtSWQGmwAAAAZJdGVtSWQGnAAAAAZJdGVtSWQBAAAAAWP////Z////AAAAAAFi////2P///wAAAAAACZ8AAAAFNQ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oAAAAAmhAAAACaIAAAAGowAAAAZQcm9kSWQGpAAAAApQcm9kdWN0aW9uBqUAAAAGU3RyaW5nCQgAAAAGpwAAACRhNjE5ODQwMi1iOWI5LTQyZDktOTU3Yy1iZDZmYjA5ODI5NWUFWP///y1HbG9iZVNvZnR3YXJlLkF0bGFzNDAuQXRsYXNDb21tb24uQWdncmVnYXRpb24BAAAAB3ZhbHVlX18ACAIAAAD/////AAAAAAVX////LEdsb2JlU29mdHdhcmUuQXRsYXM0MC5BdGxhc0NvbW1vbi5Db2x1bW5UeXBlAQAAAAd2YWx1ZV9fAAgCAAAAAAAAAAVW////K0dsb2JlU29mdHdhcmUuQXRsYXM0MC5BdGxhc0NvbW1vbi5Tb3J0T3JkZXIBAAAAB3ZhbHVlX18ACAIAAAACAAAAAAAAAAAFVf///0BHbG9iZVNvZnR3YXJlLkF0bGFzNDAuQXRsYXNDb21tb24uVHlwZS5Db2x1bW4rQ3Jvc3NUYWJDb2x1bW5UeXBlAQAAAAd2YWx1ZV9fAAgCAAAAAAAAAAoBAAAAAAAAAAAAAAAAAAasAAAAJGI4MmFlY2EzLThlYzctNGEwMC04NDRiLTdmYmY1MDFiYjUwMAatAAAAGlRhYmxlLlByb2RUYWJsZUpvdXIuUHJvZElkCgoKCgE2AAAANQAAAAmuAAAACa8AAAAJsAAAAAaxAAAABkl0ZW1JZAayAAAAC0l0ZW0gbnVtYmVyBrMAAAAGU3RyaW5nCQgAAAAGtQAAACRlNTc3ZDEwNi1jYjBhLTQwMDItYWVkMy03ZDMxYmI5YWQxMjcBSv///1j/////////AQAAAAFJ////V////wAAAAABSP///1b///8CAAAAAAAAAAABR////1X///8AAAAACgEAAAAAAAAAAAEAAAAABroAAAAkNmI3OTdkOGYtYjJjOC00ZjAwLThmMTgtMzVkMWZhNmZmNzE5BrsAAAAaVGFibGUuUHJvZFRhYmxlSm91ci5JdGVtSWQKCgoKATcAAAA1AAAACbwAAAAJvQAAAAm+AAAABr8AAAAKUHJvZFBvb2xJZAbAAAAABFBvb2wGwQAAAAZTdHJpbmcJCAAAAAbDAAAAJGJjYWUzMWI4LTQ4ZjAtNDM4Yi04OTA1LTEzZGM4M2IzOWMxOQE8////WP////////8CAAAAATv///9X////AAAAAAE6////Vv///wIAAAAAAAAAAAE5////Vf///wAAAAAKAQAAAAAAAAAAAgAAAAAGyAAAACQwOGY1ZmI4My1iYTU1LTQ3MTctOTc4Ny1iOGNhMTMzMzdmOWQGyQAAADVUYWJsZS5Qcm9kVGFibGVKb3VyLlByb2RJZH5UYWJsZS5Qcm9kVGFibGUuUHJvZFBvb2xJZAoKCgoBOAAAADUAAAAJygAAAAnLAAAACcwAAAAGzQAAAAlUcmFuc0RhdGUGzgAAAAREYXRlBs8AAAAERGF0ZQkIAAAABtEAAAAkYmQwNDg1YjctMjc5MC00MmM2LWEzZTItOWMxMjM1NDhhZGI1AS7///9Y/////////wMAAAABLf///1f///8AAAAAASz///9W////AgAAAAAAAAAAASv///9V////AAAAAAoBAAAAAAAAAAADAAAAAAbWAAAAJDgyZDQxZGYwLWNlOTctNDE1Yi04N2UxLTVhMDRhMDE4MzVmZQbXAAAAHVRhYmxlLlByb2RUYWJsZUpvdXIuVHJhbnNEYXRlCgoKCgE5AAAANQAAAAnYAAAACdkAAAAJ2gAAAAbbAAAAN0F0bGFzTWFuYWdlZENvbHVtbl8wYTA4ZmNlYy1iNTllLTQyNjYtYTU5Zi1lYTVjYTc5MDM2MjkG3AAAAAdXZWVrTnVtCQgAAAAJCAAAAAbeAAAAJGIwOGMyNTdhLTdjYzAtNDkxZS05ZDU5LWYwYzk5ZGU1OTgzYwEh////WP////////8EAAAAASD///9X////AgAAAAEf////Vv///wIAAAAAAAAAAAEe////Vf///wAAAAAKAQAAAAAAAAAABAAAAAAG4wAAACRjZTI1OTQxZC0wODQ3LTQwYTQtODdlMy1mZGE0YjQwZjhjMTcJCAAAAAoKCgoBOgAAADUAAAAJ5QAAAAnmAAAACecAAAAG6AAAAAhRdHlFcnJvcgbpAAAADkVycm9yIHF1YW50aXR5BuoAAAAEUmVhbAkIAAAABuwAAAAkYmM3NjZmY2QtYjNhMi00MTg4LTk1MWUtODU3YWE1NGM4YmYwARP///9Y////AQAAAAUAAAABEv///1f///8AAAAAARH///9W////AgAAAAAAAAAAARD///9V////AAAAAAoBAAAAAAAAAAAFAAAAAAbxAAAAJGQ3ODI2NTY1LWIzMmMtNDA5OS1iZGMzLWNhYTQ4MWI4NjFhMQbyAAAAHFRhYmxlLlByb2RUYWJsZUpvdXIuUXR5RXJyb3IKCgoKATsAAAA1AAAACfMAAAAJ9AAAAAn1AAAABvYAAAAHUXR5R29vZAb3AAAADUdvb2QgcXVhbnRpdHkG+AAAAARSZWFsCQgAAAAG+gAAACRjYWFkMTgyZS04ZTBkLTQ5YzgtYjhiMy02MjkwNzk4YzdhODMBBf///1j///8BAAAABgAAAAEE////V////wAAAAABA////1b///8CAAAAAAAAAAABAv///1X///8AAAAACgEAAAAAAAAAAAYAAAAABv8AAAAkNDc4YTc0ZGYtZjY1OC00MjUxLThjMzItMmU1Y2MwZjkzYWY4BgABAAAbVGFibGUuUHJvZFRhYmxlSm91ci5RdHlHb29kCgoKCgE8AAAANQAAAAkBAQAACQIBAAAJAwEAAAYEAQAABlVuaXRJZAYFAQAABFVuaXQGBgEAAAZTdHJpbmcJCAAAAAYIAQAAJDhhYmRhOWU0LTFhY2ItNDFiMi04ODc1LWU4YjJlNjE2ZWZlMgH3/v//WP////////8HAAAAAfb+//9X////AAAAAAH1/v//Vv///wIAAAAAAAAAAAH0/v//Vf///wAAAAAKAQAAAAAAAAAABwAAAAAGDQEAACQwOWIyYjVmOC04YTVmLTQ2ZTUtOWRiMi0yMGE4NDM4ZjBkZjAGDgEAADlUYWJsZS5Qcm9kVGFibGVKb3VyLkl0ZW1JZH5UYWJsZS5JbnZlbnRUYWJsZU1vZHVsZS5Vbml0SWQKCgoKAXUAAAASAAAAB3YA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H+//+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ABAAAaVGFibGUuUHJvZFRhYmxlSm91ci5Qcm9kSWQJEQEAAAHu/v//8f7//wYTAQAAGlRhYmxlLlByb2RUYWJsZUpvdXIuSXRlbUlkCRQBAAAB6/7///H+//8GFgEAAB1UYWJsZS5Qcm9kVGFibGVKb3VyLlRyYW5zRGF0ZQkXAQAAAej+///x/v//BhkBAAAcVGFibGUuUHJvZFRhYmxlSm91ci5RdHlFcnJvcgkaAQAAAeX+///x/v//BhwBAAAbVGFibGUuUHJvZFRhYmxlSm91ci5RdHlHb29kCR0BAAAHeAA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L+//+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HwEAABpUYWJsZS5Qcm9kVGFibGVKb3VyLkl0ZW1JZAkgAQAAAd/+///i/v//BiIBAAAfVGFibGUuUHJvZFRhYmxlSm91ci5Kb3VybmFsVHlwZQkjAQAAAdz+///i/v//BiUBAAAdVGFibGUuUHJvZFRhYmxlSm91ci5UcmFuc0RhdGUJJgEAAAd6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Z/v//1P///wkwAAAACTEAAAAB1v7//9T///8JMwAAAAk0AAAABHs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AAAAAIQAAAAMAAAAJLQEAAAMAAAAJLgEAAASB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I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tAQAAAAAAAAGNAAAAKQAAAAAAAAAJMQEAAAAAAAABkgAAACEAAAABAAAACTIBAAADAAAACTMBAAABkwAAACIAAAACAAAACRIAAAADAAAACTU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IBAAAAAAAAAZ8AAAApAAAAAAAAAAk3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4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AAAACTkBAAARAAAACTo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131AAAACTsBAAAHAAAACTwBAAABrgAAAKAAAAAJPQEAAAEAAAABAAAAAa8AAAChAAAA+AAAAAk5AQAABwAAAAk/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9QAAAAk7AQAABwAAAAlBAQAAAbwAAACgAAAACUIBAAABAAAAAQAAAAG9AAAAoQAAAOMAAAAJQwEAAAcAAAAJRAEAAAS+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AAAAAJLQEAAAcAAAAJRgEAAAHKAAAAoAAAAAlHAQAAAQAAAAEAAAABywAAAKEAAAD4AAAACTkBAAAHAAAACUk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131AAAACTsBAAAHAAAACUsBAAAB2AAAAKAAAAAJTAEAAAAAAAAAAAAAAdkAAAChAAAA2wAAAAlNAQAABwAAAAlO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0gAAAAlPAQAABwAAAAlQAQAAAeUAAACgAAAACVEBAAABAAAAAQAAAAHmAAAAoQAAAPgAAAAJOQEAAAcAAAAJU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fUAAAAJOwEAAAcAAAAJVQEAAAHzAAAAoAAAAAlWAQAAAQAAAAEAAAAB9AAAAKEAAAD4AAAACTkBAAAHAAAACVgBAAAE9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131AAAACTsBAAAHAAAACVoBAAABAQEAAKAAAAAJWwEAAAEAAAABAAAAAQIBAAChAAAA3AAAAAlcAQAABwAAAAldAQAABA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2QAAAAkyAQAABwAAAAlfAQAABRE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aD+//9Y/////////wAGYQEAAAZTdHJpbmcGYgEAAApQcm9kdWN0aW9uCWMBAAABnP7//1b///8CAAAABZv+//85R2xvYmVTb2Z0d2FyZS5BdGxhczQwLkF0bGFzQ29tbW9uLk51bWJlclNlcXVlbmNlQ29uZGl0aW9uAQAAAAd2YWx1ZV9fAAgCAAAAAQAAAAAABmYBAAATVGFibGUuUHJvZFRhYmxlSm91cgmjAAAACQgAAAAK/////wlmAQAACgmjAAAACgoKCQgAAAAJbAEAAAkIAAAAARQBAAARAQAAAZL+//9Y/////////wAGbwEAAAZTdHJpbmcGcAEAAAtJdGVtIG51bWJlcgljAQAAAY7+//9W////AgAAAAGN/v//m/7//wEAAAAAAAlmAQAACbEAAAAJCAAAAAr/////CWYBAAAKCbEAAAAKCgoJCAAAAAl6AQAACQgAAAABFwEAABEBAAABhP7//1j/////////AAZ9AQAABERhdGUGfgEAAAREYXRlCWMBAAABgP7//1b///8CAAAAAX/+//+b/v//AQAAAAAACWYBAAAJzQAAAAkIAAAACv////8JZgEAAAoJzQAAAAoKCgkIAAAACYgBAAAJCAAAAAEaAQAAEQEAAAF2/v//WP////////8ABosBAAAEUmVhbAaMAQAADkVycm9yIHF1YW50aXR5CWMBAAABcv7//1b///8CAAAAAXH+//+b/v//AQAAAAAACWYBAAAJ6AAAAAkIAAAACv////8JZgEAAAoJ6AAAAAoKCgkIAAAACZYBAAAJCAAAAAEdAQAAEQEAAAFo/v//WP////////8ABpkBAAAEUmVhbAaaAQAADUdvb2QgcXVhbnRpdHkJYwEAAAFk/v//Vv///wIAAAABY/7//5v+//8BAAAAAAAJZgEAAAn2AAAACQgAAAAK/////wlmAQAACgn2AAAACgoKCQgAAAAJpAEAAAkIAAAABSA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mAQAAE1RhYmxlLlByb2RUYWJsZUpvdXIGpwEAAAZJdGVtSWQJCAAAAAapAQAABSpQUk9E/////wmmAQAACgmnAQAACgoKCQgAAAAJrQEAAAkIAAAAASMBAAAgAQAACaYBAAAGsAEAAAtKb3VybmFsVHlwZQkIAAAABrIBAAAHUmVjZWlwdP////8JpgEAAAoJsAEAAAoKCgkIAAAACbYBAAAJCAAAAAEmAQAAIAEAAAmmAQAABrkBAAAJVHJhbnNEYXRlCQgAAAAGuwEAABgwMS8wMS8yMDIxIC4uIDA2LzMwLzIwMjH/////CaYBAAAKCbkBAAAKCgoJCAAAAAm/AQAACQgAAAABLQEAABIAAAAHL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P/7///H+//8GwgEAADVUYWJsZS5Qcm9kVGFibGVKb3VyLlByb2RJZH5UYWJsZS5Qcm9kVGFibGUuUHJvZFBvb2xJZAnDAQAAATEBAAB7AAAAATIBAAASAAAABz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Tz+///x/v//BsUBAAA5VGFibGUuUHJvZFRhYmxlSm91ci5JdGVtSWR+VGFibGUuSW52ZW50VGFibGVNb2R1bGUuVW5pdElkCcYBAAAHNQE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n+///i/v//BsgBAAA9VGFibGUuUHJvZFRhYmxlSm91ci5JdGVtSWR+VGFibGUuSW52ZW50VGFibGVNb2R1bGUuTW9kdWxlVHlwZQnJAQAAATb+///i/v//BssBAAA5VGFibGUuUHJvZFRhYmxlSm91ci5JdGVtSWR+VGFibGUuSW52ZW50VGFibGVNb2R1bGUuVW5pdElkCcwBAAABNwEAAHsAAAAHOAEAAAABAAAABAAAAAQ3R2xvYmVTb2Z0d2FyZS5BdGxhczQwLkF0bGFzQ29tbW9uLlR5cGUuRmllbGRPdXRwdXRGaWVsZAIAAAAJEQEAAA0DBDk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zoBAAAAAQAAAAg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y/v//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TH+//8yR2xvYmVTb2Z0d2FyZS5BdGxhczQwLkF0bGFzQ29tbW9uLkNvbHVtbkF0dHJpYnV0ZXMBAAAAB3ZhbHVlX18ACAIAAAAGAAAABtABAAAFVG90YWwBL/7//zL+//8BLv7//zH+//8QAAAABtMBAAAETm9uZQEs/v//Mv7//wEr/v//Mf7//wkAAAAJCAAAAAEp/v//Mv7//wEo/v//Mf7//wsAAAAG2QEAAAEwASb+//8y/v//ASX+//8x/v//BAAAAAbcAQAAB0dlbmVyYWwBI/7//zL+//8BIv7//zH+//8CAAAABt8BAAABMQEg/v//Mv7//wEf/v//Mf7//wAAAAAG4gEAAAUxMi40MwEd/v//Mv7//wEc/v//Mf7//yQAAAAJpAAAAAE7AQAAEgAAAAc8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Br+///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5wEAAAhGb250Qm9sZAboAQAABUZhbHNlARf+//8a/v//BuoBAAAKRm9udEl0YWxpYwnoAQAAART+//8a/v//Bu0BAAANRm9udFVuZGVybGluZQbuAQAABS00MTQyARH+//8a/v//BvABAAAIRm9udE5hbWUG8QEAAAdDYWxpYnJpAQ7+//8a/v//BvMBAAAJRm9udENvbG9yBvQBAAABMAEL/v//Gv7//wb2AQAACEZvbnRTaXplBvcBAAACMTEBCP7//xr+//8G+QEAAAlGb250U3R5bGUG+gEAAAdSZWd1bGFyBz0BAAAAAQAAAAQAAAAEN0dsb2JlU29mdHdhcmUuQXRsYXM0MC5BdGxhc0NvbW1vbi5UeXBlLkZpZWxkT3V0cHV0RmllbGQCAAAACRQBAAANAw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zL+//8BA/7//zH+//8QAAAACdMBAAABAf7//zL+//8BAP7//zH+//8JAAAACQgAAAAB/v3//zL+//8B/f3//zH+//8LAAAABgQCAAABMQH7/f//Mv7//wH6/f//Mf7//wQAAAAGBwIAAAdHZW5lcmFsAfj9//8y/v//Aff9//8x/v//AgAAAAYKAgAAATEB9f3//zL+//8B9P3//zH+//8AAAAABg0CAAAFMjQuODYHQ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f//Gv7//wnnAQAACegBAAAB7/3//xr+//8J6gEAAAnoAQAAAez9//8a/v//Ce0BAAAGFgIAAAUtNDE0MgHp/f//Gv7//wnwAQAABhkCAAAHQ2FsaWJyaQHm/f//Gv7//wnzAQAABhwCAAABMAHj/f//Gv7//wn2AQAABh8CAAACMTEB4P3//xr+//8J+QEAAAYiAgAAB1JlZ3VsYXIHQgEAAAABAAAABAAAAAQ3R2xvYmVTb2Z0d2FyZS5BdGxhczQwLkF0bGFzQ29tbW9uLlR5cGUuRmllbGRPdXRwdXRGaWVsZAIAAAAJwwEAAA0DAUMBAAA5AQAAB0Q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c/f//Mv7//wHb/f//Mf7//wkAAAAJCAAAAAHZ/f//Mv7//wHY/f//Mf7//wsAAAAGKQIAAAEyAdb9//8y/v//AdX9//8x/v//BAAAAAYsAgAAB0dlbmVyYWwB0/3//zL+//8B0v3//zH+//8CAAAABi8CAAABMQHQ/f//Mv7//wHP/f//Mf7//wAAAAAGMgIAAAQ2LjU3B0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3//xr+//8GNAIAAAhGb250Qm9sZAnoAQAAAcr9//8a/v//BjcCAAAKRm9udEl0YWxpYwnoAQAAAcf9//8a/v//BjoCAAANRm9udFVuZGVybGluZQY7AgAABS00MTQyAcT9//8a/v//Bj0CAAAIRm9udE5hbWUGPgIAAAdDYWxpYnJpAcH9//8a/v//BkACAAAJRm9udENvbG9yBkECAAABMAG+/f//Gv7//wZDAgAACEZvbnRTaXplBkQCAAACMTEBu/3//xr+//8GRgIAAAlGb250U3R5bGUGRwIAAAdSZWd1bGFyB0cBAAAAAQAAAAQAAAAEN0dsb2JlU29mdHdhcmUuQXRsYXM0MC5BdGxhc0NvbW1vbi5UeXBlLkZpZWxkT3V0cHV0RmllbGQCAAAACRcBAAANAwdJ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3//zL+//8Btv3//zH+//8QAAAACdMBAAABtP3//zL+//8Bs/3//zH+//8JAAAACQgAAAABsf3//zL+//8BsP3//zH+//8LAAAABlECAAABMwGu/f//Mv7//wGt/f//Mf7//wQAAAAGVAIAAAhtL2QveXl5eQGr/f//Mv7//wGq/f//Mf7//wIAAAAGVwIAAAExAaj9//8y/v//Aaf9//8x/v//AAAAAAZaAgAAAjEwB0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xr+//8J5wEAAAnoAQAAAaL9//8a/v//CeoBAAAJ6AEAAAGf/f//Gv7//wntAQAABmMCAAAFLTQxNDIBnP3//xr+//8J8AEAAAZmAgAAB0NhbGlicmkBmf3//xr+//8J8wEAAAZpAgAAATABlv3//xr+//8J9gEAAAZsAgAAAjExAZP9//8a/v//CfkBAAAGbwIAAAdSZWd1bGFyB0wBAAAAAQAAAAAAAAAEN0dsb2JlU29mdHdhcmUuQXRsYXM0MC5BdGxhc0NvbW1vbi5UeXBlLkZpZWxkT3V0cHV0RmllbGQCAAAAAU0BAAA5AQAAB04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f//Mv7//wGP/f//Mf7//yQAAAAJ3AAAAAGN/f//Mv7//wGM/f//Mf7//wsAAAAGdQIAAAE0AYr9//8y/v//AYn9//8x/v//BAAAAAZ4AgAAB0dlbmVyYWwBh/3//zL+//8Bhv3//zH+//8CAAAABnsCAAABMQGE/f//Mv7//wGD/f//Mf7//wAAAAAGfgIAAAUxMi4xNAGB/f//Mv7//wGA/f//Mf7//wMAAAAGgQIAACw9WUVBUihbQERhdGVdKSAmIFRFWFQoV0VFS05VTShbQERhdGVdKSwiMDAiKQFPAQAAEgAAAAdQAQ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79//8a/v//BoMCAAAIRm9udEJvbGQJ6AEAAAF7/f//Gv7//waGAgAACkZvbnRJdGFsaWMJ6AEAAAF4/f//Gv7//waJAgAADUZvbnRVbmRlcmxpbmUGigIAAAUtNDE0MgF1/f//Gv7//waMAgAACEZvbnROYW1lBo0CAAAHQ2FsaWJyaQFy/f//Gv7//waPAgAACUZvbnRDb2xvcgaQAgAAATABb/3//xr+//8GkgIAAAhGb250U2l6ZQaTAgAAAjExAWz9//8a/v//BpUCAAAJRm9udFN0eWxlBpYCAAAHUmVndWxhcgdRAQAAAAEAAAAEAAAABDdHbG9iZVNvZnR3YXJlLkF0bGFzNDAuQXRsYXNDb21tb24uVHlwZS5GaWVsZE91dHB1dEZpZWxkAgAAAAkaAQAADQMHU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j9//8y/v//AWf9//8x/v//EAAAAAnTAQAAAWX9//8y/v//AWT9//8x/v//CQAAAAkIAAAAAWL9//8y/v//AWH9//8x/v//CwAAAAagAgAAATUBX/3//zL+//8BXv3//zH+//8EAAAABqMCAAAHR2VuZXJhbAFc/f//Mv7//wFb/f//Mf7//wIAAAAGpgIAAAExAVn9//8y/v//AVj9//8x/v//AAAAAAapAgAABTE0Ljg2B1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3//xr+//8J5wEAAAnoAQAAAVP9//8a/v//CeoBAAAJ6AEAAAFQ/f//Gv7//wntAQAABrICAAAFLTQxNDIBTf3//xr+//8J8AEAAAa1AgAAB0NhbGlicmkBSv3//xr+//8J8wEAAAa4AgAAATABR/3//xr+//8J9gEAAAa7AgAAAjExAUT9//8a/v//CfkBAAAGvgIAAAdSZWd1bGFyB1YBAAAAAQAAAAQAAAAEN0dsb2JlU29mdHdhcmUuQXRsYXM0MC5BdGxhc0NvbW1vbi5UeXBlLkZpZWxkT3V0cHV0RmllbGQCAAAACR0BAAANAwdY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3//zL+//8BP/3//zH+//8QAAAACdMBAAABPf3//zL+//8BPP3//zH+//8JAAAACQgAAAABOv3//zL+//8BOf3//zH+//8LAAAABsgCAAABNgE3/f//Mv7//wE2/f//Mf7//wQAAAAGywIAAAdHZW5lcmFsATT9//8y/v//ATP9//8x/v//AgAAAAbOAgAAATEBMf3//zL+//8BMP3//zH+//8AAAAABtECAAAFMTUuNDMHW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f//Gv7//wnnAQAACegBAAABK/3//xr+//8J6gEAAAnoAQAAASj9//8a/v//Ce0BAAAG2gIAAAUtNDE0MgEl/f//Gv7//wnwAQAABt0CAAAHQ2FsaWJyaQEi/f//Gv7//wnzAQAABuACAAABMAEf/f//Gv7//wn2AQAABuMCAAACMTEBHP3//xr+//8J+QEAAAbmAgAAB1JlZ3VsYXIHWwEAAAABAAAABAAAAAQ3R2xvYmVTb2Z0d2FyZS5BdGxhczQwLkF0bGFzQ29tbW9uLlR5cGUuRmllbGRPdXRwdXRGaWVsZAIAAAAJxgEAAA0DAVwBAAA5AQAAB10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Y/f//Mv7//wEX/f//Mf7//wkAAAAJCAAAAAEV/f//Mv7//wEU/f//Mf7//wsAAAAG7QIAAAE3ARL9//8y/v//ARH9//8x/v//BAAAAAbwAgAAB0dlbmVyYWwBD/3//zL+//8BDv3//zH+//8CAAAABvMCAAABMQEM/f//Mv7//wEL/f//Mf7//wAAAAAG9gIAAAQ2LjQzB18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f3//xr+//8G+AIAAAhGb250Qm9sZAnoAQAAAQb9//8a/v//BvsCAAAKRm9udEl0YWxpYwnoAQAAAQP9//8a/v//Bv4CAAANRm9udFVuZGVybGluZQb/AgAABS00MTQyAQD9//8a/v//BgEDAAAIRm9udE5hbWUGAgMAAAdDYWxpYnJpAf38//8a/v//BgQDAAAJRm9udENvbG9yBgUDAAABMAH6/P//Gv7//wYHAwAACEZvbnRTaXplBggDAAACMTEB9/z//xr+//8GCgMAAAlGb250U3R5bGUGCwMAAAdSZWd1bGFyAWMBAAAOAAAABwEAAAYMAwAADVByb2RUYWJsZUpvdXIGDQMAAAdKb3VybmFsCQgAAAAJCAAAAAkIAAAAAfH8///g////AAAAAAkQAwAACREDAAAB7vz//93///+JU3inYV3zSrKpvwXdTYS0CQgAAAAJCAAAAAkUAwAACWYBAAAKCgoKCgEAAAAB6vz//9n///8AAAAAAen8///Y////AAAAAAAJGAMAAARs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8AAAAJOwEAAAMAAAAJGgMAAAR6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8AAAAJOwEAAAMAAAAJHAMAAAS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8AAAAJOwEAAAMAAAAJHgMAAASW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8AAAAJOwEAAAMAAAAJIAMAAAS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8AAAAJOwEAAAMAAAAJIgMAAASt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EgAAAAMAAAAJJAMAAAS2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IAAAAJEgAAAAMAAAAJJgMAAAS/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MAAAAJEgAAAAMAAAAJKAMAAAHDAQAAEQEAAAHX/P//WP////////8ABioDAAAGU3RyaW5nBisDAAAEUG9vbAkxAAAAAdP8//9W////AgAAAAHS/P//m/7//wEAAAAAAAkwAAAACb8AAAAJCAAAAAr/////CTAAAAAKCb8AAAAGNAMAAAZQcm9kSWQGNQMAAA1Qcm9kVGFibGVKb3VyCgkIAAAACTcDAAAJCAAAAAHGAQAAEQEAAAHH/P//WP////////8ABjoDAAAGU3RyaW5nBjsDAAAEVW5pdAk0AAAAAcP8//9W////AgAAAAHC/P//m/7//wEAAAAAAAkzAAAACQQBAAAJCAAAAAr/////CTMAAAAKCQQBAAAGRAMAAAZJdGVtSWQGRQMAAA1Qcm9kVGFibGVKb3VyCgkIAAAACUcDAAAJCAAAAAHJAQAAIAEAAAkzAAAABkoDAAAKTW9kdWxlVHlwZQkIAAAABkwDAAAGSW52ZW50/////wkzAAAACglKAwAABk8DAAAGSXRlbUlkCgoJCAAAAAlRAwAACQgAAAABzAEAACABAAAJMwAAAAZUAwAABlVuaXRJZAkIAAAABlYDAAABTf////8JMwAAAAoJVAMAAAZZAwAABkl0ZW1JZAoKCQgAAAAJWwMAAAkIAAAAARADAAAhAAAACQAAAAldAwAAEQAAAAleAwAAAREDAAAiAAAABQAAAAk7AQAABwAAAAlgAwAABBQ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dAwAAAAAAAAEYAwAAKQAAAAAAAAAJYgMAAAAAAAAHG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P//Gv7//wZkAwAACEhlbHBUZXh0BmUDAAAeSWRlbnRpZnkgdGhlIHByb2R1Y3Rpb24gb3JkZXIuAZr8//8a/v//BmcDAAAFTGFiZWwJYgEAAAGX/P//Gv7//wZqAwAABFR5cGUJYQEAAAcc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T8//8a/v//CWQDAAAGbgMAAA5JZGVudGlmeSBpdGVtLgGR/P//Gv7//wlnAwAACXABAAABjvz//xr+//8JagMAAAlvAQAABx4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z//xr+//8JZAMAAAZ3AwAADFBvc3RpbmcgZGF0ZQGI/P//Gv7//wlnAwAACX4BAAABhfz//xr+//8JagMAAAl9AQAAByA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z//xr+//8JZAMAAAaAAwAAOUVycm9yIHF1YW50aXR5IGluIHRoZSBpbnZlbnRvcnkgdW5pdCByZXBvcnRlZCBhcyBmaW5pc2hlZAF//P//Gv7//wlnAwAACYwBAAABfPz//xr+//8JagMAAAmLAQAAByI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z//xr+//8JZAMAAAaJAwAAVUdvb2QgcXVhbnRpdHkgKGV4Y2wuIHNjcmFwKSBpbiB0aGUgaW52ZW50b3J5IHVuaXQgcmVwb3J0ZWQgYXMgZmluaXNoZWQvY29zdCBhY2NvdW50ZWQBdvz//xr+//8JZwMAAAmaAQAAAXP8//8a/v//CWoDAAAJmQEAAAck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D8//8a/v//BpEDAAAEVHlwZQlvAQAAAW38//8a/v//BpQDAAAFTGFiZWwJcAEAAAFq/P//Gv7//waXAwAACFJlZmVyc1RvBpgDAAALPUl0ZW1OdW1iZXIHJ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P//Gv7//wmRAwAABpsDAAAERW51bQFk/P//Gv7//wmUAwAABp4DAAAEVHlwZQco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8//8a/v//CZEDAAAJfQEAAAFe/P//Gv7//wmUAwAACX4BAAABW/z//xr+//8JlwMAAAanAwAACz1EYXRlUGVyaW9kBDc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gAAAAktAQAAAwAAAAmpAwAABEc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yAQAAAwAAAAmrAwAABFE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gAAAAkSAAAAAwAAAAmtAwAABF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gAAAAkSAAAAAwAAAAmvAwAAAV0DAAASAAAAB14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D8///x/v//BrEDAAAaVGFibGUuUHJvZFRhYmxlSm91ci5Qcm9kSWQJEQEAAAFN/P//8f7//wa0AwAAGlRhYmxlLlByb2RUYWJsZUpvdXIuSXRlbUlkCRQBAAABSvz///H+//8GtwMAAB9UYWJsZS5Qcm9kVGFibGVKb3VyLkpvdXJuYWxUeXBlCbgDAAABR/z///H+//8GugMAAB1UYWJsZS5Qcm9kVGFibGVKb3VyLlRyYW5zRGF0ZQkXAQAAAUT8///x/v//Br0DAAAbVGFibGUuUHJvZFRhYmxlSm91ci5Wb3VjaGVyCb4DAAABQfz///H+//8GwAMAACJUYWJsZS5Qcm9kVGFibGVKb3VyLkFtb3VudFBoeXNpY2FsCcEDAAABPvz///H+//8GwwMAACNUYWJsZS5Qcm9kVGFibGVKb3VyLkFtb3VudEZpbmFuY2lhbAnEAwAAATv8///x/v//BsYDAAAcVGFibGUuUHJvZFRhYmxlSm91ci5RdHlFcnJvcgkaAQAAATj8///x/v//BskDAAAbVGFibGUuUHJvZFRhYmxlSm91ci5RdHlHb29kCR0BAAAHYAMAAAABAAAAB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TX8///i/v//BswDAAAbVGFibGUuUHJvZFRhYmxlSm91ci5Wb3VjaGVyCc0DAAABMvz//+L+//8GzwMAAB1UYWJsZS5Qcm9kVGFibGVKb3VyLlRyYW5zRGF0ZQnQAwAAAS/8///i/v//BtIDAAAaVGFibGUuUHJvZFRhYmxlSm91ci5JdGVtSWQJ0wMAAAEs/P//4v7//wbVAwAAGlRhYmxlLlByb2RUYWJsZUpvdXIuUHJvZElkCdYDAAABKfz//+L+//8G2AMAAB9UYWJsZS5Qcm9kVGFibGVKb3VyLkpvdXJuYWxUeXBlCdkDAAABYgMAAHsAAAAHq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m/P//Gv7//wbbAwAABUxhYmVsCSsDAAABI/z//xr+//8G3gMAAARUeXBlCSoDAAAHq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P//Gv7//wbhAwAABUxhYmVsCTsDAAABHfz//xr+//8G5AMAAARUeXBlCToDAAAHrQ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P//Gv7//wmRAwAABugDAAAERW51bQEX/P//Gv7//wmUAwAABusDAAALTW9kdWxlIHR5cGUHrw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P//Gv7//wmRAwAACToDAAABEfz//xr+//8JlAMAAAk7AwAAAbgDAAARAQAAAQ78//9Y/////////wAG8wMAAARFbnVtBvQDAAAEVHlwZQljAQAAAQr8//9W////AgAAAAEJ/P//m/7//wEAAAAAAAlmAQAABvkDAAALSm91cm5hbFR5cGUJCAAAAAr/////CWYBAAAKCfkDAAAKCgoJCAAAAAn+AwAACQgAAAABvgMAABEBAAABAPz//1j/////////AAYBBAAABlN0cmluZwYCBAAAD0Nvc3Rpbmcgdm91Y2hlcgljAQAAAfz7//9W////AgAAAAH7+///m/7//wEAAAAAAAlmAQAABgcEAAAHVm91Y2hlcgkIAAAACv////8JZgEAAAoJBwQAAAoKCgkIAAAACQwEAAAJCAAAAAHBAwAAEQEAAAHy+///WP////////8ABg8EAAAEUmVhbAYQBAAADklJUC9XSVAgYW1vdW50CWMBAAAB7vv//1b///8CAAAAAe37//+b/v//AQAAAAAACWYBAAAGFQQAAA5BbW91bnRQaHlzaWNhbAkIAAAACv////8JZgEAAAoJFQQAAAoKCgkIAAAACRoEAAAJCAAAAAHEAwAAEQEAAAHk+///WP////////8ABh0EAAAEUmVhbAYeBAAAFUNvc3QgYWNjb3VudGVkIGFtb3VudAljAQAAAeD7//9W////AgAAAAHf+///m/7//wEAAAAAAAlmAQAABiMEAAAPQW1vdW50RmluYW5jaWFsCQgAAAAK/////wlmAQAACgkjBAAACgoKCQgAAAAJKAQAAAkIAAAAAc0DAAAgAQAACWYBAAAGKwQAAAdWb3VjaGVyCQgAAAAJCAAAAP////8JZgEAAAoJKwQAAAoKCgkIAAAACTAEAAAJCAAAAAHQAwAAIAEAAAlmAQAABjMEAAAJVHJhbnNEYXRlCQgAAAAJCAAAAP////8JZgEAAAoJMwQAAAoKCgkIAAAACTgEAAAJCAAAAAHTAwAAIAEAAAlmAQAACacBAAAJCAAAAAY9BAAABSpQUk9E/////wlmAQAACgmnAQAACgoKCQgAAAAJQQQAAAkIAAAAAdYDAAAgAQAACWYBAAAGRAQAAAZQcm9kSWQJCAAAAAkIAAAA/////wlmAQAACglEBAAACgoKCQgAAAAJSQQAAAkIAAAAAdkDAAAgAQAACWYBAAAJsAEAAAkIAAAACbIBAAD/////CWYBAAAGUAQAAA1Qcm9kVGFibGVKb3VyCbABAAAKCgoJCAAAAAlTBAAACQgAAAAE/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YEAAAED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gEAAAEG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oEAAAEK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rAAAACTsBAAADAAAACVwEAAAEM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V4EAAAEO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WAEAAAEQ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AAACTsBAAADAAAACWIEAAAESQ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sBAAADAAAACWQEAAAEUw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TsBAAADAAAACWYEAAAHV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Gv7//wlkAwAABmkEAAAMUG9zdGluZyB0eXBlAZb7//8a/v//CWcDAAAJ9AMAAAGT+///Gv7//wlqAwAACfMDAAAHW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Gv7//wlkAwAABnIEAAArVm91Y2hlciBudW1iZXIgdXNlZCB3aGVuIHBvc3RpbmcgdG8gbGVkZ2VyLgGN+///Gv7//wlnAwAACQIEAAABivv//xr+//8JagMAAAkBBAAAB1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xr+//8JZAMAAAZ7BAAAMlVwZGF0ZWQgSUlQL1dJUCBhbW91bnQgYXR0YWNoZWQgdG8gdGhlIHRyYW5zYWN0aW9uAYT7//8a/v//CWcDAAAJEAQAAAGB+///Gv7//wlqAwAACQ8EAAAHX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v7//wlkAwAABoQEAAAkUmVjYWxjdWxhdGVkIGFtb3VudCBwb3N0ZWQgdG8gbGVkZ2VyAXv7//8a/v//CWcDAAAJHgQAAAF4+///Gv7//wlqAwAACR0EAAAHX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1+///Gv7//wlqAwAABo0EAAAGU3RyaW5nAXL7//8a/v//CWcDAAAGkAQAAA9Db3N0aW5nIHZvdWNoZXIHY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Gv7//wlqAwAABpMEAAAERGF0ZQFs+///Gv7//wlnAwAABpYEAAAERGF0ZQdiBA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7//8a/v//CWoDAAAGmQQAAAZTdHJpbmcBZvv//xr+//8JZwMAAAacBAAAC0l0ZW0gbnVtYmVyAWP7//8a/v//Bp4EAAAIUmVmZXJzVG8JmAMAAAdkBA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D7//8a/v//CWoDAAAGogQAAAZTdHJpbmcBXfv//xr+//8JZwMAAAalBAAAClByb2R1Y3Rpb24HZg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Gv7//wlqAwAABqgEAAAERW51bQFX+///Gv7//wlnAwAABqsEAAAEVHlwZQs=
    <Output>
      <OutputObject name="AtlasReport_1"/>
    </Output>
  </Query>
</Atlas>
</file>

<file path=customXml/item2.xml><?xml version="1.0" encoding="utf-8"?>
<Atlas>
  <Report name="AtlasReport_1">AAEAAAD/////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F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R2xvYmVTb2Z0d2FyZS5BdGxhczQwLkF0bGFzQ29tbW9uQ2xpZW50LkRhdGFTb3VyY2VGaWVsZFZhbHVlW10cAAAACAgJHwAAAAYAAAAG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UHJvZElkBiQAAAAKUHJvZHVjdGlvbgYlAAAABlN0cmluZwYmAAAAAAYnAAAAJGE2MTk4NDAyLWI5YjktNDJkOS05NTdjLWJkNmZiMDk4Mjk1ZQXY////LUdsb2JlU29mdHdhcmUuQXRsYXM0MC5BdGxhc0NvbW1vbi5BZ2dyZWdhdGlvbgEAAAAHdmFsdWVfXwAIDgAAAP////8AAAAABdf///8sR2xvYmVTb2Z0d2FyZS5BdGxhczQwLkF0bGFzQ29tbW9uLkNvbHVtblR5cGUBAAAAB3ZhbHVlX18ACA4AAAAAAAAABdb///8rR2xvYmVTb2Z0d2FyZS5BdGxhczQwLkF0bGFzQ29tbW9uLlNvcnRPcmRlcgEAAAAHdmFsdWVfXwAIDgAAAAIAAAAAAAAAAAXV////QEdsb2JlU29mdHdhcmUuQXRsYXM0MC5BdGxhc0NvbW1vbi5UeXBlLkNvbHVtbitDcm9zc1RhYkNvbHVtblR5cGUBAAAAB3ZhbHVlX18ACA4AAAAAAAAACgEAAAAAAAAAAAAAAAAABiwAAAAkYjgyYWVjYTMtOGVjNy00YTAwLTg0NGItN2ZiZjUwMWJiNTAwBi0AAAAaVGFibGUuUHJvZFRhYmxlSm91ci5Qcm9kSWQKCgoKARUAAAAUAAAACS4AAAAJLwAAAAkwAAAABjEAAAAGSXRlbUlkBjIAAAALSXRlbSBudW1iZXIGMwAAAAZTdHJpbmcJJgAAAAY1AAAAJGU1NzdkMTA2LWNiMGEtNDAwMi1hZWQzLTdkMzFiYjlhZDEyNwHK////2P////////8BAAAAAcn////X////AAAAAAHI////1v///wIAAAAAAAAAAAHH////1f///wAAAAAKAQAAAAAAAAAAAQAAAAAGOgAAACQ2Yjc5N2Q4Zi1iMmM4LTRmMDAtOGYxOC0zNWQxZmE2ZmY3MTkGOwAAABpUYWJsZS5Qcm9kVGFibGVKb3VyLkl0ZW1JZAoKCgoBFgAAABQAAAAJPAAAAAk9AAAACT4AAAAGPwAAAApQcm9kUG9vbElkBkAAAAAEUG9vbAZBAAAABlN0cmluZwkmAAAABkMAAAAkYmNhZTMxYjgtNDhmMC00MzhiLTg5MDUtMTNkYzgzYjM5YzE5Abz////Y/////////wIAAAABu////9f///8AAAAAAbr////W////AgAAAAAAAAAAAbn////V////AAAAAAoBAAAAAAAAAAACAAAAAAZIAAAAJDA4ZjVmYjgzLWJhNTUtNDcxNy05Nzg3LWI4Y2ExMzMzN2Y5ZAZJAAAANVRhYmxlLlByb2RUYWJsZUpvdXIuUHJvZElkflRhYmxlLlByb2RUYWJsZS5Qcm9kUG9vbElkCgoKCgEXAAAAFAAAAAlKAAAACUsAAAAJTAAAAAZNAAAACVRyYW5zRGF0ZQZOAAAABERhdGUGTwAAAAREYXRlCSYAAAAGUQAAACRiZDA0ODViNy0yNzkwLTQyYzYtYTNlMi05YzEyMzU0OGFkYjUBrv///9j/////////AwAAAAGt////1////wAAAAABrP///9b///8CAAAAAAAAAAABq////9X///8AAAAACgEAAAAAAAAAAAMAAAAABlYAAAAkODJkNDFkZjAtY2U5Ny00MTViLTg3ZTEtNWEwNGEwMTgzNWZlBlcAAAAdVGFibGUuUHJvZFRhYmxlSm91ci5UcmFuc0RhdGUKCgoKARgAAAAUAAAACVgAAAAJWQAAAAlaAAAABlsAAAA3QXRsYXNNYW5hZ2VkQ29sdW1uXzBhMDhmY2VjLWI1OWUtNDI2Ni1hNTlmLWVhNWNhNzkwMzYyOQZcAAAAB1dlZWtOdW0JJgAAAAkmAAAABl4AAAAkYjA4YzI1N2EtN2NjMC00OTFlLTlkNTktZjBjOTlkZTU5ODNjAaH////Y/////////wQAAAABoP///9f///8CAAAAAZ/////W////AgAAAAAAAAAAAZ7////V////AAAAAAoBAAAAAAAAAAAEAAAAAAZjAAAAJGNlMjU5NDFkLTA4NDctNDBhNC04N2UzLWZkYTRiNDBmOGMxNwkmAAAACgoKCgEZAAAAFAAAAAllAAAACWYAAAAJZwAAAAZoAAAACFF0eUVycm9yBmkAAAAORXJyb3IgcXVhbnRpdHkGagAAAARSZWFsCSYAAAAGbAAAACRiYzc2NmZjZC1iM2EyLTQxODgtOTUxZS04NTdhYTU0YzhiZjABk////9j///8BAAAABQAAAAGS////1////wAAAAABkf///9b///8CAAAAAAAAAAABkP///9X///8AAAAACgEAAAAAAAAAAAUAAAAABnEAAAAkZDc4MjY1NjUtYjMyYy00MDk5LWJkYzMtY2FhNDgxYjg2MWExBnIAAAAcVGFibGUuUHJvZFRhYmxlSm91ci5RdHlFcnJvcgoKCgoBGgAAABQAAAAJcwAAAAl0AAAACXUAAAAGdgAAAAdRdHlHb29kBncAAAANR29vZCBxdWFudGl0eQZ4AAAABFJlYWwJJgAAAAZ6AAAAJGNhYWQxODJlLThlMGQtNDljOC1iOGIzLTYyOTA3OThjN2E4MwGF////2P///wEAAAAGAAAAAYT////X////AAAAAAGD////1v///wIAAAAAAAAAAAGC////1f///wAAAAAKAQAAAAAAAAAABgAAAAAGfwAAACQ0NzhhNzRkZi1mNjU4LTQyNTEtOGMzMi0yZTVjYzBmOTNhZjgGgAAAABtUYWJsZS5Qcm9kVGFibGVKb3VyLlF0eUdvb2QKCgoKARsAAAAUAAAACYEAAAAJggAAAAmDAAAABoQAAAAGVW5pdElkBoUAAAAEVW5pdAaGAAAABlN0cmluZwkmAAAABogAAAAkOGFiZGE5ZTQtMWFjYi00MWIyLTg4NzUtZThiMmU2MTZlZmUyAXf////Y/////////wcAAAABdv///9f///8AAAAAAXX////W////AgAAAAAAAAAAAXT////V////AAAAAAoBAAAAAAAAAAAHAAAAAAaNAAAAJDA5YjJiNWY4LThhNWYtNDZlNS05ZGIyLTIwYTg0MzhmMGRmMAaOAAAAOVRhYmxlLlByb2RUYWJsZUpvdXIuSXRlbUlkflRhYmxlLkludmVudFRhYmxlTW9kdWxlLlVuaXRJZAoKCgoFHgAAADhHbG9iZVNvZnR3YXJlLkF0bGFzNDAuQXRsYXNDb21tb25DbGllbnQuUmVwb3J0LlJlZmVyZW5jZQEAAAAKX3JlZmVyZW5jZQcIHAAAAAmPAAAABx8AAAAAAQAAAAgAAAAEPEdsb2JlU29mdHdhcmUuQXRsYXM0MC5BdGxhc0NvbW1vbkNsaWVudC5EYXRhU291cmNlRmllbGRWYWx1ZRwAAAAJkAAAAAmRAAAACZIAAAAJkwAAAAmUAAAACZUAAAANAgQ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WAAAAAQAAAAEAAAAEI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AAAACZcAAAARAAAACZgAAAAEI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131AAAACZkAAAAHAAAACZoAAAABLgAAACAAAAAJmwAAAAEAAAABAAAAAS8AAAAhAAAA+AAAAAmXAAAABwAAAAmdAAAAATAAAAAiAAAA9QAAAAmZAAAABwAAAAmfAAAAATwAAAAgAAAACaAAAAABAAAAAQAAAAE9AAAAIQAAAOMAAAAJoQAAAAcAAAAJogAAAAE+AAAAIgAAAOAAAAAJowAAAAcAAAAJpAAAAAFKAAAAIAAAAAmlAAAAAQAAAAEAAAABSwAAACEAAAD4AAAACZcAAAAHAAAACacAAAABTAAAACIAAAD1AAAACZkAAAAHAAAACakAAAABWAAAACAAAAAJqgAAAAAAAAAAAAAAAVkAAAAhAAAA2wAAAAmrAAAABwAAAAmsAAAAAVoAAAAiAAAA0gAAAAmtAAAABwAAAAmuAAAAAWUAAAAgAAAACa8AAAABAAAAAQAAAAFmAAAAIQAAAPgAAAAJlwAAAAcAAAAJsQAAAAFnAAAAIgAAAPUAAAAJmQAAAAcAAAAJswAAAAFzAAAAIAAAAAm0AAAAAQAAAAEAAAABdAAAACEAAAD4AAAACZcAAAAHAAAACbYAAAABdQAAACIAAAD1AAAACZkAAAAHAAAACbgAAAABgQAAACAAAAAJuQAAAAEAAAABAAAAAYIAAAAhAAAA3AAAAAm6AAAABwAAAAm7AAAAAYMAAAAiAAAA2QAAAAm8AAAABwAAAAm9AAAAD48AAAABAAAACAEAAAAFkAAAADxHbG9iZVNvZnR3YXJlLkF0bGFzNDAuQXRsYXNDb21tb25DbGllbnQuRGF0YVNvdXJjZUZpZWxkVmFsdWUEAAAAEl9pc0RyaWxsRG93bkZpbHRlcgZfZHNLZXkKX2ZpZWxkbmFtZQtfZmllbGRWYWx1ZQABAQEBHAAAAAAGvgAAABNUYWJsZS5Qcm9kVGFibGVKb3VyBr8AAAAKRGF0YUFyZWFJZAkGAAAAAZEAAACQAAAAAAm+AAAABsIAAAAGSXRlbUlkBsMAAAAFKlBST0QBkgAAAJAAAAAACb4AAAAGxQAAAAtKb3VybmFsVHlwZQbGAAAAB1JlY2VpcHQBkwAAAJAAAAAACb4AAAAGyAAAAAlUcmFuc0RhdGUGyQAAABgwMS8wMS8yMDIxIC4uIDA2LzMwLzIwMjEBlAAAAJAAAAAABsoAAAAyVGFibGUuUHJvZFRhYmxlSm91ci5JdGVtSWR+VGFibGUuSW52ZW50VGFibGVNb2R1bGUGywAAAApNb2R1bGVUeXBlBswAAAAGSW52ZW50AZUAAACQAAAAAAnKAAAABs4AAAAGVW5pdElkBs8AAAABTQeWAAAAAAEAAAAEAAAABDdHbG9iZVNvZnR3YXJlLkF0bGFzNDAuQXRsYXNDb21tb24uVHlwZS5GaWVsZE91dHB1dEZpZWxkDgAAAAnQAAAADQMEl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mAAAAAABAAAACA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C////+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Lv///zJHbG9iZVNvZnR3YXJlLkF0bGFzNDAuQXRsYXNDb21tb24uQ29sdW1uQXR0cmlidXRlcwEAAAAHdmFsdWVfXwAIDgAAAAYAAAAG0wAAAAVUb3RhbAEs////L////wEr////Lv///xAAAAAG1gAAAAROb25lASn///8v////ASj///8u////CQAAAAkmAAAAASb///8v////ASX///8u////CwAAAAbcAAAAATABI////y////8BIv///y7///8EAAAABt8AAAAHR2VuZXJhbAEg////L////wEf////Lv///wIAAAAG4gAAAAExAR3///8v////ARz///8u////AAAAAAblAAAABTEyLjQzARr///8v////ARn///8u////JAAAAAkkAAAAAZkAAAAMAAAAB5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F////+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qAAAACEZvbnRCb2xkBusAAAAFRmFsc2UBFP///xf///8G7QAAAApGb250SXRhbGljCesAAAABEf///xf///8G8AAAAA1Gb250VW5kZXJsaW5lBvEAAAAFLTQxNDIBDv///xf///8G8wAAAAhGb250TmFtZQb0AAAAB0NhbGlicmkBC////xf///8G9gAAAAlGb250Q29sb3IG9wAAAAEwAQj///8X////BvkAAAAIRm9udFNpemUG+gAAAAIxMQEF////F////wb8AAAACUZvbnRTdHlsZQb9AAAAB1JlZ3VsYXIHmwAAAAABAAAABAAAAAQ3R2xvYmVTb2Z0d2FyZS5BdGxhczQwLkF0bGFzQ29tbW9uLlR5cGUuRmllbGRPdXRwdXRGaWVsZA4AAAAJ/gAAAA0DB50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B////L////wEA////Lv///xAAAAAJ1gAAAAH+/v//L////wH9/v//Lv///wkAAAAJJgAAAAH7/v//L////wH6/v//Lv///wsAAAAGBwEAAAExAfj+//8v////Aff+//8u////BAAAAAYKAQAAB0dlbmVyYWwB9f7//y////8B9P7//y7///8CAAAABg0BAAABMQHy/v//L////wHx/v//Lv///wAAAAAGEAEAAAUyNC44NgefAA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8X////CeoAAAAJ6wAAAAHs/v//F////wntAAAACesAAAAB6f7//xf///8J8AAAAAYZAQAABS00MTQyAeb+//8X////CfMAAAAGHAEAAAdDYWxpYnJpAeP+//8X////CfYAAAAGHwEAAAEwAeD+//8X////CfkAAAAGIgEAAAIxMQHd/v//F////wn8AAAABiUBAAAHUmVndWxhcgegAAAAAAEAAAAEAAAABDdHbG9iZVNvZnR3YXJlLkF0bGFzNDAuQXRsYXNDb21tb24uVHlwZS5GaWVsZE91dHB1dEZpZWxkDgAAAAkmAQAADQMBoQAAAJcAAAAHo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n+//8v////Adj+//8u////CQAAAAkmAAAAAdb+//8v////AdX+//8u////CwAAAAYsAQAAATIB0/7//y////8B0v7//y7///8EAAAABi8BAAAHR2VuZXJhbAHQ/v//L////wHP/v//Lv///wIAAAAGMgEAAAExAc3+//8v////Acz+//8u////AAAAAAY1AQAABDYuNTcBowAAAAwAAAAHp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v//F////wY3AQAACEZvbnRCb2xkCesAAAABx/7//xf///8GOgEAAApGb250SXRhbGljCesAAAABxP7//xf///8GPQEAAA1Gb250VW5kZXJsaW5lBj4BAAAFLTQxNDIBwf7//xf///8GQAEAAAhGb250TmFtZQZBAQAAB0NhbGlicmkBvv7//xf///8GQwEAAAlGb250Q29sb3IGRAEAAAEwAbv+//8X////BkYBAAAIRm9udFNpemUGRwEAAAIxMQG4/v//F////wZJAQAACUZvbnRTdHlsZQZKAQAAB1JlZ3VsYXIHpQAAAAABAAAABAAAAAQ3R2xvYmVTb2Z0d2FyZS5BdGxhczQwLkF0bGFzQ29tbW9uLlR5cGUuRmllbGRPdXRwdXRGaWVsZA4AAAAJSwEAAA0DB6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0/v//L////wGz/v//Lv///xAAAAAJ1gAAAAGx/v//L////wGw/v//Lv///wkAAAAJJgAAAAGu/v//L////wGt/v//Lv///wsAAAAGVAEAAAEzAav+//8v////Aar+//8u////BAAAAAZXAQAACG0vZC95eXl5Aaj+//8v////Aaf+//8u////AgAAAAZaAQAAATEBpf7//y////8BpP7//y7///8AAAAABl0BAAACMTAHq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v//F////wnqAAAACesAAAABn/7//xf///8J7QAAAAnrAAAAAZz+//8X////CfAAAAAGZgEAAAUtNDE0MgGZ/v//F////wnzAAAABmkBAAAHQ2FsaWJyaQGW/v//F////wn2AAAABmwBAAABMAGT/v//F////wn5AAAABm8BAAACMTEBkP7//xf///8J/AAAAAZyAQAAB1JlZ3VsYXIHqgAAAAABAAAAAAAAAAQ3R2xvYmVTb2Z0d2FyZS5BdGxhczQwLkF0bGFzQ29tbW9uLlR5cGUuRmllbGRPdXRwdXRGaWVsZA4AAAABqwAAAJcAAAAHr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8v////AYz+//8u////JAAAAAlcAAAAAYr+//8v////AYn+//8u////CwAAAAZ4AQAAATQBh/7//y////8Bhv7//y7///8EAAAABnsBAAAHR2VuZXJhbAGE/v//L////wGD/v//Lv///wIAAAAGfgEAAAExAYH+//8v////AYD+//8u////AAAAAAaBAQAABTEyLjE0AX7+//8v////AX3+//8u////AwAAAAaEAQAALD1ZRUFSKFtARGF0ZV0pICYgVEVYVChXRUVLTlVNKFtARGF0ZV0pLCIwMCIpAa0AAAAMAAAAB64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7//xf///8GhgEAAAhGb250Qm9sZAnrAAAAAXj+//8X////BokBAAAKRm9udEl0YWxpYwnrAAAAAXX+//8X////BowBAAANRm9udFVuZGVybGluZQaNAQAABS00MTQyAXL+//8X////Bo8BAAAIRm9udE5hbWUGkAEAAAdDYWxpYnJpAW/+//8X////BpIBAAAJRm9udENvbG9yBpMBAAABMAFs/v//F////waVAQAACEZvbnRTaXplBpYBAAACMTEBaf7//xf///8GmAEAAAlGb250U3R5bGUGmQEAAAdSZWd1bGFyB68AAAAAAQAAAAQAAAAEN0dsb2JlU29mdHdhcmUuQXRsYXM0MC5BdGxhc0NvbW1vbi5UeXBlLkZpZWxkT3V0cHV0RmllbGQOAAAACZoBAAANAwex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7//y////8BZP7//y7///8QAAAACdYAAAABYv7//y////8BYf7//y7///8JAAAACSYAAAABX/7//y////8BXv7//y7///8LAAAABqMBAAABNQFc/v//L////wFb/v//Lv///wQAAAAGpgEAAAdHZW5lcmFsAVn+//8v////AVj+//8u////AgAAAAapAQAAATEBVv7//y////8BVf7//y7///8AAAAABqwBAAAFMTQuODYHs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T/v//F////wnqAAAACesAAAABUP7//xf///8J7QAAAAnrAAAAAU3+//8X////CfAAAAAGtQEAAAUtNDE0MgFK/v//F////wnzAAAABrgBAAAHQ2FsaWJyaQFH/v//F////wn2AAAABrsBAAABMAFE/v//F////wn5AAAABr4BAAACMTEBQf7//xf///8J/AAAAAbBAQAAB1JlZ3VsYXIHtAAAAAABAAAABAAAAAQ3R2xvYmVTb2Z0d2FyZS5BdGxhczQwLkF0bGFzQ29tbW9uLlR5cGUuRmllbGRPdXRwdXRGaWVsZA4AAAAJwgEAAA0DB7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9/v//L////wE8/v//Lv///xAAAAAJ1gAAAAE6/v//L////wE5/v//Lv///wkAAAAJJgAAAAE3/v//L////wE2/v//Lv///wsAAAAGywEAAAE2ATT+//8v////ATP+//8u////BAAAAAbOAQAAB0dlbmVyYWwBMf7//y////8BMP7//y7///8CAAAABtEBAAABMQEu/v//L////wEt/v//Lv///wAAAAAG1AEAAAUxNS40Mwe4AAAAAAEAAAAH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8X////CeoAAAAJ6wAAAAEo/v//F////wntAAAACesAAAABJf7//xf///8J8AAAAAbdAQAABS00MTQyASL+//8X////CfMAAAAG4AEAAAdDYWxpYnJpAR/+//8X////CfYAAAAG4wEAAAEwARz+//8X////CfkAAAAG5gEAAAIxMQEZ/v//F////wn8AAAABukBAAAHUmVndWxhcge5AAAAAAEAAAAEAAAABDdHbG9iZVNvZnR3YXJlLkF0bGFzNDAuQXRsYXNDb21tb24uVHlwZS5GaWVsZE91dHB1dEZpZWxkDgAAAAnqAQAADQMBugAAAJcAAAAHu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X+//8v////ART+//8u////CQAAAAkmAAAAARL+//8v////ARH+//8u////CwAAAAbwAQAAATcBD/7//y////8BDv7//y7///8EAAAABvMBAAAHR2VuZXJhbAEM/v//L////wEL/v//Lv///wIAAAAG9gEAAAExAQn+//8v////AQj+//8u////AAAAAAb5AQAABDYuNDMBvAAAAAwAAAAHv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v//F////wb7AQAACEZvbnRCb2xkCesAAAABA/7//xf///8G/gEAAApGb250SXRhbGljCesAAAABAP7//xf///8GAQIAAA1Gb250VW5kZXJsaW5lBgICAAAFLTQxNDIB/f3//xf///8GBAIAAAhGb250TmFtZQYFAgAAB0NhbGlicmkB+v3//xf///8GBwIAAAlGb250Q29sb3IGCAIAAAEwAff9//8X////BgoCAAAIRm9udFNpemUGCwIAAAIxMQH0/f//F////wYNAgAACUZvbnRTdHlsZQYOAgAAB1JlZ3VsYXIF0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8f3//9j/////////AAYQAgAABlN0cmluZwYRAgAAClByb2R1Y3Rpb24JEgIAAAHt/f//1v///wIAAAAF7P3//zlHbG9iZVNvZnR3YXJlLkF0bGFzNDAuQXRsYXNDb21tb24uTnVtYmVyU2VxdWVuY2VDb25kaXRpb24BAAAAB3ZhbHVlX18ACA4AAAABAAAAAAAGFQIAABNUYWJsZS5Qcm9kVGFibGVKb3VyCSMAAAAJJgAAAAr/////CRUCAAAKCSMAAAAKCgoJJgAAAAkbAgAACSYAAAAB/gAAANAAAAAB4/3//9j/////////AAYeAgAABlN0cmluZwYfAgAAC0l0ZW0gbnVtYmVyCRICAAAB3/3//9b///8CAAAAAd79///s/f//AQAAAAAACRUCAAAJMQAAAAkmAAAACv////8JFQIAAAoJMQAAAAoKCgkmAAAACSkCAAAJJgAAAAEmAQAA0AAAAAHV/f//2P////////8ABiwCAAAGU3RyaW5nBi0CAAAEUG9vbAkuAgAAAdH9///W////AgAAAAHQ/f//7P3//wEAAAAAAAYxAgAAKlRhYmxlLlByb2RUYWJsZUpvdXIuUHJvZElkflRhYmxlLlByb2RUYWJsZQk/AAAACSYAAAAK/////wkxAgAACgk/AAAABjYCAAAGUHJvZElkBjcCAAANUHJvZFRhYmxlSm91cgoJJgAAAAk5AgAACSYAAAABSwEAANAAAAABxf3//9j/////////AAY8AgAABERhdGUGPQIAAAREYXRlCRICAAABwf3//9b///8CAAAAAcD9///s/f//AQAAAAAACRUCAAAJTQAAAAkmAAAACv////8JFQIAAAoJTQAAAAoKCgkmAAAACUcCAAAJJgAAAAGaAQAA0AAAAAG3/f//2P////////8ABkoCAAAEUmVhbAZLAgAADkVycm9yIHF1YW50aXR5CRICAAABs/3//9b///8CAAAAAbL9///s/f//AQAAAAAACRUCAAAJaAAAAAkmAAAACv////8JFQIAAAoJaAAAAAoKCgkmAAAACVUCAAAJJgAAAAHCAQAA0AAAAAGp/f//2P////////8ABlgCAAAEUmVhbAZZAgAADUdvb2QgcXVhbnRpdHkJEgIAAAGl/f//1v///wIAAAABpP3//+z9//8BAAAAAAAJFQIAAAl2AAAACSYAAAAK/////wkVAgAACgl2AAAACgoKCSYAAAAJYwIAAAkmAAAAAeoBAADQAAAAAZv9///Y/////////wAGZgIAAAZTdHJpbmcGZwIAAARVbml0CWgCAAABl/3//9b///8CAAAAAZb9///s/f//AQAAAAAACcoAAAAJhAAAAAkmAAAACv////8JygAAAAoJhAAAAAZwAgAABkl0ZW1JZAZxAgAADVByb2RUYWJsZUpvdXIKCSYAAAAJcwIAAAkmAAAABRI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AcBAAAGdQIAAA1Qcm9kVGFibGVKb3VyBnYCAAAHSm91cm5hbAkmAAAACSYAAAAJJgAAAAWI/f//MEdsb2JlU29mdHdhcmUuQXRsYXM0MC5BdGxhc0NvbW1vbi5EYXRhU291cmNlVHlwZQEAAAAHdmFsdWVfXwAIDgAAAAAAAAAJeQIAAAl6AgAABIX9//8LU3lzdGVtLkd1aWQLAAAAAl9hAl9iAl9jAl9kAl9lAl9mAl9nAl9oAl9pAl9qAl9rAAAAAAAAAAAAAAAIBwcCAgICAgICAolTeKdhXfNKsqm/Bd1NhLQJJgAAAAkmAAAACX0CAAAJFQIAAAoKCgoKAQAAAAWB/f//NEdsb2JlU29mdHdhcmUuQXRsYXM0MC5BdGxhc0NvbW1vbi5EYXRhU291cmNlSm9pbk1vZGUBAAAAB3ZhbHVlX18ACA4AAAAAAAAABYD9//81R2xvYmVTb2Z0d2FyZS5BdGxhczQwLkF0bGFzQ29tbW9uLkRhdGFTb3VyY2VGZXRjaE1vZGUBAAAAB3ZhbHVlX18ACA4AAAAAAAAAAAmBAgAAARsCAAAiAAAAbwAAAAmZAAAAAwAAAAmDAgAAASkCAAAiAAAAbwAAAAmZAAAAAwAAAAmFAgAAAS4CAAASAgAA/////waGAgAACVByb2RUYWJsZQaHAgAAEVByb2R1Y3Rpb24gb3JkZXJzCSYAAAAJJgAAAAkmAAAAAXf9//+I/f//AAAAAAmKAgAACYsCAAABdP3//4X9//80w2aN39ybQLyt8Z6I+hHtCSYAAAAJJgAAAAmOAgAACTECAAAGkAIAAA1Qcm9kVGFibGVKb3VyBpECAAATVGFibGUuUHJvZFRhYmxlSm91cgaSAgAAGlRhYmxlLlByb2RUYWJsZUpvdXIuUHJvZElkBpMCAAAGUHJvZElkBpQCAAAGUHJvZElkAQAAAAFr/f//gf3//wAAAAABav3//4D9//8AAAAAAAmXAgAAATkCAAAiAAAAWgAAAAmjAAAAAwAAAAmZAgAAAUcCAAAiAAAAbwAAAAmZAAAAAwAAAAmbAgAAAVUCAAAiAAAAbwAAAAmZAAAAAwAAAAmdAgAAAWMCAAAiAAAAbwAAAAmZAAAAAwAAAAmfAgAAAWgCAAASAgAA/////wagAgAAEUludmVudFRhYmxlTW9kdWxlBqECAAAbSW52ZW50b3J5IG1vZHVsZSBwYXJhbWV0ZXJzCSYAAAAJJgAAAAkmAAAAAV39//+I/f//AAAAAAmkAgAACaUCAAABWv3//4X9//8NiOdKICDsTIGY8+zE0XGuCSYAAAAJJgAAAAmoAgAACcoAAAAGqgIAAA1Qcm9kVGFibGVKb3VyBqsCAAATVGFibGUuUHJvZFRhYmxlSm91cgasAgAAGlRhYmxlLlByb2RUYWJsZUpvdXIuSXRlbUlkBq0CAAAGSXRlbUlkBq4CAAAGSXRlbUlkAQAAAAFR/f//gf3//wAAAAABUP3//4D9//8AAAAAAAmxAgAAAXMCAAAiAAAAVAAAAAm8AAAAAwAAAAmzAgAABHk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bQCAAARAAAACbUCAAAEeg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BQAAAAmZAAAABwAAAAm3AgAABH0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0AgAAAAAAAASB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5AgAAAAAAAAeDAg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b9//8X////BrsCAAAISGVscFRleHQGvAIAAB5JZGVudGlmeSB0aGUgcHJvZHVjdGlvbiBvcmRlci4BQ/3//xf///8GvgIAAAVMYWJlbAkRAgAAAUD9//8X////BsECAAAEVHlwZQkQAgAAB4U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xf///8JuwIAAAbFAgAADklkZW50aWZ5IGl0ZW0uATr9//8X////Cb4CAAAJHwIAAAE3/f//F////wnBAgAACR4CAAABigIAAHkCAAADAAAACaMAAAADAAAACc0CAAAEiw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OAgAAAAAAAAGOAgAAfQIAAAAAAAAJowAAAAAAAAABlwIAAIECAAAAAAAACdACAAAAAAAAB5k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3//xf///8G0gIAAAVMYWJlbAktAgAAASz9//8X////BtUCAAAEVHlwZQksAgAAB5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3//xf///8JuwIAAAbZAgAADFBvc3RpbmcgZGF0ZQEm/f//F////wm+AgAACT0CAAABI/3//xf///8JwQIAAAk8AgAAB50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3//xf///8JuwIAAAbiAgAAOUVycm9yIHF1YW50aXR5IGluIHRoZSBpbnZlbnRvcnkgdW5pdCByZXBvcnRlZCBhcyBmaW5pc2hlZAEd/f//F////wm+AgAACUsCAAABGv3//xf///8JwQIAAAlKAgAAB58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3//xf///8JuwIAAAbrAgAAVUdvb2QgcXVhbnRpdHkgKGV4Y2wuIHNjcmFwKSBpbiB0aGUgaW52ZW50b3J5IHVuaXQgcmVwb3J0ZWQgYXMgZmluaXNoZWQvY29zdCBhY2NvdW50ZWQBFP3//xf///8JvgIAAAlZAgAAARH9//8X////CcECAAAJWAIAAAGkAgAAeQIAAAEAAAAJvAAAAAMAAAAJ8wIAAAGlAgAAegIAAAIAAAAJzgIAAAMAAAAJ9QIAAAGoAgAAfQIAAAAAAAAJvAAAAAAAAAABsQIAAIECAAAAAAAACfcCAAAAAAAAB7M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P3//xf///8G+QIAAAVMYWJlbAlnAgAAAQX9//8X////BvwCAAAEVHlwZQlmAgAAAbQCAAAMAAAAB7UC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L9//+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v8CAAAaVGFibGUuUHJvZFRhYmxlSm91ci5Qcm9kSWQJ0AAAAAH//P//Av3//wYCAwAAGlRhYmxlLlByb2RUYWJsZUpvdXIuSXRlbUlkCf4AAAAB/Pz//wL9//8GBQMAAB9UYWJsZS5Qcm9kVGFibGVKb3VyLkpvdXJuYWxUeXBlCQYDAAAB+fz//wL9//8GCAMAAB1UYWJsZS5Qcm9kVGFibGVKb3VyLlRyYW5zRGF0ZQlLAQAAAfb8//8C/f//BgsDAAAbVGFibGUuUHJvZFRhYmxlSm91ci5Wb3VjaGVyCQwDAAAB8/z//wL9//8GDgMAACJUYWJsZS5Qcm9kVGFibGVKb3VyLkFtb3VudFBoeXNpY2FsCQ8DAAAB8Pz//wL9//8GEQMAACNUYWJsZS5Qcm9kVGFibGVKb3VyLkFtb3VudEZpbmFuY2lhbAkSAwAAAe38//8C/f//BhQDAAAcVGFibGUuUHJvZFRhYmxlSm91ci5RdHlFcnJvcgmaAQAAAer8//8C/f//BhcDAAAbVGFibGUuUHJvZFRhYmxlSm91ci5RdHlHb29kCcIBAAAHtwIAAAABAAAAB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Of8//+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GgMAABtUYWJsZS5Qcm9kVGFibGVKb3VyLlZvdWNoZXIJGwMAAAHk/P//5/z//wYdAwAAHVRhYmxlLlByb2RUYWJsZUpvdXIuVHJhbnNEYXRlCR4DAAAB4fz//+f8//8GIAMAABpUYWJsZS5Qcm9kVGFibGVKb3VyLkl0ZW1JZAkhAwAAAd78///n/P//BiMDAAAaVGFibGUuUHJvZFRhYmxlSm91ci5Qcm9kSWQJJAMAAAHb/P//5/z//wYmAwAAH1RhYmxlLlByb2RUYWJsZUpvdXIuSm91cm5hbFR5cGUJJwMAAAS5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zQI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2Pz//wL9//8GKQMAADVUYWJsZS5Qcm9kVGFibGVKb3VyLlByb2RJZH5UYWJsZS5Qcm9kVGFibGUuUHJvZFBvb2xJZAkmAQAAAc4CAAAMAAAAAdACAAC5AgAAB/MC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X8//8C/f//BiwDAAA5VGFibGUuUHJvZFRhYmxlSm91ci5JdGVtSWR+VGFibGUuSW52ZW50VGFibGVNb2R1bGUuVW5pdElkCeoBAAAH9QI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dL8///n/P//Bi8DAAA9VGFibGUuUHJvZFRhYmxlSm91ci5JdGVtSWR+VGFibGUuSW52ZW50VGFibGVNb2R1bGUuTW9kdWxlVHlwZQkwAwAAAc/8///n/P//BjIDAAA5VGFibGUuUHJvZFRhYmxlSm91ci5JdGVtSWR+VGFibGUuSW52ZW50VGFibGVNb2R1bGUuVW5pdElkCTMDAAAB9wIAALkCAAABBgMAANAAAAABzPz//9j/////////AAY1AwAABEVudW0GNgMAAARUeXBlCRICAAAByPz//9b///8CAAAAAcf8///s/f//AQAAAAAACRUCAAAGOwMAAAtKb3VybmFsVHlwZQkmAAAACv////8JFQIAAAoJOwMAAAoKCgkmAAAACUADAAAJJgAAAAEMAwAA0AAAAAG+/P//2P////////8ABkMDAAAGU3RyaW5nBkQDAAAPQ29zdGluZyB2b3VjaGVyCRICAAABuvz//9b///8CAAAAAbn8///s/f//AQAAAAAACRUCAAAGSQMAAAdWb3VjaGVyCSYAAAAK/////wkVAgAACglJAwAACgoKCSYAAAAJTgMAAAkmAAAAAQ8DAADQAAAAAbD8///Y/////////wAGUQMAAARSZWFsBlIDAAAOSUlQL1dJUCBhbW91bnQJEgIAAAGs/P//1v///wIAAAABq/z//+z9//8BAAAAAAAJFQIAAAZXAwAADkFtb3VudFBoeXNpY2FsCSYAAAAK/////wkVAgAACglXAwAACgoKCSYAAAAJXAMAAAkmAAAAARIDAADQAAAAAaL8///Y/////////wAGXwMAAARSZWFsBmADAAAVQ29zdCBhY2NvdW50ZWQgYW1vdW50CRICAAABnvz//9b///8CAAAAAZ38///s/f//AQAAAAAACRUCAAAGZQMAAA9BbW91bnRGaW5hbmNpYWwJJgAAAAr/////CRUCAAAKCWUDAAAKCgoJJgAAAAlqAwAACSYAAAAFGwM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RUCAAAGbQMAAAdWb3VjaGVyCSYAAAAJJgAAAP////8JFQIAAAoJbQMAAAoKCgkmAAAACXIDAAAJJgAAAAEeAwAAGwMAAAkVAgAABnUDAAAJVHJhbnNEYXRlCSYAAAAJJgAAAP////8JFQIAAAoJdQMAAAoKCgkmAAAACXoDAAAJJgAAAAEhAwAAGwMAAAkVAgAACcIAAAAJJgAAAAZ/AwAABSpQUk9E/////wkVAgAACgnCAAAACgoKCSYAAAAJgwMAAAkmAAAAASQDAAAbAwAACRUCAAAGhgMAAAZQcm9kSWQJJgAAAAkmAAAA/////wkVAgAACgmGAwAACgoKCSYAAAAJiwMAAAkmAAAAAScDAAAbAwAACRUCAAAJxQAAAAkmAAAACcYAAAD/////CRUCAAAGkgMAAA1Qcm9kVGFibGVKb3VyCcUAAAAKCgoJJgAAAAmVAwAACSYAAAABMAMAABsDAAAJygAAAAnLAAAACSYAAAAJzAAAAP////8JygAAAAoJywAAAAadAwAABkl0ZW1JZAoKCSYAAAAJnwMAAAkmAAAAATMDAAAbAwAACcoAAAAJzgAAAAkmAAAACc8AAAD/////CcoAAAAKCc4AAAAGpwMAAAZJdGVtSWQKCgkmAAAACakDAAAJJgAAAAFAAwAAIgAAACsAAAAJmQAAAAMAAAAJrAMAAAFOAwAAIgAAACsAAAAJmQAAAAMAAAAJrgMAAAFcAwAAIgAAACsAAAAJmQAAAAMAAAAJsAMAAAFqAwAAIgAAACsAAAAJmQAAAAMAAAAJsgMAAAFyAwAAIgAAAAIAAAAJmQAAAAMAAAAJtAMAAAF6AwAAIgAAAAIAAAAJmQAAAAMAAAAJtgMAAAGDAwAAIgAAAAoAAAAJmQAAAAMAAAAJuAMAAAGLAwAAIgAAAAIAAAAJmQAAAAMAAAAJugMAAAGVAwAAIgAAAAgAAAAJmQAAAAMAAAAJvAMAAAGfAwAAIgAAACIAAAAJzgIAAAMAAAAJvgMAAAGpAwAAIgAAACIAAAAJzgIAAAMAAAAJwAMAAAes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8//8X////CbsCAAAGwwMAAAxQb3N0aW5nIHR5cGUBPPz//xf///8JvgIAAAk2AwAAATn8//8X////CcECAAAJNQMAAAeu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8//8X////CbsCAAAGzAMAACtWb3VjaGVyIG51bWJlciB1c2VkIHdoZW4gcG9zdGluZyB0byBsZWRnZXIuATP8//8X////Cb4CAAAJRAMAAAEw/P//F////wnBAgAACUMDAAAHs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t/P//F////wm7AgAABtUDAAAyVXBkYXRlZCBJSVAvV0lQIGFtb3VudCBhdHRhY2hlZCB0byB0aGUgdHJhbnNhY3Rpb24BKvz//xf///8JvgIAAAlSAwAAASf8//8X////CcECAAAJUQMAAAeyAwAAAAEAAAAD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T8//8X////CbsCAAAG3gMAACRSZWNhbGN1bGF0ZWQgYW1vdW50IHBvc3RlZCB0byBsZWRnZXIBIfz//xf///8JvgIAAAlgAwAAAR78//8X////CcECAAAJXwMAAAe0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v8//8X////CcECAAAG5wMAAAZTdHJpbmcBGPz//xf///8JvgIAAAbqAwAAD0Nvc3Rpbmcgdm91Y2hlcge2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X8//8X////CcECAAAG7QMAAAREYXRlARL8//8X////Cb4CAAAG8AMAAAREYXRlB7g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z//xf///8JwQIAAAbzAwAABlN0cmluZwEM/P//F////wm+AgAABvYDAAALSXRlbSBudW1iZXIBCfz//xf///8G+AMAAAhSZWZlcnNUbwb5AwAACz1JdGVtTnVtYmVyB7o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z//xf///8JwQIAAAb8AwAABlN0cmluZwED/P//F////wm+AgAABv8DAAAKUHJvZHVjdGlvbge8AwAAAAEAAAACAAAAA+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D8//8X////CcECAAAGAgQAAARFbnVtAf37//8X////Cb4CAAAGBQQAAARUeXBlB74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v//xf///8GBwQAAARUeXBlBggEAAAERW51bQH3+///F////wYKBAAABUxhYmVsBgsEAAALTW9kdWxlIHR5cGUHw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F////wkHBAAACWYCAAAB8fv//xf///8JCgQAAAlnAgAACw==</Report>
</Atlas>
</file>

<file path=customXml/itemProps1.xml><?xml version="1.0" encoding="utf-8"?>
<ds:datastoreItem xmlns:ds="http://schemas.openxmlformats.org/officeDocument/2006/customXml" ds:itemID="{52D2A765-5A59-45E5-B039-A3E27461DBF9}">
  <ds:schemaRefs/>
</ds:datastoreItem>
</file>

<file path=customXml/itemProps2.xml><?xml version="1.0" encoding="utf-8"?>
<ds:datastoreItem xmlns:ds="http://schemas.openxmlformats.org/officeDocument/2006/customXml" ds:itemID="{5E201DCD-6839-4166-934A-C9AE3893316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General</vt:lpstr>
      <vt:lpstr>Report</vt:lpstr>
      <vt:lpstr>DevelopmentPerPoolWeek</vt:lpstr>
      <vt:lpstr>Detail list</vt:lpstr>
      <vt:lpstr>Notes</vt:lpstr>
      <vt:lpstr>'Detail list'!AtlasReport_1</vt:lpstr>
      <vt:lpstr>DataAreaId</vt:lpstr>
      <vt:lpstr>DateFormat</vt:lpstr>
      <vt:lpstr>DatePeriod</vt:lpstr>
      <vt:lpstr>FromDate</vt:lpstr>
      <vt:lpstr>ItemNumber</vt:lpstr>
      <vt:lpstr>ToDate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Spenser Wang</dc:creator>
  <cp:lastModifiedBy>Spenser Wang</cp:lastModifiedBy>
  <dcterms:created xsi:type="dcterms:W3CDTF">2021-06-10T11:11:19Z</dcterms:created>
  <dcterms:modified xsi:type="dcterms:W3CDTF">2021-06-23T10:49:34Z</dcterms:modified>
</cp:coreProperties>
</file>