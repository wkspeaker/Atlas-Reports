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D:\Simpson\Companies\S&amp;P\INC2002489 Atlas report\"/>
    </mc:Choice>
  </mc:AlternateContent>
  <bookViews>
    <workbookView xWindow="480" yWindow="105" windowWidth="27795" windowHeight="12600" activeTab="2"/>
  </bookViews>
  <sheets>
    <sheet name="General" sheetId="1" r:id="rId1"/>
    <sheet name="Report" sheetId="4" r:id="rId2"/>
    <sheet name="DevelopmentPerPoolWeek" sheetId="5" r:id="rId3"/>
    <sheet name="Detail list" sheetId="2" r:id="rId4"/>
    <sheet name="Notes" sheetId="3" r:id="rId5"/>
  </sheets>
  <functionGroups builtInGroupCount="18"/>
  <definedNames>
    <definedName name="AtlasReport_1" localSheetId="3">'Detail list'!$A$1:$H$227</definedName>
    <definedName name="DataAreaId">General!$C$2</definedName>
    <definedName name="DateFormat">General!$G$1</definedName>
    <definedName name="DatePeriod">General!$C$6</definedName>
    <definedName name="FromDate">General!$C$4</definedName>
    <definedName name="ItemNumber">General!$C$8</definedName>
    <definedName name="ToDate">General!$C$5</definedName>
  </definedNames>
  <calcPr calcId="162913"/>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G226" i="2"/>
  <c r="F226" i="2"/>
  <c r="G1" i="1"/>
  <c r="C6" i="1" l="1"/>
</calcChain>
</file>

<file path=xl/sharedStrings.xml><?xml version="1.0" encoding="utf-8"?>
<sst xmlns="http://schemas.openxmlformats.org/spreadsheetml/2006/main" count="994" uniqueCount="323">
  <si>
    <t>I would like to have an overview on the amount of meters of material we have produced in a certain period of time.</t>
  </si>
  <si>
    <t>Information I think we need:</t>
  </si>
  <si>
    <t>•</t>
  </si>
  <si>
    <t>All production orders with a report as finished journal within the selected period of time.</t>
  </si>
  <si>
    <t>We only need the production orders for items ending with 'PROD'</t>
  </si>
  <si>
    <t>For these filtered production orders I need the amount which is reported as ready.</t>
  </si>
  <si>
    <t>The amount needs to be split into POOL and an overall total.</t>
  </si>
  <si>
    <t>I like to have an average overall amount per day or week and an average amount per day or week per pool.</t>
  </si>
  <si>
    <t>A graph would be nice to show development per pool and per total per week</t>
  </si>
  <si>
    <t>I would like to have an overview on the amount of meters of S&amp;P material (starting with LA) we have produced in a certain period of time.</t>
  </si>
  <si>
    <t>We only need the production orders for items starting with 'LA'</t>
  </si>
  <si>
    <t>The amount needs to be split per item and an overall total.</t>
  </si>
  <si>
    <t>I like to have an average overall amount per week and an average amount per week per item.</t>
  </si>
  <si>
    <t>A graph would be nice to show development per item and per total per week</t>
  </si>
  <si>
    <t>Company:</t>
  </si>
  <si>
    <t>Date format:</t>
  </si>
  <si>
    <t>From date:</t>
  </si>
  <si>
    <t>To date:</t>
  </si>
  <si>
    <t>Date period:</t>
  </si>
  <si>
    <t>Product:</t>
  </si>
  <si>
    <t>Journal</t>
  </si>
  <si>
    <t>Production</t>
  </si>
  <si>
    <t>Item number</t>
  </si>
  <si>
    <t>Date</t>
  </si>
  <si>
    <t>Error quantity</t>
  </si>
  <si>
    <t>Good quantity</t>
  </si>
  <si>
    <t>Total</t>
  </si>
  <si>
    <t>Pool</t>
  </si>
  <si>
    <t>A</t>
  </si>
  <si>
    <t>B</t>
  </si>
  <si>
    <t>C</t>
  </si>
  <si>
    <t>D</t>
  </si>
  <si>
    <t>Unit</t>
  </si>
  <si>
    <t>M</t>
  </si>
  <si>
    <t>WeekNum</t>
  </si>
  <si>
    <t>Report</t>
    <phoneticPr fontId="3" type="noConversion"/>
  </si>
  <si>
    <t>LineDetails</t>
    <phoneticPr fontId="3" type="noConversion"/>
  </si>
  <si>
    <t>ItemNumber</t>
    <phoneticPr fontId="3" type="noConversion"/>
  </si>
  <si>
    <t>Pool</t>
    <phoneticPr fontId="3" type="noConversion"/>
  </si>
  <si>
    <t>Date</t>
    <phoneticPr fontId="3" type="noConversion"/>
  </si>
  <si>
    <t>WeekNum</t>
    <phoneticPr fontId="3" type="noConversion"/>
  </si>
  <si>
    <t>ErrQty</t>
    <phoneticPr fontId="3" type="noConversion"/>
  </si>
  <si>
    <t>GoodQty</t>
    <phoneticPr fontId="3" type="noConversion"/>
  </si>
  <si>
    <t>Unit</t>
    <phoneticPr fontId="3" type="noConversion"/>
  </si>
  <si>
    <t>TotalQty</t>
    <phoneticPr fontId="3" type="noConversion"/>
  </si>
  <si>
    <t>Quantity</t>
    <phoneticPr fontId="3" type="noConversion"/>
  </si>
  <si>
    <t>Total</t>
    <phoneticPr fontId="3" type="noConversion"/>
  </si>
  <si>
    <t>Average</t>
    <phoneticPr fontId="3" type="noConversion"/>
  </si>
  <si>
    <t>AveragePerDay</t>
    <phoneticPr fontId="3" type="noConversion"/>
  </si>
  <si>
    <t>AveragePerWeek</t>
    <phoneticPr fontId="3" type="noConversion"/>
  </si>
  <si>
    <t>Avg per day</t>
  </si>
  <si>
    <t>Avg per week</t>
  </si>
  <si>
    <t>Overall</t>
  </si>
  <si>
    <t>Quantity in meters</t>
  </si>
  <si>
    <t>TotalQty</t>
  </si>
  <si>
    <t>Steps:</t>
  </si>
  <si>
    <t>1. Maintain the parameters from C2 to C8;</t>
  </si>
  <si>
    <t>2. Refresh the Atlas report in tab "Atlas 5.1";</t>
  </si>
  <si>
    <t>3. Click button "Generate report" to get the result in sheets "Report" and "DevelopmentPerPoolWeek";</t>
  </si>
  <si>
    <t>*PROD</t>
  </si>
  <si>
    <t>C1RE 10A0 PROD</t>
  </si>
  <si>
    <t>C1RO 14A0 PROD</t>
  </si>
  <si>
    <t/>
  </si>
  <si>
    <t>C1RO 1A00 PROD</t>
  </si>
  <si>
    <t>C1RO 1F00 PROD</t>
  </si>
  <si>
    <t>C1RO 2A00 PROD</t>
  </si>
  <si>
    <t>C1RO 2B00 PROD</t>
  </si>
  <si>
    <t>C1RO 3A00 PROD</t>
  </si>
  <si>
    <t>C1RO 8A00 PROD</t>
  </si>
  <si>
    <t>C1SQ 6A00 PROD</t>
  </si>
  <si>
    <t>C1TU 10B0 PROD</t>
  </si>
  <si>
    <t>C1TU 12B0 PROD</t>
  </si>
  <si>
    <t>C1TU 2A00 PROD</t>
  </si>
  <si>
    <t>C1TU 2C00 PROD</t>
  </si>
  <si>
    <t>C1TU 3A00 PROD</t>
  </si>
  <si>
    <t>C1TU 5B00 PROD</t>
  </si>
  <si>
    <t>C1TU 6B00 PROD</t>
  </si>
  <si>
    <t>C1TU 8B00 PROD</t>
  </si>
  <si>
    <t>CLEA LCA3 PROD</t>
  </si>
  <si>
    <t>G2RO 1G00 PROD</t>
  </si>
  <si>
    <t>G2RO 3A00 PROD</t>
  </si>
  <si>
    <t>G2RO 3A01 PROD</t>
  </si>
  <si>
    <t>G2RO 3A02 PROD</t>
  </si>
  <si>
    <t>GTPV PK11 PROD</t>
  </si>
  <si>
    <t>H1RE 6C00 PROD</t>
  </si>
  <si>
    <t>OrderCount</t>
  </si>
  <si>
    <t>AveragePerWeek</t>
  </si>
  <si>
    <t>Versions:</t>
    <phoneticPr fontId="3" type="noConversion"/>
  </si>
  <si>
    <t>V1</t>
    <phoneticPr fontId="3" type="noConversion"/>
  </si>
  <si>
    <t>Initial version, the average per week is the quantity in meter devided by the numbers of the week, and the average per day is the amount per week devided by 5.</t>
    <phoneticPr fontId="3" type="noConversion"/>
  </si>
  <si>
    <t>V2</t>
    <phoneticPr fontId="3" type="noConversion"/>
  </si>
  <si>
    <t>TotalQty2</t>
  </si>
  <si>
    <t>OrderCount3</t>
  </si>
  <si>
    <t>AveragePerWeek4</t>
  </si>
  <si>
    <t>TotalQty5</t>
  </si>
  <si>
    <t>OrderCount6</t>
  </si>
  <si>
    <t>AveragePerWeek7</t>
  </si>
  <si>
    <t>TotalQty8</t>
  </si>
  <si>
    <t>OrderCount9</t>
  </si>
  <si>
    <t>AveragePerWeek10</t>
  </si>
  <si>
    <t>TotalQty11</t>
  </si>
  <si>
    <t>OrderCount12</t>
  </si>
  <si>
    <t>AveragePerWeek13</t>
  </si>
  <si>
    <t>TotalQty14</t>
  </si>
  <si>
    <t>OrderCount15</t>
  </si>
  <si>
    <t>AveragePerWeek16</t>
  </si>
  <si>
    <t>C1RE 20A0 PROD</t>
  </si>
  <si>
    <t>C1RO 0B00 PROD</t>
  </si>
  <si>
    <t>C1RO 4A00 PROD</t>
  </si>
  <si>
    <t>C1RO 6A00 PROD</t>
  </si>
  <si>
    <t>C1TU 1B00 PROD</t>
  </si>
  <si>
    <t>C1TU 4A00 PROD</t>
  </si>
  <si>
    <t>C1TU 4B00 PROD</t>
  </si>
  <si>
    <t>Add charts for development per week/pool, update chart method for Excel 2010</t>
    <phoneticPr fontId="3" type="noConversion"/>
  </si>
  <si>
    <t>A1RO 0A00 PROD</t>
  </si>
  <si>
    <t>00000389_067</t>
  </si>
  <si>
    <t>00000493_067</t>
  </si>
  <si>
    <t>00000391_067</t>
  </si>
  <si>
    <t>00000436_067</t>
  </si>
  <si>
    <t>C1RE 1B00 PROD</t>
  </si>
  <si>
    <t>00000548_067</t>
  </si>
  <si>
    <t>C1RE 20B0 PROD</t>
  </si>
  <si>
    <t>00000590_067</t>
  </si>
  <si>
    <t>00000832_067</t>
  </si>
  <si>
    <t>00000549_067</t>
  </si>
  <si>
    <t>C1RE 40A0 PROD</t>
  </si>
  <si>
    <t>C1RE 50C0 PROD</t>
  </si>
  <si>
    <t>00000714_067</t>
  </si>
  <si>
    <t>00000394_067</t>
  </si>
  <si>
    <t>C1RE 6A00 PROD</t>
  </si>
  <si>
    <t>00000685_067</t>
  </si>
  <si>
    <t>C1RE 6B00 PROD</t>
  </si>
  <si>
    <t>00000684_067</t>
  </si>
  <si>
    <t>C1RE 7A00 PROD</t>
  </si>
  <si>
    <t>00000340_067</t>
  </si>
  <si>
    <t>C1RO 0A00 PROD</t>
  </si>
  <si>
    <t>00000647_067</t>
  </si>
  <si>
    <t>00000341_067</t>
  </si>
  <si>
    <t>00000649_067</t>
  </si>
  <si>
    <t>C1RO 10A0 PROD</t>
  </si>
  <si>
    <t>00000361_067</t>
  </si>
  <si>
    <t>00000541_067</t>
  </si>
  <si>
    <t>00000395_067</t>
  </si>
  <si>
    <t>00000859_067</t>
  </si>
  <si>
    <t>C1RO 12A0 PROD</t>
  </si>
  <si>
    <t>00000434_067</t>
  </si>
  <si>
    <t>00000540_067</t>
  </si>
  <si>
    <t>00000588_067</t>
  </si>
  <si>
    <t>00000748_067</t>
  </si>
  <si>
    <t>00000854_067</t>
  </si>
  <si>
    <t>00000232_067</t>
  </si>
  <si>
    <t>00000451_067</t>
  </si>
  <si>
    <t>00000538_067</t>
  </si>
  <si>
    <t>00000539_067</t>
  </si>
  <si>
    <t>00000595_067</t>
  </si>
  <si>
    <t>00000630_067</t>
  </si>
  <si>
    <t>00000631_067</t>
  </si>
  <si>
    <t>00000642_067</t>
  </si>
  <si>
    <t>00000887_067</t>
  </si>
  <si>
    <t>00000366_067</t>
  </si>
  <si>
    <t>00000432_067</t>
  </si>
  <si>
    <t>00000550_067</t>
  </si>
  <si>
    <t>00000807_067</t>
  </si>
  <si>
    <t>C1RO 1B00 PROD</t>
  </si>
  <si>
    <t>C1RO 1D00 PROD</t>
  </si>
  <si>
    <t>00000497_067</t>
  </si>
  <si>
    <t>00000808_067</t>
  </si>
  <si>
    <t>00000384_067</t>
  </si>
  <si>
    <t>00000398_067</t>
  </si>
  <si>
    <t>00000437_067</t>
  </si>
  <si>
    <t>00000880_067</t>
  </si>
  <si>
    <t>00000370_067</t>
  </si>
  <si>
    <t>00000452_067</t>
  </si>
  <si>
    <t>00000498_067</t>
  </si>
  <si>
    <t>00000624_067</t>
  </si>
  <si>
    <t>00000804_067</t>
  </si>
  <si>
    <t>00000825_067</t>
  </si>
  <si>
    <t>00000396_067</t>
  </si>
  <si>
    <t>00000431_067</t>
  </si>
  <si>
    <t>00000503_067</t>
  </si>
  <si>
    <t>00000556_067</t>
  </si>
  <si>
    <t>00000691_067</t>
  </si>
  <si>
    <t>00000883_067</t>
  </si>
  <si>
    <t>00000373_067</t>
  </si>
  <si>
    <t>00000468_067</t>
  </si>
  <si>
    <t>00000580_067</t>
  </si>
  <si>
    <t>00000629_067</t>
  </si>
  <si>
    <t>00000733_067</t>
  </si>
  <si>
    <t>00000744_067</t>
  </si>
  <si>
    <t>00000853_067</t>
  </si>
  <si>
    <t>00000438_067</t>
  </si>
  <si>
    <t>00000648_067</t>
  </si>
  <si>
    <t>00000730_067</t>
  </si>
  <si>
    <t>00000650_067</t>
  </si>
  <si>
    <t>00000666_067</t>
  </si>
  <si>
    <t>00000833_067</t>
  </si>
  <si>
    <t>00000331_067</t>
  </si>
  <si>
    <t>00000367_067</t>
  </si>
  <si>
    <t>00000439_067</t>
  </si>
  <si>
    <t>00000492_067</t>
  </si>
  <si>
    <t>00000599_067</t>
  </si>
  <si>
    <t>00000729_067</t>
  </si>
  <si>
    <t>C1SQ 3B00 PROD</t>
  </si>
  <si>
    <t>00000349_067</t>
  </si>
  <si>
    <t>00000365_067</t>
  </si>
  <si>
    <t>00000628_067</t>
  </si>
  <si>
    <t>00000879_067</t>
  </si>
  <si>
    <t>00000474_067</t>
  </si>
  <si>
    <t>00000508_067</t>
  </si>
  <si>
    <t>C1ST 2A00 PROD</t>
  </si>
  <si>
    <t>C1TS 4A00 PROD</t>
  </si>
  <si>
    <t>00000759_067</t>
  </si>
  <si>
    <t>C1TS 6A00 PROD</t>
  </si>
  <si>
    <t>00000312_067</t>
  </si>
  <si>
    <t>00000776_067</t>
  </si>
  <si>
    <t>C1TS 8A00 PROD</t>
  </si>
  <si>
    <t>00000662_067</t>
  </si>
  <si>
    <t>C1TU 0A00 PROD</t>
  </si>
  <si>
    <t>00000435_067</t>
  </si>
  <si>
    <t>00000809_067</t>
  </si>
  <si>
    <t>00000371_067</t>
  </si>
  <si>
    <t>00000545_067</t>
  </si>
  <si>
    <t>00000789_067</t>
  </si>
  <si>
    <t>00000397_067</t>
  </si>
  <si>
    <t>00000544_067</t>
  </si>
  <si>
    <t>00000686_067</t>
  </si>
  <si>
    <t>C1TU 1A00 PROD</t>
  </si>
  <si>
    <t>00000819_067</t>
  </si>
  <si>
    <t>00000450_067</t>
  </si>
  <si>
    <t>00000677_067</t>
  </si>
  <si>
    <t>00000369_067</t>
  </si>
  <si>
    <t>00000499_067</t>
  </si>
  <si>
    <t>00000587_067</t>
  </si>
  <si>
    <t>00000687_067</t>
  </si>
  <si>
    <t>C1TU 2B00 PROD</t>
  </si>
  <si>
    <t>00000600_067</t>
  </si>
  <si>
    <t>00000337_067</t>
  </si>
  <si>
    <t>00000500_067</t>
  </si>
  <si>
    <t>00000672_067</t>
  </si>
  <si>
    <t>00000914_067</t>
  </si>
  <si>
    <t>00000788_067</t>
  </si>
  <si>
    <t>00000812_067</t>
  </si>
  <si>
    <t>00000870_067</t>
  </si>
  <si>
    <t>00000518_067</t>
  </si>
  <si>
    <t>00000348_067</t>
  </si>
  <si>
    <t>00000380_067</t>
  </si>
  <si>
    <t>00000405_067</t>
  </si>
  <si>
    <t>00000440_067</t>
  </si>
  <si>
    <t>00000536_067</t>
  </si>
  <si>
    <t>00000563_067</t>
  </si>
  <si>
    <t>00000574_067</t>
  </si>
  <si>
    <t>00000594_067</t>
  </si>
  <si>
    <t>00000640_067</t>
  </si>
  <si>
    <t>00000692_067</t>
  </si>
  <si>
    <t>00000699_067</t>
  </si>
  <si>
    <t>00000698_067</t>
  </si>
  <si>
    <t>00000697_067</t>
  </si>
  <si>
    <t>00000743_067</t>
  </si>
  <si>
    <t>00000756_067</t>
  </si>
  <si>
    <t>00000757_067</t>
  </si>
  <si>
    <t>00000758_067</t>
  </si>
  <si>
    <t>00000834_067</t>
  </si>
  <si>
    <t>00000835_067</t>
  </si>
  <si>
    <t>00000836_067</t>
  </si>
  <si>
    <t>00000871_067</t>
  </si>
  <si>
    <t>C1TU 6A00 PROD</t>
  </si>
  <si>
    <t>00000467_067</t>
  </si>
  <si>
    <t>00000547_067</t>
  </si>
  <si>
    <t>00000581_067</t>
  </si>
  <si>
    <t>00000732_067</t>
  </si>
  <si>
    <t>00000874_067</t>
  </si>
  <si>
    <t>00000546_067</t>
  </si>
  <si>
    <t>00000872_067</t>
  </si>
  <si>
    <t>00000362_067</t>
  </si>
  <si>
    <t>00000383_067</t>
  </si>
  <si>
    <t>00000663_067</t>
  </si>
  <si>
    <t>00000852_067</t>
  </si>
  <si>
    <t>G1RO 0AA0 PROD</t>
  </si>
  <si>
    <t>00000496_067</t>
  </si>
  <si>
    <t>00000785_067</t>
  </si>
  <si>
    <t>G2RO 2B00 PROD</t>
  </si>
  <si>
    <t>00000363_067</t>
  </si>
  <si>
    <t>00000417_067</t>
  </si>
  <si>
    <t>00000608_067</t>
  </si>
  <si>
    <t>00000414_067</t>
  </si>
  <si>
    <t>G3RO 2B00 PROD</t>
  </si>
  <si>
    <t>00000786_067</t>
  </si>
  <si>
    <t>00000345_067</t>
  </si>
  <si>
    <t>00000339_067</t>
  </si>
  <si>
    <t>00000375_067</t>
  </si>
  <si>
    <t>00000376_067</t>
  </si>
  <si>
    <t>00000426_067</t>
  </si>
  <si>
    <t>00000425_067</t>
  </si>
  <si>
    <t>00000428_067</t>
  </si>
  <si>
    <t>00000427_067</t>
  </si>
  <si>
    <t>00000454_067</t>
  </si>
  <si>
    <t>00000524_067</t>
  </si>
  <si>
    <t>00000453_067</t>
  </si>
  <si>
    <t>00000578_067</t>
  </si>
  <si>
    <t>00000633_067</t>
  </si>
  <si>
    <t>00000707_067</t>
  </si>
  <si>
    <t>00000826_067</t>
  </si>
  <si>
    <t>00000827_067</t>
  </si>
  <si>
    <t>00000828_067</t>
  </si>
  <si>
    <t>00000830_067</t>
  </si>
  <si>
    <t>00000868_067</t>
  </si>
  <si>
    <t>00000897_067</t>
  </si>
  <si>
    <t>00000896_067</t>
  </si>
  <si>
    <t>00000476_067</t>
  </si>
  <si>
    <t>H1RE 3B00 PROD</t>
  </si>
  <si>
    <t>00000731_067</t>
  </si>
  <si>
    <t>00000777_067</t>
  </si>
  <si>
    <t>00000778_067</t>
  </si>
  <si>
    <t>00000837_067</t>
  </si>
  <si>
    <t>H1RE 4B00 PROD</t>
  </si>
  <si>
    <t>00000358_067</t>
  </si>
  <si>
    <t>00000817_067</t>
  </si>
  <si>
    <t>00000673_067</t>
  </si>
  <si>
    <t>H1RE 7A00 PROD</t>
  </si>
  <si>
    <t>00000818_067</t>
  </si>
  <si>
    <t>H1RE 8B00 PROD</t>
  </si>
  <si>
    <t>00000598_067</t>
  </si>
  <si>
    <t>M1RE 10A0 PROD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</si>
</sst>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 #,##0.00_ ;_ * \-#,##0.00_ ;_ * &quot;-&quot;??_ ;_ @_ "/>
  </numFmts>
  <fonts count="6" x14ac:knownFonts="1">
    <font>
      <sz val="11"/>
      <color theme="1"/>
      <name val="宋体"/>
      <family val="2"/>
      <scheme val="minor"/>
    </font>
    <font>
      <b/>
      <sz val="18"/>
      <color theme="3"/>
      <name val="宋体"/>
      <family val="2"/>
      <scheme val="major"/>
    </font>
    <font>
      <sz val="11"/>
      <color rgb="FF000000"/>
      <name val="宋体"/>
      <family val="2"/>
      <scheme val="minor"/>
    </font>
    <font>
      <sz val="9"/>
      <name val="宋体"/>
      <family val="3"/>
      <charset val="134"/>
      <scheme val="minor"/>
    </font>
    <font>
      <sz val="11"/>
      <color theme="1"/>
      <name val="宋体"/>
      <family val="2"/>
      <scheme val="minor"/>
    </font>
    <font>
      <sz val="11"/>
      <color rgb="FF000000"/>
      <name val="宋体"/>
      <family val="3"/>
      <charset val="134"/>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43" fontId="4" fillId="0" borderId="0" applyFont="0" applyFill="0" applyBorder="0" applyAlignment="0" applyProtection="0">
      <alignment vertical="center"/>
    </xf>
  </cellStyleXfs>
  <cellXfs count="11">
    <xf numFmtId="0" fontId="0" fillId="0" borderId="0" xfId="0"/>
    <xf numFmtId="14" fontId="0" fillId="0" borderId="0" xfId="0" applyNumberFormat="1"/>
    <xf numFmtId="0" fontId="1" fillId="0" borderId="0" xfId="1"/>
    <xf numFmtId="0" fontId="0" fillId="0" borderId="0" xfId="0" applyNumberFormat="1" applyAlignment="1"/>
    <xf numFmtId="0" fontId="2" fillId="0" borderId="0" xfId="0" applyNumberFormat="1" applyFont="1" applyAlignment="1"/>
    <xf numFmtId="14" fontId="0" fillId="0" borderId="0" xfId="0" applyNumberFormat="1" applyAlignment="1"/>
    <xf numFmtId="14" fontId="2" fillId="0" borderId="0" xfId="0" applyNumberFormat="1" applyFont="1" applyAlignment="1"/>
    <xf numFmtId="0" fontId="0" fillId="0" borderId="0" xfId="0" quotePrefix="1" applyNumberFormat="1" applyAlignment="1"/>
    <xf numFmtId="0" fontId="2" fillId="0" borderId="0" xfId="0" quotePrefix="1" applyNumberFormat="1" applyFont="1" applyAlignment="1"/>
    <xf numFmtId="0" fontId="0" fillId="0" borderId="0" xfId="0" applyAlignment="1">
      <alignment horizontal="left" indent="1"/>
    </xf>
    <xf numFmtId="43" fontId="0" fillId="0" borderId="0" xfId="2" applyFont="1" applyAlignment="1"/>
  </cellXfs>
  <cellStyles count="3">
    <cellStyle name="标题" xfId="1" builtinId="15"/>
    <cellStyle name="常规" xfId="0" builtinId="0"/>
    <cellStyle name="千位分隔" xfId="2" builtinId="3"/>
  </cellStyles>
  <dxfs count="35">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宋体"/>
        <scheme val="minor"/>
      </font>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176" formatCode="m/d/yyyy"/>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176"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Development per week/pool</a:t>
            </a:r>
          </a:p>
        </c:rich>
      </c:tx>
      <c:overlay val="0"/>
    </c:title>
    <c:autoTitleDeleted val="0"/>
    <c:plotArea>
      <c:layout/>
      <c:barChart>
        <c:barDir val="col"/>
        <c:grouping val="clustered"/>
        <c:varyColors val="0"/>
        <c:ser>
          <c:idx val="5"/>
          <c:order val="5"/>
          <c:tx>
            <c:v>Overall</c:v>
          </c:tx>
          <c:invertIfNegative val="0"/>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DevelopmentPerPoolWeek!$Q$3:$Q$54</c:f>
              <c:numCache>
                <c:formatCode>_(* #,##0.00_);_(* \(#,##0.00\);_(* "-"??_);_(@_)</c:formatCode>
                <c:ptCount val="52"/>
                <c:pt idx="0">
                  <c:v>0</c:v>
                </c:pt>
                <c:pt idx="1">
                  <c:v>9982.119999999999</c:v>
                </c:pt>
                <c:pt idx="2">
                  <c:v>4790</c:v>
                </c:pt>
                <c:pt idx="3">
                  <c:v>14688</c:v>
                </c:pt>
                <c:pt idx="4">
                  <c:v>12465.46</c:v>
                </c:pt>
                <c:pt idx="5">
                  <c:v>6090.7</c:v>
                </c:pt>
                <c:pt idx="6">
                  <c:v>5837.8</c:v>
                </c:pt>
                <c:pt idx="7">
                  <c:v>41760.07</c:v>
                </c:pt>
                <c:pt idx="8">
                  <c:v>2391.6999999999998</c:v>
                </c:pt>
                <c:pt idx="9">
                  <c:v>7873.68</c:v>
                </c:pt>
                <c:pt idx="10">
                  <c:v>880</c:v>
                </c:pt>
                <c:pt idx="11">
                  <c:v>12209.710000000001</c:v>
                </c:pt>
                <c:pt idx="12">
                  <c:v>10507.14</c:v>
                </c:pt>
                <c:pt idx="13">
                  <c:v>1893</c:v>
                </c:pt>
                <c:pt idx="14">
                  <c:v>0</c:v>
                </c:pt>
                <c:pt idx="15">
                  <c:v>46021.17</c:v>
                </c:pt>
                <c:pt idx="16">
                  <c:v>6807.94</c:v>
                </c:pt>
                <c:pt idx="17">
                  <c:v>15671.529999999999</c:v>
                </c:pt>
                <c:pt idx="18">
                  <c:v>4343</c:v>
                </c:pt>
                <c:pt idx="19">
                  <c:v>3404</c:v>
                </c:pt>
                <c:pt idx="20">
                  <c:v>3606.55</c:v>
                </c:pt>
                <c:pt idx="21">
                  <c:v>9783</c:v>
                </c:pt>
                <c:pt idx="22">
                  <c:v>12934.8</c:v>
                </c:pt>
                <c:pt idx="23">
                  <c:v>5750.3099999999995</c:v>
                </c:pt>
                <c:pt idx="24">
                  <c:v>2428</c:v>
                </c:pt>
                <c:pt idx="25">
                  <c:v>2960.75</c:v>
                </c:pt>
                <c:pt idx="26">
                  <c:v>13874.220000000001</c:v>
                </c:pt>
                <c:pt idx="27">
                  <c:v>11720.5</c:v>
                </c:pt>
                <c:pt idx="28">
                  <c:v>8779.56</c:v>
                </c:pt>
                <c:pt idx="29">
                  <c:v>1269</c:v>
                </c:pt>
                <c:pt idx="30">
                  <c:v>9929.4</c:v>
                </c:pt>
                <c:pt idx="31">
                  <c:v>12892</c:v>
                </c:pt>
                <c:pt idx="32">
                  <c:v>498.48999999999995</c:v>
                </c:pt>
                <c:pt idx="33">
                  <c:v>7606.35</c:v>
                </c:pt>
                <c:pt idx="34">
                  <c:v>3319</c:v>
                </c:pt>
                <c:pt idx="35">
                  <c:v>18752.09</c:v>
                </c:pt>
                <c:pt idx="36">
                  <c:v>3963.0099999999998</c:v>
                </c:pt>
                <c:pt idx="37">
                  <c:v>5372.5</c:v>
                </c:pt>
                <c:pt idx="38">
                  <c:v>9690.380000000001</c:v>
                </c:pt>
                <c:pt idx="39">
                  <c:v>7142.9</c:v>
                </c:pt>
                <c:pt idx="40">
                  <c:v>7253.3</c:v>
                </c:pt>
                <c:pt idx="41">
                  <c:v>7507</c:v>
                </c:pt>
                <c:pt idx="42">
                  <c:v>8657.57</c:v>
                </c:pt>
                <c:pt idx="43">
                  <c:v>9967.7200000000012</c:v>
                </c:pt>
                <c:pt idx="44">
                  <c:v>4832</c:v>
                </c:pt>
                <c:pt idx="45">
                  <c:v>6531.07</c:v>
                </c:pt>
                <c:pt idx="46">
                  <c:v>5696</c:v>
                </c:pt>
                <c:pt idx="47">
                  <c:v>4924.3</c:v>
                </c:pt>
                <c:pt idx="48">
                  <c:v>22350</c:v>
                </c:pt>
                <c:pt idx="49">
                  <c:v>19755</c:v>
                </c:pt>
                <c:pt idx="50">
                  <c:v>12640.99</c:v>
                </c:pt>
                <c:pt idx="51">
                  <c:v>0</c:v>
                </c:pt>
              </c:numCache>
            </c:numRef>
          </c:val>
          <c:extLst>
            <c:ext xmlns:c16="http://schemas.microsoft.com/office/drawing/2014/chart" uri="{C3380CC4-5D6E-409C-BE32-E72D297353CC}">
              <c16:uniqueId val="{00000006-E6B1-4D28-B935-0FFA0989BEA1}"/>
            </c:ext>
          </c:extLst>
        </c:ser>
        <c:dLbls>
          <c:showLegendKey val="0"/>
          <c:showVal val="0"/>
          <c:showCatName val="0"/>
          <c:showSerName val="0"/>
          <c:showPercent val="0"/>
          <c:showBubbleSize val="0"/>
        </c:dLbls>
        <c:gapWidth val="150"/>
        <c:axId val="1780494271"/>
        <c:axId val="1780492191"/>
      </c:barChart>
      <c:lineChart>
        <c:grouping val="standard"/>
        <c:varyColors val="0"/>
        <c:ser>
          <c:idx val="0"/>
          <c:order val="0"/>
          <c:tx>
            <c:v>A</c:v>
          </c:tx>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DevelopmentPerPoolWeek!$B$3:$B$54</c:f>
              <c:numCache>
                <c:formatCode>_(* #,##0.00_);_(* \(#,##0.00\);_(* "-"??_);_(@_)</c:formatCode>
                <c:ptCount val="52"/>
                <c:pt idx="0">
                  <c:v>0</c:v>
                </c:pt>
                <c:pt idx="1">
                  <c:v>2811.3</c:v>
                </c:pt>
                <c:pt idx="2">
                  <c:v>0</c:v>
                </c:pt>
                <c:pt idx="3">
                  <c:v>5465</c:v>
                </c:pt>
                <c:pt idx="4">
                  <c:v>0</c:v>
                </c:pt>
                <c:pt idx="5">
                  <c:v>4937.7</c:v>
                </c:pt>
                <c:pt idx="6">
                  <c:v>0</c:v>
                </c:pt>
                <c:pt idx="7">
                  <c:v>3122</c:v>
                </c:pt>
                <c:pt idx="8">
                  <c:v>0</c:v>
                </c:pt>
                <c:pt idx="9">
                  <c:v>3008.88</c:v>
                </c:pt>
                <c:pt idx="10">
                  <c:v>880</c:v>
                </c:pt>
                <c:pt idx="11">
                  <c:v>2214</c:v>
                </c:pt>
                <c:pt idx="12">
                  <c:v>2819.25</c:v>
                </c:pt>
                <c:pt idx="13">
                  <c:v>1893</c:v>
                </c:pt>
                <c:pt idx="14">
                  <c:v>0</c:v>
                </c:pt>
                <c:pt idx="15">
                  <c:v>7231.2</c:v>
                </c:pt>
                <c:pt idx="16">
                  <c:v>5918</c:v>
                </c:pt>
                <c:pt idx="17">
                  <c:v>5301.3</c:v>
                </c:pt>
                <c:pt idx="18">
                  <c:v>2097</c:v>
                </c:pt>
                <c:pt idx="19">
                  <c:v>1204</c:v>
                </c:pt>
                <c:pt idx="20">
                  <c:v>0</c:v>
                </c:pt>
                <c:pt idx="21">
                  <c:v>5609.7</c:v>
                </c:pt>
                <c:pt idx="22">
                  <c:v>5055.16</c:v>
                </c:pt>
                <c:pt idx="23">
                  <c:v>1456</c:v>
                </c:pt>
                <c:pt idx="24">
                  <c:v>0</c:v>
                </c:pt>
                <c:pt idx="25">
                  <c:v>0</c:v>
                </c:pt>
                <c:pt idx="26">
                  <c:v>7057.2000000000007</c:v>
                </c:pt>
                <c:pt idx="27">
                  <c:v>5087.5</c:v>
                </c:pt>
                <c:pt idx="28">
                  <c:v>7356.56</c:v>
                </c:pt>
                <c:pt idx="29">
                  <c:v>3</c:v>
                </c:pt>
                <c:pt idx="30">
                  <c:v>5188.3999999999996</c:v>
                </c:pt>
                <c:pt idx="31">
                  <c:v>1094</c:v>
                </c:pt>
                <c:pt idx="32">
                  <c:v>0</c:v>
                </c:pt>
                <c:pt idx="33">
                  <c:v>3277</c:v>
                </c:pt>
                <c:pt idx="34">
                  <c:v>1134</c:v>
                </c:pt>
                <c:pt idx="35">
                  <c:v>9117.2000000000007</c:v>
                </c:pt>
                <c:pt idx="36">
                  <c:v>2036</c:v>
                </c:pt>
                <c:pt idx="37">
                  <c:v>3149</c:v>
                </c:pt>
                <c:pt idx="38">
                  <c:v>5235.6400000000003</c:v>
                </c:pt>
                <c:pt idx="39">
                  <c:v>4953.8999999999996</c:v>
                </c:pt>
                <c:pt idx="40">
                  <c:v>6271.3</c:v>
                </c:pt>
                <c:pt idx="41">
                  <c:v>0</c:v>
                </c:pt>
                <c:pt idx="42">
                  <c:v>2104.5700000000002</c:v>
                </c:pt>
                <c:pt idx="43">
                  <c:v>2224</c:v>
                </c:pt>
                <c:pt idx="44">
                  <c:v>4832</c:v>
                </c:pt>
                <c:pt idx="45">
                  <c:v>4047.6</c:v>
                </c:pt>
                <c:pt idx="46">
                  <c:v>0</c:v>
                </c:pt>
                <c:pt idx="47">
                  <c:v>4674.3</c:v>
                </c:pt>
                <c:pt idx="48">
                  <c:v>5638.5</c:v>
                </c:pt>
                <c:pt idx="49">
                  <c:v>2018.5</c:v>
                </c:pt>
                <c:pt idx="50">
                  <c:v>5281.5</c:v>
                </c:pt>
                <c:pt idx="51">
                  <c:v>0</c:v>
                </c:pt>
              </c:numCache>
            </c:numRef>
          </c:val>
          <c:smooth val="0"/>
          <c:extLst>
            <c:ext xmlns:c16="http://schemas.microsoft.com/office/drawing/2014/chart" uri="{C3380CC4-5D6E-409C-BE32-E72D297353CC}">
              <c16:uniqueId val="{00000001-E6B1-4D28-B935-0FFA0989BEA1}"/>
            </c:ext>
          </c:extLst>
        </c:ser>
        <c:ser>
          <c:idx val="1"/>
          <c:order val="1"/>
          <c:tx>
            <c:v>B</c:v>
          </c:tx>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DevelopmentPerPoolWeek!$E$3:$E$54</c:f>
              <c:numCache>
                <c:formatCode>_(* #,##0.00_);_(* \(#,##0.00\);_(* "-"??_);_(@_)</c:formatCode>
                <c:ptCount val="52"/>
                <c:pt idx="0">
                  <c:v>0</c:v>
                </c:pt>
                <c:pt idx="1">
                  <c:v>3629.37</c:v>
                </c:pt>
                <c:pt idx="2">
                  <c:v>0</c:v>
                </c:pt>
                <c:pt idx="3">
                  <c:v>0</c:v>
                </c:pt>
                <c:pt idx="4">
                  <c:v>9668.4599999999991</c:v>
                </c:pt>
                <c:pt idx="5">
                  <c:v>1153</c:v>
                </c:pt>
                <c:pt idx="6">
                  <c:v>2745</c:v>
                </c:pt>
                <c:pt idx="7">
                  <c:v>0</c:v>
                </c:pt>
                <c:pt idx="8">
                  <c:v>0</c:v>
                </c:pt>
                <c:pt idx="9">
                  <c:v>4496.8</c:v>
                </c:pt>
                <c:pt idx="10">
                  <c:v>0</c:v>
                </c:pt>
                <c:pt idx="11">
                  <c:v>7191.02</c:v>
                </c:pt>
                <c:pt idx="12">
                  <c:v>7187.8899999999994</c:v>
                </c:pt>
                <c:pt idx="13">
                  <c:v>0</c:v>
                </c:pt>
                <c:pt idx="14">
                  <c:v>0</c:v>
                </c:pt>
                <c:pt idx="15">
                  <c:v>1146.92</c:v>
                </c:pt>
                <c:pt idx="16">
                  <c:v>0</c:v>
                </c:pt>
                <c:pt idx="17">
                  <c:v>7199.23</c:v>
                </c:pt>
                <c:pt idx="18">
                  <c:v>0</c:v>
                </c:pt>
                <c:pt idx="19">
                  <c:v>0</c:v>
                </c:pt>
                <c:pt idx="20">
                  <c:v>3606.55</c:v>
                </c:pt>
                <c:pt idx="21">
                  <c:v>0</c:v>
                </c:pt>
                <c:pt idx="22">
                  <c:v>5483.6399999999994</c:v>
                </c:pt>
                <c:pt idx="23">
                  <c:v>4294.3099999999995</c:v>
                </c:pt>
                <c:pt idx="24">
                  <c:v>0</c:v>
                </c:pt>
                <c:pt idx="25">
                  <c:v>2960.75</c:v>
                </c:pt>
                <c:pt idx="26">
                  <c:v>4393.0200000000004</c:v>
                </c:pt>
                <c:pt idx="27">
                  <c:v>3096</c:v>
                </c:pt>
                <c:pt idx="28">
                  <c:v>253</c:v>
                </c:pt>
                <c:pt idx="29">
                  <c:v>0</c:v>
                </c:pt>
                <c:pt idx="30">
                  <c:v>2321</c:v>
                </c:pt>
                <c:pt idx="31">
                  <c:v>6200</c:v>
                </c:pt>
                <c:pt idx="32">
                  <c:v>498.48999999999995</c:v>
                </c:pt>
                <c:pt idx="33">
                  <c:v>1933</c:v>
                </c:pt>
                <c:pt idx="34">
                  <c:v>2185</c:v>
                </c:pt>
                <c:pt idx="35">
                  <c:v>9634.89</c:v>
                </c:pt>
                <c:pt idx="36">
                  <c:v>1279.5999999999999</c:v>
                </c:pt>
                <c:pt idx="37">
                  <c:v>1339.5</c:v>
                </c:pt>
                <c:pt idx="38">
                  <c:v>3613.74</c:v>
                </c:pt>
                <c:pt idx="39">
                  <c:v>2189</c:v>
                </c:pt>
                <c:pt idx="40">
                  <c:v>982</c:v>
                </c:pt>
                <c:pt idx="41">
                  <c:v>7507</c:v>
                </c:pt>
                <c:pt idx="42">
                  <c:v>2318</c:v>
                </c:pt>
                <c:pt idx="43">
                  <c:v>3299</c:v>
                </c:pt>
                <c:pt idx="44">
                  <c:v>0</c:v>
                </c:pt>
                <c:pt idx="45">
                  <c:v>0</c:v>
                </c:pt>
                <c:pt idx="46">
                  <c:v>0</c:v>
                </c:pt>
                <c:pt idx="47">
                  <c:v>0</c:v>
                </c:pt>
                <c:pt idx="48">
                  <c:v>16684.5</c:v>
                </c:pt>
                <c:pt idx="49">
                  <c:v>3647.9</c:v>
                </c:pt>
                <c:pt idx="50">
                  <c:v>5136.99</c:v>
                </c:pt>
                <c:pt idx="51">
                  <c:v>0</c:v>
                </c:pt>
              </c:numCache>
            </c:numRef>
          </c:val>
          <c:smooth val="0"/>
          <c:extLst>
            <c:ext xmlns:c16="http://schemas.microsoft.com/office/drawing/2014/chart" uri="{C3380CC4-5D6E-409C-BE32-E72D297353CC}">
              <c16:uniqueId val="{00000002-E6B1-4D28-B935-0FFA0989BEA1}"/>
            </c:ext>
          </c:extLst>
        </c:ser>
        <c:ser>
          <c:idx val="2"/>
          <c:order val="2"/>
          <c:tx>
            <c:v>C</c:v>
          </c:tx>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DevelopmentPerPoolWeek!$H$3:$H$54</c:f>
              <c:numCache>
                <c:formatCode>_(* #,##0.00_);_(* \(#,##0.00\);_(* "-"??_);_(@_)</c:formatCode>
                <c:ptCount val="52"/>
                <c:pt idx="0">
                  <c:v>0</c:v>
                </c:pt>
                <c:pt idx="1">
                  <c:v>775.45</c:v>
                </c:pt>
                <c:pt idx="2">
                  <c:v>20</c:v>
                </c:pt>
                <c:pt idx="3">
                  <c:v>9223</c:v>
                </c:pt>
                <c:pt idx="4">
                  <c:v>2797</c:v>
                </c:pt>
                <c:pt idx="5">
                  <c:v>0</c:v>
                </c:pt>
                <c:pt idx="6">
                  <c:v>3092.8</c:v>
                </c:pt>
                <c:pt idx="7">
                  <c:v>32332.42</c:v>
                </c:pt>
                <c:pt idx="8">
                  <c:v>2391.6999999999998</c:v>
                </c:pt>
                <c:pt idx="9">
                  <c:v>368</c:v>
                </c:pt>
                <c:pt idx="10">
                  <c:v>0</c:v>
                </c:pt>
                <c:pt idx="11">
                  <c:v>2804.69</c:v>
                </c:pt>
                <c:pt idx="12">
                  <c:v>500</c:v>
                </c:pt>
                <c:pt idx="13">
                  <c:v>0</c:v>
                </c:pt>
                <c:pt idx="14">
                  <c:v>0</c:v>
                </c:pt>
                <c:pt idx="15">
                  <c:v>37643.050000000003</c:v>
                </c:pt>
                <c:pt idx="16">
                  <c:v>889.93999999999994</c:v>
                </c:pt>
                <c:pt idx="17">
                  <c:v>3171</c:v>
                </c:pt>
                <c:pt idx="18">
                  <c:v>2246</c:v>
                </c:pt>
                <c:pt idx="19">
                  <c:v>2200</c:v>
                </c:pt>
                <c:pt idx="20">
                  <c:v>0</c:v>
                </c:pt>
                <c:pt idx="21">
                  <c:v>4173.3</c:v>
                </c:pt>
                <c:pt idx="22">
                  <c:v>2396</c:v>
                </c:pt>
                <c:pt idx="23">
                  <c:v>0</c:v>
                </c:pt>
                <c:pt idx="24">
                  <c:v>2412</c:v>
                </c:pt>
                <c:pt idx="25">
                  <c:v>0</c:v>
                </c:pt>
                <c:pt idx="26">
                  <c:v>2424</c:v>
                </c:pt>
                <c:pt idx="27">
                  <c:v>3537</c:v>
                </c:pt>
                <c:pt idx="28">
                  <c:v>1170</c:v>
                </c:pt>
                <c:pt idx="29">
                  <c:v>1266</c:v>
                </c:pt>
                <c:pt idx="30">
                  <c:v>2420</c:v>
                </c:pt>
                <c:pt idx="31">
                  <c:v>5598</c:v>
                </c:pt>
                <c:pt idx="32">
                  <c:v>0</c:v>
                </c:pt>
                <c:pt idx="33">
                  <c:v>2351.35</c:v>
                </c:pt>
                <c:pt idx="34">
                  <c:v>0</c:v>
                </c:pt>
                <c:pt idx="35">
                  <c:v>0</c:v>
                </c:pt>
                <c:pt idx="36">
                  <c:v>647.41000000000008</c:v>
                </c:pt>
                <c:pt idx="37">
                  <c:v>884</c:v>
                </c:pt>
                <c:pt idx="38">
                  <c:v>841</c:v>
                </c:pt>
                <c:pt idx="39">
                  <c:v>0</c:v>
                </c:pt>
                <c:pt idx="40">
                  <c:v>0</c:v>
                </c:pt>
                <c:pt idx="41">
                  <c:v>0</c:v>
                </c:pt>
                <c:pt idx="42">
                  <c:v>4235</c:v>
                </c:pt>
                <c:pt idx="43">
                  <c:v>4444.72</c:v>
                </c:pt>
                <c:pt idx="44">
                  <c:v>0</c:v>
                </c:pt>
                <c:pt idx="45">
                  <c:v>2483.4699999999998</c:v>
                </c:pt>
                <c:pt idx="46">
                  <c:v>5696</c:v>
                </c:pt>
                <c:pt idx="47">
                  <c:v>250</c:v>
                </c:pt>
                <c:pt idx="48">
                  <c:v>0</c:v>
                </c:pt>
                <c:pt idx="49">
                  <c:v>7888.6</c:v>
                </c:pt>
                <c:pt idx="50">
                  <c:v>2222.5</c:v>
                </c:pt>
                <c:pt idx="51">
                  <c:v>0</c:v>
                </c:pt>
              </c:numCache>
            </c:numRef>
          </c:val>
          <c:smooth val="0"/>
          <c:extLst>
            <c:ext xmlns:c16="http://schemas.microsoft.com/office/drawing/2014/chart" uri="{C3380CC4-5D6E-409C-BE32-E72D297353CC}">
              <c16:uniqueId val="{00000003-E6B1-4D28-B935-0FFA0989BEA1}"/>
            </c:ext>
          </c:extLst>
        </c:ser>
        <c:ser>
          <c:idx val="3"/>
          <c:order val="3"/>
          <c:tx>
            <c:v>D</c:v>
          </c:tx>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DevelopmentPerPoolWeek!$K$3:$K$54</c:f>
              <c:numCache>
                <c:formatCode>_(* #,##0.00_);_(* \(#,##0.00\);_(* "-"??_);_(@_)</c:formatCode>
                <c:ptCount val="52"/>
                <c:pt idx="0">
                  <c:v>0</c:v>
                </c:pt>
                <c:pt idx="1">
                  <c:v>2766</c:v>
                </c:pt>
                <c:pt idx="2">
                  <c:v>4770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6200</c:v>
                </c:pt>
                <c:pt idx="50">
                  <c:v>0</c:v>
                </c:pt>
                <c:pt idx="51">
                  <c:v>0</c:v>
                </c:pt>
              </c:numCache>
            </c:numRef>
          </c:val>
          <c:smooth val="0"/>
          <c:extLst>
            <c:ext xmlns:c16="http://schemas.microsoft.com/office/drawing/2014/chart" uri="{C3380CC4-5D6E-409C-BE32-E72D297353CC}">
              <c16:uniqueId val="{00000004-E6B1-4D28-B935-0FFA0989BEA1}"/>
            </c:ext>
          </c:extLst>
        </c:ser>
        <c:ser>
          <c:idx val="4"/>
          <c:order val="4"/>
          <c:tx>
            <c:v/>
          </c:tx>
          <c:cat>
            <c:numRef>
              <c:f>DevelopmentPerPoolWeek!$A$3:$A$54</c:f>
              <c:numCache>
                <c:formatCode>General</c:formatCode>
                <c:ptCount val="52"/>
                <c:pt idx="0">
                  <c:v>202001</c:v>
                </c:pt>
                <c:pt idx="1">
                  <c:v>202002</c:v>
                </c:pt>
                <c:pt idx="2">
                  <c:v>202003</c:v>
                </c:pt>
                <c:pt idx="3">
                  <c:v>202004</c:v>
                </c:pt>
                <c:pt idx="4">
                  <c:v>202005</c:v>
                </c:pt>
                <c:pt idx="5">
                  <c:v>202006</c:v>
                </c:pt>
                <c:pt idx="6">
                  <c:v>202007</c:v>
                </c:pt>
                <c:pt idx="7">
                  <c:v>202008</c:v>
                </c:pt>
                <c:pt idx="8">
                  <c:v>202009</c:v>
                </c:pt>
                <c:pt idx="9">
                  <c:v>202010</c:v>
                </c:pt>
                <c:pt idx="10">
                  <c:v>202011</c:v>
                </c:pt>
                <c:pt idx="11">
                  <c:v>202012</c:v>
                </c:pt>
                <c:pt idx="12">
                  <c:v>202013</c:v>
                </c:pt>
                <c:pt idx="13">
                  <c:v>202014</c:v>
                </c:pt>
                <c:pt idx="14">
                  <c:v>202015</c:v>
                </c:pt>
                <c:pt idx="15">
                  <c:v>202016</c:v>
                </c:pt>
                <c:pt idx="16">
                  <c:v>202017</c:v>
                </c:pt>
                <c:pt idx="17">
                  <c:v>202018</c:v>
                </c:pt>
                <c:pt idx="18">
                  <c:v>202019</c:v>
                </c:pt>
                <c:pt idx="19">
                  <c:v>202020</c:v>
                </c:pt>
                <c:pt idx="20">
                  <c:v>202021</c:v>
                </c:pt>
                <c:pt idx="21">
                  <c:v>202022</c:v>
                </c:pt>
                <c:pt idx="22">
                  <c:v>202023</c:v>
                </c:pt>
                <c:pt idx="23">
                  <c:v>202024</c:v>
                </c:pt>
                <c:pt idx="24">
                  <c:v>202025</c:v>
                </c:pt>
                <c:pt idx="25">
                  <c:v>202026</c:v>
                </c:pt>
                <c:pt idx="26">
                  <c:v>202027</c:v>
                </c:pt>
                <c:pt idx="27">
                  <c:v>202028</c:v>
                </c:pt>
                <c:pt idx="28">
                  <c:v>202029</c:v>
                </c:pt>
                <c:pt idx="29">
                  <c:v>202030</c:v>
                </c:pt>
                <c:pt idx="30">
                  <c:v>202031</c:v>
                </c:pt>
                <c:pt idx="31">
                  <c:v>202032</c:v>
                </c:pt>
                <c:pt idx="32">
                  <c:v>202033</c:v>
                </c:pt>
                <c:pt idx="33">
                  <c:v>202034</c:v>
                </c:pt>
                <c:pt idx="34">
                  <c:v>202035</c:v>
                </c:pt>
                <c:pt idx="35">
                  <c:v>202036</c:v>
                </c:pt>
                <c:pt idx="36">
                  <c:v>202037</c:v>
                </c:pt>
                <c:pt idx="37">
                  <c:v>202038</c:v>
                </c:pt>
                <c:pt idx="38">
                  <c:v>202039</c:v>
                </c:pt>
                <c:pt idx="39">
                  <c:v>202040</c:v>
                </c:pt>
                <c:pt idx="40">
                  <c:v>202041</c:v>
                </c:pt>
                <c:pt idx="41">
                  <c:v>202042</c:v>
                </c:pt>
                <c:pt idx="42">
                  <c:v>202043</c:v>
                </c:pt>
                <c:pt idx="43">
                  <c:v>202044</c:v>
                </c:pt>
                <c:pt idx="44">
                  <c:v>202045</c:v>
                </c:pt>
                <c:pt idx="45">
                  <c:v>202046</c:v>
                </c:pt>
                <c:pt idx="46">
                  <c:v>202047</c:v>
                </c:pt>
                <c:pt idx="47">
                  <c:v>202048</c:v>
                </c:pt>
                <c:pt idx="48">
                  <c:v>202049</c:v>
                </c:pt>
                <c:pt idx="49">
                  <c:v>202050</c:v>
                </c:pt>
                <c:pt idx="50">
                  <c:v>202051</c:v>
                </c:pt>
                <c:pt idx="51">
                  <c:v>202052</c:v>
                </c:pt>
              </c:numCache>
            </c:numRef>
          </c:cat>
          <c:val>
            <c:numRef>
              <c:f>DevelopmentPerPoolWeek!$N$3:$N$54</c:f>
              <c:numCache>
                <c:formatCode>_(* #,##0.00_);_(* \(#,##0.00\);_(* "-"??_);_(@_)</c:formatCode>
                <c:ptCount val="52"/>
                <c:pt idx="0">
                  <c:v>0</c:v>
                </c:pt>
                <c:pt idx="1">
                  <c:v>0</c:v>
                </c:pt>
                <c:pt idx="2">
                  <c:v>0</c:v>
                </c:pt>
                <c:pt idx="3">
                  <c:v>0</c:v>
                </c:pt>
                <c:pt idx="4">
                  <c:v>0</c:v>
                </c:pt>
                <c:pt idx="5">
                  <c:v>0</c:v>
                </c:pt>
                <c:pt idx="6">
                  <c:v>0</c:v>
                </c:pt>
                <c:pt idx="7">
                  <c:v>6305.65</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c:v>
                </c:pt>
                <c:pt idx="25">
                  <c:v>0</c:v>
                </c:pt>
                <c:pt idx="26">
                  <c:v>0</c:v>
                </c:pt>
                <c:pt idx="27">
                  <c:v>0</c:v>
                </c:pt>
                <c:pt idx="28">
                  <c:v>0</c:v>
                </c:pt>
                <c:pt idx="29">
                  <c:v>0</c:v>
                </c:pt>
                <c:pt idx="30">
                  <c:v>0</c:v>
                </c:pt>
                <c:pt idx="31">
                  <c:v>0</c:v>
                </c:pt>
                <c:pt idx="32">
                  <c:v>0</c:v>
                </c:pt>
                <c:pt idx="33">
                  <c:v>45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27</c:v>
                </c:pt>
                <c:pt idx="49">
                  <c:v>0</c:v>
                </c:pt>
                <c:pt idx="50">
                  <c:v>0</c:v>
                </c:pt>
                <c:pt idx="51">
                  <c:v>0</c:v>
                </c:pt>
              </c:numCache>
            </c:numRef>
          </c:val>
          <c:smooth val="0"/>
          <c:extLst>
            <c:ext xmlns:c16="http://schemas.microsoft.com/office/drawing/2014/chart" uri="{C3380CC4-5D6E-409C-BE32-E72D297353CC}">
              <c16:uniqueId val="{00000005-E6B1-4D28-B935-0FFA0989BEA1}"/>
            </c:ext>
          </c:extLst>
        </c:ser>
        <c:dLbls>
          <c:showLegendKey val="0"/>
          <c:showVal val="0"/>
          <c:showCatName val="0"/>
          <c:showSerName val="0"/>
          <c:showPercent val="0"/>
          <c:showBubbleSize val="0"/>
        </c:dLbls>
        <c:marker val="1"/>
        <c:smooth val="0"/>
        <c:axId val="1780494271"/>
        <c:axId val="1780492191"/>
      </c:lineChart>
      <c:catAx>
        <c:axId val="1780494271"/>
        <c:scaling>
          <c:orientation val="minMax"/>
        </c:scaling>
        <c:delete val="0"/>
        <c:axPos val="b"/>
        <c:numFmt formatCode="General" sourceLinked="1"/>
        <c:majorTickMark val="out"/>
        <c:minorTickMark val="none"/>
        <c:tickLblPos val="nextTo"/>
        <c:crossAx val="1780492191"/>
        <c:crosses val="autoZero"/>
        <c:auto val="1"/>
        <c:lblAlgn val="ctr"/>
        <c:lblOffset val="100"/>
        <c:noMultiLvlLbl val="0"/>
      </c:catAx>
      <c:valAx>
        <c:axId val="1780492191"/>
        <c:scaling>
          <c:orientation val="minMax"/>
        </c:scaling>
        <c:delete val="0"/>
        <c:axPos val="l"/>
        <c:majorGridlines/>
        <c:numFmt formatCode="_(* #,##0.00_);_(* \(#,##0.00\);_(* &quot;-&quot;??_);_(@_)" sourceLinked="1"/>
        <c:majorTickMark val="out"/>
        <c:minorTickMark val="none"/>
        <c:tickLblPos val="nextTo"/>
        <c:crossAx val="178049427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0</xdr:colOff>
          <xdr:row>6</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581025</xdr:colOff>
      <xdr:row>10</xdr:row>
      <xdr:rowOff>149225</xdr:rowOff>
    </xdr:from>
    <xdr:to>
      <xdr:col>18</xdr:col>
      <xdr:colOff>123825</xdr:colOff>
      <xdr:row>41</xdr:row>
      <xdr:rowOff>139700</xdr:rowOff>
    </xdr:to>
    <xdr:graphicFrame macro="">
      <xdr:nvGraphicFramePr>
        <xdr:cNvPr id="12" name="DevelopmentPerWeekPool"/>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20" name="OverallReport" displayName="OverallReport" ref="B2:E8" totalsRowShown="0" headerRowDxfId="13" dataDxfId="14" headerRowCellStyle="千位分隔" dataCellStyle="千位分隔">
  <autoFilter ref="B2:E8"/>
  <tableColumns count="4">
    <tableColumn id="1" name="Pool" dataDxfId="18" dataCellStyle="千位分隔"/>
    <tableColumn id="2" name="Quantity in meters" dataDxfId="17" dataCellStyle="千位分隔"/>
    <tableColumn id="3" name="Avg per day" dataDxfId="16" dataCellStyle="千位分隔"/>
    <tableColumn id="4" name="Avg per week" dataDxfId="15" dataCellStyle="千位分隔"/>
  </tableColumns>
  <tableStyleInfo name="TableStyleMedium2" showFirstColumn="0" showLastColumn="0" showRowStripes="1" showColumnStripes="0"/>
</table>
</file>

<file path=xl/tables/table2.xml><?xml version="1.0" encoding="utf-8"?>
<table xmlns="http://schemas.openxmlformats.org/spreadsheetml/2006/main" id="21" name="DevelopmentPerWeek" displayName="DevelopmentPerWeek" ref="A2:S54" totalsRowShown="0" dataDxfId="0" dataCellStyle="千位分隔">
  <autoFilter ref="A2:S54"/>
  <tableColumns count="19">
    <tableColumn id="1" name="WeekNum"/>
    <tableColumn id="2" name="TotalQty" dataDxfId="12" dataCellStyle="千位分隔"/>
    <tableColumn id="3" name="OrderCount"/>
    <tableColumn id="4" name="AveragePerWeek" dataDxfId="11" dataCellStyle="千位分隔"/>
    <tableColumn id="5" name="TotalQty2" dataDxfId="10" dataCellStyle="千位分隔"/>
    <tableColumn id="6" name="OrderCount3"/>
    <tableColumn id="7" name="AveragePerWeek4" dataDxfId="9" dataCellStyle="千位分隔"/>
    <tableColumn id="8" name="TotalQty5" dataDxfId="8" dataCellStyle="千位分隔"/>
    <tableColumn id="9" name="OrderCount6"/>
    <tableColumn id="10" name="AveragePerWeek7" dataDxfId="7" dataCellStyle="千位分隔"/>
    <tableColumn id="11" name="TotalQty8" dataDxfId="6" dataCellStyle="千位分隔"/>
    <tableColumn id="12" name="OrderCount9"/>
    <tableColumn id="13" name="AveragePerWeek10" dataDxfId="5" dataCellStyle="千位分隔"/>
    <tableColumn id="14" name="TotalQty11" dataDxfId="4" dataCellStyle="千位分隔"/>
    <tableColumn id="15" name="OrderCount12"/>
    <tableColumn id="16" name="AveragePerWeek13" dataDxfId="3" dataCellStyle="千位分隔"/>
    <tableColumn id="17" name="TotalQty14" dataDxfId="2" dataCellStyle="千位分隔"/>
    <tableColumn id="18" name="OrderCount15"/>
    <tableColumn id="19" name="AveragePerWeek16" dataDxfId="1" dataCellStyle="千位分隔"/>
  </tableColumns>
  <tableStyleInfo name="TableStyleMedium2" showFirstColumn="0" showLastColumn="0" showRowStripes="1" showColumnStripes="0"/>
</table>
</file>

<file path=xl/tables/table3.xml><?xml version="1.0" encoding="utf-8"?>
<table xmlns="http://schemas.openxmlformats.org/spreadsheetml/2006/main" id="5" name="AtlasReport_1_Table_1" displayName="AtlasReport_1_Table_1" ref="A2:H226" totalsRowCount="1">
  <autoFilter ref="A2:H225"/>
  <tableColumns count="8">
    <tableColumn id="1" name="Production" totalsRowLabel="Total" dataDxfId="34" totalsRowDxfId="33"/>
    <tableColumn id="2" name="Item number" dataDxfId="32" totalsRowDxfId="31"/>
    <tableColumn id="3" name="Pool" dataDxfId="30" totalsRowDxfId="29"/>
    <tableColumn id="4" name="Date" dataDxfId="28" totalsRowDxfId="27"/>
    <tableColumn id="5" name="WeekNum" dataDxfId="26" totalsRowDxfId="25">
      <calculatedColumnFormula>YEAR(AtlasReport_1_Table_1[[#This Row],[Date]]) &amp; TEXT(WEEKNUM(AtlasReport_1_Table_1[[#This Row],[Date]]),"00")</calculatedColumnFormula>
    </tableColumn>
    <tableColumn id="6" name="Error quantity" totalsRowFunction="sum" dataDxfId="24" totalsRowDxfId="23"/>
    <tableColumn id="7" name="Good quantity" totalsRowFunction="sum" dataDxfId="22" totalsRowDxfId="21"/>
    <tableColumn id="8" name="Unit" dataDxfId="20" totalsRowDxfId="19"/>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eneral"/>
  <dimension ref="B1:R20"/>
  <sheetViews>
    <sheetView workbookViewId="0">
      <selection activeCell="Q15" sqref="Q15"/>
    </sheetView>
  </sheetViews>
  <sheetFormatPr defaultRowHeight="13.5" x14ac:dyDescent="0.15"/>
  <cols>
    <col min="2" max="2" width="12" bestFit="1" customWidth="1"/>
    <col min="3" max="3" width="11.375" customWidth="1"/>
    <col min="6" max="6" width="12.125" bestFit="1" customWidth="1"/>
    <col min="7" max="7" width="12.375" bestFit="1" customWidth="1"/>
    <col min="13" max="13" width="10.375" bestFit="1" customWidth="1"/>
    <col min="17" max="17" width="10.75" bestFit="1" customWidth="1"/>
  </cols>
  <sheetData>
    <row r="1" spans="2:15" x14ac:dyDescent="0.15">
      <c r="F1" t="s">
        <v>15</v>
      </c>
      <c r="G1" t="str">
        <f>GetDateFormat()</f>
        <v>yyyy/mm/dd</v>
      </c>
      <c r="M1" t="s">
        <v>87</v>
      </c>
    </row>
    <row r="2" spans="2:15" x14ac:dyDescent="0.15">
      <c r="B2" t="s">
        <v>14</v>
      </c>
      <c r="C2">
        <v>372</v>
      </c>
      <c r="M2" s="1">
        <v>44364</v>
      </c>
      <c r="N2" t="s">
        <v>88</v>
      </c>
      <c r="O2" t="s">
        <v>89</v>
      </c>
    </row>
    <row r="3" spans="2:15" x14ac:dyDescent="0.15">
      <c r="M3" s="1">
        <v>44365</v>
      </c>
      <c r="N3" t="s">
        <v>90</v>
      </c>
      <c r="O3" t="s">
        <v>113</v>
      </c>
    </row>
    <row r="4" spans="2:15" x14ac:dyDescent="0.15">
      <c r="B4" t="s">
        <v>16</v>
      </c>
      <c r="C4" s="1">
        <v>43831</v>
      </c>
    </row>
    <row r="5" spans="2:15" x14ac:dyDescent="0.15">
      <c r="B5" t="s">
        <v>17</v>
      </c>
      <c r="C5" s="1">
        <v>44196</v>
      </c>
    </row>
    <row r="6" spans="2:15" x14ac:dyDescent="0.15">
      <c r="B6" t="s">
        <v>18</v>
      </c>
      <c r="C6" t="str">
        <f>TEXT(FromDate,DateFormat) &amp; " .. " &amp; TEXT(ToDate,DateFormat)</f>
        <v>2020/01/01 .. 2020/12/31</v>
      </c>
    </row>
    <row r="8" spans="2:15" x14ac:dyDescent="0.15">
      <c r="B8" t="s">
        <v>19</v>
      </c>
      <c r="C8" t="s">
        <v>59</v>
      </c>
    </row>
    <row r="13" spans="2:15" x14ac:dyDescent="0.15">
      <c r="B13" t="s">
        <v>55</v>
      </c>
    </row>
    <row r="14" spans="2:15" x14ac:dyDescent="0.15">
      <c r="B14" t="s">
        <v>56</v>
      </c>
    </row>
    <row r="15" spans="2:15" x14ac:dyDescent="0.15">
      <c r="B15" t="s">
        <v>57</v>
      </c>
    </row>
    <row r="16" spans="2:15" x14ac:dyDescent="0.15">
      <c r="B16" t="s">
        <v>58</v>
      </c>
    </row>
    <row r="20" spans="17:18" x14ac:dyDescent="0.15">
      <c r="Q20" s="1"/>
      <c r="R20" s="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6</xdr:col>
                    <xdr:colOff>0</xdr:colOff>
                    <xdr:row>4</xdr:row>
                    <xdr:rowOff>0</xdr:rowOff>
                  </from>
                  <to>
                    <xdr:col>8</xdr:col>
                    <xdr:colOff>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dimension ref="B2:E8"/>
  <sheetViews>
    <sheetView workbookViewId="0">
      <selection activeCell="B3" sqref="B3:B7"/>
    </sheetView>
  </sheetViews>
  <sheetFormatPr defaultRowHeight="13.5" x14ac:dyDescent="0.15"/>
  <cols>
    <col min="2" max="2" width="9.5" customWidth="1"/>
    <col min="3" max="3" width="25.25" customWidth="1"/>
    <col min="4" max="4" width="17.375" customWidth="1"/>
    <col min="5" max="5" width="18.5" customWidth="1"/>
    <col min="6" max="6" width="8.75" customWidth="1"/>
    <col min="7" max="10" width="9.75" bestFit="1" customWidth="1"/>
    <col min="11" max="11" width="11.625" bestFit="1" customWidth="1"/>
    <col min="12" max="14" width="9.75" bestFit="1" customWidth="1"/>
    <col min="15" max="19" width="8.75" customWidth="1"/>
    <col min="20" max="25" width="9.75" bestFit="1" customWidth="1"/>
    <col min="26" max="30" width="8.75" customWidth="1"/>
    <col min="31" max="41" width="9.75" bestFit="1" customWidth="1"/>
    <col min="42" max="42" width="11.25" bestFit="1" customWidth="1"/>
  </cols>
  <sheetData>
    <row r="2" spans="2:5" x14ac:dyDescent="0.15">
      <c r="B2" s="10" t="s">
        <v>27</v>
      </c>
      <c r="C2" s="10" t="s">
        <v>53</v>
      </c>
      <c r="D2" s="10" t="s">
        <v>50</v>
      </c>
      <c r="E2" s="10" t="s">
        <v>51</v>
      </c>
    </row>
    <row r="3" spans="2:5" x14ac:dyDescent="0.15">
      <c r="B3" s="10" t="s">
        <v>28</v>
      </c>
      <c r="C3" s="10">
        <v>152805.16</v>
      </c>
      <c r="D3" s="10">
        <v>576.62324528301883</v>
      </c>
      <c r="E3" s="10">
        <v>2883.1162264150944</v>
      </c>
    </row>
    <row r="4" spans="2:5" x14ac:dyDescent="0.15">
      <c r="B4" s="10" t="s">
        <v>29</v>
      </c>
      <c r="C4" s="10">
        <v>139274.57</v>
      </c>
      <c r="D4" s="10">
        <v>525.56441509433967</v>
      </c>
      <c r="E4" s="10">
        <v>2627.8220754716981</v>
      </c>
    </row>
    <row r="5" spans="2:5" x14ac:dyDescent="0.15">
      <c r="B5" s="10" t="s">
        <v>30</v>
      </c>
      <c r="C5" s="10">
        <v>157795.40000000002</v>
      </c>
      <c r="D5" s="10">
        <v>595.45433962264156</v>
      </c>
      <c r="E5" s="10">
        <v>2977.271698113208</v>
      </c>
    </row>
    <row r="6" spans="2:5" x14ac:dyDescent="0.15">
      <c r="B6" s="10" t="s">
        <v>31</v>
      </c>
      <c r="C6" s="10">
        <v>13736</v>
      </c>
      <c r="D6" s="10">
        <v>51.833962264150941</v>
      </c>
      <c r="E6" s="10">
        <v>259.16981132075472</v>
      </c>
    </row>
    <row r="7" spans="2:5" x14ac:dyDescent="0.15">
      <c r="B7" s="10"/>
      <c r="C7" s="10">
        <v>6393.65</v>
      </c>
      <c r="D7" s="10">
        <v>24.126981132075471</v>
      </c>
      <c r="E7" s="10">
        <v>120.63490566037736</v>
      </c>
    </row>
    <row r="8" spans="2:5" x14ac:dyDescent="0.15">
      <c r="B8" s="10" t="s">
        <v>52</v>
      </c>
      <c r="C8" s="10">
        <v>470004.78000000032</v>
      </c>
      <c r="D8" s="10">
        <v>1773.6029433962278</v>
      </c>
      <c r="E8" s="10">
        <v>8868.0147169811389</v>
      </c>
    </row>
  </sheetData>
  <sortState ref="B3:B7">
    <sortCondition ref="B3:B7"/>
  </sortState>
  <phoneticPr fontId="3"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
  <dimension ref="A1:S56"/>
  <sheetViews>
    <sheetView tabSelected="1" workbookViewId="0">
      <selection activeCell="B27" sqref="B27"/>
    </sheetView>
  </sheetViews>
  <sheetFormatPr defaultRowHeight="13.5" x14ac:dyDescent="0.15"/>
  <cols>
    <col min="1" max="1" width="10.625" customWidth="1"/>
    <col min="2" max="2" width="11.75" customWidth="1"/>
    <col min="3" max="3" width="14" customWidth="1"/>
    <col min="4" max="4" width="18.5" customWidth="1"/>
    <col min="5" max="5" width="12.875" customWidth="1"/>
    <col min="6" max="6" width="15.125" customWidth="1"/>
    <col min="7" max="7" width="19.625" customWidth="1"/>
    <col min="8" max="8" width="12.875" customWidth="1"/>
    <col min="9" max="9" width="15.125" customWidth="1"/>
    <col min="10" max="10" width="19.625" customWidth="1"/>
    <col min="11" max="11" width="12.875" customWidth="1"/>
    <col min="12" max="12" width="15.125" customWidth="1"/>
    <col min="13" max="13" width="20.75" customWidth="1"/>
    <col min="14" max="14" width="14" customWidth="1"/>
    <col min="15" max="15" width="16.25" customWidth="1"/>
    <col min="16" max="16" width="20.75" customWidth="1"/>
    <col min="17" max="17" width="14" customWidth="1"/>
    <col min="18" max="18" width="16.25" customWidth="1"/>
    <col min="19" max="19" width="20.75" customWidth="1"/>
  </cols>
  <sheetData>
    <row r="1" spans="1:19" x14ac:dyDescent="0.15">
      <c r="B1" t="s">
        <v>28</v>
      </c>
      <c r="E1" t="s">
        <v>29</v>
      </c>
      <c r="H1" t="s">
        <v>30</v>
      </c>
      <c r="K1" t="s">
        <v>31</v>
      </c>
      <c r="Q1" t="s">
        <v>52</v>
      </c>
    </row>
    <row r="2" spans="1:19" x14ac:dyDescent="0.15">
      <c r="A2" t="s">
        <v>34</v>
      </c>
      <c r="B2" t="s">
        <v>54</v>
      </c>
      <c r="C2" t="s">
        <v>85</v>
      </c>
      <c r="D2" t="s">
        <v>86</v>
      </c>
      <c r="E2" t="s">
        <v>91</v>
      </c>
      <c r="F2" t="s">
        <v>92</v>
      </c>
      <c r="G2" t="s">
        <v>93</v>
      </c>
      <c r="H2" t="s">
        <v>94</v>
      </c>
      <c r="I2" t="s">
        <v>95</v>
      </c>
      <c r="J2" t="s">
        <v>96</v>
      </c>
      <c r="K2" t="s">
        <v>97</v>
      </c>
      <c r="L2" t="s">
        <v>98</v>
      </c>
      <c r="M2" t="s">
        <v>99</v>
      </c>
      <c r="N2" t="s">
        <v>100</v>
      </c>
      <c r="O2" t="s">
        <v>101</v>
      </c>
      <c r="P2" t="s">
        <v>102</v>
      </c>
      <c r="Q2" t="s">
        <v>103</v>
      </c>
      <c r="R2" t="s">
        <v>104</v>
      </c>
      <c r="S2" t="s">
        <v>105</v>
      </c>
    </row>
    <row r="3" spans="1:19" x14ac:dyDescent="0.15">
      <c r="A3">
        <v>202001</v>
      </c>
      <c r="B3" s="10">
        <v>0</v>
      </c>
      <c r="C3">
        <v>0</v>
      </c>
      <c r="D3" s="10">
        <v>0</v>
      </c>
      <c r="E3" s="10">
        <v>0</v>
      </c>
      <c r="F3">
        <v>0</v>
      </c>
      <c r="G3" s="10">
        <v>0</v>
      </c>
      <c r="H3" s="10">
        <v>0</v>
      </c>
      <c r="I3">
        <v>0</v>
      </c>
      <c r="J3" s="10">
        <v>0</v>
      </c>
      <c r="K3" s="10">
        <v>0</v>
      </c>
      <c r="L3">
        <v>0</v>
      </c>
      <c r="M3" s="10">
        <v>0</v>
      </c>
      <c r="N3" s="10">
        <v>0</v>
      </c>
      <c r="O3">
        <v>0</v>
      </c>
      <c r="P3" s="10">
        <v>0</v>
      </c>
      <c r="Q3" s="10">
        <v>0</v>
      </c>
      <c r="R3">
        <v>0</v>
      </c>
      <c r="S3" s="10">
        <v>0</v>
      </c>
    </row>
    <row r="4" spans="1:19" x14ac:dyDescent="0.15">
      <c r="A4">
        <v>202002</v>
      </c>
      <c r="B4" s="10">
        <v>2811.3</v>
      </c>
      <c r="C4">
        <v>2</v>
      </c>
      <c r="D4" s="10">
        <v>1405.65</v>
      </c>
      <c r="E4" s="10">
        <v>3629.37</v>
      </c>
      <c r="F4">
        <v>1</v>
      </c>
      <c r="G4" s="10">
        <v>3629.37</v>
      </c>
      <c r="H4" s="10">
        <v>775.45</v>
      </c>
      <c r="I4">
        <v>1</v>
      </c>
      <c r="J4" s="10">
        <v>775.45</v>
      </c>
      <c r="K4" s="10">
        <v>2766</v>
      </c>
      <c r="L4">
        <v>1</v>
      </c>
      <c r="M4" s="10">
        <v>2766</v>
      </c>
      <c r="N4" s="10">
        <v>0</v>
      </c>
      <c r="O4">
        <v>0</v>
      </c>
      <c r="P4" s="10">
        <v>0</v>
      </c>
      <c r="Q4" s="10">
        <v>9982.119999999999</v>
      </c>
      <c r="R4">
        <v>5</v>
      </c>
      <c r="S4" s="10">
        <v>1996.4239999999998</v>
      </c>
    </row>
    <row r="5" spans="1:19" x14ac:dyDescent="0.15">
      <c r="A5">
        <v>202003</v>
      </c>
      <c r="B5" s="10">
        <v>0</v>
      </c>
      <c r="C5">
        <v>0</v>
      </c>
      <c r="D5" s="10">
        <v>0</v>
      </c>
      <c r="E5" s="10">
        <v>0</v>
      </c>
      <c r="F5">
        <v>0</v>
      </c>
      <c r="G5" s="10">
        <v>0</v>
      </c>
      <c r="H5" s="10">
        <v>20</v>
      </c>
      <c r="I5">
        <v>1</v>
      </c>
      <c r="J5" s="10">
        <v>20</v>
      </c>
      <c r="K5" s="10">
        <v>4770</v>
      </c>
      <c r="L5">
        <v>1</v>
      </c>
      <c r="M5" s="10">
        <v>4770</v>
      </c>
      <c r="N5" s="10">
        <v>0</v>
      </c>
      <c r="O5">
        <v>0</v>
      </c>
      <c r="P5" s="10">
        <v>0</v>
      </c>
      <c r="Q5" s="10">
        <v>4790</v>
      </c>
      <c r="R5">
        <v>2</v>
      </c>
      <c r="S5" s="10">
        <v>2395</v>
      </c>
    </row>
    <row r="6" spans="1:19" x14ac:dyDescent="0.15">
      <c r="A6">
        <v>202004</v>
      </c>
      <c r="B6" s="10">
        <v>5465</v>
      </c>
      <c r="C6">
        <v>1</v>
      </c>
      <c r="D6" s="10">
        <v>5465</v>
      </c>
      <c r="E6" s="10">
        <v>0</v>
      </c>
      <c r="F6">
        <v>0</v>
      </c>
      <c r="G6" s="10">
        <v>0</v>
      </c>
      <c r="H6" s="10">
        <v>9223</v>
      </c>
      <c r="I6">
        <v>8</v>
      </c>
      <c r="J6" s="10">
        <v>1152.875</v>
      </c>
      <c r="K6" s="10">
        <v>0</v>
      </c>
      <c r="L6">
        <v>0</v>
      </c>
      <c r="M6" s="10">
        <v>0</v>
      </c>
      <c r="N6" s="10">
        <v>0</v>
      </c>
      <c r="O6">
        <v>0</v>
      </c>
      <c r="P6" s="10">
        <v>0</v>
      </c>
      <c r="Q6" s="10">
        <v>14688</v>
      </c>
      <c r="R6">
        <v>9</v>
      </c>
      <c r="S6" s="10">
        <v>1632</v>
      </c>
    </row>
    <row r="7" spans="1:19" x14ac:dyDescent="0.15">
      <c r="A7">
        <v>202005</v>
      </c>
      <c r="B7" s="10">
        <v>0</v>
      </c>
      <c r="C7">
        <v>0</v>
      </c>
      <c r="D7" s="10">
        <v>0</v>
      </c>
      <c r="E7" s="10">
        <v>9668.4599999999991</v>
      </c>
      <c r="F7">
        <v>3</v>
      </c>
      <c r="G7" s="10">
        <v>3222.8199999999997</v>
      </c>
      <c r="H7" s="10">
        <v>2797</v>
      </c>
      <c r="I7">
        <v>2</v>
      </c>
      <c r="J7" s="10">
        <v>1398.5</v>
      </c>
      <c r="K7" s="10">
        <v>0</v>
      </c>
      <c r="L7">
        <v>0</v>
      </c>
      <c r="M7" s="10">
        <v>0</v>
      </c>
      <c r="N7" s="10">
        <v>0</v>
      </c>
      <c r="O7">
        <v>0</v>
      </c>
      <c r="P7" s="10">
        <v>0</v>
      </c>
      <c r="Q7" s="10">
        <v>12465.46</v>
      </c>
      <c r="R7">
        <v>5</v>
      </c>
      <c r="S7" s="10">
        <v>2493.0919999999996</v>
      </c>
    </row>
    <row r="8" spans="1:19" x14ac:dyDescent="0.15">
      <c r="A8">
        <v>202006</v>
      </c>
      <c r="B8" s="10">
        <v>4937.7</v>
      </c>
      <c r="C8">
        <v>2</v>
      </c>
      <c r="D8" s="10">
        <v>2468.85</v>
      </c>
      <c r="E8" s="10">
        <v>1153</v>
      </c>
      <c r="F8">
        <v>2</v>
      </c>
      <c r="G8" s="10">
        <v>576.5</v>
      </c>
      <c r="H8" s="10">
        <v>0</v>
      </c>
      <c r="I8">
        <v>0</v>
      </c>
      <c r="J8" s="10">
        <v>0</v>
      </c>
      <c r="K8" s="10">
        <v>0</v>
      </c>
      <c r="L8">
        <v>0</v>
      </c>
      <c r="M8" s="10">
        <v>0</v>
      </c>
      <c r="N8" s="10">
        <v>0</v>
      </c>
      <c r="O8">
        <v>0</v>
      </c>
      <c r="P8" s="10">
        <v>0</v>
      </c>
      <c r="Q8" s="10">
        <v>6090.7</v>
      </c>
      <c r="R8">
        <v>4</v>
      </c>
      <c r="S8" s="10">
        <v>1522.675</v>
      </c>
    </row>
    <row r="9" spans="1:19" x14ac:dyDescent="0.15">
      <c r="A9">
        <v>202007</v>
      </c>
      <c r="B9" s="10">
        <v>0</v>
      </c>
      <c r="C9">
        <v>0</v>
      </c>
      <c r="D9" s="10">
        <v>0</v>
      </c>
      <c r="E9" s="10">
        <v>2745</v>
      </c>
      <c r="F9">
        <v>2</v>
      </c>
      <c r="G9" s="10">
        <v>1372.5</v>
      </c>
      <c r="H9" s="10">
        <v>3092.8</v>
      </c>
      <c r="I9">
        <v>2</v>
      </c>
      <c r="J9" s="10">
        <v>1546.4</v>
      </c>
      <c r="K9" s="10">
        <v>0</v>
      </c>
      <c r="L9">
        <v>0</v>
      </c>
      <c r="M9" s="10">
        <v>0</v>
      </c>
      <c r="N9" s="10">
        <v>0</v>
      </c>
      <c r="O9">
        <v>0</v>
      </c>
      <c r="P9" s="10">
        <v>0</v>
      </c>
      <c r="Q9" s="10">
        <v>5837.8</v>
      </c>
      <c r="R9">
        <v>4</v>
      </c>
      <c r="S9" s="10">
        <v>1459.45</v>
      </c>
    </row>
    <row r="10" spans="1:19" x14ac:dyDescent="0.15">
      <c r="A10">
        <v>202008</v>
      </c>
      <c r="B10" s="10">
        <v>3122</v>
      </c>
      <c r="C10">
        <v>1</v>
      </c>
      <c r="D10" s="10">
        <v>3122</v>
      </c>
      <c r="E10" s="10">
        <v>0</v>
      </c>
      <c r="F10">
        <v>0</v>
      </c>
      <c r="G10" s="10">
        <v>0</v>
      </c>
      <c r="H10" s="10">
        <v>32332.42</v>
      </c>
      <c r="I10">
        <v>3</v>
      </c>
      <c r="J10" s="10">
        <v>10777.473333333333</v>
      </c>
      <c r="K10" s="10">
        <v>0</v>
      </c>
      <c r="L10">
        <v>0</v>
      </c>
      <c r="M10" s="10">
        <v>0</v>
      </c>
      <c r="N10" s="10">
        <v>6305.65</v>
      </c>
      <c r="O10">
        <v>1</v>
      </c>
      <c r="P10" s="10">
        <v>6305.65</v>
      </c>
      <c r="Q10" s="10">
        <v>41760.07</v>
      </c>
      <c r="R10">
        <v>5</v>
      </c>
      <c r="S10" s="10">
        <v>8352.0139999999992</v>
      </c>
    </row>
    <row r="11" spans="1:19" x14ac:dyDescent="0.15">
      <c r="A11">
        <v>202009</v>
      </c>
      <c r="B11" s="10">
        <v>0</v>
      </c>
      <c r="C11">
        <v>0</v>
      </c>
      <c r="D11" s="10">
        <v>0</v>
      </c>
      <c r="E11" s="10">
        <v>0</v>
      </c>
      <c r="F11">
        <v>0</v>
      </c>
      <c r="G11" s="10">
        <v>0</v>
      </c>
      <c r="H11" s="10">
        <v>2391.6999999999998</v>
      </c>
      <c r="I11">
        <v>3</v>
      </c>
      <c r="J11" s="10">
        <v>797.23333333333323</v>
      </c>
      <c r="K11" s="10">
        <v>0</v>
      </c>
      <c r="L11">
        <v>0</v>
      </c>
      <c r="M11" s="10">
        <v>0</v>
      </c>
      <c r="N11" s="10">
        <v>0</v>
      </c>
      <c r="O11">
        <v>0</v>
      </c>
      <c r="P11" s="10">
        <v>0</v>
      </c>
      <c r="Q11" s="10">
        <v>2391.6999999999998</v>
      </c>
      <c r="R11">
        <v>3</v>
      </c>
      <c r="S11" s="10">
        <v>797.23333333333323</v>
      </c>
    </row>
    <row r="12" spans="1:19" x14ac:dyDescent="0.15">
      <c r="A12">
        <v>202010</v>
      </c>
      <c r="B12" s="10">
        <v>3008.88</v>
      </c>
      <c r="C12">
        <v>2</v>
      </c>
      <c r="D12" s="10">
        <v>1504.44</v>
      </c>
      <c r="E12" s="10">
        <v>4496.8</v>
      </c>
      <c r="F12">
        <v>1</v>
      </c>
      <c r="G12" s="10">
        <v>4496.8</v>
      </c>
      <c r="H12" s="10">
        <v>368</v>
      </c>
      <c r="I12">
        <v>1</v>
      </c>
      <c r="J12" s="10">
        <v>368</v>
      </c>
      <c r="K12" s="10">
        <v>0</v>
      </c>
      <c r="L12">
        <v>0</v>
      </c>
      <c r="M12" s="10">
        <v>0</v>
      </c>
      <c r="N12" s="10">
        <v>0</v>
      </c>
      <c r="O12">
        <v>0</v>
      </c>
      <c r="P12" s="10">
        <v>0</v>
      </c>
      <c r="Q12" s="10">
        <v>7873.68</v>
      </c>
      <c r="R12">
        <v>4</v>
      </c>
      <c r="S12" s="10">
        <v>1968.42</v>
      </c>
    </row>
    <row r="13" spans="1:19" x14ac:dyDescent="0.15">
      <c r="A13">
        <v>202011</v>
      </c>
      <c r="B13" s="10">
        <v>880</v>
      </c>
      <c r="C13">
        <v>2</v>
      </c>
      <c r="D13" s="10">
        <v>440</v>
      </c>
      <c r="E13" s="10">
        <v>0</v>
      </c>
      <c r="F13">
        <v>0</v>
      </c>
      <c r="G13" s="10">
        <v>0</v>
      </c>
      <c r="H13" s="10">
        <v>0</v>
      </c>
      <c r="I13">
        <v>0</v>
      </c>
      <c r="J13" s="10">
        <v>0</v>
      </c>
      <c r="K13" s="10">
        <v>0</v>
      </c>
      <c r="L13">
        <v>0</v>
      </c>
      <c r="M13" s="10">
        <v>0</v>
      </c>
      <c r="N13" s="10">
        <v>0</v>
      </c>
      <c r="O13">
        <v>0</v>
      </c>
      <c r="P13" s="10">
        <v>0</v>
      </c>
      <c r="Q13" s="10">
        <v>880</v>
      </c>
      <c r="R13">
        <v>2</v>
      </c>
      <c r="S13" s="10">
        <v>440</v>
      </c>
    </row>
    <row r="14" spans="1:19" x14ac:dyDescent="0.15">
      <c r="A14">
        <v>202012</v>
      </c>
      <c r="B14" s="10">
        <v>2214</v>
      </c>
      <c r="C14">
        <v>3</v>
      </c>
      <c r="D14" s="10">
        <v>738</v>
      </c>
      <c r="E14" s="10">
        <v>7191.02</v>
      </c>
      <c r="F14">
        <v>2</v>
      </c>
      <c r="G14" s="10">
        <v>3595.51</v>
      </c>
      <c r="H14" s="10">
        <v>2804.69</v>
      </c>
      <c r="I14">
        <v>2</v>
      </c>
      <c r="J14" s="10">
        <v>1402.345</v>
      </c>
      <c r="K14" s="10">
        <v>0</v>
      </c>
      <c r="L14">
        <v>0</v>
      </c>
      <c r="M14" s="10">
        <v>0</v>
      </c>
      <c r="N14" s="10">
        <v>0</v>
      </c>
      <c r="O14">
        <v>0</v>
      </c>
      <c r="P14" s="10">
        <v>0</v>
      </c>
      <c r="Q14" s="10">
        <v>12209.710000000001</v>
      </c>
      <c r="R14">
        <v>7</v>
      </c>
      <c r="S14" s="10">
        <v>1744.2442857142858</v>
      </c>
    </row>
    <row r="15" spans="1:19" x14ac:dyDescent="0.15">
      <c r="A15">
        <v>202013</v>
      </c>
      <c r="B15" s="10">
        <v>2819.25</v>
      </c>
      <c r="C15">
        <v>2</v>
      </c>
      <c r="D15" s="10">
        <v>1409.625</v>
      </c>
      <c r="E15" s="10">
        <v>7187.8899999999994</v>
      </c>
      <c r="F15">
        <v>2</v>
      </c>
      <c r="G15" s="10">
        <v>3593.9449999999997</v>
      </c>
      <c r="H15" s="10">
        <v>500</v>
      </c>
      <c r="I15">
        <v>1</v>
      </c>
      <c r="J15" s="10">
        <v>500</v>
      </c>
      <c r="K15" s="10">
        <v>0</v>
      </c>
      <c r="L15">
        <v>0</v>
      </c>
      <c r="M15" s="10">
        <v>0</v>
      </c>
      <c r="N15" s="10">
        <v>0</v>
      </c>
      <c r="O15">
        <v>0</v>
      </c>
      <c r="P15" s="10">
        <v>0</v>
      </c>
      <c r="Q15" s="10">
        <v>10507.14</v>
      </c>
      <c r="R15">
        <v>5</v>
      </c>
      <c r="S15" s="10">
        <v>2101.4279999999999</v>
      </c>
    </row>
    <row r="16" spans="1:19" x14ac:dyDescent="0.15">
      <c r="A16">
        <v>202014</v>
      </c>
      <c r="B16" s="10">
        <v>1893</v>
      </c>
      <c r="C16">
        <v>2</v>
      </c>
      <c r="D16" s="10">
        <v>946.5</v>
      </c>
      <c r="E16" s="10">
        <v>0</v>
      </c>
      <c r="F16">
        <v>0</v>
      </c>
      <c r="G16" s="10">
        <v>0</v>
      </c>
      <c r="H16" s="10">
        <v>0</v>
      </c>
      <c r="I16">
        <v>0</v>
      </c>
      <c r="J16" s="10">
        <v>0</v>
      </c>
      <c r="K16" s="10">
        <v>0</v>
      </c>
      <c r="L16">
        <v>0</v>
      </c>
      <c r="M16" s="10">
        <v>0</v>
      </c>
      <c r="N16" s="10">
        <v>0</v>
      </c>
      <c r="O16">
        <v>0</v>
      </c>
      <c r="P16" s="10">
        <v>0</v>
      </c>
      <c r="Q16" s="10">
        <v>1893</v>
      </c>
      <c r="R16">
        <v>2</v>
      </c>
      <c r="S16" s="10">
        <v>946.5</v>
      </c>
    </row>
    <row r="17" spans="1:19" x14ac:dyDescent="0.15">
      <c r="A17">
        <v>202015</v>
      </c>
      <c r="B17" s="10">
        <v>0</v>
      </c>
      <c r="C17">
        <v>0</v>
      </c>
      <c r="D17" s="10">
        <v>0</v>
      </c>
      <c r="E17" s="10">
        <v>0</v>
      </c>
      <c r="F17">
        <v>0</v>
      </c>
      <c r="G17" s="10">
        <v>0</v>
      </c>
      <c r="H17" s="10">
        <v>0</v>
      </c>
      <c r="I17">
        <v>0</v>
      </c>
      <c r="J17" s="10">
        <v>0</v>
      </c>
      <c r="K17" s="10">
        <v>0</v>
      </c>
      <c r="L17">
        <v>0</v>
      </c>
      <c r="M17" s="10">
        <v>0</v>
      </c>
      <c r="N17" s="10">
        <v>0</v>
      </c>
      <c r="O17">
        <v>0</v>
      </c>
      <c r="P17" s="10">
        <v>0</v>
      </c>
      <c r="Q17" s="10">
        <v>0</v>
      </c>
      <c r="R17">
        <v>0</v>
      </c>
      <c r="S17" s="10">
        <v>0</v>
      </c>
    </row>
    <row r="18" spans="1:19" x14ac:dyDescent="0.15">
      <c r="A18">
        <v>202016</v>
      </c>
      <c r="B18" s="10">
        <v>7231.2</v>
      </c>
      <c r="C18">
        <v>1</v>
      </c>
      <c r="D18" s="10">
        <v>7231.2</v>
      </c>
      <c r="E18" s="10">
        <v>1146.92</v>
      </c>
      <c r="F18">
        <v>1</v>
      </c>
      <c r="G18" s="10">
        <v>1146.92</v>
      </c>
      <c r="H18" s="10">
        <v>37643.050000000003</v>
      </c>
      <c r="I18">
        <v>2</v>
      </c>
      <c r="J18" s="10">
        <v>18821.525000000001</v>
      </c>
      <c r="K18" s="10">
        <v>0</v>
      </c>
      <c r="L18">
        <v>0</v>
      </c>
      <c r="M18" s="10">
        <v>0</v>
      </c>
      <c r="N18" s="10">
        <v>0</v>
      </c>
      <c r="O18">
        <v>0</v>
      </c>
      <c r="P18" s="10">
        <v>0</v>
      </c>
      <c r="Q18" s="10">
        <v>46021.17</v>
      </c>
      <c r="R18">
        <v>4</v>
      </c>
      <c r="S18" s="10">
        <v>11505.2925</v>
      </c>
    </row>
    <row r="19" spans="1:19" x14ac:dyDescent="0.15">
      <c r="A19">
        <v>202017</v>
      </c>
      <c r="B19" s="10">
        <v>5918</v>
      </c>
      <c r="C19">
        <v>2</v>
      </c>
      <c r="D19" s="10">
        <v>2959</v>
      </c>
      <c r="E19" s="10">
        <v>0</v>
      </c>
      <c r="F19">
        <v>0</v>
      </c>
      <c r="G19" s="10">
        <v>0</v>
      </c>
      <c r="H19" s="10">
        <v>889.93999999999994</v>
      </c>
      <c r="I19">
        <v>1</v>
      </c>
      <c r="J19" s="10">
        <v>889.93999999999994</v>
      </c>
      <c r="K19" s="10">
        <v>0</v>
      </c>
      <c r="L19">
        <v>0</v>
      </c>
      <c r="M19" s="10">
        <v>0</v>
      </c>
      <c r="N19" s="10">
        <v>0</v>
      </c>
      <c r="O19">
        <v>0</v>
      </c>
      <c r="P19" s="10">
        <v>0</v>
      </c>
      <c r="Q19" s="10">
        <v>6807.94</v>
      </c>
      <c r="R19">
        <v>3</v>
      </c>
      <c r="S19" s="10">
        <v>2269.313333333333</v>
      </c>
    </row>
    <row r="20" spans="1:19" x14ac:dyDescent="0.15">
      <c r="A20">
        <v>202018</v>
      </c>
      <c r="B20" s="10">
        <v>5301.3</v>
      </c>
      <c r="C20">
        <v>3</v>
      </c>
      <c r="D20" s="10">
        <v>1767.1000000000001</v>
      </c>
      <c r="E20" s="10">
        <v>7199.23</v>
      </c>
      <c r="F20">
        <v>2</v>
      </c>
      <c r="G20" s="10">
        <v>3599.6149999999998</v>
      </c>
      <c r="H20" s="10">
        <v>3171</v>
      </c>
      <c r="I20">
        <v>2</v>
      </c>
      <c r="J20" s="10">
        <v>1585.5</v>
      </c>
      <c r="K20" s="10">
        <v>0</v>
      </c>
      <c r="L20">
        <v>0</v>
      </c>
      <c r="M20" s="10">
        <v>0</v>
      </c>
      <c r="N20" s="10">
        <v>0</v>
      </c>
      <c r="O20">
        <v>0</v>
      </c>
      <c r="P20" s="10">
        <v>0</v>
      </c>
      <c r="Q20" s="10">
        <v>15671.529999999999</v>
      </c>
      <c r="R20">
        <v>7</v>
      </c>
      <c r="S20" s="10">
        <v>2238.79</v>
      </c>
    </row>
    <row r="21" spans="1:19" x14ac:dyDescent="0.15">
      <c r="A21">
        <v>202019</v>
      </c>
      <c r="B21" s="10">
        <v>2097</v>
      </c>
      <c r="C21">
        <v>1</v>
      </c>
      <c r="D21" s="10">
        <v>2097</v>
      </c>
      <c r="E21" s="10">
        <v>0</v>
      </c>
      <c r="F21">
        <v>0</v>
      </c>
      <c r="G21" s="10">
        <v>0</v>
      </c>
      <c r="H21" s="10">
        <v>2246</v>
      </c>
      <c r="I21">
        <v>1</v>
      </c>
      <c r="J21" s="10">
        <v>2246</v>
      </c>
      <c r="K21" s="10">
        <v>0</v>
      </c>
      <c r="L21">
        <v>0</v>
      </c>
      <c r="M21" s="10">
        <v>0</v>
      </c>
      <c r="N21" s="10">
        <v>0</v>
      </c>
      <c r="O21">
        <v>0</v>
      </c>
      <c r="P21" s="10">
        <v>0</v>
      </c>
      <c r="Q21" s="10">
        <v>4343</v>
      </c>
      <c r="R21">
        <v>2</v>
      </c>
      <c r="S21" s="10">
        <v>2171.5</v>
      </c>
    </row>
    <row r="22" spans="1:19" x14ac:dyDescent="0.15">
      <c r="A22">
        <v>202020</v>
      </c>
      <c r="B22" s="10">
        <v>1204</v>
      </c>
      <c r="C22">
        <v>1</v>
      </c>
      <c r="D22" s="10">
        <v>1204</v>
      </c>
      <c r="E22" s="10">
        <v>0</v>
      </c>
      <c r="F22">
        <v>0</v>
      </c>
      <c r="G22" s="10">
        <v>0</v>
      </c>
      <c r="H22" s="10">
        <v>2200</v>
      </c>
      <c r="I22">
        <v>2</v>
      </c>
      <c r="J22" s="10">
        <v>1100</v>
      </c>
      <c r="K22" s="10">
        <v>0</v>
      </c>
      <c r="L22">
        <v>0</v>
      </c>
      <c r="M22" s="10">
        <v>0</v>
      </c>
      <c r="N22" s="10">
        <v>0</v>
      </c>
      <c r="O22">
        <v>0</v>
      </c>
      <c r="P22" s="10">
        <v>0</v>
      </c>
      <c r="Q22" s="10">
        <v>3404</v>
      </c>
      <c r="R22">
        <v>3</v>
      </c>
      <c r="S22" s="10">
        <v>1134.6666666666667</v>
      </c>
    </row>
    <row r="23" spans="1:19" x14ac:dyDescent="0.15">
      <c r="A23">
        <v>202021</v>
      </c>
      <c r="B23" s="10">
        <v>0</v>
      </c>
      <c r="C23">
        <v>0</v>
      </c>
      <c r="D23" s="10">
        <v>0</v>
      </c>
      <c r="E23" s="10">
        <v>3606.55</v>
      </c>
      <c r="F23">
        <v>1</v>
      </c>
      <c r="G23" s="10">
        <v>3606.55</v>
      </c>
      <c r="H23" s="10">
        <v>0</v>
      </c>
      <c r="I23">
        <v>1</v>
      </c>
      <c r="J23" s="10">
        <v>0</v>
      </c>
      <c r="K23" s="10">
        <v>0</v>
      </c>
      <c r="L23">
        <v>0</v>
      </c>
      <c r="M23" s="10">
        <v>0</v>
      </c>
      <c r="N23" s="10">
        <v>0</v>
      </c>
      <c r="O23">
        <v>0</v>
      </c>
      <c r="P23" s="10">
        <v>0</v>
      </c>
      <c r="Q23" s="10">
        <v>3606.55</v>
      </c>
      <c r="R23">
        <v>2</v>
      </c>
      <c r="S23" s="10">
        <v>1803.2750000000001</v>
      </c>
    </row>
    <row r="24" spans="1:19" x14ac:dyDescent="0.15">
      <c r="A24">
        <v>202022</v>
      </c>
      <c r="B24" s="10">
        <v>5609.7</v>
      </c>
      <c r="C24">
        <v>1</v>
      </c>
      <c r="D24" s="10">
        <v>5609.7</v>
      </c>
      <c r="E24" s="10">
        <v>0</v>
      </c>
      <c r="F24">
        <v>0</v>
      </c>
      <c r="G24" s="10">
        <v>0</v>
      </c>
      <c r="H24" s="10">
        <v>4173.3</v>
      </c>
      <c r="I24">
        <v>3</v>
      </c>
      <c r="J24" s="10">
        <v>1391.1000000000001</v>
      </c>
      <c r="K24" s="10">
        <v>0</v>
      </c>
      <c r="L24">
        <v>0</v>
      </c>
      <c r="M24" s="10">
        <v>0</v>
      </c>
      <c r="N24" s="10">
        <v>0</v>
      </c>
      <c r="O24">
        <v>0</v>
      </c>
      <c r="P24" s="10">
        <v>0</v>
      </c>
      <c r="Q24" s="10">
        <v>9783</v>
      </c>
      <c r="R24">
        <v>4</v>
      </c>
      <c r="S24" s="10">
        <v>2445.75</v>
      </c>
    </row>
    <row r="25" spans="1:19" x14ac:dyDescent="0.15">
      <c r="A25">
        <v>202023</v>
      </c>
      <c r="B25" s="10">
        <v>5055.16</v>
      </c>
      <c r="C25">
        <v>2</v>
      </c>
      <c r="D25" s="10">
        <v>2527.58</v>
      </c>
      <c r="E25" s="10">
        <v>5483.6399999999994</v>
      </c>
      <c r="F25">
        <v>4</v>
      </c>
      <c r="G25" s="10">
        <v>1370.9099999999999</v>
      </c>
      <c r="H25" s="10">
        <v>2396</v>
      </c>
      <c r="I25">
        <v>1</v>
      </c>
      <c r="J25" s="10">
        <v>2396</v>
      </c>
      <c r="K25" s="10">
        <v>0</v>
      </c>
      <c r="L25">
        <v>0</v>
      </c>
      <c r="M25" s="10">
        <v>0</v>
      </c>
      <c r="N25" s="10">
        <v>0</v>
      </c>
      <c r="O25">
        <v>0</v>
      </c>
      <c r="P25" s="10">
        <v>0</v>
      </c>
      <c r="Q25" s="10">
        <v>12934.8</v>
      </c>
      <c r="R25">
        <v>7</v>
      </c>
      <c r="S25" s="10">
        <v>1847.8285714285714</v>
      </c>
    </row>
    <row r="26" spans="1:19" x14ac:dyDescent="0.15">
      <c r="A26">
        <v>202024</v>
      </c>
      <c r="B26" s="10">
        <v>1456</v>
      </c>
      <c r="C26">
        <v>2</v>
      </c>
      <c r="D26" s="10">
        <v>728</v>
      </c>
      <c r="E26" s="10">
        <v>4294.3099999999995</v>
      </c>
      <c r="F26">
        <v>2</v>
      </c>
      <c r="G26" s="10">
        <v>2147.1549999999997</v>
      </c>
      <c r="H26" s="10">
        <v>0</v>
      </c>
      <c r="I26">
        <v>0</v>
      </c>
      <c r="J26" s="10">
        <v>0</v>
      </c>
      <c r="K26" s="10">
        <v>0</v>
      </c>
      <c r="L26">
        <v>0</v>
      </c>
      <c r="M26" s="10">
        <v>0</v>
      </c>
      <c r="N26" s="10">
        <v>0</v>
      </c>
      <c r="O26">
        <v>0</v>
      </c>
      <c r="P26" s="10">
        <v>0</v>
      </c>
      <c r="Q26" s="10">
        <v>5750.3099999999995</v>
      </c>
      <c r="R26">
        <v>4</v>
      </c>
      <c r="S26" s="10">
        <v>1437.5774999999999</v>
      </c>
    </row>
    <row r="27" spans="1:19" x14ac:dyDescent="0.15">
      <c r="A27">
        <v>202025</v>
      </c>
      <c r="B27" s="10">
        <v>0</v>
      </c>
      <c r="C27">
        <v>0</v>
      </c>
      <c r="D27" s="10">
        <v>0</v>
      </c>
      <c r="E27" s="10">
        <v>0</v>
      </c>
      <c r="F27">
        <v>0</v>
      </c>
      <c r="G27" s="10">
        <v>0</v>
      </c>
      <c r="H27" s="10">
        <v>2412</v>
      </c>
      <c r="I27">
        <v>1</v>
      </c>
      <c r="J27" s="10">
        <v>2412</v>
      </c>
      <c r="K27" s="10">
        <v>0</v>
      </c>
      <c r="L27">
        <v>0</v>
      </c>
      <c r="M27" s="10">
        <v>0</v>
      </c>
      <c r="N27" s="10">
        <v>16</v>
      </c>
      <c r="O27">
        <v>1</v>
      </c>
      <c r="P27" s="10">
        <v>16</v>
      </c>
      <c r="Q27" s="10">
        <v>2428</v>
      </c>
      <c r="R27">
        <v>2</v>
      </c>
      <c r="S27" s="10">
        <v>1214</v>
      </c>
    </row>
    <row r="28" spans="1:19" x14ac:dyDescent="0.15">
      <c r="A28">
        <v>202026</v>
      </c>
      <c r="B28" s="10">
        <v>0</v>
      </c>
      <c r="C28">
        <v>0</v>
      </c>
      <c r="D28" s="10">
        <v>0</v>
      </c>
      <c r="E28" s="10">
        <v>2960.75</v>
      </c>
      <c r="F28">
        <v>3</v>
      </c>
      <c r="G28" s="10">
        <v>986.91666666666663</v>
      </c>
      <c r="H28" s="10">
        <v>0</v>
      </c>
      <c r="I28">
        <v>0</v>
      </c>
      <c r="J28" s="10">
        <v>0</v>
      </c>
      <c r="K28" s="10">
        <v>0</v>
      </c>
      <c r="L28">
        <v>0</v>
      </c>
      <c r="M28" s="10">
        <v>0</v>
      </c>
      <c r="N28" s="10">
        <v>0</v>
      </c>
      <c r="O28">
        <v>0</v>
      </c>
      <c r="P28" s="10">
        <v>0</v>
      </c>
      <c r="Q28" s="10">
        <v>2960.75</v>
      </c>
      <c r="R28">
        <v>3</v>
      </c>
      <c r="S28" s="10">
        <v>986.91666666666663</v>
      </c>
    </row>
    <row r="29" spans="1:19" x14ac:dyDescent="0.15">
      <c r="A29">
        <v>202027</v>
      </c>
      <c r="B29" s="10">
        <v>7057.2000000000007</v>
      </c>
      <c r="C29">
        <v>7</v>
      </c>
      <c r="D29" s="10">
        <v>1008.1714285714287</v>
      </c>
      <c r="E29" s="10">
        <v>4393.0200000000004</v>
      </c>
      <c r="F29">
        <v>11</v>
      </c>
      <c r="G29" s="10">
        <v>399.36545454545461</v>
      </c>
      <c r="H29" s="10">
        <v>2424</v>
      </c>
      <c r="I29">
        <v>1</v>
      </c>
      <c r="J29" s="10">
        <v>2424</v>
      </c>
      <c r="K29" s="10">
        <v>0</v>
      </c>
      <c r="L29">
        <v>0</v>
      </c>
      <c r="M29" s="10">
        <v>0</v>
      </c>
      <c r="N29" s="10">
        <v>0</v>
      </c>
      <c r="O29">
        <v>0</v>
      </c>
      <c r="P29" s="10">
        <v>0</v>
      </c>
      <c r="Q29" s="10">
        <v>13874.220000000001</v>
      </c>
      <c r="R29">
        <v>19</v>
      </c>
      <c r="S29" s="10">
        <v>730.22210526315791</v>
      </c>
    </row>
    <row r="30" spans="1:19" x14ac:dyDescent="0.15">
      <c r="A30">
        <v>202028</v>
      </c>
      <c r="B30" s="10">
        <v>5087.5</v>
      </c>
      <c r="C30">
        <v>3</v>
      </c>
      <c r="D30" s="10">
        <v>1695.8333333333333</v>
      </c>
      <c r="E30" s="10">
        <v>3096</v>
      </c>
      <c r="F30">
        <v>2</v>
      </c>
      <c r="G30" s="10">
        <v>1548</v>
      </c>
      <c r="H30" s="10">
        <v>3537</v>
      </c>
      <c r="I30">
        <v>2</v>
      </c>
      <c r="J30" s="10">
        <v>1768.5</v>
      </c>
      <c r="K30" s="10">
        <v>0</v>
      </c>
      <c r="L30">
        <v>0</v>
      </c>
      <c r="M30" s="10">
        <v>0</v>
      </c>
      <c r="N30" s="10">
        <v>0</v>
      </c>
      <c r="O30">
        <v>0</v>
      </c>
      <c r="P30" s="10">
        <v>0</v>
      </c>
      <c r="Q30" s="10">
        <v>11720.5</v>
      </c>
      <c r="R30">
        <v>7</v>
      </c>
      <c r="S30" s="10">
        <v>1674.3571428571429</v>
      </c>
    </row>
    <row r="31" spans="1:19" x14ac:dyDescent="0.15">
      <c r="A31">
        <v>202029</v>
      </c>
      <c r="B31" s="10">
        <v>7356.56</v>
      </c>
      <c r="C31">
        <v>2</v>
      </c>
      <c r="D31" s="10">
        <v>3678.28</v>
      </c>
      <c r="E31" s="10">
        <v>253</v>
      </c>
      <c r="F31">
        <v>1</v>
      </c>
      <c r="G31" s="10">
        <v>253</v>
      </c>
      <c r="H31" s="10">
        <v>1170</v>
      </c>
      <c r="I31">
        <v>1</v>
      </c>
      <c r="J31" s="10">
        <v>1170</v>
      </c>
      <c r="K31" s="10">
        <v>0</v>
      </c>
      <c r="L31">
        <v>0</v>
      </c>
      <c r="M31" s="10">
        <v>0</v>
      </c>
      <c r="N31" s="10">
        <v>0</v>
      </c>
      <c r="O31">
        <v>0</v>
      </c>
      <c r="P31" s="10">
        <v>0</v>
      </c>
      <c r="Q31" s="10">
        <v>8779.56</v>
      </c>
      <c r="R31">
        <v>4</v>
      </c>
      <c r="S31" s="10">
        <v>2194.89</v>
      </c>
    </row>
    <row r="32" spans="1:19" x14ac:dyDescent="0.15">
      <c r="A32">
        <v>202030</v>
      </c>
      <c r="B32" s="10">
        <v>3</v>
      </c>
      <c r="C32">
        <v>1</v>
      </c>
      <c r="D32" s="10">
        <v>3</v>
      </c>
      <c r="E32" s="10">
        <v>0</v>
      </c>
      <c r="F32">
        <v>0</v>
      </c>
      <c r="G32" s="10">
        <v>0</v>
      </c>
      <c r="H32" s="10">
        <v>1266</v>
      </c>
      <c r="I32">
        <v>1</v>
      </c>
      <c r="J32" s="10">
        <v>1266</v>
      </c>
      <c r="K32" s="10">
        <v>0</v>
      </c>
      <c r="L32">
        <v>0</v>
      </c>
      <c r="M32" s="10">
        <v>0</v>
      </c>
      <c r="N32" s="10">
        <v>0</v>
      </c>
      <c r="O32">
        <v>0</v>
      </c>
      <c r="P32" s="10">
        <v>0</v>
      </c>
      <c r="Q32" s="10">
        <v>1269</v>
      </c>
      <c r="R32">
        <v>2</v>
      </c>
      <c r="S32" s="10">
        <v>634.5</v>
      </c>
    </row>
    <row r="33" spans="1:19" x14ac:dyDescent="0.15">
      <c r="A33">
        <v>202031</v>
      </c>
      <c r="B33" s="10">
        <v>5188.3999999999996</v>
      </c>
      <c r="C33">
        <v>2</v>
      </c>
      <c r="D33" s="10">
        <v>2594.1999999999998</v>
      </c>
      <c r="E33" s="10">
        <v>2321</v>
      </c>
      <c r="F33">
        <v>2</v>
      </c>
      <c r="G33" s="10">
        <v>1160.5</v>
      </c>
      <c r="H33" s="10">
        <v>2420</v>
      </c>
      <c r="I33">
        <v>1</v>
      </c>
      <c r="J33" s="10">
        <v>2420</v>
      </c>
      <c r="K33" s="10">
        <v>0</v>
      </c>
      <c r="L33">
        <v>0</v>
      </c>
      <c r="M33" s="10">
        <v>0</v>
      </c>
      <c r="N33" s="10">
        <v>0</v>
      </c>
      <c r="O33">
        <v>0</v>
      </c>
      <c r="P33" s="10">
        <v>0</v>
      </c>
      <c r="Q33" s="10">
        <v>9929.4</v>
      </c>
      <c r="R33">
        <v>5</v>
      </c>
      <c r="S33" s="10">
        <v>1985.8799999999999</v>
      </c>
    </row>
    <row r="34" spans="1:19" x14ac:dyDescent="0.15">
      <c r="A34">
        <v>202032</v>
      </c>
      <c r="B34" s="10">
        <v>1094</v>
      </c>
      <c r="C34">
        <v>1</v>
      </c>
      <c r="D34" s="10">
        <v>1094</v>
      </c>
      <c r="E34" s="10">
        <v>6200</v>
      </c>
      <c r="F34">
        <v>1</v>
      </c>
      <c r="G34" s="10">
        <v>6200</v>
      </c>
      <c r="H34" s="10">
        <v>5598</v>
      </c>
      <c r="I34">
        <v>2</v>
      </c>
      <c r="J34" s="10">
        <v>2799</v>
      </c>
      <c r="K34" s="10">
        <v>0</v>
      </c>
      <c r="L34">
        <v>0</v>
      </c>
      <c r="M34" s="10">
        <v>0</v>
      </c>
      <c r="N34" s="10">
        <v>0</v>
      </c>
      <c r="O34">
        <v>0</v>
      </c>
      <c r="P34" s="10">
        <v>0</v>
      </c>
      <c r="Q34" s="10">
        <v>12892</v>
      </c>
      <c r="R34">
        <v>4</v>
      </c>
      <c r="S34" s="10">
        <v>3223</v>
      </c>
    </row>
    <row r="35" spans="1:19" x14ac:dyDescent="0.15">
      <c r="A35">
        <v>202033</v>
      </c>
      <c r="B35" s="10">
        <v>0</v>
      </c>
      <c r="C35">
        <v>0</v>
      </c>
      <c r="D35" s="10">
        <v>0</v>
      </c>
      <c r="E35" s="10">
        <v>498.48999999999995</v>
      </c>
      <c r="F35">
        <v>1</v>
      </c>
      <c r="G35" s="10">
        <v>498.48999999999995</v>
      </c>
      <c r="H35" s="10">
        <v>0</v>
      </c>
      <c r="I35">
        <v>0</v>
      </c>
      <c r="J35" s="10">
        <v>0</v>
      </c>
      <c r="K35" s="10">
        <v>0</v>
      </c>
      <c r="L35">
        <v>0</v>
      </c>
      <c r="M35" s="10">
        <v>0</v>
      </c>
      <c r="N35" s="10">
        <v>0</v>
      </c>
      <c r="O35">
        <v>0</v>
      </c>
      <c r="P35" s="10">
        <v>0</v>
      </c>
      <c r="Q35" s="10">
        <v>498.48999999999995</v>
      </c>
      <c r="R35">
        <v>1</v>
      </c>
      <c r="S35" s="10">
        <v>498.48999999999995</v>
      </c>
    </row>
    <row r="36" spans="1:19" x14ac:dyDescent="0.15">
      <c r="A36">
        <v>202034</v>
      </c>
      <c r="B36" s="10">
        <v>3277</v>
      </c>
      <c r="C36">
        <v>3</v>
      </c>
      <c r="D36" s="10">
        <v>1092.3333333333333</v>
      </c>
      <c r="E36" s="10">
        <v>1933</v>
      </c>
      <c r="F36">
        <v>1</v>
      </c>
      <c r="G36" s="10">
        <v>1933</v>
      </c>
      <c r="H36" s="10">
        <v>2351.35</v>
      </c>
      <c r="I36">
        <v>1</v>
      </c>
      <c r="J36" s="10">
        <v>2351.35</v>
      </c>
      <c r="K36" s="10">
        <v>0</v>
      </c>
      <c r="L36">
        <v>0</v>
      </c>
      <c r="M36" s="10">
        <v>0</v>
      </c>
      <c r="N36" s="10">
        <v>45</v>
      </c>
      <c r="O36">
        <v>1</v>
      </c>
      <c r="P36" s="10">
        <v>45</v>
      </c>
      <c r="Q36" s="10">
        <v>7606.35</v>
      </c>
      <c r="R36">
        <v>6</v>
      </c>
      <c r="S36" s="10">
        <v>1267.7250000000001</v>
      </c>
    </row>
    <row r="37" spans="1:19" x14ac:dyDescent="0.15">
      <c r="A37">
        <v>202035</v>
      </c>
      <c r="B37" s="10">
        <v>1134</v>
      </c>
      <c r="C37">
        <v>1</v>
      </c>
      <c r="D37" s="10">
        <v>1134</v>
      </c>
      <c r="E37" s="10">
        <v>2185</v>
      </c>
      <c r="F37">
        <v>2</v>
      </c>
      <c r="G37" s="10">
        <v>1092.5</v>
      </c>
      <c r="H37" s="10">
        <v>0</v>
      </c>
      <c r="I37">
        <v>0</v>
      </c>
      <c r="J37" s="10">
        <v>0</v>
      </c>
      <c r="K37" s="10">
        <v>0</v>
      </c>
      <c r="L37">
        <v>0</v>
      </c>
      <c r="M37" s="10">
        <v>0</v>
      </c>
      <c r="N37" s="10">
        <v>0</v>
      </c>
      <c r="O37">
        <v>0</v>
      </c>
      <c r="P37" s="10">
        <v>0</v>
      </c>
      <c r="Q37" s="10">
        <v>3319</v>
      </c>
      <c r="R37">
        <v>3</v>
      </c>
      <c r="S37" s="10">
        <v>1106.3333333333333</v>
      </c>
    </row>
    <row r="38" spans="1:19" x14ac:dyDescent="0.15">
      <c r="A38">
        <v>202036</v>
      </c>
      <c r="B38" s="10">
        <v>9117.2000000000007</v>
      </c>
      <c r="C38">
        <v>4</v>
      </c>
      <c r="D38" s="10">
        <v>2279.3000000000002</v>
      </c>
      <c r="E38" s="10">
        <v>9634.89</v>
      </c>
      <c r="F38">
        <v>2</v>
      </c>
      <c r="G38" s="10">
        <v>4817.4449999999997</v>
      </c>
      <c r="H38" s="10">
        <v>0</v>
      </c>
      <c r="I38">
        <v>0</v>
      </c>
      <c r="J38" s="10">
        <v>0</v>
      </c>
      <c r="K38" s="10">
        <v>0</v>
      </c>
      <c r="L38">
        <v>0</v>
      </c>
      <c r="M38" s="10">
        <v>0</v>
      </c>
      <c r="N38" s="10">
        <v>0</v>
      </c>
      <c r="O38">
        <v>0</v>
      </c>
      <c r="P38" s="10">
        <v>0</v>
      </c>
      <c r="Q38" s="10">
        <v>18752.09</v>
      </c>
      <c r="R38">
        <v>6</v>
      </c>
      <c r="S38" s="10">
        <v>3125.3483333333334</v>
      </c>
    </row>
    <row r="39" spans="1:19" x14ac:dyDescent="0.15">
      <c r="A39">
        <v>202037</v>
      </c>
      <c r="B39" s="10">
        <v>2036</v>
      </c>
      <c r="C39">
        <v>2</v>
      </c>
      <c r="D39" s="10">
        <v>1018</v>
      </c>
      <c r="E39" s="10">
        <v>1279.5999999999999</v>
      </c>
      <c r="F39">
        <v>1</v>
      </c>
      <c r="G39" s="10">
        <v>1279.5999999999999</v>
      </c>
      <c r="H39" s="10">
        <v>647.41000000000008</v>
      </c>
      <c r="I39">
        <v>2</v>
      </c>
      <c r="J39" s="10">
        <v>323.70500000000004</v>
      </c>
      <c r="K39" s="10">
        <v>0</v>
      </c>
      <c r="L39">
        <v>0</v>
      </c>
      <c r="M39" s="10">
        <v>0</v>
      </c>
      <c r="N39" s="10">
        <v>0</v>
      </c>
      <c r="O39">
        <v>0</v>
      </c>
      <c r="P39" s="10">
        <v>0</v>
      </c>
      <c r="Q39" s="10">
        <v>3963.0099999999998</v>
      </c>
      <c r="R39">
        <v>5</v>
      </c>
      <c r="S39" s="10">
        <v>792.60199999999998</v>
      </c>
    </row>
    <row r="40" spans="1:19" x14ac:dyDescent="0.15">
      <c r="A40">
        <v>202038</v>
      </c>
      <c r="B40" s="10">
        <v>3149</v>
      </c>
      <c r="C40">
        <v>2</v>
      </c>
      <c r="D40" s="10">
        <v>1574.5</v>
      </c>
      <c r="E40" s="10">
        <v>1339.5</v>
      </c>
      <c r="F40">
        <v>2</v>
      </c>
      <c r="G40" s="10">
        <v>669.75</v>
      </c>
      <c r="H40" s="10">
        <v>884</v>
      </c>
      <c r="I40">
        <v>1</v>
      </c>
      <c r="J40" s="10">
        <v>884</v>
      </c>
      <c r="K40" s="10">
        <v>0</v>
      </c>
      <c r="L40">
        <v>0</v>
      </c>
      <c r="M40" s="10">
        <v>0</v>
      </c>
      <c r="N40" s="10">
        <v>0</v>
      </c>
      <c r="O40">
        <v>0</v>
      </c>
      <c r="P40" s="10">
        <v>0</v>
      </c>
      <c r="Q40" s="10">
        <v>5372.5</v>
      </c>
      <c r="R40">
        <v>5</v>
      </c>
      <c r="S40" s="10">
        <v>1074.5</v>
      </c>
    </row>
    <row r="41" spans="1:19" x14ac:dyDescent="0.15">
      <c r="A41">
        <v>202039</v>
      </c>
      <c r="B41" s="10">
        <v>5235.6400000000003</v>
      </c>
      <c r="C41">
        <v>2</v>
      </c>
      <c r="D41" s="10">
        <v>2617.8200000000002</v>
      </c>
      <c r="E41" s="10">
        <v>3613.74</v>
      </c>
      <c r="F41">
        <v>1</v>
      </c>
      <c r="G41" s="10">
        <v>3613.74</v>
      </c>
      <c r="H41" s="10">
        <v>841</v>
      </c>
      <c r="I41">
        <v>1</v>
      </c>
      <c r="J41" s="10">
        <v>841</v>
      </c>
      <c r="K41" s="10">
        <v>0</v>
      </c>
      <c r="L41">
        <v>0</v>
      </c>
      <c r="M41" s="10">
        <v>0</v>
      </c>
      <c r="N41" s="10">
        <v>0</v>
      </c>
      <c r="O41">
        <v>0</v>
      </c>
      <c r="P41" s="10">
        <v>0</v>
      </c>
      <c r="Q41" s="10">
        <v>9690.380000000001</v>
      </c>
      <c r="R41">
        <v>4</v>
      </c>
      <c r="S41" s="10">
        <v>2422.5950000000003</v>
      </c>
    </row>
    <row r="42" spans="1:19" x14ac:dyDescent="0.15">
      <c r="A42">
        <v>202040</v>
      </c>
      <c r="B42" s="10">
        <v>4953.8999999999996</v>
      </c>
      <c r="C42">
        <v>2</v>
      </c>
      <c r="D42" s="10">
        <v>2476.9499999999998</v>
      </c>
      <c r="E42" s="10">
        <v>2189</v>
      </c>
      <c r="F42">
        <v>3</v>
      </c>
      <c r="G42" s="10">
        <v>729.66666666666663</v>
      </c>
      <c r="H42" s="10">
        <v>0</v>
      </c>
      <c r="I42">
        <v>0</v>
      </c>
      <c r="J42" s="10">
        <v>0</v>
      </c>
      <c r="K42" s="10">
        <v>0</v>
      </c>
      <c r="L42">
        <v>0</v>
      </c>
      <c r="M42" s="10">
        <v>0</v>
      </c>
      <c r="N42" s="10">
        <v>0</v>
      </c>
      <c r="O42">
        <v>0</v>
      </c>
      <c r="P42" s="10">
        <v>0</v>
      </c>
      <c r="Q42" s="10">
        <v>7142.9</v>
      </c>
      <c r="R42">
        <v>5</v>
      </c>
      <c r="S42" s="10">
        <v>1428.58</v>
      </c>
    </row>
    <row r="43" spans="1:19" x14ac:dyDescent="0.15">
      <c r="A43">
        <v>202041</v>
      </c>
      <c r="B43" s="10">
        <v>6271.3</v>
      </c>
      <c r="C43">
        <v>2</v>
      </c>
      <c r="D43" s="10">
        <v>3135.65</v>
      </c>
      <c r="E43" s="10">
        <v>982</v>
      </c>
      <c r="F43">
        <v>1</v>
      </c>
      <c r="G43" s="10">
        <v>982</v>
      </c>
      <c r="H43" s="10">
        <v>0</v>
      </c>
      <c r="I43">
        <v>0</v>
      </c>
      <c r="J43" s="10">
        <v>0</v>
      </c>
      <c r="K43" s="10">
        <v>0</v>
      </c>
      <c r="L43">
        <v>0</v>
      </c>
      <c r="M43" s="10">
        <v>0</v>
      </c>
      <c r="N43" s="10">
        <v>0</v>
      </c>
      <c r="O43">
        <v>0</v>
      </c>
      <c r="P43" s="10">
        <v>0</v>
      </c>
      <c r="Q43" s="10">
        <v>7253.3</v>
      </c>
      <c r="R43">
        <v>3</v>
      </c>
      <c r="S43" s="10">
        <v>2417.7666666666669</v>
      </c>
    </row>
    <row r="44" spans="1:19" x14ac:dyDescent="0.15">
      <c r="A44">
        <v>202042</v>
      </c>
      <c r="B44" s="10">
        <v>0</v>
      </c>
      <c r="C44">
        <v>0</v>
      </c>
      <c r="D44" s="10">
        <v>0</v>
      </c>
      <c r="E44" s="10">
        <v>7507</v>
      </c>
      <c r="F44">
        <v>2</v>
      </c>
      <c r="G44" s="10">
        <v>3753.5</v>
      </c>
      <c r="H44" s="10">
        <v>0</v>
      </c>
      <c r="I44">
        <v>0</v>
      </c>
      <c r="J44" s="10">
        <v>0</v>
      </c>
      <c r="K44" s="10">
        <v>0</v>
      </c>
      <c r="L44">
        <v>0</v>
      </c>
      <c r="M44" s="10">
        <v>0</v>
      </c>
      <c r="N44" s="10">
        <v>0</v>
      </c>
      <c r="O44">
        <v>0</v>
      </c>
      <c r="P44" s="10">
        <v>0</v>
      </c>
      <c r="Q44" s="10">
        <v>7507</v>
      </c>
      <c r="R44">
        <v>2</v>
      </c>
      <c r="S44" s="10">
        <v>3753.5</v>
      </c>
    </row>
    <row r="45" spans="1:19" x14ac:dyDescent="0.15">
      <c r="A45">
        <v>202043</v>
      </c>
      <c r="B45" s="10">
        <v>2104.5700000000002</v>
      </c>
      <c r="C45">
        <v>2</v>
      </c>
      <c r="D45" s="10">
        <v>1052.2850000000001</v>
      </c>
      <c r="E45" s="10">
        <v>2318</v>
      </c>
      <c r="F45">
        <v>1</v>
      </c>
      <c r="G45" s="10">
        <v>2318</v>
      </c>
      <c r="H45" s="10">
        <v>4235</v>
      </c>
      <c r="I45">
        <v>2</v>
      </c>
      <c r="J45" s="10">
        <v>2117.5</v>
      </c>
      <c r="K45" s="10">
        <v>0</v>
      </c>
      <c r="L45">
        <v>0</v>
      </c>
      <c r="M45" s="10">
        <v>0</v>
      </c>
      <c r="N45" s="10">
        <v>0</v>
      </c>
      <c r="O45">
        <v>0</v>
      </c>
      <c r="P45" s="10">
        <v>0</v>
      </c>
      <c r="Q45" s="10">
        <v>8657.57</v>
      </c>
      <c r="R45">
        <v>5</v>
      </c>
      <c r="S45" s="10">
        <v>1731.5139999999999</v>
      </c>
    </row>
    <row r="46" spans="1:19" x14ac:dyDescent="0.15">
      <c r="A46">
        <v>202044</v>
      </c>
      <c r="B46" s="10">
        <v>2224</v>
      </c>
      <c r="C46">
        <v>2</v>
      </c>
      <c r="D46" s="10">
        <v>1112</v>
      </c>
      <c r="E46" s="10">
        <v>3299</v>
      </c>
      <c r="F46">
        <v>7</v>
      </c>
      <c r="G46" s="10">
        <v>471.28571428571428</v>
      </c>
      <c r="H46" s="10">
        <v>4444.72</v>
      </c>
      <c r="I46">
        <v>2</v>
      </c>
      <c r="J46" s="10">
        <v>2222.36</v>
      </c>
      <c r="K46" s="10">
        <v>0</v>
      </c>
      <c r="L46">
        <v>0</v>
      </c>
      <c r="M46" s="10">
        <v>0</v>
      </c>
      <c r="N46" s="10">
        <v>0</v>
      </c>
      <c r="O46">
        <v>0</v>
      </c>
      <c r="P46" s="10">
        <v>0</v>
      </c>
      <c r="Q46" s="10">
        <v>9967.7200000000012</v>
      </c>
      <c r="R46">
        <v>11</v>
      </c>
      <c r="S46" s="10">
        <v>906.15636363636372</v>
      </c>
    </row>
    <row r="47" spans="1:19" x14ac:dyDescent="0.15">
      <c r="A47">
        <v>202045</v>
      </c>
      <c r="B47" s="10">
        <v>4832</v>
      </c>
      <c r="C47">
        <v>1</v>
      </c>
      <c r="D47" s="10">
        <v>4832</v>
      </c>
      <c r="E47" s="10">
        <v>0</v>
      </c>
      <c r="F47">
        <v>0</v>
      </c>
      <c r="G47" s="10">
        <v>0</v>
      </c>
      <c r="H47" s="10">
        <v>0</v>
      </c>
      <c r="I47">
        <v>0</v>
      </c>
      <c r="J47" s="10">
        <v>0</v>
      </c>
      <c r="K47" s="10">
        <v>0</v>
      </c>
      <c r="L47">
        <v>0</v>
      </c>
      <c r="M47" s="10">
        <v>0</v>
      </c>
      <c r="N47" s="10">
        <v>0</v>
      </c>
      <c r="O47">
        <v>0</v>
      </c>
      <c r="P47" s="10">
        <v>0</v>
      </c>
      <c r="Q47" s="10">
        <v>4832</v>
      </c>
      <c r="R47">
        <v>1</v>
      </c>
      <c r="S47" s="10">
        <v>4832</v>
      </c>
    </row>
    <row r="48" spans="1:19" x14ac:dyDescent="0.15">
      <c r="A48">
        <v>202046</v>
      </c>
      <c r="B48" s="10">
        <v>4047.6</v>
      </c>
      <c r="C48">
        <v>1</v>
      </c>
      <c r="D48" s="10">
        <v>4047.6</v>
      </c>
      <c r="E48" s="10">
        <v>0</v>
      </c>
      <c r="F48">
        <v>0</v>
      </c>
      <c r="G48" s="10">
        <v>0</v>
      </c>
      <c r="H48" s="10">
        <v>2483.4699999999998</v>
      </c>
      <c r="I48">
        <v>2</v>
      </c>
      <c r="J48" s="10">
        <v>1241.7349999999999</v>
      </c>
      <c r="K48" s="10">
        <v>0</v>
      </c>
      <c r="L48">
        <v>0</v>
      </c>
      <c r="M48" s="10">
        <v>0</v>
      </c>
      <c r="N48" s="10">
        <v>0</v>
      </c>
      <c r="O48">
        <v>0</v>
      </c>
      <c r="P48" s="10">
        <v>0</v>
      </c>
      <c r="Q48" s="10">
        <v>6531.07</v>
      </c>
      <c r="R48">
        <v>3</v>
      </c>
      <c r="S48" s="10">
        <v>2177.0233333333331</v>
      </c>
    </row>
    <row r="49" spans="1:19" x14ac:dyDescent="0.15">
      <c r="A49">
        <v>202047</v>
      </c>
      <c r="B49" s="10">
        <v>0</v>
      </c>
      <c r="C49">
        <v>0</v>
      </c>
      <c r="D49" s="10">
        <v>0</v>
      </c>
      <c r="E49" s="10">
        <v>0</v>
      </c>
      <c r="F49">
        <v>0</v>
      </c>
      <c r="G49" s="10">
        <v>0</v>
      </c>
      <c r="H49" s="10">
        <v>5696</v>
      </c>
      <c r="I49">
        <v>2</v>
      </c>
      <c r="J49" s="10">
        <v>2848</v>
      </c>
      <c r="K49" s="10">
        <v>0</v>
      </c>
      <c r="L49">
        <v>0</v>
      </c>
      <c r="M49" s="10">
        <v>0</v>
      </c>
      <c r="N49" s="10">
        <v>0</v>
      </c>
      <c r="O49">
        <v>0</v>
      </c>
      <c r="P49" s="10">
        <v>0</v>
      </c>
      <c r="Q49" s="10">
        <v>5696</v>
      </c>
      <c r="R49">
        <v>2</v>
      </c>
      <c r="S49" s="10">
        <v>2848</v>
      </c>
    </row>
    <row r="50" spans="1:19" x14ac:dyDescent="0.15">
      <c r="A50">
        <v>202048</v>
      </c>
      <c r="B50" s="10">
        <v>4674.3</v>
      </c>
      <c r="C50">
        <v>3</v>
      </c>
      <c r="D50" s="10">
        <v>1558.1000000000001</v>
      </c>
      <c r="E50" s="10">
        <v>0</v>
      </c>
      <c r="F50">
        <v>0</v>
      </c>
      <c r="G50" s="10">
        <v>0</v>
      </c>
      <c r="H50" s="10">
        <v>250</v>
      </c>
      <c r="I50">
        <v>1</v>
      </c>
      <c r="J50" s="10">
        <v>250</v>
      </c>
      <c r="K50" s="10">
        <v>0</v>
      </c>
      <c r="L50">
        <v>0</v>
      </c>
      <c r="M50" s="10">
        <v>0</v>
      </c>
      <c r="N50" s="10">
        <v>0</v>
      </c>
      <c r="O50">
        <v>0</v>
      </c>
      <c r="P50" s="10">
        <v>0</v>
      </c>
      <c r="Q50" s="10">
        <v>4924.3</v>
      </c>
      <c r="R50">
        <v>4</v>
      </c>
      <c r="S50" s="10">
        <v>1231.075</v>
      </c>
    </row>
    <row r="51" spans="1:19" x14ac:dyDescent="0.15">
      <c r="A51">
        <v>202049</v>
      </c>
      <c r="B51" s="10">
        <v>5638.5</v>
      </c>
      <c r="C51">
        <v>1</v>
      </c>
      <c r="D51" s="10">
        <v>5638.5</v>
      </c>
      <c r="E51" s="10">
        <v>16684.5</v>
      </c>
      <c r="F51">
        <v>6</v>
      </c>
      <c r="G51" s="10">
        <v>2780.75</v>
      </c>
      <c r="H51" s="10">
        <v>0</v>
      </c>
      <c r="I51">
        <v>0</v>
      </c>
      <c r="J51" s="10">
        <v>0</v>
      </c>
      <c r="K51" s="10">
        <v>0</v>
      </c>
      <c r="L51">
        <v>0</v>
      </c>
      <c r="M51" s="10">
        <v>0</v>
      </c>
      <c r="N51" s="10">
        <v>27</v>
      </c>
      <c r="O51">
        <v>1</v>
      </c>
      <c r="P51" s="10">
        <v>27</v>
      </c>
      <c r="Q51" s="10">
        <v>22350</v>
      </c>
      <c r="R51">
        <v>8</v>
      </c>
      <c r="S51" s="10">
        <v>2793.75</v>
      </c>
    </row>
    <row r="52" spans="1:19" x14ac:dyDescent="0.15">
      <c r="A52">
        <v>202050</v>
      </c>
      <c r="B52" s="10">
        <v>2018.5</v>
      </c>
      <c r="C52">
        <v>2</v>
      </c>
      <c r="D52" s="10">
        <v>1009.25</v>
      </c>
      <c r="E52" s="10">
        <v>3647.9</v>
      </c>
      <c r="F52">
        <v>1</v>
      </c>
      <c r="G52" s="10">
        <v>3647.9</v>
      </c>
      <c r="H52" s="10">
        <v>7888.6</v>
      </c>
      <c r="I52">
        <v>1</v>
      </c>
      <c r="J52" s="10">
        <v>7888.6</v>
      </c>
      <c r="K52" s="10">
        <v>6200</v>
      </c>
      <c r="L52">
        <v>1</v>
      </c>
      <c r="M52" s="10">
        <v>6200</v>
      </c>
      <c r="N52" s="10">
        <v>0</v>
      </c>
      <c r="O52">
        <v>0</v>
      </c>
      <c r="P52" s="10">
        <v>0</v>
      </c>
      <c r="Q52" s="10">
        <v>19755</v>
      </c>
      <c r="R52">
        <v>5</v>
      </c>
      <c r="S52" s="10">
        <v>3951</v>
      </c>
    </row>
    <row r="53" spans="1:19" x14ac:dyDescent="0.15">
      <c r="A53">
        <v>202051</v>
      </c>
      <c r="B53" s="10">
        <v>5281.5</v>
      </c>
      <c r="C53">
        <v>1</v>
      </c>
      <c r="D53" s="10">
        <v>5281.5</v>
      </c>
      <c r="E53" s="10">
        <v>5136.99</v>
      </c>
      <c r="F53">
        <v>3</v>
      </c>
      <c r="G53" s="10">
        <v>1712.33</v>
      </c>
      <c r="H53" s="10">
        <v>2222.5</v>
      </c>
      <c r="I53">
        <v>1</v>
      </c>
      <c r="J53" s="10">
        <v>2222.5</v>
      </c>
      <c r="K53" s="10">
        <v>0</v>
      </c>
      <c r="L53">
        <v>0</v>
      </c>
      <c r="M53" s="10">
        <v>0</v>
      </c>
      <c r="N53" s="10">
        <v>0</v>
      </c>
      <c r="O53">
        <v>0</v>
      </c>
      <c r="P53" s="10">
        <v>0</v>
      </c>
      <c r="Q53" s="10">
        <v>12640.99</v>
      </c>
      <c r="R53">
        <v>5</v>
      </c>
      <c r="S53" s="10">
        <v>2528.1979999999999</v>
      </c>
    </row>
    <row r="54" spans="1:19" x14ac:dyDescent="0.15">
      <c r="A54">
        <v>202052</v>
      </c>
      <c r="B54" s="10">
        <v>0</v>
      </c>
      <c r="C54">
        <v>0</v>
      </c>
      <c r="D54" s="10">
        <v>0</v>
      </c>
      <c r="E54" s="10">
        <v>0</v>
      </c>
      <c r="F54">
        <v>0</v>
      </c>
      <c r="G54" s="10">
        <v>0</v>
      </c>
      <c r="H54" s="10">
        <v>0</v>
      </c>
      <c r="I54">
        <v>0</v>
      </c>
      <c r="J54" s="10">
        <v>0</v>
      </c>
      <c r="K54" s="10">
        <v>0</v>
      </c>
      <c r="L54">
        <v>0</v>
      </c>
      <c r="M54" s="10">
        <v>0</v>
      </c>
      <c r="N54" s="10">
        <v>0</v>
      </c>
      <c r="O54">
        <v>0</v>
      </c>
      <c r="P54" s="10">
        <v>0</v>
      </c>
      <c r="Q54" s="10">
        <v>0</v>
      </c>
      <c r="R54">
        <v>0</v>
      </c>
      <c r="S54" s="10">
        <v>0</v>
      </c>
    </row>
    <row r="55" spans="1:19" x14ac:dyDescent="0.15">
      <c r="A55">
        <v>202053</v>
      </c>
      <c r="B55" s="10"/>
      <c r="D55" s="10"/>
      <c r="E55" s="10"/>
      <c r="G55" s="10"/>
      <c r="H55" s="10"/>
      <c r="J55" s="10"/>
      <c r="K55" s="10"/>
      <c r="M55" s="10"/>
      <c r="N55" s="10"/>
      <c r="P55" s="10"/>
      <c r="Q55" s="10"/>
      <c r="S55" s="10"/>
    </row>
    <row r="56" spans="1:19" x14ac:dyDescent="0.15">
      <c r="B56" s="10"/>
      <c r="D56" s="10"/>
      <c r="E56" s="10"/>
      <c r="G56" s="10"/>
      <c r="H56" s="10"/>
      <c r="J56" s="10"/>
      <c r="K56" s="10"/>
      <c r="M56" s="10"/>
      <c r="N56" s="10"/>
      <c r="P56" s="10"/>
      <c r="Q56" s="10"/>
      <c r="S56" s="10"/>
    </row>
  </sheetData>
  <sortState ref="A3:A51">
    <sortCondition ref="A3:A51"/>
  </sortState>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dDetails">
    <tabColor rgb="FF92D050"/>
  </sheetPr>
  <dimension ref="A1:L228"/>
  <sheetViews>
    <sheetView topLeftCell="A77" workbookViewId="0">
      <selection activeCell="E78" sqref="E78"/>
    </sheetView>
  </sheetViews>
  <sheetFormatPr defaultRowHeight="13.5" x14ac:dyDescent="0.15"/>
  <cols>
    <col min="1" max="1" width="13.125" customWidth="1"/>
    <col min="2" max="2" width="25.625" customWidth="1"/>
    <col min="3" max="3" width="7.25" customWidth="1"/>
    <col min="4" max="4" width="10.75" customWidth="1"/>
    <col min="5" max="5" width="12.875" customWidth="1"/>
    <col min="6" max="6" width="15.625" customWidth="1"/>
    <col min="7" max="7" width="16.125" customWidth="1"/>
    <col min="8" max="8" width="7.125" customWidth="1"/>
    <col min="9" max="9" width="8.125" bestFit="1" customWidth="1"/>
    <col min="10" max="10" width="15.625" customWidth="1"/>
    <col min="11" max="11" width="16.125" customWidth="1"/>
    <col min="12" max="12" width="7.125" customWidth="1"/>
  </cols>
  <sheetData>
    <row r="1" spans="1:12" ht="22.5" x14ac:dyDescent="0.25">
      <c r="A1" s="2" t="s">
        <v>20</v>
      </c>
      <c r="B1" s="2"/>
      <c r="C1" s="2"/>
      <c r="D1" s="2"/>
      <c r="E1" s="2"/>
      <c r="F1" s="2"/>
      <c r="G1" s="2"/>
      <c r="H1" s="2"/>
      <c r="I1" s="3"/>
      <c r="J1" s="3"/>
      <c r="K1" s="3"/>
      <c r="L1" s="3"/>
    </row>
    <row r="2" spans="1:12" x14ac:dyDescent="0.15">
      <c r="A2" s="3" t="s">
        <v>21</v>
      </c>
      <c r="B2" s="3" t="s">
        <v>22</v>
      </c>
      <c r="C2" s="3" t="s">
        <v>27</v>
      </c>
      <c r="D2" s="5" t="s">
        <v>23</v>
      </c>
      <c r="E2" s="3" t="s">
        <v>34</v>
      </c>
      <c r="F2" s="3" t="s">
        <v>24</v>
      </c>
      <c r="G2" s="3" t="s">
        <v>25</v>
      </c>
      <c r="H2" s="3" t="s">
        <v>32</v>
      </c>
    </row>
    <row r="3" spans="1:12" x14ac:dyDescent="0.15">
      <c r="A3" s="8" t="s">
        <v>115</v>
      </c>
      <c r="B3" s="8" t="s">
        <v>114</v>
      </c>
      <c r="C3" s="8" t="s">
        <v>30</v>
      </c>
      <c r="D3" s="6">
        <v>43874</v>
      </c>
      <c r="E3" s="4" t="str">
        <f>YEAR(AtlasReport_1_Table_1[[#This Row],[Date]]) &amp; TEXT(WEEKNUM(AtlasReport_1_Table_1[[#This Row],[Date]]),"00")</f>
        <v>202007</v>
      </c>
      <c r="F3" s="4">
        <v>0</v>
      </c>
      <c r="G3" s="4">
        <v>880</v>
      </c>
      <c r="H3" s="8" t="s">
        <v>33</v>
      </c>
    </row>
    <row r="4" spans="1:12" x14ac:dyDescent="0.15">
      <c r="A4" s="8" t="s">
        <v>115</v>
      </c>
      <c r="B4" s="8" t="s">
        <v>114</v>
      </c>
      <c r="C4" s="8" t="s">
        <v>30</v>
      </c>
      <c r="D4" s="6">
        <v>43887</v>
      </c>
      <c r="E4" s="4" t="str">
        <f>YEAR(AtlasReport_1_Table_1[[#This Row],[Date]]) &amp; TEXT(WEEKNUM(AtlasReport_1_Table_1[[#This Row],[Date]]),"00")</f>
        <v>202009</v>
      </c>
      <c r="F4" s="4">
        <v>0</v>
      </c>
      <c r="G4" s="4">
        <v>1</v>
      </c>
      <c r="H4" s="8" t="s">
        <v>33</v>
      </c>
    </row>
    <row r="5" spans="1:12" x14ac:dyDescent="0.15">
      <c r="A5" s="8" t="s">
        <v>115</v>
      </c>
      <c r="B5" s="8" t="s">
        <v>114</v>
      </c>
      <c r="C5" s="8" t="s">
        <v>30</v>
      </c>
      <c r="D5" s="6">
        <v>43887</v>
      </c>
      <c r="E5" s="4" t="str">
        <f>YEAR(AtlasReport_1_Table_1[[#This Row],[Date]]) &amp; TEXT(WEEKNUM(AtlasReport_1_Table_1[[#This Row],[Date]]),"00")</f>
        <v>202009</v>
      </c>
      <c r="F5" s="4">
        <v>0</v>
      </c>
      <c r="G5" s="4">
        <v>1</v>
      </c>
      <c r="H5" s="8" t="s">
        <v>33</v>
      </c>
    </row>
    <row r="6" spans="1:12" x14ac:dyDescent="0.15">
      <c r="A6" s="8" t="s">
        <v>116</v>
      </c>
      <c r="B6" s="8" t="s">
        <v>114</v>
      </c>
      <c r="C6" s="8" t="s">
        <v>30</v>
      </c>
      <c r="D6" s="6">
        <v>43965</v>
      </c>
      <c r="E6" s="4" t="str">
        <f>YEAR(AtlasReport_1_Table_1[[#This Row],[Date]]) &amp; TEXT(WEEKNUM(AtlasReport_1_Table_1[[#This Row],[Date]]),"00")</f>
        <v>202020</v>
      </c>
      <c r="F6" s="4">
        <v>0</v>
      </c>
      <c r="G6" s="4">
        <v>880</v>
      </c>
      <c r="H6" s="8" t="s">
        <v>33</v>
      </c>
    </row>
    <row r="7" spans="1:12" x14ac:dyDescent="0.15">
      <c r="A7" s="8" t="s">
        <v>117</v>
      </c>
      <c r="B7" s="8" t="s">
        <v>60</v>
      </c>
      <c r="C7" s="8" t="s">
        <v>28</v>
      </c>
      <c r="D7" s="6">
        <v>43878</v>
      </c>
      <c r="E7" s="4" t="str">
        <f>YEAR(AtlasReport_1_Table_1[[#This Row],[Date]]) &amp; TEXT(WEEKNUM(AtlasReport_1_Table_1[[#This Row],[Date]]),"00")</f>
        <v>202008</v>
      </c>
      <c r="F7" s="4">
        <v>0</v>
      </c>
      <c r="G7" s="4">
        <v>3122</v>
      </c>
      <c r="H7" s="8" t="s">
        <v>33</v>
      </c>
    </row>
    <row r="8" spans="1:12" x14ac:dyDescent="0.15">
      <c r="A8" s="8" t="s">
        <v>118</v>
      </c>
      <c r="B8" s="8" t="s">
        <v>119</v>
      </c>
      <c r="C8" s="8" t="s">
        <v>28</v>
      </c>
      <c r="D8" s="6">
        <v>43900</v>
      </c>
      <c r="E8" s="4" t="str">
        <f>YEAR(AtlasReport_1_Table_1[[#This Row],[Date]]) &amp; TEXT(WEEKNUM(AtlasReport_1_Table_1[[#This Row],[Date]]),"00")</f>
        <v>202011</v>
      </c>
      <c r="F8" s="4">
        <v>0</v>
      </c>
      <c r="G8" s="4">
        <v>880</v>
      </c>
      <c r="H8" s="8" t="s">
        <v>33</v>
      </c>
    </row>
    <row r="9" spans="1:12" x14ac:dyDescent="0.15">
      <c r="A9" s="8" t="s">
        <v>120</v>
      </c>
      <c r="B9" s="8" t="s">
        <v>106</v>
      </c>
      <c r="C9" s="8" t="s">
        <v>29</v>
      </c>
      <c r="D9" s="6">
        <v>43994</v>
      </c>
      <c r="E9" s="4" t="str">
        <f>YEAR(AtlasReport_1_Table_1[[#This Row],[Date]]) &amp; TEXT(WEEKNUM(AtlasReport_1_Table_1[[#This Row],[Date]]),"00")</f>
        <v>202024</v>
      </c>
      <c r="F9" s="4">
        <v>0</v>
      </c>
      <c r="G9" s="4">
        <v>721</v>
      </c>
      <c r="H9" s="8" t="s">
        <v>33</v>
      </c>
    </row>
    <row r="10" spans="1:12" x14ac:dyDescent="0.15">
      <c r="A10" s="8" t="s">
        <v>122</v>
      </c>
      <c r="B10" s="8" t="s">
        <v>121</v>
      </c>
      <c r="C10" s="8" t="s">
        <v>29</v>
      </c>
      <c r="D10" s="6">
        <v>44020</v>
      </c>
      <c r="E10" s="4" t="str">
        <f>YEAR(AtlasReport_1_Table_1[[#This Row],[Date]]) &amp; TEXT(WEEKNUM(AtlasReport_1_Table_1[[#This Row],[Date]]),"00")</f>
        <v>202028</v>
      </c>
      <c r="F10" s="4">
        <v>0</v>
      </c>
      <c r="G10" s="4">
        <v>642</v>
      </c>
      <c r="H10" s="8" t="s">
        <v>33</v>
      </c>
    </row>
    <row r="11" spans="1:12" x14ac:dyDescent="0.15">
      <c r="A11" s="8" t="s">
        <v>123</v>
      </c>
      <c r="B11" s="8" t="s">
        <v>121</v>
      </c>
      <c r="C11" s="8" t="s">
        <v>29</v>
      </c>
      <c r="D11" s="6">
        <v>44133</v>
      </c>
      <c r="E11" s="4" t="str">
        <f>YEAR(AtlasReport_1_Table_1[[#This Row],[Date]]) &amp; TEXT(WEEKNUM(AtlasReport_1_Table_1[[#This Row],[Date]]),"00")</f>
        <v>202044</v>
      </c>
      <c r="F11" s="4">
        <v>0</v>
      </c>
      <c r="G11" s="4">
        <v>261</v>
      </c>
      <c r="H11" s="8" t="s">
        <v>33</v>
      </c>
    </row>
    <row r="12" spans="1:12" x14ac:dyDescent="0.15">
      <c r="A12" s="8" t="s">
        <v>124</v>
      </c>
      <c r="B12" s="8" t="s">
        <v>125</v>
      </c>
      <c r="C12" s="8" t="s">
        <v>29</v>
      </c>
      <c r="D12" s="6">
        <v>44012</v>
      </c>
      <c r="E12" s="4" t="str">
        <f>YEAR(AtlasReport_1_Table_1[[#This Row],[Date]]) &amp; TEXT(WEEKNUM(AtlasReport_1_Table_1[[#This Row],[Date]]),"00")</f>
        <v>202027</v>
      </c>
      <c r="F12" s="4">
        <v>0</v>
      </c>
      <c r="G12" s="4">
        <v>1000</v>
      </c>
      <c r="H12" s="8" t="s">
        <v>33</v>
      </c>
    </row>
    <row r="13" spans="1:12" x14ac:dyDescent="0.15">
      <c r="A13" s="8" t="s">
        <v>124</v>
      </c>
      <c r="B13" s="8" t="s">
        <v>125</v>
      </c>
      <c r="C13" s="8" t="s">
        <v>29</v>
      </c>
      <c r="D13" s="6">
        <v>44012</v>
      </c>
      <c r="E13" s="4" t="str">
        <f>YEAR(AtlasReport_1_Table_1[[#This Row],[Date]]) &amp; TEXT(WEEKNUM(AtlasReport_1_Table_1[[#This Row],[Date]]),"00")</f>
        <v>202027</v>
      </c>
      <c r="F13" s="4">
        <v>0</v>
      </c>
      <c r="G13" s="4">
        <v>-1000</v>
      </c>
      <c r="H13" s="8" t="s">
        <v>33</v>
      </c>
    </row>
    <row r="14" spans="1:12" x14ac:dyDescent="0.15">
      <c r="A14" s="8" t="s">
        <v>124</v>
      </c>
      <c r="B14" s="8" t="s">
        <v>125</v>
      </c>
      <c r="C14" s="8" t="s">
        <v>29</v>
      </c>
      <c r="D14" s="6">
        <v>44029</v>
      </c>
      <c r="E14" s="4" t="str">
        <f>YEAR(AtlasReport_1_Table_1[[#This Row],[Date]]) &amp; TEXT(WEEKNUM(AtlasReport_1_Table_1[[#This Row],[Date]]),"00")</f>
        <v>202029</v>
      </c>
      <c r="F14" s="4">
        <v>0</v>
      </c>
      <c r="G14" s="4">
        <v>253</v>
      </c>
      <c r="H14" s="8" t="s">
        <v>33</v>
      </c>
    </row>
    <row r="15" spans="1:12" x14ac:dyDescent="0.15">
      <c r="A15" s="8" t="s">
        <v>127</v>
      </c>
      <c r="B15" s="8" t="s">
        <v>126</v>
      </c>
      <c r="C15" s="8" t="s">
        <v>30</v>
      </c>
      <c r="D15" s="6">
        <v>44085</v>
      </c>
      <c r="E15" s="4" t="str">
        <f>YEAR(AtlasReport_1_Table_1[[#This Row],[Date]]) &amp; TEXT(WEEKNUM(AtlasReport_1_Table_1[[#This Row],[Date]]),"00")</f>
        <v>202037</v>
      </c>
      <c r="F15" s="4">
        <v>0</v>
      </c>
      <c r="G15" s="4">
        <v>152.9</v>
      </c>
      <c r="H15" s="8" t="s">
        <v>33</v>
      </c>
    </row>
    <row r="16" spans="1:12" x14ac:dyDescent="0.15">
      <c r="A16" s="8" t="s">
        <v>127</v>
      </c>
      <c r="B16" s="8" t="s">
        <v>126</v>
      </c>
      <c r="C16" s="8" t="s">
        <v>30</v>
      </c>
      <c r="D16" s="6">
        <v>44085</v>
      </c>
      <c r="E16" s="4" t="str">
        <f>YEAR(AtlasReport_1_Table_1[[#This Row],[Date]]) &amp; TEXT(WEEKNUM(AtlasReport_1_Table_1[[#This Row],[Date]]),"00")</f>
        <v>202037</v>
      </c>
      <c r="F16" s="4">
        <v>0</v>
      </c>
      <c r="G16" s="4">
        <v>494.51000000000005</v>
      </c>
      <c r="H16" s="8" t="s">
        <v>33</v>
      </c>
    </row>
    <row r="17" spans="1:8" x14ac:dyDescent="0.15">
      <c r="A17" s="8" t="s">
        <v>128</v>
      </c>
      <c r="B17" s="8" t="s">
        <v>129</v>
      </c>
      <c r="C17" s="8" t="s">
        <v>28</v>
      </c>
      <c r="D17" s="6">
        <v>43963</v>
      </c>
      <c r="E17" s="4" t="str">
        <f>YEAR(AtlasReport_1_Table_1[[#This Row],[Date]]) &amp; TEXT(WEEKNUM(AtlasReport_1_Table_1[[#This Row],[Date]]),"00")</f>
        <v>202020</v>
      </c>
      <c r="F17" s="4">
        <v>0</v>
      </c>
      <c r="G17" s="4">
        <v>1204</v>
      </c>
      <c r="H17" s="8" t="s">
        <v>33</v>
      </c>
    </row>
    <row r="18" spans="1:8" x14ac:dyDescent="0.15">
      <c r="A18" s="8" t="s">
        <v>130</v>
      </c>
      <c r="B18" s="8" t="s">
        <v>131</v>
      </c>
      <c r="C18" s="8" t="s">
        <v>28</v>
      </c>
      <c r="D18" s="6">
        <v>44068</v>
      </c>
      <c r="E18" s="4" t="str">
        <f>YEAR(AtlasReport_1_Table_1[[#This Row],[Date]]) &amp; TEXT(WEEKNUM(AtlasReport_1_Table_1[[#This Row],[Date]]),"00")</f>
        <v>202035</v>
      </c>
      <c r="F18" s="4">
        <v>0</v>
      </c>
      <c r="G18" s="4">
        <v>1134</v>
      </c>
      <c r="H18" s="8" t="s">
        <v>33</v>
      </c>
    </row>
    <row r="19" spans="1:8" x14ac:dyDescent="0.15">
      <c r="A19" s="8" t="s">
        <v>132</v>
      </c>
      <c r="B19" s="8" t="s">
        <v>133</v>
      </c>
      <c r="C19" s="8" t="s">
        <v>28</v>
      </c>
      <c r="D19" s="6">
        <v>44063</v>
      </c>
      <c r="E19" s="4" t="str">
        <f>YEAR(AtlasReport_1_Table_1[[#This Row],[Date]]) &amp; TEXT(WEEKNUM(AtlasReport_1_Table_1[[#This Row],[Date]]),"00")</f>
        <v>202034</v>
      </c>
      <c r="F19" s="4">
        <v>0</v>
      </c>
      <c r="G19" s="4">
        <v>500</v>
      </c>
      <c r="H19" s="8" t="s">
        <v>33</v>
      </c>
    </row>
    <row r="20" spans="1:8" x14ac:dyDescent="0.15">
      <c r="A20" s="8" t="s">
        <v>134</v>
      </c>
      <c r="B20" s="8" t="s">
        <v>135</v>
      </c>
      <c r="C20" s="8" t="s">
        <v>31</v>
      </c>
      <c r="D20" s="6">
        <v>43838</v>
      </c>
      <c r="E20" s="4" t="str">
        <f>YEAR(AtlasReport_1_Table_1[[#This Row],[Date]]) &amp; TEXT(WEEKNUM(AtlasReport_1_Table_1[[#This Row],[Date]]),"00")</f>
        <v>202002</v>
      </c>
      <c r="F20" s="4">
        <v>0</v>
      </c>
      <c r="G20" s="4">
        <v>2766</v>
      </c>
      <c r="H20" s="8" t="s">
        <v>33</v>
      </c>
    </row>
    <row r="21" spans="1:8" x14ac:dyDescent="0.15">
      <c r="A21" s="8" t="s">
        <v>136</v>
      </c>
      <c r="B21" s="8" t="s">
        <v>135</v>
      </c>
      <c r="C21" s="8" t="s">
        <v>30</v>
      </c>
      <c r="D21" s="6">
        <v>44049</v>
      </c>
      <c r="E21" s="4" t="str">
        <f>YEAR(AtlasReport_1_Table_1[[#This Row],[Date]]) &amp; TEXT(WEEKNUM(AtlasReport_1_Table_1[[#This Row],[Date]]),"00")</f>
        <v>202032</v>
      </c>
      <c r="F21" s="4">
        <v>0</v>
      </c>
      <c r="G21" s="4">
        <v>3648</v>
      </c>
      <c r="H21" s="8" t="s">
        <v>33</v>
      </c>
    </row>
    <row r="22" spans="1:8" x14ac:dyDescent="0.15">
      <c r="A22" s="8" t="s">
        <v>137</v>
      </c>
      <c r="B22" s="8" t="s">
        <v>107</v>
      </c>
      <c r="C22" s="8" t="s">
        <v>31</v>
      </c>
      <c r="D22" s="6">
        <v>43843</v>
      </c>
      <c r="E22" s="4" t="str">
        <f>YEAR(AtlasReport_1_Table_1[[#This Row],[Date]]) &amp; TEXT(WEEKNUM(AtlasReport_1_Table_1[[#This Row],[Date]]),"00")</f>
        <v>202003</v>
      </c>
      <c r="F22" s="4">
        <v>0</v>
      </c>
      <c r="G22" s="4">
        <v>4770</v>
      </c>
      <c r="H22" s="8" t="s">
        <v>33</v>
      </c>
    </row>
    <row r="23" spans="1:8" x14ac:dyDescent="0.15">
      <c r="A23" s="8" t="s">
        <v>138</v>
      </c>
      <c r="B23" s="8" t="s">
        <v>107</v>
      </c>
      <c r="C23" s="8" t="s">
        <v>30</v>
      </c>
      <c r="D23" s="6">
        <v>44048</v>
      </c>
      <c r="E23" s="4" t="str">
        <f>YEAR(AtlasReport_1_Table_1[[#This Row],[Date]]) &amp; TEXT(WEEKNUM(AtlasReport_1_Table_1[[#This Row],[Date]]),"00")</f>
        <v>202032</v>
      </c>
      <c r="F23" s="4">
        <v>0</v>
      </c>
      <c r="G23" s="4">
        <v>1950</v>
      </c>
      <c r="H23" s="8" t="s">
        <v>33</v>
      </c>
    </row>
    <row r="24" spans="1:8" x14ac:dyDescent="0.15">
      <c r="A24" s="8" t="s">
        <v>140</v>
      </c>
      <c r="B24" s="8" t="s">
        <v>139</v>
      </c>
      <c r="C24" s="8" t="s">
        <v>30</v>
      </c>
      <c r="D24" s="6">
        <v>43854</v>
      </c>
      <c r="E24" s="4" t="str">
        <f>YEAR(AtlasReport_1_Table_1[[#This Row],[Date]]) &amp; TEXT(WEEKNUM(AtlasReport_1_Table_1[[#This Row],[Date]]),"00")</f>
        <v>202004</v>
      </c>
      <c r="F24" s="4">
        <v>0</v>
      </c>
      <c r="G24" s="4">
        <v>642</v>
      </c>
      <c r="H24" s="8" t="s">
        <v>33</v>
      </c>
    </row>
    <row r="25" spans="1:8" x14ac:dyDescent="0.15">
      <c r="A25" s="8" t="s">
        <v>141</v>
      </c>
      <c r="B25" s="8" t="s">
        <v>139</v>
      </c>
      <c r="C25" s="8" t="s">
        <v>30</v>
      </c>
      <c r="D25" s="6">
        <v>44012</v>
      </c>
      <c r="E25" s="4" t="str">
        <f>YEAR(AtlasReport_1_Table_1[[#This Row],[Date]]) &amp; TEXT(WEEKNUM(AtlasReport_1_Table_1[[#This Row],[Date]]),"00")</f>
        <v>202027</v>
      </c>
      <c r="F25" s="4">
        <v>0</v>
      </c>
      <c r="G25" s="4">
        <v>2424</v>
      </c>
      <c r="H25" s="8" t="s">
        <v>33</v>
      </c>
    </row>
    <row r="26" spans="1:8" x14ac:dyDescent="0.15">
      <c r="A26" s="8" t="s">
        <v>142</v>
      </c>
      <c r="B26" s="8" t="s">
        <v>139</v>
      </c>
      <c r="C26" s="8" t="s">
        <v>30</v>
      </c>
      <c r="D26" s="6">
        <v>44092</v>
      </c>
      <c r="E26" s="4" t="str">
        <f>YEAR(AtlasReport_1_Table_1[[#This Row],[Date]]) &amp; TEXT(WEEKNUM(AtlasReport_1_Table_1[[#This Row],[Date]]),"00")</f>
        <v>202038</v>
      </c>
      <c r="F26" s="4">
        <v>0</v>
      </c>
      <c r="G26" s="4">
        <v>884</v>
      </c>
      <c r="H26" s="8" t="s">
        <v>33</v>
      </c>
    </row>
    <row r="27" spans="1:8" x14ac:dyDescent="0.15">
      <c r="A27" s="8" t="s">
        <v>143</v>
      </c>
      <c r="B27" s="8" t="s">
        <v>139</v>
      </c>
      <c r="C27" s="8" t="s">
        <v>30</v>
      </c>
      <c r="D27" s="6">
        <v>44148</v>
      </c>
      <c r="E27" s="4" t="str">
        <f>YEAR(AtlasReport_1_Table_1[[#This Row],[Date]]) &amp; TEXT(WEEKNUM(AtlasReport_1_Table_1[[#This Row],[Date]]),"00")</f>
        <v>202046</v>
      </c>
      <c r="F27" s="4">
        <v>0</v>
      </c>
      <c r="G27" s="4">
        <v>41</v>
      </c>
      <c r="H27" s="8" t="s">
        <v>33</v>
      </c>
    </row>
    <row r="28" spans="1:8" x14ac:dyDescent="0.15">
      <c r="A28" s="8" t="s">
        <v>145</v>
      </c>
      <c r="B28" s="8" t="s">
        <v>144</v>
      </c>
      <c r="C28" s="8" t="s">
        <v>30</v>
      </c>
      <c r="D28" s="6">
        <v>43895</v>
      </c>
      <c r="E28" s="4" t="str">
        <f>YEAR(AtlasReport_1_Table_1[[#This Row],[Date]]) &amp; TEXT(WEEKNUM(AtlasReport_1_Table_1[[#This Row],[Date]]),"00")</f>
        <v>202010</v>
      </c>
      <c r="F28" s="4">
        <v>0</v>
      </c>
      <c r="G28" s="4">
        <v>368</v>
      </c>
      <c r="H28" s="8" t="s">
        <v>33</v>
      </c>
    </row>
    <row r="29" spans="1:8" x14ac:dyDescent="0.15">
      <c r="A29" s="8" t="s">
        <v>146</v>
      </c>
      <c r="B29" s="8" t="s">
        <v>144</v>
      </c>
      <c r="C29" s="8" t="s">
        <v>30</v>
      </c>
      <c r="D29" s="6">
        <v>43998</v>
      </c>
      <c r="E29" s="4" t="str">
        <f>YEAR(AtlasReport_1_Table_1[[#This Row],[Date]]) &amp; TEXT(WEEKNUM(AtlasReport_1_Table_1[[#This Row],[Date]]),"00")</f>
        <v>202025</v>
      </c>
      <c r="F29" s="4">
        <v>0</v>
      </c>
      <c r="G29" s="4">
        <v>2412</v>
      </c>
      <c r="H29" s="8" t="s">
        <v>33</v>
      </c>
    </row>
    <row r="30" spans="1:8" x14ac:dyDescent="0.15">
      <c r="A30" s="8" t="s">
        <v>147</v>
      </c>
      <c r="B30" s="8" t="s">
        <v>144</v>
      </c>
      <c r="C30" s="8" t="s">
        <v>62</v>
      </c>
      <c r="D30" s="6">
        <v>43999</v>
      </c>
      <c r="E30" s="4" t="str">
        <f>YEAR(AtlasReport_1_Table_1[[#This Row],[Date]]) &amp; TEXT(WEEKNUM(AtlasReport_1_Table_1[[#This Row],[Date]]),"00")</f>
        <v>202025</v>
      </c>
      <c r="F30" s="4">
        <v>0</v>
      </c>
      <c r="G30" s="4">
        <v>16</v>
      </c>
      <c r="H30" s="8" t="s">
        <v>33</v>
      </c>
    </row>
    <row r="31" spans="1:8" x14ac:dyDescent="0.15">
      <c r="A31" s="8" t="s">
        <v>148</v>
      </c>
      <c r="B31" s="8" t="s">
        <v>144</v>
      </c>
      <c r="C31" s="8" t="s">
        <v>30</v>
      </c>
      <c r="D31" s="6">
        <v>44097</v>
      </c>
      <c r="E31" s="4" t="str">
        <f>YEAR(AtlasReport_1_Table_1[[#This Row],[Date]]) &amp; TEXT(WEEKNUM(AtlasReport_1_Table_1[[#This Row],[Date]]),"00")</f>
        <v>202039</v>
      </c>
      <c r="F31" s="4">
        <v>0</v>
      </c>
      <c r="G31" s="4">
        <v>841</v>
      </c>
      <c r="H31" s="8" t="s">
        <v>33</v>
      </c>
    </row>
    <row r="32" spans="1:8" x14ac:dyDescent="0.15">
      <c r="A32" s="8" t="s">
        <v>149</v>
      </c>
      <c r="B32" s="8" t="s">
        <v>144</v>
      </c>
      <c r="C32" s="8" t="s">
        <v>30</v>
      </c>
      <c r="D32" s="6">
        <v>44153</v>
      </c>
      <c r="E32" s="4" t="str">
        <f>YEAR(AtlasReport_1_Table_1[[#This Row],[Date]]) &amp; TEXT(WEEKNUM(AtlasReport_1_Table_1[[#This Row],[Date]]),"00")</f>
        <v>202047</v>
      </c>
      <c r="F32" s="4">
        <v>0</v>
      </c>
      <c r="G32" s="4">
        <v>250</v>
      </c>
      <c r="H32" s="8" t="s">
        <v>33</v>
      </c>
    </row>
    <row r="33" spans="1:8" x14ac:dyDescent="0.15">
      <c r="A33" s="8" t="s">
        <v>149</v>
      </c>
      <c r="B33" s="8" t="s">
        <v>144</v>
      </c>
      <c r="C33" s="8" t="s">
        <v>30</v>
      </c>
      <c r="D33" s="6">
        <v>44162</v>
      </c>
      <c r="E33" s="4" t="str">
        <f>YEAR(AtlasReport_1_Table_1[[#This Row],[Date]]) &amp; TEXT(WEEKNUM(AtlasReport_1_Table_1[[#This Row],[Date]]),"00")</f>
        <v>202048</v>
      </c>
      <c r="F33" s="4">
        <v>0</v>
      </c>
      <c r="G33" s="4">
        <v>250</v>
      </c>
      <c r="H33" s="8" t="s">
        <v>33</v>
      </c>
    </row>
    <row r="34" spans="1:8" x14ac:dyDescent="0.15">
      <c r="A34" s="8" t="s">
        <v>150</v>
      </c>
      <c r="B34" s="8" t="s">
        <v>61</v>
      </c>
      <c r="C34" s="8" t="s">
        <v>30</v>
      </c>
      <c r="D34" s="6">
        <v>43844</v>
      </c>
      <c r="E34" s="4" t="str">
        <f>YEAR(AtlasReport_1_Table_1[[#This Row],[Date]]) &amp; TEXT(WEEKNUM(AtlasReport_1_Table_1[[#This Row],[Date]]),"00")</f>
        <v>202003</v>
      </c>
      <c r="F34" s="4">
        <v>0</v>
      </c>
      <c r="G34" s="4">
        <v>20</v>
      </c>
      <c r="H34" s="8" t="s">
        <v>33</v>
      </c>
    </row>
    <row r="35" spans="1:8" x14ac:dyDescent="0.15">
      <c r="A35" s="8" t="s">
        <v>150</v>
      </c>
      <c r="B35" s="8" t="s">
        <v>61</v>
      </c>
      <c r="C35" s="8" t="s">
        <v>30</v>
      </c>
      <c r="D35" s="6">
        <v>43851</v>
      </c>
      <c r="E35" s="4" t="str">
        <f>YEAR(AtlasReport_1_Table_1[[#This Row],[Date]]) &amp; TEXT(WEEKNUM(AtlasReport_1_Table_1[[#This Row],[Date]]),"00")</f>
        <v>202004</v>
      </c>
      <c r="F35" s="4">
        <v>0</v>
      </c>
      <c r="G35" s="4">
        <v>2420</v>
      </c>
      <c r="H35" s="8" t="s">
        <v>33</v>
      </c>
    </row>
    <row r="36" spans="1:8" x14ac:dyDescent="0.15">
      <c r="A36" s="8" t="s">
        <v>151</v>
      </c>
      <c r="B36" s="8" t="s">
        <v>61</v>
      </c>
      <c r="C36" s="8" t="s">
        <v>30</v>
      </c>
      <c r="D36" s="6">
        <v>43957</v>
      </c>
      <c r="E36" s="4" t="str">
        <f>YEAR(AtlasReport_1_Table_1[[#This Row],[Date]]) &amp; TEXT(WEEKNUM(AtlasReport_1_Table_1[[#This Row],[Date]]),"00")</f>
        <v>202019</v>
      </c>
      <c r="F36" s="4">
        <v>154</v>
      </c>
      <c r="G36" s="4">
        <v>2246</v>
      </c>
      <c r="H36" s="8" t="s">
        <v>33</v>
      </c>
    </row>
    <row r="37" spans="1:8" x14ac:dyDescent="0.15">
      <c r="A37" s="8" t="s">
        <v>152</v>
      </c>
      <c r="B37" s="8" t="s">
        <v>61</v>
      </c>
      <c r="C37" s="8" t="s">
        <v>30</v>
      </c>
      <c r="D37" s="6">
        <v>43979</v>
      </c>
      <c r="E37" s="4" t="str">
        <f>YEAR(AtlasReport_1_Table_1[[#This Row],[Date]]) &amp; TEXT(WEEKNUM(AtlasReport_1_Table_1[[#This Row],[Date]]),"00")</f>
        <v>202022</v>
      </c>
      <c r="F37" s="4">
        <v>0</v>
      </c>
      <c r="G37" s="4">
        <v>2443.3000000000002</v>
      </c>
      <c r="H37" s="8" t="s">
        <v>33</v>
      </c>
    </row>
    <row r="38" spans="1:8" x14ac:dyDescent="0.15">
      <c r="A38" s="8" t="s">
        <v>152</v>
      </c>
      <c r="B38" s="8" t="s">
        <v>61</v>
      </c>
      <c r="C38" s="8" t="s">
        <v>30</v>
      </c>
      <c r="D38" s="6">
        <v>43979</v>
      </c>
      <c r="E38" s="4" t="str">
        <f>YEAR(AtlasReport_1_Table_1[[#This Row],[Date]]) &amp; TEXT(WEEKNUM(AtlasReport_1_Table_1[[#This Row],[Date]]),"00")</f>
        <v>202022</v>
      </c>
      <c r="F38" s="4">
        <v>56.7</v>
      </c>
      <c r="G38" s="4">
        <v>0</v>
      </c>
      <c r="H38" s="8" t="s">
        <v>33</v>
      </c>
    </row>
    <row r="39" spans="1:8" x14ac:dyDescent="0.15">
      <c r="A39" s="8" t="s">
        <v>153</v>
      </c>
      <c r="B39" s="8" t="s">
        <v>61</v>
      </c>
      <c r="C39" s="8" t="s">
        <v>30</v>
      </c>
      <c r="D39" s="6">
        <v>43987</v>
      </c>
      <c r="E39" s="4" t="str">
        <f>YEAR(AtlasReport_1_Table_1[[#This Row],[Date]]) &amp; TEXT(WEEKNUM(AtlasReport_1_Table_1[[#This Row],[Date]]),"00")</f>
        <v>202023</v>
      </c>
      <c r="F39" s="4">
        <v>0</v>
      </c>
      <c r="G39" s="4">
        <v>2396</v>
      </c>
      <c r="H39" s="8" t="s">
        <v>33</v>
      </c>
    </row>
    <row r="40" spans="1:8" x14ac:dyDescent="0.15">
      <c r="A40" s="8" t="s">
        <v>154</v>
      </c>
      <c r="B40" s="8" t="s">
        <v>61</v>
      </c>
      <c r="C40" s="8" t="s">
        <v>30</v>
      </c>
      <c r="D40" s="6">
        <v>44018</v>
      </c>
      <c r="E40" s="4" t="str">
        <f>YEAR(AtlasReport_1_Table_1[[#This Row],[Date]]) &amp; TEXT(WEEKNUM(AtlasReport_1_Table_1[[#This Row],[Date]]),"00")</f>
        <v>202028</v>
      </c>
      <c r="F40" s="4">
        <v>0</v>
      </c>
      <c r="G40" s="4">
        <v>2262</v>
      </c>
      <c r="H40" s="8" t="s">
        <v>33</v>
      </c>
    </row>
    <row r="41" spans="1:8" x14ac:dyDescent="0.15">
      <c r="A41" s="8" t="s">
        <v>155</v>
      </c>
      <c r="B41" s="8" t="s">
        <v>61</v>
      </c>
      <c r="C41" s="8" t="s">
        <v>30</v>
      </c>
      <c r="D41" s="6">
        <v>44028</v>
      </c>
      <c r="E41" s="4" t="str">
        <f>YEAR(AtlasReport_1_Table_1[[#This Row],[Date]]) &amp; TEXT(WEEKNUM(AtlasReport_1_Table_1[[#This Row],[Date]]),"00")</f>
        <v>202029</v>
      </c>
      <c r="F41" s="4">
        <v>0</v>
      </c>
      <c r="G41" s="4">
        <v>1170</v>
      </c>
      <c r="H41" s="8" t="s">
        <v>33</v>
      </c>
    </row>
    <row r="42" spans="1:8" x14ac:dyDescent="0.15">
      <c r="A42" s="8" t="s">
        <v>156</v>
      </c>
      <c r="B42" s="8" t="s">
        <v>61</v>
      </c>
      <c r="C42" s="8" t="s">
        <v>30</v>
      </c>
      <c r="D42" s="6">
        <v>44033</v>
      </c>
      <c r="E42" s="4" t="str">
        <f>YEAR(AtlasReport_1_Table_1[[#This Row],[Date]]) &amp; TEXT(WEEKNUM(AtlasReport_1_Table_1[[#This Row],[Date]]),"00")</f>
        <v>202030</v>
      </c>
      <c r="F42" s="4">
        <v>0</v>
      </c>
      <c r="G42" s="4">
        <v>1266</v>
      </c>
      <c r="H42" s="8" t="s">
        <v>33</v>
      </c>
    </row>
    <row r="43" spans="1:8" x14ac:dyDescent="0.15">
      <c r="A43" s="8" t="s">
        <v>157</v>
      </c>
      <c r="B43" s="8" t="s">
        <v>61</v>
      </c>
      <c r="C43" s="8" t="s">
        <v>30</v>
      </c>
      <c r="D43" s="6">
        <v>44041</v>
      </c>
      <c r="E43" s="4" t="str">
        <f>YEAR(AtlasReport_1_Table_1[[#This Row],[Date]]) &amp; TEXT(WEEKNUM(AtlasReport_1_Table_1[[#This Row],[Date]]),"00")</f>
        <v>202031</v>
      </c>
      <c r="F43" s="4">
        <v>0</v>
      </c>
      <c r="G43" s="4">
        <v>2420</v>
      </c>
      <c r="H43" s="8" t="s">
        <v>33</v>
      </c>
    </row>
    <row r="44" spans="1:8" x14ac:dyDescent="0.15">
      <c r="A44" s="8" t="s">
        <v>158</v>
      </c>
      <c r="B44" s="8" t="s">
        <v>61</v>
      </c>
      <c r="C44" s="8" t="s">
        <v>62</v>
      </c>
      <c r="D44" s="6">
        <v>44167</v>
      </c>
      <c r="E44" s="4" t="str">
        <f>YEAR(AtlasReport_1_Table_1[[#This Row],[Date]]) &amp; TEXT(WEEKNUM(AtlasReport_1_Table_1[[#This Row],[Date]]),"00")</f>
        <v>202049</v>
      </c>
      <c r="F44" s="4">
        <v>0</v>
      </c>
      <c r="G44" s="4">
        <v>27</v>
      </c>
      <c r="H44" s="8" t="s">
        <v>33</v>
      </c>
    </row>
    <row r="45" spans="1:8" x14ac:dyDescent="0.15">
      <c r="A45" s="8" t="s">
        <v>159</v>
      </c>
      <c r="B45" s="8" t="s">
        <v>63</v>
      </c>
      <c r="C45" s="8" t="s">
        <v>30</v>
      </c>
      <c r="D45" s="6">
        <v>43881</v>
      </c>
      <c r="E45" s="4" t="str">
        <f>YEAR(AtlasReport_1_Table_1[[#This Row],[Date]]) &amp; TEXT(WEEKNUM(AtlasReport_1_Table_1[[#This Row],[Date]]),"00")</f>
        <v>202008</v>
      </c>
      <c r="F45" s="4">
        <v>0</v>
      </c>
      <c r="G45" s="4">
        <v>28000</v>
      </c>
      <c r="H45" s="8" t="s">
        <v>33</v>
      </c>
    </row>
    <row r="46" spans="1:8" x14ac:dyDescent="0.15">
      <c r="A46" s="8" t="s">
        <v>160</v>
      </c>
      <c r="B46" s="8" t="s">
        <v>63</v>
      </c>
      <c r="C46" s="8" t="s">
        <v>30</v>
      </c>
      <c r="D46" s="6">
        <v>43938</v>
      </c>
      <c r="E46" s="4" t="str">
        <f>YEAR(AtlasReport_1_Table_1[[#This Row],[Date]]) &amp; TEXT(WEEKNUM(AtlasReport_1_Table_1[[#This Row],[Date]]),"00")</f>
        <v>202016</v>
      </c>
      <c r="F46" s="4">
        <v>0</v>
      </c>
      <c r="G46" s="4">
        <v>32850</v>
      </c>
      <c r="H46" s="8" t="s">
        <v>33</v>
      </c>
    </row>
    <row r="47" spans="1:8" x14ac:dyDescent="0.15">
      <c r="A47" s="8" t="s">
        <v>161</v>
      </c>
      <c r="B47" s="8" t="s">
        <v>63</v>
      </c>
      <c r="C47" s="8" t="s">
        <v>28</v>
      </c>
      <c r="D47" s="6">
        <v>43984</v>
      </c>
      <c r="E47" s="4" t="str">
        <f>YEAR(AtlasReport_1_Table_1[[#This Row],[Date]]) &amp; TEXT(WEEKNUM(AtlasReport_1_Table_1[[#This Row],[Date]]),"00")</f>
        <v>202023</v>
      </c>
      <c r="F47" s="4">
        <v>0</v>
      </c>
      <c r="G47" s="4">
        <v>2911</v>
      </c>
      <c r="H47" s="8" t="s">
        <v>33</v>
      </c>
    </row>
    <row r="48" spans="1:8" x14ac:dyDescent="0.15">
      <c r="A48" s="8" t="s">
        <v>162</v>
      </c>
      <c r="B48" s="8" t="s">
        <v>163</v>
      </c>
      <c r="C48" s="8" t="s">
        <v>29</v>
      </c>
      <c r="D48" s="6">
        <v>44119</v>
      </c>
      <c r="E48" s="4" t="str">
        <f>YEAR(AtlasReport_1_Table_1[[#This Row],[Date]]) &amp; TEXT(WEEKNUM(AtlasReport_1_Table_1[[#This Row],[Date]]),"00")</f>
        <v>202042</v>
      </c>
      <c r="F48" s="4">
        <v>0</v>
      </c>
      <c r="G48" s="4">
        <v>2408</v>
      </c>
      <c r="H48" s="8" t="s">
        <v>33</v>
      </c>
    </row>
    <row r="49" spans="1:8" x14ac:dyDescent="0.15">
      <c r="A49" s="8" t="s">
        <v>165</v>
      </c>
      <c r="B49" s="8" t="s">
        <v>164</v>
      </c>
      <c r="C49" s="8" t="s">
        <v>28</v>
      </c>
      <c r="D49" s="6">
        <v>43943</v>
      </c>
      <c r="E49" s="4" t="str">
        <f>YEAR(AtlasReport_1_Table_1[[#This Row],[Date]]) &amp; TEXT(WEEKNUM(AtlasReport_1_Table_1[[#This Row],[Date]]),"00")</f>
        <v>202017</v>
      </c>
      <c r="F49" s="4">
        <v>0</v>
      </c>
      <c r="G49" s="4">
        <v>4732</v>
      </c>
      <c r="H49" s="8" t="s">
        <v>33</v>
      </c>
    </row>
    <row r="50" spans="1:8" x14ac:dyDescent="0.15">
      <c r="A50" s="8" t="s">
        <v>166</v>
      </c>
      <c r="B50" s="8" t="s">
        <v>164</v>
      </c>
      <c r="C50" s="8" t="s">
        <v>29</v>
      </c>
      <c r="D50" s="6">
        <v>44124</v>
      </c>
      <c r="E50" s="4" t="str">
        <f>YEAR(AtlasReport_1_Table_1[[#This Row],[Date]]) &amp; TEXT(WEEKNUM(AtlasReport_1_Table_1[[#This Row],[Date]]),"00")</f>
        <v>202043</v>
      </c>
      <c r="F50" s="4">
        <v>0</v>
      </c>
      <c r="G50" s="4">
        <v>2318</v>
      </c>
      <c r="H50" s="8" t="s">
        <v>33</v>
      </c>
    </row>
    <row r="51" spans="1:8" x14ac:dyDescent="0.15">
      <c r="A51" s="8" t="s">
        <v>167</v>
      </c>
      <c r="B51" s="8" t="s">
        <v>64</v>
      </c>
      <c r="C51" s="8" t="s">
        <v>30</v>
      </c>
      <c r="D51" s="6">
        <v>43878</v>
      </c>
      <c r="E51" s="4" t="str">
        <f>YEAR(AtlasReport_1_Table_1[[#This Row],[Date]]) &amp; TEXT(WEEKNUM(AtlasReport_1_Table_1[[#This Row],[Date]]),"00")</f>
        <v>202008</v>
      </c>
      <c r="F51" s="4">
        <v>0</v>
      </c>
      <c r="G51" s="4">
        <v>1989.35</v>
      </c>
      <c r="H51" s="8" t="s">
        <v>33</v>
      </c>
    </row>
    <row r="52" spans="1:8" x14ac:dyDescent="0.15">
      <c r="A52" s="8" t="s">
        <v>168</v>
      </c>
      <c r="B52" s="8" t="s">
        <v>64</v>
      </c>
      <c r="C52" s="8" t="s">
        <v>30</v>
      </c>
      <c r="D52" s="6">
        <v>43878</v>
      </c>
      <c r="E52" s="4" t="str">
        <f>YEAR(AtlasReport_1_Table_1[[#This Row],[Date]]) &amp; TEXT(WEEKNUM(AtlasReport_1_Table_1[[#This Row],[Date]]),"00")</f>
        <v>202008</v>
      </c>
      <c r="F52" s="4">
        <v>0</v>
      </c>
      <c r="G52" s="4">
        <v>2343.0700000000002</v>
      </c>
      <c r="H52" s="8" t="s">
        <v>33</v>
      </c>
    </row>
    <row r="53" spans="1:8" x14ac:dyDescent="0.15">
      <c r="A53" s="8" t="s">
        <v>169</v>
      </c>
      <c r="B53" s="8" t="s">
        <v>64</v>
      </c>
      <c r="C53" s="8" t="s">
        <v>30</v>
      </c>
      <c r="D53" s="6">
        <v>43938</v>
      </c>
      <c r="E53" s="4" t="str">
        <f>YEAR(AtlasReport_1_Table_1[[#This Row],[Date]]) &amp; TEXT(WEEKNUM(AtlasReport_1_Table_1[[#This Row],[Date]]),"00")</f>
        <v>202016</v>
      </c>
      <c r="F53" s="4">
        <v>0</v>
      </c>
      <c r="G53" s="4">
        <v>4793.05</v>
      </c>
      <c r="H53" s="8" t="s">
        <v>33</v>
      </c>
    </row>
    <row r="54" spans="1:8" x14ac:dyDescent="0.15">
      <c r="A54" s="8" t="s">
        <v>170</v>
      </c>
      <c r="B54" s="8" t="s">
        <v>64</v>
      </c>
      <c r="C54" s="8" t="s">
        <v>29</v>
      </c>
      <c r="D54" s="6">
        <v>44166</v>
      </c>
      <c r="E54" s="4" t="str">
        <f>YEAR(AtlasReport_1_Table_1[[#This Row],[Date]]) &amp; TEXT(WEEKNUM(AtlasReport_1_Table_1[[#This Row],[Date]]),"00")</f>
        <v>202049</v>
      </c>
      <c r="F54" s="4">
        <v>0</v>
      </c>
      <c r="G54" s="4">
        <v>2266</v>
      </c>
      <c r="H54" s="8" t="s">
        <v>33</v>
      </c>
    </row>
    <row r="55" spans="1:8" x14ac:dyDescent="0.15">
      <c r="A55" s="8" t="s">
        <v>171</v>
      </c>
      <c r="B55" s="8" t="s">
        <v>65</v>
      </c>
      <c r="C55" s="8" t="s">
        <v>29</v>
      </c>
      <c r="D55" s="6">
        <v>43859</v>
      </c>
      <c r="E55" s="4" t="str">
        <f>YEAR(AtlasReport_1_Table_1[[#This Row],[Date]]) &amp; TEXT(WEEKNUM(AtlasReport_1_Table_1[[#This Row],[Date]]),"00")</f>
        <v>202005</v>
      </c>
      <c r="F55" s="4">
        <v>0</v>
      </c>
      <c r="G55" s="4">
        <v>2480</v>
      </c>
      <c r="H55" s="8" t="s">
        <v>33</v>
      </c>
    </row>
    <row r="56" spans="1:8" x14ac:dyDescent="0.15">
      <c r="A56" s="8" t="s">
        <v>172</v>
      </c>
      <c r="B56" s="8" t="s">
        <v>65</v>
      </c>
      <c r="C56" s="8" t="s">
        <v>30</v>
      </c>
      <c r="D56" s="6">
        <v>43943</v>
      </c>
      <c r="E56" s="4" t="str">
        <f>YEAR(AtlasReport_1_Table_1[[#This Row],[Date]]) &amp; TEXT(WEEKNUM(AtlasReport_1_Table_1[[#This Row],[Date]]),"00")</f>
        <v>202017</v>
      </c>
      <c r="F56" s="4">
        <v>0</v>
      </c>
      <c r="G56" s="4">
        <v>889.93999999999994</v>
      </c>
      <c r="H56" s="8" t="s">
        <v>33</v>
      </c>
    </row>
    <row r="57" spans="1:8" x14ac:dyDescent="0.15">
      <c r="A57" s="8" t="s">
        <v>173</v>
      </c>
      <c r="B57" s="8" t="s">
        <v>65</v>
      </c>
      <c r="C57" s="8" t="s">
        <v>28</v>
      </c>
      <c r="D57" s="6">
        <v>43949</v>
      </c>
      <c r="E57" s="4" t="str">
        <f>YEAR(AtlasReport_1_Table_1[[#This Row],[Date]]) &amp; TEXT(WEEKNUM(AtlasReport_1_Table_1[[#This Row],[Date]]),"00")</f>
        <v>202018</v>
      </c>
      <c r="F57" s="4">
        <v>0</v>
      </c>
      <c r="G57" s="4">
        <v>1430</v>
      </c>
      <c r="H57" s="8" t="s">
        <v>33</v>
      </c>
    </row>
    <row r="58" spans="1:8" x14ac:dyDescent="0.15">
      <c r="A58" s="8" t="s">
        <v>174</v>
      </c>
      <c r="B58" s="8" t="s">
        <v>65</v>
      </c>
      <c r="C58" s="8" t="s">
        <v>29</v>
      </c>
      <c r="D58" s="6">
        <v>44022</v>
      </c>
      <c r="E58" s="4" t="str">
        <f>YEAR(AtlasReport_1_Table_1[[#This Row],[Date]]) &amp; TEXT(WEEKNUM(AtlasReport_1_Table_1[[#This Row],[Date]]),"00")</f>
        <v>202028</v>
      </c>
      <c r="F58" s="4">
        <v>0</v>
      </c>
      <c r="G58" s="4">
        <v>2454</v>
      </c>
      <c r="H58" s="8" t="s">
        <v>33</v>
      </c>
    </row>
    <row r="59" spans="1:8" x14ac:dyDescent="0.15">
      <c r="A59" s="8" t="s">
        <v>175</v>
      </c>
      <c r="B59" s="8" t="s">
        <v>65</v>
      </c>
      <c r="C59" s="8" t="s">
        <v>29</v>
      </c>
      <c r="D59" s="6">
        <v>44116</v>
      </c>
      <c r="E59" s="4" t="str">
        <f>YEAR(AtlasReport_1_Table_1[[#This Row],[Date]]) &amp; TEXT(WEEKNUM(AtlasReport_1_Table_1[[#This Row],[Date]]),"00")</f>
        <v>202042</v>
      </c>
      <c r="F59" s="4">
        <v>0</v>
      </c>
      <c r="G59" s="4">
        <v>5099</v>
      </c>
      <c r="H59" s="8" t="s">
        <v>33</v>
      </c>
    </row>
    <row r="60" spans="1:8" x14ac:dyDescent="0.15">
      <c r="A60" s="8" t="s">
        <v>176</v>
      </c>
      <c r="B60" s="8" t="s">
        <v>65</v>
      </c>
      <c r="C60" s="8" t="s">
        <v>29</v>
      </c>
      <c r="D60" s="6">
        <v>44131</v>
      </c>
      <c r="E60" s="4" t="str">
        <f>YEAR(AtlasReport_1_Table_1[[#This Row],[Date]]) &amp; TEXT(WEEKNUM(AtlasReport_1_Table_1[[#This Row],[Date]]),"00")</f>
        <v>202044</v>
      </c>
      <c r="F60" s="4">
        <v>0</v>
      </c>
      <c r="G60" s="4">
        <v>1346</v>
      </c>
      <c r="H60" s="8" t="s">
        <v>33</v>
      </c>
    </row>
    <row r="61" spans="1:8" x14ac:dyDescent="0.15">
      <c r="A61" s="8" t="s">
        <v>177</v>
      </c>
      <c r="B61" s="8" t="s">
        <v>66</v>
      </c>
      <c r="C61" s="8" t="s">
        <v>62</v>
      </c>
      <c r="D61" s="6">
        <v>43882</v>
      </c>
      <c r="E61" s="4" t="str">
        <f>YEAR(AtlasReport_1_Table_1[[#This Row],[Date]]) &amp; TEXT(WEEKNUM(AtlasReport_1_Table_1[[#This Row],[Date]]),"00")</f>
        <v>202008</v>
      </c>
      <c r="F61" s="4">
        <v>0</v>
      </c>
      <c r="G61" s="4">
        <v>6305.65</v>
      </c>
      <c r="H61" s="8" t="s">
        <v>33</v>
      </c>
    </row>
    <row r="62" spans="1:8" x14ac:dyDescent="0.15">
      <c r="A62" s="8" t="s">
        <v>178</v>
      </c>
      <c r="B62" s="8" t="s">
        <v>66</v>
      </c>
      <c r="C62" s="8" t="s">
        <v>28</v>
      </c>
      <c r="D62" s="6">
        <v>43895</v>
      </c>
      <c r="E62" s="4" t="str">
        <f>YEAR(AtlasReport_1_Table_1[[#This Row],[Date]]) &amp; TEXT(WEEKNUM(AtlasReport_1_Table_1[[#This Row],[Date]]),"00")</f>
        <v>202010</v>
      </c>
      <c r="F62" s="4">
        <v>0</v>
      </c>
      <c r="G62" s="4">
        <v>2283.88</v>
      </c>
      <c r="H62" s="8" t="s">
        <v>33</v>
      </c>
    </row>
    <row r="63" spans="1:8" x14ac:dyDescent="0.15">
      <c r="A63" s="8" t="s">
        <v>179</v>
      </c>
      <c r="B63" s="8" t="s">
        <v>66</v>
      </c>
      <c r="C63" s="8" t="s">
        <v>28</v>
      </c>
      <c r="D63" s="6">
        <v>43951</v>
      </c>
      <c r="E63" s="4" t="str">
        <f>YEAR(AtlasReport_1_Table_1[[#This Row],[Date]]) &amp; TEXT(WEEKNUM(AtlasReport_1_Table_1[[#This Row],[Date]]),"00")</f>
        <v>202018</v>
      </c>
      <c r="F63" s="4">
        <v>0</v>
      </c>
      <c r="G63" s="4">
        <v>2004.8</v>
      </c>
      <c r="H63" s="8" t="s">
        <v>33</v>
      </c>
    </row>
    <row r="64" spans="1:8" x14ac:dyDescent="0.15">
      <c r="A64" s="8" t="s">
        <v>180</v>
      </c>
      <c r="B64" s="8" t="s">
        <v>66</v>
      </c>
      <c r="C64" s="8" t="s">
        <v>28</v>
      </c>
      <c r="D64" s="6">
        <v>43986</v>
      </c>
      <c r="E64" s="4" t="str">
        <f>YEAR(AtlasReport_1_Table_1[[#This Row],[Date]]) &amp; TEXT(WEEKNUM(AtlasReport_1_Table_1[[#This Row],[Date]]),"00")</f>
        <v>202023</v>
      </c>
      <c r="F64" s="4">
        <v>0</v>
      </c>
      <c r="G64" s="4">
        <v>2144.16</v>
      </c>
      <c r="H64" s="8" t="s">
        <v>33</v>
      </c>
    </row>
    <row r="65" spans="1:8" x14ac:dyDescent="0.15">
      <c r="A65" s="8" t="s">
        <v>181</v>
      </c>
      <c r="B65" s="8" t="s">
        <v>66</v>
      </c>
      <c r="C65" s="8" t="s">
        <v>29</v>
      </c>
      <c r="D65" s="6">
        <v>44074</v>
      </c>
      <c r="E65" s="4" t="str">
        <f>YEAR(AtlasReport_1_Table_1[[#This Row],[Date]]) &amp; TEXT(WEEKNUM(AtlasReport_1_Table_1[[#This Row],[Date]]),"00")</f>
        <v>202036</v>
      </c>
      <c r="F65" s="4">
        <v>0</v>
      </c>
      <c r="G65" s="4">
        <v>6028.89</v>
      </c>
      <c r="H65" s="8" t="s">
        <v>33</v>
      </c>
    </row>
    <row r="66" spans="1:8" x14ac:dyDescent="0.15">
      <c r="A66" s="8" t="s">
        <v>182</v>
      </c>
      <c r="B66" s="8" t="s">
        <v>66</v>
      </c>
      <c r="C66" s="8" t="s">
        <v>30</v>
      </c>
      <c r="D66" s="6">
        <v>44173</v>
      </c>
      <c r="E66" s="4" t="str">
        <f>YEAR(AtlasReport_1_Table_1[[#This Row],[Date]]) &amp; TEXT(WEEKNUM(AtlasReport_1_Table_1[[#This Row],[Date]]),"00")</f>
        <v>202050</v>
      </c>
      <c r="F66" s="4">
        <v>0</v>
      </c>
      <c r="G66" s="4">
        <v>7888.6</v>
      </c>
      <c r="H66" s="8" t="s">
        <v>33</v>
      </c>
    </row>
    <row r="67" spans="1:8" x14ac:dyDescent="0.15">
      <c r="A67" s="8" t="s">
        <v>183</v>
      </c>
      <c r="B67" s="8" t="s">
        <v>67</v>
      </c>
      <c r="C67" s="8" t="s">
        <v>29</v>
      </c>
      <c r="D67" s="6">
        <v>43872</v>
      </c>
      <c r="E67" s="4" t="str">
        <f>YEAR(AtlasReport_1_Table_1[[#This Row],[Date]]) &amp; TEXT(WEEKNUM(AtlasReport_1_Table_1[[#This Row],[Date]]),"00")</f>
        <v>202007</v>
      </c>
      <c r="F67" s="4">
        <v>0</v>
      </c>
      <c r="G67" s="4">
        <v>1740</v>
      </c>
      <c r="H67" s="8" t="s">
        <v>33</v>
      </c>
    </row>
    <row r="68" spans="1:8" x14ac:dyDescent="0.15">
      <c r="A68" s="8" t="s">
        <v>184</v>
      </c>
      <c r="B68" s="8" t="s">
        <v>67</v>
      </c>
      <c r="C68" s="8" t="s">
        <v>28</v>
      </c>
      <c r="D68" s="6">
        <v>43917</v>
      </c>
      <c r="E68" s="4" t="str">
        <f>YEAR(AtlasReport_1_Table_1[[#This Row],[Date]]) &amp; TEXT(WEEKNUM(AtlasReport_1_Table_1[[#This Row],[Date]]),"00")</f>
        <v>202013</v>
      </c>
      <c r="F68" s="4">
        <v>0</v>
      </c>
      <c r="G68" s="4">
        <v>200</v>
      </c>
      <c r="H68" s="8" t="s">
        <v>33</v>
      </c>
    </row>
    <row r="69" spans="1:8" x14ac:dyDescent="0.15">
      <c r="A69" s="8" t="s">
        <v>184</v>
      </c>
      <c r="B69" s="8" t="s">
        <v>67</v>
      </c>
      <c r="C69" s="8" t="s">
        <v>28</v>
      </c>
      <c r="D69" s="6">
        <v>43917</v>
      </c>
      <c r="E69" s="4" t="str">
        <f>YEAR(AtlasReport_1_Table_1[[#This Row],[Date]]) &amp; TEXT(WEEKNUM(AtlasReport_1_Table_1[[#This Row],[Date]]),"00")</f>
        <v>202013</v>
      </c>
      <c r="F69" s="4">
        <v>0</v>
      </c>
      <c r="G69" s="4">
        <v>2619.25</v>
      </c>
      <c r="H69" s="8" t="s">
        <v>33</v>
      </c>
    </row>
    <row r="70" spans="1:8" x14ac:dyDescent="0.15">
      <c r="A70" s="8" t="s">
        <v>185</v>
      </c>
      <c r="B70" s="8" t="s">
        <v>67</v>
      </c>
      <c r="C70" s="8" t="s">
        <v>29</v>
      </c>
      <c r="D70" s="6">
        <v>44006</v>
      </c>
      <c r="E70" s="4" t="str">
        <f>YEAR(AtlasReport_1_Table_1[[#This Row],[Date]]) &amp; TEXT(WEEKNUM(AtlasReport_1_Table_1[[#This Row],[Date]]),"00")</f>
        <v>202026</v>
      </c>
      <c r="F70" s="4">
        <v>0</v>
      </c>
      <c r="G70" s="4">
        <v>549.5</v>
      </c>
      <c r="H70" s="8" t="s">
        <v>33</v>
      </c>
    </row>
    <row r="71" spans="1:8" x14ac:dyDescent="0.15">
      <c r="A71" s="8" t="s">
        <v>185</v>
      </c>
      <c r="B71" s="8" t="s">
        <v>67</v>
      </c>
      <c r="C71" s="8" t="s">
        <v>29</v>
      </c>
      <c r="D71" s="6">
        <v>44008</v>
      </c>
      <c r="E71" s="4" t="str">
        <f>YEAR(AtlasReport_1_Table_1[[#This Row],[Date]]) &amp; TEXT(WEEKNUM(AtlasReport_1_Table_1[[#This Row],[Date]]),"00")</f>
        <v>202026</v>
      </c>
      <c r="F71" s="4">
        <v>0</v>
      </c>
      <c r="G71" s="4">
        <v>1239.25</v>
      </c>
      <c r="H71" s="8" t="s">
        <v>33</v>
      </c>
    </row>
    <row r="72" spans="1:8" x14ac:dyDescent="0.15">
      <c r="A72" s="8" t="s">
        <v>186</v>
      </c>
      <c r="B72" s="8" t="s">
        <v>67</v>
      </c>
      <c r="C72" s="8" t="s">
        <v>29</v>
      </c>
      <c r="D72" s="6">
        <v>44041</v>
      </c>
      <c r="E72" s="4" t="str">
        <f>YEAR(AtlasReport_1_Table_1[[#This Row],[Date]]) &amp; TEXT(WEEKNUM(AtlasReport_1_Table_1[[#This Row],[Date]]),"00")</f>
        <v>202031</v>
      </c>
      <c r="F72" s="4">
        <v>0</v>
      </c>
      <c r="G72" s="4">
        <v>1148</v>
      </c>
      <c r="H72" s="8" t="s">
        <v>33</v>
      </c>
    </row>
    <row r="73" spans="1:8" x14ac:dyDescent="0.15">
      <c r="A73" s="8" t="s">
        <v>187</v>
      </c>
      <c r="B73" s="8" t="s">
        <v>67</v>
      </c>
      <c r="C73" s="8" t="s">
        <v>28</v>
      </c>
      <c r="D73" s="6">
        <v>44082</v>
      </c>
      <c r="E73" s="4" t="str">
        <f>YEAR(AtlasReport_1_Table_1[[#This Row],[Date]]) &amp; TEXT(WEEKNUM(AtlasReport_1_Table_1[[#This Row],[Date]]),"00")</f>
        <v>202037</v>
      </c>
      <c r="F73" s="4">
        <v>0</v>
      </c>
      <c r="G73" s="4">
        <v>1552</v>
      </c>
      <c r="H73" s="8" t="s">
        <v>33</v>
      </c>
    </row>
    <row r="74" spans="1:8" x14ac:dyDescent="0.15">
      <c r="A74" s="8" t="s">
        <v>188</v>
      </c>
      <c r="B74" s="8" t="s">
        <v>67</v>
      </c>
      <c r="C74" s="8" t="s">
        <v>28</v>
      </c>
      <c r="D74" s="6">
        <v>44095</v>
      </c>
      <c r="E74" s="4" t="str">
        <f>YEAR(AtlasReport_1_Table_1[[#This Row],[Date]]) &amp; TEXT(WEEKNUM(AtlasReport_1_Table_1[[#This Row],[Date]]),"00")</f>
        <v>202039</v>
      </c>
      <c r="F74" s="4">
        <v>0</v>
      </c>
      <c r="G74" s="4">
        <v>1869.64</v>
      </c>
      <c r="H74" s="8" t="s">
        <v>33</v>
      </c>
    </row>
    <row r="75" spans="1:8" x14ac:dyDescent="0.15">
      <c r="A75" s="8" t="s">
        <v>189</v>
      </c>
      <c r="B75" s="8" t="s">
        <v>67</v>
      </c>
      <c r="C75" s="8" t="s">
        <v>28</v>
      </c>
      <c r="D75" s="6">
        <v>44159</v>
      </c>
      <c r="E75" s="4" t="str">
        <f>YEAR(AtlasReport_1_Table_1[[#This Row],[Date]]) &amp; TEXT(WEEKNUM(AtlasReport_1_Table_1[[#This Row],[Date]]),"00")</f>
        <v>202048</v>
      </c>
      <c r="F75" s="4">
        <v>0</v>
      </c>
      <c r="G75" s="4">
        <v>13</v>
      </c>
      <c r="H75" s="8" t="s">
        <v>33</v>
      </c>
    </row>
    <row r="76" spans="1:8" x14ac:dyDescent="0.15">
      <c r="A76" s="8" t="s">
        <v>189</v>
      </c>
      <c r="B76" s="8" t="s">
        <v>67</v>
      </c>
      <c r="C76" s="8" t="s">
        <v>28</v>
      </c>
      <c r="D76" s="6">
        <v>44160</v>
      </c>
      <c r="E76" s="4" t="str">
        <f>YEAR(AtlasReport_1_Table_1[[#This Row],[Date]]) &amp; TEXT(WEEKNUM(AtlasReport_1_Table_1[[#This Row],[Date]]),"00")</f>
        <v>202048</v>
      </c>
      <c r="F76" s="4">
        <v>0</v>
      </c>
      <c r="G76" s="4">
        <v>2833.6</v>
      </c>
      <c r="H76" s="8" t="s">
        <v>33</v>
      </c>
    </row>
    <row r="77" spans="1:8" x14ac:dyDescent="0.15">
      <c r="A77" s="8" t="s">
        <v>190</v>
      </c>
      <c r="B77" s="8" t="s">
        <v>108</v>
      </c>
      <c r="C77" s="8" t="s">
        <v>28</v>
      </c>
      <c r="D77" s="6">
        <v>43910</v>
      </c>
      <c r="E77" s="4" t="str">
        <f>YEAR(AtlasReport_1_Table_1[[#This Row],[Date]]) &amp; TEXT(WEEKNUM(AtlasReport_1_Table_1[[#This Row],[Date]]),"00")</f>
        <v>202012</v>
      </c>
      <c r="F77" s="4">
        <v>0</v>
      </c>
      <c r="G77" s="4">
        <v>1018</v>
      </c>
      <c r="H77" s="8" t="s">
        <v>33</v>
      </c>
    </row>
    <row r="78" spans="1:8" x14ac:dyDescent="0.15">
      <c r="A78" s="8" t="s">
        <v>190</v>
      </c>
      <c r="B78" s="8" t="s">
        <v>108</v>
      </c>
      <c r="C78" s="8" t="s">
        <v>28</v>
      </c>
      <c r="D78" s="6">
        <v>43910</v>
      </c>
      <c r="E78" s="4" t="str">
        <f>YEAR(AtlasReport_1_Table_1[[#This Row],[Date]]) &amp; TEXT(WEEKNUM(AtlasReport_1_Table_1[[#This Row],[Date]]),"00")</f>
        <v>202012</v>
      </c>
      <c r="F78" s="4">
        <v>0</v>
      </c>
      <c r="G78" s="4">
        <v>72</v>
      </c>
      <c r="H78" s="8" t="s">
        <v>33</v>
      </c>
    </row>
    <row r="79" spans="1:8" x14ac:dyDescent="0.15">
      <c r="A79" s="8" t="s">
        <v>191</v>
      </c>
      <c r="B79" s="8" t="s">
        <v>108</v>
      </c>
      <c r="C79" s="8" t="s">
        <v>28</v>
      </c>
      <c r="D79" s="6">
        <v>44042</v>
      </c>
      <c r="E79" s="4" t="str">
        <f>YEAR(AtlasReport_1_Table_1[[#This Row],[Date]]) &amp; TEXT(WEEKNUM(AtlasReport_1_Table_1[[#This Row],[Date]]),"00")</f>
        <v>202031</v>
      </c>
      <c r="F79" s="4">
        <v>0</v>
      </c>
      <c r="G79" s="4">
        <v>1106</v>
      </c>
      <c r="H79" s="8" t="s">
        <v>33</v>
      </c>
    </row>
    <row r="80" spans="1:8" x14ac:dyDescent="0.15">
      <c r="A80" s="8" t="s">
        <v>192</v>
      </c>
      <c r="B80" s="8" t="s">
        <v>108</v>
      </c>
      <c r="C80" s="8" t="s">
        <v>28</v>
      </c>
      <c r="D80" s="6">
        <v>44088</v>
      </c>
      <c r="E80" s="4" t="str">
        <f>YEAR(AtlasReport_1_Table_1[[#This Row],[Date]]) &amp; TEXT(WEEKNUM(AtlasReport_1_Table_1[[#This Row],[Date]]),"00")</f>
        <v>202038</v>
      </c>
      <c r="F80" s="4">
        <v>0</v>
      </c>
      <c r="G80" s="4">
        <v>2137</v>
      </c>
      <c r="H80" s="8" t="s">
        <v>33</v>
      </c>
    </row>
    <row r="81" spans="1:8" x14ac:dyDescent="0.15">
      <c r="A81" s="8" t="s">
        <v>193</v>
      </c>
      <c r="B81" s="8" t="s">
        <v>109</v>
      </c>
      <c r="C81" s="8" t="s">
        <v>29</v>
      </c>
      <c r="D81" s="6">
        <v>44043</v>
      </c>
      <c r="E81" s="4" t="str">
        <f>YEAR(AtlasReport_1_Table_1[[#This Row],[Date]]) &amp; TEXT(WEEKNUM(AtlasReport_1_Table_1[[#This Row],[Date]]),"00")</f>
        <v>202031</v>
      </c>
      <c r="F81" s="4">
        <v>0</v>
      </c>
      <c r="G81" s="4">
        <v>1173</v>
      </c>
      <c r="H81" s="8" t="s">
        <v>33</v>
      </c>
    </row>
    <row r="82" spans="1:8" x14ac:dyDescent="0.15">
      <c r="A82" s="8" t="s">
        <v>194</v>
      </c>
      <c r="B82" s="8" t="s">
        <v>109</v>
      </c>
      <c r="C82" s="8" t="s">
        <v>29</v>
      </c>
      <c r="D82" s="6">
        <v>44054</v>
      </c>
      <c r="E82" s="4" t="str">
        <f>YEAR(AtlasReport_1_Table_1[[#This Row],[Date]]) &amp; TEXT(WEEKNUM(AtlasReport_1_Table_1[[#This Row],[Date]]),"00")</f>
        <v>202033</v>
      </c>
      <c r="F82" s="4">
        <v>0</v>
      </c>
      <c r="G82" s="4">
        <v>498.48999999999995</v>
      </c>
      <c r="H82" s="8" t="s">
        <v>33</v>
      </c>
    </row>
    <row r="83" spans="1:8" x14ac:dyDescent="0.15">
      <c r="A83" s="8" t="s">
        <v>195</v>
      </c>
      <c r="B83" s="8" t="s">
        <v>109</v>
      </c>
      <c r="C83" s="8" t="s">
        <v>30</v>
      </c>
      <c r="D83" s="6">
        <v>44133</v>
      </c>
      <c r="E83" s="4" t="str">
        <f>YEAR(AtlasReport_1_Table_1[[#This Row],[Date]]) &amp; TEXT(WEEKNUM(AtlasReport_1_Table_1[[#This Row],[Date]]),"00")</f>
        <v>202044</v>
      </c>
      <c r="F83" s="4">
        <v>0</v>
      </c>
      <c r="G83" s="4">
        <v>244.71999999999997</v>
      </c>
      <c r="H83" s="8" t="s">
        <v>33</v>
      </c>
    </row>
    <row r="84" spans="1:8" x14ac:dyDescent="0.15">
      <c r="A84" s="8" t="s">
        <v>196</v>
      </c>
      <c r="B84" s="8" t="s">
        <v>68</v>
      </c>
      <c r="C84" s="8" t="s">
        <v>30</v>
      </c>
      <c r="D84" s="6">
        <v>43840</v>
      </c>
      <c r="E84" s="4" t="str">
        <f>YEAR(AtlasReport_1_Table_1[[#This Row],[Date]]) &amp; TEXT(WEEKNUM(AtlasReport_1_Table_1[[#This Row],[Date]]),"00")</f>
        <v>202002</v>
      </c>
      <c r="F84" s="4">
        <v>0</v>
      </c>
      <c r="G84" s="4">
        <v>775.45</v>
      </c>
      <c r="H84" s="8" t="s">
        <v>33</v>
      </c>
    </row>
    <row r="85" spans="1:8" x14ac:dyDescent="0.15">
      <c r="A85" s="8" t="s">
        <v>197</v>
      </c>
      <c r="B85" s="8" t="s">
        <v>68</v>
      </c>
      <c r="C85" s="8" t="s">
        <v>29</v>
      </c>
      <c r="D85" s="6">
        <v>43874</v>
      </c>
      <c r="E85" s="4" t="str">
        <f>YEAR(AtlasReport_1_Table_1[[#This Row],[Date]]) &amp; TEXT(WEEKNUM(AtlasReport_1_Table_1[[#This Row],[Date]]),"00")</f>
        <v>202007</v>
      </c>
      <c r="F85" s="4">
        <v>0</v>
      </c>
      <c r="G85" s="4">
        <v>1005</v>
      </c>
      <c r="H85" s="8" t="s">
        <v>33</v>
      </c>
    </row>
    <row r="86" spans="1:8" x14ac:dyDescent="0.15">
      <c r="A86" s="8" t="s">
        <v>198</v>
      </c>
      <c r="B86" s="8" t="s">
        <v>68</v>
      </c>
      <c r="C86" s="8" t="s">
        <v>30</v>
      </c>
      <c r="D86" s="6">
        <v>43910</v>
      </c>
      <c r="E86" s="4" t="str">
        <f>YEAR(AtlasReport_1_Table_1[[#This Row],[Date]]) &amp; TEXT(WEEKNUM(AtlasReport_1_Table_1[[#This Row],[Date]]),"00")</f>
        <v>202012</v>
      </c>
      <c r="F86" s="4">
        <v>0</v>
      </c>
      <c r="G86" s="4">
        <v>527.68999999999994</v>
      </c>
      <c r="H86" s="8" t="s">
        <v>33</v>
      </c>
    </row>
    <row r="87" spans="1:8" x14ac:dyDescent="0.15">
      <c r="A87" s="8" t="s">
        <v>199</v>
      </c>
      <c r="B87" s="8" t="s">
        <v>68</v>
      </c>
      <c r="C87" s="8" t="s">
        <v>29</v>
      </c>
      <c r="D87" s="6">
        <v>43937</v>
      </c>
      <c r="E87" s="4" t="str">
        <f>YEAR(AtlasReport_1_Table_1[[#This Row],[Date]]) &amp; TEXT(WEEKNUM(AtlasReport_1_Table_1[[#This Row],[Date]]),"00")</f>
        <v>202016</v>
      </c>
      <c r="F87" s="4">
        <v>0</v>
      </c>
      <c r="G87" s="4">
        <v>1146.92</v>
      </c>
      <c r="H87" s="8" t="s">
        <v>33</v>
      </c>
    </row>
    <row r="88" spans="1:8" x14ac:dyDescent="0.15">
      <c r="A88" s="8" t="s">
        <v>200</v>
      </c>
      <c r="B88" s="8" t="s">
        <v>68</v>
      </c>
      <c r="C88" s="8" t="s">
        <v>29</v>
      </c>
      <c r="D88" s="6">
        <v>44012</v>
      </c>
      <c r="E88" s="4" t="str">
        <f>YEAR(AtlasReport_1_Table_1[[#This Row],[Date]]) &amp; TEXT(WEEKNUM(AtlasReport_1_Table_1[[#This Row],[Date]]),"00")</f>
        <v>202027</v>
      </c>
      <c r="F88" s="4">
        <v>0</v>
      </c>
      <c r="G88" s="4">
        <v>500</v>
      </c>
      <c r="H88" s="8" t="s">
        <v>33</v>
      </c>
    </row>
    <row r="89" spans="1:8" x14ac:dyDescent="0.15">
      <c r="A89" s="8" t="s">
        <v>200</v>
      </c>
      <c r="B89" s="8" t="s">
        <v>68</v>
      </c>
      <c r="C89" s="8" t="s">
        <v>29</v>
      </c>
      <c r="D89" s="6">
        <v>44012</v>
      </c>
      <c r="E89" s="4" t="str">
        <f>YEAR(AtlasReport_1_Table_1[[#This Row],[Date]]) &amp; TEXT(WEEKNUM(AtlasReport_1_Table_1[[#This Row],[Date]]),"00")</f>
        <v>202027</v>
      </c>
      <c r="F89" s="4">
        <v>0</v>
      </c>
      <c r="G89" s="4">
        <v>-500</v>
      </c>
      <c r="H89" s="8" t="s">
        <v>33</v>
      </c>
    </row>
    <row r="90" spans="1:8" x14ac:dyDescent="0.15">
      <c r="A90" s="8" t="s">
        <v>200</v>
      </c>
      <c r="B90" s="8" t="s">
        <v>68</v>
      </c>
      <c r="C90" s="8" t="s">
        <v>29</v>
      </c>
      <c r="D90" s="6">
        <v>44014</v>
      </c>
      <c r="E90" s="4" t="str">
        <f>YEAR(AtlasReport_1_Table_1[[#This Row],[Date]]) &amp; TEXT(WEEKNUM(AtlasReport_1_Table_1[[#This Row],[Date]]),"00")</f>
        <v>202027</v>
      </c>
      <c r="F90" s="4">
        <v>0</v>
      </c>
      <c r="G90" s="4">
        <v>349</v>
      </c>
      <c r="H90" s="8" t="s">
        <v>33</v>
      </c>
    </row>
    <row r="91" spans="1:8" x14ac:dyDescent="0.15">
      <c r="A91" s="8" t="s">
        <v>201</v>
      </c>
      <c r="B91" s="8" t="s">
        <v>68</v>
      </c>
      <c r="C91" s="8" t="s">
        <v>29</v>
      </c>
      <c r="D91" s="6">
        <v>44085</v>
      </c>
      <c r="E91" s="4" t="str">
        <f>YEAR(AtlasReport_1_Table_1[[#This Row],[Date]]) &amp; TEXT(WEEKNUM(AtlasReport_1_Table_1[[#This Row],[Date]]),"00")</f>
        <v>202037</v>
      </c>
      <c r="F91" s="4">
        <v>0</v>
      </c>
      <c r="G91" s="4">
        <v>1279.5999999999999</v>
      </c>
      <c r="H91" s="8" t="s">
        <v>33</v>
      </c>
    </row>
    <row r="92" spans="1:8" x14ac:dyDescent="0.15">
      <c r="A92" s="8" t="s">
        <v>203</v>
      </c>
      <c r="B92" s="8" t="s">
        <v>202</v>
      </c>
      <c r="C92" s="8" t="s">
        <v>30</v>
      </c>
      <c r="D92" s="6">
        <v>43850</v>
      </c>
      <c r="E92" s="4" t="str">
        <f>YEAR(AtlasReport_1_Table_1[[#This Row],[Date]]) &amp; TEXT(WEEKNUM(AtlasReport_1_Table_1[[#This Row],[Date]]),"00")</f>
        <v>202004</v>
      </c>
      <c r="F92" s="4">
        <v>0</v>
      </c>
      <c r="G92" s="4">
        <v>6160</v>
      </c>
      <c r="H92" s="8" t="s">
        <v>33</v>
      </c>
    </row>
    <row r="93" spans="1:8" x14ac:dyDescent="0.15">
      <c r="A93" s="8" t="s">
        <v>204</v>
      </c>
      <c r="B93" s="8" t="s">
        <v>202</v>
      </c>
      <c r="C93" s="8" t="s">
        <v>30</v>
      </c>
      <c r="D93" s="6">
        <v>43851</v>
      </c>
      <c r="E93" s="4" t="str">
        <f>YEAR(AtlasReport_1_Table_1[[#This Row],[Date]]) &amp; TEXT(WEEKNUM(AtlasReport_1_Table_1[[#This Row],[Date]]),"00")</f>
        <v>202004</v>
      </c>
      <c r="F93" s="4">
        <v>0</v>
      </c>
      <c r="G93" s="4">
        <v>1</v>
      </c>
      <c r="H93" s="8" t="s">
        <v>33</v>
      </c>
    </row>
    <row r="94" spans="1:8" x14ac:dyDescent="0.15">
      <c r="A94" s="8" t="s">
        <v>204</v>
      </c>
      <c r="B94" s="8" t="s">
        <v>202</v>
      </c>
      <c r="C94" s="8" t="s">
        <v>30</v>
      </c>
      <c r="D94" s="6">
        <v>43851</v>
      </c>
      <c r="E94" s="4" t="str">
        <f>YEAR(AtlasReport_1_Table_1[[#This Row],[Date]]) &amp; TEXT(WEEKNUM(AtlasReport_1_Table_1[[#This Row],[Date]]),"00")</f>
        <v>202004</v>
      </c>
      <c r="F94" s="4">
        <v>0</v>
      </c>
      <c r="G94" s="4">
        <v>-1</v>
      </c>
      <c r="H94" s="8" t="s">
        <v>33</v>
      </c>
    </row>
    <row r="95" spans="1:8" x14ac:dyDescent="0.15">
      <c r="A95" s="8" t="s">
        <v>204</v>
      </c>
      <c r="B95" s="8" t="s">
        <v>202</v>
      </c>
      <c r="C95" s="8" t="s">
        <v>30</v>
      </c>
      <c r="D95" s="6">
        <v>43851</v>
      </c>
      <c r="E95" s="4" t="str">
        <f>YEAR(AtlasReport_1_Table_1[[#This Row],[Date]]) &amp; TEXT(WEEKNUM(AtlasReport_1_Table_1[[#This Row],[Date]]),"00")</f>
        <v>202004</v>
      </c>
      <c r="F95" s="4">
        <v>0</v>
      </c>
      <c r="G95" s="4">
        <v>1</v>
      </c>
      <c r="H95" s="8" t="s">
        <v>33</v>
      </c>
    </row>
    <row r="96" spans="1:8" x14ac:dyDescent="0.15">
      <c r="A96" s="8" t="s">
        <v>204</v>
      </c>
      <c r="B96" s="8" t="s">
        <v>202</v>
      </c>
      <c r="C96" s="8" t="s">
        <v>30</v>
      </c>
      <c r="D96" s="6">
        <v>43851</v>
      </c>
      <c r="E96" s="4" t="str">
        <f>YEAR(AtlasReport_1_Table_1[[#This Row],[Date]]) &amp; TEXT(WEEKNUM(AtlasReport_1_Table_1[[#This Row],[Date]]),"00")</f>
        <v>202004</v>
      </c>
      <c r="F96" s="4">
        <v>0</v>
      </c>
      <c r="G96" s="4">
        <v>-1</v>
      </c>
      <c r="H96" s="8" t="s">
        <v>33</v>
      </c>
    </row>
    <row r="97" spans="1:8" x14ac:dyDescent="0.15">
      <c r="A97" s="8" t="s">
        <v>204</v>
      </c>
      <c r="B97" s="8" t="s">
        <v>202</v>
      </c>
      <c r="C97" s="8" t="s">
        <v>30</v>
      </c>
      <c r="D97" s="6">
        <v>43851</v>
      </c>
      <c r="E97" s="4" t="str">
        <f>YEAR(AtlasReport_1_Table_1[[#This Row],[Date]]) &amp; TEXT(WEEKNUM(AtlasReport_1_Table_1[[#This Row],[Date]]),"00")</f>
        <v>202004</v>
      </c>
      <c r="F97" s="4">
        <v>0</v>
      </c>
      <c r="G97" s="4">
        <v>1</v>
      </c>
      <c r="H97" s="8" t="s">
        <v>33</v>
      </c>
    </row>
    <row r="98" spans="1:8" x14ac:dyDescent="0.15">
      <c r="A98" s="8" t="s">
        <v>205</v>
      </c>
      <c r="B98" s="8" t="s">
        <v>202</v>
      </c>
      <c r="C98" s="8" t="s">
        <v>29</v>
      </c>
      <c r="D98" s="6">
        <v>44049</v>
      </c>
      <c r="E98" s="4" t="str">
        <f>YEAR(AtlasReport_1_Table_1[[#This Row],[Date]]) &amp; TEXT(WEEKNUM(AtlasReport_1_Table_1[[#This Row],[Date]]),"00")</f>
        <v>202032</v>
      </c>
      <c r="F98" s="4">
        <v>0</v>
      </c>
      <c r="G98" s="4">
        <v>6200</v>
      </c>
      <c r="H98" s="8" t="s">
        <v>33</v>
      </c>
    </row>
    <row r="99" spans="1:8" x14ac:dyDescent="0.15">
      <c r="A99" s="8" t="s">
        <v>206</v>
      </c>
      <c r="B99" s="8" t="s">
        <v>202</v>
      </c>
      <c r="C99" s="8" t="s">
        <v>31</v>
      </c>
      <c r="D99" s="6">
        <v>44172</v>
      </c>
      <c r="E99" s="4" t="str">
        <f>YEAR(AtlasReport_1_Table_1[[#This Row],[Date]]) &amp; TEXT(WEEKNUM(AtlasReport_1_Table_1[[#This Row],[Date]]),"00")</f>
        <v>202050</v>
      </c>
      <c r="F99" s="4">
        <v>0</v>
      </c>
      <c r="G99" s="4">
        <v>6200</v>
      </c>
      <c r="H99" s="8" t="s">
        <v>33</v>
      </c>
    </row>
    <row r="100" spans="1:8" x14ac:dyDescent="0.15">
      <c r="A100" s="8" t="s">
        <v>207</v>
      </c>
      <c r="B100" s="8" t="s">
        <v>69</v>
      </c>
      <c r="C100" s="8" t="s">
        <v>30</v>
      </c>
      <c r="D100" s="6">
        <v>43914</v>
      </c>
      <c r="E100" s="4" t="str">
        <f>YEAR(AtlasReport_1_Table_1[[#This Row],[Date]]) &amp; TEXT(WEEKNUM(AtlasReport_1_Table_1[[#This Row],[Date]]),"00")</f>
        <v>202013</v>
      </c>
      <c r="F100" s="4">
        <v>0</v>
      </c>
      <c r="G100" s="4">
        <v>500</v>
      </c>
      <c r="H100" s="8" t="s">
        <v>33</v>
      </c>
    </row>
    <row r="101" spans="1:8" x14ac:dyDescent="0.15">
      <c r="A101" s="8" t="s">
        <v>208</v>
      </c>
      <c r="B101" s="8" t="s">
        <v>209</v>
      </c>
      <c r="C101" s="8" t="s">
        <v>30</v>
      </c>
      <c r="D101" s="6">
        <v>43977</v>
      </c>
      <c r="E101" s="4" t="str">
        <f>YEAR(AtlasReport_1_Table_1[[#This Row],[Date]]) &amp; TEXT(WEEKNUM(AtlasReport_1_Table_1[[#This Row],[Date]]),"00")</f>
        <v>202022</v>
      </c>
      <c r="F101" s="4">
        <v>0</v>
      </c>
      <c r="G101" s="4">
        <v>1730</v>
      </c>
      <c r="H101" s="8" t="s">
        <v>33</v>
      </c>
    </row>
    <row r="102" spans="1:8" x14ac:dyDescent="0.15">
      <c r="A102" s="8" t="s">
        <v>211</v>
      </c>
      <c r="B102" s="8" t="s">
        <v>210</v>
      </c>
      <c r="C102" s="8" t="s">
        <v>29</v>
      </c>
      <c r="D102" s="6">
        <v>44103</v>
      </c>
      <c r="E102" s="4" t="str">
        <f>YEAR(AtlasReport_1_Table_1[[#This Row],[Date]]) &amp; TEXT(WEEKNUM(AtlasReport_1_Table_1[[#This Row],[Date]]),"00")</f>
        <v>202040</v>
      </c>
      <c r="F102" s="4">
        <v>0</v>
      </c>
      <c r="G102" s="4">
        <v>1235</v>
      </c>
      <c r="H102" s="8" t="s">
        <v>33</v>
      </c>
    </row>
    <row r="103" spans="1:8" x14ac:dyDescent="0.15">
      <c r="A103" s="8" t="s">
        <v>213</v>
      </c>
      <c r="B103" s="8" t="s">
        <v>212</v>
      </c>
      <c r="C103" s="8" t="s">
        <v>28</v>
      </c>
      <c r="D103" s="6">
        <v>43837</v>
      </c>
      <c r="E103" s="4" t="str">
        <f>YEAR(AtlasReport_1_Table_1[[#This Row],[Date]]) &amp; TEXT(WEEKNUM(AtlasReport_1_Table_1[[#This Row],[Date]]),"00")</f>
        <v>202002</v>
      </c>
      <c r="F103" s="4">
        <v>0</v>
      </c>
      <c r="G103" s="4">
        <v>546.29999999999995</v>
      </c>
      <c r="H103" s="8" t="s">
        <v>33</v>
      </c>
    </row>
    <row r="104" spans="1:8" x14ac:dyDescent="0.15">
      <c r="A104" s="8" t="s">
        <v>214</v>
      </c>
      <c r="B104" s="8" t="s">
        <v>212</v>
      </c>
      <c r="C104" s="8" t="s">
        <v>29</v>
      </c>
      <c r="D104" s="6">
        <v>44106</v>
      </c>
      <c r="E104" s="4" t="str">
        <f>YEAR(AtlasReport_1_Table_1[[#This Row],[Date]]) &amp; TEXT(WEEKNUM(AtlasReport_1_Table_1[[#This Row],[Date]]),"00")</f>
        <v>202040</v>
      </c>
      <c r="F104" s="4">
        <v>0</v>
      </c>
      <c r="G104" s="4">
        <v>100</v>
      </c>
      <c r="H104" s="8" t="s">
        <v>33</v>
      </c>
    </row>
    <row r="105" spans="1:8" x14ac:dyDescent="0.15">
      <c r="A105" s="8" t="s">
        <v>214</v>
      </c>
      <c r="B105" s="8" t="s">
        <v>212</v>
      </c>
      <c r="C105" s="8" t="s">
        <v>29</v>
      </c>
      <c r="D105" s="6">
        <v>44106</v>
      </c>
      <c r="E105" s="4" t="str">
        <f>YEAR(AtlasReport_1_Table_1[[#This Row],[Date]]) &amp; TEXT(WEEKNUM(AtlasReport_1_Table_1[[#This Row],[Date]]),"00")</f>
        <v>202040</v>
      </c>
      <c r="F105" s="4">
        <v>0</v>
      </c>
      <c r="G105" s="4">
        <v>854</v>
      </c>
      <c r="H105" s="8" t="s">
        <v>33</v>
      </c>
    </row>
    <row r="106" spans="1:8" x14ac:dyDescent="0.15">
      <c r="A106" s="8" t="s">
        <v>216</v>
      </c>
      <c r="B106" s="8" t="s">
        <v>215</v>
      </c>
      <c r="C106" s="8" t="s">
        <v>28</v>
      </c>
      <c r="D106" s="6">
        <v>44049</v>
      </c>
      <c r="E106" s="4" t="str">
        <f>YEAR(AtlasReport_1_Table_1[[#This Row],[Date]]) &amp; TEXT(WEEKNUM(AtlasReport_1_Table_1[[#This Row],[Date]]),"00")</f>
        <v>202032</v>
      </c>
      <c r="F106" s="4">
        <v>0</v>
      </c>
      <c r="G106" s="4">
        <v>1094</v>
      </c>
      <c r="H106" s="8" t="s">
        <v>33</v>
      </c>
    </row>
    <row r="107" spans="1:8" x14ac:dyDescent="0.15">
      <c r="A107" s="8" t="s">
        <v>218</v>
      </c>
      <c r="B107" s="8" t="s">
        <v>217</v>
      </c>
      <c r="C107" s="8" t="s">
        <v>28</v>
      </c>
      <c r="D107" s="6">
        <v>43896</v>
      </c>
      <c r="E107" s="4" t="str">
        <f>YEAR(AtlasReport_1_Table_1[[#This Row],[Date]]) &amp; TEXT(WEEKNUM(AtlasReport_1_Table_1[[#This Row],[Date]]),"00")</f>
        <v>202010</v>
      </c>
      <c r="F107" s="4">
        <v>0</v>
      </c>
      <c r="G107" s="4">
        <v>725</v>
      </c>
      <c r="H107" s="8" t="s">
        <v>33</v>
      </c>
    </row>
    <row r="108" spans="1:8" x14ac:dyDescent="0.15">
      <c r="A108" s="8" t="s">
        <v>218</v>
      </c>
      <c r="B108" s="8" t="s">
        <v>217</v>
      </c>
      <c r="C108" s="8" t="s">
        <v>28</v>
      </c>
      <c r="D108" s="6">
        <v>43902</v>
      </c>
      <c r="E108" s="4" t="str">
        <f>YEAR(AtlasReport_1_Table_1[[#This Row],[Date]]) &amp; TEXT(WEEKNUM(AtlasReport_1_Table_1[[#This Row],[Date]]),"00")</f>
        <v>202011</v>
      </c>
      <c r="F108" s="4">
        <v>0</v>
      </c>
      <c r="G108" s="4">
        <v>0</v>
      </c>
      <c r="H108" s="8" t="s">
        <v>33</v>
      </c>
    </row>
    <row r="109" spans="1:8" x14ac:dyDescent="0.15">
      <c r="A109" s="8" t="s">
        <v>219</v>
      </c>
      <c r="B109" s="8" t="s">
        <v>217</v>
      </c>
      <c r="C109" s="8" t="s">
        <v>29</v>
      </c>
      <c r="D109" s="6">
        <v>44131</v>
      </c>
      <c r="E109" s="4" t="str">
        <f>YEAR(AtlasReport_1_Table_1[[#This Row],[Date]]) &amp; TEXT(WEEKNUM(AtlasReport_1_Table_1[[#This Row],[Date]]),"00")</f>
        <v>202044</v>
      </c>
      <c r="F109" s="4">
        <v>0</v>
      </c>
      <c r="G109" s="4">
        <v>996</v>
      </c>
      <c r="H109" s="8" t="s">
        <v>33</v>
      </c>
    </row>
    <row r="110" spans="1:8" x14ac:dyDescent="0.15">
      <c r="A110" s="8" t="s">
        <v>220</v>
      </c>
      <c r="B110" s="8" t="s">
        <v>70</v>
      </c>
      <c r="C110" s="8" t="s">
        <v>29</v>
      </c>
      <c r="D110" s="6">
        <v>43864</v>
      </c>
      <c r="E110" s="4" t="str">
        <f>YEAR(AtlasReport_1_Table_1[[#This Row],[Date]]) &amp; TEXT(WEEKNUM(AtlasReport_1_Table_1[[#This Row],[Date]]),"00")</f>
        <v>202006</v>
      </c>
      <c r="F110" s="4">
        <v>0</v>
      </c>
      <c r="G110" s="4">
        <v>775</v>
      </c>
      <c r="H110" s="8" t="s">
        <v>33</v>
      </c>
    </row>
    <row r="111" spans="1:8" x14ac:dyDescent="0.15">
      <c r="A111" s="8" t="s">
        <v>221</v>
      </c>
      <c r="B111" s="8" t="s">
        <v>70</v>
      </c>
      <c r="C111" s="8" t="s">
        <v>29</v>
      </c>
      <c r="D111" s="6">
        <v>43984</v>
      </c>
      <c r="E111" s="4" t="str">
        <f>YEAR(AtlasReport_1_Table_1[[#This Row],[Date]]) &amp; TEXT(WEEKNUM(AtlasReport_1_Table_1[[#This Row],[Date]]),"00")</f>
        <v>202023</v>
      </c>
      <c r="F111" s="4">
        <v>0</v>
      </c>
      <c r="G111" s="4">
        <v>1056</v>
      </c>
      <c r="H111" s="8" t="s">
        <v>33</v>
      </c>
    </row>
    <row r="112" spans="1:8" x14ac:dyDescent="0.15">
      <c r="A112" s="8" t="s">
        <v>222</v>
      </c>
      <c r="B112" s="8" t="s">
        <v>70</v>
      </c>
      <c r="C112" s="8" t="s">
        <v>29</v>
      </c>
      <c r="D112" s="6">
        <v>44111</v>
      </c>
      <c r="E112" s="4" t="str">
        <f>YEAR(AtlasReport_1_Table_1[[#This Row],[Date]]) &amp; TEXT(WEEKNUM(AtlasReport_1_Table_1[[#This Row],[Date]]),"00")</f>
        <v>202041</v>
      </c>
      <c r="F112" s="4">
        <v>0</v>
      </c>
      <c r="G112" s="4">
        <v>982</v>
      </c>
      <c r="H112" s="8" t="s">
        <v>33</v>
      </c>
    </row>
    <row r="113" spans="1:8" x14ac:dyDescent="0.15">
      <c r="A113" s="8" t="s">
        <v>223</v>
      </c>
      <c r="B113" s="8" t="s">
        <v>71</v>
      </c>
      <c r="C113" s="8" t="s">
        <v>29</v>
      </c>
      <c r="D113" s="6">
        <v>43868</v>
      </c>
      <c r="E113" s="4" t="str">
        <f>YEAR(AtlasReport_1_Table_1[[#This Row],[Date]]) &amp; TEXT(WEEKNUM(AtlasReport_1_Table_1[[#This Row],[Date]]),"00")</f>
        <v>202006</v>
      </c>
      <c r="F113" s="4">
        <v>0</v>
      </c>
      <c r="G113" s="4">
        <v>378</v>
      </c>
      <c r="H113" s="8" t="s">
        <v>33</v>
      </c>
    </row>
    <row r="114" spans="1:8" x14ac:dyDescent="0.15">
      <c r="A114" s="8" t="s">
        <v>224</v>
      </c>
      <c r="B114" s="8" t="s">
        <v>71</v>
      </c>
      <c r="C114" s="8" t="s">
        <v>29</v>
      </c>
      <c r="D114" s="6">
        <v>43987</v>
      </c>
      <c r="E114" s="4" t="str">
        <f>YEAR(AtlasReport_1_Table_1[[#This Row],[Date]]) &amp; TEXT(WEEKNUM(AtlasReport_1_Table_1[[#This Row],[Date]]),"00")</f>
        <v>202023</v>
      </c>
      <c r="F114" s="4">
        <v>0</v>
      </c>
      <c r="G114" s="4">
        <v>403</v>
      </c>
      <c r="H114" s="8" t="s">
        <v>33</v>
      </c>
    </row>
    <row r="115" spans="1:8" x14ac:dyDescent="0.15">
      <c r="A115" s="8" t="s">
        <v>224</v>
      </c>
      <c r="B115" s="8" t="s">
        <v>71</v>
      </c>
      <c r="C115" s="8" t="s">
        <v>29</v>
      </c>
      <c r="D115" s="6">
        <v>43987</v>
      </c>
      <c r="E115" s="4" t="str">
        <f>YEAR(AtlasReport_1_Table_1[[#This Row],[Date]]) &amp; TEXT(WEEKNUM(AtlasReport_1_Table_1[[#This Row],[Date]]),"00")</f>
        <v>202023</v>
      </c>
      <c r="F115" s="4">
        <v>0</v>
      </c>
      <c r="G115" s="4">
        <v>403</v>
      </c>
      <c r="H115" s="8" t="s">
        <v>33</v>
      </c>
    </row>
    <row r="116" spans="1:8" x14ac:dyDescent="0.15">
      <c r="A116" s="8" t="s">
        <v>225</v>
      </c>
      <c r="B116" s="8" t="s">
        <v>226</v>
      </c>
      <c r="C116" s="8" t="s">
        <v>29</v>
      </c>
      <c r="D116" s="6">
        <v>44068</v>
      </c>
      <c r="E116" s="4" t="str">
        <f>YEAR(AtlasReport_1_Table_1[[#This Row],[Date]]) &amp; TEXT(WEEKNUM(AtlasReport_1_Table_1[[#This Row],[Date]]),"00")</f>
        <v>202035</v>
      </c>
      <c r="F116" s="4">
        <v>0</v>
      </c>
      <c r="G116" s="4">
        <v>1131</v>
      </c>
      <c r="H116" s="8" t="s">
        <v>33</v>
      </c>
    </row>
    <row r="117" spans="1:8" x14ac:dyDescent="0.15">
      <c r="A117" s="8" t="s">
        <v>227</v>
      </c>
      <c r="B117" s="8" t="s">
        <v>226</v>
      </c>
      <c r="C117" s="8" t="s">
        <v>28</v>
      </c>
      <c r="D117" s="6">
        <v>44131</v>
      </c>
      <c r="E117" s="4" t="str">
        <f>YEAR(AtlasReport_1_Table_1[[#This Row],[Date]]) &amp; TEXT(WEEKNUM(AtlasReport_1_Table_1[[#This Row],[Date]]),"00")</f>
        <v>202044</v>
      </c>
      <c r="F117" s="4">
        <v>0</v>
      </c>
      <c r="G117" s="4">
        <v>1224</v>
      </c>
      <c r="H117" s="8" t="s">
        <v>33</v>
      </c>
    </row>
    <row r="118" spans="1:8" x14ac:dyDescent="0.15">
      <c r="A118" s="8" t="s">
        <v>228</v>
      </c>
      <c r="B118" s="8" t="s">
        <v>110</v>
      </c>
      <c r="C118" s="8" t="s">
        <v>28</v>
      </c>
      <c r="D118" s="6">
        <v>43910</v>
      </c>
      <c r="E118" s="4" t="str">
        <f>YEAR(AtlasReport_1_Table_1[[#This Row],[Date]]) &amp; TEXT(WEEKNUM(AtlasReport_1_Table_1[[#This Row],[Date]]),"00")</f>
        <v>202012</v>
      </c>
      <c r="F118" s="4">
        <v>0</v>
      </c>
      <c r="G118" s="4">
        <v>1124</v>
      </c>
      <c r="H118" s="8" t="s">
        <v>33</v>
      </c>
    </row>
    <row r="119" spans="1:8" x14ac:dyDescent="0.15">
      <c r="A119" s="8" t="s">
        <v>229</v>
      </c>
      <c r="B119" s="8" t="s">
        <v>110</v>
      </c>
      <c r="C119" s="8" t="s">
        <v>29</v>
      </c>
      <c r="D119" s="6">
        <v>44062</v>
      </c>
      <c r="E119" s="4" t="str">
        <f>YEAR(AtlasReport_1_Table_1[[#This Row],[Date]]) &amp; TEXT(WEEKNUM(AtlasReport_1_Table_1[[#This Row],[Date]]),"00")</f>
        <v>202034</v>
      </c>
      <c r="F119" s="4">
        <v>0</v>
      </c>
      <c r="G119" s="4">
        <v>1933</v>
      </c>
      <c r="H119" s="8" t="s">
        <v>33</v>
      </c>
    </row>
    <row r="120" spans="1:8" x14ac:dyDescent="0.15">
      <c r="A120" s="8" t="s">
        <v>230</v>
      </c>
      <c r="B120" s="8" t="s">
        <v>72</v>
      </c>
      <c r="C120" s="8" t="s">
        <v>28</v>
      </c>
      <c r="D120" s="6">
        <v>43867</v>
      </c>
      <c r="E120" s="4" t="str">
        <f>YEAR(AtlasReport_1_Table_1[[#This Row],[Date]]) &amp; TEXT(WEEKNUM(AtlasReport_1_Table_1[[#This Row],[Date]]),"00")</f>
        <v>202006</v>
      </c>
      <c r="F120" s="4">
        <v>0</v>
      </c>
      <c r="G120" s="4">
        <v>1140</v>
      </c>
      <c r="H120" s="8" t="s">
        <v>33</v>
      </c>
    </row>
    <row r="121" spans="1:8" x14ac:dyDescent="0.15">
      <c r="A121" s="8" t="s">
        <v>231</v>
      </c>
      <c r="B121" s="8" t="s">
        <v>72</v>
      </c>
      <c r="C121" s="8" t="s">
        <v>28</v>
      </c>
      <c r="D121" s="6">
        <v>43952</v>
      </c>
      <c r="E121" s="4" t="str">
        <f>YEAR(AtlasReport_1_Table_1[[#This Row],[Date]]) &amp; TEXT(WEEKNUM(AtlasReport_1_Table_1[[#This Row],[Date]]),"00")</f>
        <v>202018</v>
      </c>
      <c r="F121" s="4">
        <v>0</v>
      </c>
      <c r="G121" s="4">
        <v>1866.5</v>
      </c>
      <c r="H121" s="8" t="s">
        <v>33</v>
      </c>
    </row>
    <row r="122" spans="1:8" x14ac:dyDescent="0.15">
      <c r="A122" s="8" t="s">
        <v>232</v>
      </c>
      <c r="B122" s="8" t="s">
        <v>72</v>
      </c>
      <c r="C122" s="8" t="s">
        <v>29</v>
      </c>
      <c r="D122" s="6">
        <v>44007</v>
      </c>
      <c r="E122" s="4" t="str">
        <f>YEAR(AtlasReport_1_Table_1[[#This Row],[Date]]) &amp; TEXT(WEEKNUM(AtlasReport_1_Table_1[[#This Row],[Date]]),"00")</f>
        <v>202026</v>
      </c>
      <c r="F122" s="4">
        <v>0</v>
      </c>
      <c r="G122" s="4">
        <v>1172</v>
      </c>
      <c r="H122" s="8" t="s">
        <v>33</v>
      </c>
    </row>
    <row r="123" spans="1:8" x14ac:dyDescent="0.15">
      <c r="A123" s="8" t="s">
        <v>232</v>
      </c>
      <c r="B123" s="8" t="s">
        <v>72</v>
      </c>
      <c r="C123" s="8" t="s">
        <v>29</v>
      </c>
      <c r="D123" s="6">
        <v>44012</v>
      </c>
      <c r="E123" s="4" t="str">
        <f>YEAR(AtlasReport_1_Table_1[[#This Row],[Date]]) &amp; TEXT(WEEKNUM(AtlasReport_1_Table_1[[#This Row],[Date]]),"00")</f>
        <v>202027</v>
      </c>
      <c r="F123" s="4">
        <v>0</v>
      </c>
      <c r="G123" s="4">
        <v>800</v>
      </c>
      <c r="H123" s="8" t="s">
        <v>33</v>
      </c>
    </row>
    <row r="124" spans="1:8" x14ac:dyDescent="0.15">
      <c r="A124" s="8" t="s">
        <v>232</v>
      </c>
      <c r="B124" s="8" t="s">
        <v>72</v>
      </c>
      <c r="C124" s="8" t="s">
        <v>29</v>
      </c>
      <c r="D124" s="6">
        <v>44012</v>
      </c>
      <c r="E124" s="4" t="str">
        <f>YEAR(AtlasReport_1_Table_1[[#This Row],[Date]]) &amp; TEXT(WEEKNUM(AtlasReport_1_Table_1[[#This Row],[Date]]),"00")</f>
        <v>202027</v>
      </c>
      <c r="F124" s="4">
        <v>0</v>
      </c>
      <c r="G124" s="4">
        <v>-800</v>
      </c>
      <c r="H124" s="8" t="s">
        <v>33</v>
      </c>
    </row>
    <row r="125" spans="1:8" x14ac:dyDescent="0.15">
      <c r="A125" s="8" t="s">
        <v>233</v>
      </c>
      <c r="B125" s="8" t="s">
        <v>234</v>
      </c>
      <c r="C125" s="8" t="s">
        <v>29</v>
      </c>
      <c r="D125" s="6">
        <v>44069</v>
      </c>
      <c r="E125" s="4" t="str">
        <f>YEAR(AtlasReport_1_Table_1[[#This Row],[Date]]) &amp; TEXT(WEEKNUM(AtlasReport_1_Table_1[[#This Row],[Date]]),"00")</f>
        <v>202035</v>
      </c>
      <c r="F125" s="4">
        <v>0</v>
      </c>
      <c r="G125" s="4">
        <v>1054</v>
      </c>
      <c r="H125" s="8" t="s">
        <v>33</v>
      </c>
    </row>
    <row r="126" spans="1:8" x14ac:dyDescent="0.15">
      <c r="A126" s="8" t="s">
        <v>235</v>
      </c>
      <c r="B126" s="8" t="s">
        <v>73</v>
      </c>
      <c r="C126" s="8" t="s">
        <v>28</v>
      </c>
      <c r="D126" s="6">
        <v>44012</v>
      </c>
      <c r="E126" s="4" t="str">
        <f>YEAR(AtlasReport_1_Table_1[[#This Row],[Date]]) &amp; TEXT(WEEKNUM(AtlasReport_1_Table_1[[#This Row],[Date]]),"00")</f>
        <v>202027</v>
      </c>
      <c r="F126" s="4">
        <v>0</v>
      </c>
      <c r="G126" s="4">
        <v>500</v>
      </c>
      <c r="H126" s="8" t="s">
        <v>33</v>
      </c>
    </row>
    <row r="127" spans="1:8" x14ac:dyDescent="0.15">
      <c r="A127" s="8" t="s">
        <v>235</v>
      </c>
      <c r="B127" s="8" t="s">
        <v>73</v>
      </c>
      <c r="C127" s="8" t="s">
        <v>28</v>
      </c>
      <c r="D127" s="6">
        <v>44012</v>
      </c>
      <c r="E127" s="4" t="str">
        <f>YEAR(AtlasReport_1_Table_1[[#This Row],[Date]]) &amp; TEXT(WEEKNUM(AtlasReport_1_Table_1[[#This Row],[Date]]),"00")</f>
        <v>202027</v>
      </c>
      <c r="F127" s="4">
        <v>0</v>
      </c>
      <c r="G127" s="4">
        <v>-500</v>
      </c>
      <c r="H127" s="8" t="s">
        <v>33</v>
      </c>
    </row>
    <row r="128" spans="1:8" x14ac:dyDescent="0.15">
      <c r="A128" s="8" t="s">
        <v>235</v>
      </c>
      <c r="B128" s="8" t="s">
        <v>73</v>
      </c>
      <c r="C128" s="8" t="s">
        <v>28</v>
      </c>
      <c r="D128" s="6">
        <v>44029</v>
      </c>
      <c r="E128" s="4" t="str">
        <f>YEAR(AtlasReport_1_Table_1[[#This Row],[Date]]) &amp; TEXT(WEEKNUM(AtlasReport_1_Table_1[[#This Row],[Date]]),"00")</f>
        <v>202029</v>
      </c>
      <c r="F128" s="4">
        <v>0</v>
      </c>
      <c r="G128" s="4">
        <v>520.76</v>
      </c>
      <c r="H128" s="8" t="s">
        <v>33</v>
      </c>
    </row>
    <row r="129" spans="1:8" x14ac:dyDescent="0.15">
      <c r="A129" s="8" t="s">
        <v>236</v>
      </c>
      <c r="B129" s="8" t="s">
        <v>74</v>
      </c>
      <c r="C129" s="8" t="s">
        <v>28</v>
      </c>
      <c r="D129" s="6">
        <v>43838</v>
      </c>
      <c r="E129" s="4" t="str">
        <f>YEAR(AtlasReport_1_Table_1[[#This Row],[Date]]) &amp; TEXT(WEEKNUM(AtlasReport_1_Table_1[[#This Row],[Date]]),"00")</f>
        <v>202002</v>
      </c>
      <c r="F129" s="4">
        <v>0</v>
      </c>
      <c r="G129" s="4">
        <v>2265</v>
      </c>
      <c r="H129" s="8" t="s">
        <v>33</v>
      </c>
    </row>
    <row r="130" spans="1:8" x14ac:dyDescent="0.15">
      <c r="A130" s="8" t="s">
        <v>237</v>
      </c>
      <c r="B130" s="8" t="s">
        <v>74</v>
      </c>
      <c r="C130" s="8" t="s">
        <v>28</v>
      </c>
      <c r="D130" s="6">
        <v>43945</v>
      </c>
      <c r="E130" s="4" t="str">
        <f>YEAR(AtlasReport_1_Table_1[[#This Row],[Date]]) &amp; TEXT(WEEKNUM(AtlasReport_1_Table_1[[#This Row],[Date]]),"00")</f>
        <v>202017</v>
      </c>
      <c r="F130" s="4">
        <v>0</v>
      </c>
      <c r="G130" s="4">
        <v>1186</v>
      </c>
      <c r="H130" s="8" t="s">
        <v>33</v>
      </c>
    </row>
    <row r="131" spans="1:8" x14ac:dyDescent="0.15">
      <c r="A131" s="8" t="s">
        <v>238</v>
      </c>
      <c r="B131" s="8" t="s">
        <v>74</v>
      </c>
      <c r="C131" s="8" t="s">
        <v>28</v>
      </c>
      <c r="D131" s="6">
        <v>44060</v>
      </c>
      <c r="E131" s="4" t="str">
        <f>YEAR(AtlasReport_1_Table_1[[#This Row],[Date]]) &amp; TEXT(WEEKNUM(AtlasReport_1_Table_1[[#This Row],[Date]]),"00")</f>
        <v>202034</v>
      </c>
      <c r="F131" s="4">
        <v>0</v>
      </c>
      <c r="G131" s="4">
        <v>2303</v>
      </c>
      <c r="H131" s="8" t="s">
        <v>33</v>
      </c>
    </row>
    <row r="132" spans="1:8" x14ac:dyDescent="0.15">
      <c r="A132" s="8" t="s">
        <v>239</v>
      </c>
      <c r="B132" s="8" t="s">
        <v>74</v>
      </c>
      <c r="C132" s="8" t="s">
        <v>30</v>
      </c>
      <c r="D132" s="6">
        <v>44182</v>
      </c>
      <c r="E132" s="4" t="str">
        <f>YEAR(AtlasReport_1_Table_1[[#This Row],[Date]]) &amp; TEXT(WEEKNUM(AtlasReport_1_Table_1[[#This Row],[Date]]),"00")</f>
        <v>202051</v>
      </c>
      <c r="F132" s="4">
        <v>0</v>
      </c>
      <c r="G132" s="4">
        <v>2222.5</v>
      </c>
      <c r="H132" s="8" t="s">
        <v>33</v>
      </c>
    </row>
    <row r="133" spans="1:8" x14ac:dyDescent="0.15">
      <c r="A133" s="8" t="s">
        <v>240</v>
      </c>
      <c r="B133" s="8" t="s">
        <v>111</v>
      </c>
      <c r="C133" s="8" t="s">
        <v>28</v>
      </c>
      <c r="D133" s="6">
        <v>44112</v>
      </c>
      <c r="E133" s="4" t="str">
        <f>YEAR(AtlasReport_1_Table_1[[#This Row],[Date]]) &amp; TEXT(WEEKNUM(AtlasReport_1_Table_1[[#This Row],[Date]]),"00")</f>
        <v>202041</v>
      </c>
      <c r="F133" s="4">
        <v>0</v>
      </c>
      <c r="G133" s="4">
        <v>3242</v>
      </c>
      <c r="H133" s="8" t="s">
        <v>33</v>
      </c>
    </row>
    <row r="134" spans="1:8" x14ac:dyDescent="0.15">
      <c r="A134" s="8" t="s">
        <v>241</v>
      </c>
      <c r="B134" s="8" t="s">
        <v>111</v>
      </c>
      <c r="C134" s="8" t="s">
        <v>30</v>
      </c>
      <c r="D134" s="6">
        <v>44130</v>
      </c>
      <c r="E134" s="4" t="str">
        <f>YEAR(AtlasReport_1_Table_1[[#This Row],[Date]]) &amp; TEXT(WEEKNUM(AtlasReport_1_Table_1[[#This Row],[Date]]),"00")</f>
        <v>202044</v>
      </c>
      <c r="F134" s="4">
        <v>0</v>
      </c>
      <c r="G134" s="4">
        <v>4200</v>
      </c>
      <c r="H134" s="8" t="s">
        <v>33</v>
      </c>
    </row>
    <row r="135" spans="1:8" x14ac:dyDescent="0.15">
      <c r="A135" s="8" t="s">
        <v>242</v>
      </c>
      <c r="B135" s="8" t="s">
        <v>111</v>
      </c>
      <c r="C135" s="8" t="s">
        <v>28</v>
      </c>
      <c r="D135" s="6">
        <v>44168</v>
      </c>
      <c r="E135" s="4" t="str">
        <f>YEAR(AtlasReport_1_Table_1[[#This Row],[Date]]) &amp; TEXT(WEEKNUM(AtlasReport_1_Table_1[[#This Row],[Date]]),"00")</f>
        <v>202049</v>
      </c>
      <c r="F135" s="4">
        <v>0</v>
      </c>
      <c r="G135" s="4">
        <v>5638.5</v>
      </c>
      <c r="H135" s="8" t="s">
        <v>33</v>
      </c>
    </row>
    <row r="136" spans="1:8" x14ac:dyDescent="0.15">
      <c r="A136" s="8" t="s">
        <v>243</v>
      </c>
      <c r="B136" s="8" t="s">
        <v>112</v>
      </c>
      <c r="C136" s="8" t="s">
        <v>28</v>
      </c>
      <c r="D136" s="6">
        <v>43958</v>
      </c>
      <c r="E136" s="4" t="str">
        <f>YEAR(AtlasReport_1_Table_1[[#This Row],[Date]]) &amp; TEXT(WEEKNUM(AtlasReport_1_Table_1[[#This Row],[Date]]),"00")</f>
        <v>202019</v>
      </c>
      <c r="F136" s="4">
        <v>0</v>
      </c>
      <c r="G136" s="4">
        <v>2097</v>
      </c>
      <c r="H136" s="8" t="s">
        <v>33</v>
      </c>
    </row>
    <row r="137" spans="1:8" x14ac:dyDescent="0.15">
      <c r="A137" s="8" t="s">
        <v>244</v>
      </c>
      <c r="B137" s="8" t="s">
        <v>75</v>
      </c>
      <c r="C137" s="8" t="s">
        <v>28</v>
      </c>
      <c r="D137" s="6">
        <v>43852</v>
      </c>
      <c r="E137" s="4" t="str">
        <f>YEAR(AtlasReport_1_Table_1[[#This Row],[Date]]) &amp; TEXT(WEEKNUM(AtlasReport_1_Table_1[[#This Row],[Date]]),"00")</f>
        <v>202004</v>
      </c>
      <c r="F137" s="4">
        <v>0</v>
      </c>
      <c r="G137" s="4">
        <v>5465</v>
      </c>
      <c r="H137" s="8" t="s">
        <v>33</v>
      </c>
    </row>
    <row r="138" spans="1:8" x14ac:dyDescent="0.15">
      <c r="A138" s="8" t="s">
        <v>245</v>
      </c>
      <c r="B138" s="8" t="s">
        <v>75</v>
      </c>
      <c r="C138" s="8" t="s">
        <v>28</v>
      </c>
      <c r="D138" s="6">
        <v>43865</v>
      </c>
      <c r="E138" s="4" t="str">
        <f>YEAR(AtlasReport_1_Table_1[[#This Row],[Date]]) &amp; TEXT(WEEKNUM(AtlasReport_1_Table_1[[#This Row],[Date]]),"00")</f>
        <v>202006</v>
      </c>
      <c r="F138" s="4">
        <v>0</v>
      </c>
      <c r="G138" s="4">
        <v>3797.7</v>
      </c>
      <c r="H138" s="8" t="s">
        <v>33</v>
      </c>
    </row>
    <row r="139" spans="1:8" x14ac:dyDescent="0.15">
      <c r="A139" s="8" t="s">
        <v>246</v>
      </c>
      <c r="B139" s="8" t="s">
        <v>75</v>
      </c>
      <c r="C139" s="8" t="s">
        <v>29</v>
      </c>
      <c r="D139" s="6">
        <v>43894</v>
      </c>
      <c r="E139" s="4" t="str">
        <f>YEAR(AtlasReport_1_Table_1[[#This Row],[Date]]) &amp; TEXT(WEEKNUM(AtlasReport_1_Table_1[[#This Row],[Date]]),"00")</f>
        <v>202010</v>
      </c>
      <c r="F139" s="4">
        <v>0</v>
      </c>
      <c r="G139" s="4">
        <v>4496.8</v>
      </c>
      <c r="H139" s="8" t="s">
        <v>33</v>
      </c>
    </row>
    <row r="140" spans="1:8" x14ac:dyDescent="0.15">
      <c r="A140" s="8" t="s">
        <v>247</v>
      </c>
      <c r="B140" s="8" t="s">
        <v>75</v>
      </c>
      <c r="C140" s="8" t="s">
        <v>28</v>
      </c>
      <c r="D140" s="6">
        <v>43938</v>
      </c>
      <c r="E140" s="4" t="str">
        <f>YEAR(AtlasReport_1_Table_1[[#This Row],[Date]]) &amp; TEXT(WEEKNUM(AtlasReport_1_Table_1[[#This Row],[Date]]),"00")</f>
        <v>202016</v>
      </c>
      <c r="F140" s="4">
        <v>0</v>
      </c>
      <c r="G140" s="4">
        <v>7231.2</v>
      </c>
      <c r="H140" s="8" t="s">
        <v>33</v>
      </c>
    </row>
    <row r="141" spans="1:8" x14ac:dyDescent="0.15">
      <c r="A141" s="8" t="s">
        <v>248</v>
      </c>
      <c r="B141" s="8" t="s">
        <v>75</v>
      </c>
      <c r="C141" s="8" t="s">
        <v>28</v>
      </c>
      <c r="D141" s="6">
        <v>43978</v>
      </c>
      <c r="E141" s="4" t="str">
        <f>YEAR(AtlasReport_1_Table_1[[#This Row],[Date]]) &amp; TEXT(WEEKNUM(AtlasReport_1_Table_1[[#This Row],[Date]]),"00")</f>
        <v>202022</v>
      </c>
      <c r="F141" s="4">
        <v>0</v>
      </c>
      <c r="G141" s="4">
        <v>5609.7</v>
      </c>
      <c r="H141" s="8" t="s">
        <v>33</v>
      </c>
    </row>
    <row r="142" spans="1:8" x14ac:dyDescent="0.15">
      <c r="A142" s="8" t="s">
        <v>249</v>
      </c>
      <c r="B142" s="8" t="s">
        <v>75</v>
      </c>
      <c r="C142" s="8" t="s">
        <v>28</v>
      </c>
      <c r="D142" s="6">
        <v>44012</v>
      </c>
      <c r="E142" s="4" t="str">
        <f>YEAR(AtlasReport_1_Table_1[[#This Row],[Date]]) &amp; TEXT(WEEKNUM(AtlasReport_1_Table_1[[#This Row],[Date]]),"00")</f>
        <v>202027</v>
      </c>
      <c r="F142" s="4">
        <v>0</v>
      </c>
      <c r="G142" s="4">
        <v>7057.2</v>
      </c>
      <c r="H142" s="8" t="s">
        <v>33</v>
      </c>
    </row>
    <row r="143" spans="1:8" x14ac:dyDescent="0.15">
      <c r="A143" s="8" t="s">
        <v>250</v>
      </c>
      <c r="B143" s="8" t="s">
        <v>75</v>
      </c>
      <c r="C143" s="8" t="s">
        <v>28</v>
      </c>
      <c r="D143" s="6">
        <v>44012</v>
      </c>
      <c r="E143" s="4" t="str">
        <f>YEAR(AtlasReport_1_Table_1[[#This Row],[Date]]) &amp; TEXT(WEEKNUM(AtlasReport_1_Table_1[[#This Row],[Date]]),"00")</f>
        <v>202027</v>
      </c>
      <c r="F143" s="4">
        <v>0</v>
      </c>
      <c r="G143" s="4">
        <v>4200</v>
      </c>
      <c r="H143" s="8" t="s">
        <v>33</v>
      </c>
    </row>
    <row r="144" spans="1:8" x14ac:dyDescent="0.15">
      <c r="A144" s="8" t="s">
        <v>250</v>
      </c>
      <c r="B144" s="8" t="s">
        <v>75</v>
      </c>
      <c r="C144" s="8" t="s">
        <v>28</v>
      </c>
      <c r="D144" s="6">
        <v>44012</v>
      </c>
      <c r="E144" s="4" t="str">
        <f>YEAR(AtlasReport_1_Table_1[[#This Row],[Date]]) &amp; TEXT(WEEKNUM(AtlasReport_1_Table_1[[#This Row],[Date]]),"00")</f>
        <v>202027</v>
      </c>
      <c r="F144" s="4">
        <v>0</v>
      </c>
      <c r="G144" s="4">
        <v>-4200</v>
      </c>
      <c r="H144" s="8" t="s">
        <v>33</v>
      </c>
    </row>
    <row r="145" spans="1:8" x14ac:dyDescent="0.15">
      <c r="A145" s="8" t="s">
        <v>250</v>
      </c>
      <c r="B145" s="8" t="s">
        <v>75</v>
      </c>
      <c r="C145" s="8" t="s">
        <v>28</v>
      </c>
      <c r="D145" s="6">
        <v>44019</v>
      </c>
      <c r="E145" s="4" t="str">
        <f>YEAR(AtlasReport_1_Table_1[[#This Row],[Date]]) &amp; TEXT(WEEKNUM(AtlasReport_1_Table_1[[#This Row],[Date]]),"00")</f>
        <v>202028</v>
      </c>
      <c r="F145" s="4">
        <v>0</v>
      </c>
      <c r="G145" s="4">
        <v>27.2</v>
      </c>
      <c r="H145" s="8" t="s">
        <v>33</v>
      </c>
    </row>
    <row r="146" spans="1:8" x14ac:dyDescent="0.15">
      <c r="A146" s="8" t="s">
        <v>250</v>
      </c>
      <c r="B146" s="8" t="s">
        <v>75</v>
      </c>
      <c r="C146" s="8" t="s">
        <v>28</v>
      </c>
      <c r="D146" s="6">
        <v>44019</v>
      </c>
      <c r="E146" s="4" t="str">
        <f>YEAR(AtlasReport_1_Table_1[[#This Row],[Date]]) &amp; TEXT(WEEKNUM(AtlasReport_1_Table_1[[#This Row],[Date]]),"00")</f>
        <v>202028</v>
      </c>
      <c r="F146" s="4">
        <v>0</v>
      </c>
      <c r="G146" s="4">
        <v>4479.3</v>
      </c>
      <c r="H146" s="8" t="s">
        <v>33</v>
      </c>
    </row>
    <row r="147" spans="1:8" x14ac:dyDescent="0.15">
      <c r="A147" s="8" t="s">
        <v>251</v>
      </c>
      <c r="B147" s="8" t="s">
        <v>75</v>
      </c>
      <c r="C147" s="8" t="s">
        <v>28</v>
      </c>
      <c r="D147" s="6">
        <v>44027</v>
      </c>
      <c r="E147" s="4" t="str">
        <f>YEAR(AtlasReport_1_Table_1[[#This Row],[Date]]) &amp; TEXT(WEEKNUM(AtlasReport_1_Table_1[[#This Row],[Date]]),"00")</f>
        <v>202029</v>
      </c>
      <c r="F147" s="4">
        <v>0</v>
      </c>
      <c r="G147" s="4">
        <v>6835.8</v>
      </c>
      <c r="H147" s="8" t="s">
        <v>33</v>
      </c>
    </row>
    <row r="148" spans="1:8" x14ac:dyDescent="0.15">
      <c r="A148" s="8" t="s">
        <v>251</v>
      </c>
      <c r="B148" s="8" t="s">
        <v>75</v>
      </c>
      <c r="C148" s="8" t="s">
        <v>28</v>
      </c>
      <c r="D148" s="6">
        <v>44032</v>
      </c>
      <c r="E148" s="4" t="str">
        <f>YEAR(AtlasReport_1_Table_1[[#This Row],[Date]]) &amp; TEXT(WEEKNUM(AtlasReport_1_Table_1[[#This Row],[Date]]),"00")</f>
        <v>202030</v>
      </c>
      <c r="F148" s="4">
        <v>0</v>
      </c>
      <c r="G148" s="4">
        <v>3</v>
      </c>
      <c r="H148" s="8" t="s">
        <v>33</v>
      </c>
    </row>
    <row r="149" spans="1:8" x14ac:dyDescent="0.15">
      <c r="A149" s="8" t="s">
        <v>252</v>
      </c>
      <c r="B149" s="8" t="s">
        <v>75</v>
      </c>
      <c r="C149" s="8" t="s">
        <v>28</v>
      </c>
      <c r="D149" s="6">
        <v>44040</v>
      </c>
      <c r="E149" s="4" t="str">
        <f>YEAR(AtlasReport_1_Table_1[[#This Row],[Date]]) &amp; TEXT(WEEKNUM(AtlasReport_1_Table_1[[#This Row],[Date]]),"00")</f>
        <v>202031</v>
      </c>
      <c r="F149" s="4">
        <v>0</v>
      </c>
      <c r="G149" s="4">
        <v>4082.4</v>
      </c>
      <c r="H149" s="8" t="s">
        <v>33</v>
      </c>
    </row>
    <row r="150" spans="1:8" x14ac:dyDescent="0.15">
      <c r="A150" s="8" t="s">
        <v>253</v>
      </c>
      <c r="B150" s="8" t="s">
        <v>75</v>
      </c>
      <c r="C150" s="8" t="s">
        <v>62</v>
      </c>
      <c r="D150" s="6">
        <v>44063</v>
      </c>
      <c r="E150" s="4" t="str">
        <f>YEAR(AtlasReport_1_Table_1[[#This Row],[Date]]) &amp; TEXT(WEEKNUM(AtlasReport_1_Table_1[[#This Row],[Date]]),"00")</f>
        <v>202034</v>
      </c>
      <c r="F150" s="4">
        <v>0</v>
      </c>
      <c r="G150" s="4">
        <v>45</v>
      </c>
      <c r="H150" s="8" t="s">
        <v>33</v>
      </c>
    </row>
    <row r="151" spans="1:8" x14ac:dyDescent="0.15">
      <c r="A151" s="8" t="s">
        <v>254</v>
      </c>
      <c r="B151" s="8" t="s">
        <v>75</v>
      </c>
      <c r="C151" s="8" t="s">
        <v>28</v>
      </c>
      <c r="D151" s="6">
        <v>44074</v>
      </c>
      <c r="E151" s="4" t="str">
        <f>YEAR(AtlasReport_1_Table_1[[#This Row],[Date]]) &amp; TEXT(WEEKNUM(AtlasReport_1_Table_1[[#This Row],[Date]]),"00")</f>
        <v>202036</v>
      </c>
      <c r="F151" s="4">
        <v>0</v>
      </c>
      <c r="G151" s="4">
        <v>2800</v>
      </c>
      <c r="H151" s="8" t="s">
        <v>33</v>
      </c>
    </row>
    <row r="152" spans="1:8" x14ac:dyDescent="0.15">
      <c r="A152" s="8" t="s">
        <v>255</v>
      </c>
      <c r="B152" s="8" t="s">
        <v>75</v>
      </c>
      <c r="C152" s="8" t="s">
        <v>28</v>
      </c>
      <c r="D152" s="6">
        <v>44074</v>
      </c>
      <c r="E152" s="4" t="str">
        <f>YEAR(AtlasReport_1_Table_1[[#This Row],[Date]]) &amp; TEXT(WEEKNUM(AtlasReport_1_Table_1[[#This Row],[Date]]),"00")</f>
        <v>202036</v>
      </c>
      <c r="F152" s="4">
        <v>0</v>
      </c>
      <c r="G152" s="4">
        <v>2800</v>
      </c>
      <c r="H152" s="8" t="s">
        <v>33</v>
      </c>
    </row>
    <row r="153" spans="1:8" x14ac:dyDescent="0.15">
      <c r="A153" s="8" t="s">
        <v>256</v>
      </c>
      <c r="B153" s="8" t="s">
        <v>75</v>
      </c>
      <c r="C153" s="8" t="s">
        <v>28</v>
      </c>
      <c r="D153" s="6">
        <v>44078</v>
      </c>
      <c r="E153" s="4" t="str">
        <f>YEAR(AtlasReport_1_Table_1[[#This Row],[Date]]) &amp; TEXT(WEEKNUM(AtlasReport_1_Table_1[[#This Row],[Date]]),"00")</f>
        <v>202036</v>
      </c>
      <c r="F153" s="4">
        <v>0</v>
      </c>
      <c r="G153" s="4">
        <v>3211.2</v>
      </c>
      <c r="H153" s="8" t="s">
        <v>33</v>
      </c>
    </row>
    <row r="154" spans="1:8" x14ac:dyDescent="0.15">
      <c r="A154" s="8" t="s">
        <v>256</v>
      </c>
      <c r="B154" s="8" t="s">
        <v>75</v>
      </c>
      <c r="C154" s="8" t="s">
        <v>28</v>
      </c>
      <c r="D154" s="6">
        <v>44078</v>
      </c>
      <c r="E154" s="4" t="str">
        <f>YEAR(AtlasReport_1_Table_1[[#This Row],[Date]]) &amp; TEXT(WEEKNUM(AtlasReport_1_Table_1[[#This Row],[Date]]),"00")</f>
        <v>202036</v>
      </c>
      <c r="F154" s="4">
        <v>0</v>
      </c>
      <c r="G154" s="4">
        <v>306</v>
      </c>
      <c r="H154" s="8" t="s">
        <v>33</v>
      </c>
    </row>
    <row r="155" spans="1:8" x14ac:dyDescent="0.15">
      <c r="A155" s="8" t="s">
        <v>256</v>
      </c>
      <c r="B155" s="8" t="s">
        <v>75</v>
      </c>
      <c r="C155" s="8" t="s">
        <v>28</v>
      </c>
      <c r="D155" s="6">
        <v>44082</v>
      </c>
      <c r="E155" s="4" t="str">
        <f>YEAR(AtlasReport_1_Table_1[[#This Row],[Date]]) &amp; TEXT(WEEKNUM(AtlasReport_1_Table_1[[#This Row],[Date]]),"00")</f>
        <v>202037</v>
      </c>
      <c r="F155" s="4">
        <v>0</v>
      </c>
      <c r="G155" s="4">
        <v>484</v>
      </c>
      <c r="H155" s="8" t="s">
        <v>33</v>
      </c>
    </row>
    <row r="156" spans="1:8" x14ac:dyDescent="0.15">
      <c r="A156" s="8" t="s">
        <v>257</v>
      </c>
      <c r="B156" s="8" t="s">
        <v>75</v>
      </c>
      <c r="C156" s="8" t="s">
        <v>28</v>
      </c>
      <c r="D156" s="6">
        <v>44097</v>
      </c>
      <c r="E156" s="4" t="str">
        <f>YEAR(AtlasReport_1_Table_1[[#This Row],[Date]]) &amp; TEXT(WEEKNUM(AtlasReport_1_Table_1[[#This Row],[Date]]),"00")</f>
        <v>202039</v>
      </c>
      <c r="F156" s="4">
        <v>0</v>
      </c>
      <c r="G156" s="4">
        <v>3366</v>
      </c>
      <c r="H156" s="8" t="s">
        <v>33</v>
      </c>
    </row>
    <row r="157" spans="1:8" x14ac:dyDescent="0.15">
      <c r="A157" s="8" t="s">
        <v>258</v>
      </c>
      <c r="B157" s="8" t="s">
        <v>75</v>
      </c>
      <c r="C157" s="8" t="s">
        <v>28</v>
      </c>
      <c r="D157" s="6">
        <v>44102</v>
      </c>
      <c r="E157" s="4" t="str">
        <f>YEAR(AtlasReport_1_Table_1[[#This Row],[Date]]) &amp; TEXT(WEEKNUM(AtlasReport_1_Table_1[[#This Row],[Date]]),"00")</f>
        <v>202040</v>
      </c>
      <c r="F157" s="4">
        <v>0</v>
      </c>
      <c r="G157" s="4">
        <v>2473</v>
      </c>
      <c r="H157" s="8" t="s">
        <v>33</v>
      </c>
    </row>
    <row r="158" spans="1:8" x14ac:dyDescent="0.15">
      <c r="A158" s="8" t="s">
        <v>259</v>
      </c>
      <c r="B158" s="8" t="s">
        <v>75</v>
      </c>
      <c r="C158" s="8" t="s">
        <v>28</v>
      </c>
      <c r="D158" s="6">
        <v>44105</v>
      </c>
      <c r="E158" s="4" t="str">
        <f>YEAR(AtlasReport_1_Table_1[[#This Row],[Date]]) &amp; TEXT(WEEKNUM(AtlasReport_1_Table_1[[#This Row],[Date]]),"00")</f>
        <v>202040</v>
      </c>
      <c r="F158" s="4">
        <v>0</v>
      </c>
      <c r="G158" s="4">
        <v>2480.9</v>
      </c>
      <c r="H158" s="8" t="s">
        <v>33</v>
      </c>
    </row>
    <row r="159" spans="1:8" x14ac:dyDescent="0.15">
      <c r="A159" s="8" t="s">
        <v>260</v>
      </c>
      <c r="B159" s="8" t="s">
        <v>75</v>
      </c>
      <c r="C159" s="8" t="s">
        <v>28</v>
      </c>
      <c r="D159" s="6">
        <v>44109</v>
      </c>
      <c r="E159" s="4" t="str">
        <f>YEAR(AtlasReport_1_Table_1[[#This Row],[Date]]) &amp; TEXT(WEEKNUM(AtlasReport_1_Table_1[[#This Row],[Date]]),"00")</f>
        <v>202041</v>
      </c>
      <c r="F159" s="4">
        <v>0</v>
      </c>
      <c r="G159" s="4">
        <v>3029.3</v>
      </c>
      <c r="H159" s="8" t="s">
        <v>33</v>
      </c>
    </row>
    <row r="160" spans="1:8" x14ac:dyDescent="0.15">
      <c r="A160" s="8" t="s">
        <v>261</v>
      </c>
      <c r="B160" s="8" t="s">
        <v>75</v>
      </c>
      <c r="C160" s="8" t="s">
        <v>28</v>
      </c>
      <c r="D160" s="6">
        <v>44141</v>
      </c>
      <c r="E160" s="4" t="str">
        <f>YEAR(AtlasReport_1_Table_1[[#This Row],[Date]]) &amp; TEXT(WEEKNUM(AtlasReport_1_Table_1[[#This Row],[Date]]),"00")</f>
        <v>202045</v>
      </c>
      <c r="F160" s="4">
        <v>0</v>
      </c>
      <c r="G160" s="4">
        <v>4832</v>
      </c>
      <c r="H160" s="8" t="s">
        <v>33</v>
      </c>
    </row>
    <row r="161" spans="1:8" x14ac:dyDescent="0.15">
      <c r="A161" s="8" t="s">
        <v>262</v>
      </c>
      <c r="B161" s="8" t="s">
        <v>75</v>
      </c>
      <c r="C161" s="8" t="s">
        <v>28</v>
      </c>
      <c r="D161" s="6">
        <v>44147</v>
      </c>
      <c r="E161" s="4" t="str">
        <f>YEAR(AtlasReport_1_Table_1[[#This Row],[Date]]) &amp; TEXT(WEEKNUM(AtlasReport_1_Table_1[[#This Row],[Date]]),"00")</f>
        <v>202046</v>
      </c>
      <c r="F161" s="4">
        <v>0</v>
      </c>
      <c r="G161" s="4">
        <v>4047.6</v>
      </c>
      <c r="H161" s="8" t="s">
        <v>33</v>
      </c>
    </row>
    <row r="162" spans="1:8" x14ac:dyDescent="0.15">
      <c r="A162" s="8" t="s">
        <v>263</v>
      </c>
      <c r="B162" s="8" t="s">
        <v>75</v>
      </c>
      <c r="C162" s="8" t="s">
        <v>30</v>
      </c>
      <c r="D162" s="6">
        <v>44152</v>
      </c>
      <c r="E162" s="4" t="str">
        <f>YEAR(AtlasReport_1_Table_1[[#This Row],[Date]]) &amp; TEXT(WEEKNUM(AtlasReport_1_Table_1[[#This Row],[Date]]),"00")</f>
        <v>202047</v>
      </c>
      <c r="F162" s="4">
        <v>0</v>
      </c>
      <c r="G162" s="4">
        <v>5446</v>
      </c>
      <c r="H162" s="8" t="s">
        <v>33</v>
      </c>
    </row>
    <row r="163" spans="1:8" x14ac:dyDescent="0.15">
      <c r="A163" s="8" t="s">
        <v>264</v>
      </c>
      <c r="B163" s="8" t="s">
        <v>75</v>
      </c>
      <c r="C163" s="8" t="s">
        <v>28</v>
      </c>
      <c r="D163" s="6">
        <v>44158</v>
      </c>
      <c r="E163" s="4" t="str">
        <f>YEAR(AtlasReport_1_Table_1[[#This Row],[Date]]) &amp; TEXT(WEEKNUM(AtlasReport_1_Table_1[[#This Row],[Date]]),"00")</f>
        <v>202048</v>
      </c>
      <c r="F163" s="4">
        <v>0</v>
      </c>
      <c r="G163" s="4">
        <v>1827.7</v>
      </c>
      <c r="H163" s="8" t="s">
        <v>33</v>
      </c>
    </row>
    <row r="164" spans="1:8" x14ac:dyDescent="0.15">
      <c r="A164" s="8" t="s">
        <v>266</v>
      </c>
      <c r="B164" s="8" t="s">
        <v>265</v>
      </c>
      <c r="C164" s="8" t="s">
        <v>28</v>
      </c>
      <c r="D164" s="6">
        <v>43922</v>
      </c>
      <c r="E164" s="4" t="str">
        <f>YEAR(AtlasReport_1_Table_1[[#This Row],[Date]]) &amp; TEXT(WEEKNUM(AtlasReport_1_Table_1[[#This Row],[Date]]),"00")</f>
        <v>202014</v>
      </c>
      <c r="F164" s="4">
        <v>0</v>
      </c>
      <c r="G164" s="4">
        <v>1049</v>
      </c>
      <c r="H164" s="8" t="s">
        <v>33</v>
      </c>
    </row>
    <row r="165" spans="1:8" x14ac:dyDescent="0.15">
      <c r="A165" s="8" t="s">
        <v>267</v>
      </c>
      <c r="B165" s="8" t="s">
        <v>76</v>
      </c>
      <c r="C165" s="8" t="s">
        <v>28</v>
      </c>
      <c r="D165" s="6">
        <v>43990</v>
      </c>
      <c r="E165" s="4" t="str">
        <f>YEAR(AtlasReport_1_Table_1[[#This Row],[Date]]) &amp; TEXT(WEEKNUM(AtlasReport_1_Table_1[[#This Row],[Date]]),"00")</f>
        <v>202024</v>
      </c>
      <c r="F165" s="4">
        <v>0</v>
      </c>
      <c r="G165" s="4">
        <v>596</v>
      </c>
      <c r="H165" s="8" t="s">
        <v>33</v>
      </c>
    </row>
    <row r="166" spans="1:8" x14ac:dyDescent="0.15">
      <c r="A166" s="8" t="s">
        <v>268</v>
      </c>
      <c r="B166" s="8" t="s">
        <v>76</v>
      </c>
      <c r="C166" s="8" t="s">
        <v>28</v>
      </c>
      <c r="D166" s="6">
        <v>44012</v>
      </c>
      <c r="E166" s="4" t="str">
        <f>YEAR(AtlasReport_1_Table_1[[#This Row],[Date]]) &amp; TEXT(WEEKNUM(AtlasReport_1_Table_1[[#This Row],[Date]]),"00")</f>
        <v>202027</v>
      </c>
      <c r="F166" s="4">
        <v>0</v>
      </c>
      <c r="G166" s="4">
        <v>500</v>
      </c>
      <c r="H166" s="8" t="s">
        <v>33</v>
      </c>
    </row>
    <row r="167" spans="1:8" x14ac:dyDescent="0.15">
      <c r="A167" s="8" t="s">
        <v>268</v>
      </c>
      <c r="B167" s="8" t="s">
        <v>76</v>
      </c>
      <c r="C167" s="8" t="s">
        <v>28</v>
      </c>
      <c r="D167" s="6">
        <v>44012</v>
      </c>
      <c r="E167" s="4" t="str">
        <f>YEAR(AtlasReport_1_Table_1[[#This Row],[Date]]) &amp; TEXT(WEEKNUM(AtlasReport_1_Table_1[[#This Row],[Date]]),"00")</f>
        <v>202027</v>
      </c>
      <c r="F167" s="4">
        <v>0</v>
      </c>
      <c r="G167" s="4">
        <v>-500</v>
      </c>
      <c r="H167" s="8" t="s">
        <v>33</v>
      </c>
    </row>
    <row r="168" spans="1:8" x14ac:dyDescent="0.15">
      <c r="A168" s="8" t="s">
        <v>268</v>
      </c>
      <c r="B168" s="8" t="s">
        <v>76</v>
      </c>
      <c r="C168" s="8" t="s">
        <v>28</v>
      </c>
      <c r="D168" s="6">
        <v>44018</v>
      </c>
      <c r="E168" s="4" t="str">
        <f>YEAR(AtlasReport_1_Table_1[[#This Row],[Date]]) &amp; TEXT(WEEKNUM(AtlasReport_1_Table_1[[#This Row],[Date]]),"00")</f>
        <v>202028</v>
      </c>
      <c r="F168" s="4">
        <v>0</v>
      </c>
      <c r="G168" s="4">
        <v>581</v>
      </c>
      <c r="H168" s="8" t="s">
        <v>33</v>
      </c>
    </row>
    <row r="169" spans="1:8" x14ac:dyDescent="0.15">
      <c r="A169" s="8" t="s">
        <v>269</v>
      </c>
      <c r="B169" s="8" t="s">
        <v>76</v>
      </c>
      <c r="C169" s="8" t="s">
        <v>29</v>
      </c>
      <c r="D169" s="6">
        <v>44089</v>
      </c>
      <c r="E169" s="4" t="str">
        <f>YEAR(AtlasReport_1_Table_1[[#This Row],[Date]]) &amp; TEXT(WEEKNUM(AtlasReport_1_Table_1[[#This Row],[Date]]),"00")</f>
        <v>202038</v>
      </c>
      <c r="F169" s="4">
        <v>0</v>
      </c>
      <c r="G169" s="4">
        <v>92.5</v>
      </c>
      <c r="H169" s="8" t="s">
        <v>33</v>
      </c>
    </row>
    <row r="170" spans="1:8" x14ac:dyDescent="0.15">
      <c r="A170" s="8" t="s">
        <v>269</v>
      </c>
      <c r="B170" s="8" t="s">
        <v>76</v>
      </c>
      <c r="C170" s="8" t="s">
        <v>29</v>
      </c>
      <c r="D170" s="6">
        <v>44090</v>
      </c>
      <c r="E170" s="4" t="str">
        <f>YEAR(AtlasReport_1_Table_1[[#This Row],[Date]]) &amp; TEXT(WEEKNUM(AtlasReport_1_Table_1[[#This Row],[Date]]),"00")</f>
        <v>202038</v>
      </c>
      <c r="F170" s="4">
        <v>0</v>
      </c>
      <c r="G170" s="4">
        <v>1247</v>
      </c>
      <c r="H170" s="8" t="s">
        <v>33</v>
      </c>
    </row>
    <row r="171" spans="1:8" x14ac:dyDescent="0.15">
      <c r="A171" s="8" t="s">
        <v>270</v>
      </c>
      <c r="B171" s="8" t="s">
        <v>76</v>
      </c>
      <c r="C171" s="8" t="s">
        <v>28</v>
      </c>
      <c r="D171" s="6">
        <v>44183</v>
      </c>
      <c r="E171" s="4" t="str">
        <f>YEAR(AtlasReport_1_Table_1[[#This Row],[Date]]) &amp; TEXT(WEEKNUM(AtlasReport_1_Table_1[[#This Row],[Date]]),"00")</f>
        <v>202051</v>
      </c>
      <c r="F171" s="4">
        <v>0</v>
      </c>
      <c r="G171" s="4">
        <v>5281.5</v>
      </c>
      <c r="H171" s="8" t="s">
        <v>33</v>
      </c>
    </row>
    <row r="172" spans="1:8" x14ac:dyDescent="0.15">
      <c r="A172" s="8" t="s">
        <v>271</v>
      </c>
      <c r="B172" s="8" t="s">
        <v>77</v>
      </c>
      <c r="C172" s="8" t="s">
        <v>28</v>
      </c>
      <c r="D172" s="6">
        <v>43993</v>
      </c>
      <c r="E172" s="4" t="str">
        <f>YEAR(AtlasReport_1_Table_1[[#This Row],[Date]]) &amp; TEXT(WEEKNUM(AtlasReport_1_Table_1[[#This Row],[Date]]),"00")</f>
        <v>202024</v>
      </c>
      <c r="F172" s="4">
        <v>0</v>
      </c>
      <c r="G172" s="4">
        <v>860</v>
      </c>
      <c r="H172" s="8" t="s">
        <v>33</v>
      </c>
    </row>
    <row r="173" spans="1:8" x14ac:dyDescent="0.15">
      <c r="A173" s="8" t="s">
        <v>272</v>
      </c>
      <c r="B173" s="8" t="s">
        <v>77</v>
      </c>
      <c r="C173" s="8" t="s">
        <v>28</v>
      </c>
      <c r="D173" s="6">
        <v>44173</v>
      </c>
      <c r="E173" s="4" t="str">
        <f>YEAR(AtlasReport_1_Table_1[[#This Row],[Date]]) &amp; TEXT(WEEKNUM(AtlasReport_1_Table_1[[#This Row],[Date]]),"00")</f>
        <v>202050</v>
      </c>
      <c r="F173" s="4">
        <v>0</v>
      </c>
      <c r="G173" s="4">
        <v>101.5</v>
      </c>
      <c r="H173" s="8" t="s">
        <v>33</v>
      </c>
    </row>
    <row r="174" spans="1:8" x14ac:dyDescent="0.15">
      <c r="A174" s="8" t="s">
        <v>272</v>
      </c>
      <c r="B174" s="8" t="s">
        <v>77</v>
      </c>
      <c r="C174" s="8" t="s">
        <v>28</v>
      </c>
      <c r="D174" s="6">
        <v>44175</v>
      </c>
      <c r="E174" s="4" t="str">
        <f>YEAR(AtlasReport_1_Table_1[[#This Row],[Date]]) &amp; TEXT(WEEKNUM(AtlasReport_1_Table_1[[#This Row],[Date]]),"00")</f>
        <v>202050</v>
      </c>
      <c r="F174" s="4">
        <v>0</v>
      </c>
      <c r="G174" s="4">
        <v>1917</v>
      </c>
      <c r="H174" s="8" t="s">
        <v>33</v>
      </c>
    </row>
    <row r="175" spans="1:8" x14ac:dyDescent="0.15">
      <c r="A175" s="8" t="s">
        <v>273</v>
      </c>
      <c r="B175" s="8" t="s">
        <v>78</v>
      </c>
      <c r="C175" s="8" t="s">
        <v>30</v>
      </c>
      <c r="D175" s="6">
        <v>43872</v>
      </c>
      <c r="E175" s="4" t="str">
        <f>YEAR(AtlasReport_1_Table_1[[#This Row],[Date]]) &amp; TEXT(WEEKNUM(AtlasReport_1_Table_1[[#This Row],[Date]]),"00")</f>
        <v>202007</v>
      </c>
      <c r="F175" s="4">
        <v>237.2</v>
      </c>
      <c r="G175" s="4">
        <v>2212.8000000000002</v>
      </c>
      <c r="H175" s="8" t="s">
        <v>33</v>
      </c>
    </row>
    <row r="176" spans="1:8" x14ac:dyDescent="0.15">
      <c r="A176" s="8" t="s">
        <v>274</v>
      </c>
      <c r="B176" s="8" t="s">
        <v>78</v>
      </c>
      <c r="C176" s="8" t="s">
        <v>30</v>
      </c>
      <c r="D176" s="6">
        <v>43889</v>
      </c>
      <c r="E176" s="4" t="str">
        <f>YEAR(AtlasReport_1_Table_1[[#This Row],[Date]]) &amp; TEXT(WEEKNUM(AtlasReport_1_Table_1[[#This Row],[Date]]),"00")</f>
        <v>202009</v>
      </c>
      <c r="F176" s="4">
        <v>0</v>
      </c>
      <c r="G176" s="4">
        <v>2389.6999999999998</v>
      </c>
      <c r="H176" s="8" t="s">
        <v>33</v>
      </c>
    </row>
    <row r="177" spans="1:8" x14ac:dyDescent="0.15">
      <c r="A177" s="8" t="s">
        <v>275</v>
      </c>
      <c r="B177" s="8" t="s">
        <v>78</v>
      </c>
      <c r="C177" s="8" t="s">
        <v>30</v>
      </c>
      <c r="D177" s="6">
        <v>44060</v>
      </c>
      <c r="E177" s="4" t="str">
        <f>YEAR(AtlasReport_1_Table_1[[#This Row],[Date]]) &amp; TEXT(WEEKNUM(AtlasReport_1_Table_1[[#This Row],[Date]]),"00")</f>
        <v>202034</v>
      </c>
      <c r="F177" s="4">
        <v>50</v>
      </c>
      <c r="G177" s="4">
        <v>2351.35</v>
      </c>
      <c r="H177" s="8" t="s">
        <v>33</v>
      </c>
    </row>
    <row r="178" spans="1:8" x14ac:dyDescent="0.15">
      <c r="A178" s="8" t="s">
        <v>276</v>
      </c>
      <c r="B178" s="8" t="s">
        <v>78</v>
      </c>
      <c r="C178" s="8" t="s">
        <v>30</v>
      </c>
      <c r="D178" s="6">
        <v>44148</v>
      </c>
      <c r="E178" s="4" t="str">
        <f>YEAR(AtlasReport_1_Table_1[[#This Row],[Date]]) &amp; TEXT(WEEKNUM(AtlasReport_1_Table_1[[#This Row],[Date]]),"00")</f>
        <v>202046</v>
      </c>
      <c r="F178" s="4">
        <v>0</v>
      </c>
      <c r="G178" s="4">
        <v>2442.4699999999998</v>
      </c>
      <c r="H178" s="8" t="s">
        <v>33</v>
      </c>
    </row>
    <row r="179" spans="1:8" x14ac:dyDescent="0.15">
      <c r="A179" s="8" t="s">
        <v>278</v>
      </c>
      <c r="B179" s="8" t="s">
        <v>277</v>
      </c>
      <c r="C179" s="8" t="s">
        <v>30</v>
      </c>
      <c r="D179" s="6">
        <v>43965</v>
      </c>
      <c r="E179" s="4" t="str">
        <f>YEAR(AtlasReport_1_Table_1[[#This Row],[Date]]) &amp; TEXT(WEEKNUM(AtlasReport_1_Table_1[[#This Row],[Date]]),"00")</f>
        <v>202020</v>
      </c>
      <c r="F179" s="4">
        <v>0</v>
      </c>
      <c r="G179" s="4">
        <v>1320</v>
      </c>
      <c r="H179" s="8" t="s">
        <v>33</v>
      </c>
    </row>
    <row r="180" spans="1:8" x14ac:dyDescent="0.15">
      <c r="A180" s="8" t="s">
        <v>278</v>
      </c>
      <c r="B180" s="8" t="s">
        <v>277</v>
      </c>
      <c r="C180" s="8" t="s">
        <v>30</v>
      </c>
      <c r="D180" s="6">
        <v>43970</v>
      </c>
      <c r="E180" s="4" t="str">
        <f>YEAR(AtlasReport_1_Table_1[[#This Row],[Date]]) &amp; TEXT(WEEKNUM(AtlasReport_1_Table_1[[#This Row],[Date]]),"00")</f>
        <v>202021</v>
      </c>
      <c r="F180" s="4">
        <v>885</v>
      </c>
      <c r="G180" s="4">
        <v>0</v>
      </c>
      <c r="H180" s="8" t="s">
        <v>33</v>
      </c>
    </row>
    <row r="181" spans="1:8" x14ac:dyDescent="0.15">
      <c r="A181" s="8" t="s">
        <v>279</v>
      </c>
      <c r="B181" s="8" t="s">
        <v>79</v>
      </c>
      <c r="C181" s="8" t="s">
        <v>30</v>
      </c>
      <c r="D181" s="6">
        <v>44124</v>
      </c>
      <c r="E181" s="4" t="str">
        <f>YEAR(AtlasReport_1_Table_1[[#This Row],[Date]]) &amp; TEXT(WEEKNUM(AtlasReport_1_Table_1[[#This Row],[Date]]),"00")</f>
        <v>202043</v>
      </c>
      <c r="F181" s="4">
        <v>0</v>
      </c>
      <c r="G181" s="4">
        <v>3180</v>
      </c>
      <c r="H181" s="8" t="s">
        <v>33</v>
      </c>
    </row>
    <row r="182" spans="1:8" x14ac:dyDescent="0.15">
      <c r="A182" s="8" t="s">
        <v>281</v>
      </c>
      <c r="B182" s="8" t="s">
        <v>280</v>
      </c>
      <c r="C182" s="8" t="s">
        <v>30</v>
      </c>
      <c r="D182" s="6">
        <v>43862</v>
      </c>
      <c r="E182" s="4" t="str">
        <f>YEAR(AtlasReport_1_Table_1[[#This Row],[Date]]) &amp; TEXT(WEEKNUM(AtlasReport_1_Table_1[[#This Row],[Date]]),"00")</f>
        <v>202005</v>
      </c>
      <c r="F182" s="4">
        <v>0</v>
      </c>
      <c r="G182" s="4">
        <v>2065</v>
      </c>
      <c r="H182" s="8" t="s">
        <v>33</v>
      </c>
    </row>
    <row r="183" spans="1:8" x14ac:dyDescent="0.15">
      <c r="A183" s="8" t="s">
        <v>282</v>
      </c>
      <c r="B183" s="8" t="s">
        <v>80</v>
      </c>
      <c r="C183" s="8" t="s">
        <v>30</v>
      </c>
      <c r="D183" s="6">
        <v>43952</v>
      </c>
      <c r="E183" s="4" t="str">
        <f>YEAR(AtlasReport_1_Table_1[[#This Row],[Date]]) &amp; TEXT(WEEKNUM(AtlasReport_1_Table_1[[#This Row],[Date]]),"00")</f>
        <v>202018</v>
      </c>
      <c r="F183" s="4">
        <v>0</v>
      </c>
      <c r="G183" s="4">
        <v>3171</v>
      </c>
      <c r="H183" s="8" t="s">
        <v>33</v>
      </c>
    </row>
    <row r="184" spans="1:8" x14ac:dyDescent="0.15">
      <c r="A184" s="8" t="s">
        <v>282</v>
      </c>
      <c r="B184" s="8" t="s">
        <v>80</v>
      </c>
      <c r="C184" s="8" t="s">
        <v>30</v>
      </c>
      <c r="D184" s="6">
        <v>43952</v>
      </c>
      <c r="E184" s="4" t="str">
        <f>YEAR(AtlasReport_1_Table_1[[#This Row],[Date]]) &amp; TEXT(WEEKNUM(AtlasReport_1_Table_1[[#This Row],[Date]]),"00")</f>
        <v>202018</v>
      </c>
      <c r="F184" s="4">
        <v>630</v>
      </c>
      <c r="G184" s="4">
        <v>0</v>
      </c>
      <c r="H184" s="8" t="s">
        <v>33</v>
      </c>
    </row>
    <row r="185" spans="1:8" x14ac:dyDescent="0.15">
      <c r="A185" s="8" t="s">
        <v>283</v>
      </c>
      <c r="B185" s="8" t="s">
        <v>81</v>
      </c>
      <c r="C185" s="8" t="s">
        <v>30</v>
      </c>
      <c r="D185" s="6">
        <v>44020</v>
      </c>
      <c r="E185" s="4" t="str">
        <f>YEAR(AtlasReport_1_Table_1[[#This Row],[Date]]) &amp; TEXT(WEEKNUM(AtlasReport_1_Table_1[[#This Row],[Date]]),"00")</f>
        <v>202028</v>
      </c>
      <c r="F185" s="4">
        <v>0</v>
      </c>
      <c r="G185" s="4">
        <v>1275</v>
      </c>
      <c r="H185" s="8" t="s">
        <v>33</v>
      </c>
    </row>
    <row r="186" spans="1:8" x14ac:dyDescent="0.15">
      <c r="A186" s="8" t="s">
        <v>284</v>
      </c>
      <c r="B186" s="8" t="s">
        <v>82</v>
      </c>
      <c r="C186" s="8" t="s">
        <v>30</v>
      </c>
      <c r="D186" s="6">
        <v>43907</v>
      </c>
      <c r="E186" s="4" t="str">
        <f>YEAR(AtlasReport_1_Table_1[[#This Row],[Date]]) &amp; TEXT(WEEKNUM(AtlasReport_1_Table_1[[#This Row],[Date]]),"00")</f>
        <v>202012</v>
      </c>
      <c r="F186" s="4">
        <v>0</v>
      </c>
      <c r="G186" s="4">
        <v>2277</v>
      </c>
      <c r="H186" s="8" t="s">
        <v>33</v>
      </c>
    </row>
    <row r="187" spans="1:8" x14ac:dyDescent="0.15">
      <c r="A187" s="8" t="s">
        <v>286</v>
      </c>
      <c r="B187" s="8" t="s">
        <v>285</v>
      </c>
      <c r="C187" s="8" t="s">
        <v>30</v>
      </c>
      <c r="D187" s="6">
        <v>44124</v>
      </c>
      <c r="E187" s="4" t="str">
        <f>YEAR(AtlasReport_1_Table_1[[#This Row],[Date]]) &amp; TEXT(WEEKNUM(AtlasReport_1_Table_1[[#This Row],[Date]]),"00")</f>
        <v>202043</v>
      </c>
      <c r="F187" s="4">
        <v>0</v>
      </c>
      <c r="G187" s="4">
        <v>1055</v>
      </c>
      <c r="H187" s="8" t="s">
        <v>33</v>
      </c>
    </row>
    <row r="188" spans="1:8" x14ac:dyDescent="0.15">
      <c r="A188" s="8" t="s">
        <v>287</v>
      </c>
      <c r="B188" s="8" t="s">
        <v>83</v>
      </c>
      <c r="C188" s="8" t="s">
        <v>29</v>
      </c>
      <c r="D188" s="6">
        <v>43837</v>
      </c>
      <c r="E188" s="4" t="str">
        <f>YEAR(AtlasReport_1_Table_1[[#This Row],[Date]]) &amp; TEXT(WEEKNUM(AtlasReport_1_Table_1[[#This Row],[Date]]),"00")</f>
        <v>202002</v>
      </c>
      <c r="F188" s="4">
        <v>0</v>
      </c>
      <c r="G188" s="4">
        <v>3629.37</v>
      </c>
      <c r="H188" s="8" t="s">
        <v>33</v>
      </c>
    </row>
    <row r="189" spans="1:8" x14ac:dyDescent="0.15">
      <c r="A189" s="8" t="s">
        <v>288</v>
      </c>
      <c r="B189" s="8" t="s">
        <v>83</v>
      </c>
      <c r="C189" s="8" t="s">
        <v>29</v>
      </c>
      <c r="D189" s="6">
        <v>43857</v>
      </c>
      <c r="E189" s="4" t="str">
        <f>YEAR(AtlasReport_1_Table_1[[#This Row],[Date]]) &amp; TEXT(WEEKNUM(AtlasReport_1_Table_1[[#This Row],[Date]]),"00")</f>
        <v>202005</v>
      </c>
      <c r="F189" s="4">
        <v>0</v>
      </c>
      <c r="G189" s="4">
        <v>2488.64</v>
      </c>
      <c r="H189" s="8" t="s">
        <v>33</v>
      </c>
    </row>
    <row r="190" spans="1:8" x14ac:dyDescent="0.15">
      <c r="A190" s="8" t="s">
        <v>288</v>
      </c>
      <c r="B190" s="8" t="s">
        <v>83</v>
      </c>
      <c r="C190" s="8" t="s">
        <v>29</v>
      </c>
      <c r="D190" s="6">
        <v>43861</v>
      </c>
      <c r="E190" s="4" t="str">
        <f>YEAR(AtlasReport_1_Table_1[[#This Row],[Date]]) &amp; TEXT(WEEKNUM(AtlasReport_1_Table_1[[#This Row],[Date]]),"00")</f>
        <v>202005</v>
      </c>
      <c r="F190" s="4">
        <v>0</v>
      </c>
      <c r="G190" s="4">
        <v>4699.82</v>
      </c>
      <c r="H190" s="8" t="s">
        <v>33</v>
      </c>
    </row>
    <row r="191" spans="1:8" x14ac:dyDescent="0.15">
      <c r="A191" s="8" t="s">
        <v>289</v>
      </c>
      <c r="B191" s="8" t="s">
        <v>83</v>
      </c>
      <c r="C191" s="8" t="s">
        <v>29</v>
      </c>
      <c r="D191" s="6">
        <v>43907</v>
      </c>
      <c r="E191" s="4" t="str">
        <f>YEAR(AtlasReport_1_Table_1[[#This Row],[Date]]) &amp; TEXT(WEEKNUM(AtlasReport_1_Table_1[[#This Row],[Date]]),"00")</f>
        <v>202012</v>
      </c>
      <c r="F191" s="4">
        <v>0</v>
      </c>
      <c r="G191" s="4">
        <v>3214.28</v>
      </c>
      <c r="H191" s="8" t="s">
        <v>33</v>
      </c>
    </row>
    <row r="192" spans="1:8" x14ac:dyDescent="0.15">
      <c r="A192" s="8" t="s">
        <v>290</v>
      </c>
      <c r="B192" s="8" t="s">
        <v>83</v>
      </c>
      <c r="C192" s="8" t="s">
        <v>29</v>
      </c>
      <c r="D192" s="6">
        <v>43907</v>
      </c>
      <c r="E192" s="4" t="str">
        <f>YEAR(AtlasReport_1_Table_1[[#This Row],[Date]]) &amp; TEXT(WEEKNUM(AtlasReport_1_Table_1[[#This Row],[Date]]),"00")</f>
        <v>202012</v>
      </c>
      <c r="F192" s="4">
        <v>0</v>
      </c>
      <c r="G192" s="4">
        <v>3976.74</v>
      </c>
      <c r="H192" s="8" t="s">
        <v>33</v>
      </c>
    </row>
    <row r="193" spans="1:8" x14ac:dyDescent="0.15">
      <c r="A193" s="8" t="s">
        <v>291</v>
      </c>
      <c r="B193" s="8" t="s">
        <v>83</v>
      </c>
      <c r="C193" s="8" t="s">
        <v>29</v>
      </c>
      <c r="D193" s="6">
        <v>43916</v>
      </c>
      <c r="E193" s="4" t="str">
        <f>YEAR(AtlasReport_1_Table_1[[#This Row],[Date]]) &amp; TEXT(WEEKNUM(AtlasReport_1_Table_1[[#This Row],[Date]]),"00")</f>
        <v>202013</v>
      </c>
      <c r="F193" s="4">
        <v>0</v>
      </c>
      <c r="G193" s="4">
        <v>3604.49</v>
      </c>
      <c r="H193" s="8" t="s">
        <v>33</v>
      </c>
    </row>
    <row r="194" spans="1:8" x14ac:dyDescent="0.15">
      <c r="A194" s="8" t="s">
        <v>292</v>
      </c>
      <c r="B194" s="8" t="s">
        <v>83</v>
      </c>
      <c r="C194" s="8" t="s">
        <v>29</v>
      </c>
      <c r="D194" s="6">
        <v>43916</v>
      </c>
      <c r="E194" s="4" t="str">
        <f>YEAR(AtlasReport_1_Table_1[[#This Row],[Date]]) &amp; TEXT(WEEKNUM(AtlasReport_1_Table_1[[#This Row],[Date]]),"00")</f>
        <v>202013</v>
      </c>
      <c r="F194" s="4">
        <v>0</v>
      </c>
      <c r="G194" s="4">
        <v>3583.4</v>
      </c>
      <c r="H194" s="8" t="s">
        <v>33</v>
      </c>
    </row>
    <row r="195" spans="1:8" x14ac:dyDescent="0.15">
      <c r="A195" s="8" t="s">
        <v>293</v>
      </c>
      <c r="B195" s="8" t="s">
        <v>83</v>
      </c>
      <c r="C195" s="8" t="s">
        <v>29</v>
      </c>
      <c r="D195" s="6">
        <v>43952</v>
      </c>
      <c r="E195" s="4" t="str">
        <f>YEAR(AtlasReport_1_Table_1[[#This Row],[Date]]) &amp; TEXT(WEEKNUM(AtlasReport_1_Table_1[[#This Row],[Date]]),"00")</f>
        <v>202018</v>
      </c>
      <c r="F195" s="4">
        <v>0</v>
      </c>
      <c r="G195" s="4">
        <v>3656.83</v>
      </c>
      <c r="H195" s="8" t="s">
        <v>33</v>
      </c>
    </row>
    <row r="196" spans="1:8" x14ac:dyDescent="0.15">
      <c r="A196" s="8" t="s">
        <v>294</v>
      </c>
      <c r="B196" s="8" t="s">
        <v>83</v>
      </c>
      <c r="C196" s="8" t="s">
        <v>29</v>
      </c>
      <c r="D196" s="6">
        <v>43952</v>
      </c>
      <c r="E196" s="4" t="str">
        <f>YEAR(AtlasReport_1_Table_1[[#This Row],[Date]]) &amp; TEXT(WEEKNUM(AtlasReport_1_Table_1[[#This Row],[Date]]),"00")</f>
        <v>202018</v>
      </c>
      <c r="F196" s="4">
        <v>0</v>
      </c>
      <c r="G196" s="4">
        <v>3542.4</v>
      </c>
      <c r="H196" s="8" t="s">
        <v>33</v>
      </c>
    </row>
    <row r="197" spans="1:8" x14ac:dyDescent="0.15">
      <c r="A197" s="8" t="s">
        <v>295</v>
      </c>
      <c r="B197" s="8" t="s">
        <v>83</v>
      </c>
      <c r="C197" s="8" t="s">
        <v>29</v>
      </c>
      <c r="D197" s="6">
        <v>43969</v>
      </c>
      <c r="E197" s="4" t="str">
        <f>YEAR(AtlasReport_1_Table_1[[#This Row],[Date]]) &amp; TEXT(WEEKNUM(AtlasReport_1_Table_1[[#This Row],[Date]]),"00")</f>
        <v>202021</v>
      </c>
      <c r="F197" s="4">
        <v>0</v>
      </c>
      <c r="G197" s="4">
        <v>3606.55</v>
      </c>
      <c r="H197" s="8" t="s">
        <v>33</v>
      </c>
    </row>
    <row r="198" spans="1:8" x14ac:dyDescent="0.15">
      <c r="A198" s="8" t="s">
        <v>296</v>
      </c>
      <c r="B198" s="8" t="s">
        <v>83</v>
      </c>
      <c r="C198" s="8" t="s">
        <v>29</v>
      </c>
      <c r="D198" s="6">
        <v>43987</v>
      </c>
      <c r="E198" s="4" t="str">
        <f>YEAR(AtlasReport_1_Table_1[[#This Row],[Date]]) &amp; TEXT(WEEKNUM(AtlasReport_1_Table_1[[#This Row],[Date]]),"00")</f>
        <v>202023</v>
      </c>
      <c r="F198" s="4">
        <v>0</v>
      </c>
      <c r="G198" s="4">
        <v>3621.64</v>
      </c>
      <c r="H198" s="8" t="s">
        <v>33</v>
      </c>
    </row>
    <row r="199" spans="1:8" x14ac:dyDescent="0.15">
      <c r="A199" s="8" t="s">
        <v>297</v>
      </c>
      <c r="B199" s="8" t="s">
        <v>83</v>
      </c>
      <c r="C199" s="8" t="s">
        <v>29</v>
      </c>
      <c r="D199" s="6">
        <v>43991</v>
      </c>
      <c r="E199" s="4" t="str">
        <f>YEAR(AtlasReport_1_Table_1[[#This Row],[Date]]) &amp; TEXT(WEEKNUM(AtlasReport_1_Table_1[[#This Row],[Date]]),"00")</f>
        <v>202024</v>
      </c>
      <c r="F199" s="4">
        <v>0</v>
      </c>
      <c r="G199" s="4">
        <v>3573.31</v>
      </c>
      <c r="H199" s="8" t="s">
        <v>33</v>
      </c>
    </row>
    <row r="200" spans="1:8" x14ac:dyDescent="0.15">
      <c r="A200" s="8" t="s">
        <v>298</v>
      </c>
      <c r="B200" s="8" t="s">
        <v>83</v>
      </c>
      <c r="C200" s="8" t="s">
        <v>29</v>
      </c>
      <c r="D200" s="6">
        <v>44012</v>
      </c>
      <c r="E200" s="4" t="str">
        <f>YEAR(AtlasReport_1_Table_1[[#This Row],[Date]]) &amp; TEXT(WEEKNUM(AtlasReport_1_Table_1[[#This Row],[Date]]),"00")</f>
        <v>202027</v>
      </c>
      <c r="F200" s="4">
        <v>0</v>
      </c>
      <c r="G200" s="4">
        <v>3600</v>
      </c>
      <c r="H200" s="8" t="s">
        <v>33</v>
      </c>
    </row>
    <row r="201" spans="1:8" x14ac:dyDescent="0.15">
      <c r="A201" s="8" t="s">
        <v>298</v>
      </c>
      <c r="B201" s="8" t="s">
        <v>83</v>
      </c>
      <c r="C201" s="8" t="s">
        <v>29</v>
      </c>
      <c r="D201" s="6">
        <v>44012</v>
      </c>
      <c r="E201" s="4" t="str">
        <f>YEAR(AtlasReport_1_Table_1[[#This Row],[Date]]) &amp; TEXT(WEEKNUM(AtlasReport_1_Table_1[[#This Row],[Date]]),"00")</f>
        <v>202027</v>
      </c>
      <c r="F201" s="4">
        <v>0</v>
      </c>
      <c r="G201" s="4">
        <v>-3600</v>
      </c>
      <c r="H201" s="8" t="s">
        <v>33</v>
      </c>
    </row>
    <row r="202" spans="1:8" x14ac:dyDescent="0.15">
      <c r="A202" s="8" t="s">
        <v>298</v>
      </c>
      <c r="B202" s="8" t="s">
        <v>83</v>
      </c>
      <c r="C202" s="8" t="s">
        <v>29</v>
      </c>
      <c r="D202" s="6">
        <v>44012</v>
      </c>
      <c r="E202" s="4" t="str">
        <f>YEAR(AtlasReport_1_Table_1[[#This Row],[Date]]) &amp; TEXT(WEEKNUM(AtlasReport_1_Table_1[[#This Row],[Date]]),"00")</f>
        <v>202027</v>
      </c>
      <c r="F202" s="4">
        <v>0</v>
      </c>
      <c r="G202" s="4">
        <v>3600.02</v>
      </c>
      <c r="H202" s="8" t="s">
        <v>33</v>
      </c>
    </row>
    <row r="203" spans="1:8" x14ac:dyDescent="0.15">
      <c r="A203" s="8" t="s">
        <v>299</v>
      </c>
      <c r="B203" s="8" t="s">
        <v>83</v>
      </c>
      <c r="C203" s="8" t="s">
        <v>29</v>
      </c>
      <c r="D203" s="6">
        <v>44074</v>
      </c>
      <c r="E203" s="4" t="str">
        <f>YEAR(AtlasReport_1_Table_1[[#This Row],[Date]]) &amp; TEXT(WEEKNUM(AtlasReport_1_Table_1[[#This Row],[Date]]),"00")</f>
        <v>202036</v>
      </c>
      <c r="F203" s="4">
        <v>0</v>
      </c>
      <c r="G203" s="4">
        <v>3606</v>
      </c>
      <c r="H203" s="8" t="s">
        <v>33</v>
      </c>
    </row>
    <row r="204" spans="1:8" x14ac:dyDescent="0.15">
      <c r="A204" s="8" t="s">
        <v>300</v>
      </c>
      <c r="B204" s="8" t="s">
        <v>83</v>
      </c>
      <c r="C204" s="8" t="s">
        <v>29</v>
      </c>
      <c r="D204" s="6">
        <v>44098</v>
      </c>
      <c r="E204" s="4" t="str">
        <f>YEAR(AtlasReport_1_Table_1[[#This Row],[Date]]) &amp; TEXT(WEEKNUM(AtlasReport_1_Table_1[[#This Row],[Date]]),"00")</f>
        <v>202039</v>
      </c>
      <c r="F204" s="4">
        <v>0</v>
      </c>
      <c r="G204" s="4">
        <v>3613.74</v>
      </c>
      <c r="H204" s="8" t="s">
        <v>33</v>
      </c>
    </row>
    <row r="205" spans="1:8" x14ac:dyDescent="0.15">
      <c r="A205" s="8" t="s">
        <v>301</v>
      </c>
      <c r="B205" s="8" t="s">
        <v>83</v>
      </c>
      <c r="C205" s="8" t="s">
        <v>29</v>
      </c>
      <c r="D205" s="6">
        <v>44166</v>
      </c>
      <c r="E205" s="4" t="str">
        <f>YEAR(AtlasReport_1_Table_1[[#This Row],[Date]]) &amp; TEXT(WEEKNUM(AtlasReport_1_Table_1[[#This Row],[Date]]),"00")</f>
        <v>202049</v>
      </c>
      <c r="F205" s="4">
        <v>0</v>
      </c>
      <c r="G205" s="4">
        <v>3596.9</v>
      </c>
      <c r="H205" s="8" t="s">
        <v>33</v>
      </c>
    </row>
    <row r="206" spans="1:8" x14ac:dyDescent="0.15">
      <c r="A206" s="8" t="s">
        <v>302</v>
      </c>
      <c r="B206" s="8" t="s">
        <v>83</v>
      </c>
      <c r="C206" s="8" t="s">
        <v>29</v>
      </c>
      <c r="D206" s="6">
        <v>44166</v>
      </c>
      <c r="E206" s="4" t="str">
        <f>YEAR(AtlasReport_1_Table_1[[#This Row],[Date]]) &amp; TEXT(WEEKNUM(AtlasReport_1_Table_1[[#This Row],[Date]]),"00")</f>
        <v>202049</v>
      </c>
      <c r="F206" s="4">
        <v>0</v>
      </c>
      <c r="G206" s="4">
        <v>3597.77</v>
      </c>
      <c r="H206" s="8" t="s">
        <v>33</v>
      </c>
    </row>
    <row r="207" spans="1:8" x14ac:dyDescent="0.15">
      <c r="A207" s="8" t="s">
        <v>303</v>
      </c>
      <c r="B207" s="8" t="s">
        <v>83</v>
      </c>
      <c r="C207" s="8" t="s">
        <v>29</v>
      </c>
      <c r="D207" s="6">
        <v>44166</v>
      </c>
      <c r="E207" s="4" t="str">
        <f>YEAR(AtlasReport_1_Table_1[[#This Row],[Date]]) &amp; TEXT(WEEKNUM(AtlasReport_1_Table_1[[#This Row],[Date]]),"00")</f>
        <v>202049</v>
      </c>
      <c r="F207" s="4">
        <v>0</v>
      </c>
      <c r="G207" s="4">
        <v>3587.69</v>
      </c>
      <c r="H207" s="8" t="s">
        <v>33</v>
      </c>
    </row>
    <row r="208" spans="1:8" x14ac:dyDescent="0.15">
      <c r="A208" s="8" t="s">
        <v>304</v>
      </c>
      <c r="B208" s="8" t="s">
        <v>83</v>
      </c>
      <c r="C208" s="8" t="s">
        <v>29</v>
      </c>
      <c r="D208" s="6">
        <v>44166</v>
      </c>
      <c r="E208" s="4" t="str">
        <f>YEAR(AtlasReport_1_Table_1[[#This Row],[Date]]) &amp; TEXT(WEEKNUM(AtlasReport_1_Table_1[[#This Row],[Date]]),"00")</f>
        <v>202049</v>
      </c>
      <c r="F208" s="4">
        <v>0</v>
      </c>
      <c r="G208" s="4">
        <v>3618.32</v>
      </c>
      <c r="H208" s="8" t="s">
        <v>33</v>
      </c>
    </row>
    <row r="209" spans="1:8" x14ac:dyDescent="0.15">
      <c r="A209" s="8" t="s">
        <v>301</v>
      </c>
      <c r="B209" s="8" t="s">
        <v>83</v>
      </c>
      <c r="C209" s="8" t="s">
        <v>29</v>
      </c>
      <c r="D209" s="6">
        <v>44169</v>
      </c>
      <c r="E209" s="4" t="str">
        <f>YEAR(AtlasReport_1_Table_1[[#This Row],[Date]]) &amp; TEXT(WEEKNUM(AtlasReport_1_Table_1[[#This Row],[Date]]),"00")</f>
        <v>202049</v>
      </c>
      <c r="F209" s="4">
        <v>0</v>
      </c>
      <c r="G209" s="4">
        <v>17.82</v>
      </c>
      <c r="H209" s="8" t="s">
        <v>33</v>
      </c>
    </row>
    <row r="210" spans="1:8" x14ac:dyDescent="0.15">
      <c r="A210" s="8" t="s">
        <v>305</v>
      </c>
      <c r="B210" s="8" t="s">
        <v>83</v>
      </c>
      <c r="C210" s="8" t="s">
        <v>29</v>
      </c>
      <c r="D210" s="6">
        <v>44172</v>
      </c>
      <c r="E210" s="4" t="str">
        <f>YEAR(AtlasReport_1_Table_1[[#This Row],[Date]]) &amp; TEXT(WEEKNUM(AtlasReport_1_Table_1[[#This Row],[Date]]),"00")</f>
        <v>202050</v>
      </c>
      <c r="F210" s="4">
        <v>0</v>
      </c>
      <c r="G210" s="4">
        <v>3647.9</v>
      </c>
      <c r="H210" s="8" t="s">
        <v>33</v>
      </c>
    </row>
    <row r="211" spans="1:8" x14ac:dyDescent="0.15">
      <c r="A211" s="8" t="s">
        <v>306</v>
      </c>
      <c r="B211" s="8" t="s">
        <v>83</v>
      </c>
      <c r="C211" s="8" t="s">
        <v>29</v>
      </c>
      <c r="D211" s="6">
        <v>44179</v>
      </c>
      <c r="E211" s="4" t="str">
        <f>YEAR(AtlasReport_1_Table_1[[#This Row],[Date]]) &amp; TEXT(WEEKNUM(AtlasReport_1_Table_1[[#This Row],[Date]]),"00")</f>
        <v>202051</v>
      </c>
      <c r="F211" s="4">
        <v>0</v>
      </c>
      <c r="G211" s="4">
        <v>3562.4</v>
      </c>
      <c r="H211" s="8" t="s">
        <v>33</v>
      </c>
    </row>
    <row r="212" spans="1:8" x14ac:dyDescent="0.15">
      <c r="A212" s="8" t="s">
        <v>307</v>
      </c>
      <c r="B212" s="8" t="s">
        <v>83</v>
      </c>
      <c r="C212" s="8" t="s">
        <v>29</v>
      </c>
      <c r="D212" s="6">
        <v>44183</v>
      </c>
      <c r="E212" s="4" t="str">
        <f>YEAR(AtlasReport_1_Table_1[[#This Row],[Date]]) &amp; TEXT(WEEKNUM(AtlasReport_1_Table_1[[#This Row],[Date]]),"00")</f>
        <v>202051</v>
      </c>
      <c r="F212" s="4">
        <v>0</v>
      </c>
      <c r="G212" s="4">
        <v>1574.59</v>
      </c>
      <c r="H212" s="8" t="s">
        <v>33</v>
      </c>
    </row>
    <row r="213" spans="1:8" x14ac:dyDescent="0.15">
      <c r="A213" s="8" t="s">
        <v>307</v>
      </c>
      <c r="B213" s="8" t="s">
        <v>83</v>
      </c>
      <c r="C213" s="8" t="s">
        <v>29</v>
      </c>
      <c r="D213" s="6">
        <v>44183</v>
      </c>
      <c r="E213" s="4" t="str">
        <f>YEAR(AtlasReport_1_Table_1[[#This Row],[Date]]) &amp; TEXT(WEEKNUM(AtlasReport_1_Table_1[[#This Row],[Date]]),"00")</f>
        <v>202051</v>
      </c>
      <c r="F213" s="4">
        <v>0</v>
      </c>
      <c r="G213" s="4">
        <v>0</v>
      </c>
      <c r="H213" s="8" t="s">
        <v>33</v>
      </c>
    </row>
    <row r="214" spans="1:8" x14ac:dyDescent="0.15">
      <c r="A214" s="8" t="s">
        <v>308</v>
      </c>
      <c r="B214" s="8" t="s">
        <v>309</v>
      </c>
      <c r="C214" s="8" t="s">
        <v>28</v>
      </c>
      <c r="D214" s="6">
        <v>43923</v>
      </c>
      <c r="E214" s="4" t="str">
        <f>YEAR(AtlasReport_1_Table_1[[#This Row],[Date]]) &amp; TEXT(WEEKNUM(AtlasReport_1_Table_1[[#This Row],[Date]]),"00")</f>
        <v>202014</v>
      </c>
      <c r="F214" s="4">
        <v>0</v>
      </c>
      <c r="G214" s="4">
        <v>844</v>
      </c>
      <c r="H214" s="8" t="s">
        <v>33</v>
      </c>
    </row>
    <row r="215" spans="1:8" x14ac:dyDescent="0.15">
      <c r="A215" s="8" t="s">
        <v>310</v>
      </c>
      <c r="B215" s="8" t="s">
        <v>309</v>
      </c>
      <c r="C215" s="8" t="s">
        <v>28</v>
      </c>
      <c r="D215" s="6">
        <v>44092</v>
      </c>
      <c r="E215" s="4" t="str">
        <f>YEAR(AtlasReport_1_Table_1[[#This Row],[Date]]) &amp; TEXT(WEEKNUM(AtlasReport_1_Table_1[[#This Row],[Date]]),"00")</f>
        <v>202038</v>
      </c>
      <c r="F215" s="4">
        <v>0</v>
      </c>
      <c r="G215" s="4">
        <v>1012</v>
      </c>
      <c r="H215" s="8" t="s">
        <v>33</v>
      </c>
    </row>
    <row r="216" spans="1:8" x14ac:dyDescent="0.15">
      <c r="A216" s="8" t="s">
        <v>311</v>
      </c>
      <c r="B216" s="8" t="s">
        <v>309</v>
      </c>
      <c r="C216" s="8" t="s">
        <v>28</v>
      </c>
      <c r="D216" s="6">
        <v>44124</v>
      </c>
      <c r="E216" s="4" t="str">
        <f>YEAR(AtlasReport_1_Table_1[[#This Row],[Date]]) &amp; TEXT(WEEKNUM(AtlasReport_1_Table_1[[#This Row],[Date]]),"00")</f>
        <v>202043</v>
      </c>
      <c r="F216" s="4">
        <v>0</v>
      </c>
      <c r="G216" s="4">
        <v>1081.2</v>
      </c>
      <c r="H216" s="8" t="s">
        <v>33</v>
      </c>
    </row>
    <row r="217" spans="1:8" x14ac:dyDescent="0.15">
      <c r="A217" s="8" t="s">
        <v>312</v>
      </c>
      <c r="B217" s="8" t="s">
        <v>309</v>
      </c>
      <c r="C217" s="8" t="s">
        <v>28</v>
      </c>
      <c r="D217" s="6">
        <v>44124</v>
      </c>
      <c r="E217" s="4" t="str">
        <f>YEAR(AtlasReport_1_Table_1[[#This Row],[Date]]) &amp; TEXT(WEEKNUM(AtlasReport_1_Table_1[[#This Row],[Date]]),"00")</f>
        <v>202043</v>
      </c>
      <c r="F217" s="4">
        <v>0</v>
      </c>
      <c r="G217" s="4">
        <v>1023.37</v>
      </c>
      <c r="H217" s="8" t="s">
        <v>33</v>
      </c>
    </row>
    <row r="218" spans="1:8" x14ac:dyDescent="0.15">
      <c r="A218" s="8" t="s">
        <v>313</v>
      </c>
      <c r="B218" s="8" t="s">
        <v>314</v>
      </c>
      <c r="C218" s="8" t="s">
        <v>28</v>
      </c>
      <c r="D218" s="6">
        <v>44134</v>
      </c>
      <c r="E218" s="4" t="str">
        <f>YEAR(AtlasReport_1_Table_1[[#This Row],[Date]]) &amp; TEXT(WEEKNUM(AtlasReport_1_Table_1[[#This Row],[Date]]),"00")</f>
        <v>202044</v>
      </c>
      <c r="F218" s="4">
        <v>0</v>
      </c>
      <c r="G218" s="4">
        <v>1000</v>
      </c>
      <c r="H218" s="8" t="s">
        <v>33</v>
      </c>
    </row>
    <row r="219" spans="1:8" x14ac:dyDescent="0.15">
      <c r="A219" s="8" t="s">
        <v>315</v>
      </c>
      <c r="B219" s="8" t="s">
        <v>84</v>
      </c>
      <c r="C219" s="8" t="s">
        <v>30</v>
      </c>
      <c r="D219" s="6">
        <v>43858</v>
      </c>
      <c r="E219" s="4" t="str">
        <f>YEAR(AtlasReport_1_Table_1[[#This Row],[Date]]) &amp; TEXT(WEEKNUM(AtlasReport_1_Table_1[[#This Row],[Date]]),"00")</f>
        <v>202005</v>
      </c>
      <c r="F219" s="4">
        <v>0</v>
      </c>
      <c r="G219" s="4">
        <v>732</v>
      </c>
      <c r="H219" s="8" t="s">
        <v>33</v>
      </c>
    </row>
    <row r="220" spans="1:8" x14ac:dyDescent="0.15">
      <c r="A220" s="8" t="s">
        <v>316</v>
      </c>
      <c r="B220" s="8" t="s">
        <v>84</v>
      </c>
      <c r="C220" s="8" t="s">
        <v>29</v>
      </c>
      <c r="D220" s="6">
        <v>44131</v>
      </c>
      <c r="E220" s="4" t="str">
        <f>YEAR(AtlasReport_1_Table_1[[#This Row],[Date]]) &amp; TEXT(WEEKNUM(AtlasReport_1_Table_1[[#This Row],[Date]]),"00")</f>
        <v>202044</v>
      </c>
      <c r="F220" s="4">
        <v>0</v>
      </c>
      <c r="G220" s="4">
        <v>300</v>
      </c>
      <c r="H220" s="8" t="s">
        <v>33</v>
      </c>
    </row>
    <row r="221" spans="1:8" x14ac:dyDescent="0.15">
      <c r="A221" s="8" t="s">
        <v>316</v>
      </c>
      <c r="B221" s="8" t="s">
        <v>84</v>
      </c>
      <c r="C221" s="8" t="s">
        <v>29</v>
      </c>
      <c r="D221" s="6">
        <v>44131</v>
      </c>
      <c r="E221" s="4" t="str">
        <f>YEAR(AtlasReport_1_Table_1[[#This Row],[Date]]) &amp; TEXT(WEEKNUM(AtlasReport_1_Table_1[[#This Row],[Date]]),"00")</f>
        <v>202044</v>
      </c>
      <c r="F221" s="4">
        <v>0</v>
      </c>
      <c r="G221" s="4">
        <v>47</v>
      </c>
      <c r="H221" s="8" t="s">
        <v>33</v>
      </c>
    </row>
    <row r="222" spans="1:8" x14ac:dyDescent="0.15">
      <c r="A222" s="8" t="s">
        <v>317</v>
      </c>
      <c r="B222" s="8" t="s">
        <v>318</v>
      </c>
      <c r="C222" s="8" t="s">
        <v>28</v>
      </c>
      <c r="D222" s="6">
        <v>44064</v>
      </c>
      <c r="E222" s="4" t="str">
        <f>YEAR(AtlasReport_1_Table_1[[#This Row],[Date]]) &amp; TEXT(WEEKNUM(AtlasReport_1_Table_1[[#This Row],[Date]]),"00")</f>
        <v>202034</v>
      </c>
      <c r="F222" s="4">
        <v>0</v>
      </c>
      <c r="G222" s="4">
        <v>474</v>
      </c>
      <c r="H222" s="8" t="s">
        <v>33</v>
      </c>
    </row>
    <row r="223" spans="1:8" x14ac:dyDescent="0.15">
      <c r="A223" s="8" t="s">
        <v>319</v>
      </c>
      <c r="B223" s="8" t="s">
        <v>320</v>
      </c>
      <c r="C223" s="8" t="s">
        <v>29</v>
      </c>
      <c r="D223" s="6">
        <v>44131</v>
      </c>
      <c r="E223" s="4" t="str">
        <f>YEAR(AtlasReport_1_Table_1[[#This Row],[Date]]) &amp; TEXT(WEEKNUM(AtlasReport_1_Table_1[[#This Row],[Date]]),"00")</f>
        <v>202044</v>
      </c>
      <c r="F223" s="4">
        <v>0</v>
      </c>
      <c r="G223" s="4">
        <v>300</v>
      </c>
      <c r="H223" s="8" t="s">
        <v>33</v>
      </c>
    </row>
    <row r="224" spans="1:8" x14ac:dyDescent="0.15">
      <c r="A224" s="8" t="s">
        <v>319</v>
      </c>
      <c r="B224" s="8" t="s">
        <v>320</v>
      </c>
      <c r="C224" s="8" t="s">
        <v>29</v>
      </c>
      <c r="D224" s="6">
        <v>44131</v>
      </c>
      <c r="E224" s="4" t="str">
        <f>YEAR(AtlasReport_1_Table_1[[#This Row],[Date]]) &amp; TEXT(WEEKNUM(AtlasReport_1_Table_1[[#This Row],[Date]]),"00")</f>
        <v>202044</v>
      </c>
      <c r="F224" s="4">
        <v>0</v>
      </c>
      <c r="G224" s="4">
        <v>49</v>
      </c>
      <c r="H224" s="8" t="s">
        <v>33</v>
      </c>
    </row>
    <row r="225" spans="1:8" x14ac:dyDescent="0.15">
      <c r="A225" s="8" t="s">
        <v>321</v>
      </c>
      <c r="B225" s="8" t="s">
        <v>322</v>
      </c>
      <c r="C225" s="8" t="s">
        <v>29</v>
      </c>
      <c r="D225" s="6">
        <v>44014</v>
      </c>
      <c r="E225" s="4" t="str">
        <f>YEAR(AtlasReport_1_Table_1[[#This Row],[Date]]) &amp; TEXT(WEEKNUM(AtlasReport_1_Table_1[[#This Row],[Date]]),"00")</f>
        <v>202027</v>
      </c>
      <c r="F225" s="4">
        <v>32.19</v>
      </c>
      <c r="G225" s="4">
        <v>444</v>
      </c>
      <c r="H225" s="8" t="s">
        <v>33</v>
      </c>
    </row>
    <row r="226" spans="1:8" x14ac:dyDescent="0.15">
      <c r="A226" s="3" t="s">
        <v>26</v>
      </c>
      <c r="B226" s="7"/>
      <c r="C226" s="7"/>
      <c r="D226" s="5"/>
      <c r="E226" s="3"/>
      <c r="F226" s="3">
        <f>SUBTOTAL(109,AtlasReport_1_Table_1[Error quantity])</f>
        <v>2045.0900000000001</v>
      </c>
      <c r="G226" s="3">
        <f>SUBTOTAL(109,AtlasReport_1_Table_1[Good quantity])</f>
        <v>470004.78000000032</v>
      </c>
      <c r="H226" s="3"/>
    </row>
    <row r="227" spans="1:8" x14ac:dyDescent="0.15">
      <c r="A227" s="3"/>
      <c r="B227" s="3"/>
      <c r="C227" s="3"/>
      <c r="D227" s="5"/>
      <c r="E227" s="3"/>
      <c r="F227" s="3"/>
      <c r="G227" s="3"/>
      <c r="H227" s="3"/>
    </row>
    <row r="228" spans="1:8" x14ac:dyDescent="0.15">
      <c r="A228" s="3"/>
      <c r="B228" s="3"/>
      <c r="C228" s="3"/>
      <c r="D228" s="5"/>
      <c r="E228" s="3"/>
      <c r="F228" s="3"/>
      <c r="G228" s="3"/>
      <c r="H228" s="3"/>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
  <sheetViews>
    <sheetView workbookViewId="0">
      <selection activeCell="J27" sqref="J27"/>
    </sheetView>
  </sheetViews>
  <sheetFormatPr defaultRowHeight="13.5" x14ac:dyDescent="0.15"/>
  <sheetData>
    <row r="1" spans="1:2" x14ac:dyDescent="0.15">
      <c r="A1" t="s">
        <v>0</v>
      </c>
    </row>
    <row r="2" spans="1:2" x14ac:dyDescent="0.15">
      <c r="A2" t="s">
        <v>1</v>
      </c>
    </row>
    <row r="3" spans="1:2" x14ac:dyDescent="0.15">
      <c r="A3" t="s">
        <v>2</v>
      </c>
      <c r="B3" t="s">
        <v>3</v>
      </c>
    </row>
    <row r="4" spans="1:2" x14ac:dyDescent="0.15">
      <c r="A4" t="s">
        <v>2</v>
      </c>
      <c r="B4" t="s">
        <v>4</v>
      </c>
    </row>
    <row r="5" spans="1:2" x14ac:dyDescent="0.15">
      <c r="A5" t="s">
        <v>2</v>
      </c>
      <c r="B5" t="s">
        <v>5</v>
      </c>
    </row>
    <row r="6" spans="1:2" x14ac:dyDescent="0.15">
      <c r="A6" t="s">
        <v>2</v>
      </c>
      <c r="B6" t="s">
        <v>6</v>
      </c>
    </row>
    <row r="7" spans="1:2" x14ac:dyDescent="0.15">
      <c r="A7" t="s">
        <v>2</v>
      </c>
      <c r="B7" t="s">
        <v>7</v>
      </c>
    </row>
    <row r="8" spans="1:2" x14ac:dyDescent="0.15">
      <c r="A8" t="s">
        <v>2</v>
      </c>
      <c r="B8" t="s">
        <v>8</v>
      </c>
    </row>
    <row r="11" spans="1:2" x14ac:dyDescent="0.15">
      <c r="A11" t="s">
        <v>9</v>
      </c>
    </row>
    <row r="12" spans="1:2" x14ac:dyDescent="0.15">
      <c r="A12" t="s">
        <v>1</v>
      </c>
    </row>
    <row r="13" spans="1:2" x14ac:dyDescent="0.15">
      <c r="A13" t="s">
        <v>2</v>
      </c>
      <c r="B13" t="s">
        <v>3</v>
      </c>
    </row>
    <row r="14" spans="1:2" x14ac:dyDescent="0.15">
      <c r="A14" t="s">
        <v>2</v>
      </c>
      <c r="B14" t="s">
        <v>10</v>
      </c>
    </row>
    <row r="15" spans="1:2" x14ac:dyDescent="0.15">
      <c r="A15" t="s">
        <v>2</v>
      </c>
      <c r="B15" t="s">
        <v>5</v>
      </c>
    </row>
    <row r="16" spans="1:2" x14ac:dyDescent="0.15">
      <c r="A16" t="s">
        <v>2</v>
      </c>
      <c r="B16" t="s">
        <v>11</v>
      </c>
    </row>
    <row r="17" spans="1:7" x14ac:dyDescent="0.15">
      <c r="A17" t="s">
        <v>2</v>
      </c>
      <c r="B17" t="s">
        <v>12</v>
      </c>
    </row>
    <row r="18" spans="1:7" x14ac:dyDescent="0.15">
      <c r="A18" t="s">
        <v>2</v>
      </c>
      <c r="B18" t="s">
        <v>13</v>
      </c>
    </row>
    <row r="23" spans="1:7" x14ac:dyDescent="0.15">
      <c r="C23" t="s">
        <v>35</v>
      </c>
      <c r="E23" t="s">
        <v>36</v>
      </c>
      <c r="G23" t="s">
        <v>45</v>
      </c>
    </row>
    <row r="24" spans="1:7" x14ac:dyDescent="0.15">
      <c r="C24" s="9" t="s">
        <v>44</v>
      </c>
      <c r="E24" s="9" t="s">
        <v>37</v>
      </c>
      <c r="G24" t="s">
        <v>46</v>
      </c>
    </row>
    <row r="25" spans="1:7" x14ac:dyDescent="0.15">
      <c r="C25" s="9" t="s">
        <v>48</v>
      </c>
      <c r="E25" s="9" t="s">
        <v>38</v>
      </c>
      <c r="G25" t="s">
        <v>47</v>
      </c>
    </row>
    <row r="26" spans="1:7" x14ac:dyDescent="0.15">
      <c r="C26" s="9" t="s">
        <v>49</v>
      </c>
      <c r="E26" s="9" t="s">
        <v>39</v>
      </c>
    </row>
    <row r="27" spans="1:7" x14ac:dyDescent="0.15">
      <c r="E27" s="9" t="s">
        <v>40</v>
      </c>
    </row>
    <row r="28" spans="1:7" x14ac:dyDescent="0.15">
      <c r="E28" s="9" t="s">
        <v>41</v>
      </c>
    </row>
    <row r="29" spans="1:7" x14ac:dyDescent="0.15">
      <c r="E29" s="9" t="s">
        <v>42</v>
      </c>
    </row>
    <row r="30" spans="1:7" x14ac:dyDescent="0.15">
      <c r="E30" s="9" t="s">
        <v>43</v>
      </c>
    </row>
  </sheetData>
  <phoneticPr fontId="3"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tlas>
  <Query type="ReportList" id="17ae37a3-1867-4350-9faf-959387dc3685">
    AAEAAAD/////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v///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wYdAAAADVByb2RUYWJsZUpvdXIGHgAAAAdKb3VybmFsCQgAAAAJCAAAAAkIAAAABeD///8wR2xvYmVTb2Z0d2FyZS5BdGxhczQwLkF0bGFzQ29tbW9uLkRhdGFTb3VyY2VUeXBlAQAAAAd2YWx1ZV9fAAgCAAAAAAAAAAkhAAAACSIAAAAE3f///wtTeXN0ZW0uR3VpZAsAAAACX2ECX2ICX2MCX2QCX2UCX2YCX2cCX2gCX2kCX2oCX2sAAAAAAAAAAAAAAAgHBwICAgICAgIC5SUcwzVUf0KHHf2+64yAHgkIAAAACQgAAAAJJQAAAAYmAAAAE1RhYmxlLlByb2RUYWJsZUpvdXIKCgoKCgEAAAAF2f///zRHbG9iZVNvZnR3YXJlLkF0bGFzNDAuQXRsYXNDb21tb24uRGF0YVNvdXJjZUpvaW5Nb2RlAQAAAAd2YWx1ZV9fAAgCAAAAAAAAAAXY////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1P///wYwAAAAKlRhYmxlLlByb2RUYWJsZUpvdXIuUHJvZElkflRhYmxlLlByb2RUYWJsZQkxAAAAAc7////U////BjMAAAAyVGFibGUuUHJvZFRhYmxlSm91ci5JdGVtSWR+VGFibGUuSW52ZW50VGFibGVNb2R1bGUJNAAAAAcUAAAAAAEAAAAIAAAABC1HbG9iZVNvZnR3YXJlLkF0bGFzNDAuQXRsYXNDb21tb24uVHlwZS5Db2x1bW4CAAAACTUAAAAJNgAAAAk3AAAACTgAAAAJOQAAAAk6AAAACTsAAAAJPAAAABEVAAAABAAAAAY9AAAADUF0bGFzUmVwb3J0XzENAwcXAAAAAAEAAAADAAAAA+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C////BkEAAAAPVGFibGUuUHJvZFRhYmxlCTAAAAABvf///8L///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R2xvYmVTb2Z0d2FyZS5BdGxhczQwLkF0bGFzQ29tbW9uLlR5cGUuQXRsYXNRdWVyeUF0dHJpYnV0ZU5hbWUCAAAABbn///8+R2xvYmVTb2Z0d2FyZS5BdGxhczQwLkF0bGFzQ29tbW9uLlR5cGUuQXRsYXNRdWVyeUF0dHJpYnV0ZU5hbWUBAAAAB3ZhbHVlX18ACAIAAAACAAAABkgAAAAkMTdhZTM3YTMtMTg2Ny00MzUwLTlmYWYtOTU5Mzg3ZGMzNjg1Abf///+6////Abb///+5////AAAAAAZLAAAABHRydWUBtP///7r///8Bs////7n///8LAAAABk4AAAAHSm91cm5hbAGx////uv///wGw////uf///xsAAAAGUQAAAARUcnVlAa7///+6////Aa3///+5////BgAAAAZUAAAABUZhbHNlAav///+6////Aar///+5////HAAAAAlRAAAAAaj///+6////Aaf///+5////HQAAAAlUAAAAAaX///+6////AaT///+5////KgAAAAlRAAAAAaL///+6////AaH///+5////AQAAAAZgAAAAAzM3MgGf////uv///wGe////uf///ycAAAAGYwAAAAs9RGF0YUFyZWFJZAGc////uv///wGb////uf///xkAAAAGZgAAAA9DZWxsc1ZlcnRpY2FsbHkBmf///7r///8BmP///7n///8JAAAACgGX////uv///wGW////uf///ygAAAAGawAAAAE4AZT///+6////AZP///+5////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5H///8GcgAAAAlQcm9kVGFibGUBAAAAAY3///+R////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BnwAAAAJUHJvZFRhYmxlBn0AAAARUHJvZHVjdGlvbiBvcmRlcnMJCAAAAAkIAAAACQgAAAABgf///+D///8AAAAACYAAAAAJgQAAAAF+////3f///zTDZo3f3JtAvK3xnoj6Ee0JCAAAAAkIAAAACYQAAAAJMAAAAAaGAAAADVByb2RUYWJsZUpvdXIGhwAAABNUYWJsZS5Qcm9kVGFibGVKb3VyBogAAAAaVGFibGUuUHJvZFRhYmxlSm91ci5Qcm9kSWQGiQAAAAZQcm9kSWQGigAAAAZQcm9kSWQBAAAAAXX////Z////AAAAAAF0////2P///wAAAAAACY0AAAABNAAAAA4AAAD/////Bo4AAAARSW52ZW50VGFibGVNb2R1bGUGjwAAABtJbnZlbnRvcnkgbW9kdWxlIHBhcmFtZXRlcnMJCAAAAAkIAAAACQgAAAABb////+D///8AAAAACZIAAAAJkwAAAAFs////3f///w2I50ogIOxMgZjz7MTRca4JCAAAAAkIAAAACZYAAAAJMwAAAAaYAAAADVByb2RUYWJsZUpvdXIGmQAAABNUYWJsZS5Qcm9kVGFibGVKb3VyBpoAAAAaVGFibGUuUHJvZFRhYmxlSm91ci5JdGVtSWQGmwAAAAZJdGVtSWQGnAAAAAZJdGVtSWQBAAAAAWP////Z////AAAAAAFi////2P///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y1HbG9iZVNvZnR3YXJlLkF0bGFzNDAuQXRsYXNDb21tb24uQWdncmVnYXRpb24BAAAAB3ZhbHVlX18ACAIAAAD/////AAAAAAVX////LEdsb2JlU29mdHdhcmUuQXRsYXM0MC5BdGxhc0NvbW1vbi5Db2x1bW5UeXBlAQAAAAd2YWx1ZV9fAAgCAAAAAAAAAAVW////K0dsb2JlU29mdHdhcmUuQXRsYXM0MC5BdGxhc0NvbW1vbi5Tb3J0T3JkZXIBAAAAB3ZhbHVlX18ACAIAAAACAAAAAAAAAAAFVf///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1j/////////AQAAAAFJ////V////wAAAAABSP///1b///8CAAAAAAAAAAABR////1X///8AAAAACgEAAAAAAAAAAAEAAAAABroAAAAkNmI3OTdkOGYtYjJjOC00ZjAwLThmMTgtMzVkMWZhNmZmNzE5BrsAAAAaVGFibGUuUHJvZFRhYmxlSm91ci5JdGVtSWQKCgoKATcAAAA1AAAACbwAAAAJvQAAAAm+AAAABr8AAAAKUHJvZFBvb2xJZAbAAAAABFBvb2wGwQAAAAZTdHJpbmcJCAAAAAbDAAAAJGJjYWUzMWI4LTQ4ZjAtNDM4Yi04OTA1LTEzZGM4M2IzOWMxOQE8////WP////////8CAAAAATv///9X////AAAAAAE6////Vv///wIAAAAAAAAAAAE5////Vf///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9Y/////////wMAAAABLf///1f///8AAAAAASz///9W////AgAAAAAAAAAAASv///9V////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WP////////8EAAAAASD///9X////AgAAAAEf////Vv///wIAAAAAAAAAAAEe////Vf///wAAAAAKAQAAAAAAAAAABAAAAAAG4wAAACRjZTI1OTQxZC0wODQ3LTQwYTQtODdlMy1mZGE0YjQwZjhjMTcJCAAAAAoKCgoBOgAAADUAAAAJ5QAAAAnmAAAACecAAAAG6AAAAAhRdHlFcnJvcgbpAAAADkVycm9yIHF1YW50aXR5BuoAAAAEUmVhbAkIAAAABuwAAAAkYmM3NjZmY2QtYjNhMi00MTg4LTk1MWUtODU3YWE1NGM4YmYwARP///9Y////AQAAAAUAAAABEv///1f///8AAAAAARH///9W////AgAAAAAAAAAAARD///9V////AAAAAAoBAAAAAAAAAAAFAAAAAAbxAAAAJGQ3ODI2NTY1LWIzMmMtNDA5OS1iZGMzLWNhYTQ4MWI4NjFhMQbyAAAAHFRhYmxlLlByb2RUYWJsZUpvdXIuUXR5RXJyb3IKCgoKATsAAAA1AAAACfMAAAAJ9AAAAAn1AAAABvYAAAAHUXR5R29vZAb3AAAADUdvb2QgcXVhbnRpdHkG+AAAAARSZWFsCQgAAAAG+gAAACRjYWFkMTgyZS04ZTBkLTQ5YzgtYjhiMy02MjkwNzk4YzdhODMBBf///1j///8BAAAABgAAAAEE////V////wAAAAABA////1b///8CAAAAAAAAAAABAv///1X///8AAAAACgEAAAAAAAAAAAYAAAAABv8AAAAkNDc4YTc0ZGYtZjY1OC00MjUxLThjMzItMmU1Y2MwZjkzYWY4BgABAAAbVGFibGUuUHJvZFRhYmxlSm91ci5RdHlHb29kCgoKCgE8AAAANQAAAAkBAQAACQIBAAAJAwEAAAYEAQAABlVuaXRJZAYFAQAABFVuaXQGBgEAAAZTdHJpbmcJCAAAAAYIAQAAJDhhYmRhOWU0LTFhY2ItNDFiMi04ODc1LWU4YjJlNjE2ZWZlMgH3/v//WP////////8HAAAAAfb+//9X////AAAAAAH1/v//Vv///wIAAAAAAAAAAAH0/v//Vf///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v//8f7//wYTAQAAGlRhYmxlLlByb2RUYWJsZUpvdXIuSXRlbUlkCRQBAAAB6/7///H+//8GFgEAAB1UYWJsZS5Qcm9kVGFibGVKb3VyLlRyYW5zRGF0ZQkXAQAAAej+///x/v//BhkBAAAcVGFibGUuUHJvZFRhYmxlSm91ci5RdHlFcnJvcgkaAQAAAeX+///x/v//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i/v//BiIBAAAfVGFibGUuUHJvZFRhYmxlSm91ci5Kb3VybmFsVHlwZQkjAQAAAdz+///i/v//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v//1P///wkwAAAACTEAAAAB1v7//9T///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xAA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TsBAAAHAAAACTwBAAABrgAAAKAAAAAJPQEAAAEAAAABAAAAAa8AAAChAAAA6gAAAAk5AQAABwAAAAk/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k7AQAABwAAAAlBAQAAAbwAAACgAAAACUIBAAABAAAAAQAAAAG9AAAAoQAAANUAAAAJQwEAAAcAAAAJRAEAAA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LQEAAAcAAAAJRgEAAAHKAAAAoAAAAAlHAQAAAQAAAAEAAAABywAAAKEAAADqAA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TsBAAAHAAAACUsBAAAB2AAAAKAAAAAJTAEAAAAAAAAAAAAAAdkAAAChAAAAzQ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AAAAAlPAQAABwAAAAlQAQAAAeUAAACgAAAACVEBAAABAAAAAQAAAAHmAAAAoQAAAOoA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cAAAAJOwEAAAcAAAAJVQEAAAHzAAAAoAAAAAlWAQAAAQAAAAEAAAAB9AAAAKEAAADqAA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TsBAAAHAAAACVoBAAABAQEAAKAAAAAJWwEAAAEAAAABAAAAAQIBAAChAAAAzg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9Y/////////wAGYQEAAAZTdHJpbmcGYgEAAApQcm9kdWN0aW9uCWMBAAABnP7//1b///8CAAAABZv+//85R2xvYmVTb2Z0d2FyZS5BdGxhczQwLkF0bGFzQ29tbW9uLk51bWJlclNlcXVlbmNlQ29uZGl0aW9uAQAAAAd2YWx1ZV9fAAgCAAAAAQAAAAAABmYBAAATVGFibGUuUHJvZFRhYmxlSm91cgmjAAAACQgAAAAK/////wlmAQAACgmjAAAACgoKCQgAAAAJbAEAAAkIAAAAARQBAAARAQAAAZL+//9Y/////////wAGbwEAAAZTdHJpbmcGcAEAAAtJdGVtIG51bWJlcgljAQAAAY7+//9W////AgAAAAGN/v//m/7//wEAAAAAAAlmAQAACbEAAAAJCAAAAAr/////CWYBAAAKCbEAAAAKCgoJCAAAAAl6AQAACQgAAAABFwEAABEBAAABhP7//1j/////////AAZ9AQAABERhdGUGfgEAAAREYXRlCWMBAAABgP7//1b///8CAAAAAX/+//+b/v//AQAAAAAACWYBAAAJzQAAAAkIAAAACv////8JZgEAAAoJzQAAAAoKCgkIAAAACYgBAAAJCAAAAAEaAQAAEQEAAAF2/v//WP////////8ABosBAAAEUmVhbAaMAQAADkVycm9yIHF1YW50aXR5CWMBAAABcv7//1b///8CAAAAAXH+//+b/v//AQAAAAAACWYBAAAJ6AAAAAkIAAAACv////8JZgEAAAoJ6AAAAAoKCgkIAAAACZYBAAAJCAAAAAEdAQAAEQEAAAFo/v//WP////////8ABpkBAAAEUmVhbAaaAQAADUdvb2QgcXVhbnRpdHkJYwEAAAFk/v//Vv///wIAAAABY/7//5v+//8BAAAAAAAJZgEAAAn2AAAACQgAAAAK/////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BSpQUk9E/////wmmAQAACgmnAQAACgoKCQgAAAAJrQEAAAkIAAAAASMBAAAgAQAACaYBAAAGsAEAAAtKb3VybmFsVHlwZQkIAAAABrIBAAAHUmVjZWlwdP////8JpgEAAAoJsAEAAAoKCgkIAAAACbYBAAAJCAAAAAEmAQAAIAEAAAmmAQAABrkBAAAJVHJhbnNEYXRlCQgAAAAGuwEAABgwMS8wMS8yMDIwIC4uIDEyLzMxLzIwMjD/////CaYBAAAKCbkBAAAKCgoJCAAAAAm/AQAACQgAAAABLQEAABIAAAAHL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7///H+//8GwgEAADVUYWJsZS5Qcm9kVGFibGVKb3VyLlByb2RJZH5UYWJsZS5Qcm9kVGFibGUuUHJvZFBvb2xJZAnDAQAAATEBAAB7AAAAATIBAAASAAAABz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z+///x/v//BsUBAAA5VGFibGUuUHJvZFRhYmxlSm91ci5JdGVtSWR+VGFibGUuSW52ZW50VGFibGVNb2R1bGUuVW5pdElkCcYBAAAHNQ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n+///i/v//BsgBAAA9VGFibGUuUHJvZFRhYmxlSm91ci5JdGVtSWR+VGFibGUuSW52ZW50VGFibGVNb2R1bGUuTW9kdWxlVHlwZQnJAQAAATb+///i/v//BssBAAA5VGFibGUuUHJvZFRhYmxlSm91ci5JdGVtSWR+VGFibGUuSW52ZW50VGFibGVNb2R1bGUuVW5pdElkCcwBAAABNwEAAHsAAAAHOAEAAAABAAAABAAAAAQ3R2xvYmVTb2Z0d2FyZS5BdGxhczQwLkF0bGFzQ29tbW9uLlR5cGUuRmllbGRPdXRwdXRGaWVsZAIAAAAJEQEAAA0DBD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B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y/v//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H+//8yR2xvYmVTb2Z0d2FyZS5BdGxhczQwLkF0bGFzQ29tbW9uLkNvbHVtbkF0dHJpYnV0ZXMBAAAAB3ZhbHVlX18ACAIAAAAGAAAABtABAAAFVG90YWwBL/7//zL+//8BLv7//zH+//8QAAAABtMBAAAETm9uZQEs/v//Mv7//wEr/v//Mf7//wkAAAAJCAAAAAEp/v//Mv7//wEo/v//Mf7//wsAAAAG2QEAAAEwASb+//8y/v//ASX+//8x/v//BAAAAAbcAQAAB0dlbmVyYWwBI/7//zL+//8BIv7//zH+//8CAAAABt8BAAABMQEg/v//Mv7//wEf/v//Mf7//wAAAAAG4gEAAAUxMi40MwEd/v//Mv7//wEc/v//Mf7//yQAAAAJpAAAAAE7AQAAEgAAAAc8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r+///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5wEAAAhGb250Qm9sZAboAQAABUZhbHNlARf+//8a/v//BuoBAAAKRm9udEl0YWxpYwnoAQAAART+//8a/v//Bu0BAAANRm9udFVuZGVybGluZQbuAQAABS00MTQyARH+//8a/v//BvABAAAIRm9udE5hbWUG8QEAAAdDYWxpYnJpAQ7+//8a/v//BvMBAAAJRm9udENvbG9yBvQBAAABMAEL/v//Gv7//wb2AQAACEZvbnRTaXplBvcBAAACMTEBCP7//xr+//8G+QEAAAlGb250U3R5bGUG+gEAAAdSZWd1bGFyBz0BAAAAAQAAAAQAAAAEN0dsb2JlU29mdHdhcmUuQXRsYXM0MC5BdGxhc0NvbW1vbi5UeXBlLkZpZWxkT3V0cHV0RmllbGQCAAAACRQBAAANAw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zL+//8BA/7//zH+//8QAAAACdMBAAABAf7//zL+//8BAP7//zH+//8JAAAACQgAAAAB/v3//zL+//8B/f3//zH+//8LAAAABgQCAAABMQH7/f//Mv7//wH6/f//Mf7//wQAAAAGBwIAAAdHZW5lcmFsAfj9//8y/v//Aff9//8x/v//AgAAAAYKAgAAATEB9f3//zL+//8B9P3//zH+//8AAAAABg0CAAAFMjQuODY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f//Gv7//wnnAQAACegBAAAB7/3//xr+//8J6gEAAAnoAQAAAez9//8a/v//Ce0BAAAGFgIAAAUtNDE0MgHp/f//Gv7//wnwAQAABhkCAAAHQ2FsaWJyaQHm/f//Gv7//wnzAQAABhwCAAABMAHj/f//Gv7//wn2AQAABh8CAAACMTEB4P3//xr+//8J+QEAAAYiAgAAB1JlZ3VsYXIHQgEAAAABAAAABAAAAAQ3R2xvYmVTb2Z0d2FyZS5BdGxhczQwLkF0bGFzQ29tbW9uLlR5cGUuRmllbGRPdXRwdXRGaWVsZAIAAAAJwwEAAA0DAUMBAAA5AQAAB0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f//Mv7//wHb/f//Mf7//wkAAAAJCAAAAAHZ/f//Mv7//wHY/f//Mf7//wsAAAAGKQIAAAEyAdb9//8y/v//AdX9//8x/v//BAAAAAYsAgAAB0dlbmVyYWwB0/3//zL+//8B0v3//zH+//8CAAAABi8CAAABMQHQ/f//Mv7//wHP/f//Mf7//wAAAAAGMgIAAAQ2LjU3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3//xr+//8GNAIAAAhGb250Qm9sZAnoAQAAAcr9//8a/v//BjcCAAAKRm9udEl0YWxpYwnoAQAAAcf9//8a/v//BjoCAAANRm9udFVuZGVybGluZQY7AgAABS00MTQyAcT9//8a/v//Bj0CAAAIRm9udE5hbWUGPgIAAAdDYWxpYnJpAcH9//8a/v//BkACAAAJRm9udENvbG9yBkECAAABMAG+/f//Gv7//wZDAgAACEZvbnRTaXplBkQCAAACMTEBu/3//xr+//8GRgIAAAlGb250U3R5bGUGRwIAAAdSZWd1bGFyB0cBAAAAAQAAAAQAAAAEN0dsb2JlU29mdHdhcmUuQXRsYXM0MC5BdGxhc0NvbW1vbi5UeXBlLkZpZWxkT3V0cHV0RmllbGQCAAAACRc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3//zL+//8Btv3//zH+//8QAAAACdMBAAABtP3//zL+//8Bs/3//zH+//8JAAAACQgAAAABsf3//zL+//8BsP3//zH+//8LAAAABlECAAABMwGu/f//Mv7//wGt/f//Mf7//wQAAAAGVAIAAAhtL2QveXl5eQGr/f//Mv7//wGq/f//Mf7//wIAAAAGVwIAAAExAaj9//8y/v//Aaf9//8x/v//AAAAAAZaAgAAAjEw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r+//8J5wEAAAnoAQAAAaL9//8a/v//CeoBAAAJ6AEAAAGf/f//Gv7//wntAQAABmMCAAAFLTQxNDIBnP3//xr+//8J8AEAAAZmAgAAB0NhbGlicmkBmf3//xr+//8J8wEAAAZpAgAAATABlv3//xr+//8J9gEAAAZsAgAAAjExAZP9//8a/v//CfkBAAAGbwIAAAdSZWd1bGFyB0wBAAAAAQAAAAAAAAAEN0dsb2JlU29mdHdhcmUuQXRsYXM0MC5BdGxhc0NvbW1vbi5UeXBlLkZpZWxkT3V0cHV0RmllbGQCAAAAAU0BAAA5AQAAB04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f//Mv7//wGP/f//Mf7//yQAAAAJ3AAAAAGN/f//Mv7//wGM/f//Mf7//wsAAAAGdQIAAAE0AYr9//8y/v//AYn9//8x/v//BAAAAAZ4AgAAB0dlbmVyYWwBh/3//zL+//8Bhv3//zH+//8CAAAABnsCAAABMQGE/f//Mv7//wGD/f//Mf7//wAAAAAGfgIAAAUxMi4xNAGB/f//Mv7//wGA/f//Mf7//wMAAAAGgQIAACw9WUVBUihbQERhdGVdKSAmIFRFWFQoV0VFS05VTShbQERhdGVdKSwiMDAiKQFPAQAAEgAAAAdQ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79//8a/v//BoMCAAAIRm9udEJvbGQJ6AEAAAF7/f//Gv7//waGAgAACkZvbnRJdGFsaWMJ6AEAAAF4/f//Gv7//waJAgAADUZvbnRVbmRlcmxpbmUGigIAAAUtNDE0MgF1/f//Gv7//waMAgAACEZvbnROYW1lBo0CAAAHQ2FsaWJyaQFy/f//Gv7//waPAgAACUZvbnRDb2xvcgaQAgAAATABb/3//xr+//8GkgIAAAhGb250U2l6ZQaTAgAAAjExAWz9//8a/v//BpUCAAAJRm9udFN0eWxlBpYCAAAHUmVndWxhcgdRAQAAAAEAAAAEAAAABDdHbG9iZVNvZnR3YXJlLkF0bGFzNDAuQXRsYXNDb21tb24uVHlwZS5GaWVsZE91dHB1dEZpZWxkAgAAAAkaAQAADQMHU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9//8y/v//AWf9//8x/v//EAAAAAnTAQAAAWX9//8y/v//AWT9//8x/v//CQAAAAkIAAAAAWL9//8y/v//AWH9//8x/v//CwAAAAagAgAAATUBX/3//zL+//8BXv3//zH+//8EAAAABqMCAAAHR2VuZXJhbAFc/f//Mv7//wFb/f//Mf7//wIAAAAGpgIAAAExAVn9//8y/v//AVj9//8x/v//AAAAAAapAgAABTE0Ljg2B1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3//xr+//8J5wEAAAnoAQAAAVP9//8a/v//CeoBAAAJ6AEAAAFQ/f//Gv7//wntAQAABrICAAAFLTQxNDIBTf3//xr+//8J8AEAAAa1AgAAB0NhbGlicmkBSv3//xr+//8J8wEAAAa4AgAAATABR/3//xr+//8J9gEAAAa7AgAAAjExAUT9//8a/v//CfkBAAAGvgIAAAdSZWd1bGFyB1YBAAAAAQAAAAQAAAAEN0dsb2JlU29mdHdhcmUuQXRsYXM0MC5BdGxhc0NvbW1vbi5UeXBlLkZpZWxkT3V0cHV0RmllbGQCAAAACR0BAAANAw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zL+//8BP/3//zH+//8QAAAACdMBAAABPf3//zL+//8BPP3//zH+//8JAAAACQgAAAABOv3//zL+//8BOf3//zH+//8LAAAABsgCAAABNgE3/f//Mv7//wE2/f//Mf7//wQAAAAGywIAAAdHZW5lcmFsATT9//8y/v//ATP9//8x/v//AgAAAAbOAgAAATEBMf3//zL+//8BMP3//zH+//8AAAAABtECAAAFMTUuNDMHW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f//Gv7//wnnAQAACegBAAABK/3//xr+//8J6gEAAAnoAQAAASj9//8a/v//Ce0BAAAG2gIAAAUtNDE0MgEl/f//Gv7//wnwAQAABt0CAAAHQ2FsaWJyaQEi/f//Gv7//wnzAQAABuACAAABMAEf/f//Gv7//wn2AQAABuMCAAACMTEBHP3//xr+//8J+QEAAAbmAgAAB1JlZ3VsYXIHWwEAAAABAAAABAAAAAQ3R2xvYmVTb2Z0d2FyZS5BdGxhczQwLkF0bGFzQ29tbW9uLlR5cGUuRmllbGRPdXRwdXRGaWVsZAIAAAAJxgEAAA0DAVwBAAA5AQAAB10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f//Mv7//wEX/f//Mf7//wkAAAAJCAAAAAEV/f//Mv7//wEU/f//Mf7//wsAAAAG7QIAAAE3ARL9//8y/v//ARH9//8x/v//BAAAAAbwAgAAB0dlbmVyYWwBD/3//zL+//8BDv3//zH+//8CAAAABvMCAAABMQEM/f//Mv7//wEL/f//Mf7//wAAAAAG9gIAAAQ2LjQzB18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3//xr+//8G+AIAAAhGb250Qm9sZAnoAQAAAQb9//8a/v//BvsCAAAKRm9udEl0YWxpYwnoAQAAAQP9//8a/v//Bv4CAAANRm9udFVuZGVybGluZQb/AgAABS00MTQyAQD9//8a/v//BgEDAAAIRm9udE5hbWUGAgMAAAdDYWxpYnJpAf38//8a/v//BgQDAAAJRm9udENvbG9yBgUDAAABMAH6/P//Gv7//wYHAwAACEZvbnRTaXplBggDAAACMTEB9/z//xr+//8GCgMAAAlGb250U3R5bGUGCwMAAAdSZWd1bGFyAWMBAAAOAAAABwEAAAYMAwAADVByb2RUYWJsZUpvdXIGDQMAAAdKb3VybmFsCQgAAAAJCAAAAAkIAAAAAfH8///g////AAAAAAkQAwAACREDAAAB7vz//93///+JU3inYV3zSrKpvwXdTYS0CQgAAAAJCAAAAAkUAwAACWYBAAAKCgoKCgEAAAAB6vz//9n///8AAAAAAen8///Y////AAAAAAAJGAM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OwEAAAMAAAAJGgMAAAR6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OwEAAAMAAAAJHAMAAAS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OwEAAAMAAAAJHgM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OwEAAAMAAAAJIAMAAAS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OwEAAAMAAAAJI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AAAAJEgAAAAMAAAAJJAMAAAS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4AAAAJEgAAAAMAAAAJJgMAAA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AAAAJEgAAAAMAAAAJKAMAAAHDAQAAEQEAAAHX/P//WP////////8ABioDAAAGU3RyaW5nBisDAAAEUG9vbAkxAAAAAdP8//9W////AgAAAAHS/P//m/7//wEAAAAAAAkwAAAACb8AAAAJCAAAAAr/////CTAAAAAKCb8AAAAGNAMAAAZQcm9kSWQGNQMAAA1Qcm9kVGFibGVKb3VyCgkIAAAACTcDAAAJCAAAAAHGAQAAEQEAAAHH/P//WP////////8ABjoDAAAGU3RyaW5nBjsDAAAEVW5pdAk0AAAAAcP8//9W////AgAAAAHC/P//m/7//wEAAAAAAAkzAAAACQQBAAAJCAAAAAr/////CTMAAAAKCQQBAAAGRAMAAAZJdGVtSWQGRQMAAA1Qcm9kVGFibGVKb3VyCgkIAAAACUcDAAAJCAAAAAHJAQAAIAEAAAkzAAAABkoDAAAKTW9kdWxlVHlwZQkIAAAABkwDAAAGSW52ZW50/////wkzAAAACglKAwAABk8DAAAGSXRlbUlkCgoJCAAAAAlRAwAACQgAAAABzAEAACABAAAJMwAAAAZUAwAABlVuaXRJZAkIAAAABlYDAAABTf////8JMwAAAAoJVAMAAAZZAwAABkl0ZW1JZAoKCQgAAAAJWwMAAAkIAAAAARADAAAhAAAACQAAAAldAwAAEQAAAAleAwAAAREDAAAiAAAABQAAAAk7AQAABwAAAAlgAwAABBQ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AwAAAAAAAAEYAwAAKQAAAAAAAAAJYgMAAAAA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P//Gv7//wZkAwAACEhlbHBUZXh0BmUDAAAeSWRlbnRpZnkgdGhlIHByb2R1Y3Rpb24gb3JkZXIuAZr8//8a/v//BmcDAAAFTGFiZWwJYgEAAAGX/P//Gv7//wZqAwAABFR5cGUJYQEAAAcc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8//8a/v//CWQDAAAGbgMAAA5JZGVudGlmeSBpdGVtLgGR/P//Gv7//wlnAwAACXABAAABjvz//xr+//8JagMAAAlvAQAABx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z//xr+//8JZAMAAAZ3AwAADFBvc3RpbmcgZGF0ZQGI/P//Gv7//wlnAwAACX4BAAABhfz//xr+//8JagMAAAl9AQAABy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xr+//8JZAMAAAaAAwAAOUVycm9yIHF1YW50aXR5IGluIHRoZSBpbnZlbnRvcnkgdW5pdCByZXBvcnRlZCBhcyBmaW5pc2hlZAF//P//Gv7//wlnAwAACYwBAAABfPz//xr+//8JagMAAAmLAQAABy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xr+//8JZAMAAAaJAwAAVUdvb2QgcXVhbnRpdHkgKGV4Y2wuIHNjcmFwKSBpbiB0aGUgaW52ZW50b3J5IHVuaXQgcmVwb3J0ZWQgYXMgZmluaXNoZWQvY29zdCBhY2NvdW50ZWQBdvz//xr+//8JZwMAAAmaAQAAAXP8//8a/v//CWoDAAAJmQEAAAck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8a/v//BpEDAAAEVHlwZQlvAQAAAW38//8a/v//BpQDAAAFTGFiZWwJcAEAAAFq/P//Gv7//waXAwAACFJlZmVyc1RvBpgDAAALPUl0ZW1OdW1iZXIHJ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P//Gv7//wmRAwAABpsDAAAERW51bQFk/P//Gv7//wmUAwAABp4DAAAEVHlwZQco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8a/v//CZEDAAAJfQEAAAFe/P//Gv7//wmUAwAACX4BAAABW/z//xr+//8JlwMAAAanAwAACz1EYXRlUGVyaW9kBD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gAAAAktAQAAAwAAAAmpAwAABE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AAAAkyAQAAAwAAAAmr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mtAwAABF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mvAwAAAV0DAAASAAAAB14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x/v//BrEDAAAaVGFibGUuUHJvZFRhYmxlSm91ci5Qcm9kSWQJEQEAAAFN/P//8f7//wa0AwAAGlRhYmxlLlByb2RUYWJsZUpvdXIuSXRlbUlkCRQBAAABSvz///H+//8GtwMAAB9UYWJsZS5Qcm9kVGFibGVKb3VyLkpvdXJuYWxUeXBlCbgDAAABR/z///H+//8GugMAAB1UYWJsZS5Qcm9kVGFibGVKb3VyLlRyYW5zRGF0ZQkXAQAAAUT8///x/v//Br0DAAAbVGFibGUuUHJvZFRhYmxlSm91ci5Wb3VjaGVyCb4DAAABQfz///H+//8GwAMAACJUYWJsZS5Qcm9kVGFibGVKb3VyLkFtb3VudFBoeXNpY2FsCcEDAAABPvz///H+//8GwwMAACNUYWJsZS5Qcm9kVGFibGVKb3VyLkFtb3VudEZpbmFuY2lhbAnEAwAAATv8///x/v//BsYDAAAcVGFibGUuUHJvZFRhYmxlSm91ci5RdHlFcnJvcgkaAQAAATj8///x/v//BskDAAAbVGFibGUuUHJvZFRhYmxlSm91ci5RdHlHb29kCR0BAAAHYAM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X8///i/v//BswDAAAbVGFibGUuUHJvZFRhYmxlSm91ci5Wb3VjaGVyCc0DAAABMvz//+L+//8GzwMAAB1UYWJsZS5Qcm9kVGFibGVKb3VyLlRyYW5zRGF0ZQnQAwAAAS/8///i/v//BtIDAAAaVGFibGUuUHJvZFRhYmxlSm91ci5JdGVtSWQJ0wMAAAEs/P//4v7//wbVAwAAGlRhYmxlLlByb2RUYWJsZUpvdXIuUHJvZElkCdYDAAABKfz//+L+//8G2AMAAB9UYWJsZS5Qcm9kVGFibGVKb3VyLkpvdXJuYWxUeXBlCdkDAAABYgMAAHsAAAAHq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P//Gv7//wbbAwAABUxhYmVsCSsDAAABI/z//xr+//8G3gMAAARUeXBlCSoD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P//Gv7//wbhAwAABUxhYmVsCTsDAAABHfz//xr+//8G5AMAAARUeXBlCToDAAAHr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P//Gv7//wmRAwAABugDAAAERW51bQEX/P//Gv7//wmUAwAABusDAAALTW9kdWxlIHR5cGUHr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P//Gv7//wmRAwAACToDAAABEfz//xr+//8JlAMAAAk7AwAAAbgDAAARAQAAAQ78//9Y/////////wAG8wMAAARFbnVtBvQDAAAEVHlwZQljAQAAAQr8//9W////AgAAAAEJ/P//m/7//wEAAAAAAAlmAQAABvkDAAALSm91cm5hbFR5cGUJCAAAAAr/////CWYBAAAKCfkDAAAKCgoJCAAAAAn+AwAACQgAAAABvgMAABEBAAABAPz//1j/////////AAYBBAAABlN0cmluZwYCBAAAD0Nvc3Rpbmcgdm91Y2hlcgljAQAAAfz7//9W////AgAAAAH7+///m/7//wEAAAAAAAlmAQAABgcEAAAHVm91Y2hlcgkIAAAACv////8JZgEAAAoJBwQAAAoKCgkIAAAACQwEAAAJCAAAAAHBAwAAEQEAAAHy+///WP////////8ABg8EAAAEUmVhbAYQBAAADklJUC9XSVAgYW1vdW50CWMBAAAB7vv//1b///8CAAAAAe37//+b/v//AQAAAAAACWYBAAAGFQQAAA5BbW91bnRQaHlzaWNhbAkIAAAACv////8JZgEAAAoJFQQAAAoKCgkIAAAACRoEAAAJCAAAAAHEAwAAEQEAAAHk+///WP////////8ABh0EAAAEUmVhbAYeBAAAFUNvc3QgYWNjb3VudGVkIGFtb3VudAljAQAAAeD7//9W////AgAAAAHf+///m/7//wEAAAAAAAlmAQAABiMEAAAPQW1vdW50RmluYW5jaWFsCQgAAAAK/////wlmAQAACgkjBAAACgoKCQgAAAAJKAQAAAkIAAAAAc0DAAAgAQAACWYBAAAGKwQAAAdWb3VjaGVyCQgAAAAJCAAAAP////8JZgEAAAoJKwQAAAoKCgkIAAAACTAEAAAJCAAAAAHQAwAAIAEAAAlmAQAABjMEAAAJVHJhbnNEYXRlCQgAAAAJCAAAAP////8JZgEAAAoJMwQAAAoKCgkIAAAACTgEAAAJCAAAAAHTAwAAIAEAAAlmAQAACacBAAAJCAAAAAY9BAAABSpQUk9E/////wlmAQAACgmnAQAACgoKCQgAAAAJQQQAAAkIAAAAAdYDAAAgAQAACWYBAAAGRAQAAAZQcm9kSWQJCAAAAAkIAAAA/////wlmAQAACglEBAAACgoKCQgAAAAJSQQAAAkIAAAAAdkDAAAgAQAACWYBAAAJsAEAAAkIAAAACbIBAAD/////CWYBAAAGUAQAAA1Qcm9kVGFibGVKb3VyCbABAAAKCgoJCAAAAAlTBAAACQgAAAAE/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YEAAAED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gEAAAEG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oEAAAEK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wEAAAEM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V4EAAAEO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AEAAAEQ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TsBAAADAAAACWIEAAAES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QEAAAEU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TsBAAADAAAACWYEAAAHV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Gv7//wlkAwAABmkEAAAMUG9zdGluZyB0eXBlAZb7//8a/v//CWcDAAAJ9AMAAAGT+///Gv7//wlqAwAACfMDAAAHW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Gv7//wlkAwAABnIEAAArVm91Y2hlciBudW1iZXIgdXNlZCB3aGVuIHBvc3RpbmcgdG8gbGVkZ2VyLgGN+///Gv7//wlnAwAACQIEAAABivv//xr+//8JagMAAAkBBAAAB1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xr+//8JZAMAAAZ7BAAAMlVwZGF0ZWQgSUlQL1dJUCBhbW91bnQgYXR0YWNoZWQgdG8gdGhlIHRyYW5zYWN0aW9uAYT7//8a/v//CWcDAAAJEAQAAAGB+///Gv7//wlqAwAACQ8EAAAHX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v7//wlkAwAABoQEAAAkUmVjYWxjdWxhdGVkIGFtb3VudCBwb3N0ZWQgdG8gbGVkZ2VyAXv7//8a/v//CWcDAAAJHgQAAAF4+///Gv7//wlqAwAACR0E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Gv7//wlqAwAABo0EAAAGU3RyaW5nAXL7//8a/v//CWcDAAAGkAQAAA9Db3N0aW5nIHZvdWNoZXIHY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Gv7//wlqAwAABpMEAAAERGF0ZQFs+///Gv7//wlnAwAABpYEAAAERGF0ZQdiBA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7//8a/v//CWoDAAAGmQQAAAZTdHJpbmcBZvv//xr+//8JZwMAAAacBAAAC0l0ZW0gbnVtYmVyAWP7//8a/v//Bp4EAAAIUmVmZXJzVG8JmAMAAAdkBA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8a/v//CWoDAAAGogQAAAZTdHJpbmcBXfv//xr+//8JZwMAAAalBAAAClByb2R1Y3Rpb24HZ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Gv7//wlqAwAABqgEAAAERW51bQFX+///Gv7//wlnAwAABqsEAAAEVHlwZQs=
    <Output>
      <OutputObject name="AtlasReport_1"/>
    </Output>
  </Query>
</Atlas>
</file>

<file path=customXml/item2.xml><?xml version="1.0" encoding="utf-8"?>
<Atlas>
  <Report name="AtlasReport_1">AAEAAAD/////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LUdsb2JlU29mdHdhcmUuQXRsYXM0MC5BdGxhc0NvbW1vbi5BZ2dyZWdhdGlvbgEAAAAHdmFsdWVfXwAIDgAAAP////8AAAAABdf///8sR2xvYmVTb2Z0d2FyZS5BdGxhczQwLkF0bGFzQ29tbW9uLkNvbHVtblR5cGUBAAAAB3ZhbHVlX18ACA4AAAAAAAAABdb///8rR2xvYmVTb2Z0d2FyZS5BdGxhczQwLkF0bGFzQ29tbW9uLlNvcnRPcmRlcgEAAAAHdmFsdWVfXwAIDgAAAAIAAAAAAAAAAAXV////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2P////////8BAAAAAcn////X////AAAAAAHI////1v///wIAAAAAAAAAAAHH////1f///wAAAAAKAQAAAAAAAAAAAQAAAAAGOgAAACQ2Yjc5N2Q4Zi1iMmM4LTRmMDAtOGYxOC0zNWQxZmE2ZmY3MTkGOwAAABpUYWJsZS5Qcm9kVGFibGVKb3VyLkl0ZW1JZAoKCgoBFgAAABQAAAAJPAAAAAk9AAAACT4AAAAGPwAAAApQcm9kUG9vbElkBkAAAAAEUG9vbAZBAAAABlN0cmluZwkmAAAABkMAAAAkYmNhZTMxYjgtNDhmMC00MzhiLTg5MDUtMTNkYzgzYjM5YzE5Abz////Y/////////wIAAAABu////9f///8AAAAAAbr////W////AgAAAAAAAAAAAbn////V////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9j/////////AwAAAAGt////1////wAAAAABrP///9b///8CAAAAAAAAAAABq////9X///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Y/////////wQAAAABoP///9f///8CAAAAAZ/////W////AgAAAAAAAAAAAZ7////V////AAAAAAoBAAAAAAAAAAAEAAAAAAZjAAAAJGNlMjU5NDFkLTA4NDctNDBhNC04N2UzLWZkYTRiNDBmOGMxNwkmAAAACgoKCgEZAAAAFAAAAAllAAAACWYAAAAJZwAAAAZoAAAACFF0eUVycm9yBmkAAAAORXJyb3IgcXVhbnRpdHkGagAAAARSZWFsCSYAAAAGbAAAACRiYzc2NmZjZC1iM2EyLTQxODgtOTUxZS04NTdhYTU0YzhiZjABk////9j///8BAAAABQAAAAGS////1////wAAAAABkf///9b///8CAAAAAAAAAAABkP///9X///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2P///wEAAAAGAAAAAYT////X////AAAAAAGD////1v///wIAAAAAAAAAAAGC////1f///wAAAAAKAQAAAAAAAAAABgAAAAAGfwAAACQ0NzhhNzRkZi1mNjU4LTQyNTEtOGMzMi0yZTVjYzBmOTNhZjgGgAAAABtUYWJsZS5Qcm9kVGFibGVKb3VyLlF0eUdvb2QKCgoKARsAAAAUAAAACYEAAAAJggAAAAmDAAAABoQAAAAGVW5pdElkBoUAAAAEVW5pdAaGAAAABlN0cmluZwkmAAAABogAAAAkOGFiZGE5ZTQtMWFjYi00MWIyLTg4NzUtZThiMmU2MTZlZmUyAXf////Y/////////wcAAAABdv///9f///8AAAAAAXX////W////AgAAAAAAAAAAAXT////V////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xAA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ZkAAAAHAAAACZoAAAABLgAAACAAAAAJmwAAAAEAAAABAAAAAS8AAAAhAAAA6gAAAAmXAAAABwAAAAmdAAAAATAAAAAiAAAA5wAAAAmZAAAABwAAAAmfAAAAATwAAAAgAAAACaAAAAABAAAAAQAAAAE9AAAAIQAAANUAAAAJoQAAAAcAAAAJogAAAAE+AAAAIgAAANIAAAAJowAAAAcAAAAJpAAAAAFKAAAAIAAAAAmlAAAAAQAAAAEAAAABSwAAACEAAADqAAAACZcAAAAHAAAACacAAAABTAAAACIAAADnAAAACZkAAAAHAAAACakAAAABWAAAACAAAAAJqgAAAAAAAAAAAAAAAVkAAAAhAAAAzQAAAAmrAAAABwAAAAmsAAAAAVoAAAAiAAAAxAAAAAmtAAAABwAAAAmuAAAAAWUAAAAgAAAACa8AAAABAAAAAQAAAAFmAAAAIQAAAOoAAAAJlwAAAAcAAAAJsQAAAAFnAAAAIgAAAOcAAAAJmQAAAAcAAAAJswAAAAFzAAAAIAAAAAm0AAAAAQAAAAEAAAABdAAAACEAAADqAAAACZcAAAAHAAAACbYAAAABdQAAACIAAADnAAAACZkAAAAHAAAACbgAAAABgQAAACAAAAAJuQAAAAEAAAABAAAAAYIAAAAhAAAAzgAAAAm6AAAABwAAAAm7AAAAAYMAAAAiAAAAyw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AAAABsIAAAAGSXRlbUlkBsMAAAAFKlBST0QBkgAAAJAAAAAACb4AAAAGxQAAAAtKb3VybmFsVHlwZQbGAAAAB1JlY2VpcHQBkwAAAJAAAAAACb4AAAAGyAAAAAlUcmFuc0RhdGUGyQAAABgwMS8wMS8yMDIwIC4uIDEyLzMxLzIwMjABlAAAAJAAAAAABsoAAAAyVGFibGUuUHJvZFRhYmxlSm91ci5JdGVtSWR+VGFibGUuSW52ZW50VGFibGVNb2R1bGUGywAAAApNb2R1bGVUeXBlBswAAAAGSW52ZW50AZUAAACQAAAAAAnKAAAABs4AAAAGVW5pdElkBs8AAAABTQeWAAAAAAEAAAAEAAAABDdHbG9iZVNvZnR3YXJlLkF0bGFzNDAuQXRsYXNDb21tb24uVHlwZS5GaWVsZE91dHB1dEZpZWxkDgAAAAnQAAAADQMEl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AAAAAABAAAAC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Lv///zJHbG9iZVNvZnR3YXJlLkF0bGFzNDAuQXRsYXNDb21tb24uQ29sdW1uQXR0cmlidXRlcwEAAAAHdmFsdWVfXwAIDgAAAAYAAAAG0wAAAAVUb3RhbAEs////L////wEr////Lv///xAAAAAG1gAAAAROb25lASn///8v////ASj///8u////CQAAAAkmAAAAASb///8v////ASX///8u////CwAAAAbcAAAAATABI////y////8BIv///y7///8EAAAABt8AAAAHR2VuZXJhbAEg////L////wEf////Lv///wIAAAAG4gAAAAExAR3///8v////ARz///8u////AAAAAAblAAAABTEyLjQzARr///8v////ARn///8u////JAAAAAkkAAAAAZkAAAAMAAAAB5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qAAAACEZvbnRCb2xkBusAAAAFRmFsc2UBFP///xf///8G7QAAAApGb250SXRhbGljCesAAAABEf///xf///8G8AAAAA1Gb250VW5kZXJsaW5lBvEAAAAFLTQxNDIBDv///xf///8G8wAAAAhGb250TmFtZQb0AAAAB0NhbGlicmkBC////xf///8G9gAAAAlGb250Q29sb3IG9wAAAAEwAQj///8X////BvkAAAAIRm9udFNpemUG+gAAAAIxMQEF////F////wb8AAAACUZvbnRTdHlsZQb9AAAAB1JlZ3VsYXIHmwAAAAABAAAABAAAAAQ3R2xvYmVTb2Z0d2FyZS5BdGxhczQwLkF0bGFzQ29tbW9uLlR5cGUuRmllbGRPdXRwdXRGaWVsZA4AAAAJ/gAAAA0DB50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L////wEA////Lv///xAAAAAJ1gAAAAH+/v//L////wH9/v//Lv///wkAAAAJJgAAAAH7/v//L////wH6/v//Lv///wsAAAAGBwEAAAExAfj+//8v////Aff+//8u////BAAAAAYKAQAAB0dlbmVyYWwB9f7//y////8B9P7//y7///8CAAAABg0BAAABMQHy/v//L////wHx/v//Lv///wAAAAAGEAEAAAUyNC44Ngef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8X////CeoAAAAJ6wAAAAHs/v//F////wntAAAACesAAAAB6f7//xf///8J8AAAAAYZAQAABS00MTQyAeb+//8X////CfMAAAAGHAEAAAdDYWxpYnJpAeP+//8X////CfYAAAAGHwEAAAEwAeD+//8X////CfkAAAAGIgEAAAIxMQHd/v//F////wn8AAAABiUBAAAHUmVndWxhcgegAAAAAAEAAAAEAAAABDdHbG9iZVNvZnR3YXJlLkF0bGFzNDAuQXRsYXNDb21tb24uVHlwZS5GaWVsZE91dHB1dEZpZWxkDgAAAAkmAQAADQMBoQAAAJcAAAAHo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8v////Adj+//8u////CQAAAAkmAAAAAdb+//8v////AdX+//8u////CwAAAAYsAQAAATIB0/7//y////8B0v7//y7///8EAAAABi8BAAAHR2VuZXJhbAHQ/v//L////wHP/v//Lv///wIAAAAGMgEAAAExAc3+//8v////Acz+//8u////AAAAAAY1AQAABDYuNTc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v//F////wY3AQAACEZvbnRCb2xkCesAAAABx/7//xf///8GOgEAAApGb250SXRhbGljCesAAAABxP7//xf///8GPQEAAA1Gb250VW5kZXJsaW5lBj4BAAAFLTQxNDIBwf7//xf///8GQAEAAAhGb250TmFtZQZBAQAAB0NhbGlicmkBvv7//xf///8GQwEAAAlGb250Q29sb3IGRAEAAAEwAbv+//8X////BkYBAAAIRm9udFNpemUGRwEAAAIxMQG4/v//F////wZJAQAACUZvbnRTdHlsZQZKAQAAB1JlZ3VsYXIHpQAAAAABAAAABAAAAAQ3R2xvYmVTb2Z0d2FyZS5BdGxhczQwLkF0bGFzQ29tbW9uLlR5cGUuRmllbGRPdXRwdXRGaWVsZA4AAAAJSwEAAA0DB6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v//L////wGz/v//Lv///xAAAAAJ1gAAAAGx/v//L////wGw/v//Lv///wkAAAAJJgAAAAGu/v//L////wGt/v//Lv///wsAAAAGVAEAAAEzAav+//8v////Aar+//8u////BAAAAAZXAQAACG0vZC95eXl5Aaj+//8v////Aaf+//8u////AgAAAAZaAQAAATEBpf7//y////8BpP7//y7///8AAAAABl0BAAACMTAHq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v//F////wnqAAAACesAAAABn/7//xf///8J7QAAAAnrAAAAAZz+//8X////CfAAAAAGZgEAAAUtNDE0MgGZ/v//F////wnzAAAABmkBAAAHQ2FsaWJyaQGW/v//F////wn2AAAABmwBAAABMAGT/v//F////wn5AAAABm8BAAACMTEBkP7//xf///8J/AAAAAZyAQAAB1JlZ3VsYXIHqgAAAAABAAAAAAAAAAQ3R2xvYmVTb2Z0d2FyZS5BdGxhczQwLkF0bGFzQ29tbW9uLlR5cGUuRmllbGRPdXRwdXRGaWVsZA4AAAABqwAAAJcAAAAHr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8v////AYz+//8u////JAAAAAlcAAAAAYr+//8v////AYn+//8u////CwAAAAZ4AQAAATQBh/7//y////8Bhv7//y7///8EAAAABnsBAAAHR2VuZXJhbAGE/v//L////wGD/v//Lv///wIAAAAGfgEAAAExAYH+//8v////AYD+//8u////AAAAAAaBAQAABTEyLjE0AX7+//8v////AX3+//8u////AwAAAAaEAQAALD1ZRUFSKFtARGF0ZV0pICYgVEVYVChXRUVLTlVNKFtARGF0ZV0pLCIwMCIpAa0AAAAMAAAAB64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7//xf///8GhgEAAAhGb250Qm9sZAnrAAAAAXj+//8X////BokBAAAKRm9udEl0YWxpYwnrAAAAAXX+//8X////BowBAAANRm9udFVuZGVybGluZQaNAQAABS00MTQyAXL+//8X////Bo8BAAAIRm9udE5hbWUGkAEAAAdDYWxpYnJpAW/+//8X////BpIBAAAJRm9udENvbG9yBpMBAAABMAFs/v//F////waVAQAACEZvbnRTaXplBpYBAAACMTEBaf7//xf///8GmAEAAAlGb250U3R5bGUGmQEAAAdSZWd1bGFyB68AAAAAAQAAAAQAAAAEN0dsb2JlU29mdHdhcmUuQXRsYXM0MC5BdGxhc0NvbW1vbi5UeXBlLkZpZWxkT3V0cHV0RmllbGQOAAAACZoBAAANAwe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y////8BZP7//y7///8QAAAACdYAAAABYv7//y////8BYf7//y7///8JAAAACSYAAAABX/7//y////8BXv7//y7///8LAAAABqMBAAABNQFc/v//L////wFb/v//Lv///wQAAAAGpgEAAAdHZW5lcmFsAVn+//8v////AVj+//8u////AgAAAAapAQAAATEBVv7//y////8BVf7//y7///8AAAAABqwBAAAFMTQuODY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v//F////wnqAAAACesAAAABUP7//xf///8J7QAAAAnrAAAAAU3+//8X////CfAAAAAGtQEAAAUtNDE0MgFK/v//F////wnzAAAABrgBAAAHQ2FsaWJyaQFH/v//F////wn2AAAABrsBAAABMAFE/v//F////wn5AAAABr4BAAACMTEBQf7//xf///8J/AAAAAbBAQAAB1JlZ3VsYXIHtAAAAAABAAAABAAAAAQ3R2xvYmVTb2Z0d2FyZS5BdGxhczQwLkF0bGFzQ29tbW9uLlR5cGUuRmllbGRPdXRwdXRGaWVsZA4AAAAJwgEAAA0DB7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v//L////wE8/v//Lv///xAAAAAJ1gAAAAE6/v//L////wE5/v//Lv///wkAAAAJJgAAAAE3/v//L////wE2/v//Lv///wsAAAAGywEAAAE2ATT+//8v////ATP+//8u////BAAAAAbOAQAAB0dlbmVyYWwBMf7//y////8BMP7//y7///8CAAAABtEBAAABMQEu/v//L////wEt/v//Lv///wAAAAAG1AEAAAUxNS40Mwe4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8X////CeoAAAAJ6wAAAAEo/v//F////wntAAAACesAAAABJf7//xf///8J8AAAAAbdAQAABS00MTQyASL+//8X////CfMAAAAG4AEAAAdDYWxpYnJpAR/+//8X////CfYAAAAG4wEAAAEwARz+//8X////CfkAAAAG5gEAAAIxMQEZ/v//F////wn8AAAABukBAAAHUmVndWxhcge5AAAAAAEAAAAEAAAABDdHbG9iZVNvZnR3YXJlLkF0bGFzNDAuQXRsYXNDb21tb24uVHlwZS5GaWVsZE91dHB1dEZpZWxkDgAAAAnqAQAADQMBugAAAJcAAAA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8v////ART+//8u////CQAAAAkmAAAAARL+//8v////ARH+//8u////CwAAAAbwAQAAATcBD/7//y////8BDv7//y7///8EAAAABvMBAAAHR2VuZXJhbAEM/v//L////wEL/v//Lv///wIAAAAG9gEAAAExAQn+//8v////AQj+//8u////AAAAAAb5AQAABDYuNDMBvAAAAAwAAAA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v//F////wb7AQAACEZvbnRCb2xkCesAAAABA/7//xf///8G/gEAAApGb250SXRhbGljCesAAAABAP7//xf///8GAQIAAA1Gb250VW5kZXJsaW5lBgICAAAFLTQxNDIB/f3//xf///8GBAIAAAhGb250TmFtZQYFAgAAB0NhbGlicmkB+v3//xf///8GBwIAAAlGb250Q29sb3IGCAIAAAEwAff9//8X////BgoCAAAIRm9udFNpemUGCwIAAAIxMQH0/f//F////wYNAgAACUZvbnRTdHlsZQYOAgAAB1JlZ3VsYXIF0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f3//9j/////////AAYQAgAABlN0cmluZwYRAgAAClByb2R1Y3Rpb24JEgIAAAHt/f//1v///wIAAAAF7P3//zlHbG9iZVNvZnR3YXJlLkF0bGFzNDAuQXRsYXNDb21tb24uTnVtYmVyU2VxdWVuY2VDb25kaXRpb24BAAAAB3ZhbHVlX18ACA4AAAABAAAAAAAGFQIAABNUYWJsZS5Qcm9kVGFibGVKb3VyCSMAAAAJJgAAAAr/////CRUCAAAKCSMAAAAKCgoJJgAAAAkbAgAACSYAAAAB/gAAANAAAAAB4/3//9j/////////AAYeAgAABlN0cmluZwYfAgAAC0l0ZW0gbnVtYmVyCRICAAAB3/3//9b///8CAAAAAd79///s/f//AQAAAAAACRUCAAAJMQAAAAkmAAAACv////8JFQIAAAoJMQAAAAoKCgkmAAAACSkCAAAJJgAAAAEmAQAA0AAAAAHV/f//2P////////8ABiwCAAAGU3RyaW5nBi0CAAAEUG9vbAkuAgAAAdH9///W////AgAAAAHQ/f//7P3//wEAAAAAAAYxAgAAKlRhYmxlLlByb2RUYWJsZUpvdXIuUHJvZElkflRhYmxlLlByb2RUYWJsZQk/AAAACSYAAAAK/////wkxAgAACgk/AAAABjYCAAAGUHJvZElkBjcCAAANUHJvZFRhYmxlSm91cgoJJgAAAAk5AgAACSYAAAABSwEAANAAAAABxf3//9j/////////AAY8AgAABERhdGUGPQIAAAREYXRlCRICAAABwf3//9b///8CAAAAAcD9///s/f//AQAAAAAACRUCAAAJTQAAAAkmAAAACv////8JFQIAAAoJTQAAAAoKCgkmAAAACUcCAAAJJgAAAAGaAQAA0AAAAAG3/f//2P////////8ABkoCAAAEUmVhbAZLAgAADkVycm9yIHF1YW50aXR5CRICAAABs/3//9b///8CAAAAAbL9///s/f//AQAAAAAACRUCAAAJaAAAAAkmAAAACv////8JFQIAAAoJaAAAAAoKCgkmAAAACVUCAAAJJgAAAAHCAQAA0AAAAAGp/f//2P////////8ABlgCAAAEUmVhbAZZAgAADUdvb2QgcXVhbnRpdHkJEgIAAAGl/f//1v///wIAAAABpP3//+z9//8BAAAAAAAJFQIAAAl2AAAACSYAAAAK/////wkVAgAACgl2AAAACgoKCSYAAAAJYwIAAAkmAAAAAeoBAADQAAAAAZv9///Y/////////wAGZgIAAAZTdHJpbmcGZwIAAARVbml0CWgCAAABl/3//9b///8CAAAAAZb9///s/f//AQAAAAAACcoAAAAJhAAAAAkmAAAACv////8JygAAAAoJhAAAAAZwAgAABkl0ZW1JZAZxAgAADVByb2RUYWJsZUpvdXIKCSYAAAAJcwIAAAkmAAAABRI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cBAAAGdQIAAA1Qcm9kVGFibGVKb3VyBnYCAAAHSm91cm5hbAkmAAAACSYAAAAJJgAAAAWI/f//MEdsb2JlU29mdHdhcmUuQXRsYXM0MC5BdGxhc0NvbW1vbi5EYXRhU291cmNlVHlwZQEAAAAHdmFsdWVfXwAIDgAAAAAAAAAJeQIAAAl6AgAABIX9//8LU3lzdGVtLkd1aWQLAAAAAl9hAl9iAl9jAl9kAl9lAl9mAl9nAl9oAl9pAl9qAl9rAAAAAAAAAAAAAAAIBwcCAgICAgICAolTeKdhXfNKsqm/Bd1NhLQJJgAAAAkmAAAACX0CAAAJFQIAAAoKCgoKAQAAAAWB/f//NEdsb2JlU29mdHdhcmUuQXRsYXM0MC5BdGxhc0NvbW1vbi5EYXRhU291cmNlSm9pbk1vZGUBAAAAB3ZhbHVlX18ACA4AAAAAAAAABYD9//81R2xvYmVTb2Z0d2FyZS5BdGxhczQwLkF0bGFzQ29tbW9uLkRhdGFTb3VyY2VGZXRjaE1vZGUBAAAAB3ZhbHVlX18ACA4AAAAAAAAAAAmBAgAAARsCAAAiAAAAawAAAAmZAAAAAwAAAAmDAgAAASkCAAAiAAAAawAAAAmZAAAAAwAAAAmFAgAAAS4CAAASAgAA/////waGAgAACVByb2RUYWJsZQaHAgAAEVByb2R1Y3Rpb24gb3JkZXJzCSYAAAAJJgAAAAkmAAAAAXf9//+I/f//AAAAAAmKAgAACYsCAAABdP3//4X9//80w2aN39ybQLyt8Z6I+hHtCSYAAAAJJgAAAAmOAgAACTECAAAGkAIAAA1Qcm9kVGFibGVKb3VyBpECAAATVGFibGUuUHJvZFRhYmxlSm91cgaSAgAAGlRhYmxlLlByb2RUYWJsZUpvdXIuUHJvZElkBpMCAAAGUHJvZElkBpQCAAAGUHJvZElkAQAAAAFr/f//gf3//wAAAAABav3//4D9//8AAAAAAAmXAgAAATkCAAAiAAAAVgAAAAmjAAAAAwAAAAmZAgAAAUcCAAAiAAAAawAAAAmZAAAAAwAAAAmbAgAAAVUCAAAiAAAAawAAAAmZAAAAAwAAAAmdAgAAAWMCAAAiAAAAawAAAAmZAAAAAwAAAAmfAgAAAWgCAAASAgAA/////wagAgAAEUludmVudFRhYmxlTW9kdWxlBqECAAAbSW52ZW50b3J5IG1vZHVsZSBwYXJhbWV0ZXJzCSYAAAAJJgAAAAkmAAAAAV39//+I/f//AAAAAAmkAgAACaUCAAABWv3//4X9//8NiOdKICDsTIGY8+zE0XGuCSYAAAAJJgAAAAmoAgAACcoAAAAGqgIAAA1Qcm9kVGFibGVKb3VyBqsCAAATVGFibGUuUHJvZFRhYmxlSm91cgasAgAAGlRhYmxlLlByb2RUYWJsZUpvdXIuSXRlbUlkBq0CAAAGSXRlbUlkBq4CAAAGSXRlbUlkAQAAAAFR/f//gf3//wAAAAABUP3//4D9//8AAAAAAAmxAgAAAXMCAAAiAAAAUAAAAAm8AAAAAwAAAAmzAgAABH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bQCAAARAAAACbUCAAAEe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mZAAAABwAAAAm3AgAABH0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0AgAAAAAAAASB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5AgAAAAAAAAeD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8X////BrsCAAAISGVscFRleHQGvAIAAB5JZGVudGlmeSB0aGUgcHJvZHVjdGlvbiBvcmRlci4BQ/3//xf///8GvgIAAAVMYWJlbAkRAgAAAUD9//8X////BsECAAAEVHlwZQkQAgAAB4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f///8JuwIAAAbFAgAADklkZW50aWZ5IGl0ZW0uATr9//8X////Cb4CAAAJHwIAAAE3/f//F////wnBAgAACR4CAAABigIAAHkCAAADAAAACaMAAAADAAAACc0CAAAEi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OAgAAAAAAAAGOAgAAfQIAAAAAAAAJowAAAAAAAAABlwIAAIECAAAAAAAACdACAAAAAAAAB5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3//xf///8G0gIAAAVMYWJlbAktAgAAASz9//8X////BtUCAAAEVHlwZQksAgAAB5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xf///8JuwIAAAbZAgAADFBvc3RpbmcgZGF0ZQEm/f//F////wm+AgAACT0CAAABI/3//xf///8JwQIAAAk8Ag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3//xf///8JuwIAAAbiAgAAOUVycm9yIHF1YW50aXR5IGluIHRoZSBpbnZlbnRvcnkgdW5pdCByZXBvcnRlZCBhcyBmaW5pc2hlZAEd/f//F////wm+AgAACUsCAAABGv3//xf///8JwQIAAAlKAgAAB58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3//xf///8JuwIAAAbrAgAAVUdvb2QgcXVhbnRpdHkgKGV4Y2wuIHNjcmFwKSBpbiB0aGUgaW52ZW50b3J5IHVuaXQgcmVwb3J0ZWQgYXMgZmluaXNoZWQvY29zdCBhY2NvdW50ZWQBFP3//xf///8JvgIAAAlZAgAAARH9//8X////CcECAAAJWAIAAAGkAgAAeQIAAAEAAAAJvAAAAAMAAAAJ8wIAAAGlAgAAegIAAAIAAAAJzgIAAAMAAAAJ9QIAAAGoAgAAfQIAAAAAAAAJvAAAAAAAAAABsQIAAIECAAAAAAAACfcCAAAAAAAAB7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xf///8G+QIAAAVMYWJlbAlnAgAAAQX9//8X////BvwCAAAEVHlwZQlmAgAAAbQCAAAMAAAAB7U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L9//+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8CAAAaVGFibGUuUHJvZFRhYmxlSm91ci5Qcm9kSWQJ0AAAAAH//P//Av3//wYCAwAAGlRhYmxlLlByb2RUYWJsZUpvdXIuSXRlbUlkCf4AAAAB/Pz//wL9//8GBQMAAB9UYWJsZS5Qcm9kVGFibGVKb3VyLkpvdXJuYWxUeXBlCQYDAAAB+fz//wL9//8GCAMAAB1UYWJsZS5Qcm9kVGFibGVKb3VyLlRyYW5zRGF0ZQlLAQAAAfb8//8C/f//BgsDAAAbVGFibGUuUHJvZFRhYmxlSm91ci5Wb3VjaGVyCQwDAAAB8/z//wL9//8GDgMAACJUYWJsZS5Qcm9kVGFibGVKb3VyLkFtb3VudFBoeXNpY2FsCQ8DAAAB8Pz//wL9//8GEQMAACNUYWJsZS5Qcm9kVGFibGVKb3VyLkFtb3VudEZpbmFuY2lhbAkSAwAAAe38//8C/f//BhQDAAAcVGFibGUuUHJvZFRhYmxlSm91ci5RdHlFcnJvcgmaAQAAAer8//8C/f//BhcDAAAbVGFibGUuUHJvZFRhYmxlSm91ci5RdHlHb29kCcIBAAAHtwI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f8//+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GgMAABtUYWJsZS5Qcm9kVGFibGVKb3VyLlZvdWNoZXIJGwMAAAHk/P//5/z//wYdAwAAHVRhYmxlLlByb2RUYWJsZUpvdXIuVHJhbnNEYXRlCR4DAAAB4fz//+f8//8GIAMAABpUYWJsZS5Qcm9kVGFibGVKb3VyLkl0ZW1JZAkhAwAAAd78///n/P//BiMDAAAaVGFibGUuUHJvZFRhYmxlSm91ci5Qcm9kSWQJJAMAAAHb/P//5/z//wYmAwAAH1RhYmxlLlByb2RUYWJsZUpvdXIuSm91cm5hbFR5cGUJJwMAAAS5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zQ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Pz//wL9//8GKQMAADVUYWJsZS5Qcm9kVGFibGVKb3VyLlByb2RJZH5UYWJsZS5Qcm9kVGFibGUuUHJvZFBvb2xJZAkmAQAAAc4CAAAMAAAAAdACAAC5AgAAB/M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X8//8C/f//BiwDAAA5VGFibGUuUHJvZFRhYmxlSm91ci5JdGVtSWR+VGFibGUuSW52ZW50VGFibGVNb2R1bGUuVW5pdElkCeoBAAAH9QI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8///n/P//Bi8DAAA9VGFibGUuUHJvZFRhYmxlSm91ci5JdGVtSWR+VGFibGUuSW52ZW50VGFibGVNb2R1bGUuTW9kdWxlVHlwZQkwAwAAAc/8///n/P//BjIDAAA5VGFibGUuUHJvZFRhYmxlSm91ci5JdGVtSWR+VGFibGUuSW52ZW50VGFibGVNb2R1bGUuVW5pdElkCTMDAAAB9wIAALkCAAABBgMAANAAAAABzPz//9j/////////AAY1AwAABEVudW0GNgMAAARUeXBlCRICAAAByPz//9b///8CAAAAAcf8///s/f//AQAAAAAACRUCAAAGOwMAAAtKb3VybmFsVHlwZQkmAAAACv////8JFQIAAAoJOwMAAAoKCgkmAAAACUADAAAJJgAAAAEMAwAA0AAAAAG+/P//2P////////8ABkMDAAAGU3RyaW5nBkQDAAAPQ29zdGluZyB2b3VjaGVyCRICAAABuvz//9b///8CAAAAAbn8///s/f//AQAAAAAACRUCAAAGSQMAAAdWb3VjaGVyCSYAAAAK/////wkVAgAACglJAwAACgoKCSYAAAAJTgMAAAkmAAAAAQ8DAADQAAAAAbD8///Y/////////wAGUQMAAARSZWFsBlIDAAAOSUlQL1dJUCBhbW91bnQJEgIAAAGs/P//1v///wIAAAABq/z//+z9//8BAAAAAAAJFQIAAAZXAwAADkFtb3VudFBoeXNpY2FsCSYAAAAK/////wkVAgAACglXAwAACgoKCSYAAAAJXAMAAAkmAAAAARIDAADQAAAAAaL8///Y/////////wAGXwMAAARSZWFsBmADAAAVQ29zdCBhY2NvdW50ZWQgYW1vdW50CRICAAABnvz//9b///8CAAAAAZ38///s/f//AQAAAAAACRUCAAAGZQMAAA9BbW91bnRGaW5hbmNpYWwJJgAAAAr/////CRUCAAAKCWUDAAAKCgoJJgAAAAlqAwAACSYAAAAFGwM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RUCAAAGbQMAAAdWb3VjaGVyCSYAAAAJJgAAAP////8JFQIAAAoJbQMAAAoKCgkmAAAACXIDAAAJJgAAAAEeAwAAGwMAAAkVAgAABnUDAAAJVHJhbnNEYXRlCSYAAAAJJgAAAP////8JFQIAAAoJdQMAAAoKCgkmAAAACXoDAAAJJgAAAAEhAwAAGwMAAAkVAgAACcIAAAAJJgAAAAZ/AwAABSpQUk9E/////wkVAgAACgnCAAAACgoKCSYAAAAJgwMAAAkmAAAAASQDAAAbAwAACRUCAAAGhgMAAAZQcm9kSWQJJgAAAAkmAAAA/////wkVAgAACgmGAwAACgoKCSYAAAAJiwMAAAkmAAAAAScDAAAbAwAACRUCAAAJxQAAAAkmAAAACcYAAAD/////CRUCAAAGkgMAAA1Qcm9kVGFibGVKb3VyCcUAAAAKCgoJJgAAAAmVAwAACSYAAAABMAMAABsDAAAJygAAAAnLAAAACSYAAAAJzAAAAP////8JygAAAAoJywAAAAadAwAABkl0ZW1JZAoKCSYAAAAJnwMAAAkmAAAAATMDAAAbAwAACcoAAAAJzgAAAAkmAAAACc8AAAD/////CcoAAAAKCc4AAAAGpwMAAAZJdGVtSWQKCgkmAAAACakDAAAJJgAAAAFAAwAAIgAAACsAAAAJmQAAAAMAAAAJrAMAAAFOAwAAIgAAACsAAAAJmQAAAAMAAAAJrgMAAAFcAwAAIgAAACsAAAAJmQAAAAMAAAAJsAMAAAFqAwAAIgAAACsAAAAJmQAAAAMAAAAJsgMAAAFyAwAAIgAAAAIAAAAJmQAAAAMAAAAJtAMAAAF6AwAAIgAAAAIAAAAJmQAAAAMAAAAJtgMAAAGDAwAAIgAAAAoAAAAJmQAAAAMAAAAJuAMAAAGLAwAAIgAAAAIAAAAJmQAAAAMAAAAJugMAAAGVAwAAIgAAAAgAAAAJmQAAAAMAAAAJvAMAAAGfAwAAIgAAAB4AAAAJzgIAAAMAAAAJvgMAAAGpAwAAIgAAAB4AAAAJzgIAAAMAAAAJwAMAAAes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8//8X////CbsCAAAGwwMAAAxQb3N0aW5nIHR5cGUBPPz//xf///8JvgIAAAk2AwAAATn8//8X////CcECAAAJNQMAAAeu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8X////CbsCAAAGzAMAACtWb3VjaGVyIG51bWJlciB1c2VkIHdoZW4gcG9zdGluZyB0byBsZWRnZXIuATP8//8X////Cb4CAAAJRAMAAAEw/P//F////wnBAgAACUMDAAAHs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P//F////wm7AgAABtUDAAAyVXBkYXRlZCBJSVAvV0lQIGFtb3VudCBhdHRhY2hlZCB0byB0aGUgdHJhbnNhY3Rpb24BKvz//xf///8JvgIAAAlSAwAAASf8//8X////CcECAAAJUQMAAAey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8//8X////CbsCAAAG3gMAACRSZWNhbGN1bGF0ZWQgYW1vdW50IHBvc3RlZCB0byBsZWRnZXIBIfz//xf///8JvgIAAAlgAwAAAR78//8X////CcECAAAJXwMAAAe0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8//8X////CcECAAAG5wMAAAZTdHJpbmcBGPz//xf///8JvgIAAAbqAwAAD0Nvc3Rpbmcgdm91Y2hlcge2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8X////CcECAAAG7QMAAAREYXRlARL8//8X////Cb4CAAAG8AMAAAREYXRlB7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z//xf///8JwQIAAAbzAwAABlN0cmluZwEM/P//F////wm+AgAABvYDAAALSXRlbSBudW1iZXIBCfz//xf///8G+AMAAAhSZWZlcnNUbwb5AwAACz1JdGVtTnVtYmVyB7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xf///8JwQIAAAb8AwAABlN0cmluZwED/P//F////wm+AgAABv8DAAAKUHJvZHVjdGlvbge8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D8//8X////CcECAAAGAgQAAARFbnVtAf37//8X////Cb4CAAAGBQQAAARUeXBlB74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xf///8GBwQAAARUeXBlBggEAAAERW51bQH3+///F////wYKBAAABUxhYmVsBgsEAAALTW9kdWxlIHR5cGU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F////wkHBAAACWYCAAAB8fv//xf///8JCgQAAAlnAgAACw==</Report>
</Atlas>
</file>

<file path=customXml/itemProps1.xml><?xml version="1.0" encoding="utf-8"?>
<ds:datastoreItem xmlns:ds="http://schemas.openxmlformats.org/officeDocument/2006/customXml" ds:itemID="{341A98E9-DC0D-4E09-B3C4-856A695626A2}">
  <ds:schemaRefs/>
</ds:datastoreItem>
</file>

<file path=customXml/itemProps2.xml><?xml version="1.0" encoding="utf-8"?>
<ds:datastoreItem xmlns:ds="http://schemas.openxmlformats.org/officeDocument/2006/customXml" ds:itemID="{5F02D4FD-37FE-466B-98C9-E80EFA6B83A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7</vt:i4>
      </vt:variant>
    </vt:vector>
  </HeadingPairs>
  <TitlesOfParts>
    <vt:vector size="12" baseType="lpstr">
      <vt:lpstr>General</vt:lpstr>
      <vt:lpstr>Report</vt:lpstr>
      <vt:lpstr>DevelopmentPerPoolWeek</vt:lpstr>
      <vt:lpstr>Detail list</vt:lpstr>
      <vt:lpstr>Notes</vt:lpstr>
      <vt:lpstr>'Detail list'!AtlasReport_1</vt:lpstr>
      <vt:lpstr>DataAreaId</vt:lpstr>
      <vt:lpstr>DateFormat</vt:lpstr>
      <vt:lpstr>DatePeriod</vt:lpstr>
      <vt:lpstr>FromDate</vt:lpstr>
      <vt:lpstr>ItemNumber</vt:lpstr>
      <vt:lpstr>ToDate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Spenser Wang</dc:creator>
  <cp:lastModifiedBy>Spenser Wang</cp:lastModifiedBy>
  <dcterms:created xsi:type="dcterms:W3CDTF">2021-06-10T11:11:19Z</dcterms:created>
  <dcterms:modified xsi:type="dcterms:W3CDTF">2021-06-23T08:53:31Z</dcterms:modified>
</cp:coreProperties>
</file>