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480" yWindow="105" windowWidth="18720" windowHeight="6705" activeTab="1"/>
  </bookViews>
  <sheets>
    <sheet name="General" sheetId="1" r:id="rId1"/>
    <sheet name="Report" sheetId="4" r:id="rId2"/>
    <sheet name="DevelopmentPerPoolWeek" sheetId="5" r:id="rId3"/>
    <sheet name="Detail list" sheetId="2" r:id="rId4"/>
    <sheet name="Notes" sheetId="3" r:id="rId5"/>
  </sheets>
  <functionGroups builtInGroupCount="17"/>
  <definedNames>
    <definedName name="AtlasReport_1" localSheetId="3">'Detail list'!$A$1:$H$18</definedName>
    <definedName name="DataAreaId">General!$C$2</definedName>
    <definedName name="DateFormat">General!$G$1</definedName>
    <definedName name="DatePeriod">General!$C$6</definedName>
    <definedName name="FromDate">General!$C$4</definedName>
    <definedName name="ItemNumber">General!$C$8</definedName>
    <definedName name="ToDate">General!$C$5</definedName>
  </definedNames>
  <calcPr calcId="145621"/>
</workbook>
</file>

<file path=xl/calcChain.xml><?xml version="1.0" encoding="utf-8"?>
<calcChain xmlns="http://schemas.openxmlformats.org/spreadsheetml/2006/main">
  <c r="E3" i="2" l="1"/>
  <c r="E4" i="2"/>
  <c r="E5" i="2"/>
  <c r="E6" i="2"/>
  <c r="E7" i="2"/>
  <c r="E8" i="2"/>
  <c r="E9" i="2"/>
  <c r="E10" i="2"/>
  <c r="E11" i="2"/>
  <c r="E12" i="2"/>
  <c r="E13" i="2"/>
  <c r="E14" i="2"/>
  <c r="E15" i="2"/>
  <c r="E16" i="2"/>
  <c r="G17" i="2"/>
  <c r="F17" i="2"/>
  <c r="G1" i="1"/>
  <c r="C6" i="1" l="1"/>
</calcChain>
</file>

<file path=xl/sharedStrings.xml><?xml version="1.0" encoding="utf-8"?>
<sst xmlns="http://schemas.openxmlformats.org/spreadsheetml/2006/main" count="147" uniqueCount="89">
  <si>
    <t>I would like to have an overview on the amount of meters of material we have produced in a certain period of time.</t>
  </si>
  <si>
    <t>Information I think we need:</t>
  </si>
  <si>
    <t>•</t>
  </si>
  <si>
    <t>All production orders with a report as finished journal within the selected period of time.</t>
  </si>
  <si>
    <t>We only need the production orders for items ending with 'PROD'</t>
  </si>
  <si>
    <t>For these filtered production orders I need the amount which is reported as ready.</t>
  </si>
  <si>
    <t>The amount needs to be split into POOL and an overall total.</t>
  </si>
  <si>
    <t>I like to have an average overall amount per day or week and an average amount per day or week per pool.</t>
  </si>
  <si>
    <t>A graph would be nice to show development per pool and per total per week</t>
  </si>
  <si>
    <t>I would like to have an overview on the amount of meters of S&amp;P material (starting with LA) we have produced in a certain period of time.</t>
  </si>
  <si>
    <t>We only need the production orders for items starting with 'LA'</t>
  </si>
  <si>
    <t>The amount needs to be split per item and an overall total.</t>
  </si>
  <si>
    <t>I like to have an average overall amount per week and an average amount per week per item.</t>
  </si>
  <si>
    <t>A graph would be nice to show development per item and per total per week</t>
  </si>
  <si>
    <t>Company:</t>
  </si>
  <si>
    <t>Date format:</t>
  </si>
  <si>
    <t>From date:</t>
  </si>
  <si>
    <t>To date:</t>
  </si>
  <si>
    <t>Date period:</t>
  </si>
  <si>
    <t>Product:</t>
  </si>
  <si>
    <t>Journal</t>
  </si>
  <si>
    <t>Production</t>
  </si>
  <si>
    <t>Item number</t>
  </si>
  <si>
    <t>Date</t>
  </si>
  <si>
    <t>Error quantity</t>
  </si>
  <si>
    <t>Good quantity</t>
  </si>
  <si>
    <t>Total</t>
  </si>
  <si>
    <t>Pool</t>
  </si>
  <si>
    <t>C</t>
  </si>
  <si>
    <t>D</t>
  </si>
  <si>
    <t>Unit</t>
  </si>
  <si>
    <t>M</t>
  </si>
  <si>
    <t>WeekNum</t>
  </si>
  <si>
    <t>Report</t>
    <phoneticPr fontId="3" type="noConversion"/>
  </si>
  <si>
    <t>LineDetails</t>
    <phoneticPr fontId="3" type="noConversion"/>
  </si>
  <si>
    <t>ItemNumber</t>
    <phoneticPr fontId="3" type="noConversion"/>
  </si>
  <si>
    <t>Pool</t>
    <phoneticPr fontId="3" type="noConversion"/>
  </si>
  <si>
    <t>Date</t>
    <phoneticPr fontId="3" type="noConversion"/>
  </si>
  <si>
    <t>WeekNum</t>
    <phoneticPr fontId="3" type="noConversion"/>
  </si>
  <si>
    <t>ErrQty</t>
    <phoneticPr fontId="3" type="noConversion"/>
  </si>
  <si>
    <t>GoodQty</t>
    <phoneticPr fontId="3" type="noConversion"/>
  </si>
  <si>
    <t>Unit</t>
    <phoneticPr fontId="3" type="noConversion"/>
  </si>
  <si>
    <t>TotalQty</t>
    <phoneticPr fontId="3" type="noConversion"/>
  </si>
  <si>
    <t>Quantity</t>
    <phoneticPr fontId="3" type="noConversion"/>
  </si>
  <si>
    <t>Total</t>
    <phoneticPr fontId="3" type="noConversion"/>
  </si>
  <si>
    <t>Average</t>
    <phoneticPr fontId="3" type="noConversion"/>
  </si>
  <si>
    <t>AveragePerDay</t>
    <phoneticPr fontId="3" type="noConversion"/>
  </si>
  <si>
    <t>AveragePerWeek</t>
    <phoneticPr fontId="3" type="noConversion"/>
  </si>
  <si>
    <t>Avg per day</t>
  </si>
  <si>
    <t>Avg per week</t>
  </si>
  <si>
    <t>Overall</t>
  </si>
  <si>
    <t>Quantity in meters</t>
  </si>
  <si>
    <t>TotalQty</t>
  </si>
  <si>
    <t>Steps:</t>
  </si>
  <si>
    <t>1. Maintain the parameters from C2 to C8;</t>
  </si>
  <si>
    <t>2. Refresh the Atlas report in tab "Atlas 5.1";</t>
  </si>
  <si>
    <t>3. Click button "Generate report" to get the result in sheets "Report" and "DevelopmentPerPoolWeek";</t>
  </si>
  <si>
    <t>OrderCount</t>
  </si>
  <si>
    <t>AveragePerWeek</t>
  </si>
  <si>
    <t>Versions:</t>
    <phoneticPr fontId="3" type="noConversion"/>
  </si>
  <si>
    <t>V1</t>
    <phoneticPr fontId="3" type="noConversion"/>
  </si>
  <si>
    <t>Initial version, the average per week is the quantity in meter devided by the numbers of the week, and the average per day is the amount per week devided by 5.</t>
    <phoneticPr fontId="3" type="noConversion"/>
  </si>
  <si>
    <t>V2</t>
    <phoneticPr fontId="3" type="noConversion"/>
  </si>
  <si>
    <t>TotalQty2</t>
  </si>
  <si>
    <t>OrderCount3</t>
  </si>
  <si>
    <t>AveragePerWeek4</t>
  </si>
  <si>
    <t>TotalQty5</t>
  </si>
  <si>
    <t>OrderCount6</t>
  </si>
  <si>
    <t>AveragePerWeek7</t>
  </si>
  <si>
    <t>Add charts for development per week/pool, update chart method for Excel 2010</t>
    <phoneticPr fontId="3" type="noConversion"/>
  </si>
  <si>
    <t>V3</t>
    <phoneticPr fontId="3" type="noConversion"/>
  </si>
  <si>
    <t>Change the logic in calculate average per week, using nature week instead of weeks with actual output; in the Chart add the weeks even though there is no output;</t>
    <phoneticPr fontId="3" type="noConversion"/>
  </si>
  <si>
    <t>LA*</t>
  </si>
  <si>
    <t>00001004_067</t>
  </si>
  <si>
    <t>LA15005012</t>
  </si>
  <si>
    <t>00001079_067</t>
  </si>
  <si>
    <t>00001104_067</t>
  </si>
  <si>
    <t>00001121_067</t>
  </si>
  <si>
    <t>00001143_067</t>
  </si>
  <si>
    <t>00001013_067</t>
  </si>
  <si>
    <t>LA15005014</t>
  </si>
  <si>
    <t>00001022_067</t>
  </si>
  <si>
    <t>00001173_067</t>
  </si>
  <si>
    <t>00001243_067</t>
  </si>
  <si>
    <t>00000978_067</t>
  </si>
  <si>
    <t>LA15008014</t>
  </si>
  <si>
    <t>00001181_067</t>
  </si>
  <si>
    <t>LA15010014</t>
  </si>
  <si>
    <t>00001216_067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</si>
</sst>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 #,##0.00_ ;_ * \-#,##0.00_ ;_ * &quot;-&quot;??_ ;_ @_ "/>
  </numFmts>
  <fonts count="6">
    <font>
      <sz val="11"/>
      <color theme="1"/>
      <name val="Calibri"/>
      <family val="2"/>
      <scheme val="minor"/>
    </font>
    <font>
      <b/>
      <sz val="18"/>
      <color theme="3"/>
      <name val="Cambria"/>
      <family val="2"/>
      <scheme val="major"/>
    </font>
    <font>
      <sz val="11"/>
      <color rgb="FF000000"/>
      <name val="Calibri"/>
      <family val="2"/>
      <scheme val="minor"/>
    </font>
    <font>
      <sz val="9"/>
      <name val="Calibri"/>
      <family val="3"/>
      <charset val="134"/>
      <scheme val="minor"/>
    </font>
    <font>
      <sz val="11"/>
      <color theme="1"/>
      <name val="Calibri"/>
      <family val="2"/>
      <scheme val="minor"/>
    </font>
    <font>
      <sz val="11"/>
      <color rgb="FF000000"/>
      <name val="宋体"/>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164" fontId="4" fillId="0" borderId="0" applyFont="0" applyFill="0" applyBorder="0" applyAlignment="0" applyProtection="0">
      <alignment vertical="center"/>
    </xf>
  </cellStyleXfs>
  <cellXfs count="11">
    <xf numFmtId="0" fontId="0" fillId="0" borderId="0" xfId="0"/>
    <xf numFmtId="14" fontId="0" fillId="0" borderId="0" xfId="0" applyNumberFormat="1"/>
    <xf numFmtId="0" fontId="1" fillId="0" borderId="0" xfId="1"/>
    <xf numFmtId="0" fontId="0" fillId="0" borderId="0" xfId="0" applyNumberFormat="1" applyAlignment="1"/>
    <xf numFmtId="0" fontId="2" fillId="0" borderId="0" xfId="0" applyNumberFormat="1" applyFont="1" applyAlignment="1"/>
    <xf numFmtId="14" fontId="0" fillId="0" borderId="0" xfId="0" applyNumberFormat="1" applyAlignment="1"/>
    <xf numFmtId="14" fontId="2" fillId="0" borderId="0" xfId="0" applyNumberFormat="1" applyFont="1" applyAlignment="1"/>
    <xf numFmtId="0" fontId="0" fillId="0" borderId="0" xfId="0" quotePrefix="1" applyNumberFormat="1" applyAlignment="1"/>
    <xf numFmtId="0" fontId="2" fillId="0" borderId="0" xfId="0" quotePrefix="1" applyNumberFormat="1" applyFont="1" applyAlignment="1"/>
    <xf numFmtId="0" fontId="0" fillId="0" borderId="0" xfId="0" applyAlignment="1">
      <alignment horizontal="left" indent="1"/>
    </xf>
    <xf numFmtId="164" fontId="0" fillId="0" borderId="0" xfId="2" applyFont="1" applyAlignment="1"/>
  </cellXfs>
  <cellStyles count="3">
    <cellStyle name="Comma" xfId="2" builtinId="3"/>
    <cellStyle name="Normal" xfId="0" builtinId="0"/>
    <cellStyle name="Title" xfId="1" builtinId="15"/>
  </cellStyles>
  <dxfs count="29">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19" formatCode="m/d/yyyy"/>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Development per week/pool</a:t>
            </a:r>
          </a:p>
        </c:rich>
      </c:tx>
      <c:layout/>
      <c:overlay val="0"/>
    </c:title>
    <c:autoTitleDeleted val="0"/>
    <c:plotArea>
      <c:layout/>
      <c:barChart>
        <c:barDir val="col"/>
        <c:grouping val="clustered"/>
        <c:varyColors val="0"/>
        <c:ser>
          <c:idx val="2"/>
          <c:order val="2"/>
          <c:tx>
            <c:v>Overall</c:v>
          </c:tx>
          <c:invertIfNegative val="0"/>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DevelopmentPerPoolWeek!$H$3:$H$29</c:f>
              <c:numCache>
                <c:formatCode>_ * #,##0.00_ ;_ * \-#,##0.00_ ;_ * "-"??_ ;_ @_ </c:formatCode>
                <c:ptCount val="27"/>
                <c:pt idx="0">
                  <c:v>0</c:v>
                </c:pt>
                <c:pt idx="1">
                  <c:v>0</c:v>
                </c:pt>
                <c:pt idx="2">
                  <c:v>0</c:v>
                </c:pt>
                <c:pt idx="3">
                  <c:v>0</c:v>
                </c:pt>
                <c:pt idx="4">
                  <c:v>0</c:v>
                </c:pt>
                <c:pt idx="5">
                  <c:v>0</c:v>
                </c:pt>
                <c:pt idx="6">
                  <c:v>0</c:v>
                </c:pt>
                <c:pt idx="7">
                  <c:v>4350</c:v>
                </c:pt>
                <c:pt idx="8">
                  <c:v>0</c:v>
                </c:pt>
                <c:pt idx="9">
                  <c:v>0</c:v>
                </c:pt>
                <c:pt idx="10">
                  <c:v>3150</c:v>
                </c:pt>
                <c:pt idx="11">
                  <c:v>0</c:v>
                </c:pt>
                <c:pt idx="12">
                  <c:v>3800</c:v>
                </c:pt>
                <c:pt idx="13">
                  <c:v>0</c:v>
                </c:pt>
                <c:pt idx="14">
                  <c:v>0</c:v>
                </c:pt>
                <c:pt idx="15">
                  <c:v>0</c:v>
                </c:pt>
                <c:pt idx="16">
                  <c:v>0</c:v>
                </c:pt>
                <c:pt idx="17">
                  <c:v>7520</c:v>
                </c:pt>
                <c:pt idx="18">
                  <c:v>0</c:v>
                </c:pt>
                <c:pt idx="19">
                  <c:v>3870</c:v>
                </c:pt>
                <c:pt idx="20">
                  <c:v>0</c:v>
                </c:pt>
                <c:pt idx="21">
                  <c:v>0</c:v>
                </c:pt>
                <c:pt idx="22">
                  <c:v>0</c:v>
                </c:pt>
                <c:pt idx="23">
                  <c:v>0</c:v>
                </c:pt>
                <c:pt idx="24">
                  <c:v>0</c:v>
                </c:pt>
                <c:pt idx="25">
                  <c:v>15645</c:v>
                </c:pt>
                <c:pt idx="26">
                  <c:v>0</c:v>
                </c:pt>
              </c:numCache>
            </c:numRef>
          </c:val>
        </c:ser>
        <c:dLbls>
          <c:showLegendKey val="0"/>
          <c:showVal val="0"/>
          <c:showCatName val="0"/>
          <c:showSerName val="0"/>
          <c:showPercent val="0"/>
          <c:showBubbleSize val="0"/>
        </c:dLbls>
        <c:gapWidth val="150"/>
        <c:axId val="55001856"/>
        <c:axId val="55004544"/>
      </c:barChart>
      <c:lineChart>
        <c:grouping val="standard"/>
        <c:varyColors val="0"/>
        <c:ser>
          <c:idx val="0"/>
          <c:order val="0"/>
          <c:tx>
            <c:v>C</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DevelopmentPerPoolWeek!$B$3:$B$29</c:f>
              <c:numCache>
                <c:formatCode>_ * #,##0.00_ ;_ * \-#,##0.00_ ;_ * "-"??_ ;_ @_ </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100</c:v>
                </c:pt>
                <c:pt idx="26">
                  <c:v>0</c:v>
                </c:pt>
              </c:numCache>
            </c:numRef>
          </c:val>
          <c:smooth val="0"/>
        </c:ser>
        <c:ser>
          <c:idx val="1"/>
          <c:order val="1"/>
          <c:tx>
            <c:v>D</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DevelopmentPerPoolWeek!$E$3:$E$29</c:f>
              <c:numCache>
                <c:formatCode>_ * #,##0.00_ ;_ * \-#,##0.00_ ;_ * "-"??_ ;_ @_ </c:formatCode>
                <c:ptCount val="27"/>
                <c:pt idx="0">
                  <c:v>0</c:v>
                </c:pt>
                <c:pt idx="1">
                  <c:v>0</c:v>
                </c:pt>
                <c:pt idx="2">
                  <c:v>0</c:v>
                </c:pt>
                <c:pt idx="3">
                  <c:v>0</c:v>
                </c:pt>
                <c:pt idx="4">
                  <c:v>0</c:v>
                </c:pt>
                <c:pt idx="5">
                  <c:v>0</c:v>
                </c:pt>
                <c:pt idx="6">
                  <c:v>0</c:v>
                </c:pt>
                <c:pt idx="7">
                  <c:v>4350</c:v>
                </c:pt>
                <c:pt idx="8">
                  <c:v>0</c:v>
                </c:pt>
                <c:pt idx="9">
                  <c:v>0</c:v>
                </c:pt>
                <c:pt idx="10">
                  <c:v>3150</c:v>
                </c:pt>
                <c:pt idx="11">
                  <c:v>0</c:v>
                </c:pt>
                <c:pt idx="12">
                  <c:v>3800</c:v>
                </c:pt>
                <c:pt idx="13">
                  <c:v>0</c:v>
                </c:pt>
                <c:pt idx="14">
                  <c:v>0</c:v>
                </c:pt>
                <c:pt idx="15">
                  <c:v>0</c:v>
                </c:pt>
                <c:pt idx="16">
                  <c:v>0</c:v>
                </c:pt>
                <c:pt idx="17">
                  <c:v>7520</c:v>
                </c:pt>
                <c:pt idx="18">
                  <c:v>0</c:v>
                </c:pt>
                <c:pt idx="19">
                  <c:v>3870</c:v>
                </c:pt>
                <c:pt idx="20">
                  <c:v>0</c:v>
                </c:pt>
                <c:pt idx="21">
                  <c:v>0</c:v>
                </c:pt>
                <c:pt idx="22">
                  <c:v>0</c:v>
                </c:pt>
                <c:pt idx="23">
                  <c:v>0</c:v>
                </c:pt>
                <c:pt idx="24">
                  <c:v>0</c:v>
                </c:pt>
                <c:pt idx="25">
                  <c:v>15545</c:v>
                </c:pt>
                <c:pt idx="26">
                  <c:v>0</c:v>
                </c:pt>
              </c:numCache>
            </c:numRef>
          </c:val>
          <c:smooth val="0"/>
        </c:ser>
        <c:dLbls>
          <c:showLegendKey val="0"/>
          <c:showVal val="0"/>
          <c:showCatName val="0"/>
          <c:showSerName val="0"/>
          <c:showPercent val="0"/>
          <c:showBubbleSize val="0"/>
        </c:dLbls>
        <c:marker val="1"/>
        <c:smooth val="0"/>
        <c:axId val="55001856"/>
        <c:axId val="55004544"/>
      </c:lineChart>
      <c:catAx>
        <c:axId val="55001856"/>
        <c:scaling>
          <c:orientation val="minMax"/>
        </c:scaling>
        <c:delete val="0"/>
        <c:axPos val="b"/>
        <c:numFmt formatCode="General" sourceLinked="1"/>
        <c:majorTickMark val="out"/>
        <c:minorTickMark val="none"/>
        <c:tickLblPos val="nextTo"/>
        <c:crossAx val="55004544"/>
        <c:crosses val="autoZero"/>
        <c:auto val="1"/>
        <c:lblAlgn val="ctr"/>
        <c:lblOffset val="100"/>
        <c:noMultiLvlLbl val="0"/>
      </c:catAx>
      <c:valAx>
        <c:axId val="55004544"/>
        <c:scaling>
          <c:orientation val="minMax"/>
        </c:scaling>
        <c:delete val="0"/>
        <c:axPos val="l"/>
        <c:majorGridlines/>
        <c:numFmt formatCode="_ * #,##0.00_ ;_ * \-#,##0.00_ ;_ * &quot;-&quot;??_ ;_ @_ " sourceLinked="1"/>
        <c:majorTickMark val="out"/>
        <c:minorTickMark val="none"/>
        <c:tickLblPos val="nextTo"/>
        <c:crossAx val="550018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0</xdr:colOff>
          <xdr:row>6</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0</xdr:rowOff>
    </xdr:from>
    <xdr:to>
      <xdr:col>21</xdr:col>
      <xdr:colOff>238125</xdr:colOff>
      <xdr:row>33</xdr:row>
      <xdr:rowOff>161925</xdr:rowOff>
    </xdr:to>
    <xdr:graphicFrame macro="">
      <xdr:nvGraphicFramePr>
        <xdr:cNvPr id="3" name="DevelopmentPerWeekPool"/>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6" name="OverallReport" displayName="OverallReport" ref="B2:E5" totalsRowShown="0" headerRowDxfId="7" dataDxfId="8" headerRowCellStyle="Comma" dataCellStyle="Comma">
  <autoFilter ref="B2:E5"/>
  <tableColumns count="4">
    <tableColumn id="1" name="Pool" dataDxfId="12" dataCellStyle="Comma"/>
    <tableColumn id="2" name="Quantity in meters" dataDxfId="11" dataCellStyle="Comma"/>
    <tableColumn id="3" name="Avg per day" dataDxfId="10" dataCellStyle="Comma"/>
    <tableColumn id="4" name="Avg per week" dataDxfId="9" dataCellStyle="Comma"/>
  </tableColumns>
  <tableStyleInfo name="TableStyleMedium2" showFirstColumn="0" showLastColumn="0" showRowStripes="1" showColumnStripes="0"/>
</table>
</file>

<file path=xl/tables/table2.xml><?xml version="1.0" encoding="utf-8"?>
<table xmlns="http://schemas.openxmlformats.org/spreadsheetml/2006/main" id="7" name="DevelopmentPerWeek" displayName="DevelopmentPerWeek" ref="A2:J29" totalsRowShown="0" dataDxfId="0" dataCellStyle="Comma">
  <autoFilter ref="A2:J29"/>
  <tableColumns count="10">
    <tableColumn id="1" name="WeekNum"/>
    <tableColumn id="2" name="TotalQty" dataDxfId="6" dataCellStyle="Comma"/>
    <tableColumn id="3" name="OrderCount"/>
    <tableColumn id="4" name="AveragePerWeek" dataDxfId="5" dataCellStyle="Comma"/>
    <tableColumn id="5" name="TotalQty2" dataDxfId="4" dataCellStyle="Comma"/>
    <tableColumn id="6" name="OrderCount3"/>
    <tableColumn id="7" name="AveragePerWeek4" dataDxfId="3" dataCellStyle="Comma"/>
    <tableColumn id="8" name="TotalQty5" dataDxfId="2" dataCellStyle="Comma"/>
    <tableColumn id="9" name="OrderCount6"/>
    <tableColumn id="10" name="AveragePerWeek7" dataDxfId="1" dataCellStyle="Comma"/>
  </tableColumns>
  <tableStyleInfo name="TableStyleMedium2" showFirstColumn="0" showLastColumn="0" showRowStripes="1" showColumnStripes="0"/>
</table>
</file>

<file path=xl/tables/table3.xml><?xml version="1.0" encoding="utf-8"?>
<table xmlns="http://schemas.openxmlformats.org/spreadsheetml/2006/main" id="5" name="AtlasReport_1_Table_1" displayName="AtlasReport_1_Table_1" ref="A2:H17" totalsRowCount="1">
  <autoFilter ref="A2:H16"/>
  <tableColumns count="8">
    <tableColumn id="1" name="Production" totalsRowLabel="Total" dataDxfId="28" totalsRowDxfId="21"/>
    <tableColumn id="2" name="Item number" dataDxfId="27" totalsRowDxfId="20"/>
    <tableColumn id="3" name="Pool" dataDxfId="26" totalsRowDxfId="19"/>
    <tableColumn id="4" name="Date" dataDxfId="25" totalsRowDxfId="18"/>
    <tableColumn id="5" name="WeekNum" dataDxfId="13" totalsRowDxfId="17">
      <calculatedColumnFormula>YEAR(AtlasReport_1_Table_1[[#This Row],[Date]]) &amp; TEXT(WEEKNUM(AtlasReport_1_Table_1[[#This Row],[Date]]),"00")</calculatedColumnFormula>
    </tableColumn>
    <tableColumn id="6" name="Error quantity" totalsRowFunction="sum" dataDxfId="24" totalsRowDxfId="16"/>
    <tableColumn id="7" name="Good quantity" totalsRowFunction="sum" dataDxfId="23" totalsRowDxfId="15"/>
    <tableColumn id="8" name="Unit" dataDxfId="22" totalsRow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eneral"/>
  <dimension ref="B1:R20"/>
  <sheetViews>
    <sheetView workbookViewId="0">
      <selection activeCell="C9" sqref="C9"/>
    </sheetView>
  </sheetViews>
  <sheetFormatPr defaultRowHeight="15"/>
  <cols>
    <col min="2" max="2" width="12" bestFit="1" customWidth="1"/>
    <col min="3" max="3" width="11.42578125" customWidth="1"/>
    <col min="6" max="6" width="12.140625" bestFit="1" customWidth="1"/>
    <col min="7" max="7" width="12.42578125" bestFit="1" customWidth="1"/>
    <col min="13" max="13" width="10.42578125" bestFit="1" customWidth="1"/>
    <col min="17" max="17" width="10.7109375" bestFit="1" customWidth="1"/>
  </cols>
  <sheetData>
    <row r="1" spans="2:15">
      <c r="F1" t="s">
        <v>15</v>
      </c>
      <c r="G1" t="str">
        <f>GetDateFormat()</f>
        <v>mm/dd/yyyy</v>
      </c>
      <c r="M1" t="s">
        <v>59</v>
      </c>
    </row>
    <row r="2" spans="2:15">
      <c r="B2" t="s">
        <v>14</v>
      </c>
      <c r="C2">
        <v>372</v>
      </c>
      <c r="M2" s="1">
        <v>44364</v>
      </c>
      <c r="N2" t="s">
        <v>60</v>
      </c>
      <c r="O2" t="s">
        <v>61</v>
      </c>
    </row>
    <row r="3" spans="2:15">
      <c r="M3" s="1">
        <v>44365</v>
      </c>
      <c r="N3" t="s">
        <v>62</v>
      </c>
      <c r="O3" t="s">
        <v>69</v>
      </c>
    </row>
    <row r="4" spans="2:15">
      <c r="B4" t="s">
        <v>16</v>
      </c>
      <c r="C4" s="1">
        <v>44197</v>
      </c>
      <c r="M4" s="1">
        <v>44370</v>
      </c>
      <c r="N4" t="s">
        <v>70</v>
      </c>
      <c r="O4" t="s">
        <v>71</v>
      </c>
    </row>
    <row r="5" spans="2:15">
      <c r="B5" t="s">
        <v>17</v>
      </c>
      <c r="C5" s="1">
        <v>44377</v>
      </c>
    </row>
    <row r="6" spans="2:15">
      <c r="B6" t="s">
        <v>18</v>
      </c>
      <c r="C6" t="str">
        <f>TEXT(FromDate,DateFormat) &amp; " .. " &amp; TEXT(ToDate,DateFormat)</f>
        <v>01/01/2021 .. 06/30/2021</v>
      </c>
    </row>
    <row r="8" spans="2:15">
      <c r="B8" t="s">
        <v>19</v>
      </c>
      <c r="C8" t="s">
        <v>72</v>
      </c>
    </row>
    <row r="13" spans="2:15">
      <c r="B13" t="s">
        <v>53</v>
      </c>
    </row>
    <row r="14" spans="2:15">
      <c r="B14" t="s">
        <v>54</v>
      </c>
    </row>
    <row r="15" spans="2:15">
      <c r="B15" t="s">
        <v>55</v>
      </c>
    </row>
    <row r="16" spans="2:15">
      <c r="B16" t="s">
        <v>56</v>
      </c>
    </row>
    <row r="20" spans="17:18">
      <c r="Q20" s="1"/>
      <c r="R20" s="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6</xdr:col>
                    <xdr:colOff>0</xdr:colOff>
                    <xdr:row>4</xdr:row>
                    <xdr:rowOff>0</xdr:rowOff>
                  </from>
                  <to>
                    <xdr:col>8</xdr:col>
                    <xdr:colOff>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dimension ref="B2:E5"/>
  <sheetViews>
    <sheetView tabSelected="1" workbookViewId="0">
      <selection activeCell="B3" sqref="B3:B4"/>
    </sheetView>
  </sheetViews>
  <sheetFormatPr defaultRowHeight="15"/>
  <cols>
    <col min="2" max="2" width="9.42578125" customWidth="1"/>
    <col min="3" max="3" width="25.28515625" customWidth="1"/>
    <col min="4" max="4" width="17.42578125" customWidth="1"/>
    <col min="5" max="5" width="18.42578125" customWidth="1"/>
    <col min="6" max="6" width="8.7109375" customWidth="1"/>
    <col min="7" max="10" width="9.7109375" bestFit="1" customWidth="1"/>
    <col min="11" max="11" width="11.5703125" bestFit="1" customWidth="1"/>
    <col min="12" max="14" width="9.7109375" bestFit="1" customWidth="1"/>
    <col min="15" max="19" width="8.7109375" customWidth="1"/>
    <col min="20" max="25" width="9.7109375" bestFit="1" customWidth="1"/>
    <col min="26" max="30" width="8.7109375" customWidth="1"/>
    <col min="31" max="41" width="9.7109375" bestFit="1" customWidth="1"/>
    <col min="42" max="42" width="11.28515625" bestFit="1" customWidth="1"/>
  </cols>
  <sheetData>
    <row r="2" spans="2:5">
      <c r="B2" s="10" t="s">
        <v>27</v>
      </c>
      <c r="C2" s="10" t="s">
        <v>51</v>
      </c>
      <c r="D2" s="10" t="s">
        <v>48</v>
      </c>
      <c r="E2" s="10" t="s">
        <v>49</v>
      </c>
    </row>
    <row r="3" spans="2:5">
      <c r="B3" s="10" t="s">
        <v>28</v>
      </c>
      <c r="C3" s="10">
        <v>100</v>
      </c>
      <c r="D3" s="10">
        <v>0.7407407407407407</v>
      </c>
      <c r="E3" s="10">
        <v>3.7037037037037037</v>
      </c>
    </row>
    <row r="4" spans="2:5">
      <c r="B4" s="10" t="s">
        <v>29</v>
      </c>
      <c r="C4" s="10">
        <v>38235</v>
      </c>
      <c r="D4" s="10">
        <v>283.22222222222223</v>
      </c>
      <c r="E4" s="10">
        <v>1416.1111111111111</v>
      </c>
    </row>
    <row r="5" spans="2:5">
      <c r="B5" s="10" t="s">
        <v>50</v>
      </c>
      <c r="C5" s="10">
        <v>38335</v>
      </c>
      <c r="D5" s="10">
        <v>283.96296296296293</v>
      </c>
      <c r="E5" s="10">
        <v>1419.8148148148148</v>
      </c>
    </row>
  </sheetData>
  <sortState ref="B3:B4">
    <sortCondition ref="B3:B4"/>
  </sortState>
  <phoneticPr fontId="3"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
  <dimension ref="A1:J29"/>
  <sheetViews>
    <sheetView workbookViewId="0">
      <selection activeCell="F27" sqref="F27"/>
    </sheetView>
  </sheetViews>
  <sheetFormatPr defaultRowHeight="15"/>
  <cols>
    <col min="1" max="1" width="12.7109375" customWidth="1"/>
    <col min="2" max="2" width="10.7109375" customWidth="1"/>
    <col min="3" max="3" width="13.5703125" customWidth="1"/>
    <col min="4" max="4" width="18.7109375" customWidth="1"/>
    <col min="5" max="5" width="11.7109375" customWidth="1"/>
    <col min="6" max="6" width="14.5703125" customWidth="1"/>
    <col min="7" max="7" width="19.7109375" customWidth="1"/>
    <col min="8" max="8" width="11.7109375" customWidth="1"/>
    <col min="9" max="9" width="14.5703125" customWidth="1"/>
    <col min="10" max="10" width="19.7109375" customWidth="1"/>
    <col min="11" max="11" width="11.7109375" customWidth="1"/>
    <col min="12" max="12" width="14.5703125" customWidth="1"/>
    <col min="13" max="13" width="20.7109375" customWidth="1"/>
    <col min="14" max="14" width="12.7109375" customWidth="1"/>
    <col min="15" max="15" width="15.5703125" customWidth="1"/>
    <col min="16" max="16" width="20.7109375" customWidth="1"/>
    <col min="17" max="17" width="12.7109375" customWidth="1"/>
    <col min="18" max="18" width="15.5703125" customWidth="1"/>
    <col min="19" max="19" width="20.7109375" customWidth="1"/>
  </cols>
  <sheetData>
    <row r="1" spans="1:10">
      <c r="B1" t="s">
        <v>28</v>
      </c>
      <c r="E1" t="s">
        <v>29</v>
      </c>
      <c r="H1" t="s">
        <v>50</v>
      </c>
    </row>
    <row r="2" spans="1:10">
      <c r="A2" t="s">
        <v>32</v>
      </c>
      <c r="B2" t="s">
        <v>52</v>
      </c>
      <c r="C2" t="s">
        <v>57</v>
      </c>
      <c r="D2" t="s">
        <v>58</v>
      </c>
      <c r="E2" t="s">
        <v>63</v>
      </c>
      <c r="F2" t="s">
        <v>64</v>
      </c>
      <c r="G2" t="s">
        <v>65</v>
      </c>
      <c r="H2" t="s">
        <v>66</v>
      </c>
      <c r="I2" t="s">
        <v>67</v>
      </c>
      <c r="J2" t="s">
        <v>68</v>
      </c>
    </row>
    <row r="3" spans="1:10">
      <c r="A3">
        <v>202101</v>
      </c>
      <c r="B3" s="10">
        <v>0</v>
      </c>
      <c r="C3">
        <v>0</v>
      </c>
      <c r="D3" s="10">
        <v>0</v>
      </c>
      <c r="E3" s="10">
        <v>0</v>
      </c>
      <c r="F3">
        <v>0</v>
      </c>
      <c r="G3" s="10">
        <v>0</v>
      </c>
      <c r="H3" s="10">
        <v>0</v>
      </c>
      <c r="I3">
        <v>0</v>
      </c>
      <c r="J3" s="10">
        <v>0</v>
      </c>
    </row>
    <row r="4" spans="1:10">
      <c r="A4">
        <v>202102</v>
      </c>
      <c r="B4" s="10">
        <v>0</v>
      </c>
      <c r="C4">
        <v>0</v>
      </c>
      <c r="D4" s="10">
        <v>0</v>
      </c>
      <c r="E4" s="10">
        <v>0</v>
      </c>
      <c r="F4">
        <v>0</v>
      </c>
      <c r="G4" s="10">
        <v>0</v>
      </c>
      <c r="H4" s="10">
        <v>0</v>
      </c>
      <c r="I4">
        <v>0</v>
      </c>
      <c r="J4" s="10">
        <v>0</v>
      </c>
    </row>
    <row r="5" spans="1:10">
      <c r="A5">
        <v>202103</v>
      </c>
      <c r="B5" s="10">
        <v>0</v>
      </c>
      <c r="C5">
        <v>0</v>
      </c>
      <c r="D5" s="10">
        <v>0</v>
      </c>
      <c r="E5" s="10">
        <v>0</v>
      </c>
      <c r="F5">
        <v>0</v>
      </c>
      <c r="G5" s="10">
        <v>0</v>
      </c>
      <c r="H5" s="10">
        <v>0</v>
      </c>
      <c r="I5">
        <v>0</v>
      </c>
      <c r="J5" s="10">
        <v>0</v>
      </c>
    </row>
    <row r="6" spans="1:10">
      <c r="A6">
        <v>202104</v>
      </c>
      <c r="B6" s="10">
        <v>0</v>
      </c>
      <c r="C6">
        <v>0</v>
      </c>
      <c r="D6" s="10">
        <v>0</v>
      </c>
      <c r="E6" s="10">
        <v>0</v>
      </c>
      <c r="F6">
        <v>0</v>
      </c>
      <c r="G6" s="10">
        <v>0</v>
      </c>
      <c r="H6" s="10">
        <v>0</v>
      </c>
      <c r="I6">
        <v>0</v>
      </c>
      <c r="J6" s="10">
        <v>0</v>
      </c>
    </row>
    <row r="7" spans="1:10">
      <c r="A7">
        <v>202105</v>
      </c>
      <c r="B7" s="10">
        <v>0</v>
      </c>
      <c r="C7">
        <v>0</v>
      </c>
      <c r="D7" s="10">
        <v>0</v>
      </c>
      <c r="E7" s="10">
        <v>0</v>
      </c>
      <c r="F7">
        <v>0</v>
      </c>
      <c r="G7" s="10">
        <v>0</v>
      </c>
      <c r="H7" s="10">
        <v>0</v>
      </c>
      <c r="I7">
        <v>0</v>
      </c>
      <c r="J7" s="10">
        <v>0</v>
      </c>
    </row>
    <row r="8" spans="1:10">
      <c r="A8">
        <v>202106</v>
      </c>
      <c r="B8" s="10">
        <v>0</v>
      </c>
      <c r="C8">
        <v>0</v>
      </c>
      <c r="D8" s="10">
        <v>0</v>
      </c>
      <c r="E8" s="10">
        <v>0</v>
      </c>
      <c r="F8">
        <v>0</v>
      </c>
      <c r="G8" s="10">
        <v>0</v>
      </c>
      <c r="H8" s="10">
        <v>0</v>
      </c>
      <c r="I8">
        <v>0</v>
      </c>
      <c r="J8" s="10">
        <v>0</v>
      </c>
    </row>
    <row r="9" spans="1:10">
      <c r="A9">
        <v>202107</v>
      </c>
      <c r="B9" s="10">
        <v>0</v>
      </c>
      <c r="C9">
        <v>0</v>
      </c>
      <c r="D9" s="10">
        <v>0</v>
      </c>
      <c r="E9" s="10">
        <v>0</v>
      </c>
      <c r="F9">
        <v>0</v>
      </c>
      <c r="G9" s="10">
        <v>0</v>
      </c>
      <c r="H9" s="10">
        <v>0</v>
      </c>
      <c r="I9">
        <v>0</v>
      </c>
      <c r="J9" s="10">
        <v>0</v>
      </c>
    </row>
    <row r="10" spans="1:10">
      <c r="A10">
        <v>202108</v>
      </c>
      <c r="B10" s="10">
        <v>0</v>
      </c>
      <c r="C10">
        <v>0</v>
      </c>
      <c r="D10" s="10">
        <v>0</v>
      </c>
      <c r="E10" s="10">
        <v>4350</v>
      </c>
      <c r="F10">
        <v>2</v>
      </c>
      <c r="G10" s="10">
        <v>2175</v>
      </c>
      <c r="H10" s="10">
        <v>4350</v>
      </c>
      <c r="I10">
        <v>2</v>
      </c>
      <c r="J10" s="10">
        <v>2175</v>
      </c>
    </row>
    <row r="11" spans="1:10">
      <c r="A11">
        <v>202109</v>
      </c>
      <c r="B11" s="10">
        <v>0</v>
      </c>
      <c r="C11">
        <v>0</v>
      </c>
      <c r="D11" s="10">
        <v>0</v>
      </c>
      <c r="E11" s="10">
        <v>0</v>
      </c>
      <c r="F11">
        <v>0</v>
      </c>
      <c r="G11" s="10">
        <v>0</v>
      </c>
      <c r="H11" s="10">
        <v>0</v>
      </c>
      <c r="I11">
        <v>0</v>
      </c>
      <c r="J11" s="10">
        <v>0</v>
      </c>
    </row>
    <row r="12" spans="1:10">
      <c r="A12">
        <v>202110</v>
      </c>
      <c r="B12" s="10">
        <v>0</v>
      </c>
      <c r="C12">
        <v>0</v>
      </c>
      <c r="D12" s="10">
        <v>0</v>
      </c>
      <c r="E12" s="10">
        <v>0</v>
      </c>
      <c r="F12">
        <v>0</v>
      </c>
      <c r="G12" s="10">
        <v>0</v>
      </c>
      <c r="H12" s="10">
        <v>0</v>
      </c>
      <c r="I12">
        <v>0</v>
      </c>
      <c r="J12" s="10">
        <v>0</v>
      </c>
    </row>
    <row r="13" spans="1:10">
      <c r="A13">
        <v>202111</v>
      </c>
      <c r="B13" s="10">
        <v>0</v>
      </c>
      <c r="C13">
        <v>0</v>
      </c>
      <c r="D13" s="10">
        <v>0</v>
      </c>
      <c r="E13" s="10">
        <v>3150</v>
      </c>
      <c r="F13">
        <v>1</v>
      </c>
      <c r="G13" s="10">
        <v>3150</v>
      </c>
      <c r="H13" s="10">
        <v>3150</v>
      </c>
      <c r="I13">
        <v>1</v>
      </c>
      <c r="J13" s="10">
        <v>3150</v>
      </c>
    </row>
    <row r="14" spans="1:10">
      <c r="A14">
        <v>202112</v>
      </c>
      <c r="B14" s="10">
        <v>0</v>
      </c>
      <c r="C14">
        <v>0</v>
      </c>
      <c r="D14" s="10">
        <v>0</v>
      </c>
      <c r="E14" s="10">
        <v>0</v>
      </c>
      <c r="F14">
        <v>0</v>
      </c>
      <c r="G14" s="10">
        <v>0</v>
      </c>
      <c r="H14" s="10">
        <v>0</v>
      </c>
      <c r="I14">
        <v>0</v>
      </c>
      <c r="J14" s="10">
        <v>0</v>
      </c>
    </row>
    <row r="15" spans="1:10">
      <c r="A15">
        <v>202113</v>
      </c>
      <c r="B15" s="10">
        <v>0</v>
      </c>
      <c r="C15">
        <v>0</v>
      </c>
      <c r="D15" s="10">
        <v>0</v>
      </c>
      <c r="E15" s="10">
        <v>3800</v>
      </c>
      <c r="F15">
        <v>2</v>
      </c>
      <c r="G15" s="10">
        <v>1900</v>
      </c>
      <c r="H15" s="10">
        <v>3800</v>
      </c>
      <c r="I15">
        <v>2</v>
      </c>
      <c r="J15" s="10">
        <v>1900</v>
      </c>
    </row>
    <row r="16" spans="1:10">
      <c r="A16">
        <v>202114</v>
      </c>
      <c r="B16" s="10">
        <v>0</v>
      </c>
      <c r="C16">
        <v>0</v>
      </c>
      <c r="D16" s="10">
        <v>0</v>
      </c>
      <c r="E16" s="10">
        <v>0</v>
      </c>
      <c r="F16">
        <v>0</v>
      </c>
      <c r="G16" s="10">
        <v>0</v>
      </c>
      <c r="H16" s="10">
        <v>0</v>
      </c>
      <c r="I16">
        <v>0</v>
      </c>
      <c r="J16" s="10">
        <v>0</v>
      </c>
    </row>
    <row r="17" spans="1:10">
      <c r="A17">
        <v>202115</v>
      </c>
      <c r="B17" s="10">
        <v>0</v>
      </c>
      <c r="C17">
        <v>0</v>
      </c>
      <c r="D17" s="10">
        <v>0</v>
      </c>
      <c r="E17" s="10">
        <v>0</v>
      </c>
      <c r="F17">
        <v>0</v>
      </c>
      <c r="G17" s="10">
        <v>0</v>
      </c>
      <c r="H17" s="10">
        <v>0</v>
      </c>
      <c r="I17">
        <v>0</v>
      </c>
      <c r="J17" s="10">
        <v>0</v>
      </c>
    </row>
    <row r="18" spans="1:10">
      <c r="A18">
        <v>202116</v>
      </c>
      <c r="B18" s="10">
        <v>0</v>
      </c>
      <c r="C18">
        <v>0</v>
      </c>
      <c r="D18" s="10">
        <v>0</v>
      </c>
      <c r="E18" s="10">
        <v>0</v>
      </c>
      <c r="F18">
        <v>0</v>
      </c>
      <c r="G18" s="10">
        <v>0</v>
      </c>
      <c r="H18" s="10">
        <v>0</v>
      </c>
      <c r="I18">
        <v>0</v>
      </c>
      <c r="J18" s="10">
        <v>0</v>
      </c>
    </row>
    <row r="19" spans="1:10">
      <c r="A19">
        <v>202117</v>
      </c>
      <c r="B19" s="10">
        <v>0</v>
      </c>
      <c r="C19">
        <v>0</v>
      </c>
      <c r="D19" s="10">
        <v>0</v>
      </c>
      <c r="E19" s="10">
        <v>0</v>
      </c>
      <c r="F19">
        <v>0</v>
      </c>
      <c r="G19" s="10">
        <v>0</v>
      </c>
      <c r="H19" s="10">
        <v>0</v>
      </c>
      <c r="I19">
        <v>0</v>
      </c>
      <c r="J19" s="10">
        <v>0</v>
      </c>
    </row>
    <row r="20" spans="1:10">
      <c r="A20">
        <v>202118</v>
      </c>
      <c r="B20" s="10">
        <v>0</v>
      </c>
      <c r="C20">
        <v>0</v>
      </c>
      <c r="D20" s="10">
        <v>0</v>
      </c>
      <c r="E20" s="10">
        <v>7520</v>
      </c>
      <c r="F20">
        <v>3</v>
      </c>
      <c r="G20" s="10">
        <v>2506.6666666666665</v>
      </c>
      <c r="H20" s="10">
        <v>7520</v>
      </c>
      <c r="I20">
        <v>3</v>
      </c>
      <c r="J20" s="10">
        <v>2506.6666666666665</v>
      </c>
    </row>
    <row r="21" spans="1:10">
      <c r="A21">
        <v>202119</v>
      </c>
      <c r="B21" s="10">
        <v>0</v>
      </c>
      <c r="C21">
        <v>0</v>
      </c>
      <c r="D21" s="10">
        <v>0</v>
      </c>
      <c r="E21" s="10">
        <v>0</v>
      </c>
      <c r="F21">
        <v>0</v>
      </c>
      <c r="G21" s="10">
        <v>0</v>
      </c>
      <c r="H21" s="10">
        <v>0</v>
      </c>
      <c r="I21">
        <v>0</v>
      </c>
      <c r="J21" s="10">
        <v>0</v>
      </c>
    </row>
    <row r="22" spans="1:10">
      <c r="A22">
        <v>202120</v>
      </c>
      <c r="B22" s="10">
        <v>0</v>
      </c>
      <c r="C22">
        <v>0</v>
      </c>
      <c r="D22" s="10">
        <v>0</v>
      </c>
      <c r="E22" s="10">
        <v>3870</v>
      </c>
      <c r="F22">
        <v>1</v>
      </c>
      <c r="G22" s="10">
        <v>3870</v>
      </c>
      <c r="H22" s="10">
        <v>3870</v>
      </c>
      <c r="I22">
        <v>1</v>
      </c>
      <c r="J22" s="10">
        <v>3870</v>
      </c>
    </row>
    <row r="23" spans="1:10">
      <c r="A23">
        <v>202121</v>
      </c>
      <c r="B23" s="10">
        <v>0</v>
      </c>
      <c r="C23">
        <v>0</v>
      </c>
      <c r="D23" s="10">
        <v>0</v>
      </c>
      <c r="E23" s="10">
        <v>0</v>
      </c>
      <c r="F23">
        <v>0</v>
      </c>
      <c r="G23" s="10">
        <v>0</v>
      </c>
      <c r="H23" s="10">
        <v>0</v>
      </c>
      <c r="I23">
        <v>0</v>
      </c>
      <c r="J23" s="10">
        <v>0</v>
      </c>
    </row>
    <row r="24" spans="1:10">
      <c r="A24">
        <v>202122</v>
      </c>
      <c r="B24" s="10">
        <v>0</v>
      </c>
      <c r="C24">
        <v>0</v>
      </c>
      <c r="D24" s="10">
        <v>0</v>
      </c>
      <c r="E24" s="10">
        <v>0</v>
      </c>
      <c r="F24">
        <v>0</v>
      </c>
      <c r="G24" s="10">
        <v>0</v>
      </c>
      <c r="H24" s="10">
        <v>0</v>
      </c>
      <c r="I24">
        <v>0</v>
      </c>
      <c r="J24" s="10">
        <v>0</v>
      </c>
    </row>
    <row r="25" spans="1:10">
      <c r="A25">
        <v>202123</v>
      </c>
      <c r="B25" s="10">
        <v>0</v>
      </c>
      <c r="C25">
        <v>0</v>
      </c>
      <c r="D25" s="10">
        <v>0</v>
      </c>
      <c r="E25" s="10">
        <v>0</v>
      </c>
      <c r="F25">
        <v>0</v>
      </c>
      <c r="G25" s="10">
        <v>0</v>
      </c>
      <c r="H25" s="10">
        <v>0</v>
      </c>
      <c r="I25">
        <v>0</v>
      </c>
      <c r="J25" s="10">
        <v>0</v>
      </c>
    </row>
    <row r="26" spans="1:10">
      <c r="A26">
        <v>202124</v>
      </c>
      <c r="B26" s="10">
        <v>0</v>
      </c>
      <c r="C26">
        <v>0</v>
      </c>
      <c r="D26" s="10">
        <v>0</v>
      </c>
      <c r="E26" s="10">
        <v>0</v>
      </c>
      <c r="F26">
        <v>0</v>
      </c>
      <c r="G26" s="10">
        <v>0</v>
      </c>
      <c r="H26" s="10">
        <v>0</v>
      </c>
      <c r="I26">
        <v>0</v>
      </c>
      <c r="J26" s="10">
        <v>0</v>
      </c>
    </row>
    <row r="27" spans="1:10">
      <c r="A27">
        <v>202125</v>
      </c>
      <c r="B27" s="10">
        <v>0</v>
      </c>
      <c r="C27">
        <v>0</v>
      </c>
      <c r="D27" s="10">
        <v>0</v>
      </c>
      <c r="E27" s="10">
        <v>0</v>
      </c>
      <c r="F27">
        <v>0</v>
      </c>
      <c r="G27" s="10">
        <v>0</v>
      </c>
      <c r="H27" s="10">
        <v>0</v>
      </c>
      <c r="I27">
        <v>0</v>
      </c>
      <c r="J27" s="10">
        <v>0</v>
      </c>
    </row>
    <row r="28" spans="1:10">
      <c r="A28">
        <v>202126</v>
      </c>
      <c r="B28" s="10">
        <v>100</v>
      </c>
      <c r="C28">
        <v>1</v>
      </c>
      <c r="D28" s="10">
        <v>100</v>
      </c>
      <c r="E28" s="10">
        <v>15545</v>
      </c>
      <c r="F28">
        <v>4</v>
      </c>
      <c r="G28" s="10">
        <v>3886.25</v>
      </c>
      <c r="H28" s="10">
        <v>15645</v>
      </c>
      <c r="I28">
        <v>5</v>
      </c>
      <c r="J28" s="10">
        <v>3129</v>
      </c>
    </row>
    <row r="29" spans="1:10">
      <c r="A29">
        <v>202127</v>
      </c>
      <c r="B29" s="10">
        <v>0</v>
      </c>
      <c r="C29">
        <v>0</v>
      </c>
      <c r="D29" s="10">
        <v>0</v>
      </c>
      <c r="E29" s="10">
        <v>0</v>
      </c>
      <c r="F29">
        <v>0</v>
      </c>
      <c r="G29" s="10">
        <v>0</v>
      </c>
      <c r="H29" s="10">
        <v>0</v>
      </c>
      <c r="I29">
        <v>0</v>
      </c>
      <c r="J29" s="10">
        <v>0</v>
      </c>
    </row>
  </sheetData>
  <sortState ref="A3:A51">
    <sortCondition ref="A3:A51"/>
  </sortState>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dDetails">
    <tabColor rgb="FF92D050"/>
  </sheetPr>
  <dimension ref="A1:L19"/>
  <sheetViews>
    <sheetView workbookViewId="0">
      <selection activeCell="E78" sqref="E78"/>
    </sheetView>
  </sheetViews>
  <sheetFormatPr defaultRowHeight="15"/>
  <cols>
    <col min="1" max="1" width="13.140625" customWidth="1"/>
    <col min="2" max="2" width="25.5703125" customWidth="1"/>
    <col min="3" max="3" width="7.28515625" customWidth="1"/>
    <col min="4" max="4" width="10.7109375" customWidth="1"/>
    <col min="5" max="5" width="12.85546875" customWidth="1"/>
    <col min="6" max="6" width="15.5703125" customWidth="1"/>
    <col min="7" max="7" width="16.140625" customWidth="1"/>
    <col min="8" max="8" width="7.140625" customWidth="1"/>
    <col min="9" max="9" width="8.140625" bestFit="1" customWidth="1"/>
    <col min="10" max="10" width="15.5703125" customWidth="1"/>
    <col min="11" max="11" width="16.140625" customWidth="1"/>
    <col min="12" max="12" width="7.140625" customWidth="1"/>
  </cols>
  <sheetData>
    <row r="1" spans="1:12" ht="22.5">
      <c r="A1" s="2" t="s">
        <v>20</v>
      </c>
      <c r="B1" s="2"/>
      <c r="C1" s="2"/>
      <c r="D1" s="2"/>
      <c r="E1" s="2"/>
      <c r="F1" s="2"/>
      <c r="G1" s="2"/>
      <c r="H1" s="2"/>
      <c r="I1" s="3"/>
      <c r="J1" s="3"/>
      <c r="K1" s="3"/>
      <c r="L1" s="3"/>
    </row>
    <row r="2" spans="1:12">
      <c r="A2" s="3" t="s">
        <v>21</v>
      </c>
      <c r="B2" s="3" t="s">
        <v>22</v>
      </c>
      <c r="C2" s="3" t="s">
        <v>27</v>
      </c>
      <c r="D2" s="5" t="s">
        <v>23</v>
      </c>
      <c r="E2" s="3" t="s">
        <v>32</v>
      </c>
      <c r="F2" s="3" t="s">
        <v>24</v>
      </c>
      <c r="G2" s="3" t="s">
        <v>25</v>
      </c>
      <c r="H2" s="3" t="s">
        <v>30</v>
      </c>
    </row>
    <row r="3" spans="1:12">
      <c r="A3" s="8" t="s">
        <v>73</v>
      </c>
      <c r="B3" s="8" t="s">
        <v>74</v>
      </c>
      <c r="C3" s="8" t="s">
        <v>29</v>
      </c>
      <c r="D3" s="6">
        <v>44245</v>
      </c>
      <c r="E3" s="4" t="str">
        <f>YEAR(AtlasReport_1_Table_1[[#This Row],[Date]]) &amp; TEXT(WEEKNUM(AtlasReport_1_Table_1[[#This Row],[Date]]),"00")</f>
        <v>202108</v>
      </c>
      <c r="F3" s="4">
        <v>0</v>
      </c>
      <c r="G3" s="4">
        <v>600</v>
      </c>
      <c r="H3" s="8" t="s">
        <v>31</v>
      </c>
    </row>
    <row r="4" spans="1:12">
      <c r="A4" s="8" t="s">
        <v>75</v>
      </c>
      <c r="B4" s="8" t="s">
        <v>74</v>
      </c>
      <c r="C4" s="8" t="s">
        <v>29</v>
      </c>
      <c r="D4" s="6">
        <v>44314</v>
      </c>
      <c r="E4" s="4" t="str">
        <f>YEAR(AtlasReport_1_Table_1[[#This Row],[Date]]) &amp; TEXT(WEEKNUM(AtlasReport_1_Table_1[[#This Row],[Date]]),"00")</f>
        <v>202118</v>
      </c>
      <c r="F4" s="4">
        <v>0</v>
      </c>
      <c r="G4" s="4">
        <v>3750</v>
      </c>
      <c r="H4" s="8" t="s">
        <v>31</v>
      </c>
    </row>
    <row r="5" spans="1:12">
      <c r="A5" s="8" t="s">
        <v>76</v>
      </c>
      <c r="B5" s="8" t="s">
        <v>74</v>
      </c>
      <c r="C5" s="8" t="s">
        <v>29</v>
      </c>
      <c r="D5" s="6">
        <v>44314</v>
      </c>
      <c r="E5" s="4" t="str">
        <f>YEAR(AtlasReport_1_Table_1[[#This Row],[Date]]) &amp; TEXT(WEEKNUM(AtlasReport_1_Table_1[[#This Row],[Date]]),"00")</f>
        <v>202118</v>
      </c>
      <c r="F5" s="4">
        <v>0</v>
      </c>
      <c r="G5" s="4">
        <v>3850</v>
      </c>
      <c r="H5" s="8" t="s">
        <v>31</v>
      </c>
    </row>
    <row r="6" spans="1:12">
      <c r="A6" s="8" t="s">
        <v>76</v>
      </c>
      <c r="B6" s="8" t="s">
        <v>74</v>
      </c>
      <c r="C6" s="8" t="s">
        <v>29</v>
      </c>
      <c r="D6" s="6">
        <v>44314</v>
      </c>
      <c r="E6" s="4" t="str">
        <f>YEAR(AtlasReport_1_Table_1[[#This Row],[Date]]) &amp; TEXT(WEEKNUM(AtlasReport_1_Table_1[[#This Row],[Date]]),"00")</f>
        <v>202118</v>
      </c>
      <c r="F6" s="4">
        <v>0</v>
      </c>
      <c r="G6" s="4">
        <v>-80</v>
      </c>
      <c r="H6" s="8" t="s">
        <v>31</v>
      </c>
    </row>
    <row r="7" spans="1:12">
      <c r="A7" s="8" t="s">
        <v>77</v>
      </c>
      <c r="B7" s="8" t="s">
        <v>74</v>
      </c>
      <c r="C7" s="8" t="s">
        <v>29</v>
      </c>
      <c r="D7" s="6">
        <v>44326</v>
      </c>
      <c r="E7" s="4" t="str">
        <f>YEAR(AtlasReport_1_Table_1[[#This Row],[Date]]) &amp; TEXT(WEEKNUM(AtlasReport_1_Table_1[[#This Row],[Date]]),"00")</f>
        <v>202120</v>
      </c>
      <c r="F7" s="4">
        <v>0</v>
      </c>
      <c r="G7" s="4">
        <v>3870</v>
      </c>
      <c r="H7" s="8" t="s">
        <v>31</v>
      </c>
    </row>
    <row r="8" spans="1:12">
      <c r="A8" s="8" t="s">
        <v>78</v>
      </c>
      <c r="B8" s="8" t="s">
        <v>74</v>
      </c>
      <c r="C8" s="8" t="s">
        <v>29</v>
      </c>
      <c r="D8" s="6">
        <v>44368</v>
      </c>
      <c r="E8" s="4" t="str">
        <f>YEAR(AtlasReport_1_Table_1[[#This Row],[Date]]) &amp; TEXT(WEEKNUM(AtlasReport_1_Table_1[[#This Row],[Date]]),"00")</f>
        <v>202126</v>
      </c>
      <c r="F8" s="4">
        <v>0</v>
      </c>
      <c r="G8" s="4">
        <v>3870</v>
      </c>
      <c r="H8" s="8" t="s">
        <v>31</v>
      </c>
    </row>
    <row r="9" spans="1:12">
      <c r="A9" s="8" t="s">
        <v>79</v>
      </c>
      <c r="B9" s="8" t="s">
        <v>80</v>
      </c>
      <c r="C9" s="8" t="s">
        <v>29</v>
      </c>
      <c r="D9" s="6">
        <v>44265</v>
      </c>
      <c r="E9" s="4" t="str">
        <f>YEAR(AtlasReport_1_Table_1[[#This Row],[Date]]) &amp; TEXT(WEEKNUM(AtlasReport_1_Table_1[[#This Row],[Date]]),"00")</f>
        <v>202111</v>
      </c>
      <c r="F9" s="4">
        <v>0</v>
      </c>
      <c r="G9" s="4">
        <v>3150</v>
      </c>
      <c r="H9" s="8" t="s">
        <v>31</v>
      </c>
    </row>
    <row r="10" spans="1:12">
      <c r="A10" s="8" t="s">
        <v>81</v>
      </c>
      <c r="B10" s="8" t="s">
        <v>80</v>
      </c>
      <c r="C10" s="8" t="s">
        <v>29</v>
      </c>
      <c r="D10" s="6">
        <v>44280</v>
      </c>
      <c r="E10" s="4" t="str">
        <f>YEAR(AtlasReport_1_Table_1[[#This Row],[Date]]) &amp; TEXT(WEEKNUM(AtlasReport_1_Table_1[[#This Row],[Date]]),"00")</f>
        <v>202113</v>
      </c>
      <c r="F10" s="4">
        <v>0</v>
      </c>
      <c r="G10" s="4">
        <v>3750</v>
      </c>
      <c r="H10" s="8" t="s">
        <v>31</v>
      </c>
    </row>
    <row r="11" spans="1:12">
      <c r="A11" s="8" t="s">
        <v>81</v>
      </c>
      <c r="B11" s="8" t="s">
        <v>80</v>
      </c>
      <c r="C11" s="8" t="s">
        <v>29</v>
      </c>
      <c r="D11" s="6">
        <v>44280</v>
      </c>
      <c r="E11" s="4" t="str">
        <f>YEAR(AtlasReport_1_Table_1[[#This Row],[Date]]) &amp; TEXT(WEEKNUM(AtlasReport_1_Table_1[[#This Row],[Date]]),"00")</f>
        <v>202113</v>
      </c>
      <c r="F11" s="4">
        <v>0</v>
      </c>
      <c r="G11" s="4">
        <v>50</v>
      </c>
      <c r="H11" s="8" t="s">
        <v>31</v>
      </c>
    </row>
    <row r="12" spans="1:12">
      <c r="A12" s="8" t="s">
        <v>82</v>
      </c>
      <c r="B12" s="8" t="s">
        <v>80</v>
      </c>
      <c r="C12" s="8" t="s">
        <v>29</v>
      </c>
      <c r="D12" s="6">
        <v>44368</v>
      </c>
      <c r="E12" s="4" t="str">
        <f>YEAR(AtlasReport_1_Table_1[[#This Row],[Date]]) &amp; TEXT(WEEKNUM(AtlasReport_1_Table_1[[#This Row],[Date]]),"00")</f>
        <v>202126</v>
      </c>
      <c r="F12" s="4">
        <v>0</v>
      </c>
      <c r="G12" s="4">
        <v>3900</v>
      </c>
      <c r="H12" s="8" t="s">
        <v>31</v>
      </c>
    </row>
    <row r="13" spans="1:12">
      <c r="A13" s="8" t="s">
        <v>83</v>
      </c>
      <c r="B13" s="8" t="s">
        <v>80</v>
      </c>
      <c r="C13" s="8" t="s">
        <v>28</v>
      </c>
      <c r="D13" s="6">
        <v>44368</v>
      </c>
      <c r="E13" s="4" t="str">
        <f>YEAR(AtlasReport_1_Table_1[[#This Row],[Date]]) &amp; TEXT(WEEKNUM(AtlasReport_1_Table_1[[#This Row],[Date]]),"00")</f>
        <v>202126</v>
      </c>
      <c r="F13" s="4">
        <v>0</v>
      </c>
      <c r="G13" s="4">
        <v>100</v>
      </c>
      <c r="H13" s="8" t="s">
        <v>31</v>
      </c>
    </row>
    <row r="14" spans="1:12">
      <c r="A14" s="8" t="s">
        <v>84</v>
      </c>
      <c r="B14" s="8" t="s">
        <v>85</v>
      </c>
      <c r="C14" s="8" t="s">
        <v>29</v>
      </c>
      <c r="D14" s="6">
        <v>44245</v>
      </c>
      <c r="E14" s="4" t="str">
        <f>YEAR(AtlasReport_1_Table_1[[#This Row],[Date]]) &amp; TEXT(WEEKNUM(AtlasReport_1_Table_1[[#This Row],[Date]]),"00")</f>
        <v>202108</v>
      </c>
      <c r="F14" s="4">
        <v>0</v>
      </c>
      <c r="G14" s="4">
        <v>3750</v>
      </c>
      <c r="H14" s="8" t="s">
        <v>31</v>
      </c>
    </row>
    <row r="15" spans="1:12">
      <c r="A15" s="8" t="s">
        <v>86</v>
      </c>
      <c r="B15" s="8" t="s">
        <v>87</v>
      </c>
      <c r="C15" s="8" t="s">
        <v>29</v>
      </c>
      <c r="D15" s="6">
        <v>44368</v>
      </c>
      <c r="E15" s="4" t="str">
        <f>YEAR(AtlasReport_1_Table_1[[#This Row],[Date]]) &amp; TEXT(WEEKNUM(AtlasReport_1_Table_1[[#This Row],[Date]]),"00")</f>
        <v>202126</v>
      </c>
      <c r="F15" s="4">
        <v>0</v>
      </c>
      <c r="G15" s="4">
        <v>3900</v>
      </c>
      <c r="H15" s="8" t="s">
        <v>31</v>
      </c>
    </row>
    <row r="16" spans="1:12">
      <c r="A16" s="8" t="s">
        <v>88</v>
      </c>
      <c r="B16" s="8" t="s">
        <v>87</v>
      </c>
      <c r="C16" s="8" t="s">
        <v>29</v>
      </c>
      <c r="D16" s="6">
        <v>44368</v>
      </c>
      <c r="E16" s="4" t="str">
        <f>YEAR(AtlasReport_1_Table_1[[#This Row],[Date]]) &amp; TEXT(WEEKNUM(AtlasReport_1_Table_1[[#This Row],[Date]]),"00")</f>
        <v>202126</v>
      </c>
      <c r="F16" s="4">
        <v>0</v>
      </c>
      <c r="G16" s="4">
        <v>3875</v>
      </c>
      <c r="H16" s="8" t="s">
        <v>31</v>
      </c>
    </row>
    <row r="17" spans="1:8">
      <c r="A17" s="3" t="s">
        <v>26</v>
      </c>
      <c r="B17" s="7"/>
      <c r="C17" s="7"/>
      <c r="D17" s="5"/>
      <c r="E17" s="3"/>
      <c r="F17" s="3">
        <f>SUBTOTAL(109,AtlasReport_1_Table_1[Error quantity])</f>
        <v>0</v>
      </c>
      <c r="G17" s="3">
        <f>SUBTOTAL(109,AtlasReport_1_Table_1[Good quantity])</f>
        <v>38335</v>
      </c>
      <c r="H17" s="3"/>
    </row>
    <row r="18" spans="1:8">
      <c r="A18" s="3"/>
      <c r="B18" s="3"/>
      <c r="C18" s="3"/>
      <c r="D18" s="5"/>
      <c r="E18" s="3"/>
      <c r="F18" s="3"/>
      <c r="G18" s="3"/>
      <c r="H18" s="3"/>
    </row>
    <row r="19" spans="1:8">
      <c r="A19" s="3"/>
      <c r="B19" s="3"/>
      <c r="C19" s="3"/>
      <c r="D19" s="5"/>
      <c r="E19" s="3"/>
      <c r="F19" s="3"/>
      <c r="G19" s="3"/>
      <c r="H19" s="3"/>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
  <sheetViews>
    <sheetView workbookViewId="0">
      <selection activeCell="J27" sqref="J27"/>
    </sheetView>
  </sheetViews>
  <sheetFormatPr defaultRowHeight="15"/>
  <sheetData>
    <row r="1" spans="1:2">
      <c r="A1" t="s">
        <v>0</v>
      </c>
    </row>
    <row r="2" spans="1:2">
      <c r="A2" t="s">
        <v>1</v>
      </c>
    </row>
    <row r="3" spans="1:2">
      <c r="A3" t="s">
        <v>2</v>
      </c>
      <c r="B3" t="s">
        <v>3</v>
      </c>
    </row>
    <row r="4" spans="1:2">
      <c r="A4" t="s">
        <v>2</v>
      </c>
      <c r="B4" t="s">
        <v>4</v>
      </c>
    </row>
    <row r="5" spans="1:2">
      <c r="A5" t="s">
        <v>2</v>
      </c>
      <c r="B5" t="s">
        <v>5</v>
      </c>
    </row>
    <row r="6" spans="1:2">
      <c r="A6" t="s">
        <v>2</v>
      </c>
      <c r="B6" t="s">
        <v>6</v>
      </c>
    </row>
    <row r="7" spans="1:2">
      <c r="A7" t="s">
        <v>2</v>
      </c>
      <c r="B7" t="s">
        <v>7</v>
      </c>
    </row>
    <row r="8" spans="1:2">
      <c r="A8" t="s">
        <v>2</v>
      </c>
      <c r="B8" t="s">
        <v>8</v>
      </c>
    </row>
    <row r="11" spans="1:2">
      <c r="A11" t="s">
        <v>9</v>
      </c>
    </row>
    <row r="12" spans="1:2">
      <c r="A12" t="s">
        <v>1</v>
      </c>
    </row>
    <row r="13" spans="1:2">
      <c r="A13" t="s">
        <v>2</v>
      </c>
      <c r="B13" t="s">
        <v>3</v>
      </c>
    </row>
    <row r="14" spans="1:2">
      <c r="A14" t="s">
        <v>2</v>
      </c>
      <c r="B14" t="s">
        <v>10</v>
      </c>
    </row>
    <row r="15" spans="1:2">
      <c r="A15" t="s">
        <v>2</v>
      </c>
      <c r="B15" t="s">
        <v>5</v>
      </c>
    </row>
    <row r="16" spans="1:2">
      <c r="A16" t="s">
        <v>2</v>
      </c>
      <c r="B16" t="s">
        <v>11</v>
      </c>
    </row>
    <row r="17" spans="1:7">
      <c r="A17" t="s">
        <v>2</v>
      </c>
      <c r="B17" t="s">
        <v>12</v>
      </c>
    </row>
    <row r="18" spans="1:7">
      <c r="A18" t="s">
        <v>2</v>
      </c>
      <c r="B18" t="s">
        <v>13</v>
      </c>
    </row>
    <row r="23" spans="1:7">
      <c r="C23" t="s">
        <v>33</v>
      </c>
      <c r="E23" t="s">
        <v>34</v>
      </c>
      <c r="G23" t="s">
        <v>43</v>
      </c>
    </row>
    <row r="24" spans="1:7">
      <c r="C24" s="9" t="s">
        <v>42</v>
      </c>
      <c r="E24" s="9" t="s">
        <v>35</v>
      </c>
      <c r="G24" t="s">
        <v>44</v>
      </c>
    </row>
    <row r="25" spans="1:7">
      <c r="C25" s="9" t="s">
        <v>46</v>
      </c>
      <c r="E25" s="9" t="s">
        <v>36</v>
      </c>
      <c r="G25" t="s">
        <v>45</v>
      </c>
    </row>
    <row r="26" spans="1:7">
      <c r="C26" s="9" t="s">
        <v>47</v>
      </c>
      <c r="E26" s="9" t="s">
        <v>37</v>
      </c>
    </row>
    <row r="27" spans="1:7">
      <c r="E27" s="9" t="s">
        <v>38</v>
      </c>
    </row>
    <row r="28" spans="1:7">
      <c r="E28" s="9" t="s">
        <v>39</v>
      </c>
    </row>
    <row r="29" spans="1:7">
      <c r="E29" s="9" t="s">
        <v>40</v>
      </c>
    </row>
    <row r="30" spans="1:7">
      <c r="E30" s="9" t="s">
        <v>41</v>
      </c>
    </row>
  </sheetData>
  <phoneticPr fontId="3"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tlas>
  <Query type="ReportList" id="17ae37a3-1867-4350-9faf-959387dc3685">
    AAEAAAD/////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v///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wYdAAAADVByb2RUYWJsZUpvdXIGHgAAAAdKb3VybmFsCQgAAAAJCAAAAAkIAAAABeD///8wR2xvYmVTb2Z0d2FyZS5BdGxhczQwLkF0bGFzQ29tbW9uLkRhdGFTb3VyY2VUeXBlAQAAAAd2YWx1ZV9fAAgCAAAAAAAAAAkhAAAACSIAAAAE3f///wtTeXN0ZW0uR3VpZAsAAAACX2ECX2ICX2MCX2QCX2UCX2YCX2cCX2gCX2kCX2oCX2sAAAAAAAAAAAAAAAgHBwICAgICAgIC5SUcwzVUf0KHHf2+64yAHgkIAAAACQgAAAAJJQAAAAYmAAAAE1RhYmxlLlByb2RUYWJsZUpvdXIKCgoKCgEAAAAF2f///zRHbG9iZVNvZnR3YXJlLkF0bGFzNDAuQXRsYXNDb21tb24uRGF0YVNvdXJjZUpvaW5Nb2RlAQAAAAd2YWx1ZV9fAAgCAAAAAAAAAAXY////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1P///wYwAAAAKlRhYmxlLlByb2RUYWJsZUpvdXIuUHJvZElkflRhYmxlLlByb2RUYWJsZQkxAAAAAc7////U////BjMAAAAyVGFibGUuUHJvZFRhYmxlSm91ci5JdGVtSWR+VGFibGUuSW52ZW50VGFibGVNb2R1bGUJNAAAAAcUAAAAAAEAAAAIAAAABC1HbG9iZVNvZnR3YXJlLkF0bGFzNDAuQXRsYXNDb21tb24uVHlwZS5Db2x1bW4CAAAACTUAAAAJNgAAAAk3AAAACTgAAAAJOQAAAAk6AAAACTsAAAAJPAAAABEVAAAABAAAAAY9AAAADUF0bGFzUmVwb3J0XzENAwcXAAAAAAEAAAADAAAAA+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C////BkEAAAAPVGFibGUuUHJvZFRhYmxlCTAAAAABvf///8L///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R2xvYmVTb2Z0d2FyZS5BdGxhczQwLkF0bGFzQ29tbW9uLlR5cGUuQXRsYXNRdWVyeUF0dHJpYnV0ZU5hbWUCAAAABbn///8+R2xvYmVTb2Z0d2FyZS5BdGxhczQwLkF0bGFzQ29tbW9uLlR5cGUuQXRsYXNRdWVyeUF0dHJpYnV0ZU5hbWUBAAAAB3ZhbHVlX18ACAIAAAACAAAABkgAAAAkMTdhZTM3YTMtMTg2Ny00MzUwLTlmYWYtOTU5Mzg3ZGMzNjg1Abf///+6////Abb///+5////AAAAAAZLAAAABHRydWUBtP///7r///8Bs////7n///8LAAAABk4AAAAHSm91cm5hbAGx////uv///wGw////uf///xsAAAAGUQAAAARUcnVlAa7///+6////Aa3///+5////BgAAAAZUAAAABUZhbHNlAav///+6////Aar///+5////HAAAAAlRAAAAAaj///+6////Aaf///+5////HQAAAAlUAAAAAaX///+6////AaT///+5////KgAAAAlRAAAAAaL///+6////AaH///+5////AQAAAAZgAAAAAzM3MgGf////uv///wGe////uf///ycAAAAGYwAAAAs9RGF0YUFyZWFJZAGc////uv///wGb////uf///xkAAAAGZgAAAA9DZWxsc1ZlcnRpY2FsbHkBmf///7r///8BmP///7n///8JAAAACgGX////uv///wGW////uf///ygAAAAGawAAAAE4AZT///+6////AZP///+5////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5H///8GcgAAAAlQcm9kVGFibGUBAAAAAY3///+R////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BnwAAAAJUHJvZFRhYmxlBn0AAAARUHJvZHVjdGlvbiBvcmRlcnMJCAAAAAkIAAAACQgAAAABgf///+D///8AAAAACYAAAAAJgQAAAAF+////3f///zTDZo3f3JtAvK3xnoj6Ee0JCAAAAAkIAAAACYQAAAAJMAAAAAaGAAAADVByb2RUYWJsZUpvdXIGhwAAABNUYWJsZS5Qcm9kVGFibGVKb3VyBogAAAAaVGFibGUuUHJvZFRhYmxlSm91ci5Qcm9kSWQGiQAAAAZQcm9kSWQGigAAAAZQcm9kSWQBAAAAAXX////Z////AAAAAAF0////2P///wAAAAAACY0AAAABNAAAAA4AAAD/////Bo4AAAARSW52ZW50VGFibGVNb2R1bGUGjwAAABtJbnZlbnRvcnkgbW9kdWxlIHBhcmFtZXRlcnMJCAAAAAkIAAAACQgAAAABb////+D///8AAAAACZIAAAAJkwAAAAFs////3f///w2I50ogIOxMgZjz7MTRca4JCAAAAAkIAAAACZYAAAAJMwAAAAaYAAAADVByb2RUYWJsZUpvdXIGmQAAABNUYWJsZS5Qcm9kVGFibGVKb3VyBpoAAAAaVGFibGUuUHJvZFRhYmxlSm91ci5JdGVtSWQGmwAAAAZJdGVtSWQGnAAAAAZJdGVtSWQBAAAAAWP////Z////AAAAAAFi////2P///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y1HbG9iZVNvZnR3YXJlLkF0bGFzNDAuQXRsYXNDb21tb24uQWdncmVnYXRpb24BAAAAB3ZhbHVlX18ACAIAAAD/////AAAAAAVX////LEdsb2JlU29mdHdhcmUuQXRsYXM0MC5BdGxhc0NvbW1vbi5Db2x1bW5UeXBlAQAAAAd2YWx1ZV9fAAgCAAAAAAAAAAVW////K0dsb2JlU29mdHdhcmUuQXRsYXM0MC5BdGxhc0NvbW1vbi5Tb3J0T3JkZXIBAAAAB3ZhbHVlX18ACAIAAAACAAAAAAAAAAAFVf///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1j/////////AQAAAAFJ////V////wAAAAABSP///1b///8CAAAAAAAAAAABR////1X///8AAAAACgEAAAAAAAAAAAEAAAAABroAAAAkNmI3OTdkOGYtYjJjOC00ZjAwLThmMTgtMzVkMWZhNmZmNzE5BrsAAAAaVGFibGUuUHJvZFRhYmxlSm91ci5JdGVtSWQKCgoKATcAAAA1AAAACbwAAAAJvQAAAAm+AAAABr8AAAAKUHJvZFBvb2xJZAbAAAAABFBvb2wGwQAAAAZTdHJpbmcJCAAAAAbDAAAAJGJjYWUzMWI4LTQ4ZjAtNDM4Yi04OTA1LTEzZGM4M2IzOWMxOQE8////WP////////8CAAAAATv///9X////AAAAAAE6////Vv///wIAAAAAAAAAAAE5////Vf///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9Y/////////wMAAAABLf///1f///8AAAAAASz///9W////AgAAAAAAAAAAASv///9V////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WP////////8EAAAAASD///9X////AgAAAAEf////Vv///wIAAAAAAAAAAAEe////Vf///wAAAAAKAQAAAAAAAAAABAAAAAAG4wAAACRjZTI1OTQxZC0wODQ3LTQwYTQtODdlMy1mZGE0YjQwZjhjMTcJCAAAAAoKCgoBOgAAADUAAAAJ5QAAAAnmAAAACecAAAAG6AAAAAhRdHlFcnJvcgbpAAAADkVycm9yIHF1YW50aXR5BuoAAAAEUmVhbAkIAAAABuwAAAAkYmM3NjZmY2QtYjNhMi00MTg4LTk1MWUtODU3YWE1NGM4YmYwARP///9Y////AQAAAAUAAAABEv///1f///8AAAAAARH///9W////AgAAAAAAAAAAARD///9V////AAAAAAoBAAAAAAAAAAAFAAAAAAbxAAAAJGQ3ODI2NTY1LWIzMmMtNDA5OS1iZGMzLWNhYTQ4MWI4NjFhMQbyAAAAHFRhYmxlLlByb2RUYWJsZUpvdXIuUXR5RXJyb3IKCgoKATsAAAA1AAAACfMAAAAJ9AAAAAn1AAAABvYAAAAHUXR5R29vZAb3AAAADUdvb2QgcXVhbnRpdHkG+AAAAARSZWFsCQgAAAAG+gAAACRjYWFkMTgyZS04ZTBkLTQ5YzgtYjhiMy02MjkwNzk4YzdhODMBBf///1j///8BAAAABgAAAAEE////V////wAAAAABA////1b///8CAAAAAAAAAAABAv///1X///8AAAAACgEAAAAAAAAAAAYAAAAABv8AAAAkNDc4YTc0ZGYtZjY1OC00MjUxLThjMzItMmU1Y2MwZjkzYWY4BgABAAAbVGFibGUuUHJvZFRhYmxlSm91ci5RdHlHb29kCgoKCgE8AAAANQAAAAkBAQAACQIBAAAJAwEAAAYEAQAABlVuaXRJZAYFAQAABFVuaXQGBgEAAAZTdHJpbmcJCAAAAAYIAQAAJDhhYmRhOWU0LTFhY2ItNDFiMi04ODc1LWU4YjJlNjE2ZWZlMgH3/v//WP////////8HAAAAAfb+//9X////AAAAAAH1/v//Vv///wIAAAAAAAAAAAH0/v//Vf///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v//8f7//wYTAQAAGlRhYmxlLlByb2RUYWJsZUpvdXIuSXRlbUlkCRQBAAAB6/7///H+//8GFgEAAB1UYWJsZS5Qcm9kVGFibGVKb3VyLlRyYW5zRGF0ZQkXAQAAAej+///x/v//BhkBAAAcVGFibGUuUHJvZFRhYmxlSm91ci5RdHlFcnJvcgkaAQAAAeX+///x/v//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i/v//BiIBAAAfVGFibGUuUHJvZFRhYmxlSm91ci5Kb3VybmFsVHlwZQkjAQAAAdz+///i/v//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v//1P///wkwAAAACTEAAAAB1v7//9T///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NAQ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TsBAAAHAAAACTwBAAABrgAAAKAAAAAJPQEAAAEAAAABAAAAAa8AAAChAAAABgEAAAk5AQAABwAAAAk/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k7AQAABwAAAAlBAQAAAbwAAACgAAAACUIBAAABAAAAAQAAAAG9AAAAoQAAAPEAAAAJQwEAAAcAAAAJRAEAAA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LQEAAAcAAAAJRgEAAAHKAAAAoAAAAAlHAQAAAQAAAAEAAAABywAAAKEAAAAGAQ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TsBAAAHAAAACUsBAAAB2AAAAKAAAAAJTAEAAAAAAAAAAAAAAdkAAAChAAAA6Q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lPAQAABwAAAAlQAQAAAeUAAACgAAAACVEBAAABAAAAAQAAAAHmAAAAoQAAAAYB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MBAAAJOwEAAAcAAAAJVQEAAAHzAAAAoAAAAAlWAQAAAQAAAAEAAAAB9AAAAKEAAAAGAQ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TsBAAAHAAAACVoBAAABAQEAAKAAAAAJWwEAAAEAAAABAAAAAQIBAAChAAAA6g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9Y/////////wAGYQEAAAZTdHJpbmcGYgEAAApQcm9kdWN0aW9uCWMBAAABnP7//1b///8CAAAABZv+//85R2xvYmVTb2Z0d2FyZS5BdGxhczQwLkF0bGFzQ29tbW9uLk51bWJlclNlcXVlbmNlQ29uZGl0aW9uAQAAAAd2YWx1ZV9fAAgCAAAAAQAAAAAABmYBAAATVGFibGUuUHJvZFRhYmxlSm91cgmjAAAACQgAAAAK/////wlmAQAACgmjAAAACgoKCQgAAAAJbAEAAAkIAAAAARQBAAARAQAAAZL+//9Y/////////wAGbwEAAAZTdHJpbmcGcAEAAAtJdGVtIG51bWJlcgljAQAAAY7+//9W////AgAAAAGN/v//m/7//wEAAAAAAAlmAQAACbEAAAAJCAAAAAr/////CWYBAAAKCbEAAAAKCgoJCAAAAAl6AQAACQgAAAABFwEAABEBAAABhP7//1j/////////AAZ9AQAABERhdGUGfgEAAAREYXRlCWMBAAABgP7//1b///8CAAAAAX/+//+b/v//AQAAAAAACWYBAAAJzQAAAAkIAAAACv////8JZgEAAAoJzQAAAAoKCgkIAAAACYgBAAAJCAAAAAEaAQAAEQEAAAF2/v//WP////////8ABosBAAAEUmVhbAaMAQAADkVycm9yIHF1YW50aXR5CWMBAAABcv7//1b///8CAAAAAXH+//+b/v//AQAAAAAACWYBAAAJ6AAAAAkIAAAACv////8JZgEAAAoJ6AAAAAoKCgkIAAAACZYBAAAJCAAAAAEdAQAAEQEAAAFo/v//WP////////8ABpkBAAAEUmVhbAaaAQAADUdvb2QgcXVhbnRpdHkJYwEAAAFk/v//Vv///wIAAAABY/7//5v+//8BAAAAAAAJZgEAAAn2AAAACQgAAAAK/////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A0xBKv////8JpgEAAAoJpwEAAAoKCgkIAAAACa0BAAAJCAAAAAEjAQAAIAEAAAmmAQAABrABAAALSm91cm5hbFR5cGUJCAAAAAayAQAAB1JlY2VpcHT/////CaYBAAAKCbABAAAKCgoJCAAAAAm2AQAACQgAAAABJgEAACABAAAJpgEAAAa5AQAACVRyYW5zRGF0ZQkIAAAABrsBAAAYMDEvMDEvMjAyMSAuLiAwNi8zMC8yMDIx/////wmmAQAACgm5AQAACgoKCQgAAAAJvwEAAAkIAAAAAS0BAAASAAAABy4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x/v//BsIBAAA1VGFibGUuUHJvZFRhYmxlSm91ci5Qcm9kSWR+VGFibGUuUHJvZFRhYmxlLlByb2RQb29sSWQJwwEAAAExAQAAewAAAAEyAQAAEgAAAAcz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8/v//8f7//wbFAQAAOVRhYmxlLlByb2RUYWJsZUpvdXIuSXRlbUlkflRhYmxlLkludmVudFRhYmxlTW9kdWxlLlVuaXRJZAnGAQAABzUB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5/v//4v7//wbIAQAAPVRhYmxlLlByb2RUYWJsZUpvdXIuSXRlbUlkflRhYmxlLkludmVudFRhYmxlTW9kdWxlLk1vZHVsZVR5cGUJyQEAAAE2/v//4v7//wbLAQAAOVRhYmxlLlByb2RUYWJsZUpvdXIuSXRlbUlkflRhYmxlLkludmVudFRhYmxlTW9kdWxlLlVuaXRJZAnMAQAAATcBAAB7AAAABzgBAAAAAQAAAAQAAAAEN0dsb2JlU29mdHdhcmUuQXRsYXM0MC5BdGxhc0NvbW1vbi5UeXBlLkZpZWxkT3V0cHV0RmllbGQCAAAACREBAAANAwQ5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6AQAAAAEAAAAI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Mv7//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x/v//Mkdsb2JlU29mdHdhcmUuQXRsYXM0MC5BdGxhc0NvbW1vbi5Db2x1bW5BdHRyaWJ1dGVzAQAAAAd2YWx1ZV9fAAgCAAAABgAAAAbQAQAABVRvdGFsAS/+//8y/v//AS7+//8x/v//EAAAAAbTAQAABE5vbmUBLP7//zL+//8BK/7//zH+//8JAAAACQgAAAABKf7//zL+//8BKP7//zH+//8LAAAABtkBAAABMAEm/v//Mv7//wEl/v//Mf7//wQAAAAG3AEAAAdHZW5lcmFsASP+//8y/v//ASL+//8x/v//AgAAAAbfAQAAATEBIP7//zL+//8BH/7//zH+//8AAAAABuIBAAAFMTIuNDMBHf7//zL+//8BHP7//zH+//8kAAAACaQAAAABOwEAABIAAAA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a/v//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cBAAAIRm9udEJvbGQG6AEAAAVGYWxzZQEX/v//Gv7//wbqAQAACkZvbnRJdGFsaWMJ6AEAAAEU/v//Gv7//wbtAQAADUZvbnRVbmRlcmxpbmUG7gEAAAUtNDE0MgER/v//Gv7//wbwAQAACEZvbnROYW1lBvEBAAAHQ2FsaWJyaQEO/v//Gv7//wbzAQAACUZvbnRDb2xvcgb0AQAAATABC/7//xr+//8G9gEAAAhGb250U2l6ZQb3AQAAAjExAQj+//8a/v//BvkBAAAJRm9udFN0eWxlBvoBAAAHUmVndWxhcgc9AQAAAAEAAAAEAAAABDdHbG9iZVNvZnR3YXJlLkF0bGFzNDAuQXRsYXNDb21tb24uVHlwZS5GaWVsZE91dHB1dEZpZWxkAgAAAAkUAQAADQM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8y/v//AQP+//8x/v//EAAAAAnTAQAAAQH+//8y/v//AQD+//8x/v//CQAAAAkIAAAAAf79//8y/v//Af39//8x/v//CwAAAAYEAgAAATEB+/3//zL+//8B+v3//zH+//8EAAAABgcCAAAHR2VuZXJhbAH4/f//Mv7//wH3/f//Mf7//wIAAAAGCgIAAAExAfX9//8y/v//AfT9//8x/v//AAAAAAYNAgAABTI0Ljg2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v3//xr+//8J5wEAAAnoAQAAAe/9//8a/v//CeoBAAAJ6AEAAAHs/f//Gv7//wntAQAABhYCAAAFLTQxNDIB6f3//xr+//8J8AEAAAYZAgAAB0NhbGlicmkB5v3//xr+//8J8wEAAAYcAgAAATAB4/3//xr+//8J9gEAAAYfAgAAAjExAeD9//8a/v//CfkBAAAGIgIAAAdSZWd1bGFyB0IBAAAAAQAAAAQAAAAEN0dsb2JlU29mdHdhcmUuQXRsYXM0MC5BdGxhc0NvbW1vbi5UeXBlLkZpZWxkT3V0cHV0RmllbGQCAAAACcMBAAANAwFDAQAAOQEAAAd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P3//zL+//8B2/3//zH+//8JAAAACQgAAAAB2f3//zL+//8B2P3//zH+//8LAAAABikCAAABMgHW/f//Mv7//wHV/f//Mf7//wQAAAAGLAIAAAdHZW5lcmFsAdP9//8y/v//AdL9//8x/v//AgAAAAYvAgAAATEB0P3//zL+//8Bz/3//zH+//8AAAAABjICAAAENi41NwdG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39//8a/v//BjQCAAAIRm9udEJvbGQJ6AEAAAHK/f//Gv7//wY3AgAACkZvbnRJdGFsaWMJ6AEAAAHH/f//Gv7//wY6AgAADUZvbnRVbmRlcmxpbmUGOwIAAAUtNDE0MgHE/f//Gv7//wY9AgAACEZvbnROYW1lBj4CAAAHQ2FsaWJyaQHB/f//Gv7//wZAAgAACUZvbnRDb2xvcgZBAgAAATABvv3//xr+//8GQwIAAAhGb250U2l6ZQZEAgAAAjExAbv9//8a/v//BkYCAAAJRm9udFN0eWxlBkcCAAAHUmVndWxhcgdHAQAAAAEAAAAEAAAABDdHbG9iZVNvZnR3YXJlLkF0bGFzNDAuQXRsYXNDb21tb24uVHlwZS5GaWVsZE91dHB1dEZpZWxkAgAAAAkXAQAADQMHS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9//8y/v//Abb9//8x/v//EAAAAAnTAQAAAbT9//8y/v//AbP9//8x/v//CQAAAAkIAAAAAbH9//8y/v//AbD9//8x/v//CwAAAAZRAgAAATMBrv3//zL+//8Brf3//zH+//8EAAAABlQCAAAIbS9kL3l5eXkBq/3//zL+//8Bqv3//zH+//8CAAAABlcCAAABMQGo/f//Mv7//wGn/f//Mf7//wAAAAAGWgIAAAIxMAdL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X9//8a/v//CecBAAAJ6AEAAAGi/f//Gv7//wnqAQAACegBAAABn/3//xr+//8J7QEAAAZjAgAABS00MTQyAZz9//8a/v//CfABAAAGZgIAAAdDYWxpYnJpAZn9//8a/v//CfMBAAAGaQIAAAEwAZb9//8a/v//CfYBAAAGbAIAAAIxMQGT/f//Gv7//wn5AQAABm8CAAAHUmVndWxhcgdMAQAAAAEAAAAAAAAABDdHbG9iZVNvZnR3YXJlLkF0bGFzNDAuQXRsYXNDb21tb24uVHlwZS5GaWVsZE91dHB1dEZpZWxkAgAAAAFNAQAAOQEAAAd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P3//zL+//8Bj/3//zH+//8kAAAACdwAAAABjf3//zL+//8BjP3//zH+//8LAAAABnUCAAABNAGK/f//Mv7//wGJ/f//Mf7//wQAAAAGeAIAAAdHZW5lcmFsAYf9//8y/v//AYb9//8x/v//AgAAAAZ7AgAAATEBhP3//zL+//8Bg/3//zH+//8AAAAABn4CAAAFMTIuMTQBgf3//zL+//8BgP3//zH+//8DAAAABoECAAAsPVlFQVIoW0BEYXRlXSkgJiBURVhUKFdFRUtOVU0oW0BEYXRlXSksIjAwIikBTwEAABIAAAAHU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Gv7//waDAgAACEZvbnRCb2xkCegBAAABe/3//xr+//8GhgIAAApGb250SXRhbGljCegBAAABeP3//xr+//8GiQIAAA1Gb250VW5kZXJsaW5lBooCAAAFLTQxNDIBdf3//xr+//8GjAIAAAhGb250TmFtZQaNAgAAB0NhbGlicmkBcv3//xr+//8GjwIAAAlGb250Q29sb3IGkAIAAAEwAW/9//8a/v//BpICAAAIRm9udFNpemUGkwIAAAIxMQFs/f//Gv7//waVAgAACUZvbnRTdHlsZQaWAgAAB1JlZ3VsYXIHUQEAAAABAAAABAAAAAQ3R2xvYmVTb2Z0d2FyZS5BdGxhczQwLkF0bGFzQ29tbW9uLlR5cGUuRmllbGRPdXRwdXRGaWVsZAIAAAAJGgEAAA0DB1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f//Mv7//wFn/f//Mf7//xAAAAAJ0wEAAAFl/f//Mv7//wFk/f//Mf7//wkAAAAJCAAAAAFi/f//Mv7//wFh/f//Mf7//wsAAAAGoAIAAAE1AV/9//8y/v//AV79//8x/v//BAAAAAajAgAAB0dlbmVyYWwBXP3//zL+//8BW/3//zH+//8CAAAABqYCAAABMQFZ/f//Mv7//wFY/f//Mf7//wAAAAAGqQIAAAUxNC44NgdV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9//8a/v//CecBAAAJ6AEAAAFT/f//Gv7//wnqAQAACegBAAABUP3//xr+//8J7QEAAAayAgAABS00MTQyAU39//8a/v//CfABAAAGtQIAAAdDYWxpYnJpAUr9//8a/v//CfMBAAAGuAIAAAEwAUf9//8a/v//CfYBAAAGuwIAAAIxMQFE/f//Gv7//wn5AQAABr4CAAAHUmVndWxhcgdWAQAAAAEAAAAEAAAABDdHbG9iZVNvZnR3YXJlLkF0bGFzNDAuQXRsYXNDb21tb24uVHlwZS5GaWVsZE91dHB1dEZpZWxkAgAAAAkdAQAADQMHW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9//8y/v//AT/9//8x/v//EAAAAAnTAQAAAT39//8y/v//ATz9//8x/v//CQAAAAkIAAAAATr9//8y/v//ATn9//8x/v//CwAAAAbIAgAAATYBN/3//zL+//8BNv3//zH+//8EAAAABssCAAAHR2VuZXJhbAE0/f//Mv7//wEz/f//Mf7//wIAAAAGzgIAAAExATH9//8y/v//ATD9//8x/v//AAAAAAbRAgAABTE1LjQzB1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3//xr+//8J5wEAAAnoAQAAASv9//8a/v//CeoBAAAJ6AEAAAEo/f//Gv7//wntAQAABtoCAAAFLTQxNDIBJf3//xr+//8J8AEAAAbdAgAAB0NhbGlicmkBIv3//xr+//8J8wEAAAbgAgAAATABH/3//xr+//8J9gEAAAbjAgAAAjExARz9//8a/v//CfkBAAAG5gIAAAdSZWd1bGFyB1sBAAAAAQAAAAQAAAAEN0dsb2JlU29mdHdhcmUuQXRsYXM0MC5BdGxhc0NvbW1vbi5UeXBlLkZpZWxkT3V0cHV0RmllbGQCAAAACcYBAAANAwFcAQAAOQEAAAd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3//zL+//8BF/3//zH+//8JAAAACQgAAAABFf3//zL+//8BFP3//zH+//8LAAAABu0CAAABNwES/f//Mv7//wER/f//Mf7//wQAAAAG8AIAAAdHZW5lcmFsAQ/9//8y/v//AQ79//8x/v//AgAAAAbzAgAAATEBDP3//zL+//8BC/3//zH+//8AAAAABvYCAAAENi40Mwdf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8a/v//BvgCAAAIRm9udEJvbGQJ6AEAAAEG/f//Gv7//wb7AgAACkZvbnRJdGFsaWMJ6AEAAAED/f//Gv7//wb+AgAADUZvbnRVbmRlcmxpbmUG/wIAAAUtNDE0MgEA/f//Gv7//wYBAwAACEZvbnROYW1lBgIDAAAHQ2FsaWJyaQH9/P//Gv7//wYEAwAACUZvbnRDb2xvcgYFAwAAATAB+vz//xr+//8GBwMAAAhGb250U2l6ZQYIAwAAAjExAff8//8a/v//BgoDAAAJRm9udFN0eWxlBgsDAAAHUmVndWxhcgFjAQAADgAAAAcBAAAGDAMAAA1Qcm9kVGFibGVKb3VyBg0DAAAHSm91cm5hbAkIAAAACQgAAAAJCAAAAAHx/P//4P///wAAAAAJEAMAAAkRAwAAAe78///d////iVN4p2Fd80qyqb8F3U2EtAkIAAAACQgAAAAJFAMAAAlmAQAACgoKCgoBAAAAAer8///Z////AAAAAAHp/P//2P///wAAAAAACRgD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TsBAAADAAAACRoDAAAEe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TsBAAADAAAACRwDAAAEi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TsBAAADAAAACR4D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TsBAAADAAAACSAD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TsBAAADAAAACSID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SQD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SYDAAAEv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SgDAAABwwEAABEBAAAB1/z//1j/////////AAYqAwAABlN0cmluZwYrAwAABFBvb2wJMQAAAAHT/P//Vv///wIAAAAB0vz//5v+//8BAAAAAAAJMAAAAAm/AAAACQgAAAAK/////wkwAAAACgm/AAAABjQDAAAGUHJvZElkBjUDAAANUHJvZFRhYmxlSm91cgoJCAAAAAk3AwAACQgAAAABxgEAABEBAAABx/z//1j/////////AAY6AwAABlN0cmluZwY7AwAABFVuaXQJNAAAAAHD/P//Vv///wIAAAABwvz//5v+//8BAAAAAAAJMwAAAAkEAQAACQgAAAAK/////wkzAAAACgkEAQAABkQDAAAGSXRlbUlkBkUDAAANUHJvZFRhYmxlSm91cgoJCAAAAAlHAwAACQgAAAAByQEAACABAAAJMwAAAAZKAwAACk1vZHVsZVR5cGUJCAAAAAZMAwAABkludmVudP////8JMwAAAAoJSgMAAAZPAwAABkl0ZW1JZAoKCQgAAAAJUQMAAAkIAAAAAcwBAAAgAQAACTMAAAAGVAMAAAZVbml0SWQJCAAAAAZWAwAAAU3/////CTMAAAAKCVQDAAAGWQMAAAZJdGVtSWQKCgkIAAAACVsDAAAJCAAAAAEQAwAAIQAAAAkAAAAJXQMAABEAAAAJXgMAAAERAwAAIgAAAAUAAAAJOwEAAAcAAAAJYAMAAAQU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MAAAAAAAABGAMAACkAAAAAAAAACWIDAAAAAAAABx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z//xr+//8GZAMAAAhIZWxwVGV4dAZlAwAAHklkZW50aWZ5IHRoZSBwcm9kdWN0aW9uIG9yZGVyLgGa/P//Gv7//wZnAwAABUxhYmVsCWIBAAABl/z//xr+//8GagMAAARUeXBlCWEBAAAHH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P//Gv7//wlkAwAABm4DAAAOSWRlbnRpZnkgaXRlbS4Bkfz//xr+//8JZwMAAAlwAQAAAY78//8a/v//CWoDAAAJbwEAAAce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8//8a/v//CWQDAAAGdwMAAAxQb3N0aW5nIGRhdGUBiPz//xr+//8JZwMAAAl+AQAAAYX8//8a/v//CWoDAAAJfQEAAAcg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8//8a/v//CWQDAAAGgAMAADlFcnJvciBxdWFudGl0eSBpbiB0aGUgaW52ZW50b3J5IHVuaXQgcmVwb3J0ZWQgYXMgZmluaXNoZWQBf/z//xr+//8JZwMAAAmMAQAAAXz8//8a/v//CWoDAAAJiwEAAAci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8//8a/v//CWQDAAAGiQMAAFVHb29kIHF1YW50aXR5IChleGNsLiBzY3JhcCkgaW4gdGhlIGludmVudG9yeSB1bml0IHJlcG9ydGVkIGFzIGZpbmlzaGVkL2Nvc3QgYWNjb3VudGVkAXb8//8a/v//CWcDAAAJmgEAAAFz/P//Gv7//wlqAwAACZkB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w/P//Gv7//waRAwAABFR5cGUJbwEAAAFt/P//Gv7//waUAwAABUxhYmVsCXABAAABavz//xr+//8GlwMAAAhSZWZlcnNUbwaYAwAACz1JdGVtTnVtYmVyBy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z//xr+//8JkQMAAAabAwAABEVudW0BZPz//xr+//8JlAMAAAaeAwAABFR5cGUHK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P//Gv7//wmRAwAACX0BAAABXvz//xr+//8JlAMAAAl+AQAAAVv8//8a/v//CZcDAAAGpwMAAAs9RGF0ZVBlcmlvZAQ3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4AAAAJLQEAAAMAAAAJqQMAAARH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gAAAAJMgEAAAMAAAAJqwMAAAR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EgAAAAMAAAAJrQMAAAR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EgAAAAMAAAAJrwMAAAFdAwAAEgAAAAdeAw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Q/P//8f7//waxAwAAGlRhYmxlLlByb2RUYWJsZUpvdXIuUHJvZElkCREBAAABTfz///H+//8GtAMAABpUYWJsZS5Qcm9kVGFibGVKb3VyLkl0ZW1JZAkUAQAAAUr8///x/v//BrcDAAAfVGFibGUuUHJvZFRhYmxlSm91ci5Kb3VybmFsVHlwZQm4AwAAAUf8///x/v//BroDAAAdVGFibGUuUHJvZFRhYmxlSm91ci5UcmFuc0RhdGUJFwEAAAFE/P//8f7//wa9AwAAG1RhYmxlLlByb2RUYWJsZUpvdXIuVm91Y2hlcgm+AwAAAUH8///x/v//BsADAAAiVGFibGUuUHJvZFRhYmxlSm91ci5BbW91bnRQaHlzaWNhbAnBAwAAAT78///x/v//BsMDAAAjVGFibGUuUHJvZFRhYmxlSm91ci5BbW91bnRGaW5hbmNpYWwJxAMAAAE7/P//8f7//wbGAwAAHFRhYmxlLlByb2RUYWJsZUpvdXIuUXR5RXJyb3IJGgEAAAE4/P//8f7//wbJAwAAG1RhYmxlLlByb2RUYWJsZUpvdXIuUXR5R29vZAkdAQAAB2AD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1/P//4v7//wbMAwAAG1RhYmxlLlByb2RUYWJsZUpvdXIuVm91Y2hlcgnNAwAAATL8///i/v//Bs8DAAAdVGFibGUuUHJvZFRhYmxlSm91ci5UcmFuc0RhdGUJ0AMAAAEv/P//4v7//wbSAwAAGlRhYmxlLlByb2RUYWJsZUpvdXIuSXRlbUlkCdMDAAABLPz//+L+//8G1QMAABpUYWJsZS5Qcm9kVGFibGVKb3VyLlByb2RJZAnWAwAAASn8///i/v//BtgDAAAfVGFibGUuUHJvZFRhYmxlSm91ci5Kb3VybmFsVHlwZQnZAwAAAWIDAAB7AAAAB6k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z//xr+//8G2wMAAAVMYWJlbAkrAwAAASP8//8a/v//Bt4DAAAEVHlwZQkqAwAAB6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xr+//8G4QMAAAVMYWJlbAk7AwAAAR38//8a/v//BuQDAAAEVHlwZQk6AwAAB60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xr+//8JkQMAAAboAwAABEVudW0BF/z//xr+//8JlAMAAAbrAwAAC01vZHVsZSB0eXBlB68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z//xr+//8JkQMAAAk6AwAAARH8//8a/v//CZQDAAAJOwMAAAG4AwAAEQEAAAEO/P//WP////////8ABvMDAAAERW51bQb0AwAABFR5cGUJYwEAAAEK/P//Vv///wIAAAABCfz//5v+//8BAAAAAAAJZgEAAAb5AwAAC0pvdXJuYWxUeXBlCQgAAAAK/////wlmAQAACgn5AwAACgoKCQgAAAAJ/gMAAAkIAAAAAb4DAAARAQAAAQD8//9Y/////////wAGAQQAAAZTdHJpbmcGAgQAAA9Db3N0aW5nIHZvdWNoZXIJYwEAAAH8+///Vv///wIAAAAB+/v//5v+//8BAAAAAAAJZgEAAAYHBAAAB1ZvdWNoZXIJCAAAAAr/////CWYBAAAKCQcEAAAKCgoJCAAAAAkMBAAACQgAAAABwQMAABEBAAAB8vv//1j/////////AAYPBAAABFJlYWwGEAQAAA5JSVAvV0lQIGFtb3VudAljAQAAAe77//9W////AgAAAAHt+///m/7//wEAAAAAAAlmAQAABhUEAAAOQW1vdW50UGh5c2ljYWwJCAAAAAr/////CWYBAAAKCRUEAAAKCgoJCAAAAAkaBAAACQgAAAABxAMAABEBAAAB5Pv//1j/////////AAYdBAAABFJlYWwGHgQAABVDb3N0IGFjY291bnRlZCBhbW91bnQJYwEAAAHg+///Vv///wIAAAAB3/v//5v+//8BAAAAAAAJZgEAAAYjBAAAD0Ftb3VudEZpbmFuY2lhbAkIAAAACv////8JZgEAAAoJIwQAAAoKCgkIAAAACSgEAAAJCAAAAAHNAwAAIAEAAAlmAQAABisEAAAHVm91Y2hlcgkIAAAACQgAAAD/////CWYBAAAKCSsEAAAKCgoJCAAAAAkwBAAACQgAAAAB0AMAACABAAAJZgEAAAYzBAAACVRyYW5zRGF0ZQkIAAAACQgAAAD/////CWYBAAAKCTMEAAAKCgoJCAAAAAk4BAAACQgAAAAB0wMAACABAAAJZgEAAAmnAQAACQgAAAAGPQQAAAUqUFJPRP////8JZgEAAAoJpwEAAAoKCgkIAAAACUEEAAAJCAAAAAHWAwAAIAEAAAlmAQAABkQEAAAGUHJvZElkCQgAAAAJCAAAAP////8JZgEAAAoJRAQAAAoKCgkIAAAACUkEAAAJCAAAAAHZAwAAIAEAAAlmAQAACbABAAAJCAAAAAmyAQAA/////wlmAQAABlAEAAANUHJvZFRhYmxlSm91cgmwAQAACgoKCQgAAAAJUwQAAAkIAAAABP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W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YBAAABB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aBAAABC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cBAAABD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eBAAABD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gBAAABEE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AAAAk7AQAAAwAAAAliBAAABE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kBAAABF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7AQAAAwAAAAlmBAAAB1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v//xr+//8JZAMAAAZpBAAADFBvc3RpbmcgdHlwZQGW+///Gv7//wlnAwAACfQDAAABk/v//xr+//8JagMAAAnzAwAAB1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v//xr+//8JZAMAAAZyBAAAK1ZvdWNoZXIgbnVtYmVyIHVzZWQgd2hlbiBwb3N0aW5nIHRvIGxlZGdlci4Bjfv//xr+//8JZwMAAAkCBAAAAYr7//8a/v//CWoDAAAJAQQAAAdaBA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7//8a/v//CWQDAAAGewQAADJVcGRhdGVkIElJUC9XSVAgYW1vdW50IGF0dGFjaGVkIHRvIHRoZSB0cmFuc2FjdGlvbgGE+///Gv7//wlnAwAACRAEAAABgfv//xr+//8JagMAAAkPBAAAB1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xr+//8JZAMAAAaEBAAAJFJlY2FsY3VsYXRlZCBhbW91bnQgcG9zdGVkIHRvIGxlZGdlcgF7+///Gv7//wlnAwAACR4EAAABePv//xr+//8JagMAAAkdBAAAB14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v//xr+//8JagMAAAaNBAAABlN0cmluZwFy+///Gv7//wlnAwAABpAEAAAPQ29zdGluZyB2b3VjaGVyB2A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xr+//8JagMAAAaTBAAABERhdGUBbPv//xr+//8JZwMAAAaWBAAABERhdGUHY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Gv7//wlqAwAABpkEAAAGU3RyaW5nAWb7//8a/v//CWcDAAAGnAQAAAtJdGVtIG51bWJlcgFj+///Gv7//waeBAAACFJlZmVyc1RvCZgDAAAHZ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Gv7//wlqAwAABqIEAAAGU3RyaW5nAV37//8a/v//CWcDAAAGpQQAAApQcm9kdWN0aW9uB2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v//xr+//8JagMAAAaoBAAABEVudW0BV/v//xr+//8JZwMAAAarBAAABFR5cGUL
    <Output>
      <OutputObject name="AtlasReport_1"/>
    </Output>
  </Query>
</Atlas>
</file>

<file path=customXml/item2.xml><?xml version="1.0" encoding="utf-8"?>
<Atlas>
  <Report name="AtlasReport_1">AAEAAAD/////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LUdsb2JlU29mdHdhcmUuQXRsYXM0MC5BdGxhc0NvbW1vbi5BZ2dyZWdhdGlvbgEAAAAHdmFsdWVfXwAIDgAAAP////8AAAAABdf///8sR2xvYmVTb2Z0d2FyZS5BdGxhczQwLkF0bGFzQ29tbW9uLkNvbHVtblR5cGUBAAAAB3ZhbHVlX18ACA4AAAAAAAAABdb///8rR2xvYmVTb2Z0d2FyZS5BdGxhczQwLkF0bGFzQ29tbW9uLlNvcnRPcmRlcgEAAAAHdmFsdWVfXwAIDgAAAAIAAAAAAAAAAAXV////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2P////////8BAAAAAcn////X////AAAAAAHI////1v///wIAAAAAAAAAAAHH////1f///wAAAAAKAQAAAAAAAAAAAQAAAAAGOgAAACQ2Yjc5N2Q4Zi1iMmM4LTRmMDAtOGYxOC0zNWQxZmE2ZmY3MTkGOwAAABpUYWJsZS5Qcm9kVGFibGVKb3VyLkl0ZW1JZAoKCgoBFgAAABQAAAAJPAAAAAk9AAAACT4AAAAGPwAAAApQcm9kUG9vbElkBkAAAAAEUG9vbAZBAAAABlN0cmluZwkmAAAABkMAAAAkYmNhZTMxYjgtNDhmMC00MzhiLTg5MDUtMTNkYzgzYjM5YzE5Abz////Y/////////wIAAAABu////9f///8AAAAAAbr////W////AgAAAAAAAAAAAbn////V////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9j/////////AwAAAAGt////1////wAAAAABrP///9b///8CAAAAAAAAAAABq////9X///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Y/////////wQAAAABoP///9f///8CAAAAAZ/////W////AgAAAAAAAAAAAZ7////V////AAAAAAoBAAAAAAAAAAAEAAAAAAZjAAAAJGNlMjU5NDFkLTA4NDctNDBhNC04N2UzLWZkYTRiNDBmOGMxNwkmAAAACgoKCgEZAAAAFAAAAAllAAAACWYAAAAJZwAAAAZoAAAACFF0eUVycm9yBmkAAAAORXJyb3IgcXVhbnRpdHkGagAAAARSZWFsCSYAAAAGbAAAACRiYzc2NmZjZC1iM2EyLTQxODgtOTUxZS04NTdhYTU0YzhiZjABk////9j///8BAAAABQAAAAGS////1////wAAAAABkf///9b///8CAAAAAAAAAAABkP///9X///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2P///wEAAAAGAAAAAYT////X////AAAAAAGD////1v///wIAAAAAAAAAAAGC////1f///wAAAAAKAQAAAAAAAAAABgAAAAAGfwAAACQ0NzhhNzRkZi1mNjU4LTQyNTEtOGMzMi0yZTVjYzBmOTNhZjgGgAAAABtUYWJsZS5Qcm9kVGFibGVKb3VyLlF0eUdvb2QKCgoKARsAAAAUAAAACYEAAAAJggAAAAmDAAAABoQAAAAGVW5pdElkBoUAAAAEVW5pdAaGAAAABlN0cmluZwkmAAAABogAAAAkOGFiZGE5ZTQtMWFjYi00MWIyLTg4NzUtZThiMmU2MTZlZmUyAXf////Y/////////wcAAAABdv///9f///8AAAAAAXX////W////AgAAAAAAAAAAAXT////V////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NAQ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ZkAAAAHAAAACZoAAAABLgAAACAAAAAJmwAAAAEAAAABAAAAAS8AAAAhAAAABgEAAAmXAAAABwAAAAmdAAAAATAAAAAiAAAAAwEAAAmZAAAABwAAAAmfAAAAATwAAAAgAAAACaAAAAABAAAAAQAAAAE9AAAAIQAAAPEAAAAJoQAAAAcAAAAJogAAAAE+AAAAIgAAAO4AAAAJowAAAAcAAAAJpAAAAAFKAAAAIAAAAAmlAAAAAQAAAAEAAAABSwAAACEAAAAGAQAACZcAAAAHAAAACacAAAABTAAAACIAAAADAQAACZkAAAAHAAAACakAAAABWAAAACAAAAAJqgAAAAAAAAAAAAAAAVkAAAAhAAAA6QAAAAmrAAAABwAAAAmsAAAAAVoAAAAiAAAA4AAAAAmtAAAABwAAAAmuAAAAAWUAAAAgAAAACa8AAAABAAAAAQAAAAFmAAAAIQAAAAYBAAAJlwAAAAcAAAAJsQAAAAFnAAAAIgAAAAMBAAAJmQAAAAcAAAAJswAAAAFzAAAAIAAAAAm0AAAAAQAAAAEAAAABdAAAACEAAAAGAQAACZcAAAAHAAAACbYAAAABdQAAACIAAAADAQAACZkAAAAHAAAACbgAAAABgQAAACAAAAAJuQAAAAEAAAABAAAAAYIAAAAhAAAA6gAAAAm6AAAABwAAAAm7AAAAAYMAAAAiAAAA5w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AAAABsIAAAAGSXRlbUlkBsMAAAADTEEqAZIAAACQAAAAAAm+AAAABsUAAAALSm91cm5hbFR5cGUGxgAAAAdSZWNlaXB0AZMAAACQAAAAAAm+AAAABsgAAAAJVHJhbnNEYXRlBskAAAAYMDEvMDEvMjAyMSAuLiAwNi8zMC8yMDIxAZQAAACQAAAAAAbKAAAAMlRhYmxlLlByb2RUYWJsZUpvdXIuSXRlbUlkflRhYmxlLkludmVudFRhYmxlTW9kdWxlBssAAAAKTW9kdWxlVHlwZQbMAAAABkludmVudAGVAAAAkAAAAAAJygAAAAbOAAAABlVuaXRJZAbPAAAAAU0HlgAAAAABAAAABAAAAAQ3R2xvYmVTb2Z0d2FyZS5BdGxhczQwLkF0bGFzQ29tbW9uLlR5cGUuRmllbGRPdXRwdXRGaWVsZA4AAAAJ0AAAAA0DBJ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gA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v////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S7///8yR2xvYmVTb2Z0d2FyZS5BdGxhczQwLkF0bGFzQ29tbW9uLkNvbHVtbkF0dHJpYnV0ZXMBAAAAB3ZhbHVlX18ACA4AAAAGAAAABtMAAAAFVG90YWwBLP///y////8BK////y7///8QAAAABtYAAAAETm9uZQEp////L////wEo////Lv///wkAAAAJJgAAAAEm////L////wEl////Lv///wsAAAAG3AAAAAEwASP///8v////ASL///8u////BAAAAAbfAAAAB0dlbmVyYWwBIP///y////8BH////y7///8CAAAABuIAAAABMQEd////L////wEc////Lv///wAAAAAG5QAAAAUxMi40MwEa////L////wEZ////Lv///yQAAAAJJAAAAAGZAAAADAAAAAea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f////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6gAAAAhGb250Qm9sZAbrAAAABUZhbHNlART///8X////Bu0AAAAKRm9udEl0YWxpYwnrAAAAARH///8X////BvAAAAANRm9udFVuZGVybGluZQbxAAAABS00MTQyAQ7///8X////BvMAAAAIRm9udE5hbWUG9AAAAAdDYWxpYnJpAQv///8X////BvYAAAAJRm9udENvbG9yBvcAAAABMAEI////F////wb5AAAACEZvbnRTaXplBvoAAAACMTEBBf///xf///8G/AAAAAlGb250U3R5bGUG/QAAAAdSZWd1bGFyB5sAAAAAAQAAAAQAAAAEN0dsb2JlU29mdHdhcmUuQXRsYXM0MC5BdGxhc0NvbW1vbi5UeXBlLkZpZWxkT3V0cHV0RmllbGQOAAAACf4AAAANAwe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y////8BAP///y7///8QAAAACdYAAAAB/v7//y////8B/f7//y7///8JAAAACSYAAAAB+/7//y////8B+v7//y7///8LAAAABgcBAAABMQH4/v//L////wH3/v//Lv///wQAAAAGCgEAAAdHZW5lcmFsAfX+//8v////AfT+//8u////AgAAAAYNAQAAATEB8v7//y////8B8f7//y7///8AAAAABhABAAAFMjQuODYHn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v//F////wnqAAAACesAAAAB7P7//xf///8J7QAAAAnrAAAAAen+//8X////CfAAAAAGGQEAAAUtNDE0MgHm/v//F////wnzAAAABhwBAAAHQ2FsaWJyaQHj/v//F////wn2AAAABh8BAAABMAHg/v//F////wn5AAAABiIBAAACMTEB3f7//xf///8J/AAAAAYlAQAAB1JlZ3VsYXIHoAAAAAABAAAABAAAAAQ3R2xvYmVTb2Z0d2FyZS5BdGxhczQwLkF0bGFzQ29tbW9uLlR5cGUuRmllbGRPdXRwdXRGaWVsZA4AAAAJJgEAAA0DAaEAAACXAAAAB6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Z/v//L////wHY/v//Lv///wkAAAAJJgAAAAHW/v//L////wHV/v//Lv///wsAAAAGLAEAAAEyAdP+//8v////AdL+//8u////BAAAAAYvAQAAB0dlbmVyYWwB0P7//y////8Bz/7//y7///8CAAAABjIBAAABMQHN/v//L////wHM/v//Lv///wAAAAAGNQEAAAQ2LjU3AaMAAAAMAAAAB6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xf///8GNwEAAAhGb250Qm9sZAnrAAAAAcf+//8X////BjoBAAAKRm9udEl0YWxpYwnrAAAAAcT+//8X////Bj0BAAANRm9udFVuZGVybGluZQY+AQAABS00MTQyAcH+//8X////BkABAAAIRm9udE5hbWUGQQEAAAdDYWxpYnJpAb7+//8X////BkMBAAAJRm9udENvbG9yBkQBAAABMAG7/v//F////wZGAQAACEZvbnRTaXplBkcBAAACMTEBuP7//xf///8GSQEAAAlGb250U3R5bGUGSgEAAAdSZWd1bGFyB6UAAAAAAQAAAAQAAAAEN0dsb2JlU29mdHdhcmUuQXRsYXM0MC5BdGxhc0NvbW1vbi5UeXBlLkZpZWxkT3V0cHV0RmllbGQOAAAACUsBAAANAwe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7//y////8Bs/7//y7///8QAAAACdYAAAABsf7//y////8BsP7//y7///8JAAAACSYAAAABrv7//y////8Brf7//y7///8LAAAABlQBAAABMwGr/v//L////wGq/v//Lv///wQAAAAGVwEAAAhtL2QveXl5eQGo/v//L////wGn/v//Lv///wIAAAAGWgEAAAExAaX+//8v////AaT+//8u////AAAAAAZdAQAAAjEwB6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xf///8J6gAAAAnrAAAAAZ/+//8X////Ce0AAAAJ6wAAAAGc/v//F////wnwAAAABmYBAAAFLTQxNDIBmf7//xf///8J8wAAAAZpAQAAB0NhbGlicmkBlv7//xf///8J9gAAAAZsAQAAATABk/7//xf///8J+QAAAAZvAQAAAjExAZD+//8X////CfwAAAAGcgEAAAdSZWd1bGFyB6oAAAAAAQAAAAAAAAAEN0dsb2JlU29mdHdhcmUuQXRsYXM0MC5BdGxhc0NvbW1vbi5UeXBlLkZpZWxkT3V0cHV0RmllbGQOAAAAAasAAACXAAAAB6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v//L////wGM/v//Lv///yQAAAAJXAAAAAGK/v//L////wGJ/v//Lv///wsAAAAGeAEAAAE0AYf+//8v////AYb+//8u////BAAAAAZ7AQAAB0dlbmVyYWwBhP7//y////8Bg/7//y7///8CAAAABn4BAAABMQGB/v//L////wGA/v//Lv///wAAAAAGgQEAAAUxMi4xNAF+/v//L////wF9/v//Lv///wMAAAAGhAEAACw9WUVBUihbQERhdGVdKSAmIFRFWFQoV0VFS05VTShbQERhdGVdKSwiMDAiKQGtAAAADAAAAAeu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X////BoYBAAAIRm9udEJvbGQJ6wAAAAF4/v//F////waJAQAACkZvbnRJdGFsaWMJ6wAAAAF1/v//F////waMAQAADUZvbnRVbmRlcmxpbmUGjQEAAAUtNDE0MgFy/v//F////waPAQAACEZvbnROYW1lBpABAAAHQ2FsaWJyaQFv/v//F////waSAQAACUZvbnRDb2xvcgaTAQAAATABbP7//xf///8GlQEAAAhGb250U2l6ZQaWAQAAAjExAWn+//8X////BpgBAAAJRm9udFN0eWxlBpkBAAAHUmVndWxhcgevAAAAAAEAAAAEAAAABDdHbG9iZVNvZnR3YXJlLkF0bGFzNDAuQXRsYXNDb21tb24uVHlwZS5GaWVsZE91dHB1dEZpZWxkDgAAAAmaAQAADQMHs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8v////AWT+//8u////EAAAAAnWAAAAAWL+//8v////AWH+//8u////CQAAAAkmAAAAAV/+//8v////AV7+//8u////CwAAAAajAQAAATUBXP7//y////8BW/7//y7///8EAAAABqYBAAAHR2VuZXJhbAFZ/v//L////wFY/v//Lv///wIAAAAGqQEAAAExAVb+//8v////AVX+//8u////AAAAAAasAQAABTE0Ljg2B7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7//xf///8J6gAAAAnrAAAAAVD+//8X////Ce0AAAAJ6wAAAAFN/v//F////wnwAAAABrUBAAAFLTQxNDIBSv7//xf///8J8wAAAAa4AQAAB0NhbGlicmkBR/7//xf///8J9gAAAAa7AQAAATABRP7//xf///8J+QAAAAa+AQAAAjExAUH+//8X////CfwAAAAGwQEAAAdSZWd1bGFyB7QAAAAAAQAAAAQAAAAEN0dsb2JlU29mdHdhcmUuQXRsYXM0MC5BdGxhc0NvbW1vbi5UeXBlLkZpZWxkT3V0cHV0RmllbGQOAAAACcIBAAANAwe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f7//y////8BPP7//y7///8QAAAACdYAAAABOv7//y////8BOf7//y7///8JAAAACSYAAAABN/7//y////8BNv7//y7///8LAAAABssBAAABNgE0/v//L////wEz/v//Lv///wQAAAAGzgEAAAdHZW5lcmFsATH+//8v////ATD+//8u////AgAAAAbRAQAAATEBLv7//y////8BLf7//y7///8AAAAABtQBAAAFMTUuNDM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v//F////wnqAAAACesAAAABKP7//xf///8J7QAAAAnrAAAAASX+//8X////CfAAAAAG3QEAAAUtNDE0MgEi/v//F////wnzAAAABuABAAAHQ2FsaWJyaQEf/v//F////wn2AAAABuMBAAABMAEc/v//F////wn5AAAABuYBAAACMTEBGf7//xf///8J/AAAAAbpAQAAB1JlZ3VsYXIHuQAAAAABAAAABAAAAAQ3R2xvYmVTb2Z0d2FyZS5BdGxhczQwLkF0bGFzQ29tbW9uLlR5cGUuRmllbGRPdXRwdXRGaWVsZA4AAAAJ6gEAAA0DAboAAACXAAAAB7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v//L////wEU/v//Lv///wkAAAAJJgAAAAES/v//L////wER/v//Lv///wsAAAAG8AEAAAE3AQ/+//8v////AQ7+//8u////BAAAAAbzAQAAB0dlbmVyYWwBDP7//y////8BC/7//y7///8CAAAABvYBAAABMQEJ/v//L////wEI/v//Lv///wAAAAAG+QEAAAQ2LjQzAbwAAAAMAAAAB70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7//xf///8G+wEAAAhGb250Qm9sZAnrAAAAAQP+//8X////Bv4BAAAKRm9udEl0YWxpYwnrAAAAAQD+//8X////BgECAAANRm9udFVuZGVybGluZQYCAgAABS00MTQyAf39//8X////BgQCAAAIRm9udE5hbWUGBQIAAAdDYWxpYnJpAfr9//8X////BgcCAAAJRm9udENvbG9yBggCAAABMAH3/f//F////wYKAgAACEZvbnRTaXplBgsCAAACMTEB9P3//xf///8GDQIAAAlGb250U3R5bGUGDgIAAAdSZWd1bGFyBdA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fH9///Y/////////wAGEAIAAAZTdHJpbmcGEQIAAApQcm9kdWN0aW9uCRICAAAB7f3//9b///8CAAAABez9//85R2xvYmVTb2Z0d2FyZS5BdGxhczQwLkF0bGFzQ29tbW9uLk51bWJlclNlcXVlbmNlQ29uZGl0aW9uAQAAAAd2YWx1ZV9fAAgOAAAAAQAAAAAABhUCAAATVGFibGUuUHJvZFRhYmxlSm91cgkjAAAACSYAAAAK/////wkVAgAACgkjAAAACgoKCSYAAAAJGwIAAAkmAAAAAf4AAADQAAAAAeP9///Y/////////wAGHgIAAAZTdHJpbmcGHwIAAAtJdGVtIG51bWJlcgkSAgAAAd/9///W////AgAAAAHe/f//7P3//wEAAAAAAAkVAgAACTEAAAAJJgAAAAr/////CRUCAAAKCTEAAAAKCgoJJgAAAAkpAgAACSYAAAABJgEAANAAAAAB1f3//9j/////////AAYsAgAABlN0cmluZwYtAgAABFBvb2wJLgIAAAHR/f//1v///wIAAAAB0P3//+z9//8BAAAAAAAGMQIAACpUYWJsZS5Qcm9kVGFibGVKb3VyLlByb2RJZH5UYWJsZS5Qcm9kVGFibGUJPwAAAAkmAAAACv////8JMQIAAAoJPwAAAAY2AgAABlByb2RJZAY3AgAADVByb2RUYWJsZUpvdXIKCSYAAAAJOQIAAAkmAAAAAUsBAADQAAAAAcX9///Y/////////wAGPAIAAAREYXRlBj0CAAAERGF0ZQkSAgAAAcH9///W////AgAAAAHA/f//7P3//wEAAAAAAAkVAgAACU0AAAAJJgAAAAr/////CRUCAAAKCU0AAAAKCgoJJgAAAAlHAgAACSYAAAABmgEAANAAAAABt/3//9j/////////AAZKAgAABFJlYWwGSwIAAA5FcnJvciBxdWFudGl0eQkSAgAAAbP9///W////AgAAAAGy/f//7P3//wEAAAAAAAkVAgAACWgAAAAJJgAAAAr/////CRUCAAAKCWgAAAAKCgoJJgAAAAlVAgAACSYAAAABwgEAANAAAAABqf3//9j/////////AAZYAgAABFJlYWwGWQIAAA1Hb29kIHF1YW50aXR5CRICAAABpf3//9b///8CAAAAAaT9///s/f//AQAAAAAACRUCAAAJdgAAAAkmAAAACv////8JFQIAAAoJdgAAAAoKCgkmAAAACWMCAAAJJgAAAAHqAQAA0AAAAAGb/f//2P////////8ABmYCAAAGU3RyaW5nBmcCAAAEVW5pdAloAgAAAZf9///W////AgAAAAGW/f//7P3//wEAAAAAAAnKAAAACYQAAAAJJgAAAAr/////CcoAAAAKCYQAAAAGcAIAAAZJdGVtSWQGcQIAAA1Qcm9kVGFibGVKb3VyCgkmAAAACXMCAAAJJgAAAAUS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HAQAABnUCAAANUHJvZFRhYmxlSm91cgZ2AgAAB0pvdXJuYWwJJgAAAAkmAAAACSYAAAAFiP3//zBHbG9iZVNvZnR3YXJlLkF0bGFzNDAuQXRsYXNDb21tb24uRGF0YVNvdXJjZVR5cGUBAAAAB3ZhbHVlX18ACA4AAAAAAAAACXkCAAAJegIAAASF/f//C1N5c3RlbS5HdWlkCwAAAAJfYQJfYgJfYwJfZAJfZQJfZgJfZwJfaAJfaQJfagJfawAAAAAAAAAAAAAACAcHAgICAgICAgKJU3inYV3zSrKpvwXdTYS0CSYAAAAJJgAAAAl9AgAACRUCAAAKCgoKCgEAAAAFgf3//zRHbG9iZVNvZnR3YXJlLkF0bGFzNDAuQXRsYXNDb21tb24uRGF0YVNvdXJjZUpvaW5Nb2RlAQAAAAd2YWx1ZV9fAAgOAAAAAAAAAAWA/f//NUdsb2JlU29mdHdhcmUuQXRsYXM0MC5BdGxhc0NvbW1vbi5EYXRhU291cmNlRmV0Y2hNb2RlAQAAAAd2YWx1ZV9fAAgOAAAAAAAAAAAJgQIAAAEbAgAAIgAAAHMAAAAJmQAAAAMAAAAJgwIAAAEpAgAAIgAAAHMAAAAJmQAAAAMAAAAJhQIAAAEuAgAAEgIAAP////8GhgIAAAlQcm9kVGFibGUGhwIAABFQcm9kdWN0aW9uIG9yZGVycwkmAAAACSYAAAAJJgAAAAF3/f//iP3//wAAAAAJigIAAAmLAgAAAXT9//+F/f//NMNmjd/cm0C8rfGeiPoR7QkmAAAACSYAAAAJjgIAAAkxAgAABpACAAANUHJvZFRhYmxlSm91cgaRAgAAE1RhYmxlLlByb2RUYWJsZUpvdXIGkgIAABpUYWJsZS5Qcm9kVGFibGVKb3VyLlByb2RJZAaTAgAABlByb2RJZAaUAgAABlByb2RJZAEAAAABa/3//4H9//8AAAAAAWr9//+A/f//AAAAAAAJlwIAAAE5AgAAIgAAAF4AAAAJowAAAAMAAAAJmQIAAAFHAgAAIgAAAHMAAAAJmQAAAAMAAAAJmwIAAAFVAgAAIgAAAHMAAAAJmQAAAAMAAAAJnQIAAAFjAgAAIgAAAHMAAAAJmQAAAAMAAAAJnwIAAAFoAgAAEgIAAP////8GoAIAABFJbnZlbnRUYWJsZU1vZHVsZQahAgAAG0ludmVudG9yeSBtb2R1bGUgcGFyYW1ldGVycwkmAAAACSYAAAAJJgAAAAFd/f//iP3//wAAAAAJpAIAAAmlAgAAAVr9//+F/f//DYjnSiAg7EyBmPPsxNFxrgkmAAAACSYAAAAJqAIAAAnKAAAABqoCAAANUHJvZFRhYmxlSm91cgarAgAAE1RhYmxlLlByb2RUYWJsZUpvdXIGrAIAABpUYWJsZS5Qcm9kVGFibGVKb3VyLkl0ZW1JZAatAgAABkl0ZW1JZAauAgAABkl0ZW1JZAEAAAABUf3//4H9//8AAAAAAVD9//+A/f//AAAAAAAJsQIAAAFzAgAAIgAAAFgAAAAJvAAAAAMAAAAJswIAAAR5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m0AgAAEQAAAAm1AgAABHo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UAAAAJmQAAAAcAAAAJtwIAAAR9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AIAAAAAAAAEg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uQIAAAAAAAAHg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f//F////wa7AgAACEhlbHBUZXh0BrwCAAAeSWRlbnRpZnkgdGhlIHByb2R1Y3Rpb24gb3JkZXIuAUP9//8X////Br4CAAAFTGFiZWwJEQIAAAFA/f//F////wbBAgAABFR5cGUJEAIAAAeF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39//8X////CbsCAAAGxQIAAA5JZGVudGlmeSBpdGVtLgE6/f//F////wm+AgAACR8CAAABN/3//xf///8JwQIAAAkeAgAAAYoCAAB5AgAAAwAAAAmjAAAAAwAAAAnNAgAABI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IAAAAAAAABjgIAAH0CAAAAAAAACaMAAAAAAAAAAZcCAACBAgAAAAAAAAnQAgAAAAAAAAeZAg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9//8X////BtICAAAFTGFiZWwJLQIAAAEs/f//F////wbVAgAABFR5cGUJLAIAAAeb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9//8X////CbsCAAAG2QIAAAxQb3N0aW5nIGRhdGUBJv3//xf///8JvgIAAAk9AgAAASP9//8X////CcECAAAJPAIAAAed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9//8X////CbsCAAAG4gIAADlFcnJvciBxdWFudGl0eSBpbiB0aGUgaW52ZW50b3J5IHVuaXQgcmVwb3J0ZWQgYXMgZmluaXNoZWQBHf3//xf///8JvgIAAAlLAgAAARr9//8X////CcECAAAJSgIAAAef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8X////CbsCAAAG6wIAAFVHb29kIHF1YW50aXR5IChleGNsLiBzY3JhcCkgaW4gdGhlIGludmVudG9yeSB1bml0IHJlcG9ydGVkIGFzIGZpbmlzaGVkL2Nvc3QgYWNjb3VudGVkART9//8X////Cb4CAAAJWQIAAAER/f//F////wnBAgAACVgCAAABpAIAAHkCAAABAAAACbwAAAADAAAACfMCAAABpQIAAHoCAAACAAAACc4CAAADAAAACfUCAAABqAIAAH0CAAAAAAAACbwAAAAAAAAAAbECAACBAgAAAAAAAAn3AgAAAAAAAAezAg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9//8X////BvkCAAAFTGFiZWwJZwIAAAEF/f//F////wb8AgAABFR5cGUJZgIAAAG0AgAADAAAAAe1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C/f//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AgAAGlRhYmxlLlByb2RUYWJsZUpvdXIuUHJvZElkCdAAAAAB//z//wL9//8GAgMAABpUYWJsZS5Qcm9kVGFibGVKb3VyLkl0ZW1JZAn+AAAAAfz8//8C/f//BgUDAAAfVGFibGUuUHJvZFRhYmxlSm91ci5Kb3VybmFsVHlwZQkGAwAAAfn8//8C/f//BggDAAAdVGFibGUuUHJvZFRhYmxlSm91ci5UcmFuc0RhdGUJSwEAAAH2/P//Av3//wYLAwAAG1RhYmxlLlByb2RUYWJsZUpvdXIuVm91Y2hlcgkMAwAAAfP8//8C/f//Bg4DAAAiVGFibGUuUHJvZFRhYmxlSm91ci5BbW91bnRQaHlzaWNhbAkPAwAAAfD8//8C/f//BhEDAAAjVGFibGUuUHJvZFRhYmxlSm91ci5BbW91bnRGaW5hbmNpYWwJEgMAAAHt/P//Av3//wYUAwAAHFRhYmxlLlByb2RUYWJsZUpvdXIuUXR5RXJyb3IJmgEAAAHq/P//Av3//wYXAwAAG1RhYmxlLlByb2RUYWJsZUpvdXIuUXR5R29vZAnCAQAAB7cC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n/P//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hoDAAAbVGFibGUuUHJvZFRhYmxlSm91ci5Wb3VjaGVyCRsDAAAB5Pz//+f8//8GHQMAAB1UYWJsZS5Qcm9kVGFibGVKb3VyLlRyYW5zRGF0ZQkeAwAAAeH8///n/P//BiADAAAaVGFibGUuUHJvZFRhYmxlSm91ci5JdGVtSWQJIQMAAAHe/P//5/z//wYjAwAAGlRhYmxlLlByb2RUYWJsZUpvdXIuUHJvZElkCSQDAAAB2/z//+f8//8GJgMAAB9UYWJsZS5Qcm9kVGFibGVKb3VyLkpvdXJuYWxUeXBlCScDAAAEuQ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80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j8//8C/f//BikDAAA1VGFibGUuUHJvZFRhYmxlSm91ci5Qcm9kSWR+VGFibGUuUHJvZFRhYmxlLlByb2RQb29sSWQJJgEAAAHOAgAADAAAAAHQAgAAuQIAAAfz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V/P//Av3//wYsAwAAOVRhYmxlLlByb2RUYWJsZUpvdXIuSXRlbUlkflRhYmxlLkludmVudFRhYmxlTW9kdWxlLlVuaXRJZAnqAQAAB/UC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S/P//5/z//wYvAwAAPVRhYmxlLlByb2RUYWJsZUpvdXIuSXRlbUlkflRhYmxlLkludmVudFRhYmxlTW9kdWxlLk1vZHVsZVR5cGUJMAMAAAHP/P//5/z//wYyAwAAOVRhYmxlLlByb2RUYWJsZUpvdXIuSXRlbUlkflRhYmxlLkludmVudFRhYmxlTW9kdWxlLlVuaXRJZAkzAwAAAfcCAAC5AgAAAQYDAADQAAAAAcz8///Y/////////wAGNQMAAARFbnVtBjYDAAAEVHlwZQkSAgAAAcj8///W////AgAAAAHH/P//7P3//wEAAAAAAAkVAgAABjsDAAALSm91cm5hbFR5cGUJJgAAAAr/////CRUCAAAKCTsDAAAKCgoJJgAAAAlAAwAACSYAAAABDAMAANAAAAABvvz//9j/////////AAZDAwAABlN0cmluZwZEAwAAD0Nvc3Rpbmcgdm91Y2hlcgkSAgAAAbr8///W////AgAAAAG5/P//7P3//wEAAAAAAAkVAgAABkkDAAAHVm91Y2hlcgkmAAAACv////8JFQIAAAoJSQMAAAoKCgkmAAAACU4DAAAJJgAAAAEPAwAA0AAAAAGw/P//2P////////8ABlEDAAAEUmVhbAZSAwAADklJUC9XSVAgYW1vdW50CRICAAABrPz//9b///8CAAAAAav8///s/f//AQAAAAAACRUCAAAGVwMAAA5BbW91bnRQaHlzaWNhbAkmAAAACv////8JFQIAAAoJVwMAAAoKCgkmAAAACVwDAAAJJgAAAAESAwAA0AAAAAGi/P//2P////////8ABl8DAAAEUmVhbAZgAwAAFUNvc3QgYWNjb3VudGVkIGFtb3VudAkSAgAAAZ78///W////AgAAAAGd/P//7P3//wEAAAAAAAkVAgAABmUDAAAPQW1vdW50RmluYW5jaWFsCSYAAAAK/////wkVAgAACgllAwAACgoKCSYAAAAJagMAAAkmAAAABRs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VAgAABm0DAAAHVm91Y2hlcgkmAAAACSYAAAD/////CRUCAAAKCW0DAAAKCgoJJgAAAAlyAwAACSYAAAABHgMAABsDAAAJFQIAAAZ1AwAACVRyYW5zRGF0ZQkmAAAACSYAAAD/////CRUCAAAKCXUDAAAKCgoJJgAAAAl6AwAACSYAAAABIQMAABsDAAAJFQIAAAnCAAAACSYAAAAGfwMAAAUqUFJPRP////8JFQIAAAoJwgAAAAoKCgkmAAAACYMDAAAJJgAAAAEkAwAAGwMAAAkVAgAABoYDAAAGUHJvZElkCSYAAAAJJgAAAP////8JFQIAAAoJhgMAAAoKCgkmAAAACYsDAAAJJgAAAAEnAwAAGwMAAAkVAgAACcUAAAAJJgAAAAnGAAAA/////wkVAgAABpIDAAANUHJvZFRhYmxlSm91cgnFAAAACgoKCSYAAAAJlQMAAAkmAAAAATADAAAbAwAACcoAAAAJywAAAAkmAAAACcwAAAD/////CcoAAAAKCcsAAAAGnQMAAAZJdGVtSWQKCgkmAAAACZ8DAAAJJgAAAAEzAwAAGwMAAAnKAAAACc4AAAAJJgAAAAnPAAAA/////wnKAAAACgnOAAAABqcDAAAGSXRlbUlkCgoJJgAAAAmpAwAACSYAAAABQAMAACIAAAArAAAACZkAAAADAAAACawDAAABTgMAACIAAAArAAAACZkAAAADAAAACa4DAAABXAMAACIAAAArAAAACZkAAAADAAAACbADAAABagMAACIAAAArAAAACZkAAAADAAAACbIDAAABcgMAACIAAAACAAAACZkAAAADAAAACbQDAAABegMAACIAAAACAAAACZkAAAADAAAACbYDAAABgwMAACIAAAAKAAAACZkAAAADAAAACbgDAAABiwMAACIAAAACAAAACZkAAAADAAAACboDAAABlQMAACIAAAAIAAAACZkAAAADAAAACbwDAAABnwMAACIAAAAmAAAACc4CAAADAAAACb4DAAABqQMAACIAAAAmAAAACc4CAAADAAAACcADAAAHr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F////wm7AgAABsMDAAAMUG9zdGluZyB0eXBlATz8//8X////Cb4CAAAJNgMAAAE5/P//F////wnBAgAACTUDAAAHr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2/P//F////wm7AgAABswDAAArVm91Y2hlciBudW1iZXIgdXNlZCB3aGVuIHBvc3RpbmcgdG8gbGVkZ2VyLgEz/P//F////wm+AgAACUQDAAABMPz//xf///8JwQIAAAlDAwAAB7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xf///8JuwIAAAbVAwAAMlVwZGF0ZWQgSUlQL1dJUCBhbW91bnQgYXR0YWNoZWQgdG8gdGhlIHRyYW5zYWN0aW9uASr8//8X////Cb4CAAAJUgMAAAEn/P//F////wnBAgAACVEDAAAHs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P//F////wm7AgAABt4DAAAkUmVjYWxjdWxhdGVkIGFtb3VudCBwb3N0ZWQgdG8gbGVkZ2VyASH8//8X////Cb4CAAAJYAMAAAEe/P//F////wnBAgAACV8DAAAHt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P//F////wnBAgAABucDAAAGU3RyaW5nARj8//8X////Cb4CAAAG6gMAAA9Db3N0aW5nIHZvdWNoZXIHt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P//F////wnBAgAABu0DAAAERGF0ZQES/P//F////wm+AgAABvADAAAERGF0ZQe4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8//8X////CcECAAAG8wMAAAZTdHJpbmcBDPz//xf///8JvgIAAAb2AwAAC0l0ZW0gbnVtYmVyAQn8//8X////BvgDAAAIUmVmZXJzVG8G+QMAAAs9SXRlbU51bWJlcge6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8//8X////CcECAAAG/AMAAAZTdHJpbmcBA/z//xf///8JvgIAAAb/AwAAClByb2R1Y3Rpb24Hv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P//F////wnBAgAABgIEAAAERW51bQH9+///F////wm+AgAABgUEAAAEVHlwZQe+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7//8X////BgcEAAAEVHlwZQYIBAAABEVudW0B9/v//xf///8GCgQAAAVMYWJlbAYLBAAAC01vZHVsZSB0eXBlB8A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v//xf///8JBwQAAAlmAgAAAfH7//8X////CQoEAAAJZwIAAAs=</Report>
</Atlas>
</file>

<file path=customXml/itemProps1.xml><?xml version="1.0" encoding="utf-8"?>
<ds:datastoreItem xmlns:ds="http://schemas.openxmlformats.org/officeDocument/2006/customXml" ds:itemID="{9C18A7C8-DA18-417E-AEC9-D6DCA840B1EE}">
  <ds:schemaRefs/>
</ds:datastoreItem>
</file>

<file path=customXml/itemProps2.xml><?xml version="1.0" encoding="utf-8"?>
<ds:datastoreItem xmlns:ds="http://schemas.openxmlformats.org/officeDocument/2006/customXml" ds:itemID="{3FB14BF1-6591-450F-AC92-BAA1767A8C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General</vt:lpstr>
      <vt:lpstr>Report</vt:lpstr>
      <vt:lpstr>DevelopmentPerPoolWeek</vt:lpstr>
      <vt:lpstr>Detail list</vt:lpstr>
      <vt:lpstr>Notes</vt:lpstr>
      <vt:lpstr>'Detail list'!AtlasReport_1</vt:lpstr>
      <vt:lpstr>DataAreaId</vt:lpstr>
      <vt:lpstr>DateFormat</vt:lpstr>
      <vt:lpstr>DatePeriod</vt:lpstr>
      <vt:lpstr>FromDate</vt:lpstr>
      <vt:lpstr>ItemNumber</vt:lpstr>
      <vt:lpstr>ToDate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Spenser Wang</dc:creator>
  <cp:lastModifiedBy>Spenser Wang</cp:lastModifiedBy>
  <dcterms:created xsi:type="dcterms:W3CDTF">2021-06-10T11:11:19Z</dcterms:created>
  <dcterms:modified xsi:type="dcterms:W3CDTF">2021-06-23T10:50:45Z</dcterms:modified>
</cp:coreProperties>
</file>