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mpson\Companies\S&amp;P\INC1949046 - Project MOR-20001\"/>
    </mc:Choice>
  </mc:AlternateContent>
  <bookViews>
    <workbookView xWindow="0" yWindow="0" windowWidth="15345" windowHeight="5955"/>
  </bookViews>
  <sheets>
    <sheet name="ToDo" sheetId="4" r:id="rId1"/>
    <sheet name="Item exist" sheetId="3" r:id="rId2"/>
    <sheet name="Onhand" sheetId="1" r:id="rId3"/>
    <sheet name="InventTrans" sheetId="2" r:id="rId4"/>
    <sheet name="BOM" sheetId="5" r:id="rId5"/>
    <sheet name="PartOfBOM" sheetId="6" r:id="rId6"/>
    <sheet name="Notes" sheetId="7" r:id="rId7"/>
    <sheet name="Sheet1" sheetId="8" r:id="rId8"/>
  </sheets>
  <functionGroups builtInGroupCount="18"/>
  <definedNames>
    <definedName name="_xlnm._FilterDatabase" localSheetId="0" hidden="1">ToDo!$A$1:$N$2</definedName>
    <definedName name="AtlasReport_1" localSheetId="7">Sheet1!$A$1:$F$8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6" l="1"/>
  <c r="K3" i="6"/>
  <c r="J3" i="6"/>
  <c r="E4" i="5"/>
  <c r="L4" i="5"/>
  <c r="F4" i="5"/>
  <c r="H3" i="2"/>
  <c r="D4" i="2"/>
  <c r="M3" i="2"/>
  <c r="H4" i="1"/>
  <c r="E3" i="1"/>
  <c r="N4" i="3"/>
  <c r="E4" i="3"/>
  <c r="M3" i="3"/>
  <c r="D2" i="6"/>
  <c r="L2" i="2"/>
  <c r="K2" i="2"/>
  <c r="I2" i="5"/>
  <c r="D2" i="1"/>
  <c r="E2" i="5"/>
  <c r="D2" i="2"/>
  <c r="F2" i="3"/>
  <c r="L2" i="1"/>
  <c r="M2" i="3"/>
  <c r="G2" i="1"/>
  <c r="I3" i="1"/>
  <c r="B3" i="4"/>
  <c r="I4" i="6"/>
  <c r="G3" i="6"/>
  <c r="E3" i="6"/>
  <c r="L3" i="5"/>
  <c r="H4" i="5"/>
  <c r="M3" i="5"/>
  <c r="D3" i="2"/>
  <c r="C3" i="2"/>
  <c r="I3" i="2"/>
  <c r="D4" i="1"/>
  <c r="L4" i="1"/>
  <c r="J4" i="3"/>
  <c r="I3" i="3"/>
  <c r="K4" i="3"/>
  <c r="M2" i="2"/>
  <c r="M2" i="6"/>
  <c r="E2" i="2"/>
  <c r="H2" i="3"/>
  <c r="L2" i="6"/>
  <c r="N2" i="3"/>
  <c r="E2" i="3"/>
  <c r="K2" i="3"/>
  <c r="E3" i="3"/>
  <c r="J2" i="2"/>
  <c r="I2" i="6"/>
  <c r="F4" i="2"/>
  <c r="J2" i="1"/>
  <c r="E4" i="6"/>
  <c r="C3" i="6"/>
  <c r="K4" i="6"/>
  <c r="H3" i="5"/>
  <c r="K3" i="5"/>
  <c r="I3" i="5"/>
  <c r="K3" i="2"/>
  <c r="C4" i="2"/>
  <c r="M4" i="1"/>
  <c r="K3" i="1"/>
  <c r="G4" i="1"/>
  <c r="F4" i="3"/>
  <c r="G4" i="3"/>
  <c r="B2" i="4"/>
  <c r="M2" i="1"/>
  <c r="L2" i="5"/>
  <c r="L3" i="2"/>
  <c r="I4" i="3"/>
  <c r="H2" i="6"/>
  <c r="L3" i="6"/>
  <c r="G4" i="6"/>
  <c r="J4" i="6"/>
  <c r="D3" i="5"/>
  <c r="C3" i="5"/>
  <c r="E3" i="5"/>
  <c r="G3" i="2"/>
  <c r="E3" i="2"/>
  <c r="I4" i="1"/>
  <c r="G3" i="1"/>
  <c r="J3" i="1"/>
  <c r="N3" i="3"/>
  <c r="L4" i="3"/>
  <c r="C4" i="3"/>
  <c r="K2" i="1"/>
  <c r="H2" i="2"/>
  <c r="K2" i="5"/>
  <c r="F2" i="2"/>
  <c r="I2" i="3"/>
  <c r="C2" i="5"/>
  <c r="G2" i="6"/>
  <c r="D2" i="5"/>
  <c r="C2" i="6"/>
  <c r="H4" i="2"/>
  <c r="G2" i="5"/>
  <c r="H3" i="6"/>
  <c r="C4" i="6"/>
  <c r="F4" i="6"/>
  <c r="D4" i="5"/>
  <c r="C4" i="5"/>
  <c r="M4" i="2"/>
  <c r="G4" i="2"/>
  <c r="K4" i="2"/>
  <c r="E4" i="1"/>
  <c r="C3" i="1"/>
  <c r="J4" i="1"/>
  <c r="J3" i="3"/>
  <c r="H4" i="3"/>
  <c r="K3" i="3"/>
  <c r="C2" i="2"/>
  <c r="L2" i="3"/>
  <c r="G2" i="2"/>
  <c r="F2" i="6"/>
  <c r="C2" i="1"/>
  <c r="C2" i="3"/>
  <c r="F2" i="5"/>
  <c r="D4" i="3"/>
  <c r="J2" i="5"/>
  <c r="H2" i="1"/>
  <c r="J2" i="3"/>
  <c r="D3" i="1"/>
  <c r="J2" i="6"/>
  <c r="D3" i="6"/>
  <c r="F3" i="6"/>
  <c r="M3" i="6"/>
  <c r="G3" i="5"/>
  <c r="K4" i="5"/>
  <c r="I4" i="2"/>
  <c r="J3" i="2"/>
  <c r="F3" i="2"/>
  <c r="L3" i="1"/>
  <c r="K4" i="1"/>
  <c r="F4" i="1"/>
  <c r="F3" i="3"/>
  <c r="G3" i="3"/>
  <c r="E2" i="1"/>
  <c r="B4" i="4"/>
  <c r="F3" i="5"/>
  <c r="D3" i="3"/>
  <c r="F2" i="1"/>
  <c r="H4" i="6"/>
  <c r="I3" i="6"/>
  <c r="M4" i="5"/>
  <c r="G4" i="5"/>
  <c r="J3" i="5"/>
  <c r="E4" i="2"/>
  <c r="L4" i="2"/>
  <c r="J4" i="2"/>
  <c r="H3" i="1"/>
  <c r="C4" i="1"/>
  <c r="M3" i="1"/>
  <c r="M4" i="3"/>
  <c r="L3" i="3"/>
  <c r="C3" i="3"/>
  <c r="H2" i="5"/>
  <c r="I2" i="1"/>
  <c r="D2" i="3"/>
  <c r="I2" i="2"/>
  <c r="M2" i="5"/>
  <c r="G2" i="3"/>
  <c r="E2" i="6"/>
  <c r="D4" i="6"/>
  <c r="L4" i="6"/>
  <c r="I4" i="5"/>
  <c r="J4" i="5"/>
  <c r="F3" i="1"/>
  <c r="H3" i="3"/>
  <c r="K2" i="6"/>
</calcChain>
</file>

<file path=xl/sharedStrings.xml><?xml version="1.0" encoding="utf-8"?>
<sst xmlns="http://schemas.openxmlformats.org/spreadsheetml/2006/main" count="166" uniqueCount="41">
  <si>
    <t>Item code</t>
  </si>
  <si>
    <t>Item name</t>
  </si>
  <si>
    <t>UNI</t>
  </si>
  <si>
    <t>Delete</t>
  </si>
  <si>
    <t>345</t>
  </si>
  <si>
    <t>360</t>
  </si>
  <si>
    <t>362</t>
  </si>
  <si>
    <t>363</t>
  </si>
  <si>
    <t>364</t>
  </si>
  <si>
    <t>365</t>
  </si>
  <si>
    <t>366</t>
  </si>
  <si>
    <t>368</t>
  </si>
  <si>
    <t>369</t>
  </si>
  <si>
    <t>371</t>
  </si>
  <si>
    <t>372</t>
  </si>
  <si>
    <t>Obsolete</t>
  </si>
  <si>
    <t>Version control:</t>
  </si>
  <si>
    <t>V1</t>
  </si>
  <si>
    <t>Initial version</t>
  </si>
  <si>
    <t>Items</t>
  </si>
  <si>
    <t>Company accounts</t>
  </si>
  <si>
    <t>Item number</t>
  </si>
  <si>
    <t>Search name</t>
  </si>
  <si>
    <t>Item group</t>
  </si>
  <si>
    <t>Item type</t>
  </si>
  <si>
    <t>Product</t>
  </si>
  <si>
    <t>Item</t>
  </si>
  <si>
    <t>MO100F-1</t>
  </si>
  <si>
    <t>TECNOSTOP (KG)</t>
  </si>
  <si>
    <t>Component</t>
  </si>
  <si>
    <t>BOM</t>
  </si>
  <si>
    <t>MO100F20</t>
  </si>
  <si>
    <t>MOBAGTECNO</t>
  </si>
  <si>
    <t>TECNOSTOP (20KG)</t>
  </si>
  <si>
    <t>TECNOSTOP, sac de 20kg</t>
  </si>
  <si>
    <t>Mortar Bag Tecnostop</t>
  </si>
  <si>
    <t>CheckBOM
Obsolete</t>
  </si>
  <si>
    <t>Check
Obsolete</t>
  </si>
  <si>
    <t>MO100F-1,MO100F20,MOBAGTECNO</t>
  </si>
  <si>
    <t>V2</t>
    <phoneticPr fontId="22" type="noConversion"/>
  </si>
  <si>
    <t>Add ability to copy materials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</si>
</sst>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等线"/>
      <family val="2"/>
      <scheme val="minor"/>
    </font>
    <font>
      <sz val="11"/>
      <color rgb="FF000000"/>
      <name val="Calibri"/>
      <family val="2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0" fontId="3" fillId="10" borderId="0" applyNumberFormat="0" applyBorder="0" applyAlignment="0" applyProtection="0"/>
    <xf numFmtId="0" fontId="3" fillId="14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11" borderId="0" applyNumberFormat="0" applyBorder="0" applyAlignment="0" applyProtection="0"/>
    <xf numFmtId="0" fontId="3" fillId="15" borderId="0" applyNumberFormat="0" applyBorder="0" applyAlignment="0" applyProtection="0"/>
    <xf numFmtId="0" fontId="3" fillId="19" borderId="0" applyNumberFormat="0" applyBorder="0" applyAlignment="0" applyProtection="0"/>
    <xf numFmtId="0" fontId="3" fillId="23" borderId="0" applyNumberFormat="0" applyBorder="0" applyAlignment="0" applyProtection="0"/>
    <xf numFmtId="0" fontId="3" fillId="27" borderId="0" applyNumberFormat="0" applyBorder="0" applyAlignment="0" applyProtection="0"/>
    <xf numFmtId="0" fontId="3" fillId="31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7" applyNumberFormat="0" applyAlignment="0" applyProtection="0"/>
    <xf numFmtId="0" fontId="12" fillId="0" borderId="9" applyNumberFormat="0" applyFill="0" applyAlignment="0" applyProtection="0"/>
    <xf numFmtId="0" fontId="2" fillId="8" borderId="8" applyNumberFormat="0" applyFont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7" borderId="0" applyNumberFormat="0" applyBorder="0" applyAlignment="0" applyProtection="0"/>
    <xf numFmtId="0" fontId="4" fillId="21" borderId="0" applyNumberFormat="0" applyBorder="0" applyAlignment="0" applyProtection="0"/>
    <xf numFmtId="0" fontId="4" fillId="25" borderId="0" applyNumberFormat="0" applyBorder="0" applyAlignment="0" applyProtection="0"/>
    <xf numFmtId="0" fontId="4" fillId="29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6" borderId="4" applyNumberFormat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4" borderId="0" applyNumberFormat="0" applyBorder="0" applyAlignment="0" applyProtection="0"/>
    <xf numFmtId="0" fontId="19" fillId="0" borderId="6" applyNumberFormat="0" applyFill="0" applyAlignment="0" applyProtection="0"/>
    <xf numFmtId="0" fontId="2" fillId="0" borderId="0">
      <alignment vertical="center"/>
    </xf>
    <xf numFmtId="0" fontId="20" fillId="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0" fillId="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0" fillId="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0" fillId="2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</cellStyleXfs>
  <cellXfs count="16">
    <xf numFmtId="0" fontId="0" fillId="0" borderId="0" xfId="0"/>
    <xf numFmtId="0" fontId="0" fillId="0" borderId="0" xfId="0" applyAlignment="1"/>
    <xf numFmtId="14" fontId="0" fillId="0" borderId="0" xfId="0" applyNumberFormat="1"/>
    <xf numFmtId="0" fontId="2" fillId="0" borderId="0" xfId="42">
      <alignment vertical="center"/>
    </xf>
    <xf numFmtId="0" fontId="2" fillId="0" borderId="0" xfId="45">
      <alignment vertical="center"/>
    </xf>
    <xf numFmtId="0" fontId="2" fillId="0" borderId="0" xfId="48">
      <alignment vertical="center"/>
    </xf>
    <xf numFmtId="0" fontId="2" fillId="0" borderId="0" xfId="51">
      <alignment vertical="center"/>
    </xf>
    <xf numFmtId="0" fontId="0" fillId="0" borderId="0" xfId="0" applyAlignment="1">
      <alignment horizontal="left"/>
    </xf>
    <xf numFmtId="0" fontId="7" fillId="0" borderId="0" xfId="21"/>
    <xf numFmtId="0" fontId="0" fillId="0" borderId="0" xfId="0" applyNumberFormat="1" applyAlignment="1"/>
    <xf numFmtId="0" fontId="23" fillId="0" borderId="0" xfId="0" quotePrefix="1" applyNumberFormat="1" applyFont="1" applyAlignment="1"/>
    <xf numFmtId="0" fontId="0" fillId="0" borderId="0" xfId="42" applyFont="1">
      <alignment vertical="center"/>
    </xf>
    <xf numFmtId="0" fontId="2" fillId="0" borderId="0" xfId="42" applyAlignment="1">
      <alignment vertical="center"/>
    </xf>
    <xf numFmtId="0" fontId="0" fillId="33" borderId="0" xfId="0" applyFill="1"/>
    <xf numFmtId="0" fontId="0" fillId="34" borderId="0" xfId="0" applyFill="1" applyAlignment="1">
      <alignment wrapText="1"/>
    </xf>
    <xf numFmtId="0" fontId="0" fillId="35" borderId="0" xfId="0" applyFill="1"/>
  </cellXfs>
  <cellStyles count="54">
    <cellStyle name="20% - 着色 1" xfId="1"/>
    <cellStyle name="20% - 着色 2" xfId="2"/>
    <cellStyle name="20% - 着色 3" xfId="3"/>
    <cellStyle name="20% - 着色 4" xfId="4"/>
    <cellStyle name="20% - 着色 5" xfId="5"/>
    <cellStyle name="20% - 着色 6" xfId="6"/>
    <cellStyle name="40% - 着色 1" xfId="7"/>
    <cellStyle name="40% - 着色 2" xfId="8"/>
    <cellStyle name="40% - 着色 3" xfId="9"/>
    <cellStyle name="40% - 着色 4" xfId="10"/>
    <cellStyle name="40% - 着色 5" xfId="11"/>
    <cellStyle name="40% - 着色 6" xfId="12"/>
    <cellStyle name="60% - 着色 1" xfId="13"/>
    <cellStyle name="60% - 着色 2" xfId="14"/>
    <cellStyle name="60% - 着色 3" xfId="15"/>
    <cellStyle name="60% - 着色 4" xfId="16"/>
    <cellStyle name="60% - 着色 5" xfId="17"/>
    <cellStyle name="60% - 着色 6" xfId="18"/>
    <cellStyle name="Normal_BOM" xfId="48"/>
    <cellStyle name="Normal_InventTrans" xfId="45"/>
    <cellStyle name="Normal_PartOfBOM" xfId="51"/>
    <cellStyle name="Normal_ToDo" xfId="42"/>
    <cellStyle name="标题" xfId="21" builtinId="15"/>
    <cellStyle name="标题 1" xfId="22"/>
    <cellStyle name="标题 2" xfId="23"/>
    <cellStyle name="标题 3" xfId="24"/>
    <cellStyle name="标题 4" xfId="25"/>
    <cellStyle name="差" xfId="20"/>
    <cellStyle name="差_BOM" xfId="50"/>
    <cellStyle name="差_InventTrans" xfId="47"/>
    <cellStyle name="差_PartOfBOM" xfId="53"/>
    <cellStyle name="差_ToDo" xfId="44"/>
    <cellStyle name="常规" xfId="0" builtinId="0"/>
    <cellStyle name="好" xfId="19"/>
    <cellStyle name="好_BOM" xfId="49"/>
    <cellStyle name="好_InventTrans" xfId="46"/>
    <cellStyle name="好_PartOfBOM" xfId="52"/>
    <cellStyle name="好_ToDo" xfId="43"/>
    <cellStyle name="汇总" xfId="27"/>
    <cellStyle name="计算" xfId="37"/>
    <cellStyle name="检查单元格" xfId="26"/>
    <cellStyle name="解释性文本" xfId="35"/>
    <cellStyle name="警告文本" xfId="36"/>
    <cellStyle name="链接单元格" xfId="41"/>
    <cellStyle name="适中" xfId="40"/>
    <cellStyle name="输出" xfId="39"/>
    <cellStyle name="输入" xfId="38"/>
    <cellStyle name="着色 1" xfId="29"/>
    <cellStyle name="着色 2" xfId="30"/>
    <cellStyle name="着色 3" xfId="31"/>
    <cellStyle name="着色 4" xfId="32"/>
    <cellStyle name="着色 5" xfId="33"/>
    <cellStyle name="着色 6" xfId="34"/>
    <cellStyle name="注释" xfId="28"/>
  </cellStyles>
  <dxfs count="18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15</xdr:row>
          <xdr:rowOff>133349</xdr:rowOff>
        </xdr:from>
        <xdr:to>
          <xdr:col>5</xdr:col>
          <xdr:colOff>114300</xdr:colOff>
          <xdr:row>21</xdr:row>
          <xdr:rowOff>85724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2628900</xdr:colOff>
          <xdr:row>15</xdr:row>
          <xdr:rowOff>133350</xdr:rowOff>
        </xdr:from>
        <xdr:to>
          <xdr:col>1</xdr:col>
          <xdr:colOff>2162175</xdr:colOff>
          <xdr:row>21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1. Copy Materials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A1:N4" totalsRowShown="0">
  <autoFilter ref="A1:N4"/>
  <tableColumns count="14">
    <tableColumn id="1" name="Item code"/>
    <tableColumn id="2" name="Item name" dataDxfId="17"/>
    <tableColumn id="14" name="UNI">
      <calculatedColumnFormula>_xll.AtlasFormulas.AtlasFunctions.AtlasTable("PROD",C$1,"T.InventTable","%ItemId","","","","","","","ItemId",$A2)</calculatedColumnFormula>
    </tableColumn>
    <tableColumn id="3" name="345" dataDxfId="16">
      <calculatedColumnFormula>_xll.AtlasFormulas.AtlasFunctions.AtlasTable("PROD",D$1,"T.InventTable","%ItemId","","","","","","","ItemId",$A2)</calculatedColumnFormula>
    </tableColumn>
    <tableColumn id="4" name="360" dataDxfId="15">
      <calculatedColumnFormula>_xll.AtlasFormulas.AtlasFunctions.AtlasTable("PROD",E$1,"T.InventTable","%ItemId","","","","","","","ItemId",$A2)</calculatedColumnFormula>
    </tableColumn>
    <tableColumn id="5" name="362" dataDxfId="14">
      <calculatedColumnFormula>_xll.AtlasFormulas.AtlasFunctions.AtlasTable("PROD",F$1,"T.InventTable","%ItemId","","","","","","","ItemId",$A2)</calculatedColumnFormula>
    </tableColumn>
    <tableColumn id="6" name="363" dataDxfId="13">
      <calculatedColumnFormula>_xll.AtlasFormulas.AtlasFunctions.AtlasTable("PROD",G$1,"T.InventTable","%ItemId","","","","","","","ItemId",$A2)</calculatedColumnFormula>
    </tableColumn>
    <tableColumn id="7" name="364" dataDxfId="12">
      <calculatedColumnFormula>_xll.AtlasFormulas.AtlasFunctions.AtlasTable("PROD",H$1,"T.InventTable","%ItemId","","","","","","","ItemId",$A2)</calculatedColumnFormula>
    </tableColumn>
    <tableColumn id="8" name="365" dataDxfId="11">
      <calculatedColumnFormula>_xll.AtlasFormulas.AtlasFunctions.AtlasTable("PROD",I$1,"T.InventTable","%ItemId","","","","","","","ItemId",$A2)</calculatedColumnFormula>
    </tableColumn>
    <tableColumn id="9" name="366" dataDxfId="10">
      <calculatedColumnFormula>_xll.AtlasFormulas.AtlasFunctions.AtlasTable("PROD",J$1,"T.InventTable","%ItemId","","","","","","","ItemId",$A2)</calculatedColumnFormula>
    </tableColumn>
    <tableColumn id="10" name="368" dataDxfId="9">
      <calculatedColumnFormula>_xll.AtlasFormulas.AtlasFunctions.AtlasTable("PROD",K$1,"T.InventTable","%ItemId","","","","","","","ItemId",$A2)</calculatedColumnFormula>
    </tableColumn>
    <tableColumn id="11" name="369" dataDxfId="8">
      <calculatedColumnFormula>_xll.AtlasFormulas.AtlasFunctions.AtlasTable("PROD",L$1,"T.InventTable","%ItemId","","","","","","","ItemId",$A2)</calculatedColumnFormula>
    </tableColumn>
    <tableColumn id="12" name="371" dataDxfId="7">
      <calculatedColumnFormula>_xll.AtlasFormulas.AtlasFunctions.AtlasTable("PROD",M$1,"T.InventTable","%ItemId","","","","","","","ItemId",$A2)</calculatedColumnFormula>
    </tableColumn>
    <tableColumn id="13" name="372" dataDxfId="6">
      <calculatedColumnFormula>_xll.AtlasFormulas.AtlasFunctions.AtlasTable("PROD",N$1,"T.InventTable","%ItemId","","","","","","","ItemId",$A2)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M4" totalsRowShown="0">
  <autoFilter ref="A1:M4"/>
  <tableColumns count="13">
    <tableColumn id="1" name="Item code"/>
    <tableColumn id="2" name="Item name"/>
    <tableColumn id="3" name="345">
      <calculatedColumnFormula>_xll.AtlasFormulas.AtlasFunctions.AtlasBalance("Prod",C$1,"T.InventSum","Sum|AvailPhysical|0","","","","","","","ItemId",$A2)</calculatedColumnFormula>
    </tableColumn>
    <tableColumn id="4" name="360">
      <calculatedColumnFormula>_xll.AtlasFormulas.AtlasFunctions.AtlasBalance("Prod",D$1,"T.InventSum","Sum|AvailPhysical|0","","","","","","","ItemId",$A2)</calculatedColumnFormula>
    </tableColumn>
    <tableColumn id="5" name="362">
      <calculatedColumnFormula>_xll.AtlasFormulas.AtlasFunctions.AtlasBalance("Prod",E$1,"T.InventSum","Sum|AvailPhysical|0","","","","","","","ItemId",$A2)</calculatedColumnFormula>
    </tableColumn>
    <tableColumn id="6" name="363">
      <calculatedColumnFormula>_xll.AtlasFormulas.AtlasFunctions.AtlasBalance("Prod",F$1,"T.InventSum","Sum|AvailPhysical|0","","","","","","","ItemId",$A2)</calculatedColumnFormula>
    </tableColumn>
    <tableColumn id="7" name="364">
      <calculatedColumnFormula>_xll.AtlasFormulas.AtlasFunctions.AtlasBalance("Prod",G$1,"T.InventSum","Sum|AvailPhysical|0","","","","","","","ItemId",$A2)</calculatedColumnFormula>
    </tableColumn>
    <tableColumn id="8" name="365">
      <calculatedColumnFormula>_xll.AtlasFormulas.AtlasFunctions.AtlasBalance("Prod",H$1,"T.InventSum","Sum|AvailPhysical|0","","","","","","","ItemId",$A2)</calculatedColumnFormula>
    </tableColumn>
    <tableColumn id="9" name="366">
      <calculatedColumnFormula>_xll.AtlasFormulas.AtlasFunctions.AtlasBalance("Prod",I$1,"T.InventSum","Sum|AvailPhysical|0","","","","","","","ItemId",$A2)</calculatedColumnFormula>
    </tableColumn>
    <tableColumn id="10" name="368">
      <calculatedColumnFormula>_xll.AtlasFormulas.AtlasFunctions.AtlasBalance("Prod",J$1,"T.InventSum","Sum|AvailPhysical|0","","","","","","","ItemId",$A2)</calculatedColumnFormula>
    </tableColumn>
    <tableColumn id="11" name="369">
      <calculatedColumnFormula>_xll.AtlasFormulas.AtlasFunctions.AtlasBalance("Prod",K$1,"T.InventSum","Sum|AvailPhysical|0","","","","","","","ItemId",$A2)</calculatedColumnFormula>
    </tableColumn>
    <tableColumn id="12" name="371">
      <calculatedColumnFormula>_xll.AtlasFormulas.AtlasFunctions.AtlasBalance("Prod",L$1,"T.InventSum","Sum|AvailPhysical|0","","","","","","","ItemId",$A2)</calculatedColumnFormula>
    </tableColumn>
    <tableColumn id="13" name="372">
      <calculatedColumnFormula>_xll.AtlasFormulas.AtlasFunctions.AtlasBalance("Prod",M$1,"T.InventSum","Sum|AvailPhysical|0","","","","","","","ItemId",$A2)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M4" totalsRowShown="0">
  <autoFilter ref="A1:M4"/>
  <tableColumns count="13">
    <tableColumn id="1" name="Item code"/>
    <tableColumn id="2" name="Item name"/>
    <tableColumn id="3" name="345">
      <calculatedColumnFormula>_xll.AtlasFormulas.AtlasFunctions.AtlasBalance("PROD",C$1,"T.InventTrans","Count|RecId|0","","","","","","","ItemId|DatePhysical",$A2,"!""")</calculatedColumnFormula>
    </tableColumn>
    <tableColumn id="4" name="360">
      <calculatedColumnFormula>_xll.AtlasFormulas.AtlasFunctions.AtlasBalance("PROD",D$1,"T.InventTrans","Count|RecId|0","","","","","","","ItemId|DatePhysical",$A2,"!""")</calculatedColumnFormula>
    </tableColumn>
    <tableColumn id="5" name="362">
      <calculatedColumnFormula>_xll.AtlasFormulas.AtlasFunctions.AtlasBalance("PROD",E$1,"T.InventTrans","Count|RecId|0","","","","","","","ItemId|DatePhysical",$A2,"!""")</calculatedColumnFormula>
    </tableColumn>
    <tableColumn id="6" name="363">
      <calculatedColumnFormula>_xll.AtlasFormulas.AtlasFunctions.AtlasBalance("PROD",F$1,"T.InventTrans","Count|RecId|0","","","","","","","ItemId|DatePhysical",$A2,"!""")</calculatedColumnFormula>
    </tableColumn>
    <tableColumn id="7" name="364">
      <calculatedColumnFormula>_xll.AtlasFormulas.AtlasFunctions.AtlasBalance("PROD",G$1,"T.InventTrans","Count|RecId|0","","","","","","","ItemId|DatePhysical",$A2,"!""")</calculatedColumnFormula>
    </tableColumn>
    <tableColumn id="8" name="365">
      <calculatedColumnFormula>_xll.AtlasFormulas.AtlasFunctions.AtlasBalance("PROD",H$1,"T.InventTrans","Count|RecId|0","","","","","","","ItemId|DatePhysical",$A2,"!""")</calculatedColumnFormula>
    </tableColumn>
    <tableColumn id="9" name="366">
      <calculatedColumnFormula>_xll.AtlasFormulas.AtlasFunctions.AtlasBalance("PROD",I$1,"T.InventTrans","Count|RecId|0","","","","","","","ItemId|DatePhysical",$A2,"!""")</calculatedColumnFormula>
    </tableColumn>
    <tableColumn id="10" name="368">
      <calculatedColumnFormula>_xll.AtlasFormulas.AtlasFunctions.AtlasBalance("PROD",J$1,"T.InventTrans","Count|RecId|0","","","","","","","ItemId|DatePhysical",$A2,"!""")</calculatedColumnFormula>
    </tableColumn>
    <tableColumn id="11" name="369">
      <calculatedColumnFormula>_xll.AtlasFormulas.AtlasFunctions.AtlasBalance("PROD",K$1,"T.InventTrans","Count|RecId|0","","","","","","","ItemId|DatePhysical",$A2,"!""")</calculatedColumnFormula>
    </tableColumn>
    <tableColumn id="12" name="371">
      <calculatedColumnFormula>_xll.AtlasFormulas.AtlasFunctions.AtlasBalance("PROD",L$1,"T.InventTrans","Count|RecId|0","","","","","","","ItemId|DatePhysical",$A2,"!""")</calculatedColumnFormula>
    </tableColumn>
    <tableColumn id="13" name="372">
      <calculatedColumnFormula>_xll.AtlasFormulas.AtlasFunctions.AtlasBalance("PROD",M$1,"T.InventTrans","Count|RecId|0","","","","","","","ItemId|DatePhysical",$A2,"!""")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M4" totalsRowShown="0">
  <autoFilter ref="A1:M4"/>
  <tableColumns count="13">
    <tableColumn id="1" name="Item code"/>
    <tableColumn id="2" name="Item name"/>
    <tableColumn id="3" name="345">
      <calculatedColumnFormula>_xll.AtlasFormulas.AtlasFunctions.AtlasBalance("PROD",C$1,"T.BOMTable","Count|RecId|0","","","","","","","BOMId",$A2)</calculatedColumnFormula>
    </tableColumn>
    <tableColumn id="4" name="360">
      <calculatedColumnFormula>_xll.AtlasFormulas.AtlasFunctions.AtlasBalance("PROD",D$1,"T.BOMTable","Count|RecId|0","","","","","","","BOMId",$A2)</calculatedColumnFormula>
    </tableColumn>
    <tableColumn id="5" name="362">
      <calculatedColumnFormula>_xll.AtlasFormulas.AtlasFunctions.AtlasBalance("PROD",E$1,"T.BOMTable","Count|RecId|0","","","","","","","BOMId",$A2)</calculatedColumnFormula>
    </tableColumn>
    <tableColumn id="6" name="363">
      <calculatedColumnFormula>_xll.AtlasFormulas.AtlasFunctions.AtlasBalance("PROD",F$1,"T.BOMTable","Count|RecId|0","","","","","","","BOMId",$A2)</calculatedColumnFormula>
    </tableColumn>
    <tableColumn id="7" name="364">
      <calculatedColumnFormula>_xll.AtlasFormulas.AtlasFunctions.AtlasBalance("PROD",G$1,"T.BOMTable","Count|RecId|0","","","","","","","BOMId",$A2)</calculatedColumnFormula>
    </tableColumn>
    <tableColumn id="8" name="365">
      <calculatedColumnFormula>_xll.AtlasFormulas.AtlasFunctions.AtlasBalance("PROD",H$1,"T.BOMTable","Count|RecId|0","","","","","","","BOMId",$A2)</calculatedColumnFormula>
    </tableColumn>
    <tableColumn id="9" name="366">
      <calculatedColumnFormula>_xll.AtlasFormulas.AtlasFunctions.AtlasBalance("PROD",I$1,"T.BOMTable","Count|RecId|0","","","","","","","BOMId",$A2)</calculatedColumnFormula>
    </tableColumn>
    <tableColumn id="10" name="368">
      <calculatedColumnFormula>_xll.AtlasFormulas.AtlasFunctions.AtlasBalance("PROD",J$1,"T.BOMTable","Count|RecId|0","","","","","","","BOMId",$A2)</calculatedColumnFormula>
    </tableColumn>
    <tableColumn id="11" name="369">
      <calculatedColumnFormula>_xll.AtlasFormulas.AtlasFunctions.AtlasBalance("PROD",K$1,"T.BOMTable","Count|RecId|0","","","","","","","BOMId",$A2)</calculatedColumnFormula>
    </tableColumn>
    <tableColumn id="12" name="371">
      <calculatedColumnFormula>_xll.AtlasFormulas.AtlasFunctions.AtlasBalance("PROD",L$1,"T.BOMTable","Count|RecId|0","","","","","","","BOMId",$A2)</calculatedColumnFormula>
    </tableColumn>
    <tableColumn id="13" name="372">
      <calculatedColumnFormula>_xll.AtlasFormulas.AtlasFunctions.AtlasBalance("PROD",M$1,"T.BOMTable","Count|RecId|0","","","","","","","BOMId",$A2)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M4" totalsRowShown="0">
  <autoFilter ref="A1:M4"/>
  <tableColumns count="13">
    <tableColumn id="1" name="Item code"/>
    <tableColumn id="2" name="Item name"/>
    <tableColumn id="3" name="345">
      <calculatedColumnFormula>_xll.AtlasFormulas.AtlasFunctions.AtlasBalance("PROD",C$1,"T.BOM","Count|RecId|0","","","","","","","ItemId",$A2)</calculatedColumnFormula>
    </tableColumn>
    <tableColumn id="4" name="360">
      <calculatedColumnFormula>_xll.AtlasFormulas.AtlasFunctions.AtlasBalance("PROD",D$1,"T.BOM","Count|RecId|0","","","","","","","ItemId",$A2)</calculatedColumnFormula>
    </tableColumn>
    <tableColumn id="5" name="362">
      <calculatedColumnFormula>_xll.AtlasFormulas.AtlasFunctions.AtlasBalance("PROD",E$1,"T.BOM","Count|RecId|0","","","","","","","ItemId",$A2)</calculatedColumnFormula>
    </tableColumn>
    <tableColumn id="6" name="363">
      <calculatedColumnFormula>_xll.AtlasFormulas.AtlasFunctions.AtlasBalance("PROD",F$1,"T.BOM","Count|RecId|0","","","","","","","ItemId",$A2)</calculatedColumnFormula>
    </tableColumn>
    <tableColumn id="7" name="364">
      <calculatedColumnFormula>_xll.AtlasFormulas.AtlasFunctions.AtlasBalance("PROD",G$1,"T.BOM","Count|RecId|0","","","","","","","ItemId",$A2)</calculatedColumnFormula>
    </tableColumn>
    <tableColumn id="8" name="365">
      <calculatedColumnFormula>_xll.AtlasFormulas.AtlasFunctions.AtlasBalance("PROD",H$1,"T.BOM","Count|RecId|0","","","","","","","ItemId",$A2)</calculatedColumnFormula>
    </tableColumn>
    <tableColumn id="9" name="366">
      <calculatedColumnFormula>_xll.AtlasFormulas.AtlasFunctions.AtlasBalance("PROD",I$1,"T.BOM","Count|RecId|0","","","","","","","ItemId",$A2)</calculatedColumnFormula>
    </tableColumn>
    <tableColumn id="10" name="368">
      <calculatedColumnFormula>_xll.AtlasFormulas.AtlasFunctions.AtlasBalance("PROD",J$1,"T.BOM","Count|RecId|0","","","","","","","ItemId",$A2)</calculatedColumnFormula>
    </tableColumn>
    <tableColumn id="11" name="369">
      <calculatedColumnFormula>_xll.AtlasFormulas.AtlasFunctions.AtlasBalance("PROD",K$1,"T.BOM","Count|RecId|0","","","","","","","ItemId",$A2)</calculatedColumnFormula>
    </tableColumn>
    <tableColumn id="12" name="371">
      <calculatedColumnFormula>_xll.AtlasFormulas.AtlasFunctions.AtlasBalance("PROD",L$1,"T.BOM","Count|RecId|0","","","","","","","ItemId",$A2)</calculatedColumnFormula>
    </tableColumn>
    <tableColumn id="13" name="372">
      <calculatedColumnFormula>_xll.AtlasFormulas.AtlasFunctions.AtlasBalance("PROD",M$1,"T.BOM","Count|RecId|0","","","","","","","ItemId",$A2)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AtlasReport_1_Table_1" displayName="AtlasReport_1_Table_1" ref="A2:F8" totalsRowShown="0">
  <autoFilter ref="A2:F8"/>
  <tableColumns count="6">
    <tableColumn id="1" name="Company accounts" dataDxfId="5"/>
    <tableColumn id="2" name="Item number" dataDxfId="4"/>
    <tableColumn id="3" name="Item name" dataDxfId="3"/>
    <tableColumn id="4" name="Search name" dataDxfId="2"/>
    <tableColumn id="5" name="Item group" dataDxfId="1"/>
    <tableColumn id="6" name="Item 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Do"/>
  <dimension ref="A1:N10"/>
  <sheetViews>
    <sheetView tabSelected="1" workbookViewId="0">
      <selection activeCell="J18" sqref="J18"/>
    </sheetView>
  </sheetViews>
  <sheetFormatPr defaultRowHeight="14.25" x14ac:dyDescent="0.2"/>
  <cols>
    <col min="1" max="2" width="34.875" customWidth="1"/>
    <col min="3" max="14" width="12.375" customWidth="1"/>
  </cols>
  <sheetData>
    <row r="1" spans="1:14" x14ac:dyDescent="0.2">
      <c r="A1" t="s">
        <v>0</v>
      </c>
      <c r="B1" t="s">
        <v>1</v>
      </c>
      <c r="C1" t="s">
        <v>2</v>
      </c>
      <c r="D1" s="7">
        <v>345</v>
      </c>
      <c r="E1" s="7">
        <v>360</v>
      </c>
      <c r="F1" s="7">
        <v>362</v>
      </c>
      <c r="G1" s="7">
        <v>363</v>
      </c>
      <c r="H1" s="7">
        <v>364</v>
      </c>
      <c r="I1" s="7">
        <v>365</v>
      </c>
      <c r="J1" s="7">
        <v>366</v>
      </c>
      <c r="K1" s="7">
        <v>368</v>
      </c>
      <c r="L1" s="7">
        <v>369</v>
      </c>
      <c r="M1" s="7">
        <v>371</v>
      </c>
      <c r="N1" s="7">
        <v>372</v>
      </c>
    </row>
    <row r="2" spans="1:14" ht="28.5" x14ac:dyDescent="0.2">
      <c r="A2" s="11" t="s">
        <v>27</v>
      </c>
      <c r="B2" s="12" t="e">
        <f ca="1">_xll.AtlasFormulas.AtlasFunctions.AtlasTable("Prod","UNI","T.InventTable","%ItemName","","","","","","","ItemId",$A2)</f>
        <v>#NAME?</v>
      </c>
      <c r="C2" s="13" t="s">
        <v>3</v>
      </c>
      <c r="M2" s="14" t="s">
        <v>36</v>
      </c>
    </row>
    <row r="3" spans="1:14" ht="28.5" x14ac:dyDescent="0.2">
      <c r="A3" t="s">
        <v>31</v>
      </c>
      <c r="B3" s="12" t="e">
        <f ca="1">_xll.AtlasFormulas.AtlasFunctions.AtlasTable("Prod","UNI","T.InventTable","%ItemName","","","","","","","ItemId",$A3)</f>
        <v>#NAME?</v>
      </c>
      <c r="C3" s="13" t="s">
        <v>3</v>
      </c>
      <c r="D3" s="14" t="s">
        <v>37</v>
      </c>
      <c r="E3" s="15" t="s">
        <v>15</v>
      </c>
      <c r="K3" s="14" t="s">
        <v>37</v>
      </c>
      <c r="M3" s="14" t="s">
        <v>36</v>
      </c>
    </row>
    <row r="4" spans="1:14" ht="28.5" x14ac:dyDescent="0.2">
      <c r="A4" t="s">
        <v>32</v>
      </c>
      <c r="B4" s="12" t="e">
        <f ca="1">_xll.AtlasFormulas.AtlasFunctions.AtlasTable("Prod","UNI","T.InventTable","%ItemName","","","","","","","ItemId",$A4)</f>
        <v>#NAME?</v>
      </c>
      <c r="C4" s="13" t="s">
        <v>3</v>
      </c>
      <c r="M4" s="14" t="s">
        <v>36</v>
      </c>
    </row>
    <row r="7" spans="1:14" x14ac:dyDescent="0.2">
      <c r="B7" t="s">
        <v>3</v>
      </c>
      <c r="C7" t="s">
        <v>38</v>
      </c>
    </row>
    <row r="10" spans="1:14" x14ac:dyDescent="0.2">
      <c r="B10" t="s">
        <v>15</v>
      </c>
      <c r="D10" t="s">
        <v>31</v>
      </c>
      <c r="E10" t="s">
        <v>31</v>
      </c>
      <c r="K10" t="s">
        <v>31</v>
      </c>
      <c r="M10" t="s">
        <v>38</v>
      </c>
    </row>
  </sheetData>
  <autoFilter ref="A1:N2"/>
  <phoneticPr fontId="2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485775</xdr:colOff>
                    <xdr:row>15</xdr:row>
                    <xdr:rowOff>133350</xdr:rowOff>
                  </from>
                  <to>
                    <xdr:col>5</xdr:col>
                    <xdr:colOff>114300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terials">
                <anchor moveWithCells="1" sizeWithCells="1">
                  <from>
                    <xdr:col>0</xdr:col>
                    <xdr:colOff>2628900</xdr:colOff>
                    <xdr:row>15</xdr:row>
                    <xdr:rowOff>133350</xdr:rowOff>
                  </from>
                  <to>
                    <xdr:col>1</xdr:col>
                    <xdr:colOff>2162175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"/>
  <dimension ref="A1:N4"/>
  <sheetViews>
    <sheetView workbookViewId="0">
      <selection activeCell="A2" sqref="A2:B4"/>
    </sheetView>
  </sheetViews>
  <sheetFormatPr defaultRowHeight="14.25" x14ac:dyDescent="0.2"/>
  <cols>
    <col min="1" max="1" width="25" customWidth="1"/>
    <col min="2" max="3" width="38.125" customWidth="1"/>
    <col min="4" max="4" width="13.125" bestFit="1" customWidth="1"/>
    <col min="5" max="5" width="13.625" bestFit="1" customWidth="1"/>
    <col min="6" max="7" width="11.875" bestFit="1" customWidth="1"/>
    <col min="8" max="11" width="13.125" bestFit="1" customWidth="1"/>
    <col min="12" max="12" width="6.25" bestFit="1" customWidth="1"/>
    <col min="13" max="13" width="14" bestFit="1" customWidth="1"/>
    <col min="14" max="14" width="6.2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2" spans="1:14" x14ac:dyDescent="0.2">
      <c r="A2" s="11" t="s">
        <v>27</v>
      </c>
      <c r="B2" s="12" t="s">
        <v>28</v>
      </c>
      <c r="C2" s="1" t="e">
        <f ca="1">_xll.AtlasFormulas.AtlasFunctions.AtlasTable("PROD",C$1,"T.InventTable","%ItemId","","","","","","","ItemId",$A2)</f>
        <v>#NAME?</v>
      </c>
      <c r="D2" s="1" t="e">
        <f ca="1">_xll.AtlasFormulas.AtlasFunctions.AtlasTable("PROD",D$1,"T.InventTable","%ItemId","","","","","","","ItemId",$A2)</f>
        <v>#NAME?</v>
      </c>
      <c r="E2" s="1" t="e">
        <f ca="1">_xll.AtlasFormulas.AtlasFunctions.AtlasTable("PROD",E$1,"T.InventTable","%ItemId","","","","","","","ItemId",$A2)</f>
        <v>#NAME?</v>
      </c>
      <c r="F2" s="1" t="e">
        <f ca="1">_xll.AtlasFormulas.AtlasFunctions.AtlasTable("PROD",F$1,"T.InventTable","%ItemId","","","","","","","ItemId",$A2)</f>
        <v>#NAME?</v>
      </c>
      <c r="G2" s="1" t="e">
        <f ca="1">_xll.AtlasFormulas.AtlasFunctions.AtlasTable("PROD",G$1,"T.InventTable","%ItemId","","","","","","","ItemId",$A2)</f>
        <v>#NAME?</v>
      </c>
      <c r="H2" s="1" t="e">
        <f ca="1">_xll.AtlasFormulas.AtlasFunctions.AtlasTable("PROD",H$1,"T.InventTable","%ItemId","","","","","","","ItemId",$A2)</f>
        <v>#NAME?</v>
      </c>
      <c r="I2" s="1" t="e">
        <f ca="1">_xll.AtlasFormulas.AtlasFunctions.AtlasTable("PROD",I$1,"T.InventTable","%ItemId","","","","","","","ItemId",$A2)</f>
        <v>#NAME?</v>
      </c>
      <c r="J2" s="1" t="e">
        <f ca="1">_xll.AtlasFormulas.AtlasFunctions.AtlasTable("PROD",J$1,"T.InventTable","%ItemId","","","","","","","ItemId",$A2)</f>
        <v>#NAME?</v>
      </c>
      <c r="K2" s="1" t="e">
        <f ca="1">_xll.AtlasFormulas.AtlasFunctions.AtlasTable("PROD",K$1,"T.InventTable","%ItemId","","","","","","","ItemId",$A2)</f>
        <v>#NAME?</v>
      </c>
      <c r="L2" s="1" t="e">
        <f ca="1">_xll.AtlasFormulas.AtlasFunctions.AtlasTable("PROD",L$1,"T.InventTable","%ItemId","","","","","","","ItemId",$A2)</f>
        <v>#NAME?</v>
      </c>
      <c r="M2" s="1" t="e">
        <f ca="1">_xll.AtlasFormulas.AtlasFunctions.AtlasTable("PROD",M$1,"T.InventTable","%ItemId","","","","","","","ItemId",$A2)</f>
        <v>#NAME?</v>
      </c>
      <c r="N2" s="1" t="e">
        <f ca="1">_xll.AtlasFormulas.AtlasFunctions.AtlasTable("PROD",N$1,"T.InventTable","%ItemId","","","","","","","ItemId",$A2)</f>
        <v>#NAME?</v>
      </c>
    </row>
    <row r="3" spans="1:14" x14ac:dyDescent="0.2">
      <c r="A3" t="s">
        <v>31</v>
      </c>
      <c r="B3" t="s">
        <v>33</v>
      </c>
      <c r="C3" s="1" t="e">
        <f ca="1">_xll.AtlasFormulas.AtlasFunctions.AtlasTable("PROD",C$1,"T.InventTable","%ItemId","","","","","","","ItemId",$A3)</f>
        <v>#NAME?</v>
      </c>
      <c r="D3" s="1" t="e">
        <f ca="1">_xll.AtlasFormulas.AtlasFunctions.AtlasTable("PROD",D$1,"T.InventTable","%ItemId","","","","","","","ItemId",$A3)</f>
        <v>#NAME?</v>
      </c>
      <c r="E3" s="1" t="e">
        <f ca="1">_xll.AtlasFormulas.AtlasFunctions.AtlasTable("PROD",E$1,"T.InventTable","%ItemId","","","","","","","ItemId",$A3)</f>
        <v>#NAME?</v>
      </c>
      <c r="F3" s="1" t="e">
        <f ca="1">_xll.AtlasFormulas.AtlasFunctions.AtlasTable("PROD",F$1,"T.InventTable","%ItemId","","","","","","","ItemId",$A3)</f>
        <v>#NAME?</v>
      </c>
      <c r="G3" s="1" t="e">
        <f ca="1">_xll.AtlasFormulas.AtlasFunctions.AtlasTable("PROD",G$1,"T.InventTable","%ItemId","","","","","","","ItemId",$A3)</f>
        <v>#NAME?</v>
      </c>
      <c r="H3" s="1" t="e">
        <f ca="1">_xll.AtlasFormulas.AtlasFunctions.AtlasTable("PROD",H$1,"T.InventTable","%ItemId","","","","","","","ItemId",$A3)</f>
        <v>#NAME?</v>
      </c>
      <c r="I3" s="1" t="e">
        <f ca="1">_xll.AtlasFormulas.AtlasFunctions.AtlasTable("PROD",I$1,"T.InventTable","%ItemId","","","","","","","ItemId",$A3)</f>
        <v>#NAME?</v>
      </c>
      <c r="J3" s="1" t="e">
        <f ca="1">_xll.AtlasFormulas.AtlasFunctions.AtlasTable("PROD",J$1,"T.InventTable","%ItemId","","","","","","","ItemId",$A3)</f>
        <v>#NAME?</v>
      </c>
      <c r="K3" s="1" t="e">
        <f ca="1">_xll.AtlasFormulas.AtlasFunctions.AtlasTable("PROD",K$1,"T.InventTable","%ItemId","","","","","","","ItemId",$A3)</f>
        <v>#NAME?</v>
      </c>
      <c r="L3" s="1" t="e">
        <f ca="1">_xll.AtlasFormulas.AtlasFunctions.AtlasTable("PROD",L$1,"T.InventTable","%ItemId","","","","","","","ItemId",$A3)</f>
        <v>#NAME?</v>
      </c>
      <c r="M3" s="1" t="e">
        <f ca="1">_xll.AtlasFormulas.AtlasFunctions.AtlasTable("PROD",M$1,"T.InventTable","%ItemId","","","","","","","ItemId",$A3)</f>
        <v>#NAME?</v>
      </c>
      <c r="N3" s="1" t="e">
        <f ca="1">_xll.AtlasFormulas.AtlasFunctions.AtlasTable("PROD",N$1,"T.InventTable","%ItemId","","","","","","","ItemId",$A3)</f>
        <v>#NAME?</v>
      </c>
    </row>
    <row r="4" spans="1:14" x14ac:dyDescent="0.2">
      <c r="A4" t="s">
        <v>32</v>
      </c>
      <c r="B4" t="s">
        <v>35</v>
      </c>
      <c r="C4" s="1" t="e">
        <f ca="1">_xll.AtlasFormulas.AtlasFunctions.AtlasTable("PROD",C$1,"T.InventTable","%ItemId","","","","","","","ItemId",$A4)</f>
        <v>#NAME?</v>
      </c>
      <c r="D4" s="1" t="e">
        <f ca="1">_xll.AtlasFormulas.AtlasFunctions.AtlasTable("PROD",D$1,"T.InventTable","%ItemId","","","","","","","ItemId",$A4)</f>
        <v>#NAME?</v>
      </c>
      <c r="E4" s="1" t="e">
        <f ca="1">_xll.AtlasFormulas.AtlasFunctions.AtlasTable("PROD",E$1,"T.InventTable","%ItemId","","","","","","","ItemId",$A4)</f>
        <v>#NAME?</v>
      </c>
      <c r="F4" s="1" t="e">
        <f ca="1">_xll.AtlasFormulas.AtlasFunctions.AtlasTable("PROD",F$1,"T.InventTable","%ItemId","","","","","","","ItemId",$A4)</f>
        <v>#NAME?</v>
      </c>
      <c r="G4" s="1" t="e">
        <f ca="1">_xll.AtlasFormulas.AtlasFunctions.AtlasTable("PROD",G$1,"T.InventTable","%ItemId","","","","","","","ItemId",$A4)</f>
        <v>#NAME?</v>
      </c>
      <c r="H4" s="1" t="e">
        <f ca="1">_xll.AtlasFormulas.AtlasFunctions.AtlasTable("PROD",H$1,"T.InventTable","%ItemId","","","","","","","ItemId",$A4)</f>
        <v>#NAME?</v>
      </c>
      <c r="I4" s="1" t="e">
        <f ca="1">_xll.AtlasFormulas.AtlasFunctions.AtlasTable("PROD",I$1,"T.InventTable","%ItemId","","","","","","","ItemId",$A4)</f>
        <v>#NAME?</v>
      </c>
      <c r="J4" s="1" t="e">
        <f ca="1">_xll.AtlasFormulas.AtlasFunctions.AtlasTable("PROD",J$1,"T.InventTable","%ItemId","","","","","","","ItemId",$A4)</f>
        <v>#NAME?</v>
      </c>
      <c r="K4" s="1" t="e">
        <f ca="1">_xll.AtlasFormulas.AtlasFunctions.AtlasTable("PROD",K$1,"T.InventTable","%ItemId","","","","","","","ItemId",$A4)</f>
        <v>#NAME?</v>
      </c>
      <c r="L4" s="1" t="e">
        <f ca="1">_xll.AtlasFormulas.AtlasFunctions.AtlasTable("PROD",L$1,"T.InventTable","%ItemId","","","","","","","ItemId",$A4)</f>
        <v>#NAME?</v>
      </c>
      <c r="M4" s="1" t="e">
        <f ca="1">_xll.AtlasFormulas.AtlasFunctions.AtlasTable("PROD",M$1,"T.InventTable","%ItemId","","","","","","","ItemId",$A4)</f>
        <v>#NAME?</v>
      </c>
      <c r="N4" s="1" t="e">
        <f ca="1">_xll.AtlasFormulas.AtlasFunctions.AtlasTable("PROD",N$1,"T.InventTable","%ItemId","","","","","","","ItemId",$A4)</f>
        <v>#NAME?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H"/>
  <dimension ref="A1:M4"/>
  <sheetViews>
    <sheetView workbookViewId="0">
      <selection activeCell="A2" sqref="A2:B4"/>
    </sheetView>
  </sheetViews>
  <sheetFormatPr defaultColWidth="11.375" defaultRowHeight="14.25" x14ac:dyDescent="0.2"/>
  <cols>
    <col min="1" max="1" width="19" bestFit="1" customWidth="1"/>
    <col min="2" max="2" width="42.25" bestFit="1" customWidth="1"/>
  </cols>
  <sheetData>
    <row r="1" spans="1:13" x14ac:dyDescent="0.2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</row>
    <row r="2" spans="1:13" x14ac:dyDescent="0.2">
      <c r="A2" s="11" t="s">
        <v>27</v>
      </c>
      <c r="B2" s="3" t="s">
        <v>28</v>
      </c>
      <c r="C2" t="e">
        <f ca="1">_xll.AtlasFormulas.AtlasFunctions.AtlasBalance("Prod",C$1,"T.InventSum","Sum|AvailPhysical|0","","","","","","","ItemId",$A2)</f>
        <v>#NAME?</v>
      </c>
      <c r="D2" t="e">
        <f ca="1">_xll.AtlasFormulas.AtlasFunctions.AtlasBalance("Prod",D$1,"T.InventSum","Sum|AvailPhysical|0","","","","","","","ItemId",$A2)</f>
        <v>#NAME?</v>
      </c>
      <c r="E2" t="e">
        <f ca="1">_xll.AtlasFormulas.AtlasFunctions.AtlasBalance("Prod",E$1,"T.InventSum","Sum|AvailPhysical|0","","","","","","","ItemId",$A2)</f>
        <v>#NAME?</v>
      </c>
      <c r="F2" t="e">
        <f ca="1">_xll.AtlasFormulas.AtlasFunctions.AtlasBalance("Prod",F$1,"T.InventSum","Sum|AvailPhysical|0","","","","","","","ItemId",$A2)</f>
        <v>#NAME?</v>
      </c>
      <c r="G2" t="e">
        <f ca="1">_xll.AtlasFormulas.AtlasFunctions.AtlasBalance("Prod",G$1,"T.InventSum","Sum|AvailPhysical|0","","","","","","","ItemId",$A2)</f>
        <v>#NAME?</v>
      </c>
      <c r="H2" t="e">
        <f ca="1">_xll.AtlasFormulas.AtlasFunctions.AtlasBalance("Prod",H$1,"T.InventSum","Sum|AvailPhysical|0","","","","","","","ItemId",$A2)</f>
        <v>#NAME?</v>
      </c>
      <c r="I2" t="e">
        <f ca="1">_xll.AtlasFormulas.AtlasFunctions.AtlasBalance("Prod",I$1,"T.InventSum","Sum|AvailPhysical|0","","","","","","","ItemId",$A2)</f>
        <v>#NAME?</v>
      </c>
      <c r="J2" t="e">
        <f ca="1">_xll.AtlasFormulas.AtlasFunctions.AtlasBalance("Prod",J$1,"T.InventSum","Sum|AvailPhysical|0","","","","","","","ItemId",$A2)</f>
        <v>#NAME?</v>
      </c>
      <c r="K2" t="e">
        <f ca="1">_xll.AtlasFormulas.AtlasFunctions.AtlasBalance("Prod",K$1,"T.InventSum","Sum|AvailPhysical|0","","","","","","","ItemId",$A2)</f>
        <v>#NAME?</v>
      </c>
      <c r="L2" t="e">
        <f ca="1">_xll.AtlasFormulas.AtlasFunctions.AtlasBalance("Prod",L$1,"T.InventSum","Sum|AvailPhysical|0","","","","","","","ItemId",$A2)</f>
        <v>#NAME?</v>
      </c>
      <c r="M2" t="e">
        <f ca="1">_xll.AtlasFormulas.AtlasFunctions.AtlasBalance("Prod",M$1,"T.InventSum","Sum|AvailPhysical|0","","","","","","","ItemId",$A2)</f>
        <v>#NAME?</v>
      </c>
    </row>
    <row r="3" spans="1:13" x14ac:dyDescent="0.2">
      <c r="A3" t="s">
        <v>31</v>
      </c>
      <c r="B3" t="s">
        <v>33</v>
      </c>
      <c r="C3" t="e">
        <f ca="1">_xll.AtlasFormulas.AtlasFunctions.AtlasBalance("Prod",C$1,"T.InventSum","Sum|AvailPhysical|0","","","","","","","ItemId",$A3)</f>
        <v>#NAME?</v>
      </c>
      <c r="D3" t="e">
        <f ca="1">_xll.AtlasFormulas.AtlasFunctions.AtlasBalance("Prod",D$1,"T.InventSum","Sum|AvailPhysical|0","","","","","","","ItemId",$A3)</f>
        <v>#NAME?</v>
      </c>
      <c r="E3" t="e">
        <f ca="1">_xll.AtlasFormulas.AtlasFunctions.AtlasBalance("Prod",E$1,"T.InventSum","Sum|AvailPhysical|0","","","","","","","ItemId",$A3)</f>
        <v>#NAME?</v>
      </c>
      <c r="F3" t="e">
        <f ca="1">_xll.AtlasFormulas.AtlasFunctions.AtlasBalance("Prod",F$1,"T.InventSum","Sum|AvailPhysical|0","","","","","","","ItemId",$A3)</f>
        <v>#NAME?</v>
      </c>
      <c r="G3" t="e">
        <f ca="1">_xll.AtlasFormulas.AtlasFunctions.AtlasBalance("Prod",G$1,"T.InventSum","Sum|AvailPhysical|0","","","","","","","ItemId",$A3)</f>
        <v>#NAME?</v>
      </c>
      <c r="H3" t="e">
        <f ca="1">_xll.AtlasFormulas.AtlasFunctions.AtlasBalance("Prod",H$1,"T.InventSum","Sum|AvailPhysical|0","","","","","","","ItemId",$A3)</f>
        <v>#NAME?</v>
      </c>
      <c r="I3" t="e">
        <f ca="1">_xll.AtlasFormulas.AtlasFunctions.AtlasBalance("Prod",I$1,"T.InventSum","Sum|AvailPhysical|0","","","","","","","ItemId",$A3)</f>
        <v>#NAME?</v>
      </c>
      <c r="J3" t="e">
        <f ca="1">_xll.AtlasFormulas.AtlasFunctions.AtlasBalance("Prod",J$1,"T.InventSum","Sum|AvailPhysical|0","","","","","","","ItemId",$A3)</f>
        <v>#NAME?</v>
      </c>
      <c r="K3" t="e">
        <f ca="1">_xll.AtlasFormulas.AtlasFunctions.AtlasBalance("Prod",K$1,"T.InventSum","Sum|AvailPhysical|0","","","","","","","ItemId",$A3)</f>
        <v>#NAME?</v>
      </c>
      <c r="L3" t="e">
        <f ca="1">_xll.AtlasFormulas.AtlasFunctions.AtlasBalance("Prod",L$1,"T.InventSum","Sum|AvailPhysical|0","","","","","","","ItemId",$A3)</f>
        <v>#NAME?</v>
      </c>
      <c r="M3" t="e">
        <f ca="1">_xll.AtlasFormulas.AtlasFunctions.AtlasBalance("Prod",M$1,"T.InventSum","Sum|AvailPhysical|0","","","","","","","ItemId",$A3)</f>
        <v>#NAME?</v>
      </c>
    </row>
    <row r="4" spans="1:13" x14ac:dyDescent="0.2">
      <c r="A4" t="s">
        <v>32</v>
      </c>
      <c r="B4" t="s">
        <v>35</v>
      </c>
      <c r="C4" t="e">
        <f ca="1">_xll.AtlasFormulas.AtlasFunctions.AtlasBalance("Prod",C$1,"T.InventSum","Sum|AvailPhysical|0","","","","","","","ItemId",$A4)</f>
        <v>#NAME?</v>
      </c>
      <c r="D4" t="e">
        <f ca="1">_xll.AtlasFormulas.AtlasFunctions.AtlasBalance("Prod",D$1,"T.InventSum","Sum|AvailPhysical|0","","","","","","","ItemId",$A4)</f>
        <v>#NAME?</v>
      </c>
      <c r="E4" t="e">
        <f ca="1">_xll.AtlasFormulas.AtlasFunctions.AtlasBalance("Prod",E$1,"T.InventSum","Sum|AvailPhysical|0","","","","","","","ItemId",$A4)</f>
        <v>#NAME?</v>
      </c>
      <c r="F4" t="e">
        <f ca="1">_xll.AtlasFormulas.AtlasFunctions.AtlasBalance("Prod",F$1,"T.InventSum","Sum|AvailPhysical|0","","","","","","","ItemId",$A4)</f>
        <v>#NAME?</v>
      </c>
      <c r="G4" t="e">
        <f ca="1">_xll.AtlasFormulas.AtlasFunctions.AtlasBalance("Prod",G$1,"T.InventSum","Sum|AvailPhysical|0","","","","","","","ItemId",$A4)</f>
        <v>#NAME?</v>
      </c>
      <c r="H4" t="e">
        <f ca="1">_xll.AtlasFormulas.AtlasFunctions.AtlasBalance("Prod",H$1,"T.InventSum","Sum|AvailPhysical|0","","","","","","","ItemId",$A4)</f>
        <v>#NAME?</v>
      </c>
      <c r="I4" t="e">
        <f ca="1">_xll.AtlasFormulas.AtlasFunctions.AtlasBalance("Prod",I$1,"T.InventSum","Sum|AvailPhysical|0","","","","","","","ItemId",$A4)</f>
        <v>#NAME?</v>
      </c>
      <c r="J4" t="e">
        <f ca="1">_xll.AtlasFormulas.AtlasFunctions.AtlasBalance("Prod",J$1,"T.InventSum","Sum|AvailPhysical|0","","","","","","","ItemId",$A4)</f>
        <v>#NAME?</v>
      </c>
      <c r="K4" t="e">
        <f ca="1">_xll.AtlasFormulas.AtlasFunctions.AtlasBalance("Prod",K$1,"T.InventSum","Sum|AvailPhysical|0","","","","","","","ItemId",$A4)</f>
        <v>#NAME?</v>
      </c>
      <c r="L4" t="e">
        <f ca="1">_xll.AtlasFormulas.AtlasFunctions.AtlasBalance("Prod",L$1,"T.InventSum","Sum|AvailPhysical|0","","","","","","","ItemId",$A4)</f>
        <v>#NAME?</v>
      </c>
      <c r="M4" t="e">
        <f ca="1">_xll.AtlasFormulas.AtlasFunctions.AtlasBalance("Prod",M$1,"T.InventSum","Sum|AvailPhysical|0","","","","","","","ItemId",$A4)</f>
        <v>#NAME?</v>
      </c>
    </row>
  </sheetData>
  <phoneticPr fontId="22" type="noConversion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M4"/>
  <sheetViews>
    <sheetView workbookViewId="0">
      <selection activeCell="A2" sqref="A2:B4"/>
    </sheetView>
  </sheetViews>
  <sheetFormatPr defaultRowHeight="14.25" x14ac:dyDescent="0.2"/>
  <cols>
    <col min="1" max="1" width="19.125" bestFit="1" customWidth="1"/>
    <col min="2" max="2" width="42.625" bestFit="1" customWidth="1"/>
    <col min="3" max="13" width="14.25" customWidth="1"/>
  </cols>
  <sheetData>
    <row r="1" spans="1:13" x14ac:dyDescent="0.2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</row>
    <row r="2" spans="1:13" x14ac:dyDescent="0.2">
      <c r="A2" s="11" t="s">
        <v>27</v>
      </c>
      <c r="B2" s="4" t="s">
        <v>28</v>
      </c>
      <c r="C2" t="e">
        <f ca="1">_xll.AtlasFormulas.AtlasFunctions.AtlasBalance("PROD",C$1,"T.InventTrans","Count|RecId|0","","","","","","","ItemId|DatePhysical",$A2,"!""")</f>
        <v>#NAME?</v>
      </c>
      <c r="D2" t="e">
        <f ca="1">_xll.AtlasFormulas.AtlasFunctions.AtlasBalance("PROD",D$1,"T.InventTrans","Count|RecId|0","","","","","","","ItemId|DatePhysical",$A2,"!""")</f>
        <v>#NAME?</v>
      </c>
      <c r="E2" t="e">
        <f ca="1">_xll.AtlasFormulas.AtlasFunctions.AtlasBalance("PROD",E$1,"T.InventTrans","Count|RecId|0","","","","","","","ItemId|DatePhysical",$A2,"!""")</f>
        <v>#NAME?</v>
      </c>
      <c r="F2" t="e">
        <f ca="1">_xll.AtlasFormulas.AtlasFunctions.AtlasBalance("PROD",F$1,"T.InventTrans","Count|RecId|0","","","","","","","ItemId|DatePhysical",$A2,"!""")</f>
        <v>#NAME?</v>
      </c>
      <c r="G2" t="e">
        <f ca="1">_xll.AtlasFormulas.AtlasFunctions.AtlasBalance("PROD",G$1,"T.InventTrans","Count|RecId|0","","","","","","","ItemId|DatePhysical",$A2,"!""")</f>
        <v>#NAME?</v>
      </c>
      <c r="H2" t="e">
        <f ca="1">_xll.AtlasFormulas.AtlasFunctions.AtlasBalance("PROD",H$1,"T.InventTrans","Count|RecId|0","","","","","","","ItemId|DatePhysical",$A2,"!""")</f>
        <v>#NAME?</v>
      </c>
      <c r="I2" t="e">
        <f ca="1">_xll.AtlasFormulas.AtlasFunctions.AtlasBalance("PROD",I$1,"T.InventTrans","Count|RecId|0","","","","","","","ItemId|DatePhysical",$A2,"!""")</f>
        <v>#NAME?</v>
      </c>
      <c r="J2" t="e">
        <f ca="1">_xll.AtlasFormulas.AtlasFunctions.AtlasBalance("PROD",J$1,"T.InventTrans","Count|RecId|0","","","","","","","ItemId|DatePhysical",$A2,"!""")</f>
        <v>#NAME?</v>
      </c>
      <c r="K2" t="e">
        <f ca="1">_xll.AtlasFormulas.AtlasFunctions.AtlasBalance("PROD",K$1,"T.InventTrans","Count|RecId|0","","","","","","","ItemId|DatePhysical",$A2,"!""")</f>
        <v>#NAME?</v>
      </c>
      <c r="L2" t="e">
        <f ca="1">_xll.AtlasFormulas.AtlasFunctions.AtlasBalance("PROD",L$1,"T.InventTrans","Count|RecId|0","","","","","","","ItemId|DatePhysical",$A2,"!""")</f>
        <v>#NAME?</v>
      </c>
      <c r="M2" t="e">
        <f ca="1">_xll.AtlasFormulas.AtlasFunctions.AtlasBalance("PROD",M$1,"T.InventTrans","Count|RecId|0","","","","","","","ItemId|DatePhysical",$A2,"!""")</f>
        <v>#NAME?</v>
      </c>
    </row>
    <row r="3" spans="1:13" x14ac:dyDescent="0.2">
      <c r="A3" t="s">
        <v>31</v>
      </c>
      <c r="B3" t="s">
        <v>33</v>
      </c>
      <c r="C3" t="e">
        <f ca="1">_xll.AtlasFormulas.AtlasFunctions.AtlasBalance("PROD",C$1,"T.InventTrans","Count|RecId|0","","","","","","","ItemId|DatePhysical",$A3,"!""")</f>
        <v>#NAME?</v>
      </c>
      <c r="D3" t="e">
        <f ca="1">_xll.AtlasFormulas.AtlasFunctions.AtlasBalance("PROD",D$1,"T.InventTrans","Count|RecId|0","","","","","","","ItemId|DatePhysical",$A3,"!""")</f>
        <v>#NAME?</v>
      </c>
      <c r="E3" t="e">
        <f ca="1">_xll.AtlasFormulas.AtlasFunctions.AtlasBalance("PROD",E$1,"T.InventTrans","Count|RecId|0","","","","","","","ItemId|DatePhysical",$A3,"!""")</f>
        <v>#NAME?</v>
      </c>
      <c r="F3" t="e">
        <f ca="1">_xll.AtlasFormulas.AtlasFunctions.AtlasBalance("PROD",F$1,"T.InventTrans","Count|RecId|0","","","","","","","ItemId|DatePhysical",$A3,"!""")</f>
        <v>#NAME?</v>
      </c>
      <c r="G3" t="e">
        <f ca="1">_xll.AtlasFormulas.AtlasFunctions.AtlasBalance("PROD",G$1,"T.InventTrans","Count|RecId|0","","","","","","","ItemId|DatePhysical",$A3,"!""")</f>
        <v>#NAME?</v>
      </c>
      <c r="H3" t="e">
        <f ca="1">_xll.AtlasFormulas.AtlasFunctions.AtlasBalance("PROD",H$1,"T.InventTrans","Count|RecId|0","","","","","","","ItemId|DatePhysical",$A3,"!""")</f>
        <v>#NAME?</v>
      </c>
      <c r="I3" t="e">
        <f ca="1">_xll.AtlasFormulas.AtlasFunctions.AtlasBalance("PROD",I$1,"T.InventTrans","Count|RecId|0","","","","","","","ItemId|DatePhysical",$A3,"!""")</f>
        <v>#NAME?</v>
      </c>
      <c r="J3" t="e">
        <f ca="1">_xll.AtlasFormulas.AtlasFunctions.AtlasBalance("PROD",J$1,"T.InventTrans","Count|RecId|0","","","","","","","ItemId|DatePhysical",$A3,"!""")</f>
        <v>#NAME?</v>
      </c>
      <c r="K3" t="e">
        <f ca="1">_xll.AtlasFormulas.AtlasFunctions.AtlasBalance("PROD",K$1,"T.InventTrans","Count|RecId|0","","","","","","","ItemId|DatePhysical",$A3,"!""")</f>
        <v>#NAME?</v>
      </c>
      <c r="L3" t="e">
        <f ca="1">_xll.AtlasFormulas.AtlasFunctions.AtlasBalance("PROD",L$1,"T.InventTrans","Count|RecId|0","","","","","","","ItemId|DatePhysical",$A3,"!""")</f>
        <v>#NAME?</v>
      </c>
      <c r="M3" t="e">
        <f ca="1">_xll.AtlasFormulas.AtlasFunctions.AtlasBalance("PROD",M$1,"T.InventTrans","Count|RecId|0","","","","","","","ItemId|DatePhysical",$A3,"!""")</f>
        <v>#NAME?</v>
      </c>
    </row>
    <row r="4" spans="1:13" x14ac:dyDescent="0.2">
      <c r="A4" t="s">
        <v>32</v>
      </c>
      <c r="B4" t="s">
        <v>35</v>
      </c>
      <c r="C4" t="e">
        <f ca="1">_xll.AtlasFormulas.AtlasFunctions.AtlasBalance("PROD",C$1,"T.InventTrans","Count|RecId|0","","","","","","","ItemId|DatePhysical",$A4,"!""")</f>
        <v>#NAME?</v>
      </c>
      <c r="D4" t="e">
        <f ca="1">_xll.AtlasFormulas.AtlasFunctions.AtlasBalance("PROD",D$1,"T.InventTrans","Count|RecId|0","","","","","","","ItemId|DatePhysical",$A4,"!""")</f>
        <v>#NAME?</v>
      </c>
      <c r="E4" t="e">
        <f ca="1">_xll.AtlasFormulas.AtlasFunctions.AtlasBalance("PROD",E$1,"T.InventTrans","Count|RecId|0","","","","","","","ItemId|DatePhysical",$A4,"!""")</f>
        <v>#NAME?</v>
      </c>
      <c r="F4" t="e">
        <f ca="1">_xll.AtlasFormulas.AtlasFunctions.AtlasBalance("PROD",F$1,"T.InventTrans","Count|RecId|0","","","","","","","ItemId|DatePhysical",$A4,"!""")</f>
        <v>#NAME?</v>
      </c>
      <c r="G4" t="e">
        <f ca="1">_xll.AtlasFormulas.AtlasFunctions.AtlasBalance("PROD",G$1,"T.InventTrans","Count|RecId|0","","","","","","","ItemId|DatePhysical",$A4,"!""")</f>
        <v>#NAME?</v>
      </c>
      <c r="H4" t="e">
        <f ca="1">_xll.AtlasFormulas.AtlasFunctions.AtlasBalance("PROD",H$1,"T.InventTrans","Count|RecId|0","","","","","","","ItemId|DatePhysical",$A4,"!""")</f>
        <v>#NAME?</v>
      </c>
      <c r="I4" t="e">
        <f ca="1">_xll.AtlasFormulas.AtlasFunctions.AtlasBalance("PROD",I$1,"T.InventTrans","Count|RecId|0","","","","","","","ItemId|DatePhysical",$A4,"!""")</f>
        <v>#NAME?</v>
      </c>
      <c r="J4" t="e">
        <f ca="1">_xll.AtlasFormulas.AtlasFunctions.AtlasBalance("PROD",J$1,"T.InventTrans","Count|RecId|0","","","","","","","ItemId|DatePhysical",$A4,"!""")</f>
        <v>#NAME?</v>
      </c>
      <c r="K4" t="e">
        <f ca="1">_xll.AtlasFormulas.AtlasFunctions.AtlasBalance("PROD",K$1,"T.InventTrans","Count|RecId|0","","","","","","","ItemId|DatePhysical",$A4,"!""")</f>
        <v>#NAME?</v>
      </c>
      <c r="L4" t="e">
        <f ca="1">_xll.AtlasFormulas.AtlasFunctions.AtlasBalance("PROD",L$1,"T.InventTrans","Count|RecId|0","","","","","","","ItemId|DatePhysical",$A4,"!""")</f>
        <v>#NAME?</v>
      </c>
      <c r="M4" t="e">
        <f ca="1">_xll.AtlasFormulas.AtlasFunctions.AtlasBalance("PROD",M$1,"T.InventTrans","Count|RecId|0","","","","","","","ItemId|DatePhysical",$A4,"!""")</f>
        <v>#NAME?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"/>
  <dimension ref="A1:M4"/>
  <sheetViews>
    <sheetView workbookViewId="0">
      <selection activeCell="A2" sqref="A2:B4"/>
    </sheetView>
  </sheetViews>
  <sheetFormatPr defaultRowHeight="14.25" x14ac:dyDescent="0.2"/>
  <cols>
    <col min="1" max="1" width="19.125" bestFit="1" customWidth="1"/>
    <col min="2" max="2" width="42.625" bestFit="1" customWidth="1"/>
    <col min="3" max="4" width="15" bestFit="1" customWidth="1"/>
    <col min="5" max="6" width="6.125" customWidth="1"/>
    <col min="7" max="7" width="15" bestFit="1" customWidth="1"/>
    <col min="8" max="9" width="6.125" customWidth="1"/>
    <col min="10" max="10" width="15" bestFit="1" customWidth="1"/>
    <col min="11" max="11" width="11.75" bestFit="1" customWidth="1"/>
    <col min="12" max="12" width="19.125" bestFit="1" customWidth="1"/>
    <col min="13" max="13" width="6.125" customWidth="1"/>
  </cols>
  <sheetData>
    <row r="1" spans="1:13" x14ac:dyDescent="0.2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</row>
    <row r="2" spans="1:13" x14ac:dyDescent="0.2">
      <c r="A2" s="11" t="s">
        <v>27</v>
      </c>
      <c r="B2" s="5" t="s">
        <v>28</v>
      </c>
      <c r="C2" t="e">
        <f ca="1">_xll.AtlasFormulas.AtlasFunctions.AtlasBalance("PROD",C$1,"T.BOMTable","Count|RecId|0","","","","","","","BOMId",$A2)</f>
        <v>#NAME?</v>
      </c>
      <c r="D2" t="e">
        <f ca="1">_xll.AtlasFormulas.AtlasFunctions.AtlasBalance("PROD",D$1,"T.BOMTable","Count|RecId|0","","","","","","","BOMId",$A2)</f>
        <v>#NAME?</v>
      </c>
      <c r="E2" t="e">
        <f ca="1">_xll.AtlasFormulas.AtlasFunctions.AtlasBalance("PROD",E$1,"T.BOMTable","Count|RecId|0","","","","","","","BOMId",$A2)</f>
        <v>#NAME?</v>
      </c>
      <c r="F2" t="e">
        <f ca="1">_xll.AtlasFormulas.AtlasFunctions.AtlasBalance("PROD",F$1,"T.BOMTable","Count|RecId|0","","","","","","","BOMId",$A2)</f>
        <v>#NAME?</v>
      </c>
      <c r="G2" t="e">
        <f ca="1">_xll.AtlasFormulas.AtlasFunctions.AtlasBalance("PROD",G$1,"T.BOMTable","Count|RecId|0","","","","","","","BOMId",$A2)</f>
        <v>#NAME?</v>
      </c>
      <c r="H2" t="e">
        <f ca="1">_xll.AtlasFormulas.AtlasFunctions.AtlasBalance("PROD",H$1,"T.BOMTable","Count|RecId|0","","","","","","","BOMId",$A2)</f>
        <v>#NAME?</v>
      </c>
      <c r="I2" t="e">
        <f ca="1">_xll.AtlasFormulas.AtlasFunctions.AtlasBalance("PROD",I$1,"T.BOMTable","Count|RecId|0","","","","","","","BOMId",$A2)</f>
        <v>#NAME?</v>
      </c>
      <c r="J2" t="e">
        <f ca="1">_xll.AtlasFormulas.AtlasFunctions.AtlasBalance("PROD",J$1,"T.BOMTable","Count|RecId|0","","","","","","","BOMId",$A2)</f>
        <v>#NAME?</v>
      </c>
      <c r="K2" t="e">
        <f ca="1">_xll.AtlasFormulas.AtlasFunctions.AtlasBalance("PROD",K$1,"T.BOMTable","Count|RecId|0","","","","","","","BOMId",$A2)</f>
        <v>#NAME?</v>
      </c>
      <c r="L2" t="e">
        <f ca="1">_xll.AtlasFormulas.AtlasFunctions.AtlasBalance("PROD",L$1,"T.BOMTable","Count|RecId|0","","","","","","","BOMId",$A2)</f>
        <v>#NAME?</v>
      </c>
      <c r="M2" t="e">
        <f ca="1">_xll.AtlasFormulas.AtlasFunctions.AtlasBalance("PROD",M$1,"T.BOMTable","Count|RecId|0","","","","","","","BOMId",$A2)</f>
        <v>#NAME?</v>
      </c>
    </row>
    <row r="3" spans="1:13" x14ac:dyDescent="0.2">
      <c r="A3" t="s">
        <v>31</v>
      </c>
      <c r="B3" t="s">
        <v>33</v>
      </c>
      <c r="C3" t="e">
        <f ca="1">_xll.AtlasFormulas.AtlasFunctions.AtlasBalance("PROD",C$1,"T.BOMTable","Count|RecId|0","","","","","","","BOMId",$A3)</f>
        <v>#NAME?</v>
      </c>
      <c r="D3" t="e">
        <f ca="1">_xll.AtlasFormulas.AtlasFunctions.AtlasBalance("PROD",D$1,"T.BOMTable","Count|RecId|0","","","","","","","BOMId",$A3)</f>
        <v>#NAME?</v>
      </c>
      <c r="E3" t="e">
        <f ca="1">_xll.AtlasFormulas.AtlasFunctions.AtlasBalance("PROD",E$1,"T.BOMTable","Count|RecId|0","","","","","","","BOMId",$A3)</f>
        <v>#NAME?</v>
      </c>
      <c r="F3" t="e">
        <f ca="1">_xll.AtlasFormulas.AtlasFunctions.AtlasBalance("PROD",F$1,"T.BOMTable","Count|RecId|0","","","","","","","BOMId",$A3)</f>
        <v>#NAME?</v>
      </c>
      <c r="G3" t="e">
        <f ca="1">_xll.AtlasFormulas.AtlasFunctions.AtlasBalance("PROD",G$1,"T.BOMTable","Count|RecId|0","","","","","","","BOMId",$A3)</f>
        <v>#NAME?</v>
      </c>
      <c r="H3" t="e">
        <f ca="1">_xll.AtlasFormulas.AtlasFunctions.AtlasBalance("PROD",H$1,"T.BOMTable","Count|RecId|0","","","","","","","BOMId",$A3)</f>
        <v>#NAME?</v>
      </c>
      <c r="I3" t="e">
        <f ca="1">_xll.AtlasFormulas.AtlasFunctions.AtlasBalance("PROD",I$1,"T.BOMTable","Count|RecId|0","","","","","","","BOMId",$A3)</f>
        <v>#NAME?</v>
      </c>
      <c r="J3" t="e">
        <f ca="1">_xll.AtlasFormulas.AtlasFunctions.AtlasBalance("PROD",J$1,"T.BOMTable","Count|RecId|0","","","","","","","BOMId",$A3)</f>
        <v>#NAME?</v>
      </c>
      <c r="K3" t="e">
        <f ca="1">_xll.AtlasFormulas.AtlasFunctions.AtlasBalance("PROD",K$1,"T.BOMTable","Count|RecId|0","","","","","","","BOMId",$A3)</f>
        <v>#NAME?</v>
      </c>
      <c r="L3" t="e">
        <f ca="1">_xll.AtlasFormulas.AtlasFunctions.AtlasBalance("PROD",L$1,"T.BOMTable","Count|RecId|0","","","","","","","BOMId",$A3)</f>
        <v>#NAME?</v>
      </c>
      <c r="M3" t="e">
        <f ca="1">_xll.AtlasFormulas.AtlasFunctions.AtlasBalance("PROD",M$1,"T.BOMTable","Count|RecId|0","","","","","","","BOMId",$A3)</f>
        <v>#NAME?</v>
      </c>
    </row>
    <row r="4" spans="1:13" x14ac:dyDescent="0.2">
      <c r="A4" t="s">
        <v>32</v>
      </c>
      <c r="B4" t="s">
        <v>35</v>
      </c>
      <c r="C4" t="e">
        <f ca="1">_xll.AtlasFormulas.AtlasFunctions.AtlasBalance("PROD",C$1,"T.BOMTable","Count|RecId|0","","","","","","","BOMId",$A4)</f>
        <v>#NAME?</v>
      </c>
      <c r="D4" t="e">
        <f ca="1">_xll.AtlasFormulas.AtlasFunctions.AtlasBalance("PROD",D$1,"T.BOMTable","Count|RecId|0","","","","","","","BOMId",$A4)</f>
        <v>#NAME?</v>
      </c>
      <c r="E4" t="e">
        <f ca="1">_xll.AtlasFormulas.AtlasFunctions.AtlasBalance("PROD",E$1,"T.BOMTable","Count|RecId|0","","","","","","","BOMId",$A4)</f>
        <v>#NAME?</v>
      </c>
      <c r="F4" t="e">
        <f ca="1">_xll.AtlasFormulas.AtlasFunctions.AtlasBalance("PROD",F$1,"T.BOMTable","Count|RecId|0","","","","","","","BOMId",$A4)</f>
        <v>#NAME?</v>
      </c>
      <c r="G4" t="e">
        <f ca="1">_xll.AtlasFormulas.AtlasFunctions.AtlasBalance("PROD",G$1,"T.BOMTable","Count|RecId|0","","","","","","","BOMId",$A4)</f>
        <v>#NAME?</v>
      </c>
      <c r="H4" t="e">
        <f ca="1">_xll.AtlasFormulas.AtlasFunctions.AtlasBalance("PROD",H$1,"T.BOMTable","Count|RecId|0","","","","","","","BOMId",$A4)</f>
        <v>#NAME?</v>
      </c>
      <c r="I4" t="e">
        <f ca="1">_xll.AtlasFormulas.AtlasFunctions.AtlasBalance("PROD",I$1,"T.BOMTable","Count|RecId|0","","","","","","","BOMId",$A4)</f>
        <v>#NAME?</v>
      </c>
      <c r="J4" t="e">
        <f ca="1">_xll.AtlasFormulas.AtlasFunctions.AtlasBalance("PROD",J$1,"T.BOMTable","Count|RecId|0","","","","","","","BOMId",$A4)</f>
        <v>#NAME?</v>
      </c>
      <c r="K4" t="e">
        <f ca="1">_xll.AtlasFormulas.AtlasFunctions.AtlasBalance("PROD",K$1,"T.BOMTable","Count|RecId|0","","","","","","","BOMId",$A4)</f>
        <v>#NAME?</v>
      </c>
      <c r="L4" t="e">
        <f ca="1">_xll.AtlasFormulas.AtlasFunctions.AtlasBalance("PROD",L$1,"T.BOMTable","Count|RecId|0","","","","","","","BOMId",$A4)</f>
        <v>#NAME?</v>
      </c>
      <c r="M4" t="e">
        <f ca="1">_xll.AtlasFormulas.AtlasFunctions.AtlasBalance("PROD",M$1,"T.BOMTable","Count|RecId|0","","","","","","","BOMId",$A4)</f>
        <v>#NAME?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BOMLines"/>
  <dimension ref="A1:M4"/>
  <sheetViews>
    <sheetView workbookViewId="0">
      <selection activeCell="A2" sqref="A2:B4"/>
    </sheetView>
  </sheetViews>
  <sheetFormatPr defaultRowHeight="14.25" x14ac:dyDescent="0.2"/>
  <cols>
    <col min="1" max="1" width="19.125" bestFit="1" customWidth="1"/>
    <col min="2" max="2" width="42.625" bestFit="1" customWidth="1"/>
    <col min="3" max="13" width="6.125" customWidth="1"/>
  </cols>
  <sheetData>
    <row r="1" spans="1:13" x14ac:dyDescent="0.2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</row>
    <row r="2" spans="1:13" x14ac:dyDescent="0.2">
      <c r="A2" s="11" t="s">
        <v>27</v>
      </c>
      <c r="B2" s="6" t="s">
        <v>28</v>
      </c>
      <c r="C2" t="e">
        <f ca="1">_xll.AtlasFormulas.AtlasFunctions.AtlasBalance("PROD",C$1,"T.BOM","Count|RecId|0","","","","","","","ItemId",$A2)</f>
        <v>#NAME?</v>
      </c>
      <c r="D2" t="e">
        <f ca="1">_xll.AtlasFormulas.AtlasFunctions.AtlasBalance("PROD",D$1,"T.BOM","Count|RecId|0","","","","","","","ItemId",$A2)</f>
        <v>#NAME?</v>
      </c>
      <c r="E2" t="e">
        <f ca="1">_xll.AtlasFormulas.AtlasFunctions.AtlasBalance("PROD",E$1,"T.BOM","Count|RecId|0","","","","","","","ItemId",$A2)</f>
        <v>#NAME?</v>
      </c>
      <c r="F2" t="e">
        <f ca="1">_xll.AtlasFormulas.AtlasFunctions.AtlasBalance("PROD",F$1,"T.BOM","Count|RecId|0","","","","","","","ItemId",$A2)</f>
        <v>#NAME?</v>
      </c>
      <c r="G2" t="e">
        <f ca="1">_xll.AtlasFormulas.AtlasFunctions.AtlasBalance("PROD",G$1,"T.BOM","Count|RecId|0","","","","","","","ItemId",$A2)</f>
        <v>#NAME?</v>
      </c>
      <c r="H2" t="e">
        <f ca="1">_xll.AtlasFormulas.AtlasFunctions.AtlasBalance("PROD",H$1,"T.BOM","Count|RecId|0","","","","","","","ItemId",$A2)</f>
        <v>#NAME?</v>
      </c>
      <c r="I2" t="e">
        <f ca="1">_xll.AtlasFormulas.AtlasFunctions.AtlasBalance("PROD",I$1,"T.BOM","Count|RecId|0","","","","","","","ItemId",$A2)</f>
        <v>#NAME?</v>
      </c>
      <c r="J2" t="e">
        <f ca="1">_xll.AtlasFormulas.AtlasFunctions.AtlasBalance("PROD",J$1,"T.BOM","Count|RecId|0","","","","","","","ItemId",$A2)</f>
        <v>#NAME?</v>
      </c>
      <c r="K2" t="e">
        <f ca="1">_xll.AtlasFormulas.AtlasFunctions.AtlasBalance("PROD",K$1,"T.BOM","Count|RecId|0","","","","","","","ItemId",$A2)</f>
        <v>#NAME?</v>
      </c>
      <c r="L2" t="e">
        <f ca="1">_xll.AtlasFormulas.AtlasFunctions.AtlasBalance("PROD",L$1,"T.BOM","Count|RecId|0","","","","","","","ItemId",$A2)</f>
        <v>#NAME?</v>
      </c>
      <c r="M2" t="e">
        <f ca="1">_xll.AtlasFormulas.AtlasFunctions.AtlasBalance("PROD",M$1,"T.BOM","Count|RecId|0","","","","","","","ItemId",$A2)</f>
        <v>#NAME?</v>
      </c>
    </row>
    <row r="3" spans="1:13" x14ac:dyDescent="0.2">
      <c r="A3" t="s">
        <v>31</v>
      </c>
      <c r="B3" t="s">
        <v>33</v>
      </c>
      <c r="C3" t="e">
        <f ca="1">_xll.AtlasFormulas.AtlasFunctions.AtlasBalance("PROD",C$1,"T.BOM","Count|RecId|0","","","","","","","ItemId",$A3)</f>
        <v>#NAME?</v>
      </c>
      <c r="D3" t="e">
        <f ca="1">_xll.AtlasFormulas.AtlasFunctions.AtlasBalance("PROD",D$1,"T.BOM","Count|RecId|0","","","","","","","ItemId",$A3)</f>
        <v>#NAME?</v>
      </c>
      <c r="E3" t="e">
        <f ca="1">_xll.AtlasFormulas.AtlasFunctions.AtlasBalance("PROD",E$1,"T.BOM","Count|RecId|0","","","","","","","ItemId",$A3)</f>
        <v>#NAME?</v>
      </c>
      <c r="F3" t="e">
        <f ca="1">_xll.AtlasFormulas.AtlasFunctions.AtlasBalance("PROD",F$1,"T.BOM","Count|RecId|0","","","","","","","ItemId",$A3)</f>
        <v>#NAME?</v>
      </c>
      <c r="G3" t="e">
        <f ca="1">_xll.AtlasFormulas.AtlasFunctions.AtlasBalance("PROD",G$1,"T.BOM","Count|RecId|0","","","","","","","ItemId",$A3)</f>
        <v>#NAME?</v>
      </c>
      <c r="H3" t="e">
        <f ca="1">_xll.AtlasFormulas.AtlasFunctions.AtlasBalance("PROD",H$1,"T.BOM","Count|RecId|0","","","","","","","ItemId",$A3)</f>
        <v>#NAME?</v>
      </c>
      <c r="I3" t="e">
        <f ca="1">_xll.AtlasFormulas.AtlasFunctions.AtlasBalance("PROD",I$1,"T.BOM","Count|RecId|0","","","","","","","ItemId",$A3)</f>
        <v>#NAME?</v>
      </c>
      <c r="J3" t="e">
        <f ca="1">_xll.AtlasFormulas.AtlasFunctions.AtlasBalance("PROD",J$1,"T.BOM","Count|RecId|0","","","","","","","ItemId",$A3)</f>
        <v>#NAME?</v>
      </c>
      <c r="K3" t="e">
        <f ca="1">_xll.AtlasFormulas.AtlasFunctions.AtlasBalance("PROD",K$1,"T.BOM","Count|RecId|0","","","","","","","ItemId",$A3)</f>
        <v>#NAME?</v>
      </c>
      <c r="L3" t="e">
        <f ca="1">_xll.AtlasFormulas.AtlasFunctions.AtlasBalance("PROD",L$1,"T.BOM","Count|RecId|0","","","","","","","ItemId",$A3)</f>
        <v>#NAME?</v>
      </c>
      <c r="M3" t="e">
        <f ca="1">_xll.AtlasFormulas.AtlasFunctions.AtlasBalance("PROD",M$1,"T.BOM","Count|RecId|0","","","","","","","ItemId",$A3)</f>
        <v>#NAME?</v>
      </c>
    </row>
    <row r="4" spans="1:13" x14ac:dyDescent="0.2">
      <c r="A4" t="s">
        <v>32</v>
      </c>
      <c r="B4" t="s">
        <v>35</v>
      </c>
      <c r="C4" t="e">
        <f ca="1">_xll.AtlasFormulas.AtlasFunctions.AtlasBalance("PROD",C$1,"T.BOM","Count|RecId|0","","","","","","","ItemId",$A4)</f>
        <v>#NAME?</v>
      </c>
      <c r="D4" t="e">
        <f ca="1">_xll.AtlasFormulas.AtlasFunctions.AtlasBalance("PROD",D$1,"T.BOM","Count|RecId|0","","","","","","","ItemId",$A4)</f>
        <v>#NAME?</v>
      </c>
      <c r="E4" t="e">
        <f ca="1">_xll.AtlasFormulas.AtlasFunctions.AtlasBalance("PROD",E$1,"T.BOM","Count|RecId|0","","","","","","","ItemId",$A4)</f>
        <v>#NAME?</v>
      </c>
      <c r="F4" t="e">
        <f ca="1">_xll.AtlasFormulas.AtlasFunctions.AtlasBalance("PROD",F$1,"T.BOM","Count|RecId|0","","","","","","","ItemId",$A4)</f>
        <v>#NAME?</v>
      </c>
      <c r="G4" t="e">
        <f ca="1">_xll.AtlasFormulas.AtlasFunctions.AtlasBalance("PROD",G$1,"T.BOM","Count|RecId|0","","","","","","","ItemId",$A4)</f>
        <v>#NAME?</v>
      </c>
      <c r="H4" t="e">
        <f ca="1">_xll.AtlasFormulas.AtlasFunctions.AtlasBalance("PROD",H$1,"T.BOM","Count|RecId|0","","","","","","","ItemId",$A4)</f>
        <v>#NAME?</v>
      </c>
      <c r="I4" t="e">
        <f ca="1">_xll.AtlasFormulas.AtlasFunctions.AtlasBalance("PROD",I$1,"T.BOM","Count|RecId|0","","","","","","","ItemId",$A4)</f>
        <v>#NAME?</v>
      </c>
      <c r="J4" t="e">
        <f ca="1">_xll.AtlasFormulas.AtlasFunctions.AtlasBalance("PROD",J$1,"T.BOM","Count|RecId|0","","","","","","","ItemId",$A4)</f>
        <v>#NAME?</v>
      </c>
      <c r="K4" t="e">
        <f ca="1">_xll.AtlasFormulas.AtlasFunctions.AtlasBalance("PROD",K$1,"T.BOM","Count|RecId|0","","","","","","","ItemId",$A4)</f>
        <v>#NAME?</v>
      </c>
      <c r="L4" t="e">
        <f ca="1">_xll.AtlasFormulas.AtlasFunctions.AtlasBalance("PROD",L$1,"T.BOM","Count|RecId|0","","","","","","","ItemId",$A4)</f>
        <v>#NAME?</v>
      </c>
      <c r="M4" t="e">
        <f ca="1">_xll.AtlasFormulas.AtlasFunctions.AtlasBalance("PROD",M$1,"T.BOM","Count|RecId|0","","","","","","","ItemId",$A4)</f>
        <v>#NAME?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selection activeCell="D4" sqref="D4"/>
    </sheetView>
  </sheetViews>
  <sheetFormatPr defaultRowHeight="14.25" x14ac:dyDescent="0.2"/>
  <cols>
    <col min="2" max="2" width="10.75" bestFit="1" customWidth="1"/>
  </cols>
  <sheetData>
    <row r="1" spans="1:4" x14ac:dyDescent="0.2">
      <c r="A1" t="s">
        <v>16</v>
      </c>
    </row>
    <row r="2" spans="1:4" x14ac:dyDescent="0.2">
      <c r="B2" s="2">
        <v>43791</v>
      </c>
      <c r="C2" t="s">
        <v>17</v>
      </c>
      <c r="D2" t="s">
        <v>18</v>
      </c>
    </row>
    <row r="3" spans="1:4" x14ac:dyDescent="0.2">
      <c r="B3" s="2">
        <v>44138</v>
      </c>
      <c r="C3" t="s">
        <v>39</v>
      </c>
      <c r="D3" t="s">
        <v>40</v>
      </c>
    </row>
  </sheetData>
  <phoneticPr fontId="2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A2" sqref="A2:F7"/>
    </sheetView>
  </sheetViews>
  <sheetFormatPr defaultRowHeight="14.25" x14ac:dyDescent="0.2"/>
  <cols>
    <col min="1" max="1" width="20" customWidth="1"/>
    <col min="2" max="2" width="14.875" customWidth="1"/>
    <col min="3" max="3" width="59.125" customWidth="1"/>
    <col min="4" max="4" width="53.75" customWidth="1"/>
    <col min="5" max="5" width="13" customWidth="1"/>
    <col min="6" max="6" width="11.875" customWidth="1"/>
  </cols>
  <sheetData>
    <row r="1" spans="1:6" ht="23.25" x14ac:dyDescent="0.35">
      <c r="A1" s="8" t="s">
        <v>19</v>
      </c>
      <c r="B1" s="8"/>
      <c r="C1" s="8"/>
      <c r="D1" s="8"/>
      <c r="E1" s="8"/>
      <c r="F1" s="8"/>
    </row>
    <row r="2" spans="1:6" x14ac:dyDescent="0.2">
      <c r="A2" s="9" t="s">
        <v>20</v>
      </c>
      <c r="B2" s="9" t="s">
        <v>21</v>
      </c>
      <c r="C2" s="9" t="s">
        <v>1</v>
      </c>
      <c r="D2" s="9" t="s">
        <v>22</v>
      </c>
      <c r="E2" s="9" t="s">
        <v>23</v>
      </c>
      <c r="F2" s="9" t="s">
        <v>24</v>
      </c>
    </row>
    <row r="3" spans="1:6" x14ac:dyDescent="0.2">
      <c r="A3" s="10" t="s">
        <v>13</v>
      </c>
      <c r="B3" s="10" t="s">
        <v>27</v>
      </c>
      <c r="C3" s="10" t="s">
        <v>28</v>
      </c>
      <c r="D3" s="10" t="s">
        <v>27</v>
      </c>
      <c r="E3" s="10" t="s">
        <v>29</v>
      </c>
      <c r="F3" s="10" t="s">
        <v>30</v>
      </c>
    </row>
    <row r="4" spans="1:6" x14ac:dyDescent="0.2">
      <c r="A4" s="10" t="s">
        <v>4</v>
      </c>
      <c r="B4" s="10" t="s">
        <v>31</v>
      </c>
      <c r="C4" s="10" t="s">
        <v>33</v>
      </c>
      <c r="D4" s="10" t="s">
        <v>34</v>
      </c>
      <c r="E4" s="10" t="s">
        <v>25</v>
      </c>
      <c r="F4" s="10" t="s">
        <v>26</v>
      </c>
    </row>
    <row r="5" spans="1:6" x14ac:dyDescent="0.2">
      <c r="A5" s="10" t="s">
        <v>5</v>
      </c>
      <c r="B5" s="10" t="s">
        <v>31</v>
      </c>
      <c r="C5" s="10" t="s">
        <v>33</v>
      </c>
      <c r="D5" s="10" t="s">
        <v>33</v>
      </c>
      <c r="E5" s="10" t="s">
        <v>25</v>
      </c>
      <c r="F5" s="10" t="s">
        <v>26</v>
      </c>
    </row>
    <row r="6" spans="1:6" x14ac:dyDescent="0.2">
      <c r="A6" s="10" t="s">
        <v>11</v>
      </c>
      <c r="B6" s="10" t="s">
        <v>31</v>
      </c>
      <c r="C6" s="10" t="s">
        <v>33</v>
      </c>
      <c r="D6" s="10" t="s">
        <v>34</v>
      </c>
      <c r="E6" s="10" t="s">
        <v>25</v>
      </c>
      <c r="F6" s="10" t="s">
        <v>26</v>
      </c>
    </row>
    <row r="7" spans="1:6" x14ac:dyDescent="0.2">
      <c r="A7" s="10" t="s">
        <v>13</v>
      </c>
      <c r="B7" s="10" t="s">
        <v>31</v>
      </c>
      <c r="C7" s="10" t="s">
        <v>33</v>
      </c>
      <c r="D7" s="10" t="s">
        <v>33</v>
      </c>
      <c r="E7" s="10" t="s">
        <v>25</v>
      </c>
      <c r="F7" s="10" t="s">
        <v>30</v>
      </c>
    </row>
    <row r="8" spans="1:6" x14ac:dyDescent="0.2">
      <c r="A8" s="10" t="s">
        <v>13</v>
      </c>
      <c r="B8" s="10" t="s">
        <v>32</v>
      </c>
      <c r="C8" s="10" t="s">
        <v>35</v>
      </c>
      <c r="D8" s="10" t="s">
        <v>35</v>
      </c>
      <c r="E8" s="10" t="s">
        <v>29</v>
      </c>
      <c r="F8" s="10" t="s">
        <v>26</v>
      </c>
    </row>
    <row r="9" spans="1:6" x14ac:dyDescent="0.2">
      <c r="A9" s="9"/>
      <c r="B9" s="9"/>
      <c r="C9" s="9"/>
      <c r="D9" s="9"/>
      <c r="E9" s="9"/>
      <c r="F9" s="9"/>
    </row>
  </sheetData>
  <phoneticPr fontId="22" type="noConversion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f8070aa7-af5d-4a8f-8e5f-a81f0dd9f7a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Y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Ke7jLsXiuwQ4XdWY+bDIfk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DQIRFQAAAAQAAAAGNQAAAA1BdGxhc1JlcG9ydF8x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K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yP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H////Pkdsb2JlU29mdHdhcmUuQXRsYXM0MC5BdGxhc0NvbW1vbi5UeXBlLkF0bGFzUXVlcnlBdHRyaWJ1dGVOYW1lAQAAAAd2YWx1ZV9fAAgCAAAAAgAAAAY6AAAAJGY4MDcwYWE3LWFmNWQtNGE4Zi04ZTVmLWE4MWYwZGQ5ZjdhYQHF////yP///wHE////x////wAAAAAGPQAAAAR0cnVlAcL////I////AcH////H////CwAAAAZAAAAABUl0ZW1zAb/////I////Ab7////H////GwAAAAZDAAAABFRydWUBvP///8j///8Bu////8f///8GAAAABkYAAAAFRmFsc2UBuf///8j///8BuP///8f///8cAAAACUMAAAABtv///8j///8Btf///8f///8dAAAACUYAAAABs////8j///8Bsv///8f///8qAAAACUMAAAABsP///8j///8Br////8f///8BAAAABlIAAAAEIVVOSQGt////yP///wGs////x////ycAAAAJUgAAAAGr////yP///wGq////x////xkAAAAGVwAAAA9DZWxsc1ZlcnRpY2FsbHkBqP///8j///8Bp////8f///8JAAAACgGm////yP///wGl////x////ygAAAAGXAAAAAE2AaP////I////AaL////H////KwAAAAZf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g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EAAAALSW52ZW50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GAAAACWIAAAAHAAAACWM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ll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i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n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gAAAAJaQAAAAlqAAAABmsAAAAKRGF0YUFyZWFJZAZsAAAAEENvbXBhbnkgYWNjb3VudHMGbQAAAAZTdHJpbmcJCAAAAAZvAAAAJDJlNzFhMDhkLWQzZGEtNGNhZS05MDIyLTU1OTQ0NDA0ODZhMQWQ////LUdsb2JlU29mdHdhcmUuQXRsYXM0MC5BdGxhc0NvbW1vbi5BZ2dyZWdhdGlvbgEAAAAHdmFsdWVfXwAIAgAAAP////8AAAAABY////8sR2xvYmVTb2Z0d2FyZS5BdGxhczQwLkF0bGFzQ29tbW9uLkNvbHVtblR5cGUBAAAAB3ZhbHVlX18ACAIAAAAAAAAABY7///8rR2xvYmVTb2Z0d2FyZS5BdGxhczQwLkF0bGFzQ29tbW9uLlNvcnRPcmRlcgEAAAAHdmFsdWVfXwAIAgAAAAIAAAAAAAAAAAWN////QEdsb2JlU29mdHdhcmUuQXRsYXM0MC5BdGxhc0NvbW1vbi5UeXBlLkNvbHVtbitDcm9zc1RhYkNvbHVtblR5cGUBAAAAB3ZhbHVlX18ACAIAAAAAAAAACgEAAAAAAAAAAAAAAAAABnQAAAAkNzZhNjE2MzYtNWY1ZS00MjVkLTgwMmYtNTY0ZTZkOWMxMTZlBnUAAAAcVGFibGUuSW52ZW50VGFibGUuRGF0YUFyZWFJZAoKCgoBMAAAAC8AAAAJdgAAAAl3AAAACXgAAAAGeQAAAAZJdGVtSWQGegAAAAtJdGVtIG51bWJlcgZ7AAAABlN0cmluZwkIAAAABn0AAAAkMWU0NmYwZDYtNzExNy00YjUwLTg5NjctMjhhYTI0Y2EzY2U1AYL///+Q/////////wEAAAABgf///4////8AAAAAAYD///+O////AgAAAAAAAAAAAX////+N////AAAAAAoBAAAAAAAAAAABAAAAAAaCAAAAJGRmMDVmMThhLTNkYTUtNDMxYy1iZWEyLTY0MDJhMjY0NWQ3ZgaDAAAAGFRhYmxlLkludmVudFRhYmxlLkl0ZW1JZAoKCgoBMQAAAC8AAAAJhAAAAAmFAAAACYYAAAAGhwAAAAhJdGVtTmFtZQaIAAAACUl0ZW0gbmFtZQaJAAAABlN0cmluZwkIAAAABosAAAAkMDgyNGU1MjEtNWI1NS00MzUyLWI2ZDMtMzk4YmExNmI4ODMxAXT///+Q/////////wIAAAABc////4////8AAAAAAXL///+O////AgAAAAAAAAAAAXH///+N////AAAAAAoBAAAAAAAAAAACAAAAAAaQAAAAJDZjMGQ3ZmFkLThjNTQtNGRiZS05YzE5LTg1M2Q2YTllMTU2MAaRAAAAGlRhYmxlLkludmVudFRhYmxlLkl0ZW1OYW1lCgoKCgEyAAAALwAAAAmSAAAACZMAAAAJlAAAAAaVAAAACU5hbWVBbGlhcwaWAAAAC1NlYXJjaCBuYW1lBpcAAAAGU3RyaW5nCQgAAAAGmQAAACRhYWJjMzliZC02ODQ3LTQwMmMtOTc3OS1lYjI3MWNjYmI2ODcBZv///5D/////////AwAAAAFl////j////wAAAAABZP///47///8CAAAAAAAAAAABY////43///8AAAAACgEAAAAAAAAAAAMAAAAABp4AAAAkNTdkMWE3OTQtMGE2NC00MzM1LWJjNzQtNDY0M2QzYmQxMmZiBp8AAAAbVGFibGUuSW52ZW50VGFibGUuTmFtZUFsaWFzCgoKCgEzAAAALwAAAAmgAAAACaEAAAAJogAAAAajAAAAC0l0ZW1Hcm91cElkBqQAAAAKSXRlbSBncm91cAalAAAABlN0cmluZwkIAAAABqcAAAAkZTc4NTQ5YzItYTk0Zi00OGE5LWFmYTctZjJhZTUwYTg4ZDJkAVj///+Q/////////wQAAAABV////4////8AAAAAAVb///+O////AgAAAAAAAAAAAVX///+N////AAAAAAoBAAAAAAAAAAAEAAAAAAasAAAAJDhmYTlmMDFkLTAzM2YtNDBjOC04OThiLTAyM2U2Nzk4NjhkZAatAAAAHVRhYmxlLkludmVudFRhYmxlLkl0ZW1Hcm91cElkCgoKCgE0AAAALwAAAAmuAAAACa8AAAAJsAAAAAaxAAAACEl0ZW1UeXBlBrIAAAAJSXRlbSB0eXBlBrMAAAAERW51bQkIAAAABrUAAAAkNDRjMWZiNWMtOGIyYi00NmQ3LTg1YWQtZjA4ODI0NzY1OTgyAUr///+Q/////////wUAAAABSf///4////8AAAAAAUj///+O////AgAAAAAAAAAAAUf///+N////AAAAAAoBAAAAAAAAAAAFAAAAAAa6AAAAJGIwZDJlNDg4LTFhZjYtNGY4Ni04ZjA4LWViZGI5NTViOGQxYQa7AAAAGlRhYmxlLkludmVudFRhYmxlLkl0ZW1UeXBlCgoKCgFiAAAAEgAAAAdjAA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E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9AAAAHFRhYmxlLkludmVudFRhYmxlLkRhdGFBcmVhSWQJvgAAAAFB////RP///wbAAAAAGFRhYmxlLkludmVudFRhYmxlLkl0ZW1JZAnBAAAAAT7///9E////BsMAAAAaVGFibGUuSW52ZW50VGFibGUuSXRlbU5hbWUJxAAAAAE7////RP///wbGAAAAG1RhYmxlLkludmVudFRhYmxlLk5hbWVBbGlhcwnHAAAAATj///9E////BskAAAAdVGFibGUuSW52ZW50VGFibGUuSXRlbUdyb3VwSWQJygAAAAE1////RP///wbMAAAAGlRhYmxlLkludmVudFRhYmxlLkl0ZW1UeXBlCc0AAAAHZQA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DL/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zwAAABhUYWJsZS5JbnZlbnRUYWJsZS5JdGVtSWQJ0AAAAARn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0QAAAAEAAAABAAAABGk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OwAAAAnSAAAABwAAAAnTAAAABG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SAAAABwAAAAnVAAAAAXYAAABoAAAACdYAAAABAAAAAQAAAAF3AAAAaQAAAD0AAAAJ0gAAAAcAAAAJ2AAAAAR4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EgAAAAcAAAAJ2gAAAAGEAAAAaAAAAAnbAAAAAQAAAAEAAAABhQAAAGkAAAA8AAAACdIAAAAHAAAACd0AAAAEh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d8AAAABkgAAAGgAAAAJ4AAAAAEAAAABAAAAAZMAAABpAAAAPAAAAAnSAAAABwAAAAniAAAABJ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SAAAABwAAAAnkAAAAAaAAAABoAAAACeUAAAABAAAAAQAAAAGhAAAAaQAAADwAAAAJ0gAAAAcAAAAJ5wAAAASi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EgAAAAcAAAAJ6QAAAAGuAAAAaAAAAAnqAAAAAQAAAAEAAAABrwAAAGkAAAA8AAAACdIAAAAHAAAACewAAAAEs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RIAAAAHAAAACe4AAAAFvg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Ef///5D/////////AAbwAAAABlN0cmluZwbxAAAAEENvbXBhbnkgYWNjb3VudHMJ8gAAAAEN////jv///wIAAAAFDP///zlHbG9iZVNvZnR3YXJlLkF0bGFzNDAuQXRsYXNDb21tb24uTnVtYmVyU2VxdWVuY2VDb25kaXRpb24BAAAAB3ZhbHVlX18ACAIAAAABAAAAAAAG9QAAABFUYWJsZS5JbnZlbnRUYWJsZQlrAAAACQgAAAAK/////wn1AAAACglrAAAACgoKCQgAAAAJ+wAAAAkIAAAAAcEAAAC+AAAAAQP///+Q/////////wAG/gAAAAZTdHJpbmcG/wAAAAtJdGVtIG51bWJlcgnyAAAAAf/+//+O////AgAAAAH+/v//DP///wEAAAAAAAn1AAAACXkAAAAJCAAAAAr/////CfUAAAAKCXkAAAAKCgoJCAAAAAkJAQAACQgAAAABxAAAAL4AAAAB9f7//5D/////////AAYMAQAABlN0cmluZwYNAQAACUl0ZW0gbmFtZQnyAAAAAfH+//+O////AgAAAAHw/v//DP///wEAAAAAAAn1AAAACYcAAAAJCAAAAAr/////CfUAAAAKCYcAAAAKCgoJCAAAAAkXAQAACQgAAAABxwAAAL4AAAAB5/7//5D/////////AAYaAQAABlN0cmluZwYbAQAAC1NlYXJjaCBuYW1lCfIAAAAB4/7//47///8CAAAAAeL+//8M////AQAAAAAACfUAAAAJlQAAAAkIAAAACv////8J9QAAAAoJlQAAAAoKCgkIAAAACSUBAAAJCAAAAAHKAAAAvgAAAAHZ/v//kP////////8ABigBAAAGU3RyaW5nBikBAAAKSXRlbSBncm91cAnyAAAAAdX+//+O////AgAAAAHU/v//DP///wEAAAAAAAn1AAAACaMAAAAJCAAAAAr/////CfUAAAAKCaMAAAAKCgoJCAAAAAkzAQAACQgAAAABzQAAAL4AAAABy/7//5D/////////AAY2AQAABEVudW0GNwEAAAlJdGVtIHR5cGUJ8gAAAAHH/v//jv///wIAAAABxv7//wz///8BAAAAAAAJ9QAAAAmxAAAACQgAAAAK/////wn1AAAACgmxAAAACgoKCQgAAAAJQQEAAAkIAAAABdAA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n1AAAABkQBAAAGSXRlbUlkCQgAAAAGRgEAABxNTzEwMEYtMSxNTzEwMEYyMCxNT0JBR1RFQ05P/////wn1AAAACglEAQAACgoKCQgAAAAJSgEAAAkIAAAAB9EAAAAAAQAAAAQAAAAEN0dsb2JlU29mdHdhcmUuQXRsYXM0MC5BdGxhc0NvbW1vbi5UeXBlLkZpZWxkT3V0cHV0RmllbGQCAAAACb4AAAANAwTS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T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s/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y/v//Mkdsb2JlU29mdHdhcmUuQXRsYXM0MC5BdGxhc0NvbW1vbi5Db2x1bW5BdHRyaWJ1dGVzAQAAAAd2YWx1ZV9fAAgCAAAACQAAAAkIAAAAAbD+//+z/v//Aa/+//+y/v//CwAAAAZSAQAAATABrf7//7P+//8BrP7//7L+//8EAAAABlUBAAAHR2VuZXJhbAGq/v//s/7//wGp/v//sv7//wIAAAAGWAEAAAExAaf+//+z/v//Aab+//+y/v//AAAAAAZbAQAABTE5LjI5B9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pP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dAQAACEZvbnRCb2xkBl4BAAAFRmFsc2UBof7//6T+//8GYAEAAApGb250SXRhbGljCV4BAAABnv7//6T+//8GYwEAAA1Gb250VW5kZXJsaW5lBmQBAAAFLTQxNDIBm/7//6T+//8GZgEAAAhGb250TmFtZQZnAQAAB0NhbGlicmkBmP7//6T+//8GaQEAAAlGb250Q29sb3IGagEAAAEwAZX+//+k/v//BmwBAAAIRm9udFNpemUGbQEAAAIxMQGS/v//pP7//wZvAQAACUZvbnRTdHlsZQZwAQAAB1JlZ3VsYXIH1gAAAAABAAAABAAAAAQ3R2xvYmVTb2Z0d2FyZS5BdGxhczQwLkF0bGFzQ29tbW9uLlR5cGUuRmllbGRPdXRwdXRGaWVsZAIAAAAJwQAAAA0DB9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v//s/7//wGN/v//sv7//wYAAAAGdAEAAAVUb3RhbAGL/v//s/7//wGK/v//sv7//xAAAAAGdwEAAAROb25lAYj+//+z/v//AYf+//+y/v//CQAAAAkIAAAAAYX+//+z/v//AYT+//+y/v//CwAAAAZ9AQAAATEBgv7//7P+//8Bgf7//7L+//8EAAAABoABAAAHR2VuZXJhbAF//v//s/7//wF+/v//sv7//wIAAAAGgwEAAAExAXz+//+z/v//AXv+//+y/v//AAAAAAaGAQAABTE0LjE0B9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6T+//8JXQEAAAleAQAAAXb+//+k/v//CWABAAAJXgEAAAFz/v//pP7//wljAQAABo8BAAAFLTQxNDIBcP7//6T+//8JZgEAAAaSAQAAB0NhbGlicmkBbf7//6T+//8JaQEAAAaVAQAAATABav7//6T+//8JbAEAAAaYAQAAAjExAWf+//+k/v//CW8BAAAGmwEAAAdSZWd1bGFyB9sAAAAAAQAAAAQAAAAEN0dsb2JlU29mdHdhcmUuQXRsYXM0MC5BdGxhc0NvbW1vbi5UeXBlLkZpZWxkT3V0cHV0RmllbGQCAAAACcQAAAANAwfd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7P+//8BYv7//7L+//8QAAAACXcBAAABYP7//7P+//8BX/7//7L+//8JAAAACQgAAAABXf7//7P+//8BXP7//7L+//8LAAAABqUBAAABMgFa/v//s/7//wFZ/v//sv7//wQAAAAGqAEAAAdHZW5lcmFsAVf+//+z/v//AVb+//+y/v//AgAAAAarAQAAATEBVP7//7P+//8BU/7//7L+//8AAAAABq4BAAAFNTguNDMH3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v//pP7//wldAQAACV4BAAABTv7//6T+//8JYAEAAAleAQAAAUv+//+k/v//CWMBAAAGtwEAAAUtNDE0MgFI/v//pP7//wlmAQAABroBAAAHQ2FsaWJyaQFF/v//pP7//wlpAQAABr0BAAABMAFC/v//pP7//wlsAQAABsABAAACMTEBP/7//6T+//8JbwEAAAbDAQAAB1JlZ3VsYXIH4AAAAAABAAAABAAAAAQ3R2xvYmVTb2Z0d2FyZS5BdGxhczQwLkF0bGFzQ29tbW9uLlR5cGUuRmllbGRPdXRwdXRGaWVsZAIAAAAJxwAAAA0DB+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7/v//s/7//wE6/v//sv7//xAAAAAJdwEAAAE4/v//s/7//wE3/v//sv7//wkAAAAJCAAAAAE1/v//s/7//wE0/v//sv7//wsAAAAGzQEAAAEzATL+//+z/v//ATH+//+y/v//BAAAAAbQAQAAB0dlbmVyYWwBL/7//7P+//8BLv7//7L+//8CAAAABtMBAAABMQEs/v//s/7//wEr/v//sv7//wAAAAAG1gEAAAI1Mw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+//+k/v//CV0BAAAJXgEAAAEm/v//pP7//wlgAQAACV4BAAABI/7//6T+//8JYwEAAAbfAQAABS00MTQyASD+//+k/v//CWYBAAAG4gEAAAdDYWxpYnJpAR3+//+k/v//CWkBAAAG5QEAAAEwARr+//+k/v//CWwBAAAG6AEAAAIxMQEX/v//pP7//wlvAQAABusBAAAHUmVndWxhcgflAAAAAAEAAAAEAAAABDdHbG9iZVNvZnR3YXJlLkF0bGFzNDAuQXRsYXNDb21tb24uVHlwZS5GaWVsZE91dHB1dEZpZWxkAgAAAAnKAAAADQMH5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+//+z/v//ARL+//+y/v//EAAAAAl3AQAAARD+//+z/v//AQ/+//+y/v//CQAAAAkIAAAAAQ3+//+z/v//AQz+//+y/v//CwAAAAb1AQAAATQBCv7//7P+//8BCf7//7L+//8EAAAABvgBAAAHR2VuZXJhbAEH/v//s/7//wEG/v//sv7//wIAAAAG+wEAAAExAQT+//+z/v//AQP+//+y/v//AAAAAAb+AQAABTEyLjI5B+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7//6T+//8JXQEAAAleAQAAAf79//+k/v//CWABAAAJXgEAAAH7/f//pP7//wljAQAABgcCAAAFLTQxNDIB+P3//6T+//8JZgEAAAYKAgAAB0NhbGlicmkB9f3//6T+//8JaQEAAAYNAgAAATAB8v3//6T+//8JbAEAAAYQAgAAAjExAe/9//+k/v//CW8BAAAGEwIAAAdSZWd1bGFyB+oAAAAAAQAAAAQAAAAEN0dsb2JlU29mdHdhcmUuQXRsYXM0MC5BdGxhc0NvbW1vbi5UeXBlLkZpZWxkT3V0cHV0RmllbGQCAAAACc0AAAANAwfs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/3//7P+//8B6v3//7L+//8QAAAACXcBAAAB6P3//7P+//8B5/3//7L+//8JAAAACQgAAAAB5f3//7P+//8B5P3//7L+//8LAAAABh0CAAABNQHi/f//s/7//wHh/f//sv7//wQAAAAGIAIAAAdHZW5lcmFsAd/9//+z/v//Ad79//+y/v//AgAAAAYjAgAAATEB3P3//7P+//8B2/3//7L+//8AAAAABiYCAAAFMTEuMTQ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f//pP7//wldAQAACV4BAAAB1v3//6T+//8JYAEAAAleAQAAAdP9//+k/v//CWMBAAAGLwIAAAUtNDE0MgHQ/f//pP7//wlmAQAABjICAAAHQ2FsaWJyaQHN/f//pP7//wlpAQAABjUCAAABMAHK/f//pP7//wlsAQAABjgCAAACMTEBx/3//6T+//8JbwEAAAY7AgAAB1JlZ3VsYXIB8gAAAA4AAACvAAAABjwCAAALSW52ZW50VGFibGUGPQIAAAVJdGVtcwkIAAAACQgAAAAJCAAAAAHB/f//4P///wAAAAAJQAIAAAlBAgAAAb79///d////rjviY2BkDUemc6BxqNthlgkIAAAACQgAAAAJRAIAAAn1AAAACgoKCgoBAAAAAbr9///Z////AAAAAAG5/f//2P///wAAAAAACUgCAAAE+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RIAAAADAAAACUoC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UwCAAAEF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U4CAAAEJ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VACAAAEM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VICAAAEQ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VQCAAAES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DAAAACVYCAAABQAIAACEAAAAIAAAACVcCAAAHAAAACVgCAAAEQQ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XAgAAAAAAAARE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VwIAAAAAAAABSAIAACkAAAAAAAAACVoCAAAAAAAAB0o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6T+//8GXAIAAAVMYWJlbAnxAAAAAaL9//+k/v//Bl8CAAAEVHlwZQnwAAAAB0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/3//6T+//8GYgIAAAhIZWxwVGV4dAZjAgAADklkZW50aWZ5IGl0ZW0uAZz9//+k/v//CVwCAAAJ/wAAAAGZ/f//pP7//wlfAgAACf4AAAAHT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f//pP7//wliAgAABmwCAAAYRGVzY3JpcHRpb24gb2YgdGhlIGl0ZW0uAZP9//+k/v//CVwCAAAJDQEAAAGQ/f//pP7//wlfAgAACQwBAAAHU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f//pP7//wliAgAABnUCAAAjRmluZCBmYXN0IG5hbWUgYXBwbHlpbmcgdG8gdGhlIGl0ZW0Biv3//6T+//8JXAIAAAkbAQAAAYf9//+k/v//CV8CAAAJGgEAAAd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9//+k/v//CWICAAAGfgIAAChJdGVtIGdyb3VwIHRoYXQgdGhlIGl0ZW0gaXMgYXR0YWNoZWQgdG8uAYH9//+k/v//CVwCAAAJKQEAAAF+/f//pP7//wlfAgAACSgBAAAHV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/f//pP7//wliAgAABocCAAAuVHlwZSBkZXRlcm1pbmluZyBob3cgdGhlIGl0ZW0gaXMgYWRtaW5pc3RlcmVkLgF4/f//pP7//wlcAgAACTcBAAABdf3//6T+//8JXwIAAAk2AQAAB1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3//6T+//8JXwIAAAn+AAAAAW/9//+k/v//CVwCAAAJ/wAAAAFs/f//pP7//waVAgAACFJlZmVyc1RvBpYCAAASPSdUb0RvJyEkQSQyOiRBJDExAVcCAAASAAAAB1gC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n9//9E////BpgCAAAYVGFibGUuSW52ZW50VGFibGUuSXRlbUlkCcEAAAABZv3//0T///8GmwIAABpUYWJsZS5JbnZlbnRUYWJsZS5JdGVtTmFtZQnEAAAAAWP9//9E////Bp4CAAAbVGFibGUuSW52ZW50VGFibGUuTmFtZUFsaWFzCccAAAABYP3//0T///8GoQIAAB1UYWJsZS5JbnZlbnRUYWJsZS5JdGVtR3JvdXBJZAnKAAAAAV39//9E////BqQCAAAaVGFibGUuSW52ZW50VGFibGUuSXRlbVR5cGUJzQAAAAFa/f//RP///wanAgAAHFRhYmxlLkludmVudFRhYmxlLkRhdGFBcmVhSWQJvgAAAAFaAgAAZwAAAA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EIVVOSQ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BgAAAAY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CAAAAAQtR2xvYmVTb2Z0d2FyZS5BdGxhczQwLkF0bGFzQ29tbW9uLlR5cGUuQ29sdW1uDgAAAAkUAAAACRUAAAAJFgAAAAkXAAAACRgAAAAJGQAAAA0CDBo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gAAAAgCAAAABhsAAAAVQXRsYXNSZXBvcnRfMV9UYWJsZV8xCRw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oAAAAICAkdAAAAAgAAAAI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gAAAAkfAAAACSAAAAAGIQAAAApEYXRhQXJlYUlkBiIAAAAQQ29tcGFueSBhY2NvdW50cwYjAAAABlN0cmluZwYkAAAAAAYlAAAAJDJlNzFhMDhkLWQzZGEtNGNhZS05MDIyLTU1OTQ0NDA0ODZhMQXa////LUdsb2JlU29mdHdhcmUuQXRsYXM0MC5BdGxhc0NvbW1vbi5BZ2dyZWdhdGlvbgEAAAAHdmFsdWVfXwAIDgAAAP////8AAAAABdn///8sR2xvYmVTb2Z0d2FyZS5BdGxhczQwLkF0bGFzQ29tbW9uLkNvbHVtblR5cGUBAAAAB3ZhbHVlX18ACA4AAAAAAAAABdj///8rR2xvYmVTb2Z0d2FyZS5BdGxhczQwLkF0bGFzQ29tbW9uLlNvcnRPcmRlcgEAAAAHdmFsdWVfXwAIDgAAAAIAAAAAAAAAAAXX////QEdsb2JlU29mdHdhcmUuQXRsYXM0MC5BdGxhc0NvbW1vbi5UeXBlLkNvbHVtbitDcm9zc1RhYkNvbHVtblR5cGUBAAAAB3ZhbHVlX18ACA4AAAAAAAAACgEAAAAAAAAAAAAAAAAABioAAAAkNzZhNjE2MzYtNWY1ZS00MjVkLTgwMmYtNTY0ZTZkOWMxMTZlBisAAAAcVGFibGUuSW52ZW50VGFibGUuRGF0YUFyZWFJZAoKCgoBFQAAABQAAAAJLAAAAAktAAAACS4AAAAGLwAAAAZJdGVtSWQGMAAAAAtJdGVtIG51bWJlcgYxAAAABlN0cmluZwkkAAAABjMAAAAkMWU0NmYwZDYtNzExNy00YjUwLTg5NjctMjhhYTI0Y2EzY2U1Acz////a/////////wEAAAABy////9n///8AAAAAAcr////Y////AgAAAAAAAAAAAcn////X////AAAAAAoBAAAAAAAAAAABAAAAAAY4AAAAJGRmMDVmMThhLTNkYTUtNDMxYy1iZWEyLTY0MDJhMjY0NWQ3ZgY5AAAAGFRhYmxlLkludmVudFRhYmxlLkl0ZW1JZAoKCgoBFgAAABQAAAAJOgAAAAk7AAAACTwAAAAGPQAAAAhJdGVtTmFtZQY+AAAACUl0ZW0gbmFtZQY/AAAABlN0cmluZwkkAAAABkEAAAAkMDgyNGU1MjEtNWI1NS00MzUyLWI2ZDMtMzk4YmExNmI4ODMxAb7////a/////////wIAAAABvf///9n///8AAAAAAbz////Y////AgAAAAAAAAAAAbv////X////AAAAAAoBAAAAAAAAAAACAAAAAAZGAAAAJDZjMGQ3ZmFkLThjNTQtNGRiZS05YzE5LTg1M2Q2YTllMTU2MAZHAAAAGlRhYmxlLkludmVudFRhYmxlLkl0ZW1OYW1lCgoKCgEXAAAAFAAAAAlIAAAACUkAAAAJSgAAAAZLAAAACU5hbWVBbGlhcwZMAAAAC1NlYXJjaCBuYW1lBk0AAAAGU3RyaW5nCSQAAAAGTwAAACRhYWJjMzliZC02ODQ3LTQwMmMtOTc3OS1lYjI3MWNjYmI2ODcBsP///9r/////////AwAAAAGv////2f///wAAAAABrv///9j///8CAAAAAAAAAAABrf///9f///8AAAAACgEAAAAAAAAAAAMAAAAABlQAAAAkNTdkMWE3OTQtMGE2NC00MzM1LWJjNzQtNDY0M2QzYmQxMmZiBlUAAAAbVGFibGUuSW52ZW50VGFibGUuTmFtZUFsaWFzCgoKCgEYAAAAFAAAAAlWAAAACVcAAAAJWAAAAAZZAAAAC0l0ZW1Hcm91cElkBloAAAAKSXRlbSBncm91cAZbAAAABlN0cmluZwkkAAAABl0AAAAkZTc4NTQ5YzItYTk0Zi00OGE5LWFmYTctZjJhZTUwYTg4ZDJkAaL////a/////////wQAAAABof///9n///8AAAAAAaD////Y////AgAAAAAAAAAAAZ/////X////AAAAAAoBAAAAAAAAAAAEAAAAAAZiAAAAJDhmYTlmMDFkLTAzM2YtNDBjOC04OThiLTAyM2U2Nzk4NjhkZAZjAAAAHVRhYmxlLkludmVudFRhYmxlLkl0ZW1Hcm91cElkCgoKCgEZAAAAFAAAAAlkAAAACWUAAAAJZgAAAAZnAAAACEl0ZW1UeXBlBmgAAAAJSXRlbSB0eXBlBmkAAAAERW51bQkkAAAABmsAAAAkNDRjMWZiNWMtOGIyYi00NmQ3LTg1YWQtZjA4ODI0NzY1OTgyAZT////a/////////wUAAAABk////9n///8AAAAAAZL////Y////AgAAAAAAAAAAAZH////X////AAAAAAoBAAAAAAAAAAAFAAAAAAZwAAAAJGIwZDJlNDg4LTFhZjYtNGY4Ni04ZjA4LWViZGI5NTViOGQxYQZxAAAAGlRhYmxlLkludmVudFRhYmxlLkl0ZW1UeXBlCgoKCgUcAAAAOEdsb2JlU29mdHdhcmUuQXRsYXM0MC5BdGxhc0NvbW1vbkNsaWVudC5SZXBvcnQuUmVmZXJlbmNlAQAAAApfcmVmZXJlbmNlBwgaAAAACXIAAAAHHQAAAAABAAAABAAAAAQ8R2xvYmVTb2Z0d2FyZS5BdGxhczQwLkF0bGFzQ29tbW9uQ2xpZW50LkRhdGFTb3VyY2VGaWVsZFZhbHVlGgAAAAlzAAAACXQAAAANA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1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107AAAACXYAAAAHAAAACXc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XgAAAAHAAAACXkAAAABLAAAAB4AAAAJegAAAAEAAAABAAAAAS0AAAAfAAAAPQAAAAl2AAAABwAAAAl8AAAAAS4AAAAgAAAAOAAAAAl4AAAABwAAAAl+AAAAAToAAAAeAAAACX8AAAABAAAAAQAAAAE7AAAAHwAAADwAAAAJdgAAAAcAAAAJgQAAAAE8AAAAIAAAADgAAAAJeAAAAAcAAAAJgwAAAAFIAAAAHgAAAAmEAAAAAQAAAAEAAAABSQAAAB8AAAA8AAAACXYAAAAHAAAACYYAAAABSgAAACAAAAA4AAAACXgAAAAHAAAACYgAAAABVgAAAB4AAAAJiQAAAAEAAAABAAAAAVcAAAAfAAAAPAAAAAl2AAAABwAAAAmLAAAAAVgAAAAgAAAAOAAAAAl4AAAABwAAAAmNAAAAAWQAAAAeAAAACY4AAAABAAAAAQAAAAFlAAAAHwAAADwAAAAJdgAAAAcAAAAJkAAAAAFmAAAAIAAAADgAAAAJeAAAAAcAAAAJkgAAAA9yAAAAAQAAAAgBAAAABXMAAAA8R2xvYmVTb2Z0d2FyZS5BdGxhczQwLkF0bGFzQ29tbW9uQ2xpZW50LkRhdGFTb3VyY2VGaWVsZFZhbHVlBAAAABJfaXNEcmlsbERvd25GaWx0ZXIGX2RzS2V5Cl9maWVsZG5hbWULX2ZpZWxkVmFsdWUAAQEBARoAAAAABpMAAAARVGFibGUuSW52ZW50VGFibGUGlAAAAApEYXRhQXJlYUlkCQYAAAABdAAAAHMAAAAACZMAAAAGlwAAAAZJdGVtSWQGmAAAABxNTzEwMEYtMSxNTzEwMEYyMCxNT0JBR1RFQ05PB3UAAAAAAQAAAAQAAAAEN0dsb2JlU29mdHdhcmUuQXRsYXM0MC5BdGxhc0NvbW1vbi5UeXBlLkZpZWxkT3V0cHV0RmllbGQOAAAACZkAAAANAwR2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3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Z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l////Mkdsb2JlU29mdHdhcmUuQXRsYXM0MC5BdGxhc0NvbW1vbi5Db2x1bW5BdHRyaWJ1dGVzAQAAAAd2YWx1ZV9fAAgOAAAACQAAAAkkAAAAAWP///9m////AWL///9l////CwAAAAafAAAAATABYP///2b///8BX////2X///8EAAAABqIAAAAHR2VuZXJhbAFd////Zv///wFc////Zf///wIAAAAGpQAAAAExAVr///9m////AVn///9l////AAAAAAaoAAAABTE5LjI5AXgAAAAMAAAAB3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V/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qAAAACEZvbnRCb2xkBqsAAAAFRmFsc2UBVP///1f///8GrQAAAApGb250SXRhbGljCasAAAABUf///1f///8GsAAAAA1Gb250VW5kZXJsaW5lBrEAAAAFLTQxNDIBTv///1f///8GswAAAAhGb250TmFtZQa0AAAAB0NhbGlicmkBS////1f///8GtgAAAAlGb250Q29sb3IGtwAAAAEwAUj///9X////BrkAAAAIRm9udFNpemUGugAAAAIxMQFF////V////wa8AAAACUZvbnRTdHlsZQa9AAAAB1JlZ3VsYXIHegAAAAABAAAABAAAAAQ3R2xvYmVTb2Z0d2FyZS5BdGxhczQwLkF0bGFzQ29tbW9uLlR5cGUuRmllbGRPdXRwdXRGaWVsZA4AAAAJvgAAAA0DB3w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B////Zv///wFA////Zf///wYAAAAGwQAAAAVUb3RhbAE+////Zv///wE9////Zf///xAAAAAGxAAAAAROb25lATv///9m////ATr///9l////CQAAAAkkAAAAATj///9m////ATf///9l////CwAAAAbKAAAAATEBNf///2b///8BNP///2X///8EAAAABs0AAAAHR2VuZXJhbAEy////Zv///wEx////Zf///wIAAAAG0AAAAAExAS////9m////AS7///9l////AAAAAAbTAAAABTE0LjE0B34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///1f///8JqgAAAAmrAAAAASn///9X////Ca0AAAAJqwAAAAEm////V////wmwAAAABtwAAAAFLTQxNDIBI////1f///8JswAAAAbfAAAAB0NhbGlicmkBIP///1f///8JtgAAAAbiAAAAATABHf///1f///8JuQAAAAblAAAAAjExARr///9X////CbwAAAAG6AAAAAdSZWd1bGFyB38AAAAAAQAAAAQAAAAEN0dsb2JlU29mdHdhcmUuQXRsYXM0MC5BdGxhc0NvbW1vbi5UeXBlLkZpZWxkT3V0cHV0RmllbGQOAAAACekAAAANAwe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v///2b///8BFf///2X///8QAAAACcQAAAABE////2b///8BEv///2X///8JAAAACSQAAAABEP///2b///8BD////2X///8LAAAABvIAAAABMgEN////Zv///wEM////Zf///wQAAAAG9QAAAAdHZW5lcmFsAQr///9m////AQn///9l////AgAAAAb4AAAAATEBB////2b///8BBv///2X///8AAAAABvsAAAAFNTguNDMHg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///V////wmqAAAACasAAAABAf///1f///8JrQAAAAmrAAAAAf7+//9X////CbAAAAAGBAEAAAUtNDE0MgH7/v//V////wmzAAAABgcBAAAHQ2FsaWJyaQH4/v//V////wm2AAAABgoBAAABMAH1/v//V////wm5AAAABg0BAAACMTEB8v7//1f///8JvAAAAAYQAQAAB1JlZ3VsYXIHhAAAAAABAAAABAAAAAQ3R2xvYmVTb2Z0d2FyZS5BdGxhczQwLkF0bGFzQ29tbW9uLlR5cGUuRmllbGRPdXRwdXRGaWVsZA4AAAAJEQEAAA0DB4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/v//Zv///wHt/v//Zf///xAAAAAJxAAAAAHr/v//Zv///wHq/v//Zf///wkAAAAJJAAAAAHo/v//Zv///wHn/v//Zf///wsAAAAGGgEAAAEzAeX+//9m////AeT+//9l////BAAAAAYdAQAAB0dlbmVyYWwB4v7//2b///8B4f7//2X///8CAAAABiABAAABMQHf/v//Zv///wHe/v//Zf///wAAAAAGIwEAAAI1Mwe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z+//9X////CaoAAAAJqwAAAAHZ/v//V////wmtAAAACasAAAAB1v7//1f///8JsAAAAAYsAQAABS00MTQyAdP+//9X////CbMAAAAGLwEAAAdDYWxpYnJpAdD+//9X////CbYAAAAGMgEAAAEwAc3+//9X////CbkAAAAGNQEAAAIxMQHK/v//V////wm8AAAABjgBAAAHUmVndWxhcgeJAAAAAAEAAAAEAAAABDdHbG9iZVNvZnR3YXJlLkF0bGFzNDAuQXRsYXNDb21tb24uVHlwZS5GaWVsZE91dHB1dEZpZWxkDgAAAAk5AQAADQMHi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b+//9m////AcX+//9l////EAAAAAnEAAAAAcP+//9m////AcL+//9l////CQAAAAkkAAAAAcD+//9m////Ab/+//9l////CwAAAAZCAQAAATQBvf7//2b///8BvP7//2X///8EAAAABkUBAAAHR2VuZXJhbAG6/v//Zv///wG5/v//Zf///wIAAAAGSAEAAAExAbf+//9m////Abb+//9l////AAAAAAZLAQAABTEyLjI5B40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7//1f///8JqgAAAAmrAAAAAbH+//9X////Ca0AAAAJqwAAAAGu/v//V////wmwAAAABlQBAAAFLTQxNDIBq/7//1f///8JswAAAAZXAQAAB0NhbGlicmkBqP7//1f///8JtgAAAAZaAQAAATABpf7//1f///8JuQAAAAZdAQAAAjExAaL+//9X////CbwAAAAGYAEAAAdSZWd1bGFyB44AAAAAAQAAAAQAAAAEN0dsb2JlU29mdHdhcmUuQXRsYXM0MC5BdGxhc0NvbW1vbi5UeXBlLkZpZWxkT3V0cHV0RmllbGQOAAAACWEBAAANAweQ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7//2b///8Bnf7//2X///8QAAAACcQAAAABm/7//2b///8Bmv7//2X///8JAAAACSQAAAABmP7//2b///8Bl/7//2X///8LAAAABmoBAAABNQGV/v//Zv///wGU/v//Zf///wQAAAAGbQEAAAdHZW5lcmFsAZL+//9m////AZH+//9l////AgAAAAZwAQAAATEBj/7//2b///8Bjv7//2X///8AAAAABnMBAAAFMTEuMTQHk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M/v//V////wmqAAAACasAAAABif7//1f///8JrQAAAAmrAAAAAYb+//9X////CbAAAAAGfAEAAAUtNDE0MgGD/v//V////wmzAAAABn8BAAAHQ2FsaWJyaQGA/v//V////wm2AAAABoIBAAABMAF9/v//V////wm5AAAABoUBAAACMTEBev7//1f///8JvAAAAAaIAQAAB1JlZ3VsYXIFm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d/7//9r/////////AAaKAQAABlN0cmluZwaLAQAAEENvbXBhbnkgYWNjb3VudHMJjAEAAAFz/v//2P///wIAAAAFcv7//zlHbG9iZVNvZnR3YXJlLkF0bGFzNDAuQXRsYXNDb21tb24uTnVtYmVyU2VxdWVuY2VDb25kaXRpb24BAAAAB3ZhbHVlX18ACA4AAAABAAAAAAAGjwEAABFUYWJsZS5JbnZlbnRUYWJsZQkhAAAACSQAAAAK/////wmPAQAACgkhAAAACgoKCSQAAAAJlQEAAAkkAAAAAb4AAACZAAAAAWn+///a/////////wAGmAEAAAZTdHJpbmcGmQEAAAtJdGVtIG51bWJlcgmMAQAAAWX+///Y////AgAAAAFk/v//cv7//wEAAAAAAAmPAQAACS8AAAAJJAAAAAr/////CY8BAAAKCS8AAAAKCgoJJAAAAAmjAQAACSQAAAAB6QAAAJkAAAABW/7//9r/////////AAamAQAABlN0cmluZwanAQAACUl0ZW0gbmFtZQmMAQAAAVf+///Y////AgAAAAFW/v//cv7//wEAAAAAAAmPAQAACT0AAAAJJAAAAAr/////CY8BAAAKCT0AAAAKCgoJJAAAAAmxAQAACSQAAAABEQEAAJkAAAABTf7//9r/////////AAa0AQAABlN0cmluZwa1AQAAC1NlYXJjaCBuYW1lCYwBAAABSf7//9j///8CAAAAAUj+//9y/v//AQAAAAAACY8BAAAJSwAAAAkkAAAACv////8JjwEAAAoJSwAAAAoKCgkkAAAACb8BAAAJJAAAAAE5AQAAmQAAAAE//v//2v////////8ABsIBAAAGU3RyaW5nBsMBAAAKSXRlbSBncm91cAmMAQAAATv+///Y////AgAAAAE6/v//cv7//wEAAAAAAAmPAQAACVkAAAAJJAAAAAr/////CY8BAAAKCVkAAAAKCgoJJAAAAAnNAQAACSQAAAABYQEAAJkAAAABMf7//9r/////////AAbQAQAABEVudW0G0QEAAAlJdGVtIHR5cGUJjAEAAAEt/v//2P///wIAAAABLP7//3L+//8BAAAAAAAJjwEAAAlnAAAACSQAAAAK/////wmPAQAACglnAAAACgoKCSQAAAAJ2wEAAAkkAAAABYw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3QEAAAtJbnZlbnRUYWJsZQbeAQAABUl0ZW1zCSQAAAAJJAAAAAkkAAAABSD+//8wR2xvYmVTb2Z0d2FyZS5BdGxhczQwLkF0bGFzQ29tbW9uLkRhdGFTb3VyY2VUeXBlAQAAAAd2YWx1ZV9fAAgOAAAAAAAAAAnhAQAACeIBAAAEHf7//wtTeXN0ZW0uR3VpZAsAAAACX2ECX2ICX2MCX2QCX2UCX2YCX2cCX2gCX2kCX2oCX2sAAAAAAAAAAAAAAAgHBwICAgICAgICrjviY2BkDUemc6BxqNthlgkkAAAACSQAAAAJ5QEAAAmPAQAACgoKCgoBAAAABRn+//80R2xvYmVTb2Z0d2FyZS5BdGxhczQwLkF0bGFzQ29tbW9uLkRhdGFTb3VyY2VKb2luTW9kZQEAAAAHdmFsdWVfXwAIDgAAAAAAAAAFGP7//zVHbG9iZVNvZnR3YXJlLkF0bGFzNDAuQXRsYXNDb21tb24uRGF0YVNvdXJjZUZldGNoTW9kZQEAAAAHdmFsdWVfXwAIDgAAAAAAAAAACekBAAABlQEAACAAAAASAAAACXgAAAADAAAACesBAAABowEAACAAAAAVAAAACXgAAAADAAAACe0BAAABsQEAACAAAAAVAAAACXgAAAADAAAACe8BAAABvwEAACAAAAAVAAAACXgAAAADAAAACfEBAAABzQEAACAAAAAVAAAACXgAAAADAAAACfMBAAAB2wEAACAAAAAVAAAACXgAAAADAAAACfUBAAAE4Q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9gEAAAcAAAAJ9wEAAATi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YBAAAAAAAABOU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2AQAAAAAAAATp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5AQAAAAAAAAfr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+//9X////BvsBAAAFTGFiZWwJiwEAAAED/v//V////wb+AQAABFR5cGUJigEAAAf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D+//9X////BgECAAAISGVscFRleHQGAgIAAA5JZGVudGlmeSBpdGVtLgH9/f//V////wn7AQAACZkBAAAB+v3//1f///8J/gEAAAmYAQAAB+8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3//1f///8JAQIAAAYLAgAAGERlc2NyaXB0aW9uIG9mIHRoZSBpdGVtLgH0/f//V////wn7AQAACacBAAAB8f3//1f///8J/gEAAAmmAQAAB/E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v3//1f///8JAQIAAAYUAgAAI0ZpbmQgZmFzdCBuYW1lIGFwcGx5aW5nIHRvIHRoZSBpdGVtAev9//9X////CfsBAAAJtQEAAAHo/f//V////wn+AQAACbQBAAAH8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V////wkBAgAABh0CAAAoSXRlbSBncm91cCB0aGF0IHRoZSBpdGVtIGlzIGF0dGFjaGVkIHRvLgHi/f//V////wn7AQAACcMBAAAB3/3//1f///8J/gEAAAnCAQAAB/U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1f///8JAQIAAAYmAgAALlR5cGUgZGV0ZXJtaW5pbmcgaG93IHRoZSBpdGVtIGlzIGFkbWluaXN0ZXJlZC4B2f3//1f///8J+wEAAAnRAQAAAdb9//9X////Cf4BAAAJ0AEAAAH2AQAADAAAAAf3AQ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T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uAgAAGFRhYmxlLkludmVudFRhYmxlLkl0ZW1JZAm+AAAAAdD9///T/f//BjECAAAaVGFibGUuSW52ZW50VGFibGUuSXRlbU5hbWUJ6QAAAAHN/f//0/3//wY0AgAAG1RhYmxlLkludmVudFRhYmxlLk5hbWVBbGlhcwkRAQAAAcr9///T/f//BjcCAAAdVGFibGUuSW52ZW50VGFibGUuSXRlbUdyb3VwSWQJOQEAAAHH/f//0/3//wY6AgAAGlRhYmxlLkludmVudFRhYmxlLkl0ZW1UeXBlCWEBAAABxP3//9P9//8GPQIAABxUYWJsZS5JbnZlbnRUYWJsZS5EYXRhQXJlYUlkCZkAAAAE+Q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Props1.xml><?xml version="1.0" encoding="utf-8"?>
<ds:datastoreItem xmlns:ds="http://schemas.openxmlformats.org/officeDocument/2006/customXml" ds:itemID="{C9B34616-D487-4DFE-A9D8-A24B3AEFD6C9}">
  <ds:schemaRefs/>
</ds:datastoreItem>
</file>

<file path=customXml/itemProps2.xml><?xml version="1.0" encoding="utf-8"?>
<ds:datastoreItem xmlns:ds="http://schemas.openxmlformats.org/officeDocument/2006/customXml" ds:itemID="{B744725E-86ED-4421-B489-FBB655CA29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ToDo</vt:lpstr>
      <vt:lpstr>Item exist</vt:lpstr>
      <vt:lpstr>Onhand</vt:lpstr>
      <vt:lpstr>InventTrans</vt:lpstr>
      <vt:lpstr>BOM</vt:lpstr>
      <vt:lpstr>PartOfBOM</vt:lpstr>
      <vt:lpstr>Notes</vt:lpstr>
      <vt:lpstr>Sheet1</vt:lpstr>
      <vt:lpstr>Sheet1!AtlasReport_1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Fradgley</dc:creator>
  <cp:lastModifiedBy>Spenser Wang</cp:lastModifiedBy>
  <dcterms:created xsi:type="dcterms:W3CDTF">2019-11-19T08:30:26Z</dcterms:created>
  <dcterms:modified xsi:type="dcterms:W3CDTF">2020-11-03T03:31:10Z</dcterms:modified>
</cp:coreProperties>
</file>