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impson\Companies\S&amp;P\INC1781665-SKU reduction phase 2\"/>
    </mc:Choice>
  </mc:AlternateContent>
  <bookViews>
    <workbookView xWindow="0" yWindow="0" windowWidth="15345" windowHeight="5955"/>
  </bookViews>
  <sheets>
    <sheet name="ToDo" sheetId="4" r:id="rId1"/>
    <sheet name="Item exist" sheetId="3" r:id="rId2"/>
    <sheet name="Onhand" sheetId="1" r:id="rId3"/>
    <sheet name="InventTrans" sheetId="2" r:id="rId4"/>
    <sheet name="BOM" sheetId="5" r:id="rId5"/>
    <sheet name="PartOfBOM" sheetId="6" r:id="rId6"/>
  </sheets>
  <functionGroups builtInGroupCount="18"/>
  <definedNames>
    <definedName name="_xlnm._FilterDatabase" localSheetId="0" hidden="1">ToDo!$A$1:$N$31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5" l="1"/>
  <c r="K2" i="5"/>
  <c r="F5" i="6"/>
  <c r="H31" i="6"/>
  <c r="I22" i="5"/>
  <c r="L15" i="6"/>
  <c r="I26" i="5"/>
  <c r="L20" i="3"/>
  <c r="D28" i="5"/>
  <c r="L13" i="5"/>
  <c r="J19" i="5"/>
  <c r="D31" i="5"/>
  <c r="K25" i="5"/>
  <c r="L11" i="6"/>
  <c r="J21" i="6"/>
  <c r="L30" i="2"/>
  <c r="M18" i="5"/>
  <c r="M6" i="5"/>
  <c r="H10" i="5"/>
  <c r="H23" i="2"/>
  <c r="H24" i="6"/>
  <c r="M19" i="5"/>
  <c r="H9" i="5"/>
  <c r="L16" i="3"/>
  <c r="D18" i="6"/>
  <c r="K7" i="6"/>
  <c r="C26" i="5"/>
  <c r="H9" i="2"/>
  <c r="L4" i="5"/>
  <c r="C31" i="5"/>
  <c r="M4" i="5"/>
  <c r="J23" i="5"/>
  <c r="L3" i="5"/>
  <c r="H5" i="5"/>
  <c r="H19" i="5"/>
  <c r="D30" i="1"/>
  <c r="F2" i="5"/>
  <c r="H27" i="6"/>
  <c r="G30" i="6"/>
  <c r="I17" i="6"/>
  <c r="M29" i="6"/>
  <c r="F2" i="3"/>
  <c r="I26" i="6"/>
  <c r="C20" i="5"/>
  <c r="K21" i="5"/>
  <c r="I10" i="5"/>
  <c r="I20" i="6"/>
  <c r="M29" i="3"/>
  <c r="J30" i="2"/>
  <c r="C13" i="1"/>
  <c r="H7" i="2"/>
  <c r="M6" i="2"/>
  <c r="H26" i="5"/>
  <c r="E8" i="6"/>
  <c r="L30" i="5"/>
  <c r="L28" i="3"/>
  <c r="I20" i="2"/>
  <c r="M20" i="6"/>
  <c r="J29" i="3"/>
  <c r="H31" i="2"/>
  <c r="F10" i="5"/>
  <c r="G10" i="5"/>
  <c r="K23" i="5"/>
  <c r="C24" i="3"/>
  <c r="K6" i="6"/>
  <c r="L6" i="6"/>
  <c r="E20" i="6"/>
  <c r="I28" i="5"/>
  <c r="G9" i="6"/>
  <c r="K30" i="5"/>
  <c r="C10" i="2"/>
  <c r="H23" i="3"/>
  <c r="D21" i="6"/>
  <c r="M30" i="6"/>
  <c r="H29" i="3"/>
  <c r="F16" i="2"/>
  <c r="F20" i="3"/>
  <c r="L21" i="6"/>
  <c r="M7" i="6"/>
  <c r="D24" i="6"/>
  <c r="E3" i="5"/>
  <c r="E9" i="6"/>
  <c r="J28" i="3"/>
  <c r="H4" i="3"/>
  <c r="K15" i="3"/>
  <c r="C11" i="1"/>
  <c r="J31" i="2"/>
  <c r="I23" i="5"/>
  <c r="D7" i="6"/>
  <c r="J30" i="6"/>
  <c r="G29" i="5"/>
  <c r="H17" i="5"/>
  <c r="C13" i="5"/>
  <c r="D30" i="5"/>
  <c r="I11" i="6"/>
  <c r="F27" i="5"/>
  <c r="L23" i="6"/>
  <c r="M10" i="3"/>
  <c r="H28" i="3"/>
  <c r="F31" i="5"/>
  <c r="C7" i="6"/>
  <c r="D4" i="3"/>
  <c r="E17" i="5"/>
  <c r="C4" i="3"/>
  <c r="M9" i="5"/>
  <c r="H20" i="5"/>
  <c r="D24" i="2"/>
  <c r="H29" i="2"/>
  <c r="H15" i="6"/>
  <c r="C14" i="1"/>
  <c r="D3" i="3"/>
  <c r="K30" i="2"/>
  <c r="E23" i="3"/>
  <c r="E16" i="3"/>
  <c r="M12" i="2"/>
  <c r="M7" i="5"/>
  <c r="I9" i="5"/>
  <c r="D7" i="5"/>
  <c r="C23" i="6"/>
  <c r="E10" i="6"/>
  <c r="I2" i="5"/>
  <c r="H8" i="6"/>
  <c r="I18" i="6"/>
  <c r="L6" i="3"/>
  <c r="D19" i="2"/>
  <c r="J17" i="5"/>
  <c r="E18" i="2"/>
  <c r="K12" i="6"/>
  <c r="E22" i="6"/>
  <c r="L30" i="6"/>
  <c r="K2" i="2"/>
  <c r="L4" i="6"/>
  <c r="H26" i="6"/>
  <c r="C18" i="6"/>
  <c r="J27" i="3"/>
  <c r="K22" i="5"/>
  <c r="M28" i="5"/>
  <c r="F28" i="5"/>
  <c r="H4" i="6"/>
  <c r="E16" i="5"/>
  <c r="I30" i="5"/>
  <c r="M31" i="6"/>
  <c r="J2" i="3"/>
  <c r="M20" i="5"/>
  <c r="L26" i="5"/>
  <c r="H13" i="5"/>
  <c r="C10" i="3"/>
  <c r="I5" i="2"/>
  <c r="J17" i="6"/>
  <c r="J14" i="2"/>
  <c r="E9" i="3"/>
  <c r="H21" i="6"/>
  <c r="C27" i="6"/>
  <c r="J9" i="6"/>
  <c r="H25" i="5"/>
  <c r="L12" i="5"/>
  <c r="H30" i="5"/>
  <c r="M11" i="5"/>
  <c r="H3" i="6"/>
  <c r="M21" i="5"/>
  <c r="E23" i="5"/>
  <c r="H12" i="6"/>
  <c r="H22" i="2"/>
  <c r="I14" i="6"/>
  <c r="C2" i="6"/>
  <c r="F18" i="3"/>
  <c r="G7" i="5"/>
  <c r="G18" i="6"/>
  <c r="L16" i="6"/>
  <c r="L2" i="2"/>
  <c r="M16" i="6"/>
  <c r="F23" i="5"/>
  <c r="J31" i="5"/>
  <c r="L20" i="6"/>
  <c r="C20" i="1"/>
  <c r="G14" i="2"/>
  <c r="E3" i="6"/>
  <c r="E28" i="5"/>
  <c r="C22" i="3"/>
  <c r="F29" i="5"/>
  <c r="D27" i="6"/>
  <c r="H11" i="6"/>
  <c r="M10" i="6"/>
  <c r="K14" i="3"/>
  <c r="C7" i="3"/>
  <c r="C14" i="5"/>
  <c r="G18" i="2"/>
  <c r="E29" i="5"/>
  <c r="F21" i="5"/>
  <c r="J13" i="5"/>
  <c r="H19" i="6"/>
  <c r="J25" i="6"/>
  <c r="M13" i="6"/>
  <c r="D10" i="6"/>
  <c r="K21" i="3"/>
  <c r="E15" i="6"/>
  <c r="E11" i="3"/>
  <c r="K27" i="2"/>
  <c r="G28" i="2"/>
  <c r="D4" i="6"/>
  <c r="C20" i="6"/>
  <c r="F28" i="6"/>
  <c r="H28" i="5"/>
  <c r="C26" i="3"/>
  <c r="H3" i="5"/>
  <c r="M10" i="5"/>
  <c r="C18" i="1"/>
  <c r="L23" i="5"/>
  <c r="F5" i="2"/>
  <c r="H15" i="3"/>
  <c r="I31" i="6"/>
  <c r="I17" i="2"/>
  <c r="G24" i="5"/>
  <c r="E20" i="2"/>
  <c r="L27" i="5"/>
  <c r="G14" i="6"/>
  <c r="K15" i="6"/>
  <c r="E27" i="3"/>
  <c r="E11" i="5"/>
  <c r="M8" i="6"/>
  <c r="I19" i="5"/>
  <c r="L16" i="5"/>
  <c r="L9" i="6"/>
  <c r="E31" i="6"/>
  <c r="D23" i="1"/>
  <c r="I31" i="5"/>
  <c r="M23" i="5"/>
  <c r="J19" i="6"/>
  <c r="J22" i="5"/>
  <c r="M16" i="5"/>
  <c r="M21" i="6"/>
  <c r="I9" i="2"/>
  <c r="F23" i="2"/>
  <c r="L5" i="2"/>
  <c r="L26" i="2"/>
  <c r="D14" i="1"/>
  <c r="H24" i="2"/>
  <c r="G19" i="3"/>
  <c r="K27" i="6"/>
  <c r="H15" i="2"/>
  <c r="H24" i="3"/>
  <c r="G8" i="5"/>
  <c r="F26" i="6"/>
  <c r="D26" i="5"/>
  <c r="C12" i="5"/>
  <c r="M2" i="6"/>
  <c r="H3" i="3"/>
  <c r="G21" i="6"/>
  <c r="C25" i="2"/>
  <c r="K20" i="6"/>
  <c r="C19" i="3"/>
  <c r="F15" i="6"/>
  <c r="G31" i="6"/>
  <c r="C14" i="2"/>
  <c r="D22" i="5"/>
  <c r="F21" i="6"/>
  <c r="I12" i="6"/>
  <c r="E5" i="6"/>
  <c r="G26" i="5"/>
  <c r="K5" i="6"/>
  <c r="J5" i="2"/>
  <c r="F7" i="5"/>
  <c r="G6" i="5"/>
  <c r="F16" i="5"/>
  <c r="H29" i="5"/>
  <c r="H14" i="5"/>
  <c r="C22" i="5"/>
  <c r="K3" i="6"/>
  <c r="I27" i="3"/>
  <c r="H2" i="6"/>
  <c r="M22" i="5"/>
  <c r="L3" i="6"/>
  <c r="F12" i="5"/>
  <c r="H22" i="5"/>
  <c r="K11" i="2"/>
  <c r="I31" i="2"/>
  <c r="M21" i="3"/>
  <c r="J27" i="2"/>
  <c r="I23" i="6"/>
  <c r="C4" i="5"/>
  <c r="L12" i="6"/>
  <c r="F12" i="6"/>
  <c r="D12" i="5"/>
  <c r="D5" i="5"/>
  <c r="E12" i="5"/>
  <c r="F25" i="5"/>
  <c r="G18" i="5"/>
  <c r="D3" i="6"/>
  <c r="E29" i="2"/>
  <c r="K28" i="5"/>
  <c r="I8" i="6"/>
  <c r="G17" i="6"/>
  <c r="J8" i="6"/>
  <c r="F18" i="5"/>
  <c r="C8" i="6"/>
  <c r="E31" i="2"/>
  <c r="D13" i="2"/>
  <c r="D14" i="6"/>
  <c r="K13" i="5"/>
  <c r="J5" i="6"/>
  <c r="K28" i="6"/>
  <c r="D18" i="5"/>
  <c r="F23" i="3"/>
  <c r="D24" i="3"/>
  <c r="E3" i="2"/>
  <c r="I15" i="5"/>
  <c r="I11" i="5"/>
  <c r="J7" i="5"/>
  <c r="J11" i="6"/>
  <c r="E14" i="6"/>
  <c r="J7" i="2"/>
  <c r="I7" i="2"/>
  <c r="F14" i="3"/>
  <c r="H29" i="6"/>
  <c r="D19" i="5"/>
  <c r="L22" i="5"/>
  <c r="J25" i="5"/>
  <c r="D17" i="5"/>
  <c r="I15" i="6"/>
  <c r="E9" i="5"/>
  <c r="G20" i="6"/>
  <c r="E24" i="6"/>
  <c r="E29" i="6"/>
  <c r="I5" i="5"/>
  <c r="M9" i="6"/>
  <c r="D12" i="3"/>
  <c r="K2" i="6"/>
  <c r="D5" i="2"/>
  <c r="H20" i="3"/>
  <c r="M15" i="3"/>
  <c r="C30" i="6"/>
  <c r="H14" i="6"/>
  <c r="E21" i="2"/>
  <c r="M20" i="2"/>
  <c r="G10" i="6"/>
  <c r="I3" i="3"/>
  <c r="H5" i="3"/>
  <c r="G2" i="6"/>
  <c r="D20" i="3"/>
  <c r="D14" i="5"/>
  <c r="G13" i="6"/>
  <c r="E4" i="6"/>
  <c r="F4" i="6"/>
  <c r="M18" i="6"/>
  <c r="J16" i="3"/>
  <c r="E15" i="5"/>
  <c r="K17" i="6"/>
  <c r="D15" i="6"/>
  <c r="M19" i="2"/>
  <c r="G15" i="6"/>
  <c r="C24" i="5"/>
  <c r="C16" i="2"/>
  <c r="M13" i="5"/>
  <c r="C10" i="6"/>
  <c r="H26" i="3"/>
  <c r="M27" i="2"/>
  <c r="C27" i="2"/>
  <c r="C2" i="3"/>
  <c r="D6" i="5"/>
  <c r="G16" i="5"/>
  <c r="G28" i="3"/>
  <c r="H25" i="3"/>
  <c r="J3" i="6"/>
  <c r="G6" i="3"/>
  <c r="L20" i="5"/>
  <c r="F3" i="3"/>
  <c r="C10" i="1"/>
  <c r="E18" i="6"/>
  <c r="H8" i="5"/>
  <c r="C14" i="3"/>
  <c r="G5" i="5"/>
  <c r="J4" i="5"/>
  <c r="L16" i="2"/>
  <c r="I13" i="6"/>
  <c r="L9" i="5"/>
  <c r="J19" i="2"/>
  <c r="J10" i="6"/>
  <c r="G9" i="3"/>
  <c r="D8" i="6"/>
  <c r="D18" i="3"/>
  <c r="F20" i="5"/>
  <c r="L24" i="6"/>
  <c r="G19" i="6"/>
  <c r="K17" i="5"/>
  <c r="C29" i="5"/>
  <c r="K24" i="5"/>
  <c r="D4" i="2"/>
  <c r="G25" i="6"/>
  <c r="G27" i="5"/>
  <c r="L11" i="5"/>
  <c r="J22" i="6"/>
  <c r="F8" i="6"/>
  <c r="E27" i="5"/>
  <c r="G2" i="5"/>
  <c r="J20" i="5"/>
  <c r="E19" i="6"/>
  <c r="D3" i="5"/>
  <c r="I28" i="6"/>
  <c r="L6" i="5"/>
  <c r="J7" i="6"/>
  <c r="G3" i="5"/>
  <c r="G25" i="5"/>
  <c r="D8" i="5"/>
  <c r="L8" i="6"/>
  <c r="C21" i="6"/>
  <c r="K26" i="6"/>
  <c r="K12" i="2"/>
  <c r="L18" i="3"/>
  <c r="G8" i="6"/>
  <c r="H22" i="6"/>
  <c r="E2" i="5"/>
  <c r="C25" i="1"/>
  <c r="E7" i="6"/>
  <c r="J3" i="2"/>
  <c r="D10" i="2"/>
  <c r="L27" i="3"/>
  <c r="H28" i="2"/>
  <c r="H12" i="3"/>
  <c r="J10" i="5"/>
  <c r="L19" i="6"/>
  <c r="L28" i="5"/>
  <c r="J4" i="6"/>
  <c r="L5" i="6"/>
  <c r="M3" i="2"/>
  <c r="K28" i="2"/>
  <c r="J9" i="2"/>
  <c r="H16" i="2"/>
  <c r="J6" i="2"/>
  <c r="F8" i="2"/>
  <c r="G16" i="6"/>
  <c r="L18" i="5"/>
  <c r="I4" i="5"/>
  <c r="C18" i="5"/>
  <c r="D6" i="6"/>
  <c r="C9" i="5"/>
  <c r="L2" i="5"/>
  <c r="K13" i="6"/>
  <c r="L23" i="2"/>
  <c r="D25" i="2"/>
  <c r="H17" i="2"/>
  <c r="G27" i="6"/>
  <c r="H19" i="3"/>
  <c r="F30" i="2"/>
  <c r="D16" i="3"/>
  <c r="D16" i="1"/>
  <c r="J18" i="5"/>
  <c r="H7" i="5"/>
  <c r="E11" i="2"/>
  <c r="D6" i="2"/>
  <c r="H27" i="5"/>
  <c r="G11" i="5"/>
  <c r="C30" i="2"/>
  <c r="D5" i="6"/>
  <c r="J6" i="3"/>
  <c r="I29" i="2"/>
  <c r="E27" i="6"/>
  <c r="H8" i="2"/>
  <c r="C16" i="1"/>
  <c r="C27" i="5"/>
  <c r="C21" i="5"/>
  <c r="F28" i="3"/>
  <c r="L13" i="2"/>
  <c r="D15" i="5"/>
  <c r="I10" i="2"/>
  <c r="I19" i="2"/>
  <c r="F15" i="5"/>
  <c r="K20" i="2"/>
  <c r="H18" i="5"/>
  <c r="E11" i="6"/>
  <c r="E19" i="2"/>
  <c r="C11" i="6"/>
  <c r="K29" i="2"/>
  <c r="C25" i="3"/>
  <c r="I18" i="2"/>
  <c r="D27" i="1"/>
  <c r="K18" i="3"/>
  <c r="K16" i="6"/>
  <c r="E4" i="5"/>
  <c r="G28" i="6"/>
  <c r="F12" i="2"/>
  <c r="G30" i="2"/>
  <c r="J9" i="3"/>
  <c r="L14" i="5"/>
  <c r="L25" i="6"/>
  <c r="F31" i="2"/>
  <c r="L24" i="5"/>
  <c r="C25" i="5"/>
  <c r="M15" i="6"/>
  <c r="H10" i="2"/>
  <c r="C18" i="2"/>
  <c r="F22" i="3"/>
  <c r="I27" i="2"/>
  <c r="F15" i="2"/>
  <c r="E23" i="2"/>
  <c r="K27" i="5"/>
  <c r="L25" i="5"/>
  <c r="D30" i="3"/>
  <c r="F21" i="3"/>
  <c r="H28" i="6"/>
  <c r="F23" i="6"/>
  <c r="G3" i="6"/>
  <c r="K23" i="3"/>
  <c r="G5" i="3"/>
  <c r="H3" i="2"/>
  <c r="L25" i="3"/>
  <c r="F27" i="6"/>
  <c r="E10" i="5"/>
  <c r="M11" i="6"/>
  <c r="I25" i="6"/>
  <c r="D26" i="1"/>
  <c r="J29" i="6"/>
  <c r="D21" i="5"/>
  <c r="I27" i="5"/>
  <c r="L9" i="3"/>
  <c r="I18" i="5"/>
  <c r="E20" i="5"/>
  <c r="F22" i="5"/>
  <c r="M18" i="3"/>
  <c r="H16" i="6"/>
  <c r="C6" i="6"/>
  <c r="G8" i="2"/>
  <c r="H21" i="5"/>
  <c r="D9" i="6"/>
  <c r="H16" i="5"/>
  <c r="M12" i="6"/>
  <c r="G15" i="2"/>
  <c r="L26" i="3"/>
  <c r="M29" i="5"/>
  <c r="D2" i="6"/>
  <c r="C17" i="1"/>
  <c r="G7" i="3"/>
  <c r="F10" i="6"/>
  <c r="G23" i="3"/>
  <c r="D7" i="3"/>
  <c r="D11" i="5"/>
  <c r="E15" i="3"/>
  <c r="J23" i="3"/>
  <c r="L22" i="3"/>
  <c r="K19" i="5"/>
  <c r="D18" i="2"/>
  <c r="D17" i="6"/>
  <c r="J22" i="2"/>
  <c r="F11" i="5"/>
  <c r="J26" i="6"/>
  <c r="J29" i="2"/>
  <c r="L7" i="5"/>
  <c r="G25" i="2"/>
  <c r="G21" i="5"/>
  <c r="E17" i="6"/>
  <c r="E7" i="2"/>
  <c r="L21" i="2"/>
  <c r="C13" i="6"/>
  <c r="F10" i="2"/>
  <c r="E25" i="5"/>
  <c r="L10" i="3"/>
  <c r="F2" i="2"/>
  <c r="M27" i="6"/>
  <c r="M3" i="6"/>
  <c r="J12" i="5"/>
  <c r="K4" i="5"/>
  <c r="L26" i="6"/>
  <c r="M6" i="6"/>
  <c r="M28" i="6"/>
  <c r="K31" i="2"/>
  <c r="K22" i="6"/>
  <c r="F6" i="2"/>
  <c r="J11" i="2"/>
  <c r="F4" i="5"/>
  <c r="E12" i="2"/>
  <c r="G23" i="5"/>
  <c r="I3" i="2"/>
  <c r="C31" i="3"/>
  <c r="H24" i="5"/>
  <c r="J27" i="5"/>
  <c r="C17" i="2"/>
  <c r="H21" i="2"/>
  <c r="E5" i="2"/>
  <c r="I17" i="3"/>
  <c r="H25" i="2"/>
  <c r="D20" i="1"/>
  <c r="D31" i="1"/>
  <c r="J10" i="2"/>
  <c r="D30" i="6"/>
  <c r="F19" i="2"/>
  <c r="E18" i="3"/>
  <c r="G3" i="3"/>
  <c r="G4" i="6"/>
  <c r="I28" i="2"/>
  <c r="I4" i="3"/>
  <c r="D24" i="5"/>
  <c r="H9" i="6"/>
  <c r="H13" i="6"/>
  <c r="M22" i="6"/>
  <c r="E4" i="3"/>
  <c r="E19" i="3"/>
  <c r="C29" i="2"/>
  <c r="I6" i="2"/>
  <c r="M17" i="5"/>
  <c r="I22" i="2"/>
  <c r="J24" i="3"/>
  <c r="C12" i="3"/>
  <c r="C8" i="1"/>
  <c r="L9" i="2"/>
  <c r="G19" i="2"/>
  <c r="K25" i="3"/>
  <c r="H22" i="3"/>
  <c r="G29" i="2"/>
  <c r="D8" i="2"/>
  <c r="J2" i="2"/>
  <c r="F25" i="2"/>
  <c r="M16" i="2"/>
  <c r="F13" i="3"/>
  <c r="D6" i="3"/>
  <c r="J11" i="5"/>
  <c r="M23" i="6"/>
  <c r="I21" i="6"/>
  <c r="F10" i="3"/>
  <c r="G4" i="3"/>
  <c r="H19" i="2"/>
  <c r="G20" i="3"/>
  <c r="J16" i="2"/>
  <c r="I16" i="3"/>
  <c r="C26" i="1"/>
  <c r="G10" i="3"/>
  <c r="G16" i="3"/>
  <c r="D20" i="6"/>
  <c r="M12" i="3"/>
  <c r="M31" i="3"/>
  <c r="D8" i="3"/>
  <c r="F21" i="2"/>
  <c r="K4" i="3"/>
  <c r="J26" i="5"/>
  <c r="E21" i="6"/>
  <c r="J28" i="5"/>
  <c r="K14" i="6"/>
  <c r="F7" i="6"/>
  <c r="J2" i="6"/>
  <c r="E12" i="6"/>
  <c r="I9" i="3"/>
  <c r="E22" i="5"/>
  <c r="I18" i="3"/>
  <c r="F16" i="3"/>
  <c r="E6" i="5"/>
  <c r="J5" i="3"/>
  <c r="C24" i="1"/>
  <c r="G12" i="3"/>
  <c r="J16" i="5"/>
  <c r="E22" i="3"/>
  <c r="G10" i="2"/>
  <c r="M25" i="2"/>
  <c r="I29" i="5"/>
  <c r="C24" i="6"/>
  <c r="C27" i="3"/>
  <c r="D29" i="6"/>
  <c r="M25" i="3"/>
  <c r="I8" i="5"/>
  <c r="C5" i="6"/>
  <c r="K9" i="5"/>
  <c r="J13" i="2"/>
  <c r="E19" i="5"/>
  <c r="L15" i="3"/>
  <c r="M24" i="6"/>
  <c r="D31" i="3"/>
  <c r="F27" i="2"/>
  <c r="E16" i="2"/>
  <c r="K9" i="2"/>
  <c r="G17" i="3"/>
  <c r="H7" i="6"/>
  <c r="G31" i="3"/>
  <c r="D17" i="1"/>
  <c r="E9" i="2"/>
  <c r="C17" i="6"/>
  <c r="F22" i="6"/>
  <c r="E25" i="2"/>
  <c r="C31" i="6"/>
  <c r="M14" i="5"/>
  <c r="F29" i="3"/>
  <c r="F26" i="3"/>
  <c r="I20" i="3"/>
  <c r="M23" i="3"/>
  <c r="F15" i="3"/>
  <c r="G7" i="6"/>
  <c r="C19" i="6"/>
  <c r="G12" i="6"/>
  <c r="G23" i="2"/>
  <c r="D27" i="5"/>
  <c r="C15" i="2"/>
  <c r="E25" i="6"/>
  <c r="D5" i="3"/>
  <c r="D26" i="6"/>
  <c r="D21" i="1"/>
  <c r="I25" i="2"/>
  <c r="C12" i="1"/>
  <c r="M8" i="2"/>
  <c r="I4" i="6"/>
  <c r="L10" i="6"/>
  <c r="L19" i="3"/>
  <c r="G22" i="2"/>
  <c r="F24" i="3"/>
  <c r="G22" i="5"/>
  <c r="F13" i="2"/>
  <c r="D10" i="5"/>
  <c r="I15" i="2"/>
  <c r="G24" i="6"/>
  <c r="H17" i="6"/>
  <c r="C3" i="6"/>
  <c r="J5" i="5"/>
  <c r="I19" i="3"/>
  <c r="K24" i="2"/>
  <c r="D28" i="1"/>
  <c r="C5" i="1"/>
  <c r="E13" i="3"/>
  <c r="I30" i="6"/>
  <c r="C23" i="3"/>
  <c r="C31" i="1"/>
  <c r="K5" i="3"/>
  <c r="J29" i="5"/>
  <c r="F27" i="3"/>
  <c r="H15" i="5"/>
  <c r="G2" i="2"/>
  <c r="I13" i="5"/>
  <c r="K23" i="2"/>
  <c r="F6" i="5"/>
  <c r="I21" i="3"/>
  <c r="F3" i="6"/>
  <c r="M17" i="3"/>
  <c r="K26" i="3"/>
  <c r="D13" i="3"/>
  <c r="I14" i="5"/>
  <c r="C17" i="3"/>
  <c r="I24" i="6"/>
  <c r="D7" i="2"/>
  <c r="F28" i="2"/>
  <c r="D6" i="1"/>
  <c r="C15" i="1"/>
  <c r="I8" i="3"/>
  <c r="D4" i="1"/>
  <c r="J8" i="5"/>
  <c r="D29" i="3"/>
  <c r="K10" i="3"/>
  <c r="M27" i="5"/>
  <c r="D18" i="1"/>
  <c r="F8" i="5"/>
  <c r="C19" i="5"/>
  <c r="H17" i="3"/>
  <c r="M24" i="5"/>
  <c r="K24" i="6"/>
  <c r="K26" i="5"/>
  <c r="K29" i="5"/>
  <c r="M5" i="3"/>
  <c r="I9" i="6"/>
  <c r="C23" i="2"/>
  <c r="I29" i="3"/>
  <c r="K7" i="5"/>
  <c r="F19" i="5"/>
  <c r="C3" i="2"/>
  <c r="J26" i="2"/>
  <c r="J12" i="2"/>
  <c r="M11" i="3"/>
  <c r="J11" i="3"/>
  <c r="D28" i="3"/>
  <c r="C13" i="3"/>
  <c r="I6" i="3"/>
  <c r="M5" i="6"/>
  <c r="E10" i="3"/>
  <c r="C29" i="1"/>
  <c r="K31" i="5"/>
  <c r="D14" i="3"/>
  <c r="J21" i="2"/>
  <c r="K29" i="6"/>
  <c r="I16" i="2"/>
  <c r="D19" i="6"/>
  <c r="H21" i="3"/>
  <c r="G5" i="6"/>
  <c r="C30" i="3"/>
  <c r="F19" i="6"/>
  <c r="D27" i="3"/>
  <c r="F7" i="3"/>
  <c r="M30" i="3"/>
  <c r="G2" i="3"/>
  <c r="I27" i="6"/>
  <c r="D12" i="1"/>
  <c r="L29" i="5"/>
  <c r="H18" i="6"/>
  <c r="E4" i="2"/>
  <c r="K20" i="3"/>
  <c r="F13" i="6"/>
  <c r="G27" i="3"/>
  <c r="K17" i="3"/>
  <c r="J24" i="5"/>
  <c r="F4" i="2"/>
  <c r="L17" i="2"/>
  <c r="M30" i="5"/>
  <c r="I5" i="3"/>
  <c r="C7" i="5"/>
  <c r="M22" i="2"/>
  <c r="D21" i="3"/>
  <c r="G14" i="5"/>
  <c r="C11" i="5"/>
  <c r="L15" i="5"/>
  <c r="F20" i="2"/>
  <c r="K19" i="6"/>
  <c r="L18" i="6"/>
  <c r="J21" i="3"/>
  <c r="H6" i="3"/>
  <c r="I31" i="3"/>
  <c r="F3" i="5"/>
  <c r="M23" i="2"/>
  <c r="J20" i="3"/>
  <c r="J17" i="2"/>
  <c r="K31" i="3"/>
  <c r="I23" i="2"/>
  <c r="J16" i="6"/>
  <c r="M13" i="3"/>
  <c r="J12" i="3"/>
  <c r="D28" i="2"/>
  <c r="L27" i="2"/>
  <c r="K8" i="6"/>
  <c r="I2" i="6"/>
  <c r="K3" i="2"/>
  <c r="G6" i="6"/>
  <c r="C9" i="2"/>
  <c r="I7" i="6"/>
  <c r="F22" i="2"/>
  <c r="D3" i="1"/>
  <c r="K13" i="3"/>
  <c r="L19" i="5"/>
  <c r="C16" i="5"/>
  <c r="J21" i="5"/>
  <c r="E26" i="2"/>
  <c r="K3" i="5"/>
  <c r="L21" i="3"/>
  <c r="D23" i="5"/>
  <c r="I13" i="3"/>
  <c r="G12" i="5"/>
  <c r="I21" i="2"/>
  <c r="C2" i="2"/>
  <c r="D4" i="5"/>
  <c r="K8" i="5"/>
  <c r="L24" i="2"/>
  <c r="J13" i="6"/>
  <c r="C2" i="1"/>
  <c r="C19" i="2"/>
  <c r="E26" i="3"/>
  <c r="M5" i="5"/>
  <c r="M17" i="6"/>
  <c r="I5" i="6"/>
  <c r="L3" i="3"/>
  <c r="M31" i="5"/>
  <c r="L8" i="2"/>
  <c r="E14" i="2"/>
  <c r="G27" i="2"/>
  <c r="L11" i="3"/>
  <c r="J24" i="6"/>
  <c r="F26" i="5"/>
  <c r="F17" i="6"/>
  <c r="K15" i="5"/>
  <c r="K19" i="3"/>
  <c r="K22" i="3"/>
  <c r="M26" i="3"/>
  <c r="J23" i="2"/>
  <c r="C28" i="1"/>
  <c r="L19" i="2"/>
  <c r="K10" i="5"/>
  <c r="D8" i="1"/>
  <c r="E7" i="5"/>
  <c r="E31" i="3"/>
  <c r="K17" i="2"/>
  <c r="K25" i="2"/>
  <c r="C20" i="3"/>
  <c r="G24" i="3"/>
  <c r="K12" i="5"/>
  <c r="I3" i="6"/>
  <c r="D11" i="6"/>
  <c r="D25" i="1"/>
  <c r="L14" i="6"/>
  <c r="D23" i="6"/>
  <c r="K29" i="3"/>
  <c r="I4" i="2"/>
  <c r="K2" i="3"/>
  <c r="J9" i="5"/>
  <c r="C9" i="1"/>
  <c r="C7" i="1"/>
  <c r="K14" i="5"/>
  <c r="C29" i="6"/>
  <c r="F14" i="6"/>
  <c r="L30" i="3"/>
  <c r="J4" i="3"/>
  <c r="I2" i="2"/>
  <c r="E22" i="2"/>
  <c r="D9" i="3"/>
  <c r="I6" i="5"/>
  <c r="J18" i="3"/>
  <c r="M25" i="6"/>
  <c r="M9" i="2"/>
  <c r="K5" i="2"/>
  <c r="H13" i="3"/>
  <c r="E26" i="5"/>
  <c r="J14" i="3"/>
  <c r="D9" i="1"/>
  <c r="L6" i="2"/>
  <c r="C21" i="2"/>
  <c r="G6" i="2"/>
  <c r="L5" i="5"/>
  <c r="K12" i="3"/>
  <c r="L21" i="5"/>
  <c r="H31" i="5"/>
  <c r="M26" i="5"/>
  <c r="L29" i="2"/>
  <c r="I11" i="2"/>
  <c r="C18" i="3"/>
  <c r="H13" i="2"/>
  <c r="C10" i="5"/>
  <c r="H27" i="2"/>
  <c r="I2" i="3"/>
  <c r="J18" i="2"/>
  <c r="C4" i="1"/>
  <c r="M17" i="2"/>
  <c r="H27" i="3"/>
  <c r="D25" i="3"/>
  <c r="C3" i="1"/>
  <c r="F25" i="6"/>
  <c r="G22" i="6"/>
  <c r="D2" i="5"/>
  <c r="C26" i="2"/>
  <c r="I3" i="5"/>
  <c r="J17" i="3"/>
  <c r="I13" i="2"/>
  <c r="I7" i="5"/>
  <c r="E21" i="5"/>
  <c r="L3" i="2"/>
  <c r="J20" i="6"/>
  <c r="H2" i="3"/>
  <c r="L5" i="3"/>
  <c r="M6" i="3"/>
  <c r="M28" i="2"/>
  <c r="J12" i="6"/>
  <c r="L22" i="6"/>
  <c r="C22" i="1"/>
  <c r="F20" i="6"/>
  <c r="I24" i="3"/>
  <c r="I29" i="6"/>
  <c r="F30" i="6"/>
  <c r="E20" i="3"/>
  <c r="L2" i="3"/>
  <c r="G24" i="2"/>
  <c r="D30" i="2"/>
  <c r="H23" i="6"/>
  <c r="K25" i="6"/>
  <c r="F29" i="6"/>
  <c r="M19" i="6"/>
  <c r="J15" i="5"/>
  <c r="E6" i="2"/>
  <c r="K16" i="5"/>
  <c r="F9" i="6"/>
  <c r="M11" i="2"/>
  <c r="C28" i="6"/>
  <c r="L10" i="2"/>
  <c r="D2" i="3"/>
  <c r="E15" i="2"/>
  <c r="M27" i="3"/>
  <c r="D2" i="1"/>
  <c r="C25" i="6"/>
  <c r="M2" i="5"/>
  <c r="K6" i="3"/>
  <c r="L31" i="2"/>
  <c r="F29" i="1"/>
  <c r="D11" i="2"/>
  <c r="L2" i="6"/>
  <c r="J8" i="2"/>
  <c r="F25" i="3"/>
  <c r="J31" i="6"/>
  <c r="E3" i="1"/>
  <c r="G7" i="2"/>
  <c r="F10" i="1"/>
  <c r="E6" i="6"/>
  <c r="I25" i="3"/>
  <c r="F11" i="1"/>
  <c r="G11" i="2"/>
  <c r="F5" i="1"/>
  <c r="F31" i="1"/>
  <c r="I22" i="6"/>
  <c r="E28" i="3"/>
  <c r="G13" i="5"/>
  <c r="E21" i="3"/>
  <c r="K21" i="2"/>
  <c r="C5" i="2"/>
  <c r="J3" i="3"/>
  <c r="H11" i="5"/>
  <c r="D12" i="6"/>
  <c r="K6" i="2"/>
  <c r="E30" i="6"/>
  <c r="C15" i="3"/>
  <c r="I12" i="5"/>
  <c r="K19" i="2"/>
  <c r="G26" i="2"/>
  <c r="F11" i="3"/>
  <c r="F4" i="3"/>
  <c r="M8" i="5"/>
  <c r="I15" i="3"/>
  <c r="C8" i="5"/>
  <c r="C3" i="5"/>
  <c r="G13" i="3"/>
  <c r="G26" i="6"/>
  <c r="J28" i="2"/>
  <c r="E13" i="6"/>
  <c r="K10" i="6"/>
  <c r="L8" i="3"/>
  <c r="C19" i="1"/>
  <c r="G18" i="3"/>
  <c r="G30" i="5"/>
  <c r="F2" i="6"/>
  <c r="F11" i="2"/>
  <c r="L12" i="3"/>
  <c r="D17" i="2"/>
  <c r="J31" i="3"/>
  <c r="C11" i="3"/>
  <c r="J28" i="6"/>
  <c r="K21" i="6"/>
  <c r="L28" i="2"/>
  <c r="L29" i="6"/>
  <c r="H4" i="5"/>
  <c r="F18" i="6"/>
  <c r="J3" i="5"/>
  <c r="F12" i="3"/>
  <c r="M7" i="2"/>
  <c r="M19" i="3"/>
  <c r="H25" i="6"/>
  <c r="K22" i="2"/>
  <c r="C6" i="5"/>
  <c r="G21" i="3"/>
  <c r="G21" i="2"/>
  <c r="L23" i="3"/>
  <c r="C15" i="6"/>
  <c r="F9" i="2"/>
  <c r="F30" i="5"/>
  <c r="C23" i="5"/>
  <c r="D11" i="1"/>
  <c r="I7" i="3"/>
  <c r="I17" i="5"/>
  <c r="J23" i="6"/>
  <c r="C29" i="3"/>
  <c r="C28" i="5"/>
  <c r="J19" i="3"/>
  <c r="M4" i="2"/>
  <c r="L31" i="6"/>
  <c r="H20" i="6"/>
  <c r="K27" i="3"/>
  <c r="L13" i="6"/>
  <c r="G16" i="2"/>
  <c r="M24" i="3"/>
  <c r="F6" i="6"/>
  <c r="D15" i="3"/>
  <c r="M31" i="2"/>
  <c r="L17" i="6"/>
  <c r="G23" i="6"/>
  <c r="J4" i="2"/>
  <c r="C30" i="1"/>
  <c r="E14" i="5"/>
  <c r="D25" i="6"/>
  <c r="E7" i="3"/>
  <c r="K9" i="3"/>
  <c r="D20" i="2"/>
  <c r="I28" i="3"/>
  <c r="J26" i="3"/>
  <c r="G4" i="2"/>
  <c r="D16" i="5"/>
  <c r="L28" i="6"/>
  <c r="G22" i="3"/>
  <c r="D22" i="3"/>
  <c r="G25" i="3"/>
  <c r="J6" i="6"/>
  <c r="F31" i="3"/>
  <c r="G28" i="5"/>
  <c r="F14" i="2"/>
  <c r="D25" i="5"/>
  <c r="D16" i="6"/>
  <c r="E26" i="6"/>
  <c r="F5" i="3"/>
  <c r="H6" i="2"/>
  <c r="C26" i="6"/>
  <c r="C4" i="6"/>
  <c r="F17" i="2"/>
  <c r="I30" i="2"/>
  <c r="K4" i="2"/>
  <c r="D31" i="6"/>
  <c r="G20" i="5"/>
  <c r="K16" i="2"/>
  <c r="D20" i="5"/>
  <c r="D10" i="3"/>
  <c r="G13" i="2"/>
  <c r="L22" i="2"/>
  <c r="H11" i="3"/>
  <c r="I30" i="3"/>
  <c r="M14" i="2"/>
  <c r="K23" i="6"/>
  <c r="L31" i="5"/>
  <c r="E17" i="2"/>
  <c r="M8" i="3"/>
  <c r="D26" i="2"/>
  <c r="H7" i="3"/>
  <c r="G8" i="3"/>
  <c r="F24" i="2"/>
  <c r="I12" i="2"/>
  <c r="J22" i="3"/>
  <c r="K7" i="3"/>
  <c r="K8" i="3"/>
  <c r="L25" i="2"/>
  <c r="I20" i="5"/>
  <c r="H9" i="3"/>
  <c r="G30" i="3"/>
  <c r="J15" i="6"/>
  <c r="C17" i="5"/>
  <c r="K30" i="6"/>
  <c r="K3" i="3"/>
  <c r="M26" i="2"/>
  <c r="D9" i="2"/>
  <c r="D24" i="1"/>
  <c r="D23" i="2"/>
  <c r="E30" i="2"/>
  <c r="E6" i="3"/>
  <c r="C12" i="2"/>
  <c r="D15" i="2"/>
  <c r="E30" i="3"/>
  <c r="E21" i="1"/>
  <c r="G4" i="5"/>
  <c r="J14" i="5"/>
  <c r="C20" i="2"/>
  <c r="H2" i="5"/>
  <c r="G11" i="6"/>
  <c r="M26" i="6"/>
  <c r="I8" i="2"/>
  <c r="L29" i="3"/>
  <c r="I19" i="6"/>
  <c r="I24" i="2"/>
  <c r="G15" i="3"/>
  <c r="L15" i="2"/>
  <c r="G29" i="6"/>
  <c r="I22" i="3"/>
  <c r="H11" i="2"/>
  <c r="C31" i="2"/>
  <c r="F9" i="3"/>
  <c r="J24" i="2"/>
  <c r="L4" i="3"/>
  <c r="C28" i="3"/>
  <c r="H5" i="2"/>
  <c r="H4" i="2"/>
  <c r="C3" i="3"/>
  <c r="F24" i="6"/>
  <c r="L17" i="3"/>
  <c r="E28" i="2"/>
  <c r="K26" i="2"/>
  <c r="H26" i="2"/>
  <c r="I26" i="2"/>
  <c r="D22" i="2"/>
  <c r="K15" i="2"/>
  <c r="L14" i="2"/>
  <c r="C21" i="3"/>
  <c r="M10" i="2"/>
  <c r="C14" i="6"/>
  <c r="E12" i="3"/>
  <c r="D19" i="3"/>
  <c r="C6" i="1"/>
  <c r="D29" i="1"/>
  <c r="E8" i="3"/>
  <c r="M18" i="2"/>
  <c r="C8" i="2"/>
  <c r="D23" i="3"/>
  <c r="D21" i="2"/>
  <c r="J15" i="3"/>
  <c r="F30" i="3"/>
  <c r="C24" i="2"/>
  <c r="C30" i="5"/>
  <c r="H8" i="3"/>
  <c r="C5" i="5"/>
  <c r="H30" i="2"/>
  <c r="D17" i="3"/>
  <c r="H14" i="2"/>
  <c r="C6" i="3"/>
  <c r="M25" i="5"/>
  <c r="G5" i="2"/>
  <c r="K18" i="6"/>
  <c r="E23" i="6"/>
  <c r="I21" i="5"/>
  <c r="I14" i="2"/>
  <c r="M15" i="5"/>
  <c r="J8" i="3"/>
  <c r="J14" i="6"/>
  <c r="F18" i="1"/>
  <c r="H10" i="3"/>
  <c r="K6" i="5"/>
  <c r="M24" i="2"/>
  <c r="E27" i="2"/>
  <c r="C21" i="1"/>
  <c r="M30" i="2"/>
  <c r="H31" i="3"/>
  <c r="C23" i="1"/>
  <c r="E29" i="3"/>
  <c r="H12" i="5"/>
  <c r="G15" i="5"/>
  <c r="K4" i="6"/>
  <c r="E24" i="3"/>
  <c r="M5" i="2"/>
  <c r="D29" i="2"/>
  <c r="C8" i="3"/>
  <c r="F13" i="1"/>
  <c r="M4" i="3"/>
  <c r="I23" i="3"/>
  <c r="D22" i="6"/>
  <c r="E13" i="1"/>
  <c r="K28" i="3"/>
  <c r="H2" i="1"/>
  <c r="E30" i="5"/>
  <c r="F11" i="6"/>
  <c r="H6" i="5"/>
  <c r="J18" i="6"/>
  <c r="E24" i="5"/>
  <c r="E15" i="1"/>
  <c r="F7" i="1"/>
  <c r="G14" i="3"/>
  <c r="J11" i="1"/>
  <c r="K8" i="2"/>
  <c r="F16" i="6"/>
  <c r="E14" i="3"/>
  <c r="J2" i="1"/>
  <c r="J25" i="3"/>
  <c r="D12" i="2"/>
  <c r="K11" i="6"/>
  <c r="J25" i="1"/>
  <c r="L21" i="1"/>
  <c r="I16" i="6"/>
  <c r="D16" i="2"/>
  <c r="F13" i="5"/>
  <c r="E18" i="1"/>
  <c r="C6" i="2"/>
  <c r="E25" i="1"/>
  <c r="F27" i="1"/>
  <c r="F25" i="1"/>
  <c r="F6" i="1"/>
  <c r="F14" i="1"/>
  <c r="F28" i="1"/>
  <c r="E2" i="1"/>
  <c r="E22" i="1"/>
  <c r="E27" i="1"/>
  <c r="E24" i="1"/>
  <c r="E31" i="1"/>
  <c r="E5" i="1"/>
  <c r="H18" i="1"/>
  <c r="H12" i="1"/>
  <c r="H25" i="1"/>
  <c r="H8" i="1"/>
  <c r="H13" i="1"/>
  <c r="J8" i="1"/>
  <c r="J13" i="1"/>
  <c r="J9" i="1"/>
  <c r="J29" i="1"/>
  <c r="J22" i="1"/>
  <c r="J24" i="1"/>
  <c r="L5" i="1"/>
  <c r="L4" i="1"/>
  <c r="L22" i="1"/>
  <c r="L2" i="1"/>
  <c r="L13" i="1"/>
  <c r="L6" i="1"/>
  <c r="L7" i="1"/>
  <c r="L30" i="1"/>
  <c r="G7" i="1"/>
  <c r="G27" i="1"/>
  <c r="G24" i="1"/>
  <c r="G19" i="1"/>
  <c r="G21" i="1"/>
  <c r="G9" i="1"/>
  <c r="G23" i="1"/>
  <c r="I3" i="1"/>
  <c r="I5" i="1"/>
  <c r="I26" i="1"/>
  <c r="I29" i="1"/>
  <c r="I23" i="1"/>
  <c r="I8" i="1"/>
  <c r="I24" i="1"/>
  <c r="I9" i="1"/>
  <c r="K7" i="1"/>
  <c r="K14" i="1"/>
  <c r="K8" i="1"/>
  <c r="K27" i="1"/>
  <c r="K15" i="1"/>
  <c r="K12" i="1"/>
  <c r="K26" i="1"/>
  <c r="M3" i="1"/>
  <c r="M9" i="1"/>
  <c r="M12" i="1"/>
  <c r="M15" i="1"/>
  <c r="M14" i="1"/>
  <c r="M23" i="1"/>
  <c r="M6" i="1"/>
  <c r="M19" i="1"/>
  <c r="M12" i="5"/>
  <c r="C9" i="3"/>
  <c r="C15" i="5"/>
  <c r="K11" i="3"/>
  <c r="E8" i="5"/>
  <c r="C5" i="3"/>
  <c r="I11" i="3"/>
  <c r="I10" i="6"/>
  <c r="F14" i="5"/>
  <c r="I14" i="3"/>
  <c r="G31" i="5"/>
  <c r="H16" i="3"/>
  <c r="L31" i="3"/>
  <c r="M7" i="3"/>
  <c r="I24" i="5"/>
  <c r="L7" i="6"/>
  <c r="D10" i="1"/>
  <c r="E18" i="5"/>
  <c r="J10" i="3"/>
  <c r="I16" i="5"/>
  <c r="L14" i="3"/>
  <c r="E16" i="6"/>
  <c r="M3" i="5"/>
  <c r="G12" i="2"/>
  <c r="L18" i="2"/>
  <c r="C7" i="2"/>
  <c r="G11" i="3"/>
  <c r="L27" i="6"/>
  <c r="G17" i="2"/>
  <c r="D19" i="1"/>
  <c r="H30" i="3"/>
  <c r="D2" i="2"/>
  <c r="D11" i="3"/>
  <c r="E4" i="1"/>
  <c r="G20" i="2"/>
  <c r="G29" i="3"/>
  <c r="F18" i="2"/>
  <c r="F17" i="1"/>
  <c r="F2" i="1"/>
  <c r="M16" i="3"/>
  <c r="G31" i="2"/>
  <c r="J25" i="2"/>
  <c r="K9" i="6"/>
  <c r="M29" i="2"/>
  <c r="E2" i="3"/>
  <c r="D13" i="1"/>
  <c r="J27" i="6"/>
  <c r="H6" i="6"/>
  <c r="H30" i="6"/>
  <c r="C22" i="2"/>
  <c r="J13" i="3"/>
  <c r="E24" i="2"/>
  <c r="H20" i="2"/>
  <c r="D31" i="2"/>
  <c r="K31" i="6"/>
  <c r="I12" i="3"/>
  <c r="F31" i="6"/>
  <c r="G9" i="5"/>
  <c r="D15" i="1"/>
  <c r="K10" i="2"/>
  <c r="M22" i="3"/>
  <c r="L13" i="3"/>
  <c r="D26" i="3"/>
  <c r="H14" i="3"/>
  <c r="E25" i="3"/>
  <c r="L7" i="3"/>
  <c r="E13" i="2"/>
  <c r="I10" i="3"/>
  <c r="K13" i="2"/>
  <c r="M14" i="6"/>
  <c r="L8" i="5"/>
  <c r="G3" i="2"/>
  <c r="E28" i="1"/>
  <c r="K18" i="5"/>
  <c r="I6" i="6"/>
  <c r="D28" i="6"/>
  <c r="M4" i="6"/>
  <c r="H21" i="1"/>
  <c r="J6" i="5"/>
  <c r="D3" i="2"/>
  <c r="H10" i="6"/>
  <c r="E28" i="6"/>
  <c r="L24" i="3"/>
  <c r="H2" i="2"/>
  <c r="H16" i="1"/>
  <c r="M14" i="3"/>
  <c r="D27" i="2"/>
  <c r="E3" i="3"/>
  <c r="D29" i="5"/>
  <c r="C16" i="3"/>
  <c r="C11" i="2"/>
  <c r="J20" i="2"/>
  <c r="E14" i="1"/>
  <c r="K16" i="3"/>
  <c r="F24" i="5"/>
  <c r="C28" i="2"/>
  <c r="H18" i="3"/>
  <c r="G19" i="5"/>
  <c r="M9" i="3"/>
  <c r="H10" i="1"/>
  <c r="F8" i="1"/>
  <c r="F23" i="1"/>
  <c r="F9" i="1"/>
  <c r="F30" i="1"/>
  <c r="F16" i="1"/>
  <c r="E30" i="1"/>
  <c r="E10" i="1"/>
  <c r="E20" i="1"/>
  <c r="E16" i="1"/>
  <c r="E8" i="1"/>
  <c r="H7" i="1"/>
  <c r="H26" i="1"/>
  <c r="H27" i="1"/>
  <c r="H23" i="1"/>
  <c r="H24" i="1"/>
  <c r="H28" i="1"/>
  <c r="J12" i="1"/>
  <c r="J27" i="1"/>
  <c r="J19" i="1"/>
  <c r="J30" i="1"/>
  <c r="J23" i="1"/>
  <c r="J4" i="1"/>
  <c r="L14" i="1"/>
  <c r="L26" i="1"/>
  <c r="L28" i="1"/>
  <c r="L3" i="1"/>
  <c r="L19" i="1"/>
  <c r="L16" i="1"/>
  <c r="L15" i="1"/>
  <c r="G17" i="1"/>
  <c r="G2" i="1"/>
  <c r="G25" i="1"/>
  <c r="G6" i="1"/>
  <c r="G12" i="1"/>
  <c r="G28" i="1"/>
  <c r="G29" i="1"/>
  <c r="G16" i="1"/>
  <c r="I6" i="1"/>
  <c r="I12" i="1"/>
  <c r="I7" i="1"/>
  <c r="I13" i="1"/>
  <c r="I27" i="1"/>
  <c r="I10" i="1"/>
  <c r="I16" i="1"/>
  <c r="K25" i="1"/>
  <c r="K31" i="1"/>
  <c r="K22" i="1"/>
  <c r="K6" i="1"/>
  <c r="K11" i="1"/>
  <c r="K4" i="1"/>
  <c r="K5" i="1"/>
  <c r="K9" i="1"/>
  <c r="M18" i="1"/>
  <c r="M22" i="1"/>
  <c r="M29" i="1"/>
  <c r="M11" i="1"/>
  <c r="M16" i="1"/>
  <c r="M27" i="1"/>
  <c r="M4" i="1"/>
  <c r="E31" i="5"/>
  <c r="K5" i="5"/>
  <c r="L17" i="5"/>
  <c r="E5" i="5"/>
  <c r="I25" i="5"/>
  <c r="C9" i="6"/>
  <c r="M15" i="2"/>
  <c r="L4" i="2"/>
  <c r="C13" i="2"/>
  <c r="M13" i="2"/>
  <c r="K30" i="3"/>
  <c r="E2" i="2"/>
  <c r="D9" i="5"/>
  <c r="D13" i="5"/>
  <c r="E2" i="6"/>
  <c r="K14" i="2"/>
  <c r="E13" i="5"/>
  <c r="M20" i="3"/>
  <c r="F3" i="2"/>
  <c r="F5" i="5"/>
  <c r="E8" i="2"/>
  <c r="D22" i="1"/>
  <c r="F17" i="3"/>
  <c r="F19" i="3"/>
  <c r="E10" i="2"/>
  <c r="D5" i="1"/>
  <c r="L7" i="2"/>
  <c r="J2" i="5"/>
  <c r="K20" i="5"/>
  <c r="F7" i="2"/>
  <c r="C16" i="6"/>
  <c r="D13" i="6"/>
  <c r="C2" i="5"/>
  <c r="H12" i="2"/>
  <c r="E17" i="3"/>
  <c r="K24" i="3"/>
  <c r="M28" i="3"/>
  <c r="J15" i="2"/>
  <c r="L12" i="2"/>
  <c r="H22" i="1"/>
  <c r="G9" i="2"/>
  <c r="H18" i="2"/>
  <c r="J15" i="1"/>
  <c r="K11" i="5"/>
  <c r="D14" i="2"/>
  <c r="J31" i="1"/>
  <c r="C27" i="1"/>
  <c r="F6" i="3"/>
  <c r="K18" i="2"/>
  <c r="M2" i="2"/>
  <c r="K7" i="2"/>
  <c r="J30" i="3"/>
  <c r="H19" i="1"/>
  <c r="M21" i="2"/>
  <c r="L20" i="2"/>
  <c r="M3" i="3"/>
  <c r="D7" i="1"/>
  <c r="C12" i="6"/>
  <c r="J3" i="1"/>
  <c r="F4" i="1"/>
  <c r="F26" i="1"/>
  <c r="F3" i="1"/>
  <c r="F21" i="1"/>
  <c r="F22" i="1"/>
  <c r="E26" i="1"/>
  <c r="E19" i="1"/>
  <c r="E29" i="1"/>
  <c r="E9" i="1"/>
  <c r="E12" i="1"/>
  <c r="H15" i="1"/>
  <c r="H3" i="1"/>
  <c r="H31" i="1"/>
  <c r="H30" i="1"/>
  <c r="H17" i="1"/>
  <c r="H14" i="1"/>
  <c r="J26" i="1"/>
  <c r="J20" i="1"/>
  <c r="J28" i="1"/>
  <c r="J7" i="1"/>
  <c r="J17" i="1"/>
  <c r="J16" i="1"/>
  <c r="L9" i="1"/>
  <c r="L25" i="1"/>
  <c r="L27" i="1"/>
  <c r="L8" i="1"/>
  <c r="L20" i="1"/>
  <c r="L17" i="1"/>
  <c r="L18" i="1"/>
  <c r="G4" i="1"/>
  <c r="G14" i="1"/>
  <c r="G30" i="1"/>
  <c r="G10" i="1"/>
  <c r="G8" i="1"/>
  <c r="G5" i="1"/>
  <c r="G3" i="1"/>
  <c r="I2" i="1"/>
  <c r="I20" i="1"/>
  <c r="I19" i="1"/>
  <c r="I14" i="1"/>
  <c r="I22" i="1"/>
  <c r="I25" i="1"/>
  <c r="I21" i="1"/>
  <c r="I31" i="1"/>
  <c r="K17" i="1"/>
  <c r="K2" i="1"/>
  <c r="K29" i="1"/>
  <c r="K30" i="1"/>
  <c r="K19" i="1"/>
  <c r="K13" i="1"/>
  <c r="K21" i="1"/>
  <c r="M13" i="1"/>
  <c r="M24" i="1"/>
  <c r="M10" i="1"/>
  <c r="M21" i="1"/>
  <c r="M28" i="1"/>
  <c r="M17" i="1"/>
  <c r="M7" i="1"/>
  <c r="M5" i="1"/>
  <c r="E5" i="3"/>
  <c r="M2" i="3"/>
  <c r="F8" i="3"/>
  <c r="H5" i="6"/>
  <c r="J7" i="3"/>
  <c r="F26" i="2"/>
  <c r="F9" i="5"/>
  <c r="G17" i="5"/>
  <c r="F29" i="2"/>
  <c r="H29" i="1"/>
  <c r="C4" i="2"/>
  <c r="G26" i="3"/>
  <c r="F12" i="1"/>
  <c r="E7" i="1"/>
  <c r="H4" i="1"/>
  <c r="H6" i="1"/>
  <c r="J21" i="1"/>
  <c r="L12" i="1"/>
  <c r="L23" i="1"/>
  <c r="G15" i="1"/>
  <c r="G18" i="1"/>
  <c r="I28" i="1"/>
  <c r="I17" i="1"/>
  <c r="K3" i="1"/>
  <c r="K10" i="1"/>
  <c r="M25" i="1"/>
  <c r="K18" i="1"/>
  <c r="M2" i="1"/>
  <c r="L11" i="2"/>
  <c r="J30" i="5"/>
  <c r="F20" i="1"/>
  <c r="F24" i="1"/>
  <c r="E6" i="1"/>
  <c r="H9" i="1"/>
  <c r="J5" i="1"/>
  <c r="J6" i="1"/>
  <c r="L11" i="1"/>
  <c r="L24" i="1"/>
  <c r="G26" i="1"/>
  <c r="G22" i="1"/>
  <c r="I11" i="1"/>
  <c r="K28" i="1"/>
  <c r="M20" i="1"/>
  <c r="I26" i="3"/>
  <c r="C22" i="6"/>
  <c r="F19" i="1"/>
  <c r="E23" i="1"/>
  <c r="E17" i="1"/>
  <c r="H20" i="1"/>
  <c r="J14" i="1"/>
  <c r="J18" i="1"/>
  <c r="L31" i="1"/>
  <c r="G11" i="1"/>
  <c r="G20" i="1"/>
  <c r="I4" i="1"/>
  <c r="I30" i="1"/>
  <c r="K24" i="1"/>
  <c r="K23" i="1"/>
  <c r="M30" i="1"/>
  <c r="H23" i="5"/>
  <c r="F17" i="5"/>
  <c r="F15" i="1"/>
  <c r="E11" i="1"/>
  <c r="H5" i="1"/>
  <c r="H11" i="1"/>
  <c r="J10" i="1"/>
  <c r="L29" i="1"/>
  <c r="L10" i="1"/>
  <c r="G13" i="1"/>
  <c r="G31" i="1"/>
  <c r="I15" i="1"/>
  <c r="I18" i="1"/>
  <c r="K16" i="1"/>
  <c r="K20" i="1"/>
  <c r="M31" i="1"/>
  <c r="M26" i="1"/>
  <c r="M8" i="1"/>
</calcChain>
</file>

<file path=xl/sharedStrings.xml><?xml version="1.0" encoding="utf-8"?>
<sst xmlns="http://schemas.openxmlformats.org/spreadsheetml/2006/main" count="440" uniqueCount="67">
  <si>
    <t>FX225</t>
  </si>
  <si>
    <t>25 KG, UNDERWATER GROUT</t>
  </si>
  <si>
    <t>FX763CTG-PS</t>
  </si>
  <si>
    <t>FX763CTG EPOXY PASTE CARTRIDGE (POR/ESP)</t>
  </si>
  <si>
    <t>FXSSST141</t>
  </si>
  <si>
    <t>Screws (100 piece box)</t>
  </si>
  <si>
    <t>GLG0100SBR</t>
  </si>
  <si>
    <t>S&amp;P Glasphalt G, 1m</t>
  </si>
  <si>
    <t>MO011F</t>
  </si>
  <si>
    <t>TECNOGROUT-MR (25kg)</t>
  </si>
  <si>
    <t>MO011F-1</t>
  </si>
  <si>
    <t>TECNOGROUT-MR</t>
  </si>
  <si>
    <t>MO021F</t>
  </si>
  <si>
    <t>TECNOGROUT-PR (25kg)</t>
  </si>
  <si>
    <t>MO021F-1</t>
  </si>
  <si>
    <t>TECNOGROUT-PR</t>
  </si>
  <si>
    <t>MO045FFRNLDE</t>
  </si>
  <si>
    <t>TECNOGROUT-N/GR (25KG)_x000D_
FR-NL-DE</t>
  </si>
  <si>
    <t>MO075FFRNLDE</t>
  </si>
  <si>
    <t>TECNOGROUT-FIB (25KG)_x000D_
FR-NL-DE</t>
  </si>
  <si>
    <t>MO100F</t>
  </si>
  <si>
    <t>TECNOSTOP (25KG)</t>
  </si>
  <si>
    <t>MOBAG025NEUTRAL</t>
  </si>
  <si>
    <t>Mortar Bag Neutral 25 kg</t>
  </si>
  <si>
    <t>MOBAGGR</t>
  </si>
  <si>
    <t>Mortar Bag GR</t>
  </si>
  <si>
    <t>MOBAGMR</t>
  </si>
  <si>
    <t>Mortar Bag MR</t>
  </si>
  <si>
    <t>MOBAGOPEN</t>
  </si>
  <si>
    <t>Mortar Bag Open</t>
  </si>
  <si>
    <t>MOBAGPR</t>
  </si>
  <si>
    <t>Mortar Bag PR</t>
  </si>
  <si>
    <t>MPPL001</t>
  </si>
  <si>
    <t>DESOXID PI</t>
  </si>
  <si>
    <t>MPPS001</t>
  </si>
  <si>
    <t>Sealed Polyuretane</t>
  </si>
  <si>
    <t>MPRE032</t>
  </si>
  <si>
    <t>FETADIT IN A+B 1KG</t>
  </si>
  <si>
    <t>MPRE033</t>
  </si>
  <si>
    <t>FETADIT IN A+B 2KG</t>
  </si>
  <si>
    <t>PL010C</t>
  </si>
  <si>
    <t>TECNOLIM (10L)</t>
  </si>
  <si>
    <t>PS020C</t>
  </si>
  <si>
    <t>TECNOPUR-CA, 1 box (20 pcs)</t>
  </si>
  <si>
    <t>RE010F</t>
  </si>
  <si>
    <t>TECNOPOX-ANCLAJES (A+B 2KG)</t>
  </si>
  <si>
    <t>RE031F</t>
  </si>
  <si>
    <t>TECNOPOX-P (A+B 2KG)</t>
  </si>
  <si>
    <t>RE061C</t>
  </si>
  <si>
    <t>TECNOPOX-IN (A+B 1KG)</t>
  </si>
  <si>
    <t>RE070F</t>
  </si>
  <si>
    <t>TECNOPOX-FL (A+B 2KG)</t>
  </si>
  <si>
    <t>RE230F</t>
  </si>
  <si>
    <t>ADHEPOX-SPFM (A+B 2KG)</t>
  </si>
  <si>
    <t>RE316F</t>
  </si>
  <si>
    <t>Thixotropic agent 25kg</t>
  </si>
  <si>
    <t>AD058F</t>
  </si>
  <si>
    <t>TECNOACRY (5KG)</t>
  </si>
  <si>
    <t>AD070F</t>
  </si>
  <si>
    <t>TECNOACRY (200KG)</t>
  </si>
  <si>
    <t>Item code</t>
  </si>
  <si>
    <t>Item name</t>
  </si>
  <si>
    <t>UNI</t>
  </si>
  <si>
    <t>Delete</t>
  </si>
  <si>
    <t>Obsolete</t>
  </si>
  <si>
    <t>CheckBOM</t>
  </si>
  <si>
    <t>CheckBOM
Obsolete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</si>
</sst>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0</xdr:row>
          <xdr:rowOff>180975</xdr:rowOff>
        </xdr:from>
        <xdr:to>
          <xdr:col>20</xdr:col>
          <xdr:colOff>19050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Do"/>
  <dimension ref="A1:N31"/>
  <sheetViews>
    <sheetView tabSelected="1" workbookViewId="0">
      <selection activeCell="L12" sqref="L12"/>
    </sheetView>
  </sheetViews>
  <sheetFormatPr defaultRowHeight="15" x14ac:dyDescent="0.25"/>
  <cols>
    <col min="1" max="2" width="34.85546875" customWidth="1"/>
    <col min="3" max="14" width="12.42578125" customWidth="1"/>
  </cols>
  <sheetData>
    <row r="1" spans="1:14" x14ac:dyDescent="0.25">
      <c r="A1" t="s">
        <v>60</v>
      </c>
      <c r="B1" t="s">
        <v>61</v>
      </c>
      <c r="C1" t="s">
        <v>62</v>
      </c>
      <c r="D1">
        <v>345</v>
      </c>
      <c r="E1">
        <v>360</v>
      </c>
      <c r="F1">
        <v>362</v>
      </c>
      <c r="G1">
        <v>363</v>
      </c>
      <c r="H1">
        <v>364</v>
      </c>
      <c r="I1">
        <v>365</v>
      </c>
      <c r="J1">
        <v>366</v>
      </c>
      <c r="K1">
        <v>368</v>
      </c>
      <c r="L1">
        <v>369</v>
      </c>
      <c r="M1">
        <v>371</v>
      </c>
      <c r="N1">
        <v>372</v>
      </c>
    </row>
    <row r="2" spans="1:14" x14ac:dyDescent="0.25">
      <c r="A2" t="s">
        <v>0</v>
      </c>
      <c r="B2" t="s">
        <v>1</v>
      </c>
      <c r="C2" s="3" t="s">
        <v>63</v>
      </c>
      <c r="E2" s="4" t="s">
        <v>64</v>
      </c>
      <c r="H2" s="3" t="s">
        <v>63</v>
      </c>
      <c r="M2" s="4" t="s">
        <v>64</v>
      </c>
    </row>
    <row r="3" spans="1:14" x14ac:dyDescent="0.25">
      <c r="A3" t="s">
        <v>2</v>
      </c>
      <c r="B3" t="s">
        <v>3</v>
      </c>
      <c r="C3" s="3" t="s">
        <v>63</v>
      </c>
      <c r="M3" s="4" t="s">
        <v>64</v>
      </c>
    </row>
    <row r="4" spans="1:14" x14ac:dyDescent="0.25">
      <c r="A4" t="s">
        <v>4</v>
      </c>
      <c r="B4" t="s">
        <v>5</v>
      </c>
      <c r="C4" s="3" t="s">
        <v>63</v>
      </c>
      <c r="D4" s="3" t="s">
        <v>63</v>
      </c>
      <c r="E4" s="4" t="s">
        <v>64</v>
      </c>
      <c r="H4" s="3" t="s">
        <v>63</v>
      </c>
      <c r="K4" s="4" t="s">
        <v>64</v>
      </c>
    </row>
    <row r="5" spans="1:14" x14ac:dyDescent="0.25">
      <c r="A5" t="s">
        <v>6</v>
      </c>
      <c r="B5" t="s">
        <v>7</v>
      </c>
      <c r="C5" s="3" t="s">
        <v>63</v>
      </c>
      <c r="H5" s="3" t="s">
        <v>63</v>
      </c>
      <c r="L5" s="4" t="s">
        <v>64</v>
      </c>
    </row>
    <row r="6" spans="1:14" ht="30" x14ac:dyDescent="0.25">
      <c r="A6" t="s">
        <v>8</v>
      </c>
      <c r="B6" t="s">
        <v>9</v>
      </c>
      <c r="C6" s="3" t="s">
        <v>63</v>
      </c>
      <c r="H6" s="3" t="s">
        <v>63</v>
      </c>
      <c r="M6" s="6" t="s">
        <v>66</v>
      </c>
    </row>
    <row r="7" spans="1:14" ht="30" x14ac:dyDescent="0.25">
      <c r="A7" t="s">
        <v>10</v>
      </c>
      <c r="B7" t="s">
        <v>11</v>
      </c>
      <c r="C7" s="3" t="s">
        <v>63</v>
      </c>
      <c r="M7" s="6" t="s">
        <v>66</v>
      </c>
    </row>
    <row r="8" spans="1:14" x14ac:dyDescent="0.25">
      <c r="A8" t="s">
        <v>12</v>
      </c>
      <c r="B8" t="s">
        <v>13</v>
      </c>
      <c r="C8" s="3" t="s">
        <v>63</v>
      </c>
    </row>
    <row r="9" spans="1:14" ht="30" x14ac:dyDescent="0.25">
      <c r="A9" t="s">
        <v>14</v>
      </c>
      <c r="B9" t="s">
        <v>15</v>
      </c>
      <c r="C9" s="3" t="s">
        <v>63</v>
      </c>
      <c r="M9" s="6" t="s">
        <v>66</v>
      </c>
    </row>
    <row r="10" spans="1:14" ht="30" x14ac:dyDescent="0.25">
      <c r="A10" t="s">
        <v>16</v>
      </c>
      <c r="B10" s="1" t="s">
        <v>17</v>
      </c>
      <c r="C10" s="3" t="s">
        <v>63</v>
      </c>
      <c r="D10" s="3" t="s">
        <v>63</v>
      </c>
      <c r="E10" s="4" t="s">
        <v>64</v>
      </c>
      <c r="K10" s="4" t="s">
        <v>64</v>
      </c>
      <c r="M10" s="6" t="s">
        <v>66</v>
      </c>
    </row>
    <row r="11" spans="1:14" ht="30" x14ac:dyDescent="0.25">
      <c r="A11" t="s">
        <v>18</v>
      </c>
      <c r="B11" s="1" t="s">
        <v>19</v>
      </c>
      <c r="C11" s="3" t="s">
        <v>63</v>
      </c>
      <c r="H11" s="3" t="s">
        <v>63</v>
      </c>
      <c r="M11" s="5" t="s">
        <v>65</v>
      </c>
    </row>
    <row r="12" spans="1:14" x14ac:dyDescent="0.25">
      <c r="A12" t="s">
        <v>20</v>
      </c>
      <c r="B12" t="s">
        <v>21</v>
      </c>
      <c r="C12" s="3" t="s">
        <v>63</v>
      </c>
    </row>
    <row r="13" spans="1:14" x14ac:dyDescent="0.25">
      <c r="A13" t="s">
        <v>22</v>
      </c>
      <c r="B13" t="s">
        <v>23</v>
      </c>
      <c r="C13" s="3" t="s">
        <v>63</v>
      </c>
      <c r="M13" s="4" t="s">
        <v>64</v>
      </c>
    </row>
    <row r="14" spans="1:14" x14ac:dyDescent="0.25">
      <c r="A14" t="s">
        <v>24</v>
      </c>
      <c r="B14" t="s">
        <v>25</v>
      </c>
      <c r="C14" s="3" t="s">
        <v>63</v>
      </c>
      <c r="M14" s="4" t="s">
        <v>64</v>
      </c>
    </row>
    <row r="15" spans="1:14" ht="30" x14ac:dyDescent="0.25">
      <c r="A15" t="s">
        <v>26</v>
      </c>
      <c r="B15" t="s">
        <v>27</v>
      </c>
      <c r="C15" s="3" t="s">
        <v>63</v>
      </c>
      <c r="M15" s="6" t="s">
        <v>66</v>
      </c>
    </row>
    <row r="16" spans="1:14" x14ac:dyDescent="0.25">
      <c r="A16" t="s">
        <v>28</v>
      </c>
      <c r="B16" t="s">
        <v>29</v>
      </c>
      <c r="C16" s="3" t="s">
        <v>63</v>
      </c>
      <c r="M16" s="4" t="s">
        <v>64</v>
      </c>
    </row>
    <row r="17" spans="1:13" ht="30" x14ac:dyDescent="0.25">
      <c r="A17" t="s">
        <v>30</v>
      </c>
      <c r="B17" t="s">
        <v>31</v>
      </c>
      <c r="C17" s="3" t="s">
        <v>63</v>
      </c>
      <c r="M17" s="6" t="s">
        <v>66</v>
      </c>
    </row>
    <row r="18" spans="1:13" x14ac:dyDescent="0.25">
      <c r="A18" t="s">
        <v>32</v>
      </c>
      <c r="B18" t="s">
        <v>33</v>
      </c>
      <c r="C18" s="3" t="s">
        <v>63</v>
      </c>
      <c r="M18" s="5" t="s">
        <v>65</v>
      </c>
    </row>
    <row r="19" spans="1:13" x14ac:dyDescent="0.25">
      <c r="A19" t="s">
        <v>34</v>
      </c>
      <c r="B19" t="s">
        <v>35</v>
      </c>
      <c r="C19" s="3" t="s">
        <v>63</v>
      </c>
      <c r="M19" s="5" t="s">
        <v>65</v>
      </c>
    </row>
    <row r="20" spans="1:13" x14ac:dyDescent="0.25">
      <c r="A20" t="s">
        <v>36</v>
      </c>
      <c r="B20" t="s">
        <v>37</v>
      </c>
      <c r="C20" s="3" t="s">
        <v>63</v>
      </c>
      <c r="M20" s="5" t="s">
        <v>65</v>
      </c>
    </row>
    <row r="21" spans="1:13" ht="30" x14ac:dyDescent="0.25">
      <c r="A21" t="s">
        <v>38</v>
      </c>
      <c r="B21" t="s">
        <v>39</v>
      </c>
      <c r="C21" s="3" t="s">
        <v>63</v>
      </c>
      <c r="M21" s="6" t="s">
        <v>66</v>
      </c>
    </row>
    <row r="22" spans="1:13" ht="30" x14ac:dyDescent="0.25">
      <c r="A22" t="s">
        <v>40</v>
      </c>
      <c r="B22" t="s">
        <v>41</v>
      </c>
      <c r="C22" s="3" t="s">
        <v>63</v>
      </c>
      <c r="M22" s="6" t="s">
        <v>66</v>
      </c>
    </row>
    <row r="23" spans="1:13" x14ac:dyDescent="0.25">
      <c r="A23" t="s">
        <v>42</v>
      </c>
      <c r="B23" t="s">
        <v>43</v>
      </c>
      <c r="C23" s="3" t="s">
        <v>63</v>
      </c>
    </row>
    <row r="24" spans="1:13" ht="30" x14ac:dyDescent="0.25">
      <c r="A24" t="s">
        <v>44</v>
      </c>
      <c r="B24" t="s">
        <v>45</v>
      </c>
      <c r="C24" s="3" t="s">
        <v>63</v>
      </c>
      <c r="M24" s="6" t="s">
        <v>66</v>
      </c>
    </row>
    <row r="25" spans="1:13" x14ac:dyDescent="0.25">
      <c r="A25" t="s">
        <v>46</v>
      </c>
      <c r="B25" t="s">
        <v>47</v>
      </c>
      <c r="C25" s="3" t="s">
        <v>63</v>
      </c>
      <c r="M25" s="5" t="s">
        <v>65</v>
      </c>
    </row>
    <row r="26" spans="1:13" x14ac:dyDescent="0.25">
      <c r="A26" t="s">
        <v>48</v>
      </c>
      <c r="B26" t="s">
        <v>49</v>
      </c>
      <c r="C26" s="3" t="s">
        <v>63</v>
      </c>
      <c r="M26" s="5" t="s">
        <v>65</v>
      </c>
    </row>
    <row r="27" spans="1:13" x14ac:dyDescent="0.25">
      <c r="A27" t="s">
        <v>50</v>
      </c>
      <c r="B27" t="s">
        <v>51</v>
      </c>
      <c r="C27" s="3" t="s">
        <v>63</v>
      </c>
    </row>
    <row r="28" spans="1:13" x14ac:dyDescent="0.25">
      <c r="A28" t="s">
        <v>52</v>
      </c>
      <c r="B28" t="s">
        <v>53</v>
      </c>
      <c r="C28" s="3" t="s">
        <v>63</v>
      </c>
      <c r="M28" s="5" t="s">
        <v>65</v>
      </c>
    </row>
    <row r="29" spans="1:13" ht="30" x14ac:dyDescent="0.25">
      <c r="A29" t="s">
        <v>54</v>
      </c>
      <c r="B29" t="s">
        <v>55</v>
      </c>
      <c r="C29" s="3" t="s">
        <v>63</v>
      </c>
      <c r="M29" s="6" t="s">
        <v>66</v>
      </c>
    </row>
    <row r="30" spans="1:13" ht="30" x14ac:dyDescent="0.25">
      <c r="A30" t="s">
        <v>56</v>
      </c>
      <c r="B30" t="s">
        <v>57</v>
      </c>
      <c r="C30" s="3" t="s">
        <v>63</v>
      </c>
      <c r="M30" s="6" t="s">
        <v>66</v>
      </c>
    </row>
    <row r="31" spans="1:13" x14ac:dyDescent="0.25">
      <c r="A31" t="s">
        <v>58</v>
      </c>
      <c r="B31" t="s">
        <v>59</v>
      </c>
      <c r="C31" s="3" t="s">
        <v>63</v>
      </c>
      <c r="M31" s="5" t="s">
        <v>65</v>
      </c>
    </row>
  </sheetData>
  <autoFilter ref="A1:N3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18</xdr:col>
                    <xdr:colOff>19050</xdr:colOff>
                    <xdr:row>0</xdr:row>
                    <xdr:rowOff>180975</xdr:rowOff>
                  </from>
                  <to>
                    <xdr:col>20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tem"/>
  <dimension ref="A1:M31"/>
  <sheetViews>
    <sheetView workbookViewId="0">
      <selection sqref="A1:M31"/>
    </sheetView>
  </sheetViews>
  <sheetFormatPr defaultRowHeight="15" x14ac:dyDescent="0.25"/>
  <cols>
    <col min="1" max="1" width="25" customWidth="1"/>
    <col min="2" max="2" width="38.140625" customWidth="1"/>
  </cols>
  <sheetData>
    <row r="1" spans="1:13" x14ac:dyDescent="0.25">
      <c r="A1" t="s">
        <v>60</v>
      </c>
      <c r="B1" t="s">
        <v>61</v>
      </c>
      <c r="C1">
        <v>345</v>
      </c>
      <c r="D1">
        <v>360</v>
      </c>
      <c r="E1">
        <v>362</v>
      </c>
      <c r="F1">
        <v>363</v>
      </c>
      <c r="G1">
        <v>364</v>
      </c>
      <c r="H1">
        <v>365</v>
      </c>
      <c r="I1">
        <v>366</v>
      </c>
      <c r="J1">
        <v>368</v>
      </c>
      <c r="K1">
        <v>369</v>
      </c>
      <c r="L1">
        <v>371</v>
      </c>
      <c r="M1">
        <v>372</v>
      </c>
    </row>
    <row r="2" spans="1:13" x14ac:dyDescent="0.25">
      <c r="A2" t="s">
        <v>0</v>
      </c>
      <c r="B2" t="s">
        <v>1</v>
      </c>
      <c r="C2" s="2" t="e">
        <f ca="1">_xll.AtlasFormulas.AtlasFunctions.AtlasTable("PROD",C$1,"T.InventTable","%ItemId","","","","","","","ItemId",$A2)</f>
        <v>#NAME?</v>
      </c>
      <c r="D2" s="2" t="e">
        <f ca="1">_xll.AtlasFormulas.AtlasFunctions.AtlasTable("PROD",D$1,"T.InventTable","%ItemId","","","","","","","ItemId",$A2)</f>
        <v>#NAME?</v>
      </c>
      <c r="E2" s="2" t="e">
        <f ca="1">_xll.AtlasFormulas.AtlasFunctions.AtlasTable("PROD",E$1,"T.InventTable","%ItemId","","","","","","","ItemId",$A2)</f>
        <v>#NAME?</v>
      </c>
      <c r="F2" s="2" t="e">
        <f ca="1">_xll.AtlasFormulas.AtlasFunctions.AtlasTable("PROD",F$1,"T.InventTable","%ItemId","","","","","","","ItemId",$A2)</f>
        <v>#NAME?</v>
      </c>
      <c r="G2" s="2" t="e">
        <f ca="1">_xll.AtlasFormulas.AtlasFunctions.AtlasTable("PROD",G$1,"T.InventTable","%ItemId","","","","","","","ItemId",$A2)</f>
        <v>#NAME?</v>
      </c>
      <c r="H2" s="2" t="e">
        <f ca="1">_xll.AtlasFormulas.AtlasFunctions.AtlasTable("PROD",H$1,"T.InventTable","%ItemId","","","","","","","ItemId",$A2)</f>
        <v>#NAME?</v>
      </c>
      <c r="I2" s="2" t="e">
        <f ca="1">_xll.AtlasFormulas.AtlasFunctions.AtlasTable("PROD",I$1,"T.InventTable","%ItemId","","","","","","","ItemId",$A2)</f>
        <v>#NAME?</v>
      </c>
      <c r="J2" s="2" t="e">
        <f ca="1">_xll.AtlasFormulas.AtlasFunctions.AtlasTable("PROD",J$1,"T.InventTable","%ItemId","","","","","","","ItemId",$A2)</f>
        <v>#NAME?</v>
      </c>
      <c r="K2" s="2" t="e">
        <f ca="1">_xll.AtlasFormulas.AtlasFunctions.AtlasTable("PROD",K$1,"T.InventTable","%ItemId","","","","","","","ItemId",$A2)</f>
        <v>#NAME?</v>
      </c>
      <c r="L2" s="2" t="e">
        <f ca="1">_xll.AtlasFormulas.AtlasFunctions.AtlasTable("PROD",L$1,"T.InventTable","%ItemId","","","","","","","ItemId",$A2)</f>
        <v>#NAME?</v>
      </c>
      <c r="M2" s="2" t="e">
        <f ca="1">_xll.AtlasFormulas.AtlasFunctions.AtlasTable("PROD",M$1,"T.InventTable","%ItemId","","","","","","","ItemId",$A2)</f>
        <v>#NAME?</v>
      </c>
    </row>
    <row r="3" spans="1:13" x14ac:dyDescent="0.25">
      <c r="A3" t="s">
        <v>2</v>
      </c>
      <c r="B3" t="s">
        <v>3</v>
      </c>
      <c r="C3" s="2" t="e">
        <f ca="1">_xll.AtlasFormulas.AtlasFunctions.AtlasTable("PROD",C$1,"T.InventTable","%ItemId","","","","","","","ItemId",$A3)</f>
        <v>#NAME?</v>
      </c>
      <c r="D3" s="2" t="e">
        <f ca="1">_xll.AtlasFormulas.AtlasFunctions.AtlasTable("PROD",D$1,"T.InventTable","%ItemId","","","","","","","ItemId",$A3)</f>
        <v>#NAME?</v>
      </c>
      <c r="E3" s="2" t="e">
        <f ca="1">_xll.AtlasFormulas.AtlasFunctions.AtlasTable("PROD",E$1,"T.InventTable","%ItemId","","","","","","","ItemId",$A3)</f>
        <v>#NAME?</v>
      </c>
      <c r="F3" s="2" t="e">
        <f ca="1">_xll.AtlasFormulas.AtlasFunctions.AtlasTable("PROD",F$1,"T.InventTable","%ItemId","","","","","","","ItemId",$A3)</f>
        <v>#NAME?</v>
      </c>
      <c r="G3" s="2" t="e">
        <f ca="1">_xll.AtlasFormulas.AtlasFunctions.AtlasTable("PROD",G$1,"T.InventTable","%ItemId","","","","","","","ItemId",$A3)</f>
        <v>#NAME?</v>
      </c>
      <c r="H3" s="2" t="e">
        <f ca="1">_xll.AtlasFormulas.AtlasFunctions.AtlasTable("PROD",H$1,"T.InventTable","%ItemId","","","","","","","ItemId",$A3)</f>
        <v>#NAME?</v>
      </c>
      <c r="I3" s="2" t="e">
        <f ca="1">_xll.AtlasFormulas.AtlasFunctions.AtlasTable("PROD",I$1,"T.InventTable","%ItemId","","","","","","","ItemId",$A3)</f>
        <v>#NAME?</v>
      </c>
      <c r="J3" s="2" t="e">
        <f ca="1">_xll.AtlasFormulas.AtlasFunctions.AtlasTable("PROD",J$1,"T.InventTable","%ItemId","","","","","","","ItemId",$A3)</f>
        <v>#NAME?</v>
      </c>
      <c r="K3" s="2" t="e">
        <f ca="1">_xll.AtlasFormulas.AtlasFunctions.AtlasTable("PROD",K$1,"T.InventTable","%ItemId","","","","","","","ItemId",$A3)</f>
        <v>#NAME?</v>
      </c>
      <c r="L3" s="2" t="e">
        <f ca="1">_xll.AtlasFormulas.AtlasFunctions.AtlasTable("PROD",L$1,"T.InventTable","%ItemId","","","","","","","ItemId",$A3)</f>
        <v>#NAME?</v>
      </c>
      <c r="M3" s="2" t="e">
        <f ca="1">_xll.AtlasFormulas.AtlasFunctions.AtlasTable("PROD",M$1,"T.InventTable","%ItemId","","","","","","","ItemId",$A3)</f>
        <v>#NAME?</v>
      </c>
    </row>
    <row r="4" spans="1:13" x14ac:dyDescent="0.25">
      <c r="A4" t="s">
        <v>4</v>
      </c>
      <c r="B4" t="s">
        <v>5</v>
      </c>
      <c r="C4" s="2" t="e">
        <f ca="1">_xll.AtlasFormulas.AtlasFunctions.AtlasTable("PROD",C$1,"T.InventTable","%ItemId","","","","","","","ItemId",$A4)</f>
        <v>#NAME?</v>
      </c>
      <c r="D4" s="2" t="e">
        <f ca="1">_xll.AtlasFormulas.AtlasFunctions.AtlasTable("PROD",D$1,"T.InventTable","%ItemId","","","","","","","ItemId",$A4)</f>
        <v>#NAME?</v>
      </c>
      <c r="E4" s="2" t="e">
        <f ca="1">_xll.AtlasFormulas.AtlasFunctions.AtlasTable("PROD",E$1,"T.InventTable","%ItemId","","","","","","","ItemId",$A4)</f>
        <v>#NAME?</v>
      </c>
      <c r="F4" s="2" t="e">
        <f ca="1">_xll.AtlasFormulas.AtlasFunctions.AtlasTable("PROD",F$1,"T.InventTable","%ItemId","","","","","","","ItemId",$A4)</f>
        <v>#NAME?</v>
      </c>
      <c r="G4" s="2" t="e">
        <f ca="1">_xll.AtlasFormulas.AtlasFunctions.AtlasTable("PROD",G$1,"T.InventTable","%ItemId","","","","","","","ItemId",$A4)</f>
        <v>#NAME?</v>
      </c>
      <c r="H4" s="2" t="e">
        <f ca="1">_xll.AtlasFormulas.AtlasFunctions.AtlasTable("PROD",H$1,"T.InventTable","%ItemId","","","","","","","ItemId",$A4)</f>
        <v>#NAME?</v>
      </c>
      <c r="I4" s="2" t="e">
        <f ca="1">_xll.AtlasFormulas.AtlasFunctions.AtlasTable("PROD",I$1,"T.InventTable","%ItemId","","","","","","","ItemId",$A4)</f>
        <v>#NAME?</v>
      </c>
      <c r="J4" s="2" t="e">
        <f ca="1">_xll.AtlasFormulas.AtlasFunctions.AtlasTable("PROD",J$1,"T.InventTable","%ItemId","","","","","","","ItemId",$A4)</f>
        <v>#NAME?</v>
      </c>
      <c r="K4" s="2" t="e">
        <f ca="1">_xll.AtlasFormulas.AtlasFunctions.AtlasTable("PROD",K$1,"T.InventTable","%ItemId","","","","","","","ItemId",$A4)</f>
        <v>#NAME?</v>
      </c>
      <c r="L4" s="2" t="e">
        <f ca="1">_xll.AtlasFormulas.AtlasFunctions.AtlasTable("PROD",L$1,"T.InventTable","%ItemId","","","","","","","ItemId",$A4)</f>
        <v>#NAME?</v>
      </c>
      <c r="M4" s="2" t="e">
        <f ca="1">_xll.AtlasFormulas.AtlasFunctions.AtlasTable("PROD",M$1,"T.InventTable","%ItemId","","","","","","","ItemId",$A4)</f>
        <v>#NAME?</v>
      </c>
    </row>
    <row r="5" spans="1:13" x14ac:dyDescent="0.25">
      <c r="A5" t="s">
        <v>6</v>
      </c>
      <c r="B5" t="s">
        <v>7</v>
      </c>
      <c r="C5" s="2" t="e">
        <f ca="1">_xll.AtlasFormulas.AtlasFunctions.AtlasTable("PROD",C$1,"T.InventTable","%ItemId","","","","","","","ItemId",$A5)</f>
        <v>#NAME?</v>
      </c>
      <c r="D5" s="2" t="e">
        <f ca="1">_xll.AtlasFormulas.AtlasFunctions.AtlasTable("PROD",D$1,"T.InventTable","%ItemId","","","","","","","ItemId",$A5)</f>
        <v>#NAME?</v>
      </c>
      <c r="E5" s="2" t="e">
        <f ca="1">_xll.AtlasFormulas.AtlasFunctions.AtlasTable("PROD",E$1,"T.InventTable","%ItemId","","","","","","","ItemId",$A5)</f>
        <v>#NAME?</v>
      </c>
      <c r="F5" s="2" t="e">
        <f ca="1">_xll.AtlasFormulas.AtlasFunctions.AtlasTable("PROD",F$1,"T.InventTable","%ItemId","","","","","","","ItemId",$A5)</f>
        <v>#NAME?</v>
      </c>
      <c r="G5" s="2" t="e">
        <f ca="1">_xll.AtlasFormulas.AtlasFunctions.AtlasTable("PROD",G$1,"T.InventTable","%ItemId","","","","","","","ItemId",$A5)</f>
        <v>#NAME?</v>
      </c>
      <c r="H5" s="2" t="e">
        <f ca="1">_xll.AtlasFormulas.AtlasFunctions.AtlasTable("PROD",H$1,"T.InventTable","%ItemId","","","","","","","ItemId",$A5)</f>
        <v>#NAME?</v>
      </c>
      <c r="I5" s="2" t="e">
        <f ca="1">_xll.AtlasFormulas.AtlasFunctions.AtlasTable("PROD",I$1,"T.InventTable","%ItemId","","","","","","","ItemId",$A5)</f>
        <v>#NAME?</v>
      </c>
      <c r="J5" s="2" t="e">
        <f ca="1">_xll.AtlasFormulas.AtlasFunctions.AtlasTable("PROD",J$1,"T.InventTable","%ItemId","","","","","","","ItemId",$A5)</f>
        <v>#NAME?</v>
      </c>
      <c r="K5" s="2" t="e">
        <f ca="1">_xll.AtlasFormulas.AtlasFunctions.AtlasTable("PROD",K$1,"T.InventTable","%ItemId","","","","","","","ItemId",$A5)</f>
        <v>#NAME?</v>
      </c>
      <c r="L5" s="2" t="e">
        <f ca="1">_xll.AtlasFormulas.AtlasFunctions.AtlasTable("PROD",L$1,"T.InventTable","%ItemId","","","","","","","ItemId",$A5)</f>
        <v>#NAME?</v>
      </c>
      <c r="M5" s="2" t="e">
        <f ca="1">_xll.AtlasFormulas.AtlasFunctions.AtlasTable("PROD",M$1,"T.InventTable","%ItemId","","","","","","","ItemId",$A5)</f>
        <v>#NAME?</v>
      </c>
    </row>
    <row r="6" spans="1:13" x14ac:dyDescent="0.25">
      <c r="A6" t="s">
        <v>8</v>
      </c>
      <c r="B6" t="s">
        <v>9</v>
      </c>
      <c r="C6" s="2" t="e">
        <f ca="1">_xll.AtlasFormulas.AtlasFunctions.AtlasTable("PROD",C$1,"T.InventTable","%ItemId","","","","","","","ItemId",$A6)</f>
        <v>#NAME?</v>
      </c>
      <c r="D6" s="2" t="e">
        <f ca="1">_xll.AtlasFormulas.AtlasFunctions.AtlasTable("PROD",D$1,"T.InventTable","%ItemId","","","","","","","ItemId",$A6)</f>
        <v>#NAME?</v>
      </c>
      <c r="E6" s="2" t="e">
        <f ca="1">_xll.AtlasFormulas.AtlasFunctions.AtlasTable("PROD",E$1,"T.InventTable","%ItemId","","","","","","","ItemId",$A6)</f>
        <v>#NAME?</v>
      </c>
      <c r="F6" s="2" t="e">
        <f ca="1">_xll.AtlasFormulas.AtlasFunctions.AtlasTable("PROD",F$1,"T.InventTable","%ItemId","","","","","","","ItemId",$A6)</f>
        <v>#NAME?</v>
      </c>
      <c r="G6" s="2" t="e">
        <f ca="1">_xll.AtlasFormulas.AtlasFunctions.AtlasTable("PROD",G$1,"T.InventTable","%ItemId","","","","","","","ItemId",$A6)</f>
        <v>#NAME?</v>
      </c>
      <c r="H6" s="2" t="e">
        <f ca="1">_xll.AtlasFormulas.AtlasFunctions.AtlasTable("PROD",H$1,"T.InventTable","%ItemId","","","","","","","ItemId",$A6)</f>
        <v>#NAME?</v>
      </c>
      <c r="I6" s="2" t="e">
        <f ca="1">_xll.AtlasFormulas.AtlasFunctions.AtlasTable("PROD",I$1,"T.InventTable","%ItemId","","","","","","","ItemId",$A6)</f>
        <v>#NAME?</v>
      </c>
      <c r="J6" s="2" t="e">
        <f ca="1">_xll.AtlasFormulas.AtlasFunctions.AtlasTable("PROD",J$1,"T.InventTable","%ItemId","","","","","","","ItemId",$A6)</f>
        <v>#NAME?</v>
      </c>
      <c r="K6" s="2" t="e">
        <f ca="1">_xll.AtlasFormulas.AtlasFunctions.AtlasTable("PROD",K$1,"T.InventTable","%ItemId","","","","","","","ItemId",$A6)</f>
        <v>#NAME?</v>
      </c>
      <c r="L6" s="2" t="e">
        <f ca="1">_xll.AtlasFormulas.AtlasFunctions.AtlasTable("PROD",L$1,"T.InventTable","%ItemId","","","","","","","ItemId",$A6)</f>
        <v>#NAME?</v>
      </c>
      <c r="M6" s="2" t="e">
        <f ca="1">_xll.AtlasFormulas.AtlasFunctions.AtlasTable("PROD",M$1,"T.InventTable","%ItemId","","","","","","","ItemId",$A6)</f>
        <v>#NAME?</v>
      </c>
    </row>
    <row r="7" spans="1:13" x14ac:dyDescent="0.25">
      <c r="A7" t="s">
        <v>10</v>
      </c>
      <c r="B7" t="s">
        <v>11</v>
      </c>
      <c r="C7" s="2" t="e">
        <f ca="1">_xll.AtlasFormulas.AtlasFunctions.AtlasTable("PROD",C$1,"T.InventTable","%ItemId","","","","","","","ItemId",$A7)</f>
        <v>#NAME?</v>
      </c>
      <c r="D7" s="2" t="e">
        <f ca="1">_xll.AtlasFormulas.AtlasFunctions.AtlasTable("PROD",D$1,"T.InventTable","%ItemId","","","","","","","ItemId",$A7)</f>
        <v>#NAME?</v>
      </c>
      <c r="E7" s="2" t="e">
        <f ca="1">_xll.AtlasFormulas.AtlasFunctions.AtlasTable("PROD",E$1,"T.InventTable","%ItemId","","","","","","","ItemId",$A7)</f>
        <v>#NAME?</v>
      </c>
      <c r="F7" s="2" t="e">
        <f ca="1">_xll.AtlasFormulas.AtlasFunctions.AtlasTable("PROD",F$1,"T.InventTable","%ItemId","","","","","","","ItemId",$A7)</f>
        <v>#NAME?</v>
      </c>
      <c r="G7" s="2" t="e">
        <f ca="1">_xll.AtlasFormulas.AtlasFunctions.AtlasTable("PROD",G$1,"T.InventTable","%ItemId","","","","","","","ItemId",$A7)</f>
        <v>#NAME?</v>
      </c>
      <c r="H7" s="2" t="e">
        <f ca="1">_xll.AtlasFormulas.AtlasFunctions.AtlasTable("PROD",H$1,"T.InventTable","%ItemId","","","","","","","ItemId",$A7)</f>
        <v>#NAME?</v>
      </c>
      <c r="I7" s="2" t="e">
        <f ca="1">_xll.AtlasFormulas.AtlasFunctions.AtlasTable("PROD",I$1,"T.InventTable","%ItemId","","","","","","","ItemId",$A7)</f>
        <v>#NAME?</v>
      </c>
      <c r="J7" s="2" t="e">
        <f ca="1">_xll.AtlasFormulas.AtlasFunctions.AtlasTable("PROD",J$1,"T.InventTable","%ItemId","","","","","","","ItemId",$A7)</f>
        <v>#NAME?</v>
      </c>
      <c r="K7" s="2" t="e">
        <f ca="1">_xll.AtlasFormulas.AtlasFunctions.AtlasTable("PROD",K$1,"T.InventTable","%ItemId","","","","","","","ItemId",$A7)</f>
        <v>#NAME?</v>
      </c>
      <c r="L7" s="2" t="e">
        <f ca="1">_xll.AtlasFormulas.AtlasFunctions.AtlasTable("PROD",L$1,"T.InventTable","%ItemId","","","","","","","ItemId",$A7)</f>
        <v>#NAME?</v>
      </c>
      <c r="M7" s="2" t="e">
        <f ca="1">_xll.AtlasFormulas.AtlasFunctions.AtlasTable("PROD",M$1,"T.InventTable","%ItemId","","","","","","","ItemId",$A7)</f>
        <v>#NAME?</v>
      </c>
    </row>
    <row r="8" spans="1:13" x14ac:dyDescent="0.25">
      <c r="A8" t="s">
        <v>12</v>
      </c>
      <c r="B8" t="s">
        <v>13</v>
      </c>
      <c r="C8" s="2" t="e">
        <f ca="1">_xll.AtlasFormulas.AtlasFunctions.AtlasTable("PROD",C$1,"T.InventTable","%ItemId","","","","","","","ItemId",$A8)</f>
        <v>#NAME?</v>
      </c>
      <c r="D8" s="2" t="e">
        <f ca="1">_xll.AtlasFormulas.AtlasFunctions.AtlasTable("PROD",D$1,"T.InventTable","%ItemId","","","","","","","ItemId",$A8)</f>
        <v>#NAME?</v>
      </c>
      <c r="E8" s="2" t="e">
        <f ca="1">_xll.AtlasFormulas.AtlasFunctions.AtlasTable("PROD",E$1,"T.InventTable","%ItemId","","","","","","","ItemId",$A8)</f>
        <v>#NAME?</v>
      </c>
      <c r="F8" s="2" t="e">
        <f ca="1">_xll.AtlasFormulas.AtlasFunctions.AtlasTable("PROD",F$1,"T.InventTable","%ItemId","","","","","","","ItemId",$A8)</f>
        <v>#NAME?</v>
      </c>
      <c r="G8" s="2" t="e">
        <f ca="1">_xll.AtlasFormulas.AtlasFunctions.AtlasTable("PROD",G$1,"T.InventTable","%ItemId","","","","","","","ItemId",$A8)</f>
        <v>#NAME?</v>
      </c>
      <c r="H8" s="2" t="e">
        <f ca="1">_xll.AtlasFormulas.AtlasFunctions.AtlasTable("PROD",H$1,"T.InventTable","%ItemId","","","","","","","ItemId",$A8)</f>
        <v>#NAME?</v>
      </c>
      <c r="I8" s="2" t="e">
        <f ca="1">_xll.AtlasFormulas.AtlasFunctions.AtlasTable("PROD",I$1,"T.InventTable","%ItemId","","","","","","","ItemId",$A8)</f>
        <v>#NAME?</v>
      </c>
      <c r="J8" s="2" t="e">
        <f ca="1">_xll.AtlasFormulas.AtlasFunctions.AtlasTable("PROD",J$1,"T.InventTable","%ItemId","","","","","","","ItemId",$A8)</f>
        <v>#NAME?</v>
      </c>
      <c r="K8" s="2" t="e">
        <f ca="1">_xll.AtlasFormulas.AtlasFunctions.AtlasTable("PROD",K$1,"T.InventTable","%ItemId","","","","","","","ItemId",$A8)</f>
        <v>#NAME?</v>
      </c>
      <c r="L8" s="2" t="e">
        <f ca="1">_xll.AtlasFormulas.AtlasFunctions.AtlasTable("PROD",L$1,"T.InventTable","%ItemId","","","","","","","ItemId",$A8)</f>
        <v>#NAME?</v>
      </c>
      <c r="M8" s="2" t="e">
        <f ca="1">_xll.AtlasFormulas.AtlasFunctions.AtlasTable("PROD",M$1,"T.InventTable","%ItemId","","","","","","","ItemId",$A8)</f>
        <v>#NAME?</v>
      </c>
    </row>
    <row r="9" spans="1:13" x14ac:dyDescent="0.25">
      <c r="A9" t="s">
        <v>14</v>
      </c>
      <c r="B9" t="s">
        <v>15</v>
      </c>
      <c r="C9" s="2" t="e">
        <f ca="1">_xll.AtlasFormulas.AtlasFunctions.AtlasTable("PROD",C$1,"T.InventTable","%ItemId","","","","","","","ItemId",$A9)</f>
        <v>#NAME?</v>
      </c>
      <c r="D9" s="2" t="e">
        <f ca="1">_xll.AtlasFormulas.AtlasFunctions.AtlasTable("PROD",D$1,"T.InventTable","%ItemId","","","","","","","ItemId",$A9)</f>
        <v>#NAME?</v>
      </c>
      <c r="E9" s="2" t="e">
        <f ca="1">_xll.AtlasFormulas.AtlasFunctions.AtlasTable("PROD",E$1,"T.InventTable","%ItemId","","","","","","","ItemId",$A9)</f>
        <v>#NAME?</v>
      </c>
      <c r="F9" s="2" t="e">
        <f ca="1">_xll.AtlasFormulas.AtlasFunctions.AtlasTable("PROD",F$1,"T.InventTable","%ItemId","","","","","","","ItemId",$A9)</f>
        <v>#NAME?</v>
      </c>
      <c r="G9" s="2" t="e">
        <f ca="1">_xll.AtlasFormulas.AtlasFunctions.AtlasTable("PROD",G$1,"T.InventTable","%ItemId","","","","","","","ItemId",$A9)</f>
        <v>#NAME?</v>
      </c>
      <c r="H9" s="2" t="e">
        <f ca="1">_xll.AtlasFormulas.AtlasFunctions.AtlasTable("PROD",H$1,"T.InventTable","%ItemId","","","","","","","ItemId",$A9)</f>
        <v>#NAME?</v>
      </c>
      <c r="I9" s="2" t="e">
        <f ca="1">_xll.AtlasFormulas.AtlasFunctions.AtlasTable("PROD",I$1,"T.InventTable","%ItemId","","","","","","","ItemId",$A9)</f>
        <v>#NAME?</v>
      </c>
      <c r="J9" s="2" t="e">
        <f ca="1">_xll.AtlasFormulas.AtlasFunctions.AtlasTable("PROD",J$1,"T.InventTable","%ItemId","","","","","","","ItemId",$A9)</f>
        <v>#NAME?</v>
      </c>
      <c r="K9" s="2" t="e">
        <f ca="1">_xll.AtlasFormulas.AtlasFunctions.AtlasTable("PROD",K$1,"T.InventTable","%ItemId","","","","","","","ItemId",$A9)</f>
        <v>#NAME?</v>
      </c>
      <c r="L9" s="2" t="e">
        <f ca="1">_xll.AtlasFormulas.AtlasFunctions.AtlasTable("PROD",L$1,"T.InventTable","%ItemId","","","","","","","ItemId",$A9)</f>
        <v>#NAME?</v>
      </c>
      <c r="M9" s="2" t="e">
        <f ca="1">_xll.AtlasFormulas.AtlasFunctions.AtlasTable("PROD",M$1,"T.InventTable","%ItemId","","","","","","","ItemId",$A9)</f>
        <v>#NAME?</v>
      </c>
    </row>
    <row r="10" spans="1:13" ht="30" x14ac:dyDescent="0.25">
      <c r="A10" t="s">
        <v>16</v>
      </c>
      <c r="B10" s="1" t="s">
        <v>17</v>
      </c>
      <c r="C10" s="2" t="e">
        <f ca="1">_xll.AtlasFormulas.AtlasFunctions.AtlasTable("PROD",C$1,"T.InventTable","%ItemId","","","","","","","ItemId",$A10)</f>
        <v>#NAME?</v>
      </c>
      <c r="D10" s="2" t="e">
        <f ca="1">_xll.AtlasFormulas.AtlasFunctions.AtlasTable("PROD",D$1,"T.InventTable","%ItemId","","","","","","","ItemId",$A10)</f>
        <v>#NAME?</v>
      </c>
      <c r="E10" s="2" t="e">
        <f ca="1">_xll.AtlasFormulas.AtlasFunctions.AtlasTable("PROD",E$1,"T.InventTable","%ItemId","","","","","","","ItemId",$A10)</f>
        <v>#NAME?</v>
      </c>
      <c r="F10" s="2" t="e">
        <f ca="1">_xll.AtlasFormulas.AtlasFunctions.AtlasTable("PROD",F$1,"T.InventTable","%ItemId","","","","","","","ItemId",$A10)</f>
        <v>#NAME?</v>
      </c>
      <c r="G10" s="2" t="e">
        <f ca="1">_xll.AtlasFormulas.AtlasFunctions.AtlasTable("PROD",G$1,"T.InventTable","%ItemId","","","","","","","ItemId",$A10)</f>
        <v>#NAME?</v>
      </c>
      <c r="H10" s="2" t="e">
        <f ca="1">_xll.AtlasFormulas.AtlasFunctions.AtlasTable("PROD",H$1,"T.InventTable","%ItemId","","","","","","","ItemId",$A10)</f>
        <v>#NAME?</v>
      </c>
      <c r="I10" s="2" t="e">
        <f ca="1">_xll.AtlasFormulas.AtlasFunctions.AtlasTable("PROD",I$1,"T.InventTable","%ItemId","","","","","","","ItemId",$A10)</f>
        <v>#NAME?</v>
      </c>
      <c r="J10" s="2" t="e">
        <f ca="1">_xll.AtlasFormulas.AtlasFunctions.AtlasTable("PROD",J$1,"T.InventTable","%ItemId","","","","","","","ItemId",$A10)</f>
        <v>#NAME?</v>
      </c>
      <c r="K10" s="2" t="e">
        <f ca="1">_xll.AtlasFormulas.AtlasFunctions.AtlasTable("PROD",K$1,"T.InventTable","%ItemId","","","","","","","ItemId",$A10)</f>
        <v>#NAME?</v>
      </c>
      <c r="L10" s="2" t="e">
        <f ca="1">_xll.AtlasFormulas.AtlasFunctions.AtlasTable("PROD",L$1,"T.InventTable","%ItemId","","","","","","","ItemId",$A10)</f>
        <v>#NAME?</v>
      </c>
      <c r="M10" s="2" t="e">
        <f ca="1">_xll.AtlasFormulas.AtlasFunctions.AtlasTable("PROD",M$1,"T.InventTable","%ItemId","","","","","","","ItemId",$A10)</f>
        <v>#NAME?</v>
      </c>
    </row>
    <row r="11" spans="1:13" ht="30" x14ac:dyDescent="0.25">
      <c r="A11" t="s">
        <v>18</v>
      </c>
      <c r="B11" s="1" t="s">
        <v>19</v>
      </c>
      <c r="C11" s="2" t="e">
        <f ca="1">_xll.AtlasFormulas.AtlasFunctions.AtlasTable("PROD",C$1,"T.InventTable","%ItemId","","","","","","","ItemId",$A11)</f>
        <v>#NAME?</v>
      </c>
      <c r="D11" s="2" t="e">
        <f ca="1">_xll.AtlasFormulas.AtlasFunctions.AtlasTable("PROD",D$1,"T.InventTable","%ItemId","","","","","","","ItemId",$A11)</f>
        <v>#NAME?</v>
      </c>
      <c r="E11" s="2" t="e">
        <f ca="1">_xll.AtlasFormulas.AtlasFunctions.AtlasTable("PROD",E$1,"T.InventTable","%ItemId","","","","","","","ItemId",$A11)</f>
        <v>#NAME?</v>
      </c>
      <c r="F11" s="2" t="e">
        <f ca="1">_xll.AtlasFormulas.AtlasFunctions.AtlasTable("PROD",F$1,"T.InventTable","%ItemId","","","","","","","ItemId",$A11)</f>
        <v>#NAME?</v>
      </c>
      <c r="G11" s="2" t="e">
        <f ca="1">_xll.AtlasFormulas.AtlasFunctions.AtlasTable("PROD",G$1,"T.InventTable","%ItemId","","","","","","","ItemId",$A11)</f>
        <v>#NAME?</v>
      </c>
      <c r="H11" s="2" t="e">
        <f ca="1">_xll.AtlasFormulas.AtlasFunctions.AtlasTable("PROD",H$1,"T.InventTable","%ItemId","","","","","","","ItemId",$A11)</f>
        <v>#NAME?</v>
      </c>
      <c r="I11" s="2" t="e">
        <f ca="1">_xll.AtlasFormulas.AtlasFunctions.AtlasTable("PROD",I$1,"T.InventTable","%ItemId","","","","","","","ItemId",$A11)</f>
        <v>#NAME?</v>
      </c>
      <c r="J11" s="2" t="e">
        <f ca="1">_xll.AtlasFormulas.AtlasFunctions.AtlasTable("PROD",J$1,"T.InventTable","%ItemId","","","","","","","ItemId",$A11)</f>
        <v>#NAME?</v>
      </c>
      <c r="K11" s="2" t="e">
        <f ca="1">_xll.AtlasFormulas.AtlasFunctions.AtlasTable("PROD",K$1,"T.InventTable","%ItemId","","","","","","","ItemId",$A11)</f>
        <v>#NAME?</v>
      </c>
      <c r="L11" s="2" t="e">
        <f ca="1">_xll.AtlasFormulas.AtlasFunctions.AtlasTable("PROD",L$1,"T.InventTable","%ItemId","","","","","","","ItemId",$A11)</f>
        <v>#NAME?</v>
      </c>
      <c r="M11" s="2" t="e">
        <f ca="1">_xll.AtlasFormulas.AtlasFunctions.AtlasTable("PROD",M$1,"T.InventTable","%ItemId","","","","","","","ItemId",$A11)</f>
        <v>#NAME?</v>
      </c>
    </row>
    <row r="12" spans="1:13" x14ac:dyDescent="0.25">
      <c r="A12" t="s">
        <v>20</v>
      </c>
      <c r="B12" t="s">
        <v>21</v>
      </c>
      <c r="C12" s="2" t="e">
        <f ca="1">_xll.AtlasFormulas.AtlasFunctions.AtlasTable("PROD",C$1,"T.InventTable","%ItemId","","","","","","","ItemId",$A12)</f>
        <v>#NAME?</v>
      </c>
      <c r="D12" s="2" t="e">
        <f ca="1">_xll.AtlasFormulas.AtlasFunctions.AtlasTable("PROD",D$1,"T.InventTable","%ItemId","","","","","","","ItemId",$A12)</f>
        <v>#NAME?</v>
      </c>
      <c r="E12" s="2" t="e">
        <f ca="1">_xll.AtlasFormulas.AtlasFunctions.AtlasTable("PROD",E$1,"T.InventTable","%ItemId","","","","","","","ItemId",$A12)</f>
        <v>#NAME?</v>
      </c>
      <c r="F12" s="2" t="e">
        <f ca="1">_xll.AtlasFormulas.AtlasFunctions.AtlasTable("PROD",F$1,"T.InventTable","%ItemId","","","","","","","ItemId",$A12)</f>
        <v>#NAME?</v>
      </c>
      <c r="G12" s="2" t="e">
        <f ca="1">_xll.AtlasFormulas.AtlasFunctions.AtlasTable("PROD",G$1,"T.InventTable","%ItemId","","","","","","","ItemId",$A12)</f>
        <v>#NAME?</v>
      </c>
      <c r="H12" s="2" t="e">
        <f ca="1">_xll.AtlasFormulas.AtlasFunctions.AtlasTable("PROD",H$1,"T.InventTable","%ItemId","","","","","","","ItemId",$A12)</f>
        <v>#NAME?</v>
      </c>
      <c r="I12" s="2" t="e">
        <f ca="1">_xll.AtlasFormulas.AtlasFunctions.AtlasTable("PROD",I$1,"T.InventTable","%ItemId","","","","","","","ItemId",$A12)</f>
        <v>#NAME?</v>
      </c>
      <c r="J12" s="2" t="e">
        <f ca="1">_xll.AtlasFormulas.AtlasFunctions.AtlasTable("PROD",J$1,"T.InventTable","%ItemId","","","","","","","ItemId",$A12)</f>
        <v>#NAME?</v>
      </c>
      <c r="K12" s="2" t="e">
        <f ca="1">_xll.AtlasFormulas.AtlasFunctions.AtlasTable("PROD",K$1,"T.InventTable","%ItemId","","","","","","","ItemId",$A12)</f>
        <v>#NAME?</v>
      </c>
      <c r="L12" s="2" t="e">
        <f ca="1">_xll.AtlasFormulas.AtlasFunctions.AtlasTable("PROD",L$1,"T.InventTable","%ItemId","","","","","","","ItemId",$A12)</f>
        <v>#NAME?</v>
      </c>
      <c r="M12" s="2" t="e">
        <f ca="1">_xll.AtlasFormulas.AtlasFunctions.AtlasTable("PROD",M$1,"T.InventTable","%ItemId","","","","","","","ItemId",$A12)</f>
        <v>#NAME?</v>
      </c>
    </row>
    <row r="13" spans="1:13" x14ac:dyDescent="0.25">
      <c r="A13" t="s">
        <v>22</v>
      </c>
      <c r="B13" t="s">
        <v>23</v>
      </c>
      <c r="C13" s="2" t="e">
        <f ca="1">_xll.AtlasFormulas.AtlasFunctions.AtlasTable("PROD",C$1,"T.InventTable","%ItemId","","","","","","","ItemId",$A13)</f>
        <v>#NAME?</v>
      </c>
      <c r="D13" s="2" t="e">
        <f ca="1">_xll.AtlasFormulas.AtlasFunctions.AtlasTable("PROD",D$1,"T.InventTable","%ItemId","","","","","","","ItemId",$A13)</f>
        <v>#NAME?</v>
      </c>
      <c r="E13" s="2" t="e">
        <f ca="1">_xll.AtlasFormulas.AtlasFunctions.AtlasTable("PROD",E$1,"T.InventTable","%ItemId","","","","","","","ItemId",$A13)</f>
        <v>#NAME?</v>
      </c>
      <c r="F13" s="2" t="e">
        <f ca="1">_xll.AtlasFormulas.AtlasFunctions.AtlasTable("PROD",F$1,"T.InventTable","%ItemId","","","","","","","ItemId",$A13)</f>
        <v>#NAME?</v>
      </c>
      <c r="G13" s="2" t="e">
        <f ca="1">_xll.AtlasFormulas.AtlasFunctions.AtlasTable("PROD",G$1,"T.InventTable","%ItemId","","","","","","","ItemId",$A13)</f>
        <v>#NAME?</v>
      </c>
      <c r="H13" s="2" t="e">
        <f ca="1">_xll.AtlasFormulas.AtlasFunctions.AtlasTable("PROD",H$1,"T.InventTable","%ItemId","","","","","","","ItemId",$A13)</f>
        <v>#NAME?</v>
      </c>
      <c r="I13" s="2" t="e">
        <f ca="1">_xll.AtlasFormulas.AtlasFunctions.AtlasTable("PROD",I$1,"T.InventTable","%ItemId","","","","","","","ItemId",$A13)</f>
        <v>#NAME?</v>
      </c>
      <c r="J13" s="2" t="e">
        <f ca="1">_xll.AtlasFormulas.AtlasFunctions.AtlasTable("PROD",J$1,"T.InventTable","%ItemId","","","","","","","ItemId",$A13)</f>
        <v>#NAME?</v>
      </c>
      <c r="K13" s="2" t="e">
        <f ca="1">_xll.AtlasFormulas.AtlasFunctions.AtlasTable("PROD",K$1,"T.InventTable","%ItemId","","","","","","","ItemId",$A13)</f>
        <v>#NAME?</v>
      </c>
      <c r="L13" s="2" t="e">
        <f ca="1">_xll.AtlasFormulas.AtlasFunctions.AtlasTable("PROD",L$1,"T.InventTable","%ItemId","","","","","","","ItemId",$A13)</f>
        <v>#NAME?</v>
      </c>
      <c r="M13" s="2" t="e">
        <f ca="1">_xll.AtlasFormulas.AtlasFunctions.AtlasTable("PROD",M$1,"T.InventTable","%ItemId","","","","","","","ItemId",$A13)</f>
        <v>#NAME?</v>
      </c>
    </row>
    <row r="14" spans="1:13" x14ac:dyDescent="0.25">
      <c r="A14" t="s">
        <v>24</v>
      </c>
      <c r="B14" t="s">
        <v>25</v>
      </c>
      <c r="C14" s="2" t="e">
        <f ca="1">_xll.AtlasFormulas.AtlasFunctions.AtlasTable("PROD",C$1,"T.InventTable","%ItemId","","","","","","","ItemId",$A14)</f>
        <v>#NAME?</v>
      </c>
      <c r="D14" s="2" t="e">
        <f ca="1">_xll.AtlasFormulas.AtlasFunctions.AtlasTable("PROD",D$1,"T.InventTable","%ItemId","","","","","","","ItemId",$A14)</f>
        <v>#NAME?</v>
      </c>
      <c r="E14" s="2" t="e">
        <f ca="1">_xll.AtlasFormulas.AtlasFunctions.AtlasTable("PROD",E$1,"T.InventTable","%ItemId","","","","","","","ItemId",$A14)</f>
        <v>#NAME?</v>
      </c>
      <c r="F14" s="2" t="e">
        <f ca="1">_xll.AtlasFormulas.AtlasFunctions.AtlasTable("PROD",F$1,"T.InventTable","%ItemId","","","","","","","ItemId",$A14)</f>
        <v>#NAME?</v>
      </c>
      <c r="G14" s="2" t="e">
        <f ca="1">_xll.AtlasFormulas.AtlasFunctions.AtlasTable("PROD",G$1,"T.InventTable","%ItemId","","","","","","","ItemId",$A14)</f>
        <v>#NAME?</v>
      </c>
      <c r="H14" s="2" t="e">
        <f ca="1">_xll.AtlasFormulas.AtlasFunctions.AtlasTable("PROD",H$1,"T.InventTable","%ItemId","","","","","","","ItemId",$A14)</f>
        <v>#NAME?</v>
      </c>
      <c r="I14" s="2" t="e">
        <f ca="1">_xll.AtlasFormulas.AtlasFunctions.AtlasTable("PROD",I$1,"T.InventTable","%ItemId","","","","","","","ItemId",$A14)</f>
        <v>#NAME?</v>
      </c>
      <c r="J14" s="2" t="e">
        <f ca="1">_xll.AtlasFormulas.AtlasFunctions.AtlasTable("PROD",J$1,"T.InventTable","%ItemId","","","","","","","ItemId",$A14)</f>
        <v>#NAME?</v>
      </c>
      <c r="K14" s="2" t="e">
        <f ca="1">_xll.AtlasFormulas.AtlasFunctions.AtlasTable("PROD",K$1,"T.InventTable","%ItemId","","","","","","","ItemId",$A14)</f>
        <v>#NAME?</v>
      </c>
      <c r="L14" s="2" t="e">
        <f ca="1">_xll.AtlasFormulas.AtlasFunctions.AtlasTable("PROD",L$1,"T.InventTable","%ItemId","","","","","","","ItemId",$A14)</f>
        <v>#NAME?</v>
      </c>
      <c r="M14" s="2" t="e">
        <f ca="1">_xll.AtlasFormulas.AtlasFunctions.AtlasTable("PROD",M$1,"T.InventTable","%ItemId","","","","","","","ItemId",$A14)</f>
        <v>#NAME?</v>
      </c>
    </row>
    <row r="15" spans="1:13" x14ac:dyDescent="0.25">
      <c r="A15" t="s">
        <v>26</v>
      </c>
      <c r="B15" t="s">
        <v>27</v>
      </c>
      <c r="C15" s="2" t="e">
        <f ca="1">_xll.AtlasFormulas.AtlasFunctions.AtlasTable("PROD",C$1,"T.InventTable","%ItemId","","","","","","","ItemId",$A15)</f>
        <v>#NAME?</v>
      </c>
      <c r="D15" s="2" t="e">
        <f ca="1">_xll.AtlasFormulas.AtlasFunctions.AtlasTable("PROD",D$1,"T.InventTable","%ItemId","","","","","","","ItemId",$A15)</f>
        <v>#NAME?</v>
      </c>
      <c r="E15" s="2" t="e">
        <f ca="1">_xll.AtlasFormulas.AtlasFunctions.AtlasTable("PROD",E$1,"T.InventTable","%ItemId","","","","","","","ItemId",$A15)</f>
        <v>#NAME?</v>
      </c>
      <c r="F15" s="2" t="e">
        <f ca="1">_xll.AtlasFormulas.AtlasFunctions.AtlasTable("PROD",F$1,"T.InventTable","%ItemId","","","","","","","ItemId",$A15)</f>
        <v>#NAME?</v>
      </c>
      <c r="G15" s="2" t="e">
        <f ca="1">_xll.AtlasFormulas.AtlasFunctions.AtlasTable("PROD",G$1,"T.InventTable","%ItemId","","","","","","","ItemId",$A15)</f>
        <v>#NAME?</v>
      </c>
      <c r="H15" s="2" t="e">
        <f ca="1">_xll.AtlasFormulas.AtlasFunctions.AtlasTable("PROD",H$1,"T.InventTable","%ItemId","","","","","","","ItemId",$A15)</f>
        <v>#NAME?</v>
      </c>
      <c r="I15" s="2" t="e">
        <f ca="1">_xll.AtlasFormulas.AtlasFunctions.AtlasTable("PROD",I$1,"T.InventTable","%ItemId","","","","","","","ItemId",$A15)</f>
        <v>#NAME?</v>
      </c>
      <c r="J15" s="2" t="e">
        <f ca="1">_xll.AtlasFormulas.AtlasFunctions.AtlasTable("PROD",J$1,"T.InventTable","%ItemId","","","","","","","ItemId",$A15)</f>
        <v>#NAME?</v>
      </c>
      <c r="K15" s="2" t="e">
        <f ca="1">_xll.AtlasFormulas.AtlasFunctions.AtlasTable("PROD",K$1,"T.InventTable","%ItemId","","","","","","","ItemId",$A15)</f>
        <v>#NAME?</v>
      </c>
      <c r="L15" s="2" t="e">
        <f ca="1">_xll.AtlasFormulas.AtlasFunctions.AtlasTable("PROD",L$1,"T.InventTable","%ItemId","","","","","","","ItemId",$A15)</f>
        <v>#NAME?</v>
      </c>
      <c r="M15" s="2" t="e">
        <f ca="1">_xll.AtlasFormulas.AtlasFunctions.AtlasTable("PROD",M$1,"T.InventTable","%ItemId","","","","","","","ItemId",$A15)</f>
        <v>#NAME?</v>
      </c>
    </row>
    <row r="16" spans="1:13" x14ac:dyDescent="0.25">
      <c r="A16" t="s">
        <v>28</v>
      </c>
      <c r="B16" t="s">
        <v>29</v>
      </c>
      <c r="C16" s="2" t="e">
        <f ca="1">_xll.AtlasFormulas.AtlasFunctions.AtlasTable("PROD",C$1,"T.InventTable","%ItemId","","","","","","","ItemId",$A16)</f>
        <v>#NAME?</v>
      </c>
      <c r="D16" s="2" t="e">
        <f ca="1">_xll.AtlasFormulas.AtlasFunctions.AtlasTable("PROD",D$1,"T.InventTable","%ItemId","","","","","","","ItemId",$A16)</f>
        <v>#NAME?</v>
      </c>
      <c r="E16" s="2" t="e">
        <f ca="1">_xll.AtlasFormulas.AtlasFunctions.AtlasTable("PROD",E$1,"T.InventTable","%ItemId","","","","","","","ItemId",$A16)</f>
        <v>#NAME?</v>
      </c>
      <c r="F16" s="2" t="e">
        <f ca="1">_xll.AtlasFormulas.AtlasFunctions.AtlasTable("PROD",F$1,"T.InventTable","%ItemId","","","","","","","ItemId",$A16)</f>
        <v>#NAME?</v>
      </c>
      <c r="G16" s="2" t="e">
        <f ca="1">_xll.AtlasFormulas.AtlasFunctions.AtlasTable("PROD",G$1,"T.InventTable","%ItemId","","","","","","","ItemId",$A16)</f>
        <v>#NAME?</v>
      </c>
      <c r="H16" s="2" t="e">
        <f ca="1">_xll.AtlasFormulas.AtlasFunctions.AtlasTable("PROD",H$1,"T.InventTable","%ItemId","","","","","","","ItemId",$A16)</f>
        <v>#NAME?</v>
      </c>
      <c r="I16" s="2" t="e">
        <f ca="1">_xll.AtlasFormulas.AtlasFunctions.AtlasTable("PROD",I$1,"T.InventTable","%ItemId","","","","","","","ItemId",$A16)</f>
        <v>#NAME?</v>
      </c>
      <c r="J16" s="2" t="e">
        <f ca="1">_xll.AtlasFormulas.AtlasFunctions.AtlasTable("PROD",J$1,"T.InventTable","%ItemId","","","","","","","ItemId",$A16)</f>
        <v>#NAME?</v>
      </c>
      <c r="K16" s="2" t="e">
        <f ca="1">_xll.AtlasFormulas.AtlasFunctions.AtlasTable("PROD",K$1,"T.InventTable","%ItemId","","","","","","","ItemId",$A16)</f>
        <v>#NAME?</v>
      </c>
      <c r="L16" s="2" t="e">
        <f ca="1">_xll.AtlasFormulas.AtlasFunctions.AtlasTable("PROD",L$1,"T.InventTable","%ItemId","","","","","","","ItemId",$A16)</f>
        <v>#NAME?</v>
      </c>
      <c r="M16" s="2" t="e">
        <f ca="1">_xll.AtlasFormulas.AtlasFunctions.AtlasTable("PROD",M$1,"T.InventTable","%ItemId","","","","","","","ItemId",$A16)</f>
        <v>#NAME?</v>
      </c>
    </row>
    <row r="17" spans="1:13" x14ac:dyDescent="0.25">
      <c r="A17" t="s">
        <v>30</v>
      </c>
      <c r="B17" t="s">
        <v>31</v>
      </c>
      <c r="C17" s="2" t="e">
        <f ca="1">_xll.AtlasFormulas.AtlasFunctions.AtlasTable("PROD",C$1,"T.InventTable","%ItemId","","","","","","","ItemId",$A17)</f>
        <v>#NAME?</v>
      </c>
      <c r="D17" s="2" t="e">
        <f ca="1">_xll.AtlasFormulas.AtlasFunctions.AtlasTable("PROD",D$1,"T.InventTable","%ItemId","","","","","","","ItemId",$A17)</f>
        <v>#NAME?</v>
      </c>
      <c r="E17" s="2" t="e">
        <f ca="1">_xll.AtlasFormulas.AtlasFunctions.AtlasTable("PROD",E$1,"T.InventTable","%ItemId","","","","","","","ItemId",$A17)</f>
        <v>#NAME?</v>
      </c>
      <c r="F17" s="2" t="e">
        <f ca="1">_xll.AtlasFormulas.AtlasFunctions.AtlasTable("PROD",F$1,"T.InventTable","%ItemId","","","","","","","ItemId",$A17)</f>
        <v>#NAME?</v>
      </c>
      <c r="G17" s="2" t="e">
        <f ca="1">_xll.AtlasFormulas.AtlasFunctions.AtlasTable("PROD",G$1,"T.InventTable","%ItemId","","","","","","","ItemId",$A17)</f>
        <v>#NAME?</v>
      </c>
      <c r="H17" s="2" t="e">
        <f ca="1">_xll.AtlasFormulas.AtlasFunctions.AtlasTable("PROD",H$1,"T.InventTable","%ItemId","","","","","","","ItemId",$A17)</f>
        <v>#NAME?</v>
      </c>
      <c r="I17" s="2" t="e">
        <f ca="1">_xll.AtlasFormulas.AtlasFunctions.AtlasTable("PROD",I$1,"T.InventTable","%ItemId","","","","","","","ItemId",$A17)</f>
        <v>#NAME?</v>
      </c>
      <c r="J17" s="2" t="e">
        <f ca="1">_xll.AtlasFormulas.AtlasFunctions.AtlasTable("PROD",J$1,"T.InventTable","%ItemId","","","","","","","ItemId",$A17)</f>
        <v>#NAME?</v>
      </c>
      <c r="K17" s="2" t="e">
        <f ca="1">_xll.AtlasFormulas.AtlasFunctions.AtlasTable("PROD",K$1,"T.InventTable","%ItemId","","","","","","","ItemId",$A17)</f>
        <v>#NAME?</v>
      </c>
      <c r="L17" s="2" t="e">
        <f ca="1">_xll.AtlasFormulas.AtlasFunctions.AtlasTable("PROD",L$1,"T.InventTable","%ItemId","","","","","","","ItemId",$A17)</f>
        <v>#NAME?</v>
      </c>
      <c r="M17" s="2" t="e">
        <f ca="1">_xll.AtlasFormulas.AtlasFunctions.AtlasTable("PROD",M$1,"T.InventTable","%ItemId","","","","","","","ItemId",$A17)</f>
        <v>#NAME?</v>
      </c>
    </row>
    <row r="18" spans="1:13" x14ac:dyDescent="0.25">
      <c r="A18" t="s">
        <v>32</v>
      </c>
      <c r="B18" t="s">
        <v>33</v>
      </c>
      <c r="C18" s="2" t="e">
        <f ca="1">_xll.AtlasFormulas.AtlasFunctions.AtlasTable("PROD",C$1,"T.InventTable","%ItemId","","","","","","","ItemId",$A18)</f>
        <v>#NAME?</v>
      </c>
      <c r="D18" s="2" t="e">
        <f ca="1">_xll.AtlasFormulas.AtlasFunctions.AtlasTable("PROD",D$1,"T.InventTable","%ItemId","","","","","","","ItemId",$A18)</f>
        <v>#NAME?</v>
      </c>
      <c r="E18" s="2" t="e">
        <f ca="1">_xll.AtlasFormulas.AtlasFunctions.AtlasTable("PROD",E$1,"T.InventTable","%ItemId","","","","","","","ItemId",$A18)</f>
        <v>#NAME?</v>
      </c>
      <c r="F18" s="2" t="e">
        <f ca="1">_xll.AtlasFormulas.AtlasFunctions.AtlasTable("PROD",F$1,"T.InventTable","%ItemId","","","","","","","ItemId",$A18)</f>
        <v>#NAME?</v>
      </c>
      <c r="G18" s="2" t="e">
        <f ca="1">_xll.AtlasFormulas.AtlasFunctions.AtlasTable("PROD",G$1,"T.InventTable","%ItemId","","","","","","","ItemId",$A18)</f>
        <v>#NAME?</v>
      </c>
      <c r="H18" s="2" t="e">
        <f ca="1">_xll.AtlasFormulas.AtlasFunctions.AtlasTable("PROD",H$1,"T.InventTable","%ItemId","","","","","","","ItemId",$A18)</f>
        <v>#NAME?</v>
      </c>
      <c r="I18" s="2" t="e">
        <f ca="1">_xll.AtlasFormulas.AtlasFunctions.AtlasTable("PROD",I$1,"T.InventTable","%ItemId","","","","","","","ItemId",$A18)</f>
        <v>#NAME?</v>
      </c>
      <c r="J18" s="2" t="e">
        <f ca="1">_xll.AtlasFormulas.AtlasFunctions.AtlasTable("PROD",J$1,"T.InventTable","%ItemId","","","","","","","ItemId",$A18)</f>
        <v>#NAME?</v>
      </c>
      <c r="K18" s="2" t="e">
        <f ca="1">_xll.AtlasFormulas.AtlasFunctions.AtlasTable("PROD",K$1,"T.InventTable","%ItemId","","","","","","","ItemId",$A18)</f>
        <v>#NAME?</v>
      </c>
      <c r="L18" s="2" t="e">
        <f ca="1">_xll.AtlasFormulas.AtlasFunctions.AtlasTable("PROD",L$1,"T.InventTable","%ItemId","","","","","","","ItemId",$A18)</f>
        <v>#NAME?</v>
      </c>
      <c r="M18" s="2" t="e">
        <f ca="1">_xll.AtlasFormulas.AtlasFunctions.AtlasTable("PROD",M$1,"T.InventTable","%ItemId","","","","","","","ItemId",$A18)</f>
        <v>#NAME?</v>
      </c>
    </row>
    <row r="19" spans="1:13" x14ac:dyDescent="0.25">
      <c r="A19" t="s">
        <v>34</v>
      </c>
      <c r="B19" t="s">
        <v>35</v>
      </c>
      <c r="C19" s="2" t="e">
        <f ca="1">_xll.AtlasFormulas.AtlasFunctions.AtlasTable("PROD",C$1,"T.InventTable","%ItemId","","","","","","","ItemId",$A19)</f>
        <v>#NAME?</v>
      </c>
      <c r="D19" s="2" t="e">
        <f ca="1">_xll.AtlasFormulas.AtlasFunctions.AtlasTable("PROD",D$1,"T.InventTable","%ItemId","","","","","","","ItemId",$A19)</f>
        <v>#NAME?</v>
      </c>
      <c r="E19" s="2" t="e">
        <f ca="1">_xll.AtlasFormulas.AtlasFunctions.AtlasTable("PROD",E$1,"T.InventTable","%ItemId","","","","","","","ItemId",$A19)</f>
        <v>#NAME?</v>
      </c>
      <c r="F19" s="2" t="e">
        <f ca="1">_xll.AtlasFormulas.AtlasFunctions.AtlasTable("PROD",F$1,"T.InventTable","%ItemId","","","","","","","ItemId",$A19)</f>
        <v>#NAME?</v>
      </c>
      <c r="G19" s="2" t="e">
        <f ca="1">_xll.AtlasFormulas.AtlasFunctions.AtlasTable("PROD",G$1,"T.InventTable","%ItemId","","","","","","","ItemId",$A19)</f>
        <v>#NAME?</v>
      </c>
      <c r="H19" s="2" t="e">
        <f ca="1">_xll.AtlasFormulas.AtlasFunctions.AtlasTable("PROD",H$1,"T.InventTable","%ItemId","","","","","","","ItemId",$A19)</f>
        <v>#NAME?</v>
      </c>
      <c r="I19" s="2" t="e">
        <f ca="1">_xll.AtlasFormulas.AtlasFunctions.AtlasTable("PROD",I$1,"T.InventTable","%ItemId","","","","","","","ItemId",$A19)</f>
        <v>#NAME?</v>
      </c>
      <c r="J19" s="2" t="e">
        <f ca="1">_xll.AtlasFormulas.AtlasFunctions.AtlasTable("PROD",J$1,"T.InventTable","%ItemId","","","","","","","ItemId",$A19)</f>
        <v>#NAME?</v>
      </c>
      <c r="K19" s="2" t="e">
        <f ca="1">_xll.AtlasFormulas.AtlasFunctions.AtlasTable("PROD",K$1,"T.InventTable","%ItemId","","","","","","","ItemId",$A19)</f>
        <v>#NAME?</v>
      </c>
      <c r="L19" s="2" t="e">
        <f ca="1">_xll.AtlasFormulas.AtlasFunctions.AtlasTable("PROD",L$1,"T.InventTable","%ItemId","","","","","","","ItemId",$A19)</f>
        <v>#NAME?</v>
      </c>
      <c r="M19" s="2" t="e">
        <f ca="1">_xll.AtlasFormulas.AtlasFunctions.AtlasTable("PROD",M$1,"T.InventTable","%ItemId","","","","","","","ItemId",$A19)</f>
        <v>#NAME?</v>
      </c>
    </row>
    <row r="20" spans="1:13" x14ac:dyDescent="0.25">
      <c r="A20" t="s">
        <v>36</v>
      </c>
      <c r="B20" t="s">
        <v>37</v>
      </c>
      <c r="C20" s="2" t="e">
        <f ca="1">_xll.AtlasFormulas.AtlasFunctions.AtlasTable("PROD",C$1,"T.InventTable","%ItemId","","","","","","","ItemId",$A20)</f>
        <v>#NAME?</v>
      </c>
      <c r="D20" s="2" t="e">
        <f ca="1">_xll.AtlasFormulas.AtlasFunctions.AtlasTable("PROD",D$1,"T.InventTable","%ItemId","","","","","","","ItemId",$A20)</f>
        <v>#NAME?</v>
      </c>
      <c r="E20" s="2" t="e">
        <f ca="1">_xll.AtlasFormulas.AtlasFunctions.AtlasTable("PROD",E$1,"T.InventTable","%ItemId","","","","","","","ItemId",$A20)</f>
        <v>#NAME?</v>
      </c>
      <c r="F20" s="2" t="e">
        <f ca="1">_xll.AtlasFormulas.AtlasFunctions.AtlasTable("PROD",F$1,"T.InventTable","%ItemId","","","","","","","ItemId",$A20)</f>
        <v>#NAME?</v>
      </c>
      <c r="G20" s="2" t="e">
        <f ca="1">_xll.AtlasFormulas.AtlasFunctions.AtlasTable("PROD",G$1,"T.InventTable","%ItemId","","","","","","","ItemId",$A20)</f>
        <v>#NAME?</v>
      </c>
      <c r="H20" s="2" t="e">
        <f ca="1">_xll.AtlasFormulas.AtlasFunctions.AtlasTable("PROD",H$1,"T.InventTable","%ItemId","","","","","","","ItemId",$A20)</f>
        <v>#NAME?</v>
      </c>
      <c r="I20" s="2" t="e">
        <f ca="1">_xll.AtlasFormulas.AtlasFunctions.AtlasTable("PROD",I$1,"T.InventTable","%ItemId","","","","","","","ItemId",$A20)</f>
        <v>#NAME?</v>
      </c>
      <c r="J20" s="2" t="e">
        <f ca="1">_xll.AtlasFormulas.AtlasFunctions.AtlasTable("PROD",J$1,"T.InventTable","%ItemId","","","","","","","ItemId",$A20)</f>
        <v>#NAME?</v>
      </c>
      <c r="K20" s="2" t="e">
        <f ca="1">_xll.AtlasFormulas.AtlasFunctions.AtlasTable("PROD",K$1,"T.InventTable","%ItemId","","","","","","","ItemId",$A20)</f>
        <v>#NAME?</v>
      </c>
      <c r="L20" s="2" t="e">
        <f ca="1">_xll.AtlasFormulas.AtlasFunctions.AtlasTable("PROD",L$1,"T.InventTable","%ItemId","","","","","","","ItemId",$A20)</f>
        <v>#NAME?</v>
      </c>
      <c r="M20" s="2" t="e">
        <f ca="1">_xll.AtlasFormulas.AtlasFunctions.AtlasTable("PROD",M$1,"T.InventTable","%ItemId","","","","","","","ItemId",$A20)</f>
        <v>#NAME?</v>
      </c>
    </row>
    <row r="21" spans="1:13" x14ac:dyDescent="0.25">
      <c r="A21" t="s">
        <v>38</v>
      </c>
      <c r="B21" t="s">
        <v>39</v>
      </c>
      <c r="C21" s="2" t="e">
        <f ca="1">_xll.AtlasFormulas.AtlasFunctions.AtlasTable("PROD",C$1,"T.InventTable","%ItemId","","","","","","","ItemId",$A21)</f>
        <v>#NAME?</v>
      </c>
      <c r="D21" s="2" t="e">
        <f ca="1">_xll.AtlasFormulas.AtlasFunctions.AtlasTable("PROD",D$1,"T.InventTable","%ItemId","","","","","","","ItemId",$A21)</f>
        <v>#NAME?</v>
      </c>
      <c r="E21" s="2" t="e">
        <f ca="1">_xll.AtlasFormulas.AtlasFunctions.AtlasTable("PROD",E$1,"T.InventTable","%ItemId","","","","","","","ItemId",$A21)</f>
        <v>#NAME?</v>
      </c>
      <c r="F21" s="2" t="e">
        <f ca="1">_xll.AtlasFormulas.AtlasFunctions.AtlasTable("PROD",F$1,"T.InventTable","%ItemId","","","","","","","ItemId",$A21)</f>
        <v>#NAME?</v>
      </c>
      <c r="G21" s="2" t="e">
        <f ca="1">_xll.AtlasFormulas.AtlasFunctions.AtlasTable("PROD",G$1,"T.InventTable","%ItemId","","","","","","","ItemId",$A21)</f>
        <v>#NAME?</v>
      </c>
      <c r="H21" s="2" t="e">
        <f ca="1">_xll.AtlasFormulas.AtlasFunctions.AtlasTable("PROD",H$1,"T.InventTable","%ItemId","","","","","","","ItemId",$A21)</f>
        <v>#NAME?</v>
      </c>
      <c r="I21" s="2" t="e">
        <f ca="1">_xll.AtlasFormulas.AtlasFunctions.AtlasTable("PROD",I$1,"T.InventTable","%ItemId","","","","","","","ItemId",$A21)</f>
        <v>#NAME?</v>
      </c>
      <c r="J21" s="2" t="e">
        <f ca="1">_xll.AtlasFormulas.AtlasFunctions.AtlasTable("PROD",J$1,"T.InventTable","%ItemId","","","","","","","ItemId",$A21)</f>
        <v>#NAME?</v>
      </c>
      <c r="K21" s="2" t="e">
        <f ca="1">_xll.AtlasFormulas.AtlasFunctions.AtlasTable("PROD",K$1,"T.InventTable","%ItemId","","","","","","","ItemId",$A21)</f>
        <v>#NAME?</v>
      </c>
      <c r="L21" s="2" t="e">
        <f ca="1">_xll.AtlasFormulas.AtlasFunctions.AtlasTable("PROD",L$1,"T.InventTable","%ItemId","","","","","","","ItemId",$A21)</f>
        <v>#NAME?</v>
      </c>
      <c r="M21" s="2" t="e">
        <f ca="1">_xll.AtlasFormulas.AtlasFunctions.AtlasTable("PROD",M$1,"T.InventTable","%ItemId","","","","","","","ItemId",$A21)</f>
        <v>#NAME?</v>
      </c>
    </row>
    <row r="22" spans="1:13" x14ac:dyDescent="0.25">
      <c r="A22" t="s">
        <v>40</v>
      </c>
      <c r="B22" t="s">
        <v>41</v>
      </c>
      <c r="C22" s="2" t="e">
        <f ca="1">_xll.AtlasFormulas.AtlasFunctions.AtlasTable("PROD",C$1,"T.InventTable","%ItemId","","","","","","","ItemId",$A22)</f>
        <v>#NAME?</v>
      </c>
      <c r="D22" s="2" t="e">
        <f ca="1">_xll.AtlasFormulas.AtlasFunctions.AtlasTable("PROD",D$1,"T.InventTable","%ItemId","","","","","","","ItemId",$A22)</f>
        <v>#NAME?</v>
      </c>
      <c r="E22" s="2" t="e">
        <f ca="1">_xll.AtlasFormulas.AtlasFunctions.AtlasTable("PROD",E$1,"T.InventTable","%ItemId","","","","","","","ItemId",$A22)</f>
        <v>#NAME?</v>
      </c>
      <c r="F22" s="2" t="e">
        <f ca="1">_xll.AtlasFormulas.AtlasFunctions.AtlasTable("PROD",F$1,"T.InventTable","%ItemId","","","","","","","ItemId",$A22)</f>
        <v>#NAME?</v>
      </c>
      <c r="G22" s="2" t="e">
        <f ca="1">_xll.AtlasFormulas.AtlasFunctions.AtlasTable("PROD",G$1,"T.InventTable","%ItemId","","","","","","","ItemId",$A22)</f>
        <v>#NAME?</v>
      </c>
      <c r="H22" s="2" t="e">
        <f ca="1">_xll.AtlasFormulas.AtlasFunctions.AtlasTable("PROD",H$1,"T.InventTable","%ItemId","","","","","","","ItemId",$A22)</f>
        <v>#NAME?</v>
      </c>
      <c r="I22" s="2" t="e">
        <f ca="1">_xll.AtlasFormulas.AtlasFunctions.AtlasTable("PROD",I$1,"T.InventTable","%ItemId","","","","","","","ItemId",$A22)</f>
        <v>#NAME?</v>
      </c>
      <c r="J22" s="2" t="e">
        <f ca="1">_xll.AtlasFormulas.AtlasFunctions.AtlasTable("PROD",J$1,"T.InventTable","%ItemId","","","","","","","ItemId",$A22)</f>
        <v>#NAME?</v>
      </c>
      <c r="K22" s="2" t="e">
        <f ca="1">_xll.AtlasFormulas.AtlasFunctions.AtlasTable("PROD",K$1,"T.InventTable","%ItemId","","","","","","","ItemId",$A22)</f>
        <v>#NAME?</v>
      </c>
      <c r="L22" s="2" t="e">
        <f ca="1">_xll.AtlasFormulas.AtlasFunctions.AtlasTable("PROD",L$1,"T.InventTable","%ItemId","","","","","","","ItemId",$A22)</f>
        <v>#NAME?</v>
      </c>
      <c r="M22" s="2" t="e">
        <f ca="1">_xll.AtlasFormulas.AtlasFunctions.AtlasTable("PROD",M$1,"T.InventTable","%ItemId","","","","","","","ItemId",$A22)</f>
        <v>#NAME?</v>
      </c>
    </row>
    <row r="23" spans="1:13" x14ac:dyDescent="0.25">
      <c r="A23" t="s">
        <v>42</v>
      </c>
      <c r="B23" t="s">
        <v>43</v>
      </c>
      <c r="C23" s="2" t="e">
        <f ca="1">_xll.AtlasFormulas.AtlasFunctions.AtlasTable("PROD",C$1,"T.InventTable","%ItemId","","","","","","","ItemId",$A23)</f>
        <v>#NAME?</v>
      </c>
      <c r="D23" s="2" t="e">
        <f ca="1">_xll.AtlasFormulas.AtlasFunctions.AtlasTable("PROD",D$1,"T.InventTable","%ItemId","","","","","","","ItemId",$A23)</f>
        <v>#NAME?</v>
      </c>
      <c r="E23" s="2" t="e">
        <f ca="1">_xll.AtlasFormulas.AtlasFunctions.AtlasTable("PROD",E$1,"T.InventTable","%ItemId","","","","","","","ItemId",$A23)</f>
        <v>#NAME?</v>
      </c>
      <c r="F23" s="2" t="e">
        <f ca="1">_xll.AtlasFormulas.AtlasFunctions.AtlasTable("PROD",F$1,"T.InventTable","%ItemId","","","","","","","ItemId",$A23)</f>
        <v>#NAME?</v>
      </c>
      <c r="G23" s="2" t="e">
        <f ca="1">_xll.AtlasFormulas.AtlasFunctions.AtlasTable("PROD",G$1,"T.InventTable","%ItemId","","","","","","","ItemId",$A23)</f>
        <v>#NAME?</v>
      </c>
      <c r="H23" s="2" t="e">
        <f ca="1">_xll.AtlasFormulas.AtlasFunctions.AtlasTable("PROD",H$1,"T.InventTable","%ItemId","","","","","","","ItemId",$A23)</f>
        <v>#NAME?</v>
      </c>
      <c r="I23" s="2" t="e">
        <f ca="1">_xll.AtlasFormulas.AtlasFunctions.AtlasTable("PROD",I$1,"T.InventTable","%ItemId","","","","","","","ItemId",$A23)</f>
        <v>#NAME?</v>
      </c>
      <c r="J23" s="2" t="e">
        <f ca="1">_xll.AtlasFormulas.AtlasFunctions.AtlasTable("PROD",J$1,"T.InventTable","%ItemId","","","","","","","ItemId",$A23)</f>
        <v>#NAME?</v>
      </c>
      <c r="K23" s="2" t="e">
        <f ca="1">_xll.AtlasFormulas.AtlasFunctions.AtlasTable("PROD",K$1,"T.InventTable","%ItemId","","","","","","","ItemId",$A23)</f>
        <v>#NAME?</v>
      </c>
      <c r="L23" s="2" t="e">
        <f ca="1">_xll.AtlasFormulas.AtlasFunctions.AtlasTable("PROD",L$1,"T.InventTable","%ItemId","","","","","","","ItemId",$A23)</f>
        <v>#NAME?</v>
      </c>
      <c r="M23" s="2" t="e">
        <f ca="1">_xll.AtlasFormulas.AtlasFunctions.AtlasTable("PROD",M$1,"T.InventTable","%ItemId","","","","","","","ItemId",$A23)</f>
        <v>#NAME?</v>
      </c>
    </row>
    <row r="24" spans="1:13" x14ac:dyDescent="0.25">
      <c r="A24" t="s">
        <v>44</v>
      </c>
      <c r="B24" t="s">
        <v>45</v>
      </c>
      <c r="C24" s="2" t="e">
        <f ca="1">_xll.AtlasFormulas.AtlasFunctions.AtlasTable("PROD",C$1,"T.InventTable","%ItemId","","","","","","","ItemId",$A24)</f>
        <v>#NAME?</v>
      </c>
      <c r="D24" s="2" t="e">
        <f ca="1">_xll.AtlasFormulas.AtlasFunctions.AtlasTable("PROD",D$1,"T.InventTable","%ItemId","","","","","","","ItemId",$A24)</f>
        <v>#NAME?</v>
      </c>
      <c r="E24" s="2" t="e">
        <f ca="1">_xll.AtlasFormulas.AtlasFunctions.AtlasTable("PROD",E$1,"T.InventTable","%ItemId","","","","","","","ItemId",$A24)</f>
        <v>#NAME?</v>
      </c>
      <c r="F24" s="2" t="e">
        <f ca="1">_xll.AtlasFormulas.AtlasFunctions.AtlasTable("PROD",F$1,"T.InventTable","%ItemId","","","","","","","ItemId",$A24)</f>
        <v>#NAME?</v>
      </c>
      <c r="G24" s="2" t="e">
        <f ca="1">_xll.AtlasFormulas.AtlasFunctions.AtlasTable("PROD",G$1,"T.InventTable","%ItemId","","","","","","","ItemId",$A24)</f>
        <v>#NAME?</v>
      </c>
      <c r="H24" s="2" t="e">
        <f ca="1">_xll.AtlasFormulas.AtlasFunctions.AtlasTable("PROD",H$1,"T.InventTable","%ItemId","","","","","","","ItemId",$A24)</f>
        <v>#NAME?</v>
      </c>
      <c r="I24" s="2" t="e">
        <f ca="1">_xll.AtlasFormulas.AtlasFunctions.AtlasTable("PROD",I$1,"T.InventTable","%ItemId","","","","","","","ItemId",$A24)</f>
        <v>#NAME?</v>
      </c>
      <c r="J24" s="2" t="e">
        <f ca="1">_xll.AtlasFormulas.AtlasFunctions.AtlasTable("PROD",J$1,"T.InventTable","%ItemId","","","","","","","ItemId",$A24)</f>
        <v>#NAME?</v>
      </c>
      <c r="K24" s="2" t="e">
        <f ca="1">_xll.AtlasFormulas.AtlasFunctions.AtlasTable("PROD",K$1,"T.InventTable","%ItemId","","","","","","","ItemId",$A24)</f>
        <v>#NAME?</v>
      </c>
      <c r="L24" s="2" t="e">
        <f ca="1">_xll.AtlasFormulas.AtlasFunctions.AtlasTable("PROD",L$1,"T.InventTable","%ItemId","","","","","","","ItemId",$A24)</f>
        <v>#NAME?</v>
      </c>
      <c r="M24" s="2" t="e">
        <f ca="1">_xll.AtlasFormulas.AtlasFunctions.AtlasTable("PROD",M$1,"T.InventTable","%ItemId","","","","","","","ItemId",$A24)</f>
        <v>#NAME?</v>
      </c>
    </row>
    <row r="25" spans="1:13" x14ac:dyDescent="0.25">
      <c r="A25" t="s">
        <v>46</v>
      </c>
      <c r="B25" t="s">
        <v>47</v>
      </c>
      <c r="C25" s="2" t="e">
        <f ca="1">_xll.AtlasFormulas.AtlasFunctions.AtlasTable("PROD",C$1,"T.InventTable","%ItemId","","","","","","","ItemId",$A25)</f>
        <v>#NAME?</v>
      </c>
      <c r="D25" s="2" t="e">
        <f ca="1">_xll.AtlasFormulas.AtlasFunctions.AtlasTable("PROD",D$1,"T.InventTable","%ItemId","","","","","","","ItemId",$A25)</f>
        <v>#NAME?</v>
      </c>
      <c r="E25" s="2" t="e">
        <f ca="1">_xll.AtlasFormulas.AtlasFunctions.AtlasTable("PROD",E$1,"T.InventTable","%ItemId","","","","","","","ItemId",$A25)</f>
        <v>#NAME?</v>
      </c>
      <c r="F25" s="2" t="e">
        <f ca="1">_xll.AtlasFormulas.AtlasFunctions.AtlasTable("PROD",F$1,"T.InventTable","%ItemId","","","","","","","ItemId",$A25)</f>
        <v>#NAME?</v>
      </c>
      <c r="G25" s="2" t="e">
        <f ca="1">_xll.AtlasFormulas.AtlasFunctions.AtlasTable("PROD",G$1,"T.InventTable","%ItemId","","","","","","","ItemId",$A25)</f>
        <v>#NAME?</v>
      </c>
      <c r="H25" s="2" t="e">
        <f ca="1">_xll.AtlasFormulas.AtlasFunctions.AtlasTable("PROD",H$1,"T.InventTable","%ItemId","","","","","","","ItemId",$A25)</f>
        <v>#NAME?</v>
      </c>
      <c r="I25" s="2" t="e">
        <f ca="1">_xll.AtlasFormulas.AtlasFunctions.AtlasTable("PROD",I$1,"T.InventTable","%ItemId","","","","","","","ItemId",$A25)</f>
        <v>#NAME?</v>
      </c>
      <c r="J25" s="2" t="e">
        <f ca="1">_xll.AtlasFormulas.AtlasFunctions.AtlasTable("PROD",J$1,"T.InventTable","%ItemId","","","","","","","ItemId",$A25)</f>
        <v>#NAME?</v>
      </c>
      <c r="K25" s="2" t="e">
        <f ca="1">_xll.AtlasFormulas.AtlasFunctions.AtlasTable("PROD",K$1,"T.InventTable","%ItemId","","","","","","","ItemId",$A25)</f>
        <v>#NAME?</v>
      </c>
      <c r="L25" s="2" t="e">
        <f ca="1">_xll.AtlasFormulas.AtlasFunctions.AtlasTable("PROD",L$1,"T.InventTable","%ItemId","","","","","","","ItemId",$A25)</f>
        <v>#NAME?</v>
      </c>
      <c r="M25" s="2" t="e">
        <f ca="1">_xll.AtlasFormulas.AtlasFunctions.AtlasTable("PROD",M$1,"T.InventTable","%ItemId","","","","","","","ItemId",$A25)</f>
        <v>#NAME?</v>
      </c>
    </row>
    <row r="26" spans="1:13" x14ac:dyDescent="0.25">
      <c r="A26" t="s">
        <v>48</v>
      </c>
      <c r="B26" t="s">
        <v>49</v>
      </c>
      <c r="C26" s="2" t="e">
        <f ca="1">_xll.AtlasFormulas.AtlasFunctions.AtlasTable("PROD",C$1,"T.InventTable","%ItemId","","","","","","","ItemId",$A26)</f>
        <v>#NAME?</v>
      </c>
      <c r="D26" s="2" t="e">
        <f ca="1">_xll.AtlasFormulas.AtlasFunctions.AtlasTable("PROD",D$1,"T.InventTable","%ItemId","","","","","","","ItemId",$A26)</f>
        <v>#NAME?</v>
      </c>
      <c r="E26" s="2" t="e">
        <f ca="1">_xll.AtlasFormulas.AtlasFunctions.AtlasTable("PROD",E$1,"T.InventTable","%ItemId","","","","","","","ItemId",$A26)</f>
        <v>#NAME?</v>
      </c>
      <c r="F26" s="2" t="e">
        <f ca="1">_xll.AtlasFormulas.AtlasFunctions.AtlasTable("PROD",F$1,"T.InventTable","%ItemId","","","","","","","ItemId",$A26)</f>
        <v>#NAME?</v>
      </c>
      <c r="G26" s="2" t="e">
        <f ca="1">_xll.AtlasFormulas.AtlasFunctions.AtlasTable("PROD",G$1,"T.InventTable","%ItemId","","","","","","","ItemId",$A26)</f>
        <v>#NAME?</v>
      </c>
      <c r="H26" s="2" t="e">
        <f ca="1">_xll.AtlasFormulas.AtlasFunctions.AtlasTable("PROD",H$1,"T.InventTable","%ItemId","","","","","","","ItemId",$A26)</f>
        <v>#NAME?</v>
      </c>
      <c r="I26" s="2" t="e">
        <f ca="1">_xll.AtlasFormulas.AtlasFunctions.AtlasTable("PROD",I$1,"T.InventTable","%ItemId","","","","","","","ItemId",$A26)</f>
        <v>#NAME?</v>
      </c>
      <c r="J26" s="2" t="e">
        <f ca="1">_xll.AtlasFormulas.AtlasFunctions.AtlasTable("PROD",J$1,"T.InventTable","%ItemId","","","","","","","ItemId",$A26)</f>
        <v>#NAME?</v>
      </c>
      <c r="K26" s="2" t="e">
        <f ca="1">_xll.AtlasFormulas.AtlasFunctions.AtlasTable("PROD",K$1,"T.InventTable","%ItemId","","","","","","","ItemId",$A26)</f>
        <v>#NAME?</v>
      </c>
      <c r="L26" s="2" t="e">
        <f ca="1">_xll.AtlasFormulas.AtlasFunctions.AtlasTable("PROD",L$1,"T.InventTable","%ItemId","","","","","","","ItemId",$A26)</f>
        <v>#NAME?</v>
      </c>
      <c r="M26" s="2" t="e">
        <f ca="1">_xll.AtlasFormulas.AtlasFunctions.AtlasTable("PROD",M$1,"T.InventTable","%ItemId","","","","","","","ItemId",$A26)</f>
        <v>#NAME?</v>
      </c>
    </row>
    <row r="27" spans="1:13" x14ac:dyDescent="0.25">
      <c r="A27" t="s">
        <v>50</v>
      </c>
      <c r="B27" t="s">
        <v>51</v>
      </c>
      <c r="C27" s="2" t="e">
        <f ca="1">_xll.AtlasFormulas.AtlasFunctions.AtlasTable("PROD",C$1,"T.InventTable","%ItemId","","","","","","","ItemId",$A27)</f>
        <v>#NAME?</v>
      </c>
      <c r="D27" s="2" t="e">
        <f ca="1">_xll.AtlasFormulas.AtlasFunctions.AtlasTable("PROD",D$1,"T.InventTable","%ItemId","","","","","","","ItemId",$A27)</f>
        <v>#NAME?</v>
      </c>
      <c r="E27" s="2" t="e">
        <f ca="1">_xll.AtlasFormulas.AtlasFunctions.AtlasTable("PROD",E$1,"T.InventTable","%ItemId","","","","","","","ItemId",$A27)</f>
        <v>#NAME?</v>
      </c>
      <c r="F27" s="2" t="e">
        <f ca="1">_xll.AtlasFormulas.AtlasFunctions.AtlasTable("PROD",F$1,"T.InventTable","%ItemId","","","","","","","ItemId",$A27)</f>
        <v>#NAME?</v>
      </c>
      <c r="G27" s="2" t="e">
        <f ca="1">_xll.AtlasFormulas.AtlasFunctions.AtlasTable("PROD",G$1,"T.InventTable","%ItemId","","","","","","","ItemId",$A27)</f>
        <v>#NAME?</v>
      </c>
      <c r="H27" s="2" t="e">
        <f ca="1">_xll.AtlasFormulas.AtlasFunctions.AtlasTable("PROD",H$1,"T.InventTable","%ItemId","","","","","","","ItemId",$A27)</f>
        <v>#NAME?</v>
      </c>
      <c r="I27" s="2" t="e">
        <f ca="1">_xll.AtlasFormulas.AtlasFunctions.AtlasTable("PROD",I$1,"T.InventTable","%ItemId","","","","","","","ItemId",$A27)</f>
        <v>#NAME?</v>
      </c>
      <c r="J27" s="2" t="e">
        <f ca="1">_xll.AtlasFormulas.AtlasFunctions.AtlasTable("PROD",J$1,"T.InventTable","%ItemId","","","","","","","ItemId",$A27)</f>
        <v>#NAME?</v>
      </c>
      <c r="K27" s="2" t="e">
        <f ca="1">_xll.AtlasFormulas.AtlasFunctions.AtlasTable("PROD",K$1,"T.InventTable","%ItemId","","","","","","","ItemId",$A27)</f>
        <v>#NAME?</v>
      </c>
      <c r="L27" s="2" t="e">
        <f ca="1">_xll.AtlasFormulas.AtlasFunctions.AtlasTable("PROD",L$1,"T.InventTable","%ItemId","","","","","","","ItemId",$A27)</f>
        <v>#NAME?</v>
      </c>
      <c r="M27" s="2" t="e">
        <f ca="1">_xll.AtlasFormulas.AtlasFunctions.AtlasTable("PROD",M$1,"T.InventTable","%ItemId","","","","","","","ItemId",$A27)</f>
        <v>#NAME?</v>
      </c>
    </row>
    <row r="28" spans="1:13" x14ac:dyDescent="0.25">
      <c r="A28" t="s">
        <v>52</v>
      </c>
      <c r="B28" t="s">
        <v>53</v>
      </c>
      <c r="C28" s="2" t="e">
        <f ca="1">_xll.AtlasFormulas.AtlasFunctions.AtlasTable("PROD",C$1,"T.InventTable","%ItemId","","","","","","","ItemId",$A28)</f>
        <v>#NAME?</v>
      </c>
      <c r="D28" s="2" t="e">
        <f ca="1">_xll.AtlasFormulas.AtlasFunctions.AtlasTable("PROD",D$1,"T.InventTable","%ItemId","","","","","","","ItemId",$A28)</f>
        <v>#NAME?</v>
      </c>
      <c r="E28" s="2" t="e">
        <f ca="1">_xll.AtlasFormulas.AtlasFunctions.AtlasTable("PROD",E$1,"T.InventTable","%ItemId","","","","","","","ItemId",$A28)</f>
        <v>#NAME?</v>
      </c>
      <c r="F28" s="2" t="e">
        <f ca="1">_xll.AtlasFormulas.AtlasFunctions.AtlasTable("PROD",F$1,"T.InventTable","%ItemId","","","","","","","ItemId",$A28)</f>
        <v>#NAME?</v>
      </c>
      <c r="G28" s="2" t="e">
        <f ca="1">_xll.AtlasFormulas.AtlasFunctions.AtlasTable("PROD",G$1,"T.InventTable","%ItemId","","","","","","","ItemId",$A28)</f>
        <v>#NAME?</v>
      </c>
      <c r="H28" s="2" t="e">
        <f ca="1">_xll.AtlasFormulas.AtlasFunctions.AtlasTable("PROD",H$1,"T.InventTable","%ItemId","","","","","","","ItemId",$A28)</f>
        <v>#NAME?</v>
      </c>
      <c r="I28" s="2" t="e">
        <f ca="1">_xll.AtlasFormulas.AtlasFunctions.AtlasTable("PROD",I$1,"T.InventTable","%ItemId","","","","","","","ItemId",$A28)</f>
        <v>#NAME?</v>
      </c>
      <c r="J28" s="2" t="e">
        <f ca="1">_xll.AtlasFormulas.AtlasFunctions.AtlasTable("PROD",J$1,"T.InventTable","%ItemId","","","","","","","ItemId",$A28)</f>
        <v>#NAME?</v>
      </c>
      <c r="K28" s="2" t="e">
        <f ca="1">_xll.AtlasFormulas.AtlasFunctions.AtlasTable("PROD",K$1,"T.InventTable","%ItemId","","","","","","","ItemId",$A28)</f>
        <v>#NAME?</v>
      </c>
      <c r="L28" s="2" t="e">
        <f ca="1">_xll.AtlasFormulas.AtlasFunctions.AtlasTable("PROD",L$1,"T.InventTable","%ItemId","","","","","","","ItemId",$A28)</f>
        <v>#NAME?</v>
      </c>
      <c r="M28" s="2" t="e">
        <f ca="1">_xll.AtlasFormulas.AtlasFunctions.AtlasTable("PROD",M$1,"T.InventTable","%ItemId","","","","","","","ItemId",$A28)</f>
        <v>#NAME?</v>
      </c>
    </row>
    <row r="29" spans="1:13" x14ac:dyDescent="0.25">
      <c r="A29" t="s">
        <v>54</v>
      </c>
      <c r="B29" t="s">
        <v>55</v>
      </c>
      <c r="C29" s="2" t="e">
        <f ca="1">_xll.AtlasFormulas.AtlasFunctions.AtlasTable("PROD",C$1,"T.InventTable","%ItemId","","","","","","","ItemId",$A29)</f>
        <v>#NAME?</v>
      </c>
      <c r="D29" s="2" t="e">
        <f ca="1">_xll.AtlasFormulas.AtlasFunctions.AtlasTable("PROD",D$1,"T.InventTable","%ItemId","","","","","","","ItemId",$A29)</f>
        <v>#NAME?</v>
      </c>
      <c r="E29" s="2" t="e">
        <f ca="1">_xll.AtlasFormulas.AtlasFunctions.AtlasTable("PROD",E$1,"T.InventTable","%ItemId","","","","","","","ItemId",$A29)</f>
        <v>#NAME?</v>
      </c>
      <c r="F29" s="2" t="e">
        <f ca="1">_xll.AtlasFormulas.AtlasFunctions.AtlasTable("PROD",F$1,"T.InventTable","%ItemId","","","","","","","ItemId",$A29)</f>
        <v>#NAME?</v>
      </c>
      <c r="G29" s="2" t="e">
        <f ca="1">_xll.AtlasFormulas.AtlasFunctions.AtlasTable("PROD",G$1,"T.InventTable","%ItemId","","","","","","","ItemId",$A29)</f>
        <v>#NAME?</v>
      </c>
      <c r="H29" s="2" t="e">
        <f ca="1">_xll.AtlasFormulas.AtlasFunctions.AtlasTable("PROD",H$1,"T.InventTable","%ItemId","","","","","","","ItemId",$A29)</f>
        <v>#NAME?</v>
      </c>
      <c r="I29" s="2" t="e">
        <f ca="1">_xll.AtlasFormulas.AtlasFunctions.AtlasTable("PROD",I$1,"T.InventTable","%ItemId","","","","","","","ItemId",$A29)</f>
        <v>#NAME?</v>
      </c>
      <c r="J29" s="2" t="e">
        <f ca="1">_xll.AtlasFormulas.AtlasFunctions.AtlasTable("PROD",J$1,"T.InventTable","%ItemId","","","","","","","ItemId",$A29)</f>
        <v>#NAME?</v>
      </c>
      <c r="K29" s="2" t="e">
        <f ca="1">_xll.AtlasFormulas.AtlasFunctions.AtlasTable("PROD",K$1,"T.InventTable","%ItemId","","","","","","","ItemId",$A29)</f>
        <v>#NAME?</v>
      </c>
      <c r="L29" s="2" t="e">
        <f ca="1">_xll.AtlasFormulas.AtlasFunctions.AtlasTable("PROD",L$1,"T.InventTable","%ItemId","","","","","","","ItemId",$A29)</f>
        <v>#NAME?</v>
      </c>
      <c r="M29" s="2" t="e">
        <f ca="1">_xll.AtlasFormulas.AtlasFunctions.AtlasTable("PROD",M$1,"T.InventTable","%ItemId","","","","","","","ItemId",$A29)</f>
        <v>#NAME?</v>
      </c>
    </row>
    <row r="30" spans="1:13" x14ac:dyDescent="0.25">
      <c r="A30" t="s">
        <v>56</v>
      </c>
      <c r="B30" t="s">
        <v>57</v>
      </c>
      <c r="C30" s="2" t="e">
        <f ca="1">_xll.AtlasFormulas.AtlasFunctions.AtlasTable("PROD",C$1,"T.InventTable","%ItemId","","","","","","","ItemId",$A30)</f>
        <v>#NAME?</v>
      </c>
      <c r="D30" s="2" t="e">
        <f ca="1">_xll.AtlasFormulas.AtlasFunctions.AtlasTable("PROD",D$1,"T.InventTable","%ItemId","","","","","","","ItemId",$A30)</f>
        <v>#NAME?</v>
      </c>
      <c r="E30" s="2" t="e">
        <f ca="1">_xll.AtlasFormulas.AtlasFunctions.AtlasTable("PROD",E$1,"T.InventTable","%ItemId","","","","","","","ItemId",$A30)</f>
        <v>#NAME?</v>
      </c>
      <c r="F30" s="2" t="e">
        <f ca="1">_xll.AtlasFormulas.AtlasFunctions.AtlasTable("PROD",F$1,"T.InventTable","%ItemId","","","","","","","ItemId",$A30)</f>
        <v>#NAME?</v>
      </c>
      <c r="G30" s="2" t="e">
        <f ca="1">_xll.AtlasFormulas.AtlasFunctions.AtlasTable("PROD",G$1,"T.InventTable","%ItemId","","","","","","","ItemId",$A30)</f>
        <v>#NAME?</v>
      </c>
      <c r="H30" s="2" t="e">
        <f ca="1">_xll.AtlasFormulas.AtlasFunctions.AtlasTable("PROD",H$1,"T.InventTable","%ItemId","","","","","","","ItemId",$A30)</f>
        <v>#NAME?</v>
      </c>
      <c r="I30" s="2" t="e">
        <f ca="1">_xll.AtlasFormulas.AtlasFunctions.AtlasTable("PROD",I$1,"T.InventTable","%ItemId","","","","","","","ItemId",$A30)</f>
        <v>#NAME?</v>
      </c>
      <c r="J30" s="2" t="e">
        <f ca="1">_xll.AtlasFormulas.AtlasFunctions.AtlasTable("PROD",J$1,"T.InventTable","%ItemId","","","","","","","ItemId",$A30)</f>
        <v>#NAME?</v>
      </c>
      <c r="K30" s="2" t="e">
        <f ca="1">_xll.AtlasFormulas.AtlasFunctions.AtlasTable("PROD",K$1,"T.InventTable","%ItemId","","","","","","","ItemId",$A30)</f>
        <v>#NAME?</v>
      </c>
      <c r="L30" s="2" t="e">
        <f ca="1">_xll.AtlasFormulas.AtlasFunctions.AtlasTable("PROD",L$1,"T.InventTable","%ItemId","","","","","","","ItemId",$A30)</f>
        <v>#NAME?</v>
      </c>
      <c r="M30" s="2" t="e">
        <f ca="1">_xll.AtlasFormulas.AtlasFunctions.AtlasTable("PROD",M$1,"T.InventTable","%ItemId","","","","","","","ItemId",$A30)</f>
        <v>#NAME?</v>
      </c>
    </row>
    <row r="31" spans="1:13" x14ac:dyDescent="0.25">
      <c r="A31" t="s">
        <v>58</v>
      </c>
      <c r="B31" t="s">
        <v>59</v>
      </c>
      <c r="C31" s="2" t="e">
        <f ca="1">_xll.AtlasFormulas.AtlasFunctions.AtlasTable("PROD",C$1,"T.InventTable","%ItemId","","","","","","","ItemId",$A31)</f>
        <v>#NAME?</v>
      </c>
      <c r="D31" s="2" t="e">
        <f ca="1">_xll.AtlasFormulas.AtlasFunctions.AtlasTable("PROD",D$1,"T.InventTable","%ItemId","","","","","","","ItemId",$A31)</f>
        <v>#NAME?</v>
      </c>
      <c r="E31" s="2" t="e">
        <f ca="1">_xll.AtlasFormulas.AtlasFunctions.AtlasTable("PROD",E$1,"T.InventTable","%ItemId","","","","","","","ItemId",$A31)</f>
        <v>#NAME?</v>
      </c>
      <c r="F31" s="2" t="e">
        <f ca="1">_xll.AtlasFormulas.AtlasFunctions.AtlasTable("PROD",F$1,"T.InventTable","%ItemId","","","","","","","ItemId",$A31)</f>
        <v>#NAME?</v>
      </c>
      <c r="G31" s="2" t="e">
        <f ca="1">_xll.AtlasFormulas.AtlasFunctions.AtlasTable("PROD",G$1,"T.InventTable","%ItemId","","","","","","","ItemId",$A31)</f>
        <v>#NAME?</v>
      </c>
      <c r="H31" s="2" t="e">
        <f ca="1">_xll.AtlasFormulas.AtlasFunctions.AtlasTable("PROD",H$1,"T.InventTable","%ItemId","","","","","","","ItemId",$A31)</f>
        <v>#NAME?</v>
      </c>
      <c r="I31" s="2" t="e">
        <f ca="1">_xll.AtlasFormulas.AtlasFunctions.AtlasTable("PROD",I$1,"T.InventTable","%ItemId","","","","","","","ItemId",$A31)</f>
        <v>#NAME?</v>
      </c>
      <c r="J31" s="2" t="e">
        <f ca="1">_xll.AtlasFormulas.AtlasFunctions.AtlasTable("PROD",J$1,"T.InventTable","%ItemId","","","","","","","ItemId",$A31)</f>
        <v>#NAME?</v>
      </c>
      <c r="K31" s="2" t="e">
        <f ca="1">_xll.AtlasFormulas.AtlasFunctions.AtlasTable("PROD",K$1,"T.InventTable","%ItemId","","","","","","","ItemId",$A31)</f>
        <v>#NAME?</v>
      </c>
      <c r="L31" s="2" t="e">
        <f ca="1">_xll.AtlasFormulas.AtlasFunctions.AtlasTable("PROD",L$1,"T.InventTable","%ItemId","","","","","","","ItemId",$A31)</f>
        <v>#NAME?</v>
      </c>
      <c r="M31" s="2" t="e">
        <f ca="1">_xll.AtlasFormulas.AtlasFunctions.AtlasTable("PROD",M$1,"T.InventTable","%ItemId","","","","","","","ItemId",$A31)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OH"/>
  <dimension ref="A1:M31"/>
  <sheetViews>
    <sheetView workbookViewId="0">
      <selection activeCell="F10" sqref="F10"/>
    </sheetView>
  </sheetViews>
  <sheetFormatPr defaultColWidth="11.42578125" defaultRowHeight="15" x14ac:dyDescent="0.25"/>
  <cols>
    <col min="1" max="1" width="19" bestFit="1" customWidth="1"/>
    <col min="2" max="2" width="42.28515625" bestFit="1" customWidth="1"/>
  </cols>
  <sheetData>
    <row r="1" spans="1:13" x14ac:dyDescent="0.25">
      <c r="A1" t="s">
        <v>60</v>
      </c>
      <c r="B1" t="s">
        <v>61</v>
      </c>
      <c r="C1">
        <v>345</v>
      </c>
      <c r="D1">
        <v>360</v>
      </c>
      <c r="E1">
        <v>362</v>
      </c>
      <c r="F1">
        <v>363</v>
      </c>
      <c r="G1">
        <v>364</v>
      </c>
      <c r="H1">
        <v>365</v>
      </c>
      <c r="I1">
        <v>366</v>
      </c>
      <c r="J1">
        <v>368</v>
      </c>
      <c r="K1">
        <v>369</v>
      </c>
      <c r="L1">
        <v>371</v>
      </c>
      <c r="M1">
        <v>372</v>
      </c>
    </row>
    <row r="2" spans="1:13" x14ac:dyDescent="0.25">
      <c r="A2" t="s">
        <v>0</v>
      </c>
      <c r="B2" t="s">
        <v>1</v>
      </c>
      <c r="C2" t="e">
        <f ca="1">_xll.AtlasFormulas.AtlasFunctions.AtlasBalance("PROD",C$1,"T.InventSum","Sum|AvailPhysical|0","","","","","","","ItemId",A$2)</f>
        <v>#NAME?</v>
      </c>
      <c r="D2" t="e">
        <f ca="1">_xll.AtlasFormulas.AtlasFunctions.AtlasBalance("PROD",D$1,"T.InventSum","Sum|AvailPhysical|0","","","","","","","ItemId",B$2)</f>
        <v>#NAME?</v>
      </c>
      <c r="E2" t="e">
        <f ca="1">_xll.AtlasFormulas.AtlasFunctions.AtlasBalance("PROD",E$1,"T.InventSum","Sum|AvailPhysical|0","","","","","","","ItemId",C$2)</f>
        <v>#NAME?</v>
      </c>
      <c r="F2" t="e">
        <f ca="1">_xll.AtlasFormulas.AtlasFunctions.AtlasBalance("PROD",F$1,"T.InventSum","Sum|AvailPhysical|0","","","","","","","ItemId",D$2)</f>
        <v>#NAME?</v>
      </c>
      <c r="G2" t="e">
        <f ca="1">_xll.AtlasFormulas.AtlasFunctions.AtlasBalance("PROD",G$1,"T.InventSum","Sum|AvailPhysical|0","","","","","","","ItemId",E$2)</f>
        <v>#NAME?</v>
      </c>
      <c r="H2" t="e">
        <f ca="1">_xll.AtlasFormulas.AtlasFunctions.AtlasBalance("PROD",H$1,"T.InventSum","Sum|AvailPhysical|0","","","","","","","ItemId",F$2)</f>
        <v>#NAME?</v>
      </c>
      <c r="I2" t="e">
        <f ca="1">_xll.AtlasFormulas.AtlasFunctions.AtlasBalance("PROD",I$1,"T.InventSum","Sum|AvailPhysical|0","","","","","","","ItemId",G$2)</f>
        <v>#NAME?</v>
      </c>
      <c r="J2" t="e">
        <f ca="1">_xll.AtlasFormulas.AtlasFunctions.AtlasBalance("PROD",J$1,"T.InventSum","Sum|AvailPhysical|0","","","","","","","ItemId",H$2)</f>
        <v>#NAME?</v>
      </c>
      <c r="K2" t="e">
        <f ca="1">_xll.AtlasFormulas.AtlasFunctions.AtlasBalance("PROD",K$1,"T.InventSum","Sum|AvailPhysical|0","","","","","","","ItemId",I$2)</f>
        <v>#NAME?</v>
      </c>
      <c r="L2" t="e">
        <f ca="1">_xll.AtlasFormulas.AtlasFunctions.AtlasBalance("PROD",L$1,"T.InventSum","Sum|AvailPhysical|0","","","","","","","ItemId",J$2)</f>
        <v>#NAME?</v>
      </c>
      <c r="M2" t="e">
        <f ca="1">_xll.AtlasFormulas.AtlasFunctions.AtlasBalance("PROD",M$1,"T.InventSum","Sum|AvailPhysical|0","","","","","","","ItemId",K$2)</f>
        <v>#NAME?</v>
      </c>
    </row>
    <row r="3" spans="1:13" x14ac:dyDescent="0.25">
      <c r="A3" t="s">
        <v>2</v>
      </c>
      <c r="B3" t="s">
        <v>3</v>
      </c>
      <c r="C3" t="e">
        <f ca="1">_xll.AtlasFormulas.AtlasFunctions.AtlasBalance("PROD",C$1,"T.InventSum","Sum|AvailPhysical|0","","","","","","","ItemId",A$2)</f>
        <v>#NAME?</v>
      </c>
      <c r="D3" t="e">
        <f ca="1">_xll.AtlasFormulas.AtlasFunctions.AtlasBalance("PROD",D$1,"T.InventSum","Sum|AvailPhysical|0","","","","","","","ItemId",B$2)</f>
        <v>#NAME?</v>
      </c>
      <c r="E3" t="e">
        <f ca="1">_xll.AtlasFormulas.AtlasFunctions.AtlasBalance("PROD",E$1,"T.InventSum","Sum|AvailPhysical|0","","","","","","","ItemId",C$2)</f>
        <v>#NAME?</v>
      </c>
      <c r="F3" t="e">
        <f ca="1">_xll.AtlasFormulas.AtlasFunctions.AtlasBalance("PROD",F$1,"T.InventSum","Sum|AvailPhysical|0","","","","","","","ItemId",D$2)</f>
        <v>#NAME?</v>
      </c>
      <c r="G3" t="e">
        <f ca="1">_xll.AtlasFormulas.AtlasFunctions.AtlasBalance("PROD",G$1,"T.InventSum","Sum|AvailPhysical|0","","","","","","","ItemId",E$2)</f>
        <v>#NAME?</v>
      </c>
      <c r="H3" t="e">
        <f ca="1">_xll.AtlasFormulas.AtlasFunctions.AtlasBalance("PROD",H$1,"T.InventSum","Sum|AvailPhysical|0","","","","","","","ItemId",F$2)</f>
        <v>#NAME?</v>
      </c>
      <c r="I3" t="e">
        <f ca="1">_xll.AtlasFormulas.AtlasFunctions.AtlasBalance("PROD",I$1,"T.InventSum","Sum|AvailPhysical|0","","","","","","","ItemId",G$2)</f>
        <v>#NAME?</v>
      </c>
      <c r="J3" t="e">
        <f ca="1">_xll.AtlasFormulas.AtlasFunctions.AtlasBalance("PROD",J$1,"T.InventSum","Sum|AvailPhysical|0","","","","","","","ItemId",H$2)</f>
        <v>#NAME?</v>
      </c>
      <c r="K3" t="e">
        <f ca="1">_xll.AtlasFormulas.AtlasFunctions.AtlasBalance("PROD",K$1,"T.InventSum","Sum|AvailPhysical|0","","","","","","","ItemId",I$2)</f>
        <v>#NAME?</v>
      </c>
      <c r="L3" t="e">
        <f ca="1">_xll.AtlasFormulas.AtlasFunctions.AtlasBalance("PROD",L$1,"T.InventSum","Sum|AvailPhysical|0","","","","","","","ItemId",J$2)</f>
        <v>#NAME?</v>
      </c>
      <c r="M3" t="e">
        <f ca="1">_xll.AtlasFormulas.AtlasFunctions.AtlasBalance("PROD",M$1,"T.InventSum","Sum|AvailPhysical|0","","","","","","","ItemId",K$2)</f>
        <v>#NAME?</v>
      </c>
    </row>
    <row r="4" spans="1:13" x14ac:dyDescent="0.25">
      <c r="A4" t="s">
        <v>4</v>
      </c>
      <c r="B4" t="s">
        <v>5</v>
      </c>
      <c r="C4" t="e">
        <f ca="1">_xll.AtlasFormulas.AtlasFunctions.AtlasBalance("PROD",C$1,"T.InventSum","Sum|AvailPhysical|0","","","","","","","ItemId",A$2)</f>
        <v>#NAME?</v>
      </c>
      <c r="D4" t="e">
        <f ca="1">_xll.AtlasFormulas.AtlasFunctions.AtlasBalance("PROD",D$1,"T.InventSum","Sum|AvailPhysical|0","","","","","","","ItemId",B$2)</f>
        <v>#NAME?</v>
      </c>
      <c r="E4" t="e">
        <f ca="1">_xll.AtlasFormulas.AtlasFunctions.AtlasBalance("PROD",E$1,"T.InventSum","Sum|AvailPhysical|0","","","","","","","ItemId",C$2)</f>
        <v>#NAME?</v>
      </c>
      <c r="F4" t="e">
        <f ca="1">_xll.AtlasFormulas.AtlasFunctions.AtlasBalance("PROD",F$1,"T.InventSum","Sum|AvailPhysical|0","","","","","","","ItemId",D$2)</f>
        <v>#NAME?</v>
      </c>
      <c r="G4" t="e">
        <f ca="1">_xll.AtlasFormulas.AtlasFunctions.AtlasBalance("PROD",G$1,"T.InventSum","Sum|AvailPhysical|0","","","","","","","ItemId",E$2)</f>
        <v>#NAME?</v>
      </c>
      <c r="H4" t="e">
        <f ca="1">_xll.AtlasFormulas.AtlasFunctions.AtlasBalance("PROD",H$1,"T.InventSum","Sum|AvailPhysical|0","","","","","","","ItemId",F$2)</f>
        <v>#NAME?</v>
      </c>
      <c r="I4" t="e">
        <f ca="1">_xll.AtlasFormulas.AtlasFunctions.AtlasBalance("PROD",I$1,"T.InventSum","Sum|AvailPhysical|0","","","","","","","ItemId",G$2)</f>
        <v>#NAME?</v>
      </c>
      <c r="J4" t="e">
        <f ca="1">_xll.AtlasFormulas.AtlasFunctions.AtlasBalance("PROD",J$1,"T.InventSum","Sum|AvailPhysical|0","","","","","","","ItemId",H$2)</f>
        <v>#NAME?</v>
      </c>
      <c r="K4" t="e">
        <f ca="1">_xll.AtlasFormulas.AtlasFunctions.AtlasBalance("PROD",K$1,"T.InventSum","Sum|AvailPhysical|0","","","","","","","ItemId",I$2)</f>
        <v>#NAME?</v>
      </c>
      <c r="L4" t="e">
        <f ca="1">_xll.AtlasFormulas.AtlasFunctions.AtlasBalance("PROD",L$1,"T.InventSum","Sum|AvailPhysical|0","","","","","","","ItemId",J$2)</f>
        <v>#NAME?</v>
      </c>
      <c r="M4" t="e">
        <f ca="1">_xll.AtlasFormulas.AtlasFunctions.AtlasBalance("PROD",M$1,"T.InventSum","Sum|AvailPhysical|0","","","","","","","ItemId",K$2)</f>
        <v>#NAME?</v>
      </c>
    </row>
    <row r="5" spans="1:13" x14ac:dyDescent="0.25">
      <c r="A5" t="s">
        <v>6</v>
      </c>
      <c r="B5" t="s">
        <v>7</v>
      </c>
      <c r="C5" t="e">
        <f ca="1">_xll.AtlasFormulas.AtlasFunctions.AtlasBalance("PROD",C$1,"T.InventSum","Sum|AvailPhysical|0","","","","","","","ItemId",A$2)</f>
        <v>#NAME?</v>
      </c>
      <c r="D5" t="e">
        <f ca="1">_xll.AtlasFormulas.AtlasFunctions.AtlasBalance("PROD",D$1,"T.InventSum","Sum|AvailPhysical|0","","","","","","","ItemId",B$2)</f>
        <v>#NAME?</v>
      </c>
      <c r="E5" t="e">
        <f ca="1">_xll.AtlasFormulas.AtlasFunctions.AtlasBalance("PROD",E$1,"T.InventSum","Sum|AvailPhysical|0","","","","","","","ItemId",C$2)</f>
        <v>#NAME?</v>
      </c>
      <c r="F5" t="e">
        <f ca="1">_xll.AtlasFormulas.AtlasFunctions.AtlasBalance("PROD",F$1,"T.InventSum","Sum|AvailPhysical|0","","","","","","","ItemId",D$2)</f>
        <v>#NAME?</v>
      </c>
      <c r="G5" t="e">
        <f ca="1">_xll.AtlasFormulas.AtlasFunctions.AtlasBalance("PROD",G$1,"T.InventSum","Sum|AvailPhysical|0","","","","","","","ItemId",E$2)</f>
        <v>#NAME?</v>
      </c>
      <c r="H5" t="e">
        <f ca="1">_xll.AtlasFormulas.AtlasFunctions.AtlasBalance("PROD",H$1,"T.InventSum","Sum|AvailPhysical|0","","","","","","","ItemId",F$2)</f>
        <v>#NAME?</v>
      </c>
      <c r="I5" t="e">
        <f ca="1">_xll.AtlasFormulas.AtlasFunctions.AtlasBalance("PROD",I$1,"T.InventSum","Sum|AvailPhysical|0","","","","","","","ItemId",G$2)</f>
        <v>#NAME?</v>
      </c>
      <c r="J5" t="e">
        <f ca="1">_xll.AtlasFormulas.AtlasFunctions.AtlasBalance("PROD",J$1,"T.InventSum","Sum|AvailPhysical|0","","","","","","","ItemId",H$2)</f>
        <v>#NAME?</v>
      </c>
      <c r="K5" t="e">
        <f ca="1">_xll.AtlasFormulas.AtlasFunctions.AtlasBalance("PROD",K$1,"T.InventSum","Sum|AvailPhysical|0","","","","","","","ItemId",I$2)</f>
        <v>#NAME?</v>
      </c>
      <c r="L5" t="e">
        <f ca="1">_xll.AtlasFormulas.AtlasFunctions.AtlasBalance("PROD",L$1,"T.InventSum","Sum|AvailPhysical|0","","","","","","","ItemId",J$2)</f>
        <v>#NAME?</v>
      </c>
      <c r="M5" t="e">
        <f ca="1">_xll.AtlasFormulas.AtlasFunctions.AtlasBalance("PROD",M$1,"T.InventSum","Sum|AvailPhysical|0","","","","","","","ItemId",K$2)</f>
        <v>#NAME?</v>
      </c>
    </row>
    <row r="6" spans="1:13" x14ac:dyDescent="0.25">
      <c r="A6" t="s">
        <v>8</v>
      </c>
      <c r="B6" t="s">
        <v>9</v>
      </c>
      <c r="C6" t="e">
        <f ca="1">_xll.AtlasFormulas.AtlasFunctions.AtlasBalance("PROD",C$1,"T.InventSum","Sum|AvailPhysical|0","","","","","","","ItemId",A$2)</f>
        <v>#NAME?</v>
      </c>
      <c r="D6" t="e">
        <f ca="1">_xll.AtlasFormulas.AtlasFunctions.AtlasBalance("PROD",D$1,"T.InventSum","Sum|AvailPhysical|0","","","","","","","ItemId",B$2)</f>
        <v>#NAME?</v>
      </c>
      <c r="E6" t="e">
        <f ca="1">_xll.AtlasFormulas.AtlasFunctions.AtlasBalance("PROD",E$1,"T.InventSum","Sum|AvailPhysical|0","","","","","","","ItemId",C$2)</f>
        <v>#NAME?</v>
      </c>
      <c r="F6" t="e">
        <f ca="1">_xll.AtlasFormulas.AtlasFunctions.AtlasBalance("PROD",F$1,"T.InventSum","Sum|AvailPhysical|0","","","","","","","ItemId",D$2)</f>
        <v>#NAME?</v>
      </c>
      <c r="G6" t="e">
        <f ca="1">_xll.AtlasFormulas.AtlasFunctions.AtlasBalance("PROD",G$1,"T.InventSum","Sum|AvailPhysical|0","","","","","","","ItemId",E$2)</f>
        <v>#NAME?</v>
      </c>
      <c r="H6" t="e">
        <f ca="1">_xll.AtlasFormulas.AtlasFunctions.AtlasBalance("PROD",H$1,"T.InventSum","Sum|AvailPhysical|0","","","","","","","ItemId",F$2)</f>
        <v>#NAME?</v>
      </c>
      <c r="I6" t="e">
        <f ca="1">_xll.AtlasFormulas.AtlasFunctions.AtlasBalance("PROD",I$1,"T.InventSum","Sum|AvailPhysical|0","","","","","","","ItemId",G$2)</f>
        <v>#NAME?</v>
      </c>
      <c r="J6" t="e">
        <f ca="1">_xll.AtlasFormulas.AtlasFunctions.AtlasBalance("PROD",J$1,"T.InventSum","Sum|AvailPhysical|0","","","","","","","ItemId",H$2)</f>
        <v>#NAME?</v>
      </c>
      <c r="K6" t="e">
        <f ca="1">_xll.AtlasFormulas.AtlasFunctions.AtlasBalance("PROD",K$1,"T.InventSum","Sum|AvailPhysical|0","","","","","","","ItemId",I$2)</f>
        <v>#NAME?</v>
      </c>
      <c r="L6" t="e">
        <f ca="1">_xll.AtlasFormulas.AtlasFunctions.AtlasBalance("PROD",L$1,"T.InventSum","Sum|AvailPhysical|0","","","","","","","ItemId",J$2)</f>
        <v>#NAME?</v>
      </c>
      <c r="M6" t="e">
        <f ca="1">_xll.AtlasFormulas.AtlasFunctions.AtlasBalance("PROD",M$1,"T.InventSum","Sum|AvailPhysical|0","","","","","","","ItemId",K$2)</f>
        <v>#NAME?</v>
      </c>
    </row>
    <row r="7" spans="1:13" x14ac:dyDescent="0.25">
      <c r="A7" t="s">
        <v>10</v>
      </c>
      <c r="B7" t="s">
        <v>11</v>
      </c>
      <c r="C7" t="e">
        <f ca="1">_xll.AtlasFormulas.AtlasFunctions.AtlasBalance("PROD",C$1,"T.InventSum","Sum|AvailPhysical|0","","","","","","","ItemId",A$2)</f>
        <v>#NAME?</v>
      </c>
      <c r="D7" t="e">
        <f ca="1">_xll.AtlasFormulas.AtlasFunctions.AtlasBalance("PROD",D$1,"T.InventSum","Sum|AvailPhysical|0","","","","","","","ItemId",B$2)</f>
        <v>#NAME?</v>
      </c>
      <c r="E7" t="e">
        <f ca="1">_xll.AtlasFormulas.AtlasFunctions.AtlasBalance("PROD",E$1,"T.InventSum","Sum|AvailPhysical|0","","","","","","","ItemId",C$2)</f>
        <v>#NAME?</v>
      </c>
      <c r="F7" t="e">
        <f ca="1">_xll.AtlasFormulas.AtlasFunctions.AtlasBalance("PROD",F$1,"T.InventSum","Sum|AvailPhysical|0","","","","","","","ItemId",D$2)</f>
        <v>#NAME?</v>
      </c>
      <c r="G7" t="e">
        <f ca="1">_xll.AtlasFormulas.AtlasFunctions.AtlasBalance("PROD",G$1,"T.InventSum","Sum|AvailPhysical|0","","","","","","","ItemId",E$2)</f>
        <v>#NAME?</v>
      </c>
      <c r="H7" t="e">
        <f ca="1">_xll.AtlasFormulas.AtlasFunctions.AtlasBalance("PROD",H$1,"T.InventSum","Sum|AvailPhysical|0","","","","","","","ItemId",F$2)</f>
        <v>#NAME?</v>
      </c>
      <c r="I7" t="e">
        <f ca="1">_xll.AtlasFormulas.AtlasFunctions.AtlasBalance("PROD",I$1,"T.InventSum","Sum|AvailPhysical|0","","","","","","","ItemId",G$2)</f>
        <v>#NAME?</v>
      </c>
      <c r="J7" t="e">
        <f ca="1">_xll.AtlasFormulas.AtlasFunctions.AtlasBalance("PROD",J$1,"T.InventSum","Sum|AvailPhysical|0","","","","","","","ItemId",H$2)</f>
        <v>#NAME?</v>
      </c>
      <c r="K7" t="e">
        <f ca="1">_xll.AtlasFormulas.AtlasFunctions.AtlasBalance("PROD",K$1,"T.InventSum","Sum|AvailPhysical|0","","","","","","","ItemId",I$2)</f>
        <v>#NAME?</v>
      </c>
      <c r="L7" t="e">
        <f ca="1">_xll.AtlasFormulas.AtlasFunctions.AtlasBalance("PROD",L$1,"T.InventSum","Sum|AvailPhysical|0","","","","","","","ItemId",J$2)</f>
        <v>#NAME?</v>
      </c>
      <c r="M7" t="e">
        <f ca="1">_xll.AtlasFormulas.AtlasFunctions.AtlasBalance("PROD",M$1,"T.InventSum","Sum|AvailPhysical|0","","","","","","","ItemId",K$2)</f>
        <v>#NAME?</v>
      </c>
    </row>
    <row r="8" spans="1:13" x14ac:dyDescent="0.25">
      <c r="A8" t="s">
        <v>12</v>
      </c>
      <c r="B8" t="s">
        <v>13</v>
      </c>
      <c r="C8" t="e">
        <f ca="1">_xll.AtlasFormulas.AtlasFunctions.AtlasBalance("PROD",C$1,"T.InventSum","Sum|AvailPhysical|0","","","","","","","ItemId",A$2)</f>
        <v>#NAME?</v>
      </c>
      <c r="D8" t="e">
        <f ca="1">_xll.AtlasFormulas.AtlasFunctions.AtlasBalance("PROD",D$1,"T.InventSum","Sum|AvailPhysical|0","","","","","","","ItemId",B$2)</f>
        <v>#NAME?</v>
      </c>
      <c r="E8" t="e">
        <f ca="1">_xll.AtlasFormulas.AtlasFunctions.AtlasBalance("PROD",E$1,"T.InventSum","Sum|AvailPhysical|0","","","","","","","ItemId",C$2)</f>
        <v>#NAME?</v>
      </c>
      <c r="F8" t="e">
        <f ca="1">_xll.AtlasFormulas.AtlasFunctions.AtlasBalance("PROD",F$1,"T.InventSum","Sum|AvailPhysical|0","","","","","","","ItemId",D$2)</f>
        <v>#NAME?</v>
      </c>
      <c r="G8" t="e">
        <f ca="1">_xll.AtlasFormulas.AtlasFunctions.AtlasBalance("PROD",G$1,"T.InventSum","Sum|AvailPhysical|0","","","","","","","ItemId",E$2)</f>
        <v>#NAME?</v>
      </c>
      <c r="H8" t="e">
        <f ca="1">_xll.AtlasFormulas.AtlasFunctions.AtlasBalance("PROD",H$1,"T.InventSum","Sum|AvailPhysical|0","","","","","","","ItemId",F$2)</f>
        <v>#NAME?</v>
      </c>
      <c r="I8" t="e">
        <f ca="1">_xll.AtlasFormulas.AtlasFunctions.AtlasBalance("PROD",I$1,"T.InventSum","Sum|AvailPhysical|0","","","","","","","ItemId",G$2)</f>
        <v>#NAME?</v>
      </c>
      <c r="J8" t="e">
        <f ca="1">_xll.AtlasFormulas.AtlasFunctions.AtlasBalance("PROD",J$1,"T.InventSum","Sum|AvailPhysical|0","","","","","","","ItemId",H$2)</f>
        <v>#NAME?</v>
      </c>
      <c r="K8" t="e">
        <f ca="1">_xll.AtlasFormulas.AtlasFunctions.AtlasBalance("PROD",K$1,"T.InventSum","Sum|AvailPhysical|0","","","","","","","ItemId",I$2)</f>
        <v>#NAME?</v>
      </c>
      <c r="L8" t="e">
        <f ca="1">_xll.AtlasFormulas.AtlasFunctions.AtlasBalance("PROD",L$1,"T.InventSum","Sum|AvailPhysical|0","","","","","","","ItemId",J$2)</f>
        <v>#NAME?</v>
      </c>
      <c r="M8" t="e">
        <f ca="1">_xll.AtlasFormulas.AtlasFunctions.AtlasBalance("PROD",M$1,"T.InventSum","Sum|AvailPhysical|0","","","","","","","ItemId",K$2)</f>
        <v>#NAME?</v>
      </c>
    </row>
    <row r="9" spans="1:13" x14ac:dyDescent="0.25">
      <c r="A9" t="s">
        <v>14</v>
      </c>
      <c r="B9" t="s">
        <v>15</v>
      </c>
      <c r="C9" t="e">
        <f ca="1">_xll.AtlasFormulas.AtlasFunctions.AtlasBalance("PROD",C$1,"T.InventSum","Sum|AvailPhysical|0","","","","","","","ItemId",A$2)</f>
        <v>#NAME?</v>
      </c>
      <c r="D9" t="e">
        <f ca="1">_xll.AtlasFormulas.AtlasFunctions.AtlasBalance("PROD",D$1,"T.InventSum","Sum|AvailPhysical|0","","","","","","","ItemId",B$2)</f>
        <v>#NAME?</v>
      </c>
      <c r="E9" t="e">
        <f ca="1">_xll.AtlasFormulas.AtlasFunctions.AtlasBalance("PROD",E$1,"T.InventSum","Sum|AvailPhysical|0","","","","","","","ItemId",C$2)</f>
        <v>#NAME?</v>
      </c>
      <c r="F9" t="e">
        <f ca="1">_xll.AtlasFormulas.AtlasFunctions.AtlasBalance("PROD",F$1,"T.InventSum","Sum|AvailPhysical|0","","","","","","","ItemId",D$2)</f>
        <v>#NAME?</v>
      </c>
      <c r="G9" t="e">
        <f ca="1">_xll.AtlasFormulas.AtlasFunctions.AtlasBalance("PROD",G$1,"T.InventSum","Sum|AvailPhysical|0","","","","","","","ItemId",E$2)</f>
        <v>#NAME?</v>
      </c>
      <c r="H9" t="e">
        <f ca="1">_xll.AtlasFormulas.AtlasFunctions.AtlasBalance("PROD",H$1,"T.InventSum","Sum|AvailPhysical|0","","","","","","","ItemId",F$2)</f>
        <v>#NAME?</v>
      </c>
      <c r="I9" t="e">
        <f ca="1">_xll.AtlasFormulas.AtlasFunctions.AtlasBalance("PROD",I$1,"T.InventSum","Sum|AvailPhysical|0","","","","","","","ItemId",G$2)</f>
        <v>#NAME?</v>
      </c>
      <c r="J9" t="e">
        <f ca="1">_xll.AtlasFormulas.AtlasFunctions.AtlasBalance("PROD",J$1,"T.InventSum","Sum|AvailPhysical|0","","","","","","","ItemId",H$2)</f>
        <v>#NAME?</v>
      </c>
      <c r="K9" t="e">
        <f ca="1">_xll.AtlasFormulas.AtlasFunctions.AtlasBalance("PROD",K$1,"T.InventSum","Sum|AvailPhysical|0","","","","","","","ItemId",I$2)</f>
        <v>#NAME?</v>
      </c>
      <c r="L9" t="e">
        <f ca="1">_xll.AtlasFormulas.AtlasFunctions.AtlasBalance("PROD",L$1,"T.InventSum","Sum|AvailPhysical|0","","","","","","","ItemId",J$2)</f>
        <v>#NAME?</v>
      </c>
      <c r="M9" t="e">
        <f ca="1">_xll.AtlasFormulas.AtlasFunctions.AtlasBalance("PROD",M$1,"T.InventSum","Sum|AvailPhysical|0","","","","","","","ItemId",K$2)</f>
        <v>#NAME?</v>
      </c>
    </row>
    <row r="10" spans="1:13" ht="30" x14ac:dyDescent="0.25">
      <c r="A10" t="s">
        <v>16</v>
      </c>
      <c r="B10" s="1" t="s">
        <v>17</v>
      </c>
      <c r="C10" t="e">
        <f ca="1">_xll.AtlasFormulas.AtlasFunctions.AtlasBalance("PROD",C$1,"T.InventSum","Sum|AvailPhysical|0","","","","","","","ItemId",A$2)</f>
        <v>#NAME?</v>
      </c>
      <c r="D10" t="e">
        <f ca="1">_xll.AtlasFormulas.AtlasFunctions.AtlasBalance("PROD",D$1,"T.InventSum","Sum|AvailPhysical|0","","","","","","","ItemId",B$2)</f>
        <v>#NAME?</v>
      </c>
      <c r="E10" t="e">
        <f ca="1">_xll.AtlasFormulas.AtlasFunctions.AtlasBalance("PROD",E$1,"T.InventSum","Sum|AvailPhysical|0","","","","","","","ItemId",C$2)</f>
        <v>#NAME?</v>
      </c>
      <c r="F10" t="e">
        <f ca="1">_xll.AtlasFormulas.AtlasFunctions.AtlasBalance("PROD",F$1,"T.InventSum","Sum|AvailPhysical|0","","","","","","","ItemId",D$2)</f>
        <v>#NAME?</v>
      </c>
      <c r="G10" t="e">
        <f ca="1">_xll.AtlasFormulas.AtlasFunctions.AtlasBalance("PROD",G$1,"T.InventSum","Sum|AvailPhysical|0","","","","","","","ItemId",E$2)</f>
        <v>#NAME?</v>
      </c>
      <c r="H10" t="e">
        <f ca="1">_xll.AtlasFormulas.AtlasFunctions.AtlasBalance("PROD",H$1,"T.InventSum","Sum|AvailPhysical|0","","","","","","","ItemId",F$2)</f>
        <v>#NAME?</v>
      </c>
      <c r="I10" t="e">
        <f ca="1">_xll.AtlasFormulas.AtlasFunctions.AtlasBalance("PROD",I$1,"T.InventSum","Sum|AvailPhysical|0","","","","","","","ItemId",G$2)</f>
        <v>#NAME?</v>
      </c>
      <c r="J10" t="e">
        <f ca="1">_xll.AtlasFormulas.AtlasFunctions.AtlasBalance("PROD",J$1,"T.InventSum","Sum|AvailPhysical|0","","","","","","","ItemId",H$2)</f>
        <v>#NAME?</v>
      </c>
      <c r="K10" t="e">
        <f ca="1">_xll.AtlasFormulas.AtlasFunctions.AtlasBalance("PROD",K$1,"T.InventSum","Sum|AvailPhysical|0","","","","","","","ItemId",I$2)</f>
        <v>#NAME?</v>
      </c>
      <c r="L10" t="e">
        <f ca="1">_xll.AtlasFormulas.AtlasFunctions.AtlasBalance("PROD",L$1,"T.InventSum","Sum|AvailPhysical|0","","","","","","","ItemId",J$2)</f>
        <v>#NAME?</v>
      </c>
      <c r="M10" t="e">
        <f ca="1">_xll.AtlasFormulas.AtlasFunctions.AtlasBalance("PROD",M$1,"T.InventSum","Sum|AvailPhysical|0","","","","","","","ItemId",K$2)</f>
        <v>#NAME?</v>
      </c>
    </row>
    <row r="11" spans="1:13" ht="30" x14ac:dyDescent="0.25">
      <c r="A11" t="s">
        <v>18</v>
      </c>
      <c r="B11" s="1" t="s">
        <v>19</v>
      </c>
      <c r="C11" t="e">
        <f ca="1">_xll.AtlasFormulas.AtlasFunctions.AtlasBalance("PROD",C$1,"T.InventSum","Sum|AvailPhysical|0","","","","","","","ItemId",A$2)</f>
        <v>#NAME?</v>
      </c>
      <c r="D11" t="e">
        <f ca="1">_xll.AtlasFormulas.AtlasFunctions.AtlasBalance("PROD",D$1,"T.InventSum","Sum|AvailPhysical|0","","","","","","","ItemId",B$2)</f>
        <v>#NAME?</v>
      </c>
      <c r="E11" t="e">
        <f ca="1">_xll.AtlasFormulas.AtlasFunctions.AtlasBalance("PROD",E$1,"T.InventSum","Sum|AvailPhysical|0","","","","","","","ItemId",C$2)</f>
        <v>#NAME?</v>
      </c>
      <c r="F11" t="e">
        <f ca="1">_xll.AtlasFormulas.AtlasFunctions.AtlasBalance("PROD",F$1,"T.InventSum","Sum|AvailPhysical|0","","","","","","","ItemId",D$2)</f>
        <v>#NAME?</v>
      </c>
      <c r="G11" t="e">
        <f ca="1">_xll.AtlasFormulas.AtlasFunctions.AtlasBalance("PROD",G$1,"T.InventSum","Sum|AvailPhysical|0","","","","","","","ItemId",E$2)</f>
        <v>#NAME?</v>
      </c>
      <c r="H11" t="e">
        <f ca="1">_xll.AtlasFormulas.AtlasFunctions.AtlasBalance("PROD",H$1,"T.InventSum","Sum|AvailPhysical|0","","","","","","","ItemId",F$2)</f>
        <v>#NAME?</v>
      </c>
      <c r="I11" t="e">
        <f ca="1">_xll.AtlasFormulas.AtlasFunctions.AtlasBalance("PROD",I$1,"T.InventSum","Sum|AvailPhysical|0","","","","","","","ItemId",G$2)</f>
        <v>#NAME?</v>
      </c>
      <c r="J11" t="e">
        <f ca="1">_xll.AtlasFormulas.AtlasFunctions.AtlasBalance("PROD",J$1,"T.InventSum","Sum|AvailPhysical|0","","","","","","","ItemId",H$2)</f>
        <v>#NAME?</v>
      </c>
      <c r="K11" t="e">
        <f ca="1">_xll.AtlasFormulas.AtlasFunctions.AtlasBalance("PROD",K$1,"T.InventSum","Sum|AvailPhysical|0","","","","","","","ItemId",I$2)</f>
        <v>#NAME?</v>
      </c>
      <c r="L11" t="e">
        <f ca="1">_xll.AtlasFormulas.AtlasFunctions.AtlasBalance("PROD",L$1,"T.InventSum","Sum|AvailPhysical|0","","","","","","","ItemId",J$2)</f>
        <v>#NAME?</v>
      </c>
      <c r="M11" t="e">
        <f ca="1">_xll.AtlasFormulas.AtlasFunctions.AtlasBalance("PROD",M$1,"T.InventSum","Sum|AvailPhysical|0","","","","","","","ItemId",K$2)</f>
        <v>#NAME?</v>
      </c>
    </row>
    <row r="12" spans="1:13" x14ac:dyDescent="0.25">
      <c r="A12" t="s">
        <v>20</v>
      </c>
      <c r="B12" t="s">
        <v>21</v>
      </c>
      <c r="C12" t="e">
        <f ca="1">_xll.AtlasFormulas.AtlasFunctions.AtlasBalance("PROD",C$1,"T.InventSum","Sum|AvailPhysical|0","","","","","","","ItemId",A$2)</f>
        <v>#NAME?</v>
      </c>
      <c r="D12" t="e">
        <f ca="1">_xll.AtlasFormulas.AtlasFunctions.AtlasBalance("PROD",D$1,"T.InventSum","Sum|AvailPhysical|0","","","","","","","ItemId",B$2)</f>
        <v>#NAME?</v>
      </c>
      <c r="E12" t="e">
        <f ca="1">_xll.AtlasFormulas.AtlasFunctions.AtlasBalance("PROD",E$1,"T.InventSum","Sum|AvailPhysical|0","","","","","","","ItemId",C$2)</f>
        <v>#NAME?</v>
      </c>
      <c r="F12" t="e">
        <f ca="1">_xll.AtlasFormulas.AtlasFunctions.AtlasBalance("PROD",F$1,"T.InventSum","Sum|AvailPhysical|0","","","","","","","ItemId",D$2)</f>
        <v>#NAME?</v>
      </c>
      <c r="G12" t="e">
        <f ca="1">_xll.AtlasFormulas.AtlasFunctions.AtlasBalance("PROD",G$1,"T.InventSum","Sum|AvailPhysical|0","","","","","","","ItemId",E$2)</f>
        <v>#NAME?</v>
      </c>
      <c r="H12" t="e">
        <f ca="1">_xll.AtlasFormulas.AtlasFunctions.AtlasBalance("PROD",H$1,"T.InventSum","Sum|AvailPhysical|0","","","","","","","ItemId",F$2)</f>
        <v>#NAME?</v>
      </c>
      <c r="I12" t="e">
        <f ca="1">_xll.AtlasFormulas.AtlasFunctions.AtlasBalance("PROD",I$1,"T.InventSum","Sum|AvailPhysical|0","","","","","","","ItemId",G$2)</f>
        <v>#NAME?</v>
      </c>
      <c r="J12" t="e">
        <f ca="1">_xll.AtlasFormulas.AtlasFunctions.AtlasBalance("PROD",J$1,"T.InventSum","Sum|AvailPhysical|0","","","","","","","ItemId",H$2)</f>
        <v>#NAME?</v>
      </c>
      <c r="K12" t="e">
        <f ca="1">_xll.AtlasFormulas.AtlasFunctions.AtlasBalance("PROD",K$1,"T.InventSum","Sum|AvailPhysical|0","","","","","","","ItemId",I$2)</f>
        <v>#NAME?</v>
      </c>
      <c r="L12" t="e">
        <f ca="1">_xll.AtlasFormulas.AtlasFunctions.AtlasBalance("PROD",L$1,"T.InventSum","Sum|AvailPhysical|0","","","","","","","ItemId",J$2)</f>
        <v>#NAME?</v>
      </c>
      <c r="M12" t="e">
        <f ca="1">_xll.AtlasFormulas.AtlasFunctions.AtlasBalance("PROD",M$1,"T.InventSum","Sum|AvailPhysical|0","","","","","","","ItemId",K$2)</f>
        <v>#NAME?</v>
      </c>
    </row>
    <row r="13" spans="1:13" x14ac:dyDescent="0.25">
      <c r="A13" t="s">
        <v>22</v>
      </c>
      <c r="B13" t="s">
        <v>23</v>
      </c>
      <c r="C13" t="e">
        <f ca="1">_xll.AtlasFormulas.AtlasFunctions.AtlasBalance("PROD",C$1,"T.InventSum","Sum|AvailPhysical|0","","","","","","","ItemId",A$2)</f>
        <v>#NAME?</v>
      </c>
      <c r="D13" t="e">
        <f ca="1">_xll.AtlasFormulas.AtlasFunctions.AtlasBalance("PROD",D$1,"T.InventSum","Sum|AvailPhysical|0","","","","","","","ItemId",B$2)</f>
        <v>#NAME?</v>
      </c>
      <c r="E13" t="e">
        <f ca="1">_xll.AtlasFormulas.AtlasFunctions.AtlasBalance("PROD",E$1,"T.InventSum","Sum|AvailPhysical|0","","","","","","","ItemId",C$2)</f>
        <v>#NAME?</v>
      </c>
      <c r="F13" t="e">
        <f ca="1">_xll.AtlasFormulas.AtlasFunctions.AtlasBalance("PROD",F$1,"T.InventSum","Sum|AvailPhysical|0","","","","","","","ItemId",D$2)</f>
        <v>#NAME?</v>
      </c>
      <c r="G13" t="e">
        <f ca="1">_xll.AtlasFormulas.AtlasFunctions.AtlasBalance("PROD",G$1,"T.InventSum","Sum|AvailPhysical|0","","","","","","","ItemId",E$2)</f>
        <v>#NAME?</v>
      </c>
      <c r="H13" t="e">
        <f ca="1">_xll.AtlasFormulas.AtlasFunctions.AtlasBalance("PROD",H$1,"T.InventSum","Sum|AvailPhysical|0","","","","","","","ItemId",F$2)</f>
        <v>#NAME?</v>
      </c>
      <c r="I13" t="e">
        <f ca="1">_xll.AtlasFormulas.AtlasFunctions.AtlasBalance("PROD",I$1,"T.InventSum","Sum|AvailPhysical|0","","","","","","","ItemId",G$2)</f>
        <v>#NAME?</v>
      </c>
      <c r="J13" t="e">
        <f ca="1">_xll.AtlasFormulas.AtlasFunctions.AtlasBalance("PROD",J$1,"T.InventSum","Sum|AvailPhysical|0","","","","","","","ItemId",H$2)</f>
        <v>#NAME?</v>
      </c>
      <c r="K13" t="e">
        <f ca="1">_xll.AtlasFormulas.AtlasFunctions.AtlasBalance("PROD",K$1,"T.InventSum","Sum|AvailPhysical|0","","","","","","","ItemId",I$2)</f>
        <v>#NAME?</v>
      </c>
      <c r="L13" t="e">
        <f ca="1">_xll.AtlasFormulas.AtlasFunctions.AtlasBalance("PROD",L$1,"T.InventSum","Sum|AvailPhysical|0","","","","","","","ItemId",J$2)</f>
        <v>#NAME?</v>
      </c>
      <c r="M13" t="e">
        <f ca="1">_xll.AtlasFormulas.AtlasFunctions.AtlasBalance("PROD",M$1,"T.InventSum","Sum|AvailPhysical|0","","","","","","","ItemId",K$2)</f>
        <v>#NAME?</v>
      </c>
    </row>
    <row r="14" spans="1:13" x14ac:dyDescent="0.25">
      <c r="A14" t="s">
        <v>24</v>
      </c>
      <c r="B14" t="s">
        <v>25</v>
      </c>
      <c r="C14" t="e">
        <f ca="1">_xll.AtlasFormulas.AtlasFunctions.AtlasBalance("PROD",C$1,"T.InventSum","Sum|AvailPhysical|0","","","","","","","ItemId",A$2)</f>
        <v>#NAME?</v>
      </c>
      <c r="D14" t="e">
        <f ca="1">_xll.AtlasFormulas.AtlasFunctions.AtlasBalance("PROD",D$1,"T.InventSum","Sum|AvailPhysical|0","","","","","","","ItemId",B$2)</f>
        <v>#NAME?</v>
      </c>
      <c r="E14" t="e">
        <f ca="1">_xll.AtlasFormulas.AtlasFunctions.AtlasBalance("PROD",E$1,"T.InventSum","Sum|AvailPhysical|0","","","","","","","ItemId",C$2)</f>
        <v>#NAME?</v>
      </c>
      <c r="F14" t="e">
        <f ca="1">_xll.AtlasFormulas.AtlasFunctions.AtlasBalance("PROD",F$1,"T.InventSum","Sum|AvailPhysical|0","","","","","","","ItemId",D$2)</f>
        <v>#NAME?</v>
      </c>
      <c r="G14" t="e">
        <f ca="1">_xll.AtlasFormulas.AtlasFunctions.AtlasBalance("PROD",G$1,"T.InventSum","Sum|AvailPhysical|0","","","","","","","ItemId",E$2)</f>
        <v>#NAME?</v>
      </c>
      <c r="H14" t="e">
        <f ca="1">_xll.AtlasFormulas.AtlasFunctions.AtlasBalance("PROD",H$1,"T.InventSum","Sum|AvailPhysical|0","","","","","","","ItemId",F$2)</f>
        <v>#NAME?</v>
      </c>
      <c r="I14" t="e">
        <f ca="1">_xll.AtlasFormulas.AtlasFunctions.AtlasBalance("PROD",I$1,"T.InventSum","Sum|AvailPhysical|0","","","","","","","ItemId",G$2)</f>
        <v>#NAME?</v>
      </c>
      <c r="J14" t="e">
        <f ca="1">_xll.AtlasFormulas.AtlasFunctions.AtlasBalance("PROD",J$1,"T.InventSum","Sum|AvailPhysical|0","","","","","","","ItemId",H$2)</f>
        <v>#NAME?</v>
      </c>
      <c r="K14" t="e">
        <f ca="1">_xll.AtlasFormulas.AtlasFunctions.AtlasBalance("PROD",K$1,"T.InventSum","Sum|AvailPhysical|0","","","","","","","ItemId",I$2)</f>
        <v>#NAME?</v>
      </c>
      <c r="L14" t="e">
        <f ca="1">_xll.AtlasFormulas.AtlasFunctions.AtlasBalance("PROD",L$1,"T.InventSum","Sum|AvailPhysical|0","","","","","","","ItemId",J$2)</f>
        <v>#NAME?</v>
      </c>
      <c r="M14" t="e">
        <f ca="1">_xll.AtlasFormulas.AtlasFunctions.AtlasBalance("PROD",M$1,"T.InventSum","Sum|AvailPhysical|0","","","","","","","ItemId",K$2)</f>
        <v>#NAME?</v>
      </c>
    </row>
    <row r="15" spans="1:13" x14ac:dyDescent="0.25">
      <c r="A15" t="s">
        <v>26</v>
      </c>
      <c r="B15" t="s">
        <v>27</v>
      </c>
      <c r="C15" t="e">
        <f ca="1">_xll.AtlasFormulas.AtlasFunctions.AtlasBalance("PROD",C$1,"T.InventSum","Sum|AvailPhysical|0","","","","","","","ItemId",A$2)</f>
        <v>#NAME?</v>
      </c>
      <c r="D15" t="e">
        <f ca="1">_xll.AtlasFormulas.AtlasFunctions.AtlasBalance("PROD",D$1,"T.InventSum","Sum|AvailPhysical|0","","","","","","","ItemId",B$2)</f>
        <v>#NAME?</v>
      </c>
      <c r="E15" t="e">
        <f ca="1">_xll.AtlasFormulas.AtlasFunctions.AtlasBalance("PROD",E$1,"T.InventSum","Sum|AvailPhysical|0","","","","","","","ItemId",C$2)</f>
        <v>#NAME?</v>
      </c>
      <c r="F15" t="e">
        <f ca="1">_xll.AtlasFormulas.AtlasFunctions.AtlasBalance("PROD",F$1,"T.InventSum","Sum|AvailPhysical|0","","","","","","","ItemId",D$2)</f>
        <v>#NAME?</v>
      </c>
      <c r="G15" t="e">
        <f ca="1">_xll.AtlasFormulas.AtlasFunctions.AtlasBalance("PROD",G$1,"T.InventSum","Sum|AvailPhysical|0","","","","","","","ItemId",E$2)</f>
        <v>#NAME?</v>
      </c>
      <c r="H15" t="e">
        <f ca="1">_xll.AtlasFormulas.AtlasFunctions.AtlasBalance("PROD",H$1,"T.InventSum","Sum|AvailPhysical|0","","","","","","","ItemId",F$2)</f>
        <v>#NAME?</v>
      </c>
      <c r="I15" t="e">
        <f ca="1">_xll.AtlasFormulas.AtlasFunctions.AtlasBalance("PROD",I$1,"T.InventSum","Sum|AvailPhysical|0","","","","","","","ItemId",G$2)</f>
        <v>#NAME?</v>
      </c>
      <c r="J15" t="e">
        <f ca="1">_xll.AtlasFormulas.AtlasFunctions.AtlasBalance("PROD",J$1,"T.InventSum","Sum|AvailPhysical|0","","","","","","","ItemId",H$2)</f>
        <v>#NAME?</v>
      </c>
      <c r="K15" t="e">
        <f ca="1">_xll.AtlasFormulas.AtlasFunctions.AtlasBalance("PROD",K$1,"T.InventSum","Sum|AvailPhysical|0","","","","","","","ItemId",I$2)</f>
        <v>#NAME?</v>
      </c>
      <c r="L15" t="e">
        <f ca="1">_xll.AtlasFormulas.AtlasFunctions.AtlasBalance("PROD",L$1,"T.InventSum","Sum|AvailPhysical|0","","","","","","","ItemId",J$2)</f>
        <v>#NAME?</v>
      </c>
      <c r="M15" t="e">
        <f ca="1">_xll.AtlasFormulas.AtlasFunctions.AtlasBalance("PROD",M$1,"T.InventSum","Sum|AvailPhysical|0","","","","","","","ItemId",K$2)</f>
        <v>#NAME?</v>
      </c>
    </row>
    <row r="16" spans="1:13" x14ac:dyDescent="0.25">
      <c r="A16" t="s">
        <v>28</v>
      </c>
      <c r="B16" t="s">
        <v>29</v>
      </c>
      <c r="C16" t="e">
        <f ca="1">_xll.AtlasFormulas.AtlasFunctions.AtlasBalance("PROD",C$1,"T.InventSum","Sum|AvailPhysical|0","","","","","","","ItemId",A$2)</f>
        <v>#NAME?</v>
      </c>
      <c r="D16" t="e">
        <f ca="1">_xll.AtlasFormulas.AtlasFunctions.AtlasBalance("PROD",D$1,"T.InventSum","Sum|AvailPhysical|0","","","","","","","ItemId",B$2)</f>
        <v>#NAME?</v>
      </c>
      <c r="E16" t="e">
        <f ca="1">_xll.AtlasFormulas.AtlasFunctions.AtlasBalance("PROD",E$1,"T.InventSum","Sum|AvailPhysical|0","","","","","","","ItemId",C$2)</f>
        <v>#NAME?</v>
      </c>
      <c r="F16" t="e">
        <f ca="1">_xll.AtlasFormulas.AtlasFunctions.AtlasBalance("PROD",F$1,"T.InventSum","Sum|AvailPhysical|0","","","","","","","ItemId",D$2)</f>
        <v>#NAME?</v>
      </c>
      <c r="G16" t="e">
        <f ca="1">_xll.AtlasFormulas.AtlasFunctions.AtlasBalance("PROD",G$1,"T.InventSum","Sum|AvailPhysical|0","","","","","","","ItemId",E$2)</f>
        <v>#NAME?</v>
      </c>
      <c r="H16" t="e">
        <f ca="1">_xll.AtlasFormulas.AtlasFunctions.AtlasBalance("PROD",H$1,"T.InventSum","Sum|AvailPhysical|0","","","","","","","ItemId",F$2)</f>
        <v>#NAME?</v>
      </c>
      <c r="I16" t="e">
        <f ca="1">_xll.AtlasFormulas.AtlasFunctions.AtlasBalance("PROD",I$1,"T.InventSum","Sum|AvailPhysical|0","","","","","","","ItemId",G$2)</f>
        <v>#NAME?</v>
      </c>
      <c r="J16" t="e">
        <f ca="1">_xll.AtlasFormulas.AtlasFunctions.AtlasBalance("PROD",J$1,"T.InventSum","Sum|AvailPhysical|0","","","","","","","ItemId",H$2)</f>
        <v>#NAME?</v>
      </c>
      <c r="K16" t="e">
        <f ca="1">_xll.AtlasFormulas.AtlasFunctions.AtlasBalance("PROD",K$1,"T.InventSum","Sum|AvailPhysical|0","","","","","","","ItemId",I$2)</f>
        <v>#NAME?</v>
      </c>
      <c r="L16" t="e">
        <f ca="1">_xll.AtlasFormulas.AtlasFunctions.AtlasBalance("PROD",L$1,"T.InventSum","Sum|AvailPhysical|0","","","","","","","ItemId",J$2)</f>
        <v>#NAME?</v>
      </c>
      <c r="M16" t="e">
        <f ca="1">_xll.AtlasFormulas.AtlasFunctions.AtlasBalance("PROD",M$1,"T.InventSum","Sum|AvailPhysical|0","","","","","","","ItemId",K$2)</f>
        <v>#NAME?</v>
      </c>
    </row>
    <row r="17" spans="1:13" x14ac:dyDescent="0.25">
      <c r="A17" t="s">
        <v>30</v>
      </c>
      <c r="B17" t="s">
        <v>31</v>
      </c>
      <c r="C17" t="e">
        <f ca="1">_xll.AtlasFormulas.AtlasFunctions.AtlasBalance("PROD",C$1,"T.InventSum","Sum|AvailPhysical|0","","","","","","","ItemId",A$2)</f>
        <v>#NAME?</v>
      </c>
      <c r="D17" t="e">
        <f ca="1">_xll.AtlasFormulas.AtlasFunctions.AtlasBalance("PROD",D$1,"T.InventSum","Sum|AvailPhysical|0","","","","","","","ItemId",B$2)</f>
        <v>#NAME?</v>
      </c>
      <c r="E17" t="e">
        <f ca="1">_xll.AtlasFormulas.AtlasFunctions.AtlasBalance("PROD",E$1,"T.InventSum","Sum|AvailPhysical|0","","","","","","","ItemId",C$2)</f>
        <v>#NAME?</v>
      </c>
      <c r="F17" t="e">
        <f ca="1">_xll.AtlasFormulas.AtlasFunctions.AtlasBalance("PROD",F$1,"T.InventSum","Sum|AvailPhysical|0","","","","","","","ItemId",D$2)</f>
        <v>#NAME?</v>
      </c>
      <c r="G17" t="e">
        <f ca="1">_xll.AtlasFormulas.AtlasFunctions.AtlasBalance("PROD",G$1,"T.InventSum","Sum|AvailPhysical|0","","","","","","","ItemId",E$2)</f>
        <v>#NAME?</v>
      </c>
      <c r="H17" t="e">
        <f ca="1">_xll.AtlasFormulas.AtlasFunctions.AtlasBalance("PROD",H$1,"T.InventSum","Sum|AvailPhysical|0","","","","","","","ItemId",F$2)</f>
        <v>#NAME?</v>
      </c>
      <c r="I17" t="e">
        <f ca="1">_xll.AtlasFormulas.AtlasFunctions.AtlasBalance("PROD",I$1,"T.InventSum","Sum|AvailPhysical|0","","","","","","","ItemId",G$2)</f>
        <v>#NAME?</v>
      </c>
      <c r="J17" t="e">
        <f ca="1">_xll.AtlasFormulas.AtlasFunctions.AtlasBalance("PROD",J$1,"T.InventSum","Sum|AvailPhysical|0","","","","","","","ItemId",H$2)</f>
        <v>#NAME?</v>
      </c>
      <c r="K17" t="e">
        <f ca="1">_xll.AtlasFormulas.AtlasFunctions.AtlasBalance("PROD",K$1,"T.InventSum","Sum|AvailPhysical|0","","","","","","","ItemId",I$2)</f>
        <v>#NAME?</v>
      </c>
      <c r="L17" t="e">
        <f ca="1">_xll.AtlasFormulas.AtlasFunctions.AtlasBalance("PROD",L$1,"T.InventSum","Sum|AvailPhysical|0","","","","","","","ItemId",J$2)</f>
        <v>#NAME?</v>
      </c>
      <c r="M17" t="e">
        <f ca="1">_xll.AtlasFormulas.AtlasFunctions.AtlasBalance("PROD",M$1,"T.InventSum","Sum|AvailPhysical|0","","","","","","","ItemId",K$2)</f>
        <v>#NAME?</v>
      </c>
    </row>
    <row r="18" spans="1:13" x14ac:dyDescent="0.25">
      <c r="A18" t="s">
        <v>32</v>
      </c>
      <c r="B18" t="s">
        <v>33</v>
      </c>
      <c r="C18" t="e">
        <f ca="1">_xll.AtlasFormulas.AtlasFunctions.AtlasBalance("PROD",C$1,"T.InventSum","Sum|AvailPhysical|0","","","","","","","ItemId",A$2)</f>
        <v>#NAME?</v>
      </c>
      <c r="D18" t="e">
        <f ca="1">_xll.AtlasFormulas.AtlasFunctions.AtlasBalance("PROD",D$1,"T.InventSum","Sum|AvailPhysical|0","","","","","","","ItemId",B$2)</f>
        <v>#NAME?</v>
      </c>
      <c r="E18" t="e">
        <f ca="1">_xll.AtlasFormulas.AtlasFunctions.AtlasBalance("PROD",E$1,"T.InventSum","Sum|AvailPhysical|0","","","","","","","ItemId",C$2)</f>
        <v>#NAME?</v>
      </c>
      <c r="F18" t="e">
        <f ca="1">_xll.AtlasFormulas.AtlasFunctions.AtlasBalance("PROD",F$1,"T.InventSum","Sum|AvailPhysical|0","","","","","","","ItemId",D$2)</f>
        <v>#NAME?</v>
      </c>
      <c r="G18" t="e">
        <f ca="1">_xll.AtlasFormulas.AtlasFunctions.AtlasBalance("PROD",G$1,"T.InventSum","Sum|AvailPhysical|0","","","","","","","ItemId",E$2)</f>
        <v>#NAME?</v>
      </c>
      <c r="H18" t="e">
        <f ca="1">_xll.AtlasFormulas.AtlasFunctions.AtlasBalance("PROD",H$1,"T.InventSum","Sum|AvailPhysical|0","","","","","","","ItemId",F$2)</f>
        <v>#NAME?</v>
      </c>
      <c r="I18" t="e">
        <f ca="1">_xll.AtlasFormulas.AtlasFunctions.AtlasBalance("PROD",I$1,"T.InventSum","Sum|AvailPhysical|0","","","","","","","ItemId",G$2)</f>
        <v>#NAME?</v>
      </c>
      <c r="J18" t="e">
        <f ca="1">_xll.AtlasFormulas.AtlasFunctions.AtlasBalance("PROD",J$1,"T.InventSum","Sum|AvailPhysical|0","","","","","","","ItemId",H$2)</f>
        <v>#NAME?</v>
      </c>
      <c r="K18" t="e">
        <f ca="1">_xll.AtlasFormulas.AtlasFunctions.AtlasBalance("PROD",K$1,"T.InventSum","Sum|AvailPhysical|0","","","","","","","ItemId",I$2)</f>
        <v>#NAME?</v>
      </c>
      <c r="L18" t="e">
        <f ca="1">_xll.AtlasFormulas.AtlasFunctions.AtlasBalance("PROD",L$1,"T.InventSum","Sum|AvailPhysical|0","","","","","","","ItemId",J$2)</f>
        <v>#NAME?</v>
      </c>
      <c r="M18" t="e">
        <f ca="1">_xll.AtlasFormulas.AtlasFunctions.AtlasBalance("PROD",M$1,"T.InventSum","Sum|AvailPhysical|0","","","","","","","ItemId",K$2)</f>
        <v>#NAME?</v>
      </c>
    </row>
    <row r="19" spans="1:13" x14ac:dyDescent="0.25">
      <c r="A19" t="s">
        <v>34</v>
      </c>
      <c r="B19" t="s">
        <v>35</v>
      </c>
      <c r="C19" t="e">
        <f ca="1">_xll.AtlasFormulas.AtlasFunctions.AtlasBalance("PROD",C$1,"T.InventSum","Sum|AvailPhysical|0","","","","","","","ItemId",A$2)</f>
        <v>#NAME?</v>
      </c>
      <c r="D19" t="e">
        <f ca="1">_xll.AtlasFormulas.AtlasFunctions.AtlasBalance("PROD",D$1,"T.InventSum","Sum|AvailPhysical|0","","","","","","","ItemId",B$2)</f>
        <v>#NAME?</v>
      </c>
      <c r="E19" t="e">
        <f ca="1">_xll.AtlasFormulas.AtlasFunctions.AtlasBalance("PROD",E$1,"T.InventSum","Sum|AvailPhysical|0","","","","","","","ItemId",C$2)</f>
        <v>#NAME?</v>
      </c>
      <c r="F19" t="e">
        <f ca="1">_xll.AtlasFormulas.AtlasFunctions.AtlasBalance("PROD",F$1,"T.InventSum","Sum|AvailPhysical|0","","","","","","","ItemId",D$2)</f>
        <v>#NAME?</v>
      </c>
      <c r="G19" t="e">
        <f ca="1">_xll.AtlasFormulas.AtlasFunctions.AtlasBalance("PROD",G$1,"T.InventSum","Sum|AvailPhysical|0","","","","","","","ItemId",E$2)</f>
        <v>#NAME?</v>
      </c>
      <c r="H19" t="e">
        <f ca="1">_xll.AtlasFormulas.AtlasFunctions.AtlasBalance("PROD",H$1,"T.InventSum","Sum|AvailPhysical|0","","","","","","","ItemId",F$2)</f>
        <v>#NAME?</v>
      </c>
      <c r="I19" t="e">
        <f ca="1">_xll.AtlasFormulas.AtlasFunctions.AtlasBalance("PROD",I$1,"T.InventSum","Sum|AvailPhysical|0","","","","","","","ItemId",G$2)</f>
        <v>#NAME?</v>
      </c>
      <c r="J19" t="e">
        <f ca="1">_xll.AtlasFormulas.AtlasFunctions.AtlasBalance("PROD",J$1,"T.InventSum","Sum|AvailPhysical|0","","","","","","","ItemId",H$2)</f>
        <v>#NAME?</v>
      </c>
      <c r="K19" t="e">
        <f ca="1">_xll.AtlasFormulas.AtlasFunctions.AtlasBalance("PROD",K$1,"T.InventSum","Sum|AvailPhysical|0","","","","","","","ItemId",I$2)</f>
        <v>#NAME?</v>
      </c>
      <c r="L19" t="e">
        <f ca="1">_xll.AtlasFormulas.AtlasFunctions.AtlasBalance("PROD",L$1,"T.InventSum","Sum|AvailPhysical|0","","","","","","","ItemId",J$2)</f>
        <v>#NAME?</v>
      </c>
      <c r="M19" t="e">
        <f ca="1">_xll.AtlasFormulas.AtlasFunctions.AtlasBalance("PROD",M$1,"T.InventSum","Sum|AvailPhysical|0","","","","","","","ItemId",K$2)</f>
        <v>#NAME?</v>
      </c>
    </row>
    <row r="20" spans="1:13" x14ac:dyDescent="0.25">
      <c r="A20" t="s">
        <v>36</v>
      </c>
      <c r="B20" t="s">
        <v>37</v>
      </c>
      <c r="C20" t="e">
        <f ca="1">_xll.AtlasFormulas.AtlasFunctions.AtlasBalance("PROD",C$1,"T.InventSum","Sum|AvailPhysical|0","","","","","","","ItemId",A$2)</f>
        <v>#NAME?</v>
      </c>
      <c r="D20" t="e">
        <f ca="1">_xll.AtlasFormulas.AtlasFunctions.AtlasBalance("PROD",D$1,"T.InventSum","Sum|AvailPhysical|0","","","","","","","ItemId",B$2)</f>
        <v>#NAME?</v>
      </c>
      <c r="E20" t="e">
        <f ca="1">_xll.AtlasFormulas.AtlasFunctions.AtlasBalance("PROD",E$1,"T.InventSum","Sum|AvailPhysical|0","","","","","","","ItemId",C$2)</f>
        <v>#NAME?</v>
      </c>
      <c r="F20" t="e">
        <f ca="1">_xll.AtlasFormulas.AtlasFunctions.AtlasBalance("PROD",F$1,"T.InventSum","Sum|AvailPhysical|0","","","","","","","ItemId",D$2)</f>
        <v>#NAME?</v>
      </c>
      <c r="G20" t="e">
        <f ca="1">_xll.AtlasFormulas.AtlasFunctions.AtlasBalance("PROD",G$1,"T.InventSum","Sum|AvailPhysical|0","","","","","","","ItemId",E$2)</f>
        <v>#NAME?</v>
      </c>
      <c r="H20" t="e">
        <f ca="1">_xll.AtlasFormulas.AtlasFunctions.AtlasBalance("PROD",H$1,"T.InventSum","Sum|AvailPhysical|0","","","","","","","ItemId",F$2)</f>
        <v>#NAME?</v>
      </c>
      <c r="I20" t="e">
        <f ca="1">_xll.AtlasFormulas.AtlasFunctions.AtlasBalance("PROD",I$1,"T.InventSum","Sum|AvailPhysical|0","","","","","","","ItemId",G$2)</f>
        <v>#NAME?</v>
      </c>
      <c r="J20" t="e">
        <f ca="1">_xll.AtlasFormulas.AtlasFunctions.AtlasBalance("PROD",J$1,"T.InventSum","Sum|AvailPhysical|0","","","","","","","ItemId",H$2)</f>
        <v>#NAME?</v>
      </c>
      <c r="K20" t="e">
        <f ca="1">_xll.AtlasFormulas.AtlasFunctions.AtlasBalance("PROD",K$1,"T.InventSum","Sum|AvailPhysical|0","","","","","","","ItemId",I$2)</f>
        <v>#NAME?</v>
      </c>
      <c r="L20" t="e">
        <f ca="1">_xll.AtlasFormulas.AtlasFunctions.AtlasBalance("PROD",L$1,"T.InventSum","Sum|AvailPhysical|0","","","","","","","ItemId",J$2)</f>
        <v>#NAME?</v>
      </c>
      <c r="M20" t="e">
        <f ca="1">_xll.AtlasFormulas.AtlasFunctions.AtlasBalance("PROD",M$1,"T.InventSum","Sum|AvailPhysical|0","","","","","","","ItemId",K$2)</f>
        <v>#NAME?</v>
      </c>
    </row>
    <row r="21" spans="1:13" x14ac:dyDescent="0.25">
      <c r="A21" t="s">
        <v>38</v>
      </c>
      <c r="B21" t="s">
        <v>39</v>
      </c>
      <c r="C21" t="e">
        <f ca="1">_xll.AtlasFormulas.AtlasFunctions.AtlasBalance("PROD",C$1,"T.InventSum","Sum|AvailPhysical|0","","","","","","","ItemId",A$2)</f>
        <v>#NAME?</v>
      </c>
      <c r="D21" t="e">
        <f ca="1">_xll.AtlasFormulas.AtlasFunctions.AtlasBalance("PROD",D$1,"T.InventSum","Sum|AvailPhysical|0","","","","","","","ItemId",B$2)</f>
        <v>#NAME?</v>
      </c>
      <c r="E21" t="e">
        <f ca="1">_xll.AtlasFormulas.AtlasFunctions.AtlasBalance("PROD",E$1,"T.InventSum","Sum|AvailPhysical|0","","","","","","","ItemId",C$2)</f>
        <v>#NAME?</v>
      </c>
      <c r="F21" t="e">
        <f ca="1">_xll.AtlasFormulas.AtlasFunctions.AtlasBalance("PROD",F$1,"T.InventSum","Sum|AvailPhysical|0","","","","","","","ItemId",D$2)</f>
        <v>#NAME?</v>
      </c>
      <c r="G21" t="e">
        <f ca="1">_xll.AtlasFormulas.AtlasFunctions.AtlasBalance("PROD",G$1,"T.InventSum","Sum|AvailPhysical|0","","","","","","","ItemId",E$2)</f>
        <v>#NAME?</v>
      </c>
      <c r="H21" t="e">
        <f ca="1">_xll.AtlasFormulas.AtlasFunctions.AtlasBalance("PROD",H$1,"T.InventSum","Sum|AvailPhysical|0","","","","","","","ItemId",F$2)</f>
        <v>#NAME?</v>
      </c>
      <c r="I21" t="e">
        <f ca="1">_xll.AtlasFormulas.AtlasFunctions.AtlasBalance("PROD",I$1,"T.InventSum","Sum|AvailPhysical|0","","","","","","","ItemId",G$2)</f>
        <v>#NAME?</v>
      </c>
      <c r="J21" t="e">
        <f ca="1">_xll.AtlasFormulas.AtlasFunctions.AtlasBalance("PROD",J$1,"T.InventSum","Sum|AvailPhysical|0","","","","","","","ItemId",H$2)</f>
        <v>#NAME?</v>
      </c>
      <c r="K21" t="e">
        <f ca="1">_xll.AtlasFormulas.AtlasFunctions.AtlasBalance("PROD",K$1,"T.InventSum","Sum|AvailPhysical|0","","","","","","","ItemId",I$2)</f>
        <v>#NAME?</v>
      </c>
      <c r="L21" t="e">
        <f ca="1">_xll.AtlasFormulas.AtlasFunctions.AtlasBalance("PROD",L$1,"T.InventSum","Sum|AvailPhysical|0","","","","","","","ItemId",J$2)</f>
        <v>#NAME?</v>
      </c>
      <c r="M21" t="e">
        <f ca="1">_xll.AtlasFormulas.AtlasFunctions.AtlasBalance("PROD",M$1,"T.InventSum","Sum|AvailPhysical|0","","","","","","","ItemId",K$2)</f>
        <v>#NAME?</v>
      </c>
    </row>
    <row r="22" spans="1:13" x14ac:dyDescent="0.25">
      <c r="A22" t="s">
        <v>40</v>
      </c>
      <c r="B22" t="s">
        <v>41</v>
      </c>
      <c r="C22" t="e">
        <f ca="1">_xll.AtlasFormulas.AtlasFunctions.AtlasBalance("PROD",C$1,"T.InventSum","Sum|AvailPhysical|0","","","","","","","ItemId",A$2)</f>
        <v>#NAME?</v>
      </c>
      <c r="D22" t="e">
        <f ca="1">_xll.AtlasFormulas.AtlasFunctions.AtlasBalance("PROD",D$1,"T.InventSum","Sum|AvailPhysical|0","","","","","","","ItemId",B$2)</f>
        <v>#NAME?</v>
      </c>
      <c r="E22" t="e">
        <f ca="1">_xll.AtlasFormulas.AtlasFunctions.AtlasBalance("PROD",E$1,"T.InventSum","Sum|AvailPhysical|0","","","","","","","ItemId",C$2)</f>
        <v>#NAME?</v>
      </c>
      <c r="F22" t="e">
        <f ca="1">_xll.AtlasFormulas.AtlasFunctions.AtlasBalance("PROD",F$1,"T.InventSum","Sum|AvailPhysical|0","","","","","","","ItemId",D$2)</f>
        <v>#NAME?</v>
      </c>
      <c r="G22" t="e">
        <f ca="1">_xll.AtlasFormulas.AtlasFunctions.AtlasBalance("PROD",G$1,"T.InventSum","Sum|AvailPhysical|0","","","","","","","ItemId",E$2)</f>
        <v>#NAME?</v>
      </c>
      <c r="H22" t="e">
        <f ca="1">_xll.AtlasFormulas.AtlasFunctions.AtlasBalance("PROD",H$1,"T.InventSum","Sum|AvailPhysical|0","","","","","","","ItemId",F$2)</f>
        <v>#NAME?</v>
      </c>
      <c r="I22" t="e">
        <f ca="1">_xll.AtlasFormulas.AtlasFunctions.AtlasBalance("PROD",I$1,"T.InventSum","Sum|AvailPhysical|0","","","","","","","ItemId",G$2)</f>
        <v>#NAME?</v>
      </c>
      <c r="J22" t="e">
        <f ca="1">_xll.AtlasFormulas.AtlasFunctions.AtlasBalance("PROD",J$1,"T.InventSum","Sum|AvailPhysical|0","","","","","","","ItemId",H$2)</f>
        <v>#NAME?</v>
      </c>
      <c r="K22" t="e">
        <f ca="1">_xll.AtlasFormulas.AtlasFunctions.AtlasBalance("PROD",K$1,"T.InventSum","Sum|AvailPhysical|0","","","","","","","ItemId",I$2)</f>
        <v>#NAME?</v>
      </c>
      <c r="L22" t="e">
        <f ca="1">_xll.AtlasFormulas.AtlasFunctions.AtlasBalance("PROD",L$1,"T.InventSum","Sum|AvailPhysical|0","","","","","","","ItemId",J$2)</f>
        <v>#NAME?</v>
      </c>
      <c r="M22" t="e">
        <f ca="1">_xll.AtlasFormulas.AtlasFunctions.AtlasBalance("PROD",M$1,"T.InventSum","Sum|AvailPhysical|0","","","","","","","ItemId",K$2)</f>
        <v>#NAME?</v>
      </c>
    </row>
    <row r="23" spans="1:13" x14ac:dyDescent="0.25">
      <c r="A23" t="s">
        <v>42</v>
      </c>
      <c r="B23" t="s">
        <v>43</v>
      </c>
      <c r="C23" t="e">
        <f ca="1">_xll.AtlasFormulas.AtlasFunctions.AtlasBalance("PROD",C$1,"T.InventSum","Sum|AvailPhysical|0","","","","","","","ItemId",A$2)</f>
        <v>#NAME?</v>
      </c>
      <c r="D23" t="e">
        <f ca="1">_xll.AtlasFormulas.AtlasFunctions.AtlasBalance("PROD",D$1,"T.InventSum","Sum|AvailPhysical|0","","","","","","","ItemId",B$2)</f>
        <v>#NAME?</v>
      </c>
      <c r="E23" t="e">
        <f ca="1">_xll.AtlasFormulas.AtlasFunctions.AtlasBalance("PROD",E$1,"T.InventSum","Sum|AvailPhysical|0","","","","","","","ItemId",C$2)</f>
        <v>#NAME?</v>
      </c>
      <c r="F23" t="e">
        <f ca="1">_xll.AtlasFormulas.AtlasFunctions.AtlasBalance("PROD",F$1,"T.InventSum","Sum|AvailPhysical|0","","","","","","","ItemId",D$2)</f>
        <v>#NAME?</v>
      </c>
      <c r="G23" t="e">
        <f ca="1">_xll.AtlasFormulas.AtlasFunctions.AtlasBalance("PROD",G$1,"T.InventSum","Sum|AvailPhysical|0","","","","","","","ItemId",E$2)</f>
        <v>#NAME?</v>
      </c>
      <c r="H23" t="e">
        <f ca="1">_xll.AtlasFormulas.AtlasFunctions.AtlasBalance("PROD",H$1,"T.InventSum","Sum|AvailPhysical|0","","","","","","","ItemId",F$2)</f>
        <v>#NAME?</v>
      </c>
      <c r="I23" t="e">
        <f ca="1">_xll.AtlasFormulas.AtlasFunctions.AtlasBalance("PROD",I$1,"T.InventSum","Sum|AvailPhysical|0","","","","","","","ItemId",G$2)</f>
        <v>#NAME?</v>
      </c>
      <c r="J23" t="e">
        <f ca="1">_xll.AtlasFormulas.AtlasFunctions.AtlasBalance("PROD",J$1,"T.InventSum","Sum|AvailPhysical|0","","","","","","","ItemId",H$2)</f>
        <v>#NAME?</v>
      </c>
      <c r="K23" t="e">
        <f ca="1">_xll.AtlasFormulas.AtlasFunctions.AtlasBalance("PROD",K$1,"T.InventSum","Sum|AvailPhysical|0","","","","","","","ItemId",I$2)</f>
        <v>#NAME?</v>
      </c>
      <c r="L23" t="e">
        <f ca="1">_xll.AtlasFormulas.AtlasFunctions.AtlasBalance("PROD",L$1,"T.InventSum","Sum|AvailPhysical|0","","","","","","","ItemId",J$2)</f>
        <v>#NAME?</v>
      </c>
      <c r="M23" t="e">
        <f ca="1">_xll.AtlasFormulas.AtlasFunctions.AtlasBalance("PROD",M$1,"T.InventSum","Sum|AvailPhysical|0","","","","","","","ItemId",K$2)</f>
        <v>#NAME?</v>
      </c>
    </row>
    <row r="24" spans="1:13" x14ac:dyDescent="0.25">
      <c r="A24" t="s">
        <v>44</v>
      </c>
      <c r="B24" t="s">
        <v>45</v>
      </c>
      <c r="C24" t="e">
        <f ca="1">_xll.AtlasFormulas.AtlasFunctions.AtlasBalance("PROD",C$1,"T.InventSum","Sum|AvailPhysical|0","","","","","","","ItemId",A$2)</f>
        <v>#NAME?</v>
      </c>
      <c r="D24" t="e">
        <f ca="1">_xll.AtlasFormulas.AtlasFunctions.AtlasBalance("PROD",D$1,"T.InventSum","Sum|AvailPhysical|0","","","","","","","ItemId",B$2)</f>
        <v>#NAME?</v>
      </c>
      <c r="E24" t="e">
        <f ca="1">_xll.AtlasFormulas.AtlasFunctions.AtlasBalance("PROD",E$1,"T.InventSum","Sum|AvailPhysical|0","","","","","","","ItemId",C$2)</f>
        <v>#NAME?</v>
      </c>
      <c r="F24" t="e">
        <f ca="1">_xll.AtlasFormulas.AtlasFunctions.AtlasBalance("PROD",F$1,"T.InventSum","Sum|AvailPhysical|0","","","","","","","ItemId",D$2)</f>
        <v>#NAME?</v>
      </c>
      <c r="G24" t="e">
        <f ca="1">_xll.AtlasFormulas.AtlasFunctions.AtlasBalance("PROD",G$1,"T.InventSum","Sum|AvailPhysical|0","","","","","","","ItemId",E$2)</f>
        <v>#NAME?</v>
      </c>
      <c r="H24" t="e">
        <f ca="1">_xll.AtlasFormulas.AtlasFunctions.AtlasBalance("PROD",H$1,"T.InventSum","Sum|AvailPhysical|0","","","","","","","ItemId",F$2)</f>
        <v>#NAME?</v>
      </c>
      <c r="I24" t="e">
        <f ca="1">_xll.AtlasFormulas.AtlasFunctions.AtlasBalance("PROD",I$1,"T.InventSum","Sum|AvailPhysical|0","","","","","","","ItemId",G$2)</f>
        <v>#NAME?</v>
      </c>
      <c r="J24" t="e">
        <f ca="1">_xll.AtlasFormulas.AtlasFunctions.AtlasBalance("PROD",J$1,"T.InventSum","Sum|AvailPhysical|0","","","","","","","ItemId",H$2)</f>
        <v>#NAME?</v>
      </c>
      <c r="K24" t="e">
        <f ca="1">_xll.AtlasFormulas.AtlasFunctions.AtlasBalance("PROD",K$1,"T.InventSum","Sum|AvailPhysical|0","","","","","","","ItemId",I$2)</f>
        <v>#NAME?</v>
      </c>
      <c r="L24" t="e">
        <f ca="1">_xll.AtlasFormulas.AtlasFunctions.AtlasBalance("PROD",L$1,"T.InventSum","Sum|AvailPhysical|0","","","","","","","ItemId",J$2)</f>
        <v>#NAME?</v>
      </c>
      <c r="M24" t="e">
        <f ca="1">_xll.AtlasFormulas.AtlasFunctions.AtlasBalance("PROD",M$1,"T.InventSum","Sum|AvailPhysical|0","","","","","","","ItemId",K$2)</f>
        <v>#NAME?</v>
      </c>
    </row>
    <row r="25" spans="1:13" x14ac:dyDescent="0.25">
      <c r="A25" t="s">
        <v>46</v>
      </c>
      <c r="B25" t="s">
        <v>47</v>
      </c>
      <c r="C25" t="e">
        <f ca="1">_xll.AtlasFormulas.AtlasFunctions.AtlasBalance("PROD",C$1,"T.InventSum","Sum|AvailPhysical|0","","","","","","","ItemId",A$2)</f>
        <v>#NAME?</v>
      </c>
      <c r="D25" t="e">
        <f ca="1">_xll.AtlasFormulas.AtlasFunctions.AtlasBalance("PROD",D$1,"T.InventSum","Sum|AvailPhysical|0","","","","","","","ItemId",B$2)</f>
        <v>#NAME?</v>
      </c>
      <c r="E25" t="e">
        <f ca="1">_xll.AtlasFormulas.AtlasFunctions.AtlasBalance("PROD",E$1,"T.InventSum","Sum|AvailPhysical|0","","","","","","","ItemId",C$2)</f>
        <v>#NAME?</v>
      </c>
      <c r="F25" t="e">
        <f ca="1">_xll.AtlasFormulas.AtlasFunctions.AtlasBalance("PROD",F$1,"T.InventSum","Sum|AvailPhysical|0","","","","","","","ItemId",D$2)</f>
        <v>#NAME?</v>
      </c>
      <c r="G25" t="e">
        <f ca="1">_xll.AtlasFormulas.AtlasFunctions.AtlasBalance("PROD",G$1,"T.InventSum","Sum|AvailPhysical|0","","","","","","","ItemId",E$2)</f>
        <v>#NAME?</v>
      </c>
      <c r="H25" t="e">
        <f ca="1">_xll.AtlasFormulas.AtlasFunctions.AtlasBalance("PROD",H$1,"T.InventSum","Sum|AvailPhysical|0","","","","","","","ItemId",F$2)</f>
        <v>#NAME?</v>
      </c>
      <c r="I25" t="e">
        <f ca="1">_xll.AtlasFormulas.AtlasFunctions.AtlasBalance("PROD",I$1,"T.InventSum","Sum|AvailPhysical|0","","","","","","","ItemId",G$2)</f>
        <v>#NAME?</v>
      </c>
      <c r="J25" t="e">
        <f ca="1">_xll.AtlasFormulas.AtlasFunctions.AtlasBalance("PROD",J$1,"T.InventSum","Sum|AvailPhysical|0","","","","","","","ItemId",H$2)</f>
        <v>#NAME?</v>
      </c>
      <c r="K25" t="e">
        <f ca="1">_xll.AtlasFormulas.AtlasFunctions.AtlasBalance("PROD",K$1,"T.InventSum","Sum|AvailPhysical|0","","","","","","","ItemId",I$2)</f>
        <v>#NAME?</v>
      </c>
      <c r="L25" t="e">
        <f ca="1">_xll.AtlasFormulas.AtlasFunctions.AtlasBalance("PROD",L$1,"T.InventSum","Sum|AvailPhysical|0","","","","","","","ItemId",J$2)</f>
        <v>#NAME?</v>
      </c>
      <c r="M25" t="e">
        <f ca="1">_xll.AtlasFormulas.AtlasFunctions.AtlasBalance("PROD",M$1,"T.InventSum","Sum|AvailPhysical|0","","","","","","","ItemId",K$2)</f>
        <v>#NAME?</v>
      </c>
    </row>
    <row r="26" spans="1:13" x14ac:dyDescent="0.25">
      <c r="A26" t="s">
        <v>48</v>
      </c>
      <c r="B26" t="s">
        <v>49</v>
      </c>
      <c r="C26" t="e">
        <f ca="1">_xll.AtlasFormulas.AtlasFunctions.AtlasBalance("PROD",C$1,"T.InventSum","Sum|AvailPhysical|0","","","","","","","ItemId",A$2)</f>
        <v>#NAME?</v>
      </c>
      <c r="D26" t="e">
        <f ca="1">_xll.AtlasFormulas.AtlasFunctions.AtlasBalance("PROD",D$1,"T.InventSum","Sum|AvailPhysical|0","","","","","","","ItemId",B$2)</f>
        <v>#NAME?</v>
      </c>
      <c r="E26" t="e">
        <f ca="1">_xll.AtlasFormulas.AtlasFunctions.AtlasBalance("PROD",E$1,"T.InventSum","Sum|AvailPhysical|0","","","","","","","ItemId",C$2)</f>
        <v>#NAME?</v>
      </c>
      <c r="F26" t="e">
        <f ca="1">_xll.AtlasFormulas.AtlasFunctions.AtlasBalance("PROD",F$1,"T.InventSum","Sum|AvailPhysical|0","","","","","","","ItemId",D$2)</f>
        <v>#NAME?</v>
      </c>
      <c r="G26" t="e">
        <f ca="1">_xll.AtlasFormulas.AtlasFunctions.AtlasBalance("PROD",G$1,"T.InventSum","Sum|AvailPhysical|0","","","","","","","ItemId",E$2)</f>
        <v>#NAME?</v>
      </c>
      <c r="H26" t="e">
        <f ca="1">_xll.AtlasFormulas.AtlasFunctions.AtlasBalance("PROD",H$1,"T.InventSum","Sum|AvailPhysical|0","","","","","","","ItemId",F$2)</f>
        <v>#NAME?</v>
      </c>
      <c r="I26" t="e">
        <f ca="1">_xll.AtlasFormulas.AtlasFunctions.AtlasBalance("PROD",I$1,"T.InventSum","Sum|AvailPhysical|0","","","","","","","ItemId",G$2)</f>
        <v>#NAME?</v>
      </c>
      <c r="J26" t="e">
        <f ca="1">_xll.AtlasFormulas.AtlasFunctions.AtlasBalance("PROD",J$1,"T.InventSum","Sum|AvailPhysical|0","","","","","","","ItemId",H$2)</f>
        <v>#NAME?</v>
      </c>
      <c r="K26" t="e">
        <f ca="1">_xll.AtlasFormulas.AtlasFunctions.AtlasBalance("PROD",K$1,"T.InventSum","Sum|AvailPhysical|0","","","","","","","ItemId",I$2)</f>
        <v>#NAME?</v>
      </c>
      <c r="L26" t="e">
        <f ca="1">_xll.AtlasFormulas.AtlasFunctions.AtlasBalance("PROD",L$1,"T.InventSum","Sum|AvailPhysical|0","","","","","","","ItemId",J$2)</f>
        <v>#NAME?</v>
      </c>
      <c r="M26" t="e">
        <f ca="1">_xll.AtlasFormulas.AtlasFunctions.AtlasBalance("PROD",M$1,"T.InventSum","Sum|AvailPhysical|0","","","","","","","ItemId",K$2)</f>
        <v>#NAME?</v>
      </c>
    </row>
    <row r="27" spans="1:13" x14ac:dyDescent="0.25">
      <c r="A27" t="s">
        <v>50</v>
      </c>
      <c r="B27" t="s">
        <v>51</v>
      </c>
      <c r="C27" t="e">
        <f ca="1">_xll.AtlasFormulas.AtlasFunctions.AtlasBalance("PROD",C$1,"T.InventSum","Sum|AvailPhysical|0","","","","","","","ItemId",A$2)</f>
        <v>#NAME?</v>
      </c>
      <c r="D27" t="e">
        <f ca="1">_xll.AtlasFormulas.AtlasFunctions.AtlasBalance("PROD",D$1,"T.InventSum","Sum|AvailPhysical|0","","","","","","","ItemId",B$2)</f>
        <v>#NAME?</v>
      </c>
      <c r="E27" t="e">
        <f ca="1">_xll.AtlasFormulas.AtlasFunctions.AtlasBalance("PROD",E$1,"T.InventSum","Sum|AvailPhysical|0","","","","","","","ItemId",C$2)</f>
        <v>#NAME?</v>
      </c>
      <c r="F27" t="e">
        <f ca="1">_xll.AtlasFormulas.AtlasFunctions.AtlasBalance("PROD",F$1,"T.InventSum","Sum|AvailPhysical|0","","","","","","","ItemId",D$2)</f>
        <v>#NAME?</v>
      </c>
      <c r="G27" t="e">
        <f ca="1">_xll.AtlasFormulas.AtlasFunctions.AtlasBalance("PROD",G$1,"T.InventSum","Sum|AvailPhysical|0","","","","","","","ItemId",E$2)</f>
        <v>#NAME?</v>
      </c>
      <c r="H27" t="e">
        <f ca="1">_xll.AtlasFormulas.AtlasFunctions.AtlasBalance("PROD",H$1,"T.InventSum","Sum|AvailPhysical|0","","","","","","","ItemId",F$2)</f>
        <v>#NAME?</v>
      </c>
      <c r="I27" t="e">
        <f ca="1">_xll.AtlasFormulas.AtlasFunctions.AtlasBalance("PROD",I$1,"T.InventSum","Sum|AvailPhysical|0","","","","","","","ItemId",G$2)</f>
        <v>#NAME?</v>
      </c>
      <c r="J27" t="e">
        <f ca="1">_xll.AtlasFormulas.AtlasFunctions.AtlasBalance("PROD",J$1,"T.InventSum","Sum|AvailPhysical|0","","","","","","","ItemId",H$2)</f>
        <v>#NAME?</v>
      </c>
      <c r="K27" t="e">
        <f ca="1">_xll.AtlasFormulas.AtlasFunctions.AtlasBalance("PROD",K$1,"T.InventSum","Sum|AvailPhysical|0","","","","","","","ItemId",I$2)</f>
        <v>#NAME?</v>
      </c>
      <c r="L27" t="e">
        <f ca="1">_xll.AtlasFormulas.AtlasFunctions.AtlasBalance("PROD",L$1,"T.InventSum","Sum|AvailPhysical|0","","","","","","","ItemId",J$2)</f>
        <v>#NAME?</v>
      </c>
      <c r="M27" t="e">
        <f ca="1">_xll.AtlasFormulas.AtlasFunctions.AtlasBalance("PROD",M$1,"T.InventSum","Sum|AvailPhysical|0","","","","","","","ItemId",K$2)</f>
        <v>#NAME?</v>
      </c>
    </row>
    <row r="28" spans="1:13" x14ac:dyDescent="0.25">
      <c r="A28" t="s">
        <v>52</v>
      </c>
      <c r="B28" t="s">
        <v>53</v>
      </c>
      <c r="C28" t="e">
        <f ca="1">_xll.AtlasFormulas.AtlasFunctions.AtlasBalance("PROD",C$1,"T.InventSum","Sum|AvailPhysical|0","","","","","","","ItemId",A$2)</f>
        <v>#NAME?</v>
      </c>
      <c r="D28" t="e">
        <f ca="1">_xll.AtlasFormulas.AtlasFunctions.AtlasBalance("PROD",D$1,"T.InventSum","Sum|AvailPhysical|0","","","","","","","ItemId",B$2)</f>
        <v>#NAME?</v>
      </c>
      <c r="E28" t="e">
        <f ca="1">_xll.AtlasFormulas.AtlasFunctions.AtlasBalance("PROD",E$1,"T.InventSum","Sum|AvailPhysical|0","","","","","","","ItemId",C$2)</f>
        <v>#NAME?</v>
      </c>
      <c r="F28" t="e">
        <f ca="1">_xll.AtlasFormulas.AtlasFunctions.AtlasBalance("PROD",F$1,"T.InventSum","Sum|AvailPhysical|0","","","","","","","ItemId",D$2)</f>
        <v>#NAME?</v>
      </c>
      <c r="G28" t="e">
        <f ca="1">_xll.AtlasFormulas.AtlasFunctions.AtlasBalance("PROD",G$1,"T.InventSum","Sum|AvailPhysical|0","","","","","","","ItemId",E$2)</f>
        <v>#NAME?</v>
      </c>
      <c r="H28" t="e">
        <f ca="1">_xll.AtlasFormulas.AtlasFunctions.AtlasBalance("PROD",H$1,"T.InventSum","Sum|AvailPhysical|0","","","","","","","ItemId",F$2)</f>
        <v>#NAME?</v>
      </c>
      <c r="I28" t="e">
        <f ca="1">_xll.AtlasFormulas.AtlasFunctions.AtlasBalance("PROD",I$1,"T.InventSum","Sum|AvailPhysical|0","","","","","","","ItemId",G$2)</f>
        <v>#NAME?</v>
      </c>
      <c r="J28" t="e">
        <f ca="1">_xll.AtlasFormulas.AtlasFunctions.AtlasBalance("PROD",J$1,"T.InventSum","Sum|AvailPhysical|0","","","","","","","ItemId",H$2)</f>
        <v>#NAME?</v>
      </c>
      <c r="K28" t="e">
        <f ca="1">_xll.AtlasFormulas.AtlasFunctions.AtlasBalance("PROD",K$1,"T.InventSum","Sum|AvailPhysical|0","","","","","","","ItemId",I$2)</f>
        <v>#NAME?</v>
      </c>
      <c r="L28" t="e">
        <f ca="1">_xll.AtlasFormulas.AtlasFunctions.AtlasBalance("PROD",L$1,"T.InventSum","Sum|AvailPhysical|0","","","","","","","ItemId",J$2)</f>
        <v>#NAME?</v>
      </c>
      <c r="M28" t="e">
        <f ca="1">_xll.AtlasFormulas.AtlasFunctions.AtlasBalance("PROD",M$1,"T.InventSum","Sum|AvailPhysical|0","","","","","","","ItemId",K$2)</f>
        <v>#NAME?</v>
      </c>
    </row>
    <row r="29" spans="1:13" x14ac:dyDescent="0.25">
      <c r="A29" t="s">
        <v>54</v>
      </c>
      <c r="B29" t="s">
        <v>55</v>
      </c>
      <c r="C29" t="e">
        <f ca="1">_xll.AtlasFormulas.AtlasFunctions.AtlasBalance("PROD",C$1,"T.InventSum","Sum|AvailPhysical|0","","","","","","","ItemId",A$2)</f>
        <v>#NAME?</v>
      </c>
      <c r="D29" t="e">
        <f ca="1">_xll.AtlasFormulas.AtlasFunctions.AtlasBalance("PROD",D$1,"T.InventSum","Sum|AvailPhysical|0","","","","","","","ItemId",B$2)</f>
        <v>#NAME?</v>
      </c>
      <c r="E29" t="e">
        <f ca="1">_xll.AtlasFormulas.AtlasFunctions.AtlasBalance("PROD",E$1,"T.InventSum","Sum|AvailPhysical|0","","","","","","","ItemId",C$2)</f>
        <v>#NAME?</v>
      </c>
      <c r="F29" t="e">
        <f ca="1">_xll.AtlasFormulas.AtlasFunctions.AtlasBalance("PROD",F$1,"T.InventSum","Sum|AvailPhysical|0","","","","","","","ItemId",D$2)</f>
        <v>#NAME?</v>
      </c>
      <c r="G29" t="e">
        <f ca="1">_xll.AtlasFormulas.AtlasFunctions.AtlasBalance("PROD",G$1,"T.InventSum","Sum|AvailPhysical|0","","","","","","","ItemId",E$2)</f>
        <v>#NAME?</v>
      </c>
      <c r="H29" t="e">
        <f ca="1">_xll.AtlasFormulas.AtlasFunctions.AtlasBalance("PROD",H$1,"T.InventSum","Sum|AvailPhysical|0","","","","","","","ItemId",F$2)</f>
        <v>#NAME?</v>
      </c>
      <c r="I29" t="e">
        <f ca="1">_xll.AtlasFormulas.AtlasFunctions.AtlasBalance("PROD",I$1,"T.InventSum","Sum|AvailPhysical|0","","","","","","","ItemId",G$2)</f>
        <v>#NAME?</v>
      </c>
      <c r="J29" t="e">
        <f ca="1">_xll.AtlasFormulas.AtlasFunctions.AtlasBalance("PROD",J$1,"T.InventSum","Sum|AvailPhysical|0","","","","","","","ItemId",H$2)</f>
        <v>#NAME?</v>
      </c>
      <c r="K29" t="e">
        <f ca="1">_xll.AtlasFormulas.AtlasFunctions.AtlasBalance("PROD",K$1,"T.InventSum","Sum|AvailPhysical|0","","","","","","","ItemId",I$2)</f>
        <v>#NAME?</v>
      </c>
      <c r="L29" t="e">
        <f ca="1">_xll.AtlasFormulas.AtlasFunctions.AtlasBalance("PROD",L$1,"T.InventSum","Sum|AvailPhysical|0","","","","","","","ItemId",J$2)</f>
        <v>#NAME?</v>
      </c>
      <c r="M29" t="e">
        <f ca="1">_xll.AtlasFormulas.AtlasFunctions.AtlasBalance("PROD",M$1,"T.InventSum","Sum|AvailPhysical|0","","","","","","","ItemId",K$2)</f>
        <v>#NAME?</v>
      </c>
    </row>
    <row r="30" spans="1:13" x14ac:dyDescent="0.25">
      <c r="A30" t="s">
        <v>56</v>
      </c>
      <c r="B30" t="s">
        <v>57</v>
      </c>
      <c r="C30" t="e">
        <f ca="1">_xll.AtlasFormulas.AtlasFunctions.AtlasBalance("PROD",C$1,"T.InventSum","Sum|AvailPhysical|0","","","","","","","ItemId",A$2)</f>
        <v>#NAME?</v>
      </c>
      <c r="D30" t="e">
        <f ca="1">_xll.AtlasFormulas.AtlasFunctions.AtlasBalance("PROD",D$1,"T.InventSum","Sum|AvailPhysical|0","","","","","","","ItemId",B$2)</f>
        <v>#NAME?</v>
      </c>
      <c r="E30" t="e">
        <f ca="1">_xll.AtlasFormulas.AtlasFunctions.AtlasBalance("PROD",E$1,"T.InventSum","Sum|AvailPhysical|0","","","","","","","ItemId",C$2)</f>
        <v>#NAME?</v>
      </c>
      <c r="F30" t="e">
        <f ca="1">_xll.AtlasFormulas.AtlasFunctions.AtlasBalance("PROD",F$1,"T.InventSum","Sum|AvailPhysical|0","","","","","","","ItemId",D$2)</f>
        <v>#NAME?</v>
      </c>
      <c r="G30" t="e">
        <f ca="1">_xll.AtlasFormulas.AtlasFunctions.AtlasBalance("PROD",G$1,"T.InventSum","Sum|AvailPhysical|0","","","","","","","ItemId",E$2)</f>
        <v>#NAME?</v>
      </c>
      <c r="H30" t="e">
        <f ca="1">_xll.AtlasFormulas.AtlasFunctions.AtlasBalance("PROD",H$1,"T.InventSum","Sum|AvailPhysical|0","","","","","","","ItemId",F$2)</f>
        <v>#NAME?</v>
      </c>
      <c r="I30" t="e">
        <f ca="1">_xll.AtlasFormulas.AtlasFunctions.AtlasBalance("PROD",I$1,"T.InventSum","Sum|AvailPhysical|0","","","","","","","ItemId",G$2)</f>
        <v>#NAME?</v>
      </c>
      <c r="J30" t="e">
        <f ca="1">_xll.AtlasFormulas.AtlasFunctions.AtlasBalance("PROD",J$1,"T.InventSum","Sum|AvailPhysical|0","","","","","","","ItemId",H$2)</f>
        <v>#NAME?</v>
      </c>
      <c r="K30" t="e">
        <f ca="1">_xll.AtlasFormulas.AtlasFunctions.AtlasBalance("PROD",K$1,"T.InventSum","Sum|AvailPhysical|0","","","","","","","ItemId",I$2)</f>
        <v>#NAME?</v>
      </c>
      <c r="L30" t="e">
        <f ca="1">_xll.AtlasFormulas.AtlasFunctions.AtlasBalance("PROD",L$1,"T.InventSum","Sum|AvailPhysical|0","","","","","","","ItemId",J$2)</f>
        <v>#NAME?</v>
      </c>
      <c r="M30" t="e">
        <f ca="1">_xll.AtlasFormulas.AtlasFunctions.AtlasBalance("PROD",M$1,"T.InventSum","Sum|AvailPhysical|0","","","","","","","ItemId",K$2)</f>
        <v>#NAME?</v>
      </c>
    </row>
    <row r="31" spans="1:13" x14ac:dyDescent="0.25">
      <c r="A31" t="s">
        <v>58</v>
      </c>
      <c r="B31" t="s">
        <v>59</v>
      </c>
      <c r="C31" t="e">
        <f ca="1">_xll.AtlasFormulas.AtlasFunctions.AtlasBalance("PROD",C$1,"T.InventSum","Sum|AvailPhysical|0","","","","","","","ItemId",A$2)</f>
        <v>#NAME?</v>
      </c>
      <c r="D31" t="e">
        <f ca="1">_xll.AtlasFormulas.AtlasFunctions.AtlasBalance("PROD",D$1,"T.InventSum","Sum|AvailPhysical|0","","","","","","","ItemId",B$2)</f>
        <v>#NAME?</v>
      </c>
      <c r="E31" t="e">
        <f ca="1">_xll.AtlasFormulas.AtlasFunctions.AtlasBalance("PROD",E$1,"T.InventSum","Sum|AvailPhysical|0","","","","","","","ItemId",C$2)</f>
        <v>#NAME?</v>
      </c>
      <c r="F31" t="e">
        <f ca="1">_xll.AtlasFormulas.AtlasFunctions.AtlasBalance("PROD",F$1,"T.InventSum","Sum|AvailPhysical|0","","","","","","","ItemId",D$2)</f>
        <v>#NAME?</v>
      </c>
      <c r="G31" t="e">
        <f ca="1">_xll.AtlasFormulas.AtlasFunctions.AtlasBalance("PROD",G$1,"T.InventSum","Sum|AvailPhysical|0","","","","","","","ItemId",E$2)</f>
        <v>#NAME?</v>
      </c>
      <c r="H31" t="e">
        <f ca="1">_xll.AtlasFormulas.AtlasFunctions.AtlasBalance("PROD",H$1,"T.InventSum","Sum|AvailPhysical|0","","","","","","","ItemId",F$2)</f>
        <v>#NAME?</v>
      </c>
      <c r="I31" t="e">
        <f ca="1">_xll.AtlasFormulas.AtlasFunctions.AtlasBalance("PROD",I$1,"T.InventSum","Sum|AvailPhysical|0","","","","","","","ItemId",G$2)</f>
        <v>#NAME?</v>
      </c>
      <c r="J31" t="e">
        <f ca="1">_xll.AtlasFormulas.AtlasFunctions.AtlasBalance("PROD",J$1,"T.InventSum","Sum|AvailPhysical|0","","","","","","","ItemId",H$2)</f>
        <v>#NAME?</v>
      </c>
      <c r="K31" t="e">
        <f ca="1">_xll.AtlasFormulas.AtlasFunctions.AtlasBalance("PROD",K$1,"T.InventSum","Sum|AvailPhysical|0","","","","","","","ItemId",I$2)</f>
        <v>#NAME?</v>
      </c>
      <c r="L31" t="e">
        <f ca="1">_xll.AtlasFormulas.AtlasFunctions.AtlasBalance("PROD",L$1,"T.InventSum","Sum|AvailPhysical|0","","","","","","","ItemId",J$2)</f>
        <v>#NAME?</v>
      </c>
      <c r="M31" t="e">
        <f ca="1">_xll.AtlasFormulas.AtlasFunctions.AtlasBalance("PROD",M$1,"T.InventSum","Sum|AvailPhysical|0","","","","","","","ItemId",K$2)</f>
        <v>#NAME?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ventTrans"/>
  <dimension ref="A1:M31"/>
  <sheetViews>
    <sheetView workbookViewId="0">
      <selection activeCell="F10" sqref="F10"/>
    </sheetView>
  </sheetViews>
  <sheetFormatPr defaultRowHeight="15" x14ac:dyDescent="0.25"/>
  <cols>
    <col min="1" max="1" width="19.140625" bestFit="1" customWidth="1"/>
    <col min="2" max="2" width="42.5703125" bestFit="1" customWidth="1"/>
    <col min="3" max="13" width="14.28515625" customWidth="1"/>
  </cols>
  <sheetData>
    <row r="1" spans="1:13" x14ac:dyDescent="0.25">
      <c r="A1" t="s">
        <v>60</v>
      </c>
      <c r="B1" t="s">
        <v>61</v>
      </c>
      <c r="C1">
        <v>345</v>
      </c>
      <c r="D1">
        <v>360</v>
      </c>
      <c r="E1">
        <v>362</v>
      </c>
      <c r="F1">
        <v>363</v>
      </c>
      <c r="G1">
        <v>364</v>
      </c>
      <c r="H1">
        <v>365</v>
      </c>
      <c r="I1">
        <v>366</v>
      </c>
      <c r="J1">
        <v>368</v>
      </c>
      <c r="K1">
        <v>369</v>
      </c>
      <c r="L1">
        <v>371</v>
      </c>
      <c r="M1">
        <v>372</v>
      </c>
    </row>
    <row r="2" spans="1:13" x14ac:dyDescent="0.25">
      <c r="A2" t="s">
        <v>0</v>
      </c>
      <c r="B2" t="s">
        <v>1</v>
      </c>
      <c r="C2" t="e">
        <f ca="1">_xll.AtlasFormulas.AtlasFunctions.AtlasBalance("PROD",C$1,"T.InventTrans","Count|RecId|0","","","","","","","ItemId|DatePhysical",$A2,"!""")</f>
        <v>#NAME?</v>
      </c>
      <c r="D2" t="e">
        <f ca="1">_xll.AtlasFormulas.AtlasFunctions.AtlasBalance("PROD",D$1,"T.InventTrans","Count|RecId|0","","","","","","","ItemId|DatePhysical",$A2,"!""")</f>
        <v>#NAME?</v>
      </c>
      <c r="E2" t="e">
        <f ca="1">_xll.AtlasFormulas.AtlasFunctions.AtlasBalance("PROD",E$1,"T.InventTrans","Count|RecId|0","","","","","","","ItemId|DatePhysical",$A2,"!""")</f>
        <v>#NAME?</v>
      </c>
      <c r="F2" t="e">
        <f ca="1">_xll.AtlasFormulas.AtlasFunctions.AtlasBalance("PROD",F$1,"T.InventTrans","Count|RecId|0","","","","","","","ItemId|DatePhysical",$A2,"!""")</f>
        <v>#NAME?</v>
      </c>
      <c r="G2" t="e">
        <f ca="1">_xll.AtlasFormulas.AtlasFunctions.AtlasBalance("PROD",G$1,"T.InventTrans","Count|RecId|0","","","","","","","ItemId|DatePhysical",$A2,"!""")</f>
        <v>#NAME?</v>
      </c>
      <c r="H2" t="e">
        <f ca="1">_xll.AtlasFormulas.AtlasFunctions.AtlasBalance("PROD",H$1,"T.InventTrans","Count|RecId|0","","","","","","","ItemId|DatePhysical",$A2,"!""")</f>
        <v>#NAME?</v>
      </c>
      <c r="I2" t="e">
        <f ca="1">_xll.AtlasFormulas.AtlasFunctions.AtlasBalance("PROD",I$1,"T.InventTrans","Count|RecId|0","","","","","","","ItemId|DatePhysical",$A2,"!""")</f>
        <v>#NAME?</v>
      </c>
      <c r="J2" t="e">
        <f ca="1">_xll.AtlasFormulas.AtlasFunctions.AtlasBalance("PROD",J$1,"T.InventTrans","Count|RecId|0","","","","","","","ItemId|DatePhysical",$A2,"!""")</f>
        <v>#NAME?</v>
      </c>
      <c r="K2" t="e">
        <f ca="1">_xll.AtlasFormulas.AtlasFunctions.AtlasBalance("PROD",K$1,"T.InventTrans","Count|RecId|0","","","","","","","ItemId|DatePhysical",$A2,"!""")</f>
        <v>#NAME?</v>
      </c>
      <c r="L2" t="e">
        <f ca="1">_xll.AtlasFormulas.AtlasFunctions.AtlasBalance("PROD",L$1,"T.InventTrans","Count|RecId|0","","","","","","","ItemId|DatePhysical",$A2,"!""")</f>
        <v>#NAME?</v>
      </c>
      <c r="M2" t="e">
        <f ca="1">_xll.AtlasFormulas.AtlasFunctions.AtlasBalance("PROD",M$1,"T.InventTrans","Count|RecId|0","","","","","","","ItemId|DatePhysical",$A2,"!""")</f>
        <v>#NAME?</v>
      </c>
    </row>
    <row r="3" spans="1:13" x14ac:dyDescent="0.25">
      <c r="A3" t="s">
        <v>2</v>
      </c>
      <c r="B3" t="s">
        <v>3</v>
      </c>
      <c r="C3" t="e">
        <f ca="1">_xll.AtlasFormulas.AtlasFunctions.AtlasBalance("PROD",C$1,"T.InventTrans","Count|RecId|0","","","","","","","ItemId|DatePhysical",$A3,"!""")</f>
        <v>#NAME?</v>
      </c>
      <c r="D3" t="e">
        <f ca="1">_xll.AtlasFormulas.AtlasFunctions.AtlasBalance("PROD",D$1,"T.InventTrans","Count|RecId|0","","","","","","","ItemId|DatePhysical",$A3,"!""")</f>
        <v>#NAME?</v>
      </c>
      <c r="E3" t="e">
        <f ca="1">_xll.AtlasFormulas.AtlasFunctions.AtlasBalance("PROD",E$1,"T.InventTrans","Count|RecId|0","","","","","","","ItemId|DatePhysical",$A3,"!""")</f>
        <v>#NAME?</v>
      </c>
      <c r="F3" t="e">
        <f ca="1">_xll.AtlasFormulas.AtlasFunctions.AtlasBalance("PROD",F$1,"T.InventTrans","Count|RecId|0","","","","","","","ItemId|DatePhysical",$A3,"!""")</f>
        <v>#NAME?</v>
      </c>
      <c r="G3" t="e">
        <f ca="1">_xll.AtlasFormulas.AtlasFunctions.AtlasBalance("PROD",G$1,"T.InventTrans","Count|RecId|0","","","","","","","ItemId|DatePhysical",$A3,"!""")</f>
        <v>#NAME?</v>
      </c>
      <c r="H3" t="e">
        <f ca="1">_xll.AtlasFormulas.AtlasFunctions.AtlasBalance("PROD",H$1,"T.InventTrans","Count|RecId|0","","","","","","","ItemId|DatePhysical",$A3,"!""")</f>
        <v>#NAME?</v>
      </c>
      <c r="I3" t="e">
        <f ca="1">_xll.AtlasFormulas.AtlasFunctions.AtlasBalance("PROD",I$1,"T.InventTrans","Count|RecId|0","","","","","","","ItemId|DatePhysical",$A3,"!""")</f>
        <v>#NAME?</v>
      </c>
      <c r="J3" t="e">
        <f ca="1">_xll.AtlasFormulas.AtlasFunctions.AtlasBalance("PROD",J$1,"T.InventTrans","Count|RecId|0","","","","","","","ItemId|DatePhysical",$A3,"!""")</f>
        <v>#NAME?</v>
      </c>
      <c r="K3" t="e">
        <f ca="1">_xll.AtlasFormulas.AtlasFunctions.AtlasBalance("PROD",K$1,"T.InventTrans","Count|RecId|0","","","","","","","ItemId|DatePhysical",$A3,"!""")</f>
        <v>#NAME?</v>
      </c>
      <c r="L3" t="e">
        <f ca="1">_xll.AtlasFormulas.AtlasFunctions.AtlasBalance("PROD",L$1,"T.InventTrans","Count|RecId|0","","","","","","","ItemId|DatePhysical",$A3,"!""")</f>
        <v>#NAME?</v>
      </c>
      <c r="M3" t="e">
        <f ca="1">_xll.AtlasFormulas.AtlasFunctions.AtlasBalance("PROD",M$1,"T.InventTrans","Count|RecId|0","","","","","","","ItemId|DatePhysical",$A3,"!""")</f>
        <v>#NAME?</v>
      </c>
    </row>
    <row r="4" spans="1:13" x14ac:dyDescent="0.25">
      <c r="A4" t="s">
        <v>4</v>
      </c>
      <c r="B4" t="s">
        <v>5</v>
      </c>
      <c r="C4" t="e">
        <f ca="1">_xll.AtlasFormulas.AtlasFunctions.AtlasBalance("PROD",C$1,"T.InventTrans","Count|RecId|0","","","","","","","ItemId|DatePhysical",$A4,"!""")</f>
        <v>#NAME?</v>
      </c>
      <c r="D4" t="e">
        <f ca="1">_xll.AtlasFormulas.AtlasFunctions.AtlasBalance("PROD",D$1,"T.InventTrans","Count|RecId|0","","","","","","","ItemId|DatePhysical",$A4,"!""")</f>
        <v>#NAME?</v>
      </c>
      <c r="E4" t="e">
        <f ca="1">_xll.AtlasFormulas.AtlasFunctions.AtlasBalance("PROD",E$1,"T.InventTrans","Count|RecId|0","","","","","","","ItemId|DatePhysical",$A4,"!""")</f>
        <v>#NAME?</v>
      </c>
      <c r="F4" t="e">
        <f ca="1">_xll.AtlasFormulas.AtlasFunctions.AtlasBalance("PROD",F$1,"T.InventTrans","Count|RecId|0","","","","","","","ItemId|DatePhysical",$A4,"!""")</f>
        <v>#NAME?</v>
      </c>
      <c r="G4" t="e">
        <f ca="1">_xll.AtlasFormulas.AtlasFunctions.AtlasBalance("PROD",G$1,"T.InventTrans","Count|RecId|0","","","","","","","ItemId|DatePhysical",$A4,"!""")</f>
        <v>#NAME?</v>
      </c>
      <c r="H4" t="e">
        <f ca="1">_xll.AtlasFormulas.AtlasFunctions.AtlasBalance("PROD",H$1,"T.InventTrans","Count|RecId|0","","","","","","","ItemId|DatePhysical",$A4,"!""")</f>
        <v>#NAME?</v>
      </c>
      <c r="I4" t="e">
        <f ca="1">_xll.AtlasFormulas.AtlasFunctions.AtlasBalance("PROD",I$1,"T.InventTrans","Count|RecId|0","","","","","","","ItemId|DatePhysical",$A4,"!""")</f>
        <v>#NAME?</v>
      </c>
      <c r="J4" t="e">
        <f ca="1">_xll.AtlasFormulas.AtlasFunctions.AtlasBalance("PROD",J$1,"T.InventTrans","Count|RecId|0","","","","","","","ItemId|DatePhysical",$A4,"!""")</f>
        <v>#NAME?</v>
      </c>
      <c r="K4" t="e">
        <f ca="1">_xll.AtlasFormulas.AtlasFunctions.AtlasBalance("PROD",K$1,"T.InventTrans","Count|RecId|0","","","","","","","ItemId|DatePhysical",$A4,"!""")</f>
        <v>#NAME?</v>
      </c>
      <c r="L4" t="e">
        <f ca="1">_xll.AtlasFormulas.AtlasFunctions.AtlasBalance("PROD",L$1,"T.InventTrans","Count|RecId|0","","","","","","","ItemId|DatePhysical",$A4,"!""")</f>
        <v>#NAME?</v>
      </c>
      <c r="M4" t="e">
        <f ca="1">_xll.AtlasFormulas.AtlasFunctions.AtlasBalance("PROD",M$1,"T.InventTrans","Count|RecId|0","","","","","","","ItemId|DatePhysical",$A4,"!""")</f>
        <v>#NAME?</v>
      </c>
    </row>
    <row r="5" spans="1:13" x14ac:dyDescent="0.25">
      <c r="A5" t="s">
        <v>6</v>
      </c>
      <c r="B5" t="s">
        <v>7</v>
      </c>
      <c r="C5" t="e">
        <f ca="1">_xll.AtlasFormulas.AtlasFunctions.AtlasBalance("PROD",C$1,"T.InventTrans","Count|RecId|0","","","","","","","ItemId|DatePhysical",$A5,"!""")</f>
        <v>#NAME?</v>
      </c>
      <c r="D5" t="e">
        <f ca="1">_xll.AtlasFormulas.AtlasFunctions.AtlasBalance("PROD",D$1,"T.InventTrans","Count|RecId|0","","","","","","","ItemId|DatePhysical",$A5,"!""")</f>
        <v>#NAME?</v>
      </c>
      <c r="E5" t="e">
        <f ca="1">_xll.AtlasFormulas.AtlasFunctions.AtlasBalance("PROD",E$1,"T.InventTrans","Count|RecId|0","","","","","","","ItemId|DatePhysical",$A5,"!""")</f>
        <v>#NAME?</v>
      </c>
      <c r="F5" t="e">
        <f ca="1">_xll.AtlasFormulas.AtlasFunctions.AtlasBalance("PROD",F$1,"T.InventTrans","Count|RecId|0","","","","","","","ItemId|DatePhysical",$A5,"!""")</f>
        <v>#NAME?</v>
      </c>
      <c r="G5" t="e">
        <f ca="1">_xll.AtlasFormulas.AtlasFunctions.AtlasBalance("PROD",G$1,"T.InventTrans","Count|RecId|0","","","","","","","ItemId|DatePhysical",$A5,"!""")</f>
        <v>#NAME?</v>
      </c>
      <c r="H5" t="e">
        <f ca="1">_xll.AtlasFormulas.AtlasFunctions.AtlasBalance("PROD",H$1,"T.InventTrans","Count|RecId|0","","","","","","","ItemId|DatePhysical",$A5,"!""")</f>
        <v>#NAME?</v>
      </c>
      <c r="I5" t="e">
        <f ca="1">_xll.AtlasFormulas.AtlasFunctions.AtlasBalance("PROD",I$1,"T.InventTrans","Count|RecId|0","","","","","","","ItemId|DatePhysical",$A5,"!""")</f>
        <v>#NAME?</v>
      </c>
      <c r="J5" t="e">
        <f ca="1">_xll.AtlasFormulas.AtlasFunctions.AtlasBalance("PROD",J$1,"T.InventTrans","Count|RecId|0","","","","","","","ItemId|DatePhysical",$A5,"!""")</f>
        <v>#NAME?</v>
      </c>
      <c r="K5" t="e">
        <f ca="1">_xll.AtlasFormulas.AtlasFunctions.AtlasBalance("PROD",K$1,"T.InventTrans","Count|RecId|0","","","","","","","ItemId|DatePhysical",$A5,"!""")</f>
        <v>#NAME?</v>
      </c>
      <c r="L5" t="e">
        <f ca="1">_xll.AtlasFormulas.AtlasFunctions.AtlasBalance("PROD",L$1,"T.InventTrans","Count|RecId|0","","","","","","","ItemId|DatePhysical",$A5,"!""")</f>
        <v>#NAME?</v>
      </c>
      <c r="M5" t="e">
        <f ca="1">_xll.AtlasFormulas.AtlasFunctions.AtlasBalance("PROD",M$1,"T.InventTrans","Count|RecId|0","","","","","","","ItemId|DatePhysical",$A5,"!""")</f>
        <v>#NAME?</v>
      </c>
    </row>
    <row r="6" spans="1:13" x14ac:dyDescent="0.25">
      <c r="A6" t="s">
        <v>8</v>
      </c>
      <c r="B6" t="s">
        <v>9</v>
      </c>
      <c r="C6" t="e">
        <f ca="1">_xll.AtlasFormulas.AtlasFunctions.AtlasBalance("PROD",C$1,"T.InventTrans","Count|RecId|0","","","","","","","ItemId|DatePhysical",$A6,"!""")</f>
        <v>#NAME?</v>
      </c>
      <c r="D6" t="e">
        <f ca="1">_xll.AtlasFormulas.AtlasFunctions.AtlasBalance("PROD",D$1,"T.InventTrans","Count|RecId|0","","","","","","","ItemId|DatePhysical",$A6,"!""")</f>
        <v>#NAME?</v>
      </c>
      <c r="E6" t="e">
        <f ca="1">_xll.AtlasFormulas.AtlasFunctions.AtlasBalance("PROD",E$1,"T.InventTrans","Count|RecId|0","","","","","","","ItemId|DatePhysical",$A6,"!""")</f>
        <v>#NAME?</v>
      </c>
      <c r="F6" t="e">
        <f ca="1">_xll.AtlasFormulas.AtlasFunctions.AtlasBalance("PROD",F$1,"T.InventTrans","Count|RecId|0","","","","","","","ItemId|DatePhysical",$A6,"!""")</f>
        <v>#NAME?</v>
      </c>
      <c r="G6" t="e">
        <f ca="1">_xll.AtlasFormulas.AtlasFunctions.AtlasBalance("PROD",G$1,"T.InventTrans","Count|RecId|0","","","","","","","ItemId|DatePhysical",$A6,"!""")</f>
        <v>#NAME?</v>
      </c>
      <c r="H6" t="e">
        <f ca="1">_xll.AtlasFormulas.AtlasFunctions.AtlasBalance("PROD",H$1,"T.InventTrans","Count|RecId|0","","","","","","","ItemId|DatePhysical",$A6,"!""")</f>
        <v>#NAME?</v>
      </c>
      <c r="I6" t="e">
        <f ca="1">_xll.AtlasFormulas.AtlasFunctions.AtlasBalance("PROD",I$1,"T.InventTrans","Count|RecId|0","","","","","","","ItemId|DatePhysical",$A6,"!""")</f>
        <v>#NAME?</v>
      </c>
      <c r="J6" t="e">
        <f ca="1">_xll.AtlasFormulas.AtlasFunctions.AtlasBalance("PROD",J$1,"T.InventTrans","Count|RecId|0","","","","","","","ItemId|DatePhysical",$A6,"!""")</f>
        <v>#NAME?</v>
      </c>
      <c r="K6" t="e">
        <f ca="1">_xll.AtlasFormulas.AtlasFunctions.AtlasBalance("PROD",K$1,"T.InventTrans","Count|RecId|0","","","","","","","ItemId|DatePhysical",$A6,"!""")</f>
        <v>#NAME?</v>
      </c>
      <c r="L6" t="e">
        <f ca="1">_xll.AtlasFormulas.AtlasFunctions.AtlasBalance("PROD",L$1,"T.InventTrans","Count|RecId|0","","","","","","","ItemId|DatePhysical",$A6,"!""")</f>
        <v>#NAME?</v>
      </c>
      <c r="M6" t="e">
        <f ca="1">_xll.AtlasFormulas.AtlasFunctions.AtlasBalance("PROD",M$1,"T.InventTrans","Count|RecId|0","","","","","","","ItemId|DatePhysical",$A6,"!""")</f>
        <v>#NAME?</v>
      </c>
    </row>
    <row r="7" spans="1:13" x14ac:dyDescent="0.25">
      <c r="A7" t="s">
        <v>10</v>
      </c>
      <c r="B7" t="s">
        <v>11</v>
      </c>
      <c r="C7" t="e">
        <f ca="1">_xll.AtlasFormulas.AtlasFunctions.AtlasBalance("PROD",C$1,"T.InventTrans","Count|RecId|0","","","","","","","ItemId|DatePhysical",$A7,"!""")</f>
        <v>#NAME?</v>
      </c>
      <c r="D7" t="e">
        <f ca="1">_xll.AtlasFormulas.AtlasFunctions.AtlasBalance("PROD",D$1,"T.InventTrans","Count|RecId|0","","","","","","","ItemId|DatePhysical",$A7,"!""")</f>
        <v>#NAME?</v>
      </c>
      <c r="E7" t="e">
        <f ca="1">_xll.AtlasFormulas.AtlasFunctions.AtlasBalance("PROD",E$1,"T.InventTrans","Count|RecId|0","","","","","","","ItemId|DatePhysical",$A7,"!""")</f>
        <v>#NAME?</v>
      </c>
      <c r="F7" t="e">
        <f ca="1">_xll.AtlasFormulas.AtlasFunctions.AtlasBalance("PROD",F$1,"T.InventTrans","Count|RecId|0","","","","","","","ItemId|DatePhysical",$A7,"!""")</f>
        <v>#NAME?</v>
      </c>
      <c r="G7" t="e">
        <f ca="1">_xll.AtlasFormulas.AtlasFunctions.AtlasBalance("PROD",G$1,"T.InventTrans","Count|RecId|0","","","","","","","ItemId|DatePhysical",$A7,"!""")</f>
        <v>#NAME?</v>
      </c>
      <c r="H7" t="e">
        <f ca="1">_xll.AtlasFormulas.AtlasFunctions.AtlasBalance("PROD",H$1,"T.InventTrans","Count|RecId|0","","","","","","","ItemId|DatePhysical",$A7,"!""")</f>
        <v>#NAME?</v>
      </c>
      <c r="I7" t="e">
        <f ca="1">_xll.AtlasFormulas.AtlasFunctions.AtlasBalance("PROD",I$1,"T.InventTrans","Count|RecId|0","","","","","","","ItemId|DatePhysical",$A7,"!""")</f>
        <v>#NAME?</v>
      </c>
      <c r="J7" t="e">
        <f ca="1">_xll.AtlasFormulas.AtlasFunctions.AtlasBalance("PROD",J$1,"T.InventTrans","Count|RecId|0","","","","","","","ItemId|DatePhysical",$A7,"!""")</f>
        <v>#NAME?</v>
      </c>
      <c r="K7" t="e">
        <f ca="1">_xll.AtlasFormulas.AtlasFunctions.AtlasBalance("PROD",K$1,"T.InventTrans","Count|RecId|0","","","","","","","ItemId|DatePhysical",$A7,"!""")</f>
        <v>#NAME?</v>
      </c>
      <c r="L7" t="e">
        <f ca="1">_xll.AtlasFormulas.AtlasFunctions.AtlasBalance("PROD",L$1,"T.InventTrans","Count|RecId|0","","","","","","","ItemId|DatePhysical",$A7,"!""")</f>
        <v>#NAME?</v>
      </c>
      <c r="M7" t="e">
        <f ca="1">_xll.AtlasFormulas.AtlasFunctions.AtlasBalance("PROD",M$1,"T.InventTrans","Count|RecId|0","","","","","","","ItemId|DatePhysical",$A7,"!""")</f>
        <v>#NAME?</v>
      </c>
    </row>
    <row r="8" spans="1:13" x14ac:dyDescent="0.25">
      <c r="A8" t="s">
        <v>12</v>
      </c>
      <c r="B8" t="s">
        <v>13</v>
      </c>
      <c r="C8" t="e">
        <f ca="1">_xll.AtlasFormulas.AtlasFunctions.AtlasBalance("PROD",C$1,"T.InventTrans","Count|RecId|0","","","","","","","ItemId|DatePhysical",$A8,"!""")</f>
        <v>#NAME?</v>
      </c>
      <c r="D8" t="e">
        <f ca="1">_xll.AtlasFormulas.AtlasFunctions.AtlasBalance("PROD",D$1,"T.InventTrans","Count|RecId|0","","","","","","","ItemId|DatePhysical",$A8,"!""")</f>
        <v>#NAME?</v>
      </c>
      <c r="E8" t="e">
        <f ca="1">_xll.AtlasFormulas.AtlasFunctions.AtlasBalance("PROD",E$1,"T.InventTrans","Count|RecId|0","","","","","","","ItemId|DatePhysical",$A8,"!""")</f>
        <v>#NAME?</v>
      </c>
      <c r="F8" t="e">
        <f ca="1">_xll.AtlasFormulas.AtlasFunctions.AtlasBalance("PROD",F$1,"T.InventTrans","Count|RecId|0","","","","","","","ItemId|DatePhysical",$A8,"!""")</f>
        <v>#NAME?</v>
      </c>
      <c r="G8" t="e">
        <f ca="1">_xll.AtlasFormulas.AtlasFunctions.AtlasBalance("PROD",G$1,"T.InventTrans","Count|RecId|0","","","","","","","ItemId|DatePhysical",$A8,"!""")</f>
        <v>#NAME?</v>
      </c>
      <c r="H8" t="e">
        <f ca="1">_xll.AtlasFormulas.AtlasFunctions.AtlasBalance("PROD",H$1,"T.InventTrans","Count|RecId|0","","","","","","","ItemId|DatePhysical",$A8,"!""")</f>
        <v>#NAME?</v>
      </c>
      <c r="I8" t="e">
        <f ca="1">_xll.AtlasFormulas.AtlasFunctions.AtlasBalance("PROD",I$1,"T.InventTrans","Count|RecId|0","","","","","","","ItemId|DatePhysical",$A8,"!""")</f>
        <v>#NAME?</v>
      </c>
      <c r="J8" t="e">
        <f ca="1">_xll.AtlasFormulas.AtlasFunctions.AtlasBalance("PROD",J$1,"T.InventTrans","Count|RecId|0","","","","","","","ItemId|DatePhysical",$A8,"!""")</f>
        <v>#NAME?</v>
      </c>
      <c r="K8" t="e">
        <f ca="1">_xll.AtlasFormulas.AtlasFunctions.AtlasBalance("PROD",K$1,"T.InventTrans","Count|RecId|0","","","","","","","ItemId|DatePhysical",$A8,"!""")</f>
        <v>#NAME?</v>
      </c>
      <c r="L8" t="e">
        <f ca="1">_xll.AtlasFormulas.AtlasFunctions.AtlasBalance("PROD",L$1,"T.InventTrans","Count|RecId|0","","","","","","","ItemId|DatePhysical",$A8,"!""")</f>
        <v>#NAME?</v>
      </c>
      <c r="M8" t="e">
        <f ca="1">_xll.AtlasFormulas.AtlasFunctions.AtlasBalance("PROD",M$1,"T.InventTrans","Count|RecId|0","","","","","","","ItemId|DatePhysical",$A8,"!""")</f>
        <v>#NAME?</v>
      </c>
    </row>
    <row r="9" spans="1:13" x14ac:dyDescent="0.25">
      <c r="A9" t="s">
        <v>14</v>
      </c>
      <c r="B9" t="s">
        <v>15</v>
      </c>
      <c r="C9" t="e">
        <f ca="1">_xll.AtlasFormulas.AtlasFunctions.AtlasBalance("PROD",C$1,"T.InventTrans","Count|RecId|0","","","","","","","ItemId|DatePhysical",$A9,"!""")</f>
        <v>#NAME?</v>
      </c>
      <c r="D9" t="e">
        <f ca="1">_xll.AtlasFormulas.AtlasFunctions.AtlasBalance("PROD",D$1,"T.InventTrans","Count|RecId|0","","","","","","","ItemId|DatePhysical",$A9,"!""")</f>
        <v>#NAME?</v>
      </c>
      <c r="E9" t="e">
        <f ca="1">_xll.AtlasFormulas.AtlasFunctions.AtlasBalance("PROD",E$1,"T.InventTrans","Count|RecId|0","","","","","","","ItemId|DatePhysical",$A9,"!""")</f>
        <v>#NAME?</v>
      </c>
      <c r="F9" t="e">
        <f ca="1">_xll.AtlasFormulas.AtlasFunctions.AtlasBalance("PROD",F$1,"T.InventTrans","Count|RecId|0","","","","","","","ItemId|DatePhysical",$A9,"!""")</f>
        <v>#NAME?</v>
      </c>
      <c r="G9" t="e">
        <f ca="1">_xll.AtlasFormulas.AtlasFunctions.AtlasBalance("PROD",G$1,"T.InventTrans","Count|RecId|0","","","","","","","ItemId|DatePhysical",$A9,"!""")</f>
        <v>#NAME?</v>
      </c>
      <c r="H9" t="e">
        <f ca="1">_xll.AtlasFormulas.AtlasFunctions.AtlasBalance("PROD",H$1,"T.InventTrans","Count|RecId|0","","","","","","","ItemId|DatePhysical",$A9,"!""")</f>
        <v>#NAME?</v>
      </c>
      <c r="I9" t="e">
        <f ca="1">_xll.AtlasFormulas.AtlasFunctions.AtlasBalance("PROD",I$1,"T.InventTrans","Count|RecId|0","","","","","","","ItemId|DatePhysical",$A9,"!""")</f>
        <v>#NAME?</v>
      </c>
      <c r="J9" t="e">
        <f ca="1">_xll.AtlasFormulas.AtlasFunctions.AtlasBalance("PROD",J$1,"T.InventTrans","Count|RecId|0","","","","","","","ItemId|DatePhysical",$A9,"!""")</f>
        <v>#NAME?</v>
      </c>
      <c r="K9" t="e">
        <f ca="1">_xll.AtlasFormulas.AtlasFunctions.AtlasBalance("PROD",K$1,"T.InventTrans","Count|RecId|0","","","","","","","ItemId|DatePhysical",$A9,"!""")</f>
        <v>#NAME?</v>
      </c>
      <c r="L9" t="e">
        <f ca="1">_xll.AtlasFormulas.AtlasFunctions.AtlasBalance("PROD",L$1,"T.InventTrans","Count|RecId|0","","","","","","","ItemId|DatePhysical",$A9,"!""")</f>
        <v>#NAME?</v>
      </c>
      <c r="M9" t="e">
        <f ca="1">_xll.AtlasFormulas.AtlasFunctions.AtlasBalance("PROD",M$1,"T.InventTrans","Count|RecId|0","","","","","","","ItemId|DatePhysical",$A9,"!""")</f>
        <v>#NAME?</v>
      </c>
    </row>
    <row r="10" spans="1:13" ht="28.5" customHeight="1" x14ac:dyDescent="0.25">
      <c r="A10" t="s">
        <v>16</v>
      </c>
      <c r="B10" s="1" t="s">
        <v>17</v>
      </c>
      <c r="C10" t="e">
        <f ca="1">_xll.AtlasFormulas.AtlasFunctions.AtlasBalance("PROD",C$1,"T.InventTrans","Count|RecId|0","","","","","","","ItemId|DatePhysical",$A10,"!""")</f>
        <v>#NAME?</v>
      </c>
      <c r="D10" t="e">
        <f ca="1">_xll.AtlasFormulas.AtlasFunctions.AtlasBalance("PROD",D$1,"T.InventTrans","Count|RecId|0","","","","","","","ItemId|DatePhysical",$A10,"!""")</f>
        <v>#NAME?</v>
      </c>
      <c r="E10" t="e">
        <f ca="1">_xll.AtlasFormulas.AtlasFunctions.AtlasBalance("PROD",E$1,"T.InventTrans","Count|RecId|0","","","","","","","ItemId|DatePhysical",$A10,"!""")</f>
        <v>#NAME?</v>
      </c>
      <c r="F10" t="e">
        <f ca="1">_xll.AtlasFormulas.AtlasFunctions.AtlasBalance("PROD",F$1,"T.InventTrans","Count|RecId|0","","","","","","","ItemId|DatePhysical",$A10,"!""")</f>
        <v>#NAME?</v>
      </c>
      <c r="G10" t="e">
        <f ca="1">_xll.AtlasFormulas.AtlasFunctions.AtlasBalance("PROD",G$1,"T.InventTrans","Count|RecId|0","","","","","","","ItemId|DatePhysical",$A10,"!""")</f>
        <v>#NAME?</v>
      </c>
      <c r="H10" t="e">
        <f ca="1">_xll.AtlasFormulas.AtlasFunctions.AtlasBalance("PROD",H$1,"T.InventTrans","Count|RecId|0","","","","","","","ItemId|DatePhysical",$A10,"!""")</f>
        <v>#NAME?</v>
      </c>
      <c r="I10" t="e">
        <f ca="1">_xll.AtlasFormulas.AtlasFunctions.AtlasBalance("PROD",I$1,"T.InventTrans","Count|RecId|0","","","","","","","ItemId|DatePhysical",$A10,"!""")</f>
        <v>#NAME?</v>
      </c>
      <c r="J10" t="e">
        <f ca="1">_xll.AtlasFormulas.AtlasFunctions.AtlasBalance("PROD",J$1,"T.InventTrans","Count|RecId|0","","","","","","","ItemId|DatePhysical",$A10,"!""")</f>
        <v>#NAME?</v>
      </c>
      <c r="K10" t="e">
        <f ca="1">_xll.AtlasFormulas.AtlasFunctions.AtlasBalance("PROD",K$1,"T.InventTrans","Count|RecId|0","","","","","","","ItemId|DatePhysical",$A10,"!""")</f>
        <v>#NAME?</v>
      </c>
      <c r="L10" t="e">
        <f ca="1">_xll.AtlasFormulas.AtlasFunctions.AtlasBalance("PROD",L$1,"T.InventTrans","Count|RecId|0","","","","","","","ItemId|DatePhysical",$A10,"!""")</f>
        <v>#NAME?</v>
      </c>
      <c r="M10" t="e">
        <f ca="1">_xll.AtlasFormulas.AtlasFunctions.AtlasBalance("PROD",M$1,"T.InventTrans","Count|RecId|0","","","","","","","ItemId|DatePhysical",$A10,"!""")</f>
        <v>#NAME?</v>
      </c>
    </row>
    <row r="11" spans="1:13" ht="27.75" customHeight="1" x14ac:dyDescent="0.25">
      <c r="A11" t="s">
        <v>18</v>
      </c>
      <c r="B11" s="1" t="s">
        <v>19</v>
      </c>
      <c r="C11" t="e">
        <f ca="1">_xll.AtlasFormulas.AtlasFunctions.AtlasBalance("PROD",C$1,"T.InventTrans","Count|RecId|0","","","","","","","ItemId|DatePhysical",$A11,"!""")</f>
        <v>#NAME?</v>
      </c>
      <c r="D11" t="e">
        <f ca="1">_xll.AtlasFormulas.AtlasFunctions.AtlasBalance("PROD",D$1,"T.InventTrans","Count|RecId|0","","","","","","","ItemId|DatePhysical",$A11,"!""")</f>
        <v>#NAME?</v>
      </c>
      <c r="E11" t="e">
        <f ca="1">_xll.AtlasFormulas.AtlasFunctions.AtlasBalance("PROD",E$1,"T.InventTrans","Count|RecId|0","","","","","","","ItemId|DatePhysical",$A11,"!""")</f>
        <v>#NAME?</v>
      </c>
      <c r="F11" t="e">
        <f ca="1">_xll.AtlasFormulas.AtlasFunctions.AtlasBalance("PROD",F$1,"T.InventTrans","Count|RecId|0","","","","","","","ItemId|DatePhysical",$A11,"!""")</f>
        <v>#NAME?</v>
      </c>
      <c r="G11" t="e">
        <f ca="1">_xll.AtlasFormulas.AtlasFunctions.AtlasBalance("PROD",G$1,"T.InventTrans","Count|RecId|0","","","","","","","ItemId|DatePhysical",$A11,"!""")</f>
        <v>#NAME?</v>
      </c>
      <c r="H11" t="e">
        <f ca="1">_xll.AtlasFormulas.AtlasFunctions.AtlasBalance("PROD",H$1,"T.InventTrans","Count|RecId|0","","","","","","","ItemId|DatePhysical",$A11,"!""")</f>
        <v>#NAME?</v>
      </c>
      <c r="I11" t="e">
        <f ca="1">_xll.AtlasFormulas.AtlasFunctions.AtlasBalance("PROD",I$1,"T.InventTrans","Count|RecId|0","","","","","","","ItemId|DatePhysical",$A11,"!""")</f>
        <v>#NAME?</v>
      </c>
      <c r="J11" t="e">
        <f ca="1">_xll.AtlasFormulas.AtlasFunctions.AtlasBalance("PROD",J$1,"T.InventTrans","Count|RecId|0","","","","","","","ItemId|DatePhysical",$A11,"!""")</f>
        <v>#NAME?</v>
      </c>
      <c r="K11" t="e">
        <f ca="1">_xll.AtlasFormulas.AtlasFunctions.AtlasBalance("PROD",K$1,"T.InventTrans","Count|RecId|0","","","","","","","ItemId|DatePhysical",$A11,"!""")</f>
        <v>#NAME?</v>
      </c>
      <c r="L11" t="e">
        <f ca="1">_xll.AtlasFormulas.AtlasFunctions.AtlasBalance("PROD",L$1,"T.InventTrans","Count|RecId|0","","","","","","","ItemId|DatePhysical",$A11,"!""")</f>
        <v>#NAME?</v>
      </c>
      <c r="M11" t="e">
        <f ca="1">_xll.AtlasFormulas.AtlasFunctions.AtlasBalance("PROD",M$1,"T.InventTrans","Count|RecId|0","","","","","","","ItemId|DatePhysical",$A11,"!""")</f>
        <v>#NAME?</v>
      </c>
    </row>
    <row r="12" spans="1:13" x14ac:dyDescent="0.25">
      <c r="A12" t="s">
        <v>20</v>
      </c>
      <c r="B12" t="s">
        <v>21</v>
      </c>
      <c r="C12" t="e">
        <f ca="1">_xll.AtlasFormulas.AtlasFunctions.AtlasBalance("PROD",C$1,"T.InventTrans","Count|RecId|0","","","","","","","ItemId|DatePhysical",$A12,"!""")</f>
        <v>#NAME?</v>
      </c>
      <c r="D12" t="e">
        <f ca="1">_xll.AtlasFormulas.AtlasFunctions.AtlasBalance("PROD",D$1,"T.InventTrans","Count|RecId|0","","","","","","","ItemId|DatePhysical",$A12,"!""")</f>
        <v>#NAME?</v>
      </c>
      <c r="E12" t="e">
        <f ca="1">_xll.AtlasFormulas.AtlasFunctions.AtlasBalance("PROD",E$1,"T.InventTrans","Count|RecId|0","","","","","","","ItemId|DatePhysical",$A12,"!""")</f>
        <v>#NAME?</v>
      </c>
      <c r="F12" t="e">
        <f ca="1">_xll.AtlasFormulas.AtlasFunctions.AtlasBalance("PROD",F$1,"T.InventTrans","Count|RecId|0","","","","","","","ItemId|DatePhysical",$A12,"!""")</f>
        <v>#NAME?</v>
      </c>
      <c r="G12" t="e">
        <f ca="1">_xll.AtlasFormulas.AtlasFunctions.AtlasBalance("PROD",G$1,"T.InventTrans","Count|RecId|0","","","","","","","ItemId|DatePhysical",$A12,"!""")</f>
        <v>#NAME?</v>
      </c>
      <c r="H12" t="e">
        <f ca="1">_xll.AtlasFormulas.AtlasFunctions.AtlasBalance("PROD",H$1,"T.InventTrans","Count|RecId|0","","","","","","","ItemId|DatePhysical",$A12,"!""")</f>
        <v>#NAME?</v>
      </c>
      <c r="I12" t="e">
        <f ca="1">_xll.AtlasFormulas.AtlasFunctions.AtlasBalance("PROD",I$1,"T.InventTrans","Count|RecId|0","","","","","","","ItemId|DatePhysical",$A12,"!""")</f>
        <v>#NAME?</v>
      </c>
      <c r="J12" t="e">
        <f ca="1">_xll.AtlasFormulas.AtlasFunctions.AtlasBalance("PROD",J$1,"T.InventTrans","Count|RecId|0","","","","","","","ItemId|DatePhysical",$A12,"!""")</f>
        <v>#NAME?</v>
      </c>
      <c r="K12" t="e">
        <f ca="1">_xll.AtlasFormulas.AtlasFunctions.AtlasBalance("PROD",K$1,"T.InventTrans","Count|RecId|0","","","","","","","ItemId|DatePhysical",$A12,"!""")</f>
        <v>#NAME?</v>
      </c>
      <c r="L12" t="e">
        <f ca="1">_xll.AtlasFormulas.AtlasFunctions.AtlasBalance("PROD",L$1,"T.InventTrans","Count|RecId|0","","","","","","","ItemId|DatePhysical",$A12,"!""")</f>
        <v>#NAME?</v>
      </c>
      <c r="M12" t="e">
        <f ca="1">_xll.AtlasFormulas.AtlasFunctions.AtlasBalance("PROD",M$1,"T.InventTrans","Count|RecId|0","","","","","","","ItemId|DatePhysical",$A12,"!""")</f>
        <v>#NAME?</v>
      </c>
    </row>
    <row r="13" spans="1:13" x14ac:dyDescent="0.25">
      <c r="A13" t="s">
        <v>22</v>
      </c>
      <c r="B13" t="s">
        <v>23</v>
      </c>
      <c r="C13" t="e">
        <f ca="1">_xll.AtlasFormulas.AtlasFunctions.AtlasBalance("PROD",C$1,"T.InventTrans","Count|RecId|0","","","","","","","ItemId|DatePhysical",$A13,"!""")</f>
        <v>#NAME?</v>
      </c>
      <c r="D13" t="e">
        <f ca="1">_xll.AtlasFormulas.AtlasFunctions.AtlasBalance("PROD",D$1,"T.InventTrans","Count|RecId|0","","","","","","","ItemId|DatePhysical",$A13,"!""")</f>
        <v>#NAME?</v>
      </c>
      <c r="E13" t="e">
        <f ca="1">_xll.AtlasFormulas.AtlasFunctions.AtlasBalance("PROD",E$1,"T.InventTrans","Count|RecId|0","","","","","","","ItemId|DatePhysical",$A13,"!""")</f>
        <v>#NAME?</v>
      </c>
      <c r="F13" t="e">
        <f ca="1">_xll.AtlasFormulas.AtlasFunctions.AtlasBalance("PROD",F$1,"T.InventTrans","Count|RecId|0","","","","","","","ItemId|DatePhysical",$A13,"!""")</f>
        <v>#NAME?</v>
      </c>
      <c r="G13" t="e">
        <f ca="1">_xll.AtlasFormulas.AtlasFunctions.AtlasBalance("PROD",G$1,"T.InventTrans","Count|RecId|0","","","","","","","ItemId|DatePhysical",$A13,"!""")</f>
        <v>#NAME?</v>
      </c>
      <c r="H13" t="e">
        <f ca="1">_xll.AtlasFormulas.AtlasFunctions.AtlasBalance("PROD",H$1,"T.InventTrans","Count|RecId|0","","","","","","","ItemId|DatePhysical",$A13,"!""")</f>
        <v>#NAME?</v>
      </c>
      <c r="I13" t="e">
        <f ca="1">_xll.AtlasFormulas.AtlasFunctions.AtlasBalance("PROD",I$1,"T.InventTrans","Count|RecId|0","","","","","","","ItemId|DatePhysical",$A13,"!""")</f>
        <v>#NAME?</v>
      </c>
      <c r="J13" t="e">
        <f ca="1">_xll.AtlasFormulas.AtlasFunctions.AtlasBalance("PROD",J$1,"T.InventTrans","Count|RecId|0","","","","","","","ItemId|DatePhysical",$A13,"!""")</f>
        <v>#NAME?</v>
      </c>
      <c r="K13" t="e">
        <f ca="1">_xll.AtlasFormulas.AtlasFunctions.AtlasBalance("PROD",K$1,"T.InventTrans","Count|RecId|0","","","","","","","ItemId|DatePhysical",$A13,"!""")</f>
        <v>#NAME?</v>
      </c>
      <c r="L13" t="e">
        <f ca="1">_xll.AtlasFormulas.AtlasFunctions.AtlasBalance("PROD",L$1,"T.InventTrans","Count|RecId|0","","","","","","","ItemId|DatePhysical",$A13,"!""")</f>
        <v>#NAME?</v>
      </c>
      <c r="M13" t="e">
        <f ca="1">_xll.AtlasFormulas.AtlasFunctions.AtlasBalance("PROD",M$1,"T.InventTrans","Count|RecId|0","","","","","","","ItemId|DatePhysical",$A13,"!""")</f>
        <v>#NAME?</v>
      </c>
    </row>
    <row r="14" spans="1:13" x14ac:dyDescent="0.25">
      <c r="A14" t="s">
        <v>24</v>
      </c>
      <c r="B14" t="s">
        <v>25</v>
      </c>
      <c r="C14" t="e">
        <f ca="1">_xll.AtlasFormulas.AtlasFunctions.AtlasBalance("PROD",C$1,"T.InventTrans","Count|RecId|0","","","","","","","ItemId|DatePhysical",$A14,"!""")</f>
        <v>#NAME?</v>
      </c>
      <c r="D14" t="e">
        <f ca="1">_xll.AtlasFormulas.AtlasFunctions.AtlasBalance("PROD",D$1,"T.InventTrans","Count|RecId|0","","","","","","","ItemId|DatePhysical",$A14,"!""")</f>
        <v>#NAME?</v>
      </c>
      <c r="E14" t="e">
        <f ca="1">_xll.AtlasFormulas.AtlasFunctions.AtlasBalance("PROD",E$1,"T.InventTrans","Count|RecId|0","","","","","","","ItemId|DatePhysical",$A14,"!""")</f>
        <v>#NAME?</v>
      </c>
      <c r="F14" t="e">
        <f ca="1">_xll.AtlasFormulas.AtlasFunctions.AtlasBalance("PROD",F$1,"T.InventTrans","Count|RecId|0","","","","","","","ItemId|DatePhysical",$A14,"!""")</f>
        <v>#NAME?</v>
      </c>
      <c r="G14" t="e">
        <f ca="1">_xll.AtlasFormulas.AtlasFunctions.AtlasBalance("PROD",G$1,"T.InventTrans","Count|RecId|0","","","","","","","ItemId|DatePhysical",$A14,"!""")</f>
        <v>#NAME?</v>
      </c>
      <c r="H14" t="e">
        <f ca="1">_xll.AtlasFormulas.AtlasFunctions.AtlasBalance("PROD",H$1,"T.InventTrans","Count|RecId|0","","","","","","","ItemId|DatePhysical",$A14,"!""")</f>
        <v>#NAME?</v>
      </c>
      <c r="I14" t="e">
        <f ca="1">_xll.AtlasFormulas.AtlasFunctions.AtlasBalance("PROD",I$1,"T.InventTrans","Count|RecId|0","","","","","","","ItemId|DatePhysical",$A14,"!""")</f>
        <v>#NAME?</v>
      </c>
      <c r="J14" t="e">
        <f ca="1">_xll.AtlasFormulas.AtlasFunctions.AtlasBalance("PROD",J$1,"T.InventTrans","Count|RecId|0","","","","","","","ItemId|DatePhysical",$A14,"!""")</f>
        <v>#NAME?</v>
      </c>
      <c r="K14" t="e">
        <f ca="1">_xll.AtlasFormulas.AtlasFunctions.AtlasBalance("PROD",K$1,"T.InventTrans","Count|RecId|0","","","","","","","ItemId|DatePhysical",$A14,"!""")</f>
        <v>#NAME?</v>
      </c>
      <c r="L14" t="e">
        <f ca="1">_xll.AtlasFormulas.AtlasFunctions.AtlasBalance("PROD",L$1,"T.InventTrans","Count|RecId|0","","","","","","","ItemId|DatePhysical",$A14,"!""")</f>
        <v>#NAME?</v>
      </c>
      <c r="M14" t="e">
        <f ca="1">_xll.AtlasFormulas.AtlasFunctions.AtlasBalance("PROD",M$1,"T.InventTrans","Count|RecId|0","","","","","","","ItemId|DatePhysical",$A14,"!""")</f>
        <v>#NAME?</v>
      </c>
    </row>
    <row r="15" spans="1:13" x14ac:dyDescent="0.25">
      <c r="A15" t="s">
        <v>26</v>
      </c>
      <c r="B15" t="s">
        <v>27</v>
      </c>
      <c r="C15" t="e">
        <f ca="1">_xll.AtlasFormulas.AtlasFunctions.AtlasBalance("PROD",C$1,"T.InventTrans","Count|RecId|0","","","","","","","ItemId|DatePhysical",$A15,"!""")</f>
        <v>#NAME?</v>
      </c>
      <c r="D15" t="e">
        <f ca="1">_xll.AtlasFormulas.AtlasFunctions.AtlasBalance("PROD",D$1,"T.InventTrans","Count|RecId|0","","","","","","","ItemId|DatePhysical",$A15,"!""")</f>
        <v>#NAME?</v>
      </c>
      <c r="E15" t="e">
        <f ca="1">_xll.AtlasFormulas.AtlasFunctions.AtlasBalance("PROD",E$1,"T.InventTrans","Count|RecId|0","","","","","","","ItemId|DatePhysical",$A15,"!""")</f>
        <v>#NAME?</v>
      </c>
      <c r="F15" t="e">
        <f ca="1">_xll.AtlasFormulas.AtlasFunctions.AtlasBalance("PROD",F$1,"T.InventTrans","Count|RecId|0","","","","","","","ItemId|DatePhysical",$A15,"!""")</f>
        <v>#NAME?</v>
      </c>
      <c r="G15" t="e">
        <f ca="1">_xll.AtlasFormulas.AtlasFunctions.AtlasBalance("PROD",G$1,"T.InventTrans","Count|RecId|0","","","","","","","ItemId|DatePhysical",$A15,"!""")</f>
        <v>#NAME?</v>
      </c>
      <c r="H15" t="e">
        <f ca="1">_xll.AtlasFormulas.AtlasFunctions.AtlasBalance("PROD",H$1,"T.InventTrans","Count|RecId|0","","","","","","","ItemId|DatePhysical",$A15,"!""")</f>
        <v>#NAME?</v>
      </c>
      <c r="I15" t="e">
        <f ca="1">_xll.AtlasFormulas.AtlasFunctions.AtlasBalance("PROD",I$1,"T.InventTrans","Count|RecId|0","","","","","","","ItemId|DatePhysical",$A15,"!""")</f>
        <v>#NAME?</v>
      </c>
      <c r="J15" t="e">
        <f ca="1">_xll.AtlasFormulas.AtlasFunctions.AtlasBalance("PROD",J$1,"T.InventTrans","Count|RecId|0","","","","","","","ItemId|DatePhysical",$A15,"!""")</f>
        <v>#NAME?</v>
      </c>
      <c r="K15" t="e">
        <f ca="1">_xll.AtlasFormulas.AtlasFunctions.AtlasBalance("PROD",K$1,"T.InventTrans","Count|RecId|0","","","","","","","ItemId|DatePhysical",$A15,"!""")</f>
        <v>#NAME?</v>
      </c>
      <c r="L15" t="e">
        <f ca="1">_xll.AtlasFormulas.AtlasFunctions.AtlasBalance("PROD",L$1,"T.InventTrans","Count|RecId|0","","","","","","","ItemId|DatePhysical",$A15,"!""")</f>
        <v>#NAME?</v>
      </c>
      <c r="M15" t="e">
        <f ca="1">_xll.AtlasFormulas.AtlasFunctions.AtlasBalance("PROD",M$1,"T.InventTrans","Count|RecId|0","","","","","","","ItemId|DatePhysical",$A15,"!""")</f>
        <v>#NAME?</v>
      </c>
    </row>
    <row r="16" spans="1:13" x14ac:dyDescent="0.25">
      <c r="A16" t="s">
        <v>28</v>
      </c>
      <c r="B16" t="s">
        <v>29</v>
      </c>
      <c r="C16" t="e">
        <f ca="1">_xll.AtlasFormulas.AtlasFunctions.AtlasBalance("PROD",C$1,"T.InventTrans","Count|RecId|0","","","","","","","ItemId|DatePhysical",$A16,"!""")</f>
        <v>#NAME?</v>
      </c>
      <c r="D16" t="e">
        <f ca="1">_xll.AtlasFormulas.AtlasFunctions.AtlasBalance("PROD",D$1,"T.InventTrans","Count|RecId|0","","","","","","","ItemId|DatePhysical",$A16,"!""")</f>
        <v>#NAME?</v>
      </c>
      <c r="E16" t="e">
        <f ca="1">_xll.AtlasFormulas.AtlasFunctions.AtlasBalance("PROD",E$1,"T.InventTrans","Count|RecId|0","","","","","","","ItemId|DatePhysical",$A16,"!""")</f>
        <v>#NAME?</v>
      </c>
      <c r="F16" t="e">
        <f ca="1">_xll.AtlasFormulas.AtlasFunctions.AtlasBalance("PROD",F$1,"T.InventTrans","Count|RecId|0","","","","","","","ItemId|DatePhysical",$A16,"!""")</f>
        <v>#NAME?</v>
      </c>
      <c r="G16" t="e">
        <f ca="1">_xll.AtlasFormulas.AtlasFunctions.AtlasBalance("PROD",G$1,"T.InventTrans","Count|RecId|0","","","","","","","ItemId|DatePhysical",$A16,"!""")</f>
        <v>#NAME?</v>
      </c>
      <c r="H16" t="e">
        <f ca="1">_xll.AtlasFormulas.AtlasFunctions.AtlasBalance("PROD",H$1,"T.InventTrans","Count|RecId|0","","","","","","","ItemId|DatePhysical",$A16,"!""")</f>
        <v>#NAME?</v>
      </c>
      <c r="I16" t="e">
        <f ca="1">_xll.AtlasFormulas.AtlasFunctions.AtlasBalance("PROD",I$1,"T.InventTrans","Count|RecId|0","","","","","","","ItemId|DatePhysical",$A16,"!""")</f>
        <v>#NAME?</v>
      </c>
      <c r="J16" t="e">
        <f ca="1">_xll.AtlasFormulas.AtlasFunctions.AtlasBalance("PROD",J$1,"T.InventTrans","Count|RecId|0","","","","","","","ItemId|DatePhysical",$A16,"!""")</f>
        <v>#NAME?</v>
      </c>
      <c r="K16" t="e">
        <f ca="1">_xll.AtlasFormulas.AtlasFunctions.AtlasBalance("PROD",K$1,"T.InventTrans","Count|RecId|0","","","","","","","ItemId|DatePhysical",$A16,"!""")</f>
        <v>#NAME?</v>
      </c>
      <c r="L16" t="e">
        <f ca="1">_xll.AtlasFormulas.AtlasFunctions.AtlasBalance("PROD",L$1,"T.InventTrans","Count|RecId|0","","","","","","","ItemId|DatePhysical",$A16,"!""")</f>
        <v>#NAME?</v>
      </c>
      <c r="M16" t="e">
        <f ca="1">_xll.AtlasFormulas.AtlasFunctions.AtlasBalance("PROD",M$1,"T.InventTrans","Count|RecId|0","","","","","","","ItemId|DatePhysical",$A16,"!""")</f>
        <v>#NAME?</v>
      </c>
    </row>
    <row r="17" spans="1:13" x14ac:dyDescent="0.25">
      <c r="A17" t="s">
        <v>30</v>
      </c>
      <c r="B17" t="s">
        <v>31</v>
      </c>
      <c r="C17" t="e">
        <f ca="1">_xll.AtlasFormulas.AtlasFunctions.AtlasBalance("PROD",C$1,"T.InventTrans","Count|RecId|0","","","","","","","ItemId|DatePhysical",$A17,"!""")</f>
        <v>#NAME?</v>
      </c>
      <c r="D17" t="e">
        <f ca="1">_xll.AtlasFormulas.AtlasFunctions.AtlasBalance("PROD",D$1,"T.InventTrans","Count|RecId|0","","","","","","","ItemId|DatePhysical",$A17,"!""")</f>
        <v>#NAME?</v>
      </c>
      <c r="E17" t="e">
        <f ca="1">_xll.AtlasFormulas.AtlasFunctions.AtlasBalance("PROD",E$1,"T.InventTrans","Count|RecId|0","","","","","","","ItemId|DatePhysical",$A17,"!""")</f>
        <v>#NAME?</v>
      </c>
      <c r="F17" t="e">
        <f ca="1">_xll.AtlasFormulas.AtlasFunctions.AtlasBalance("PROD",F$1,"T.InventTrans","Count|RecId|0","","","","","","","ItemId|DatePhysical",$A17,"!""")</f>
        <v>#NAME?</v>
      </c>
      <c r="G17" t="e">
        <f ca="1">_xll.AtlasFormulas.AtlasFunctions.AtlasBalance("PROD",G$1,"T.InventTrans","Count|RecId|0","","","","","","","ItemId|DatePhysical",$A17,"!""")</f>
        <v>#NAME?</v>
      </c>
      <c r="H17" t="e">
        <f ca="1">_xll.AtlasFormulas.AtlasFunctions.AtlasBalance("PROD",H$1,"T.InventTrans","Count|RecId|0","","","","","","","ItemId|DatePhysical",$A17,"!""")</f>
        <v>#NAME?</v>
      </c>
      <c r="I17" t="e">
        <f ca="1">_xll.AtlasFormulas.AtlasFunctions.AtlasBalance("PROD",I$1,"T.InventTrans","Count|RecId|0","","","","","","","ItemId|DatePhysical",$A17,"!""")</f>
        <v>#NAME?</v>
      </c>
      <c r="J17" t="e">
        <f ca="1">_xll.AtlasFormulas.AtlasFunctions.AtlasBalance("PROD",J$1,"T.InventTrans","Count|RecId|0","","","","","","","ItemId|DatePhysical",$A17,"!""")</f>
        <v>#NAME?</v>
      </c>
      <c r="K17" t="e">
        <f ca="1">_xll.AtlasFormulas.AtlasFunctions.AtlasBalance("PROD",K$1,"T.InventTrans","Count|RecId|0","","","","","","","ItemId|DatePhysical",$A17,"!""")</f>
        <v>#NAME?</v>
      </c>
      <c r="L17" t="e">
        <f ca="1">_xll.AtlasFormulas.AtlasFunctions.AtlasBalance("PROD",L$1,"T.InventTrans","Count|RecId|0","","","","","","","ItemId|DatePhysical",$A17,"!""")</f>
        <v>#NAME?</v>
      </c>
      <c r="M17" t="e">
        <f ca="1">_xll.AtlasFormulas.AtlasFunctions.AtlasBalance("PROD",M$1,"T.InventTrans","Count|RecId|0","","","","","","","ItemId|DatePhysical",$A17,"!""")</f>
        <v>#NAME?</v>
      </c>
    </row>
    <row r="18" spans="1:13" x14ac:dyDescent="0.25">
      <c r="A18" t="s">
        <v>32</v>
      </c>
      <c r="B18" t="s">
        <v>33</v>
      </c>
      <c r="C18" t="e">
        <f ca="1">_xll.AtlasFormulas.AtlasFunctions.AtlasBalance("PROD",C$1,"T.InventTrans","Count|RecId|0","","","","","","","ItemId|DatePhysical",$A18,"!""")</f>
        <v>#NAME?</v>
      </c>
      <c r="D18" t="e">
        <f ca="1">_xll.AtlasFormulas.AtlasFunctions.AtlasBalance("PROD",D$1,"T.InventTrans","Count|RecId|0","","","","","","","ItemId|DatePhysical",$A18,"!""")</f>
        <v>#NAME?</v>
      </c>
      <c r="E18" t="e">
        <f ca="1">_xll.AtlasFormulas.AtlasFunctions.AtlasBalance("PROD",E$1,"T.InventTrans","Count|RecId|0","","","","","","","ItemId|DatePhysical",$A18,"!""")</f>
        <v>#NAME?</v>
      </c>
      <c r="F18" t="e">
        <f ca="1">_xll.AtlasFormulas.AtlasFunctions.AtlasBalance("PROD",F$1,"T.InventTrans","Count|RecId|0","","","","","","","ItemId|DatePhysical",$A18,"!""")</f>
        <v>#NAME?</v>
      </c>
      <c r="G18" t="e">
        <f ca="1">_xll.AtlasFormulas.AtlasFunctions.AtlasBalance("PROD",G$1,"T.InventTrans","Count|RecId|0","","","","","","","ItemId|DatePhysical",$A18,"!""")</f>
        <v>#NAME?</v>
      </c>
      <c r="H18" t="e">
        <f ca="1">_xll.AtlasFormulas.AtlasFunctions.AtlasBalance("PROD",H$1,"T.InventTrans","Count|RecId|0","","","","","","","ItemId|DatePhysical",$A18,"!""")</f>
        <v>#NAME?</v>
      </c>
      <c r="I18" t="e">
        <f ca="1">_xll.AtlasFormulas.AtlasFunctions.AtlasBalance("PROD",I$1,"T.InventTrans","Count|RecId|0","","","","","","","ItemId|DatePhysical",$A18,"!""")</f>
        <v>#NAME?</v>
      </c>
      <c r="J18" t="e">
        <f ca="1">_xll.AtlasFormulas.AtlasFunctions.AtlasBalance("PROD",J$1,"T.InventTrans","Count|RecId|0","","","","","","","ItemId|DatePhysical",$A18,"!""")</f>
        <v>#NAME?</v>
      </c>
      <c r="K18" t="e">
        <f ca="1">_xll.AtlasFormulas.AtlasFunctions.AtlasBalance("PROD",K$1,"T.InventTrans","Count|RecId|0","","","","","","","ItemId|DatePhysical",$A18,"!""")</f>
        <v>#NAME?</v>
      </c>
      <c r="L18" t="e">
        <f ca="1">_xll.AtlasFormulas.AtlasFunctions.AtlasBalance("PROD",L$1,"T.InventTrans","Count|RecId|0","","","","","","","ItemId|DatePhysical",$A18,"!""")</f>
        <v>#NAME?</v>
      </c>
      <c r="M18" t="e">
        <f ca="1">_xll.AtlasFormulas.AtlasFunctions.AtlasBalance("PROD",M$1,"T.InventTrans","Count|RecId|0","","","","","","","ItemId|DatePhysical",$A18,"!""")</f>
        <v>#NAME?</v>
      </c>
    </row>
    <row r="19" spans="1:13" x14ac:dyDescent="0.25">
      <c r="A19" t="s">
        <v>34</v>
      </c>
      <c r="B19" t="s">
        <v>35</v>
      </c>
      <c r="C19" t="e">
        <f ca="1">_xll.AtlasFormulas.AtlasFunctions.AtlasBalance("PROD",C$1,"T.InventTrans","Count|RecId|0","","","","","","","ItemId|DatePhysical",$A19,"!""")</f>
        <v>#NAME?</v>
      </c>
      <c r="D19" t="e">
        <f ca="1">_xll.AtlasFormulas.AtlasFunctions.AtlasBalance("PROD",D$1,"T.InventTrans","Count|RecId|0","","","","","","","ItemId|DatePhysical",$A19,"!""")</f>
        <v>#NAME?</v>
      </c>
      <c r="E19" t="e">
        <f ca="1">_xll.AtlasFormulas.AtlasFunctions.AtlasBalance("PROD",E$1,"T.InventTrans","Count|RecId|0","","","","","","","ItemId|DatePhysical",$A19,"!""")</f>
        <v>#NAME?</v>
      </c>
      <c r="F19" t="e">
        <f ca="1">_xll.AtlasFormulas.AtlasFunctions.AtlasBalance("PROD",F$1,"T.InventTrans","Count|RecId|0","","","","","","","ItemId|DatePhysical",$A19,"!""")</f>
        <v>#NAME?</v>
      </c>
      <c r="G19" t="e">
        <f ca="1">_xll.AtlasFormulas.AtlasFunctions.AtlasBalance("PROD",G$1,"T.InventTrans","Count|RecId|0","","","","","","","ItemId|DatePhysical",$A19,"!""")</f>
        <v>#NAME?</v>
      </c>
      <c r="H19" t="e">
        <f ca="1">_xll.AtlasFormulas.AtlasFunctions.AtlasBalance("PROD",H$1,"T.InventTrans","Count|RecId|0","","","","","","","ItemId|DatePhysical",$A19,"!""")</f>
        <v>#NAME?</v>
      </c>
      <c r="I19" t="e">
        <f ca="1">_xll.AtlasFormulas.AtlasFunctions.AtlasBalance("PROD",I$1,"T.InventTrans","Count|RecId|0","","","","","","","ItemId|DatePhysical",$A19,"!""")</f>
        <v>#NAME?</v>
      </c>
      <c r="J19" t="e">
        <f ca="1">_xll.AtlasFormulas.AtlasFunctions.AtlasBalance("PROD",J$1,"T.InventTrans","Count|RecId|0","","","","","","","ItemId|DatePhysical",$A19,"!""")</f>
        <v>#NAME?</v>
      </c>
      <c r="K19" t="e">
        <f ca="1">_xll.AtlasFormulas.AtlasFunctions.AtlasBalance("PROD",K$1,"T.InventTrans","Count|RecId|0","","","","","","","ItemId|DatePhysical",$A19,"!""")</f>
        <v>#NAME?</v>
      </c>
      <c r="L19" t="e">
        <f ca="1">_xll.AtlasFormulas.AtlasFunctions.AtlasBalance("PROD",L$1,"T.InventTrans","Count|RecId|0","","","","","","","ItemId|DatePhysical",$A19,"!""")</f>
        <v>#NAME?</v>
      </c>
      <c r="M19" t="e">
        <f ca="1">_xll.AtlasFormulas.AtlasFunctions.AtlasBalance("PROD",M$1,"T.InventTrans","Count|RecId|0","","","","","","","ItemId|DatePhysical",$A19,"!""")</f>
        <v>#NAME?</v>
      </c>
    </row>
    <row r="20" spans="1:13" x14ac:dyDescent="0.25">
      <c r="A20" t="s">
        <v>36</v>
      </c>
      <c r="B20" t="s">
        <v>37</v>
      </c>
      <c r="C20" t="e">
        <f ca="1">_xll.AtlasFormulas.AtlasFunctions.AtlasBalance("PROD",C$1,"T.InventTrans","Count|RecId|0","","","","","","","ItemId|DatePhysical",$A20,"!""")</f>
        <v>#NAME?</v>
      </c>
      <c r="D20" t="e">
        <f ca="1">_xll.AtlasFormulas.AtlasFunctions.AtlasBalance("PROD",D$1,"T.InventTrans","Count|RecId|0","","","","","","","ItemId|DatePhysical",$A20,"!""")</f>
        <v>#NAME?</v>
      </c>
      <c r="E20" t="e">
        <f ca="1">_xll.AtlasFormulas.AtlasFunctions.AtlasBalance("PROD",E$1,"T.InventTrans","Count|RecId|0","","","","","","","ItemId|DatePhysical",$A20,"!""")</f>
        <v>#NAME?</v>
      </c>
      <c r="F20" t="e">
        <f ca="1">_xll.AtlasFormulas.AtlasFunctions.AtlasBalance("PROD",F$1,"T.InventTrans","Count|RecId|0","","","","","","","ItemId|DatePhysical",$A20,"!""")</f>
        <v>#NAME?</v>
      </c>
      <c r="G20" t="e">
        <f ca="1">_xll.AtlasFormulas.AtlasFunctions.AtlasBalance("PROD",G$1,"T.InventTrans","Count|RecId|0","","","","","","","ItemId|DatePhysical",$A20,"!""")</f>
        <v>#NAME?</v>
      </c>
      <c r="H20" t="e">
        <f ca="1">_xll.AtlasFormulas.AtlasFunctions.AtlasBalance("PROD",H$1,"T.InventTrans","Count|RecId|0","","","","","","","ItemId|DatePhysical",$A20,"!""")</f>
        <v>#NAME?</v>
      </c>
      <c r="I20" t="e">
        <f ca="1">_xll.AtlasFormulas.AtlasFunctions.AtlasBalance("PROD",I$1,"T.InventTrans","Count|RecId|0","","","","","","","ItemId|DatePhysical",$A20,"!""")</f>
        <v>#NAME?</v>
      </c>
      <c r="J20" t="e">
        <f ca="1">_xll.AtlasFormulas.AtlasFunctions.AtlasBalance("PROD",J$1,"T.InventTrans","Count|RecId|0","","","","","","","ItemId|DatePhysical",$A20,"!""")</f>
        <v>#NAME?</v>
      </c>
      <c r="K20" t="e">
        <f ca="1">_xll.AtlasFormulas.AtlasFunctions.AtlasBalance("PROD",K$1,"T.InventTrans","Count|RecId|0","","","","","","","ItemId|DatePhysical",$A20,"!""")</f>
        <v>#NAME?</v>
      </c>
      <c r="L20" t="e">
        <f ca="1">_xll.AtlasFormulas.AtlasFunctions.AtlasBalance("PROD",L$1,"T.InventTrans","Count|RecId|0","","","","","","","ItemId|DatePhysical",$A20,"!""")</f>
        <v>#NAME?</v>
      </c>
      <c r="M20" t="e">
        <f ca="1">_xll.AtlasFormulas.AtlasFunctions.AtlasBalance("PROD",M$1,"T.InventTrans","Count|RecId|0","","","","","","","ItemId|DatePhysical",$A20,"!""")</f>
        <v>#NAME?</v>
      </c>
    </row>
    <row r="21" spans="1:13" x14ac:dyDescent="0.25">
      <c r="A21" t="s">
        <v>38</v>
      </c>
      <c r="B21" t="s">
        <v>39</v>
      </c>
      <c r="C21" t="e">
        <f ca="1">_xll.AtlasFormulas.AtlasFunctions.AtlasBalance("PROD",C$1,"T.InventTrans","Count|RecId|0","","","","","","","ItemId|DatePhysical",$A21,"!""")</f>
        <v>#NAME?</v>
      </c>
      <c r="D21" t="e">
        <f ca="1">_xll.AtlasFormulas.AtlasFunctions.AtlasBalance("PROD",D$1,"T.InventTrans","Count|RecId|0","","","","","","","ItemId|DatePhysical",$A21,"!""")</f>
        <v>#NAME?</v>
      </c>
      <c r="E21" t="e">
        <f ca="1">_xll.AtlasFormulas.AtlasFunctions.AtlasBalance("PROD",E$1,"T.InventTrans","Count|RecId|0","","","","","","","ItemId|DatePhysical",$A21,"!""")</f>
        <v>#NAME?</v>
      </c>
      <c r="F21" t="e">
        <f ca="1">_xll.AtlasFormulas.AtlasFunctions.AtlasBalance("PROD",F$1,"T.InventTrans","Count|RecId|0","","","","","","","ItemId|DatePhysical",$A21,"!""")</f>
        <v>#NAME?</v>
      </c>
      <c r="G21" t="e">
        <f ca="1">_xll.AtlasFormulas.AtlasFunctions.AtlasBalance("PROD",G$1,"T.InventTrans","Count|RecId|0","","","","","","","ItemId|DatePhysical",$A21,"!""")</f>
        <v>#NAME?</v>
      </c>
      <c r="H21" t="e">
        <f ca="1">_xll.AtlasFormulas.AtlasFunctions.AtlasBalance("PROD",H$1,"T.InventTrans","Count|RecId|0","","","","","","","ItemId|DatePhysical",$A21,"!""")</f>
        <v>#NAME?</v>
      </c>
      <c r="I21" t="e">
        <f ca="1">_xll.AtlasFormulas.AtlasFunctions.AtlasBalance("PROD",I$1,"T.InventTrans","Count|RecId|0","","","","","","","ItemId|DatePhysical",$A21,"!""")</f>
        <v>#NAME?</v>
      </c>
      <c r="J21" t="e">
        <f ca="1">_xll.AtlasFormulas.AtlasFunctions.AtlasBalance("PROD",J$1,"T.InventTrans","Count|RecId|0","","","","","","","ItemId|DatePhysical",$A21,"!""")</f>
        <v>#NAME?</v>
      </c>
      <c r="K21" t="e">
        <f ca="1">_xll.AtlasFormulas.AtlasFunctions.AtlasBalance("PROD",K$1,"T.InventTrans","Count|RecId|0","","","","","","","ItemId|DatePhysical",$A21,"!""")</f>
        <v>#NAME?</v>
      </c>
      <c r="L21" t="e">
        <f ca="1">_xll.AtlasFormulas.AtlasFunctions.AtlasBalance("PROD",L$1,"T.InventTrans","Count|RecId|0","","","","","","","ItemId|DatePhysical",$A21,"!""")</f>
        <v>#NAME?</v>
      </c>
      <c r="M21" t="e">
        <f ca="1">_xll.AtlasFormulas.AtlasFunctions.AtlasBalance("PROD",M$1,"T.InventTrans","Count|RecId|0","","","","","","","ItemId|DatePhysical",$A21,"!""")</f>
        <v>#NAME?</v>
      </c>
    </row>
    <row r="22" spans="1:13" x14ac:dyDescent="0.25">
      <c r="A22" t="s">
        <v>40</v>
      </c>
      <c r="B22" t="s">
        <v>41</v>
      </c>
      <c r="C22" t="e">
        <f ca="1">_xll.AtlasFormulas.AtlasFunctions.AtlasBalance("PROD",C$1,"T.InventTrans","Count|RecId|0","","","","","","","ItemId|DatePhysical",$A22,"!""")</f>
        <v>#NAME?</v>
      </c>
      <c r="D22" t="e">
        <f ca="1">_xll.AtlasFormulas.AtlasFunctions.AtlasBalance("PROD",D$1,"T.InventTrans","Count|RecId|0","","","","","","","ItemId|DatePhysical",$A22,"!""")</f>
        <v>#NAME?</v>
      </c>
      <c r="E22" t="e">
        <f ca="1">_xll.AtlasFormulas.AtlasFunctions.AtlasBalance("PROD",E$1,"T.InventTrans","Count|RecId|0","","","","","","","ItemId|DatePhysical",$A22,"!""")</f>
        <v>#NAME?</v>
      </c>
      <c r="F22" t="e">
        <f ca="1">_xll.AtlasFormulas.AtlasFunctions.AtlasBalance("PROD",F$1,"T.InventTrans","Count|RecId|0","","","","","","","ItemId|DatePhysical",$A22,"!""")</f>
        <v>#NAME?</v>
      </c>
      <c r="G22" t="e">
        <f ca="1">_xll.AtlasFormulas.AtlasFunctions.AtlasBalance("PROD",G$1,"T.InventTrans","Count|RecId|0","","","","","","","ItemId|DatePhysical",$A22,"!""")</f>
        <v>#NAME?</v>
      </c>
      <c r="H22" t="e">
        <f ca="1">_xll.AtlasFormulas.AtlasFunctions.AtlasBalance("PROD",H$1,"T.InventTrans","Count|RecId|0","","","","","","","ItemId|DatePhysical",$A22,"!""")</f>
        <v>#NAME?</v>
      </c>
      <c r="I22" t="e">
        <f ca="1">_xll.AtlasFormulas.AtlasFunctions.AtlasBalance("PROD",I$1,"T.InventTrans","Count|RecId|0","","","","","","","ItemId|DatePhysical",$A22,"!""")</f>
        <v>#NAME?</v>
      </c>
      <c r="J22" t="e">
        <f ca="1">_xll.AtlasFormulas.AtlasFunctions.AtlasBalance("PROD",J$1,"T.InventTrans","Count|RecId|0","","","","","","","ItemId|DatePhysical",$A22,"!""")</f>
        <v>#NAME?</v>
      </c>
      <c r="K22" t="e">
        <f ca="1">_xll.AtlasFormulas.AtlasFunctions.AtlasBalance("PROD",K$1,"T.InventTrans","Count|RecId|0","","","","","","","ItemId|DatePhysical",$A22,"!""")</f>
        <v>#NAME?</v>
      </c>
      <c r="L22" t="e">
        <f ca="1">_xll.AtlasFormulas.AtlasFunctions.AtlasBalance("PROD",L$1,"T.InventTrans","Count|RecId|0","","","","","","","ItemId|DatePhysical",$A22,"!""")</f>
        <v>#NAME?</v>
      </c>
      <c r="M22" t="e">
        <f ca="1">_xll.AtlasFormulas.AtlasFunctions.AtlasBalance("PROD",M$1,"T.InventTrans","Count|RecId|0","","","","","","","ItemId|DatePhysical",$A22,"!""")</f>
        <v>#NAME?</v>
      </c>
    </row>
    <row r="23" spans="1:13" x14ac:dyDescent="0.25">
      <c r="A23" t="s">
        <v>42</v>
      </c>
      <c r="B23" t="s">
        <v>43</v>
      </c>
      <c r="C23" t="e">
        <f ca="1">_xll.AtlasFormulas.AtlasFunctions.AtlasBalance("PROD",C$1,"T.InventTrans","Count|RecId|0","","","","","","","ItemId|DatePhysical",$A23,"!""")</f>
        <v>#NAME?</v>
      </c>
      <c r="D23" t="e">
        <f ca="1">_xll.AtlasFormulas.AtlasFunctions.AtlasBalance("PROD",D$1,"T.InventTrans","Count|RecId|0","","","","","","","ItemId|DatePhysical",$A23,"!""")</f>
        <v>#NAME?</v>
      </c>
      <c r="E23" t="e">
        <f ca="1">_xll.AtlasFormulas.AtlasFunctions.AtlasBalance("PROD",E$1,"T.InventTrans","Count|RecId|0","","","","","","","ItemId|DatePhysical",$A23,"!""")</f>
        <v>#NAME?</v>
      </c>
      <c r="F23" t="e">
        <f ca="1">_xll.AtlasFormulas.AtlasFunctions.AtlasBalance("PROD",F$1,"T.InventTrans","Count|RecId|0","","","","","","","ItemId|DatePhysical",$A23,"!""")</f>
        <v>#NAME?</v>
      </c>
      <c r="G23" t="e">
        <f ca="1">_xll.AtlasFormulas.AtlasFunctions.AtlasBalance("PROD",G$1,"T.InventTrans","Count|RecId|0","","","","","","","ItemId|DatePhysical",$A23,"!""")</f>
        <v>#NAME?</v>
      </c>
      <c r="H23" t="e">
        <f ca="1">_xll.AtlasFormulas.AtlasFunctions.AtlasBalance("PROD",H$1,"T.InventTrans","Count|RecId|0","","","","","","","ItemId|DatePhysical",$A23,"!""")</f>
        <v>#NAME?</v>
      </c>
      <c r="I23" t="e">
        <f ca="1">_xll.AtlasFormulas.AtlasFunctions.AtlasBalance("PROD",I$1,"T.InventTrans","Count|RecId|0","","","","","","","ItemId|DatePhysical",$A23,"!""")</f>
        <v>#NAME?</v>
      </c>
      <c r="J23" t="e">
        <f ca="1">_xll.AtlasFormulas.AtlasFunctions.AtlasBalance("PROD",J$1,"T.InventTrans","Count|RecId|0","","","","","","","ItemId|DatePhysical",$A23,"!""")</f>
        <v>#NAME?</v>
      </c>
      <c r="K23" t="e">
        <f ca="1">_xll.AtlasFormulas.AtlasFunctions.AtlasBalance("PROD",K$1,"T.InventTrans","Count|RecId|0","","","","","","","ItemId|DatePhysical",$A23,"!""")</f>
        <v>#NAME?</v>
      </c>
      <c r="L23" t="e">
        <f ca="1">_xll.AtlasFormulas.AtlasFunctions.AtlasBalance("PROD",L$1,"T.InventTrans","Count|RecId|0","","","","","","","ItemId|DatePhysical",$A23,"!""")</f>
        <v>#NAME?</v>
      </c>
      <c r="M23" t="e">
        <f ca="1">_xll.AtlasFormulas.AtlasFunctions.AtlasBalance("PROD",M$1,"T.InventTrans","Count|RecId|0","","","","","","","ItemId|DatePhysical",$A23,"!""")</f>
        <v>#NAME?</v>
      </c>
    </row>
    <row r="24" spans="1:13" x14ac:dyDescent="0.25">
      <c r="A24" t="s">
        <v>44</v>
      </c>
      <c r="B24" t="s">
        <v>45</v>
      </c>
      <c r="C24" t="e">
        <f ca="1">_xll.AtlasFormulas.AtlasFunctions.AtlasBalance("PROD",C$1,"T.InventTrans","Count|RecId|0","","","","","","","ItemId|DatePhysical",$A24,"!""")</f>
        <v>#NAME?</v>
      </c>
      <c r="D24" t="e">
        <f ca="1">_xll.AtlasFormulas.AtlasFunctions.AtlasBalance("PROD",D$1,"T.InventTrans","Count|RecId|0","","","","","","","ItemId|DatePhysical",$A24,"!""")</f>
        <v>#NAME?</v>
      </c>
      <c r="E24" t="e">
        <f ca="1">_xll.AtlasFormulas.AtlasFunctions.AtlasBalance("PROD",E$1,"T.InventTrans","Count|RecId|0","","","","","","","ItemId|DatePhysical",$A24,"!""")</f>
        <v>#NAME?</v>
      </c>
      <c r="F24" t="e">
        <f ca="1">_xll.AtlasFormulas.AtlasFunctions.AtlasBalance("PROD",F$1,"T.InventTrans","Count|RecId|0","","","","","","","ItemId|DatePhysical",$A24,"!""")</f>
        <v>#NAME?</v>
      </c>
      <c r="G24" t="e">
        <f ca="1">_xll.AtlasFormulas.AtlasFunctions.AtlasBalance("PROD",G$1,"T.InventTrans","Count|RecId|0","","","","","","","ItemId|DatePhysical",$A24,"!""")</f>
        <v>#NAME?</v>
      </c>
      <c r="H24" t="e">
        <f ca="1">_xll.AtlasFormulas.AtlasFunctions.AtlasBalance("PROD",H$1,"T.InventTrans","Count|RecId|0","","","","","","","ItemId|DatePhysical",$A24,"!""")</f>
        <v>#NAME?</v>
      </c>
      <c r="I24" t="e">
        <f ca="1">_xll.AtlasFormulas.AtlasFunctions.AtlasBalance("PROD",I$1,"T.InventTrans","Count|RecId|0","","","","","","","ItemId|DatePhysical",$A24,"!""")</f>
        <v>#NAME?</v>
      </c>
      <c r="J24" t="e">
        <f ca="1">_xll.AtlasFormulas.AtlasFunctions.AtlasBalance("PROD",J$1,"T.InventTrans","Count|RecId|0","","","","","","","ItemId|DatePhysical",$A24,"!""")</f>
        <v>#NAME?</v>
      </c>
      <c r="K24" t="e">
        <f ca="1">_xll.AtlasFormulas.AtlasFunctions.AtlasBalance("PROD",K$1,"T.InventTrans","Count|RecId|0","","","","","","","ItemId|DatePhysical",$A24,"!""")</f>
        <v>#NAME?</v>
      </c>
      <c r="L24" t="e">
        <f ca="1">_xll.AtlasFormulas.AtlasFunctions.AtlasBalance("PROD",L$1,"T.InventTrans","Count|RecId|0","","","","","","","ItemId|DatePhysical",$A24,"!""")</f>
        <v>#NAME?</v>
      </c>
      <c r="M24" t="e">
        <f ca="1">_xll.AtlasFormulas.AtlasFunctions.AtlasBalance("PROD",M$1,"T.InventTrans","Count|RecId|0","","","","","","","ItemId|DatePhysical",$A24,"!""")</f>
        <v>#NAME?</v>
      </c>
    </row>
    <row r="25" spans="1:13" x14ac:dyDescent="0.25">
      <c r="A25" t="s">
        <v>46</v>
      </c>
      <c r="B25" t="s">
        <v>47</v>
      </c>
      <c r="C25" t="e">
        <f ca="1">_xll.AtlasFormulas.AtlasFunctions.AtlasBalance("PROD",C$1,"T.InventTrans","Count|RecId|0","","","","","","","ItemId|DatePhysical",$A25,"!""")</f>
        <v>#NAME?</v>
      </c>
      <c r="D25" t="e">
        <f ca="1">_xll.AtlasFormulas.AtlasFunctions.AtlasBalance("PROD",D$1,"T.InventTrans","Count|RecId|0","","","","","","","ItemId|DatePhysical",$A25,"!""")</f>
        <v>#NAME?</v>
      </c>
      <c r="E25" t="e">
        <f ca="1">_xll.AtlasFormulas.AtlasFunctions.AtlasBalance("PROD",E$1,"T.InventTrans","Count|RecId|0","","","","","","","ItemId|DatePhysical",$A25,"!""")</f>
        <v>#NAME?</v>
      </c>
      <c r="F25" t="e">
        <f ca="1">_xll.AtlasFormulas.AtlasFunctions.AtlasBalance("PROD",F$1,"T.InventTrans","Count|RecId|0","","","","","","","ItemId|DatePhysical",$A25,"!""")</f>
        <v>#NAME?</v>
      </c>
      <c r="G25" t="e">
        <f ca="1">_xll.AtlasFormulas.AtlasFunctions.AtlasBalance("PROD",G$1,"T.InventTrans","Count|RecId|0","","","","","","","ItemId|DatePhysical",$A25,"!""")</f>
        <v>#NAME?</v>
      </c>
      <c r="H25" t="e">
        <f ca="1">_xll.AtlasFormulas.AtlasFunctions.AtlasBalance("PROD",H$1,"T.InventTrans","Count|RecId|0","","","","","","","ItemId|DatePhysical",$A25,"!""")</f>
        <v>#NAME?</v>
      </c>
      <c r="I25" t="e">
        <f ca="1">_xll.AtlasFormulas.AtlasFunctions.AtlasBalance("PROD",I$1,"T.InventTrans","Count|RecId|0","","","","","","","ItemId|DatePhysical",$A25,"!""")</f>
        <v>#NAME?</v>
      </c>
      <c r="J25" t="e">
        <f ca="1">_xll.AtlasFormulas.AtlasFunctions.AtlasBalance("PROD",J$1,"T.InventTrans","Count|RecId|0","","","","","","","ItemId|DatePhysical",$A25,"!""")</f>
        <v>#NAME?</v>
      </c>
      <c r="K25" t="e">
        <f ca="1">_xll.AtlasFormulas.AtlasFunctions.AtlasBalance("PROD",K$1,"T.InventTrans","Count|RecId|0","","","","","","","ItemId|DatePhysical",$A25,"!""")</f>
        <v>#NAME?</v>
      </c>
      <c r="L25" t="e">
        <f ca="1">_xll.AtlasFormulas.AtlasFunctions.AtlasBalance("PROD",L$1,"T.InventTrans","Count|RecId|0","","","","","","","ItemId|DatePhysical",$A25,"!""")</f>
        <v>#NAME?</v>
      </c>
      <c r="M25" t="e">
        <f ca="1">_xll.AtlasFormulas.AtlasFunctions.AtlasBalance("PROD",M$1,"T.InventTrans","Count|RecId|0","","","","","","","ItemId|DatePhysical",$A25,"!""")</f>
        <v>#NAME?</v>
      </c>
    </row>
    <row r="26" spans="1:13" x14ac:dyDescent="0.25">
      <c r="A26" t="s">
        <v>48</v>
      </c>
      <c r="B26" t="s">
        <v>49</v>
      </c>
      <c r="C26" t="e">
        <f ca="1">_xll.AtlasFormulas.AtlasFunctions.AtlasBalance("PROD",C$1,"T.InventTrans","Count|RecId|0","","","","","","","ItemId|DatePhysical",$A26,"!""")</f>
        <v>#NAME?</v>
      </c>
      <c r="D26" t="e">
        <f ca="1">_xll.AtlasFormulas.AtlasFunctions.AtlasBalance("PROD",D$1,"T.InventTrans","Count|RecId|0","","","","","","","ItemId|DatePhysical",$A26,"!""")</f>
        <v>#NAME?</v>
      </c>
      <c r="E26" t="e">
        <f ca="1">_xll.AtlasFormulas.AtlasFunctions.AtlasBalance("PROD",E$1,"T.InventTrans","Count|RecId|0","","","","","","","ItemId|DatePhysical",$A26,"!""")</f>
        <v>#NAME?</v>
      </c>
      <c r="F26" t="e">
        <f ca="1">_xll.AtlasFormulas.AtlasFunctions.AtlasBalance("PROD",F$1,"T.InventTrans","Count|RecId|0","","","","","","","ItemId|DatePhysical",$A26,"!""")</f>
        <v>#NAME?</v>
      </c>
      <c r="G26" t="e">
        <f ca="1">_xll.AtlasFormulas.AtlasFunctions.AtlasBalance("PROD",G$1,"T.InventTrans","Count|RecId|0","","","","","","","ItemId|DatePhysical",$A26,"!""")</f>
        <v>#NAME?</v>
      </c>
      <c r="H26" t="e">
        <f ca="1">_xll.AtlasFormulas.AtlasFunctions.AtlasBalance("PROD",H$1,"T.InventTrans","Count|RecId|0","","","","","","","ItemId|DatePhysical",$A26,"!""")</f>
        <v>#NAME?</v>
      </c>
      <c r="I26" t="e">
        <f ca="1">_xll.AtlasFormulas.AtlasFunctions.AtlasBalance("PROD",I$1,"T.InventTrans","Count|RecId|0","","","","","","","ItemId|DatePhysical",$A26,"!""")</f>
        <v>#NAME?</v>
      </c>
      <c r="J26" t="e">
        <f ca="1">_xll.AtlasFormulas.AtlasFunctions.AtlasBalance("PROD",J$1,"T.InventTrans","Count|RecId|0","","","","","","","ItemId|DatePhysical",$A26,"!""")</f>
        <v>#NAME?</v>
      </c>
      <c r="K26" t="e">
        <f ca="1">_xll.AtlasFormulas.AtlasFunctions.AtlasBalance("PROD",K$1,"T.InventTrans","Count|RecId|0","","","","","","","ItemId|DatePhysical",$A26,"!""")</f>
        <v>#NAME?</v>
      </c>
      <c r="L26" t="e">
        <f ca="1">_xll.AtlasFormulas.AtlasFunctions.AtlasBalance("PROD",L$1,"T.InventTrans","Count|RecId|0","","","","","","","ItemId|DatePhysical",$A26,"!""")</f>
        <v>#NAME?</v>
      </c>
      <c r="M26" t="e">
        <f ca="1">_xll.AtlasFormulas.AtlasFunctions.AtlasBalance("PROD",M$1,"T.InventTrans","Count|RecId|0","","","","","","","ItemId|DatePhysical",$A26,"!""")</f>
        <v>#NAME?</v>
      </c>
    </row>
    <row r="27" spans="1:13" x14ac:dyDescent="0.25">
      <c r="A27" t="s">
        <v>50</v>
      </c>
      <c r="B27" t="s">
        <v>51</v>
      </c>
      <c r="C27" t="e">
        <f ca="1">_xll.AtlasFormulas.AtlasFunctions.AtlasBalance("PROD",C$1,"T.InventTrans","Count|RecId|0","","","","","","","ItemId|DatePhysical",$A27,"!""")</f>
        <v>#NAME?</v>
      </c>
      <c r="D27" t="e">
        <f ca="1">_xll.AtlasFormulas.AtlasFunctions.AtlasBalance("PROD",D$1,"T.InventTrans","Count|RecId|0","","","","","","","ItemId|DatePhysical",$A27,"!""")</f>
        <v>#NAME?</v>
      </c>
      <c r="E27" t="e">
        <f ca="1">_xll.AtlasFormulas.AtlasFunctions.AtlasBalance("PROD",E$1,"T.InventTrans","Count|RecId|0","","","","","","","ItemId|DatePhysical",$A27,"!""")</f>
        <v>#NAME?</v>
      </c>
      <c r="F27" t="e">
        <f ca="1">_xll.AtlasFormulas.AtlasFunctions.AtlasBalance("PROD",F$1,"T.InventTrans","Count|RecId|0","","","","","","","ItemId|DatePhysical",$A27,"!""")</f>
        <v>#NAME?</v>
      </c>
      <c r="G27" t="e">
        <f ca="1">_xll.AtlasFormulas.AtlasFunctions.AtlasBalance("PROD",G$1,"T.InventTrans","Count|RecId|0","","","","","","","ItemId|DatePhysical",$A27,"!""")</f>
        <v>#NAME?</v>
      </c>
      <c r="H27" t="e">
        <f ca="1">_xll.AtlasFormulas.AtlasFunctions.AtlasBalance("PROD",H$1,"T.InventTrans","Count|RecId|0","","","","","","","ItemId|DatePhysical",$A27,"!""")</f>
        <v>#NAME?</v>
      </c>
      <c r="I27" t="e">
        <f ca="1">_xll.AtlasFormulas.AtlasFunctions.AtlasBalance("PROD",I$1,"T.InventTrans","Count|RecId|0","","","","","","","ItemId|DatePhysical",$A27,"!""")</f>
        <v>#NAME?</v>
      </c>
      <c r="J27" t="e">
        <f ca="1">_xll.AtlasFormulas.AtlasFunctions.AtlasBalance("PROD",J$1,"T.InventTrans","Count|RecId|0","","","","","","","ItemId|DatePhysical",$A27,"!""")</f>
        <v>#NAME?</v>
      </c>
      <c r="K27" t="e">
        <f ca="1">_xll.AtlasFormulas.AtlasFunctions.AtlasBalance("PROD",K$1,"T.InventTrans","Count|RecId|0","","","","","","","ItemId|DatePhysical",$A27,"!""")</f>
        <v>#NAME?</v>
      </c>
      <c r="L27" t="e">
        <f ca="1">_xll.AtlasFormulas.AtlasFunctions.AtlasBalance("PROD",L$1,"T.InventTrans","Count|RecId|0","","","","","","","ItemId|DatePhysical",$A27,"!""")</f>
        <v>#NAME?</v>
      </c>
      <c r="M27" t="e">
        <f ca="1">_xll.AtlasFormulas.AtlasFunctions.AtlasBalance("PROD",M$1,"T.InventTrans","Count|RecId|0","","","","","","","ItemId|DatePhysical",$A27,"!""")</f>
        <v>#NAME?</v>
      </c>
    </row>
    <row r="28" spans="1:13" x14ac:dyDescent="0.25">
      <c r="A28" t="s">
        <v>52</v>
      </c>
      <c r="B28" t="s">
        <v>53</v>
      </c>
      <c r="C28" t="e">
        <f ca="1">_xll.AtlasFormulas.AtlasFunctions.AtlasBalance("PROD",C$1,"T.InventTrans","Count|RecId|0","","","","","","","ItemId|DatePhysical",$A28,"!""")</f>
        <v>#NAME?</v>
      </c>
      <c r="D28" t="e">
        <f ca="1">_xll.AtlasFormulas.AtlasFunctions.AtlasBalance("PROD",D$1,"T.InventTrans","Count|RecId|0","","","","","","","ItemId|DatePhysical",$A28,"!""")</f>
        <v>#NAME?</v>
      </c>
      <c r="E28" t="e">
        <f ca="1">_xll.AtlasFormulas.AtlasFunctions.AtlasBalance("PROD",E$1,"T.InventTrans","Count|RecId|0","","","","","","","ItemId|DatePhysical",$A28,"!""")</f>
        <v>#NAME?</v>
      </c>
      <c r="F28" t="e">
        <f ca="1">_xll.AtlasFormulas.AtlasFunctions.AtlasBalance("PROD",F$1,"T.InventTrans","Count|RecId|0","","","","","","","ItemId|DatePhysical",$A28,"!""")</f>
        <v>#NAME?</v>
      </c>
      <c r="G28" t="e">
        <f ca="1">_xll.AtlasFormulas.AtlasFunctions.AtlasBalance("PROD",G$1,"T.InventTrans","Count|RecId|0","","","","","","","ItemId|DatePhysical",$A28,"!""")</f>
        <v>#NAME?</v>
      </c>
      <c r="H28" t="e">
        <f ca="1">_xll.AtlasFormulas.AtlasFunctions.AtlasBalance("PROD",H$1,"T.InventTrans","Count|RecId|0","","","","","","","ItemId|DatePhysical",$A28,"!""")</f>
        <v>#NAME?</v>
      </c>
      <c r="I28" t="e">
        <f ca="1">_xll.AtlasFormulas.AtlasFunctions.AtlasBalance("PROD",I$1,"T.InventTrans","Count|RecId|0","","","","","","","ItemId|DatePhysical",$A28,"!""")</f>
        <v>#NAME?</v>
      </c>
      <c r="J28" t="e">
        <f ca="1">_xll.AtlasFormulas.AtlasFunctions.AtlasBalance("PROD",J$1,"T.InventTrans","Count|RecId|0","","","","","","","ItemId|DatePhysical",$A28,"!""")</f>
        <v>#NAME?</v>
      </c>
      <c r="K28" t="e">
        <f ca="1">_xll.AtlasFormulas.AtlasFunctions.AtlasBalance("PROD",K$1,"T.InventTrans","Count|RecId|0","","","","","","","ItemId|DatePhysical",$A28,"!""")</f>
        <v>#NAME?</v>
      </c>
      <c r="L28" t="e">
        <f ca="1">_xll.AtlasFormulas.AtlasFunctions.AtlasBalance("PROD",L$1,"T.InventTrans","Count|RecId|0","","","","","","","ItemId|DatePhysical",$A28,"!""")</f>
        <v>#NAME?</v>
      </c>
      <c r="M28" t="e">
        <f ca="1">_xll.AtlasFormulas.AtlasFunctions.AtlasBalance("PROD",M$1,"T.InventTrans","Count|RecId|0","","","","","","","ItemId|DatePhysical",$A28,"!""")</f>
        <v>#NAME?</v>
      </c>
    </row>
    <row r="29" spans="1:13" x14ac:dyDescent="0.25">
      <c r="A29" t="s">
        <v>54</v>
      </c>
      <c r="B29" t="s">
        <v>55</v>
      </c>
      <c r="C29" t="e">
        <f ca="1">_xll.AtlasFormulas.AtlasFunctions.AtlasBalance("PROD",C$1,"T.InventTrans","Count|RecId|0","","","","","","","ItemId|DatePhysical",$A29,"!""")</f>
        <v>#NAME?</v>
      </c>
      <c r="D29" t="e">
        <f ca="1">_xll.AtlasFormulas.AtlasFunctions.AtlasBalance("PROD",D$1,"T.InventTrans","Count|RecId|0","","","","","","","ItemId|DatePhysical",$A29,"!""")</f>
        <v>#NAME?</v>
      </c>
      <c r="E29" t="e">
        <f ca="1">_xll.AtlasFormulas.AtlasFunctions.AtlasBalance("PROD",E$1,"T.InventTrans","Count|RecId|0","","","","","","","ItemId|DatePhysical",$A29,"!""")</f>
        <v>#NAME?</v>
      </c>
      <c r="F29" t="e">
        <f ca="1">_xll.AtlasFormulas.AtlasFunctions.AtlasBalance("PROD",F$1,"T.InventTrans","Count|RecId|0","","","","","","","ItemId|DatePhysical",$A29,"!""")</f>
        <v>#NAME?</v>
      </c>
      <c r="G29" t="e">
        <f ca="1">_xll.AtlasFormulas.AtlasFunctions.AtlasBalance("PROD",G$1,"T.InventTrans","Count|RecId|0","","","","","","","ItemId|DatePhysical",$A29,"!""")</f>
        <v>#NAME?</v>
      </c>
      <c r="H29" t="e">
        <f ca="1">_xll.AtlasFormulas.AtlasFunctions.AtlasBalance("PROD",H$1,"T.InventTrans","Count|RecId|0","","","","","","","ItemId|DatePhysical",$A29,"!""")</f>
        <v>#NAME?</v>
      </c>
      <c r="I29" t="e">
        <f ca="1">_xll.AtlasFormulas.AtlasFunctions.AtlasBalance("PROD",I$1,"T.InventTrans","Count|RecId|0","","","","","","","ItemId|DatePhysical",$A29,"!""")</f>
        <v>#NAME?</v>
      </c>
      <c r="J29" t="e">
        <f ca="1">_xll.AtlasFormulas.AtlasFunctions.AtlasBalance("PROD",J$1,"T.InventTrans","Count|RecId|0","","","","","","","ItemId|DatePhysical",$A29,"!""")</f>
        <v>#NAME?</v>
      </c>
      <c r="K29" t="e">
        <f ca="1">_xll.AtlasFormulas.AtlasFunctions.AtlasBalance("PROD",K$1,"T.InventTrans","Count|RecId|0","","","","","","","ItemId|DatePhysical",$A29,"!""")</f>
        <v>#NAME?</v>
      </c>
      <c r="L29" t="e">
        <f ca="1">_xll.AtlasFormulas.AtlasFunctions.AtlasBalance("PROD",L$1,"T.InventTrans","Count|RecId|0","","","","","","","ItemId|DatePhysical",$A29,"!""")</f>
        <v>#NAME?</v>
      </c>
      <c r="M29" t="e">
        <f ca="1">_xll.AtlasFormulas.AtlasFunctions.AtlasBalance("PROD",M$1,"T.InventTrans","Count|RecId|0","","","","","","","ItemId|DatePhysical",$A29,"!""")</f>
        <v>#NAME?</v>
      </c>
    </row>
    <row r="30" spans="1:13" x14ac:dyDescent="0.25">
      <c r="A30" t="s">
        <v>56</v>
      </c>
      <c r="B30" t="s">
        <v>57</v>
      </c>
      <c r="C30" t="e">
        <f ca="1">_xll.AtlasFormulas.AtlasFunctions.AtlasBalance("PROD",C$1,"T.InventTrans","Count|RecId|0","","","","","","","ItemId|DatePhysical",$A30,"!""")</f>
        <v>#NAME?</v>
      </c>
      <c r="D30" t="e">
        <f ca="1">_xll.AtlasFormulas.AtlasFunctions.AtlasBalance("PROD",D$1,"T.InventTrans","Count|RecId|0","","","","","","","ItemId|DatePhysical",$A30,"!""")</f>
        <v>#NAME?</v>
      </c>
      <c r="E30" t="e">
        <f ca="1">_xll.AtlasFormulas.AtlasFunctions.AtlasBalance("PROD",E$1,"T.InventTrans","Count|RecId|0","","","","","","","ItemId|DatePhysical",$A30,"!""")</f>
        <v>#NAME?</v>
      </c>
      <c r="F30" t="e">
        <f ca="1">_xll.AtlasFormulas.AtlasFunctions.AtlasBalance("PROD",F$1,"T.InventTrans","Count|RecId|0","","","","","","","ItemId|DatePhysical",$A30,"!""")</f>
        <v>#NAME?</v>
      </c>
      <c r="G30" t="e">
        <f ca="1">_xll.AtlasFormulas.AtlasFunctions.AtlasBalance("PROD",G$1,"T.InventTrans","Count|RecId|0","","","","","","","ItemId|DatePhysical",$A30,"!""")</f>
        <v>#NAME?</v>
      </c>
      <c r="H30" t="e">
        <f ca="1">_xll.AtlasFormulas.AtlasFunctions.AtlasBalance("PROD",H$1,"T.InventTrans","Count|RecId|0","","","","","","","ItemId|DatePhysical",$A30,"!""")</f>
        <v>#NAME?</v>
      </c>
      <c r="I30" t="e">
        <f ca="1">_xll.AtlasFormulas.AtlasFunctions.AtlasBalance("PROD",I$1,"T.InventTrans","Count|RecId|0","","","","","","","ItemId|DatePhysical",$A30,"!""")</f>
        <v>#NAME?</v>
      </c>
      <c r="J30" t="e">
        <f ca="1">_xll.AtlasFormulas.AtlasFunctions.AtlasBalance("PROD",J$1,"T.InventTrans","Count|RecId|0","","","","","","","ItemId|DatePhysical",$A30,"!""")</f>
        <v>#NAME?</v>
      </c>
      <c r="K30" t="e">
        <f ca="1">_xll.AtlasFormulas.AtlasFunctions.AtlasBalance("PROD",K$1,"T.InventTrans","Count|RecId|0","","","","","","","ItemId|DatePhysical",$A30,"!""")</f>
        <v>#NAME?</v>
      </c>
      <c r="L30" t="e">
        <f ca="1">_xll.AtlasFormulas.AtlasFunctions.AtlasBalance("PROD",L$1,"T.InventTrans","Count|RecId|0","","","","","","","ItemId|DatePhysical",$A30,"!""")</f>
        <v>#NAME?</v>
      </c>
      <c r="M30" t="e">
        <f ca="1">_xll.AtlasFormulas.AtlasFunctions.AtlasBalance("PROD",M$1,"T.InventTrans","Count|RecId|0","","","","","","","ItemId|DatePhysical",$A30,"!""")</f>
        <v>#NAME?</v>
      </c>
    </row>
    <row r="31" spans="1:13" x14ac:dyDescent="0.25">
      <c r="A31" t="s">
        <v>58</v>
      </c>
      <c r="B31" t="s">
        <v>59</v>
      </c>
      <c r="C31" t="e">
        <f ca="1">_xll.AtlasFormulas.AtlasFunctions.AtlasBalance("PROD",C$1,"T.InventTrans","Count|RecId|0","","","","","","","ItemId|DatePhysical",$A31,"!""")</f>
        <v>#NAME?</v>
      </c>
      <c r="D31" t="e">
        <f ca="1">_xll.AtlasFormulas.AtlasFunctions.AtlasBalance("PROD",D$1,"T.InventTrans","Count|RecId|0","","","","","","","ItemId|DatePhysical",$A31,"!""")</f>
        <v>#NAME?</v>
      </c>
      <c r="E31" t="e">
        <f ca="1">_xll.AtlasFormulas.AtlasFunctions.AtlasBalance("PROD",E$1,"T.InventTrans","Count|RecId|0","","","","","","","ItemId|DatePhysical",$A31,"!""")</f>
        <v>#NAME?</v>
      </c>
      <c r="F31" t="e">
        <f ca="1">_xll.AtlasFormulas.AtlasFunctions.AtlasBalance("PROD",F$1,"T.InventTrans","Count|RecId|0","","","","","","","ItemId|DatePhysical",$A31,"!""")</f>
        <v>#NAME?</v>
      </c>
      <c r="G31" t="e">
        <f ca="1">_xll.AtlasFormulas.AtlasFunctions.AtlasBalance("PROD",G$1,"T.InventTrans","Count|RecId|0","","","","","","","ItemId|DatePhysical",$A31,"!""")</f>
        <v>#NAME?</v>
      </c>
      <c r="H31" t="e">
        <f ca="1">_xll.AtlasFormulas.AtlasFunctions.AtlasBalance("PROD",H$1,"T.InventTrans","Count|RecId|0","","","","","","","ItemId|DatePhysical",$A31,"!""")</f>
        <v>#NAME?</v>
      </c>
      <c r="I31" t="e">
        <f ca="1">_xll.AtlasFormulas.AtlasFunctions.AtlasBalance("PROD",I$1,"T.InventTrans","Count|RecId|0","","","","","","","ItemId|DatePhysical",$A31,"!""")</f>
        <v>#NAME?</v>
      </c>
      <c r="J31" t="e">
        <f ca="1">_xll.AtlasFormulas.AtlasFunctions.AtlasBalance("PROD",J$1,"T.InventTrans","Count|RecId|0","","","","","","","ItemId|DatePhysical",$A31,"!""")</f>
        <v>#NAME?</v>
      </c>
      <c r="K31" t="e">
        <f ca="1">_xll.AtlasFormulas.AtlasFunctions.AtlasBalance("PROD",K$1,"T.InventTrans","Count|RecId|0","","","","","","","ItemId|DatePhysical",$A31,"!""")</f>
        <v>#NAME?</v>
      </c>
      <c r="L31" t="e">
        <f ca="1">_xll.AtlasFormulas.AtlasFunctions.AtlasBalance("PROD",L$1,"T.InventTrans","Count|RecId|0","","","","","","","ItemId|DatePhysical",$A31,"!""")</f>
        <v>#NAME?</v>
      </c>
      <c r="M31" t="e">
        <f ca="1">_xll.AtlasFormulas.AtlasFunctions.AtlasBalance("PROD",M$1,"T.InventTrans","Count|RecId|0","","","","","","","ItemId|DatePhysical",$A31,"!""")</f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BOM"/>
  <dimension ref="A1:M31"/>
  <sheetViews>
    <sheetView workbookViewId="0">
      <selection activeCell="C2" sqref="C2"/>
    </sheetView>
  </sheetViews>
  <sheetFormatPr defaultRowHeight="15" x14ac:dyDescent="0.25"/>
  <cols>
    <col min="1" max="1" width="19.140625" bestFit="1" customWidth="1"/>
    <col min="2" max="2" width="42.5703125" bestFit="1" customWidth="1"/>
    <col min="3" max="4" width="15" bestFit="1" customWidth="1"/>
    <col min="5" max="6" width="4" bestFit="1" customWidth="1"/>
    <col min="7" max="7" width="15" bestFit="1" customWidth="1"/>
    <col min="8" max="9" width="4" bestFit="1" customWidth="1"/>
    <col min="10" max="10" width="15" bestFit="1" customWidth="1"/>
    <col min="11" max="11" width="11.7109375" bestFit="1" customWidth="1"/>
    <col min="12" max="12" width="19.140625" bestFit="1" customWidth="1"/>
    <col min="13" max="13" width="4" bestFit="1" customWidth="1"/>
  </cols>
  <sheetData>
    <row r="1" spans="1:13" x14ac:dyDescent="0.25">
      <c r="A1" t="s">
        <v>60</v>
      </c>
      <c r="B1" t="s">
        <v>61</v>
      </c>
      <c r="C1">
        <v>345</v>
      </c>
      <c r="D1">
        <v>360</v>
      </c>
      <c r="E1">
        <v>362</v>
      </c>
      <c r="F1">
        <v>363</v>
      </c>
      <c r="G1">
        <v>364</v>
      </c>
      <c r="H1">
        <v>365</v>
      </c>
      <c r="I1">
        <v>366</v>
      </c>
      <c r="J1">
        <v>368</v>
      </c>
      <c r="K1">
        <v>369</v>
      </c>
      <c r="L1">
        <v>371</v>
      </c>
      <c r="M1">
        <v>372</v>
      </c>
    </row>
    <row r="2" spans="1:13" x14ac:dyDescent="0.25">
      <c r="A2" t="s">
        <v>0</v>
      </c>
      <c r="B2" t="s">
        <v>1</v>
      </c>
      <c r="C2" t="e">
        <f ca="1">_xll.AtlasFormulas.AtlasFunctions.AtlasBalance("PROD",C$1,"T.BOMTable","Count|RecId|0","","","","","","","BOMId",$A2)</f>
        <v>#NAME?</v>
      </c>
      <c r="D2" t="e">
        <f ca="1">_xll.AtlasFormulas.AtlasFunctions.AtlasBalance("PROD",D$1,"T.BOMTable","Count|RecId|0","","","","","","","BOMId",$A2)</f>
        <v>#NAME?</v>
      </c>
      <c r="E2" t="e">
        <f ca="1">_xll.AtlasFormulas.AtlasFunctions.AtlasBalance("PROD",E$1,"T.BOMTable","Count|RecId|0","","","","","","","BOMId",$A2)</f>
        <v>#NAME?</v>
      </c>
      <c r="F2" t="e">
        <f ca="1">_xll.AtlasFormulas.AtlasFunctions.AtlasBalance("PROD",F$1,"T.BOMTable","Count|RecId|0","","","","","","","BOMId",$A2)</f>
        <v>#NAME?</v>
      </c>
      <c r="G2" t="e">
        <f ca="1">_xll.AtlasFormulas.AtlasFunctions.AtlasBalance("PROD",G$1,"T.BOMTable","Count|RecId|0","","","","","","","BOMId",$A2)</f>
        <v>#NAME?</v>
      </c>
      <c r="H2" t="e">
        <f ca="1">_xll.AtlasFormulas.AtlasFunctions.AtlasBalance("PROD",H$1,"T.BOMTable","Count|RecId|0","","","","","","","BOMId",$A2)</f>
        <v>#NAME?</v>
      </c>
      <c r="I2" t="e">
        <f ca="1">_xll.AtlasFormulas.AtlasFunctions.AtlasBalance("PROD",I$1,"T.BOMTable","Count|RecId|0","","","","","","","BOMId",$A2)</f>
        <v>#NAME?</v>
      </c>
      <c r="J2" t="e">
        <f ca="1">_xll.AtlasFormulas.AtlasFunctions.AtlasBalance("PROD",J$1,"T.BOMTable","Count|RecId|0","","","","","","","BOMId",$A2)</f>
        <v>#NAME?</v>
      </c>
      <c r="K2" t="e">
        <f ca="1">_xll.AtlasFormulas.AtlasFunctions.AtlasBalance("PROD",K$1,"T.BOMTable","Count|RecId|0","","","","","","","BOMId",$A2)</f>
        <v>#NAME?</v>
      </c>
      <c r="L2" t="e">
        <f ca="1">_xll.AtlasFormulas.AtlasFunctions.AtlasBalance("PROD",L$1,"T.BOMTable","Count|RecId|0","","","","","","","BOMId",$A2)</f>
        <v>#NAME?</v>
      </c>
      <c r="M2" t="e">
        <f ca="1">_xll.AtlasFormulas.AtlasFunctions.AtlasBalance("PROD",M$1,"T.BOMTable","Count|RecId|0","","","","","","","BOMId",$A2)</f>
        <v>#NAME?</v>
      </c>
    </row>
    <row r="3" spans="1:13" x14ac:dyDescent="0.25">
      <c r="A3" t="s">
        <v>2</v>
      </c>
      <c r="B3" t="s">
        <v>3</v>
      </c>
      <c r="C3" t="e">
        <f ca="1">_xll.AtlasFormulas.AtlasFunctions.AtlasBalance("PROD",C$1,"T.BOMTable","Count|RecId|0","","","","","","","BOMId",$A3)</f>
        <v>#NAME?</v>
      </c>
      <c r="D3" t="e">
        <f ca="1">_xll.AtlasFormulas.AtlasFunctions.AtlasBalance("PROD",D$1,"T.BOMTable","Count|RecId|0","","","","","","","BOMId",$A3)</f>
        <v>#NAME?</v>
      </c>
      <c r="E3" t="e">
        <f ca="1">_xll.AtlasFormulas.AtlasFunctions.AtlasBalance("PROD",E$1,"T.BOMTable","Count|RecId|0","","","","","","","BOMId",$A3)</f>
        <v>#NAME?</v>
      </c>
      <c r="F3" t="e">
        <f ca="1">_xll.AtlasFormulas.AtlasFunctions.AtlasBalance("PROD",F$1,"T.BOMTable","Count|RecId|0","","","","","","","BOMId",$A3)</f>
        <v>#NAME?</v>
      </c>
      <c r="G3" t="e">
        <f ca="1">_xll.AtlasFormulas.AtlasFunctions.AtlasBalance("PROD",G$1,"T.BOMTable","Count|RecId|0","","","","","","","BOMId",$A3)</f>
        <v>#NAME?</v>
      </c>
      <c r="H3" t="e">
        <f ca="1">_xll.AtlasFormulas.AtlasFunctions.AtlasBalance("PROD",H$1,"T.BOMTable","Count|RecId|0","","","","","","","BOMId",$A3)</f>
        <v>#NAME?</v>
      </c>
      <c r="I3" t="e">
        <f ca="1">_xll.AtlasFormulas.AtlasFunctions.AtlasBalance("PROD",I$1,"T.BOMTable","Count|RecId|0","","","","","","","BOMId",$A3)</f>
        <v>#NAME?</v>
      </c>
      <c r="J3" t="e">
        <f ca="1">_xll.AtlasFormulas.AtlasFunctions.AtlasBalance("PROD",J$1,"T.BOMTable","Count|RecId|0","","","","","","","BOMId",$A3)</f>
        <v>#NAME?</v>
      </c>
      <c r="K3" t="e">
        <f ca="1">_xll.AtlasFormulas.AtlasFunctions.AtlasBalance("PROD",K$1,"T.BOMTable","Count|RecId|0","","","","","","","BOMId",$A3)</f>
        <v>#NAME?</v>
      </c>
      <c r="L3" t="e">
        <f ca="1">_xll.AtlasFormulas.AtlasFunctions.AtlasBalance("PROD",L$1,"T.BOMTable","Count|RecId|0","","","","","","","BOMId",$A3)</f>
        <v>#NAME?</v>
      </c>
      <c r="M3" t="e">
        <f ca="1">_xll.AtlasFormulas.AtlasFunctions.AtlasBalance("PROD",M$1,"T.BOMTable","Count|RecId|0","","","","","","","BOMId",$A3)</f>
        <v>#NAME?</v>
      </c>
    </row>
    <row r="4" spans="1:13" x14ac:dyDescent="0.25">
      <c r="A4" t="s">
        <v>4</v>
      </c>
      <c r="B4" t="s">
        <v>5</v>
      </c>
      <c r="C4" t="e">
        <f ca="1">_xll.AtlasFormulas.AtlasFunctions.AtlasBalance("PROD",C$1,"T.BOMTable","Count|RecId|0","","","","","","","BOMId",$A4)</f>
        <v>#NAME?</v>
      </c>
      <c r="D4" t="e">
        <f ca="1">_xll.AtlasFormulas.AtlasFunctions.AtlasBalance("PROD",D$1,"T.BOMTable","Count|RecId|0","","","","","","","BOMId",$A4)</f>
        <v>#NAME?</v>
      </c>
      <c r="E4" t="e">
        <f ca="1">_xll.AtlasFormulas.AtlasFunctions.AtlasBalance("PROD",E$1,"T.BOMTable","Count|RecId|0","","","","","","","BOMId",$A4)</f>
        <v>#NAME?</v>
      </c>
      <c r="F4" t="e">
        <f ca="1">_xll.AtlasFormulas.AtlasFunctions.AtlasBalance("PROD",F$1,"T.BOMTable","Count|RecId|0","","","","","","","BOMId",$A4)</f>
        <v>#NAME?</v>
      </c>
      <c r="G4" t="e">
        <f ca="1">_xll.AtlasFormulas.AtlasFunctions.AtlasBalance("PROD",G$1,"T.BOMTable","Count|RecId|0","","","","","","","BOMId",$A4)</f>
        <v>#NAME?</v>
      </c>
      <c r="H4" t="e">
        <f ca="1">_xll.AtlasFormulas.AtlasFunctions.AtlasBalance("PROD",H$1,"T.BOMTable","Count|RecId|0","","","","","","","BOMId",$A4)</f>
        <v>#NAME?</v>
      </c>
      <c r="I4" t="e">
        <f ca="1">_xll.AtlasFormulas.AtlasFunctions.AtlasBalance("PROD",I$1,"T.BOMTable","Count|RecId|0","","","","","","","BOMId",$A4)</f>
        <v>#NAME?</v>
      </c>
      <c r="J4" t="e">
        <f ca="1">_xll.AtlasFormulas.AtlasFunctions.AtlasBalance("PROD",J$1,"T.BOMTable","Count|RecId|0","","","","","","","BOMId",$A4)</f>
        <v>#NAME?</v>
      </c>
      <c r="K4" t="e">
        <f ca="1">_xll.AtlasFormulas.AtlasFunctions.AtlasBalance("PROD",K$1,"T.BOMTable","Count|RecId|0","","","","","","","BOMId",$A4)</f>
        <v>#NAME?</v>
      </c>
      <c r="L4" t="e">
        <f ca="1">_xll.AtlasFormulas.AtlasFunctions.AtlasBalance("PROD",L$1,"T.BOMTable","Count|RecId|0","","","","","","","BOMId",$A4)</f>
        <v>#NAME?</v>
      </c>
      <c r="M4" t="e">
        <f ca="1">_xll.AtlasFormulas.AtlasFunctions.AtlasBalance("PROD",M$1,"T.BOMTable","Count|RecId|0","","","","","","","BOMId",$A4)</f>
        <v>#NAME?</v>
      </c>
    </row>
    <row r="5" spans="1:13" x14ac:dyDescent="0.25">
      <c r="A5" t="s">
        <v>6</v>
      </c>
      <c r="B5" t="s">
        <v>7</v>
      </c>
      <c r="C5" t="e">
        <f ca="1">_xll.AtlasFormulas.AtlasFunctions.AtlasBalance("PROD",C$1,"T.BOMTable","Count|RecId|0","","","","","","","BOMId",$A5)</f>
        <v>#NAME?</v>
      </c>
      <c r="D5" t="e">
        <f ca="1">_xll.AtlasFormulas.AtlasFunctions.AtlasBalance("PROD",D$1,"T.BOMTable","Count|RecId|0","","","","","","","BOMId",$A5)</f>
        <v>#NAME?</v>
      </c>
      <c r="E5" t="e">
        <f ca="1">_xll.AtlasFormulas.AtlasFunctions.AtlasBalance("PROD",E$1,"T.BOMTable","Count|RecId|0","","","","","","","BOMId",$A5)</f>
        <v>#NAME?</v>
      </c>
      <c r="F5" t="e">
        <f ca="1">_xll.AtlasFormulas.AtlasFunctions.AtlasBalance("PROD",F$1,"T.BOMTable","Count|RecId|0","","","","","","","BOMId",$A5)</f>
        <v>#NAME?</v>
      </c>
      <c r="G5" t="e">
        <f ca="1">_xll.AtlasFormulas.AtlasFunctions.AtlasBalance("PROD",G$1,"T.BOMTable","Count|RecId|0","","","","","","","BOMId",$A5)</f>
        <v>#NAME?</v>
      </c>
      <c r="H5" t="e">
        <f ca="1">_xll.AtlasFormulas.AtlasFunctions.AtlasBalance("PROD",H$1,"T.BOMTable","Count|RecId|0","","","","","","","BOMId",$A5)</f>
        <v>#NAME?</v>
      </c>
      <c r="I5" t="e">
        <f ca="1">_xll.AtlasFormulas.AtlasFunctions.AtlasBalance("PROD",I$1,"T.BOMTable","Count|RecId|0","","","","","","","BOMId",$A5)</f>
        <v>#NAME?</v>
      </c>
      <c r="J5" t="e">
        <f ca="1">_xll.AtlasFormulas.AtlasFunctions.AtlasBalance("PROD",J$1,"T.BOMTable","Count|RecId|0","","","","","","","BOMId",$A5)</f>
        <v>#NAME?</v>
      </c>
      <c r="K5" t="e">
        <f ca="1">_xll.AtlasFormulas.AtlasFunctions.AtlasBalance("PROD",K$1,"T.BOMTable","Count|RecId|0","","","","","","","BOMId",$A5)</f>
        <v>#NAME?</v>
      </c>
      <c r="L5" t="e">
        <f ca="1">_xll.AtlasFormulas.AtlasFunctions.AtlasBalance("PROD",L$1,"T.BOMTable","Count|RecId|0","","","","","","","BOMId",$A5)</f>
        <v>#NAME?</v>
      </c>
      <c r="M5" t="e">
        <f ca="1">_xll.AtlasFormulas.AtlasFunctions.AtlasBalance("PROD",M$1,"T.BOMTable","Count|RecId|0","","","","","","","BOMId",$A5)</f>
        <v>#NAME?</v>
      </c>
    </row>
    <row r="6" spans="1:13" x14ac:dyDescent="0.25">
      <c r="A6" t="s">
        <v>8</v>
      </c>
      <c r="B6" t="s">
        <v>9</v>
      </c>
      <c r="C6" t="e">
        <f ca="1">_xll.AtlasFormulas.AtlasFunctions.AtlasBalance("PROD",C$1,"T.BOMTable","Count|RecId|0","","","","","","","BOMId",$A6)</f>
        <v>#NAME?</v>
      </c>
      <c r="D6" t="e">
        <f ca="1">_xll.AtlasFormulas.AtlasFunctions.AtlasBalance("PROD",D$1,"T.BOMTable","Count|RecId|0","","","","","","","BOMId",$A6)</f>
        <v>#NAME?</v>
      </c>
      <c r="E6" t="e">
        <f ca="1">_xll.AtlasFormulas.AtlasFunctions.AtlasBalance("PROD",E$1,"T.BOMTable","Count|RecId|0","","","","","","","BOMId",$A6)</f>
        <v>#NAME?</v>
      </c>
      <c r="F6" t="e">
        <f ca="1">_xll.AtlasFormulas.AtlasFunctions.AtlasBalance("PROD",F$1,"T.BOMTable","Count|RecId|0","","","","","","","BOMId",$A6)</f>
        <v>#NAME?</v>
      </c>
      <c r="G6" t="e">
        <f ca="1">_xll.AtlasFormulas.AtlasFunctions.AtlasBalance("PROD",G$1,"T.BOMTable","Count|RecId|0","","","","","","","BOMId",$A6)</f>
        <v>#NAME?</v>
      </c>
      <c r="H6" t="e">
        <f ca="1">_xll.AtlasFormulas.AtlasFunctions.AtlasBalance("PROD",H$1,"T.BOMTable","Count|RecId|0","","","","","","","BOMId",$A6)</f>
        <v>#NAME?</v>
      </c>
      <c r="I6" t="e">
        <f ca="1">_xll.AtlasFormulas.AtlasFunctions.AtlasBalance("PROD",I$1,"T.BOMTable","Count|RecId|0","","","","","","","BOMId",$A6)</f>
        <v>#NAME?</v>
      </c>
      <c r="J6" t="e">
        <f ca="1">_xll.AtlasFormulas.AtlasFunctions.AtlasBalance("PROD",J$1,"T.BOMTable","Count|RecId|0","","","","","","","BOMId",$A6)</f>
        <v>#NAME?</v>
      </c>
      <c r="K6" t="e">
        <f ca="1">_xll.AtlasFormulas.AtlasFunctions.AtlasBalance("PROD",K$1,"T.BOMTable","Count|RecId|0","","","","","","","BOMId",$A6)</f>
        <v>#NAME?</v>
      </c>
      <c r="L6" t="e">
        <f ca="1">_xll.AtlasFormulas.AtlasFunctions.AtlasBalance("PROD",L$1,"T.BOMTable","Count|RecId|0","","","","","","","BOMId",$A6)</f>
        <v>#NAME?</v>
      </c>
      <c r="M6" t="e">
        <f ca="1">_xll.AtlasFormulas.AtlasFunctions.AtlasBalance("PROD",M$1,"T.BOMTable","Count|RecId|0","","","","","","","BOMId",$A6)</f>
        <v>#NAME?</v>
      </c>
    </row>
    <row r="7" spans="1:13" x14ac:dyDescent="0.25">
      <c r="A7" t="s">
        <v>10</v>
      </c>
      <c r="B7" t="s">
        <v>11</v>
      </c>
      <c r="C7" t="e">
        <f ca="1">_xll.AtlasFormulas.AtlasFunctions.AtlasBalance("PROD",C$1,"T.BOMTable","Count|RecId|0","","","","","","","BOMId",$A7)</f>
        <v>#NAME?</v>
      </c>
      <c r="D7" t="e">
        <f ca="1">_xll.AtlasFormulas.AtlasFunctions.AtlasBalance("PROD",D$1,"T.BOMTable","Count|RecId|0","","","","","","","BOMId",$A7)</f>
        <v>#NAME?</v>
      </c>
      <c r="E7" t="e">
        <f ca="1">_xll.AtlasFormulas.AtlasFunctions.AtlasBalance("PROD",E$1,"T.BOMTable","Count|RecId|0","","","","","","","BOMId",$A7)</f>
        <v>#NAME?</v>
      </c>
      <c r="F7" t="e">
        <f ca="1">_xll.AtlasFormulas.AtlasFunctions.AtlasBalance("PROD",F$1,"T.BOMTable","Count|RecId|0","","","","","","","BOMId",$A7)</f>
        <v>#NAME?</v>
      </c>
      <c r="G7" t="e">
        <f ca="1">_xll.AtlasFormulas.AtlasFunctions.AtlasBalance("PROD",G$1,"T.BOMTable","Count|RecId|0","","","","","","","BOMId",$A7)</f>
        <v>#NAME?</v>
      </c>
      <c r="H7" t="e">
        <f ca="1">_xll.AtlasFormulas.AtlasFunctions.AtlasBalance("PROD",H$1,"T.BOMTable","Count|RecId|0","","","","","","","BOMId",$A7)</f>
        <v>#NAME?</v>
      </c>
      <c r="I7" t="e">
        <f ca="1">_xll.AtlasFormulas.AtlasFunctions.AtlasBalance("PROD",I$1,"T.BOMTable","Count|RecId|0","","","","","","","BOMId",$A7)</f>
        <v>#NAME?</v>
      </c>
      <c r="J7" t="e">
        <f ca="1">_xll.AtlasFormulas.AtlasFunctions.AtlasBalance("PROD",J$1,"T.BOMTable","Count|RecId|0","","","","","","","BOMId",$A7)</f>
        <v>#NAME?</v>
      </c>
      <c r="K7" t="e">
        <f ca="1">_xll.AtlasFormulas.AtlasFunctions.AtlasBalance("PROD",K$1,"T.BOMTable","Count|RecId|0","","","","","","","BOMId",$A7)</f>
        <v>#NAME?</v>
      </c>
      <c r="L7" t="e">
        <f ca="1">_xll.AtlasFormulas.AtlasFunctions.AtlasBalance("PROD",L$1,"T.BOMTable","Count|RecId|0","","","","","","","BOMId",$A7)</f>
        <v>#NAME?</v>
      </c>
      <c r="M7" t="e">
        <f ca="1">_xll.AtlasFormulas.AtlasFunctions.AtlasBalance("PROD",M$1,"T.BOMTable","Count|RecId|0","","","","","","","BOMId",$A7)</f>
        <v>#NAME?</v>
      </c>
    </row>
    <row r="8" spans="1:13" x14ac:dyDescent="0.25">
      <c r="A8" t="s">
        <v>12</v>
      </c>
      <c r="B8" t="s">
        <v>13</v>
      </c>
      <c r="C8" t="e">
        <f ca="1">_xll.AtlasFormulas.AtlasFunctions.AtlasBalance("PROD",C$1,"T.BOMTable","Count|RecId|0","","","","","","","BOMId",$A8)</f>
        <v>#NAME?</v>
      </c>
      <c r="D8" t="e">
        <f ca="1">_xll.AtlasFormulas.AtlasFunctions.AtlasBalance("PROD",D$1,"T.BOMTable","Count|RecId|0","","","","","","","BOMId",$A8)</f>
        <v>#NAME?</v>
      </c>
      <c r="E8" t="e">
        <f ca="1">_xll.AtlasFormulas.AtlasFunctions.AtlasBalance("PROD",E$1,"T.BOMTable","Count|RecId|0","","","","","","","BOMId",$A8)</f>
        <v>#NAME?</v>
      </c>
      <c r="F8" t="e">
        <f ca="1">_xll.AtlasFormulas.AtlasFunctions.AtlasBalance("PROD",F$1,"T.BOMTable","Count|RecId|0","","","","","","","BOMId",$A8)</f>
        <v>#NAME?</v>
      </c>
      <c r="G8" t="e">
        <f ca="1">_xll.AtlasFormulas.AtlasFunctions.AtlasBalance("PROD",G$1,"T.BOMTable","Count|RecId|0","","","","","","","BOMId",$A8)</f>
        <v>#NAME?</v>
      </c>
      <c r="H8" t="e">
        <f ca="1">_xll.AtlasFormulas.AtlasFunctions.AtlasBalance("PROD",H$1,"T.BOMTable","Count|RecId|0","","","","","","","BOMId",$A8)</f>
        <v>#NAME?</v>
      </c>
      <c r="I8" t="e">
        <f ca="1">_xll.AtlasFormulas.AtlasFunctions.AtlasBalance("PROD",I$1,"T.BOMTable","Count|RecId|0","","","","","","","BOMId",$A8)</f>
        <v>#NAME?</v>
      </c>
      <c r="J8" t="e">
        <f ca="1">_xll.AtlasFormulas.AtlasFunctions.AtlasBalance("PROD",J$1,"T.BOMTable","Count|RecId|0","","","","","","","BOMId",$A8)</f>
        <v>#NAME?</v>
      </c>
      <c r="K8" t="e">
        <f ca="1">_xll.AtlasFormulas.AtlasFunctions.AtlasBalance("PROD",K$1,"T.BOMTable","Count|RecId|0","","","","","","","BOMId",$A8)</f>
        <v>#NAME?</v>
      </c>
      <c r="L8" t="e">
        <f ca="1">_xll.AtlasFormulas.AtlasFunctions.AtlasBalance("PROD",L$1,"T.BOMTable","Count|RecId|0","","","","","","","BOMId",$A8)</f>
        <v>#NAME?</v>
      </c>
      <c r="M8" t="e">
        <f ca="1">_xll.AtlasFormulas.AtlasFunctions.AtlasBalance("PROD",M$1,"T.BOMTable","Count|RecId|0","","","","","","","BOMId",$A8)</f>
        <v>#NAME?</v>
      </c>
    </row>
    <row r="9" spans="1:13" x14ac:dyDescent="0.25">
      <c r="A9" t="s">
        <v>14</v>
      </c>
      <c r="B9" t="s">
        <v>15</v>
      </c>
      <c r="C9" t="e">
        <f ca="1">_xll.AtlasFormulas.AtlasFunctions.AtlasBalance("PROD",C$1,"T.BOMTable","Count|RecId|0","","","","","","","BOMId",$A9)</f>
        <v>#NAME?</v>
      </c>
      <c r="D9" t="e">
        <f ca="1">_xll.AtlasFormulas.AtlasFunctions.AtlasBalance("PROD",D$1,"T.BOMTable","Count|RecId|0","","","","","","","BOMId",$A9)</f>
        <v>#NAME?</v>
      </c>
      <c r="E9" t="e">
        <f ca="1">_xll.AtlasFormulas.AtlasFunctions.AtlasBalance("PROD",E$1,"T.BOMTable","Count|RecId|0","","","","","","","BOMId",$A9)</f>
        <v>#NAME?</v>
      </c>
      <c r="F9" t="e">
        <f ca="1">_xll.AtlasFormulas.AtlasFunctions.AtlasBalance("PROD",F$1,"T.BOMTable","Count|RecId|0","","","","","","","BOMId",$A9)</f>
        <v>#NAME?</v>
      </c>
      <c r="G9" t="e">
        <f ca="1">_xll.AtlasFormulas.AtlasFunctions.AtlasBalance("PROD",G$1,"T.BOMTable","Count|RecId|0","","","","","","","BOMId",$A9)</f>
        <v>#NAME?</v>
      </c>
      <c r="H9" t="e">
        <f ca="1">_xll.AtlasFormulas.AtlasFunctions.AtlasBalance("PROD",H$1,"T.BOMTable","Count|RecId|0","","","","","","","BOMId",$A9)</f>
        <v>#NAME?</v>
      </c>
      <c r="I9" t="e">
        <f ca="1">_xll.AtlasFormulas.AtlasFunctions.AtlasBalance("PROD",I$1,"T.BOMTable","Count|RecId|0","","","","","","","BOMId",$A9)</f>
        <v>#NAME?</v>
      </c>
      <c r="J9" t="e">
        <f ca="1">_xll.AtlasFormulas.AtlasFunctions.AtlasBalance("PROD",J$1,"T.BOMTable","Count|RecId|0","","","","","","","BOMId",$A9)</f>
        <v>#NAME?</v>
      </c>
      <c r="K9" t="e">
        <f ca="1">_xll.AtlasFormulas.AtlasFunctions.AtlasBalance("PROD",K$1,"T.BOMTable","Count|RecId|0","","","","","","","BOMId",$A9)</f>
        <v>#NAME?</v>
      </c>
      <c r="L9" t="e">
        <f ca="1">_xll.AtlasFormulas.AtlasFunctions.AtlasBalance("PROD",L$1,"T.BOMTable","Count|RecId|0","","","","","","","BOMId",$A9)</f>
        <v>#NAME?</v>
      </c>
      <c r="M9" t="e">
        <f ca="1">_xll.AtlasFormulas.AtlasFunctions.AtlasBalance("PROD",M$1,"T.BOMTable","Count|RecId|0","","","","","","","BOMId",$A9)</f>
        <v>#NAME?</v>
      </c>
    </row>
    <row r="10" spans="1:13" x14ac:dyDescent="0.25">
      <c r="A10" t="s">
        <v>16</v>
      </c>
      <c r="B10" t="s">
        <v>17</v>
      </c>
      <c r="C10" t="e">
        <f ca="1">_xll.AtlasFormulas.AtlasFunctions.AtlasBalance("PROD",C$1,"T.BOMTable","Count|RecId|0","","","","","","","BOMId",$A10)</f>
        <v>#NAME?</v>
      </c>
      <c r="D10" t="e">
        <f ca="1">_xll.AtlasFormulas.AtlasFunctions.AtlasBalance("PROD",D$1,"T.BOMTable","Count|RecId|0","","","","","","","BOMId",$A10)</f>
        <v>#NAME?</v>
      </c>
      <c r="E10" t="e">
        <f ca="1">_xll.AtlasFormulas.AtlasFunctions.AtlasBalance("PROD",E$1,"T.BOMTable","Count|RecId|0","","","","","","","BOMId",$A10)</f>
        <v>#NAME?</v>
      </c>
      <c r="F10" t="e">
        <f ca="1">_xll.AtlasFormulas.AtlasFunctions.AtlasBalance("PROD",F$1,"T.BOMTable","Count|RecId|0","","","","","","","BOMId",$A10)</f>
        <v>#NAME?</v>
      </c>
      <c r="G10" t="e">
        <f ca="1">_xll.AtlasFormulas.AtlasFunctions.AtlasBalance("PROD",G$1,"T.BOMTable","Count|RecId|0","","","","","","","BOMId",$A10)</f>
        <v>#NAME?</v>
      </c>
      <c r="H10" t="e">
        <f ca="1">_xll.AtlasFormulas.AtlasFunctions.AtlasBalance("PROD",H$1,"T.BOMTable","Count|RecId|0","","","","","","","BOMId",$A10)</f>
        <v>#NAME?</v>
      </c>
      <c r="I10" t="e">
        <f ca="1">_xll.AtlasFormulas.AtlasFunctions.AtlasBalance("PROD",I$1,"T.BOMTable","Count|RecId|0","","","","","","","BOMId",$A10)</f>
        <v>#NAME?</v>
      </c>
      <c r="J10" t="e">
        <f ca="1">_xll.AtlasFormulas.AtlasFunctions.AtlasBalance("PROD",J$1,"T.BOMTable","Count|RecId|0","","","","","","","BOMId",$A10)</f>
        <v>#NAME?</v>
      </c>
      <c r="K10" t="e">
        <f ca="1">_xll.AtlasFormulas.AtlasFunctions.AtlasBalance("PROD",K$1,"T.BOMTable","Count|RecId|0","","","","","","","BOMId",$A10)</f>
        <v>#NAME?</v>
      </c>
      <c r="L10" t="e">
        <f ca="1">_xll.AtlasFormulas.AtlasFunctions.AtlasBalance("PROD",L$1,"T.BOMTable","Count|RecId|0","","","","","","","BOMId",$A10)</f>
        <v>#NAME?</v>
      </c>
      <c r="M10" t="e">
        <f ca="1">_xll.AtlasFormulas.AtlasFunctions.AtlasBalance("PROD",M$1,"T.BOMTable","Count|RecId|0","","","","","","","BOMId",$A10)</f>
        <v>#NAME?</v>
      </c>
    </row>
    <row r="11" spans="1:13" x14ac:dyDescent="0.25">
      <c r="A11" t="s">
        <v>18</v>
      </c>
      <c r="B11" t="s">
        <v>19</v>
      </c>
      <c r="C11" t="e">
        <f ca="1">_xll.AtlasFormulas.AtlasFunctions.AtlasBalance("PROD",C$1,"T.BOMTable","Count|RecId|0","","","","","","","BOMId",$A11)</f>
        <v>#NAME?</v>
      </c>
      <c r="D11" t="e">
        <f ca="1">_xll.AtlasFormulas.AtlasFunctions.AtlasBalance("PROD",D$1,"T.BOMTable","Count|RecId|0","","","","","","","BOMId",$A11)</f>
        <v>#NAME?</v>
      </c>
      <c r="E11" t="e">
        <f ca="1">_xll.AtlasFormulas.AtlasFunctions.AtlasBalance("PROD",E$1,"T.BOMTable","Count|RecId|0","","","","","","","BOMId",$A11)</f>
        <v>#NAME?</v>
      </c>
      <c r="F11" t="e">
        <f ca="1">_xll.AtlasFormulas.AtlasFunctions.AtlasBalance("PROD",F$1,"T.BOMTable","Count|RecId|0","","","","","","","BOMId",$A11)</f>
        <v>#NAME?</v>
      </c>
      <c r="G11" t="e">
        <f ca="1">_xll.AtlasFormulas.AtlasFunctions.AtlasBalance("PROD",G$1,"T.BOMTable","Count|RecId|0","","","","","","","BOMId",$A11)</f>
        <v>#NAME?</v>
      </c>
      <c r="H11" t="e">
        <f ca="1">_xll.AtlasFormulas.AtlasFunctions.AtlasBalance("PROD",H$1,"T.BOMTable","Count|RecId|0","","","","","","","BOMId",$A11)</f>
        <v>#NAME?</v>
      </c>
      <c r="I11" t="e">
        <f ca="1">_xll.AtlasFormulas.AtlasFunctions.AtlasBalance("PROD",I$1,"T.BOMTable","Count|RecId|0","","","","","","","BOMId",$A11)</f>
        <v>#NAME?</v>
      </c>
      <c r="J11" t="e">
        <f ca="1">_xll.AtlasFormulas.AtlasFunctions.AtlasBalance("PROD",J$1,"T.BOMTable","Count|RecId|0","","","","","","","BOMId",$A11)</f>
        <v>#NAME?</v>
      </c>
      <c r="K11" t="e">
        <f ca="1">_xll.AtlasFormulas.AtlasFunctions.AtlasBalance("PROD",K$1,"T.BOMTable","Count|RecId|0","","","","","","","BOMId",$A11)</f>
        <v>#NAME?</v>
      </c>
      <c r="L11" t="e">
        <f ca="1">_xll.AtlasFormulas.AtlasFunctions.AtlasBalance("PROD",L$1,"T.BOMTable","Count|RecId|0","","","","","","","BOMId",$A11)</f>
        <v>#NAME?</v>
      </c>
      <c r="M11" t="e">
        <f ca="1">_xll.AtlasFormulas.AtlasFunctions.AtlasBalance("PROD",M$1,"T.BOMTable","Count|RecId|0","","","","","","","BOMId",$A11)</f>
        <v>#NAME?</v>
      </c>
    </row>
    <row r="12" spans="1:13" x14ac:dyDescent="0.25">
      <c r="A12" t="s">
        <v>20</v>
      </c>
      <c r="B12" t="s">
        <v>21</v>
      </c>
      <c r="C12" t="e">
        <f ca="1">_xll.AtlasFormulas.AtlasFunctions.AtlasBalance("PROD",C$1,"T.BOMTable","Count|RecId|0","","","","","","","BOMId",$A12)</f>
        <v>#NAME?</v>
      </c>
      <c r="D12" t="e">
        <f ca="1">_xll.AtlasFormulas.AtlasFunctions.AtlasBalance("PROD",D$1,"T.BOMTable","Count|RecId|0","","","","","","","BOMId",$A12)</f>
        <v>#NAME?</v>
      </c>
      <c r="E12" t="e">
        <f ca="1">_xll.AtlasFormulas.AtlasFunctions.AtlasBalance("PROD",E$1,"T.BOMTable","Count|RecId|0","","","","","","","BOMId",$A12)</f>
        <v>#NAME?</v>
      </c>
      <c r="F12" t="e">
        <f ca="1">_xll.AtlasFormulas.AtlasFunctions.AtlasBalance("PROD",F$1,"T.BOMTable","Count|RecId|0","","","","","","","BOMId",$A12)</f>
        <v>#NAME?</v>
      </c>
      <c r="G12" t="e">
        <f ca="1">_xll.AtlasFormulas.AtlasFunctions.AtlasBalance("PROD",G$1,"T.BOMTable","Count|RecId|0","","","","","","","BOMId",$A12)</f>
        <v>#NAME?</v>
      </c>
      <c r="H12" t="e">
        <f ca="1">_xll.AtlasFormulas.AtlasFunctions.AtlasBalance("PROD",H$1,"T.BOMTable","Count|RecId|0","","","","","","","BOMId",$A12)</f>
        <v>#NAME?</v>
      </c>
      <c r="I12" t="e">
        <f ca="1">_xll.AtlasFormulas.AtlasFunctions.AtlasBalance("PROD",I$1,"T.BOMTable","Count|RecId|0","","","","","","","BOMId",$A12)</f>
        <v>#NAME?</v>
      </c>
      <c r="J12" t="e">
        <f ca="1">_xll.AtlasFormulas.AtlasFunctions.AtlasBalance("PROD",J$1,"T.BOMTable","Count|RecId|0","","","","","","","BOMId",$A12)</f>
        <v>#NAME?</v>
      </c>
      <c r="K12" t="e">
        <f ca="1">_xll.AtlasFormulas.AtlasFunctions.AtlasBalance("PROD",K$1,"T.BOMTable","Count|RecId|0","","","","","","","BOMId",$A12)</f>
        <v>#NAME?</v>
      </c>
      <c r="L12" t="e">
        <f ca="1">_xll.AtlasFormulas.AtlasFunctions.AtlasBalance("PROD",L$1,"T.BOMTable","Count|RecId|0","","","","","","","BOMId",$A12)</f>
        <v>#NAME?</v>
      </c>
      <c r="M12" t="e">
        <f ca="1">_xll.AtlasFormulas.AtlasFunctions.AtlasBalance("PROD",M$1,"T.BOMTable","Count|RecId|0","","","","","","","BOMId",$A12)</f>
        <v>#NAME?</v>
      </c>
    </row>
    <row r="13" spans="1:13" x14ac:dyDescent="0.25">
      <c r="A13" t="s">
        <v>22</v>
      </c>
      <c r="B13" t="s">
        <v>23</v>
      </c>
      <c r="C13" t="e">
        <f ca="1">_xll.AtlasFormulas.AtlasFunctions.AtlasBalance("PROD",C$1,"T.BOMTable","Count|RecId|0","","","","","","","BOMId",$A13)</f>
        <v>#NAME?</v>
      </c>
      <c r="D13" t="e">
        <f ca="1">_xll.AtlasFormulas.AtlasFunctions.AtlasBalance("PROD",D$1,"T.BOMTable","Count|RecId|0","","","","","","","BOMId",$A13)</f>
        <v>#NAME?</v>
      </c>
      <c r="E13" t="e">
        <f ca="1">_xll.AtlasFormulas.AtlasFunctions.AtlasBalance("PROD",E$1,"T.BOMTable","Count|RecId|0","","","","","","","BOMId",$A13)</f>
        <v>#NAME?</v>
      </c>
      <c r="F13" t="e">
        <f ca="1">_xll.AtlasFormulas.AtlasFunctions.AtlasBalance("PROD",F$1,"T.BOMTable","Count|RecId|0","","","","","","","BOMId",$A13)</f>
        <v>#NAME?</v>
      </c>
      <c r="G13" t="e">
        <f ca="1">_xll.AtlasFormulas.AtlasFunctions.AtlasBalance("PROD",G$1,"T.BOMTable","Count|RecId|0","","","","","","","BOMId",$A13)</f>
        <v>#NAME?</v>
      </c>
      <c r="H13" t="e">
        <f ca="1">_xll.AtlasFormulas.AtlasFunctions.AtlasBalance("PROD",H$1,"T.BOMTable","Count|RecId|0","","","","","","","BOMId",$A13)</f>
        <v>#NAME?</v>
      </c>
      <c r="I13" t="e">
        <f ca="1">_xll.AtlasFormulas.AtlasFunctions.AtlasBalance("PROD",I$1,"T.BOMTable","Count|RecId|0","","","","","","","BOMId",$A13)</f>
        <v>#NAME?</v>
      </c>
      <c r="J13" t="e">
        <f ca="1">_xll.AtlasFormulas.AtlasFunctions.AtlasBalance("PROD",J$1,"T.BOMTable","Count|RecId|0","","","","","","","BOMId",$A13)</f>
        <v>#NAME?</v>
      </c>
      <c r="K13" t="e">
        <f ca="1">_xll.AtlasFormulas.AtlasFunctions.AtlasBalance("PROD",K$1,"T.BOMTable","Count|RecId|0","","","","","","","BOMId",$A13)</f>
        <v>#NAME?</v>
      </c>
      <c r="L13" t="e">
        <f ca="1">_xll.AtlasFormulas.AtlasFunctions.AtlasBalance("PROD",L$1,"T.BOMTable","Count|RecId|0","","","","","","","BOMId",$A13)</f>
        <v>#NAME?</v>
      </c>
      <c r="M13" t="e">
        <f ca="1">_xll.AtlasFormulas.AtlasFunctions.AtlasBalance("PROD",M$1,"T.BOMTable","Count|RecId|0","","","","","","","BOMId",$A13)</f>
        <v>#NAME?</v>
      </c>
    </row>
    <row r="14" spans="1:13" x14ac:dyDescent="0.25">
      <c r="A14" t="s">
        <v>24</v>
      </c>
      <c r="B14" t="s">
        <v>25</v>
      </c>
      <c r="C14" t="e">
        <f ca="1">_xll.AtlasFormulas.AtlasFunctions.AtlasBalance("PROD",C$1,"T.BOMTable","Count|RecId|0","","","","","","","BOMId",$A14)</f>
        <v>#NAME?</v>
      </c>
      <c r="D14" t="e">
        <f ca="1">_xll.AtlasFormulas.AtlasFunctions.AtlasBalance("PROD",D$1,"T.BOMTable","Count|RecId|0","","","","","","","BOMId",$A14)</f>
        <v>#NAME?</v>
      </c>
      <c r="E14" t="e">
        <f ca="1">_xll.AtlasFormulas.AtlasFunctions.AtlasBalance("PROD",E$1,"T.BOMTable","Count|RecId|0","","","","","","","BOMId",$A14)</f>
        <v>#NAME?</v>
      </c>
      <c r="F14" t="e">
        <f ca="1">_xll.AtlasFormulas.AtlasFunctions.AtlasBalance("PROD",F$1,"T.BOMTable","Count|RecId|0","","","","","","","BOMId",$A14)</f>
        <v>#NAME?</v>
      </c>
      <c r="G14" t="e">
        <f ca="1">_xll.AtlasFormulas.AtlasFunctions.AtlasBalance("PROD",G$1,"T.BOMTable","Count|RecId|0","","","","","","","BOMId",$A14)</f>
        <v>#NAME?</v>
      </c>
      <c r="H14" t="e">
        <f ca="1">_xll.AtlasFormulas.AtlasFunctions.AtlasBalance("PROD",H$1,"T.BOMTable","Count|RecId|0","","","","","","","BOMId",$A14)</f>
        <v>#NAME?</v>
      </c>
      <c r="I14" t="e">
        <f ca="1">_xll.AtlasFormulas.AtlasFunctions.AtlasBalance("PROD",I$1,"T.BOMTable","Count|RecId|0","","","","","","","BOMId",$A14)</f>
        <v>#NAME?</v>
      </c>
      <c r="J14" t="e">
        <f ca="1">_xll.AtlasFormulas.AtlasFunctions.AtlasBalance("PROD",J$1,"T.BOMTable","Count|RecId|0","","","","","","","BOMId",$A14)</f>
        <v>#NAME?</v>
      </c>
      <c r="K14" t="e">
        <f ca="1">_xll.AtlasFormulas.AtlasFunctions.AtlasBalance("PROD",K$1,"T.BOMTable","Count|RecId|0","","","","","","","BOMId",$A14)</f>
        <v>#NAME?</v>
      </c>
      <c r="L14" t="e">
        <f ca="1">_xll.AtlasFormulas.AtlasFunctions.AtlasBalance("PROD",L$1,"T.BOMTable","Count|RecId|0","","","","","","","BOMId",$A14)</f>
        <v>#NAME?</v>
      </c>
      <c r="M14" t="e">
        <f ca="1">_xll.AtlasFormulas.AtlasFunctions.AtlasBalance("PROD",M$1,"T.BOMTable","Count|RecId|0","","","","","","","BOMId",$A14)</f>
        <v>#NAME?</v>
      </c>
    </row>
    <row r="15" spans="1:13" x14ac:dyDescent="0.25">
      <c r="A15" t="s">
        <v>26</v>
      </c>
      <c r="B15" t="s">
        <v>27</v>
      </c>
      <c r="C15" t="e">
        <f ca="1">_xll.AtlasFormulas.AtlasFunctions.AtlasBalance("PROD",C$1,"T.BOMTable","Count|RecId|0","","","","","","","BOMId",$A15)</f>
        <v>#NAME?</v>
      </c>
      <c r="D15" t="e">
        <f ca="1">_xll.AtlasFormulas.AtlasFunctions.AtlasBalance("PROD",D$1,"T.BOMTable","Count|RecId|0","","","","","","","BOMId",$A15)</f>
        <v>#NAME?</v>
      </c>
      <c r="E15" t="e">
        <f ca="1">_xll.AtlasFormulas.AtlasFunctions.AtlasBalance("PROD",E$1,"T.BOMTable","Count|RecId|0","","","","","","","BOMId",$A15)</f>
        <v>#NAME?</v>
      </c>
      <c r="F15" t="e">
        <f ca="1">_xll.AtlasFormulas.AtlasFunctions.AtlasBalance("PROD",F$1,"T.BOMTable","Count|RecId|0","","","","","","","BOMId",$A15)</f>
        <v>#NAME?</v>
      </c>
      <c r="G15" t="e">
        <f ca="1">_xll.AtlasFormulas.AtlasFunctions.AtlasBalance("PROD",G$1,"T.BOMTable","Count|RecId|0","","","","","","","BOMId",$A15)</f>
        <v>#NAME?</v>
      </c>
      <c r="H15" t="e">
        <f ca="1">_xll.AtlasFormulas.AtlasFunctions.AtlasBalance("PROD",H$1,"T.BOMTable","Count|RecId|0","","","","","","","BOMId",$A15)</f>
        <v>#NAME?</v>
      </c>
      <c r="I15" t="e">
        <f ca="1">_xll.AtlasFormulas.AtlasFunctions.AtlasBalance("PROD",I$1,"T.BOMTable","Count|RecId|0","","","","","","","BOMId",$A15)</f>
        <v>#NAME?</v>
      </c>
      <c r="J15" t="e">
        <f ca="1">_xll.AtlasFormulas.AtlasFunctions.AtlasBalance("PROD",J$1,"T.BOMTable","Count|RecId|0","","","","","","","BOMId",$A15)</f>
        <v>#NAME?</v>
      </c>
      <c r="K15" t="e">
        <f ca="1">_xll.AtlasFormulas.AtlasFunctions.AtlasBalance("PROD",K$1,"T.BOMTable","Count|RecId|0","","","","","","","BOMId",$A15)</f>
        <v>#NAME?</v>
      </c>
      <c r="L15" t="e">
        <f ca="1">_xll.AtlasFormulas.AtlasFunctions.AtlasBalance("PROD",L$1,"T.BOMTable","Count|RecId|0","","","","","","","BOMId",$A15)</f>
        <v>#NAME?</v>
      </c>
      <c r="M15" t="e">
        <f ca="1">_xll.AtlasFormulas.AtlasFunctions.AtlasBalance("PROD",M$1,"T.BOMTable","Count|RecId|0","","","","","","","BOMId",$A15)</f>
        <v>#NAME?</v>
      </c>
    </row>
    <row r="16" spans="1:13" x14ac:dyDescent="0.25">
      <c r="A16" t="s">
        <v>28</v>
      </c>
      <c r="B16" t="s">
        <v>29</v>
      </c>
      <c r="C16" t="e">
        <f ca="1">_xll.AtlasFormulas.AtlasFunctions.AtlasBalance("PROD",C$1,"T.BOMTable","Count|RecId|0","","","","","","","BOMId",$A16)</f>
        <v>#NAME?</v>
      </c>
      <c r="D16" t="e">
        <f ca="1">_xll.AtlasFormulas.AtlasFunctions.AtlasBalance("PROD",D$1,"T.BOMTable","Count|RecId|0","","","","","","","BOMId",$A16)</f>
        <v>#NAME?</v>
      </c>
      <c r="E16" t="e">
        <f ca="1">_xll.AtlasFormulas.AtlasFunctions.AtlasBalance("PROD",E$1,"T.BOMTable","Count|RecId|0","","","","","","","BOMId",$A16)</f>
        <v>#NAME?</v>
      </c>
      <c r="F16" t="e">
        <f ca="1">_xll.AtlasFormulas.AtlasFunctions.AtlasBalance("PROD",F$1,"T.BOMTable","Count|RecId|0","","","","","","","BOMId",$A16)</f>
        <v>#NAME?</v>
      </c>
      <c r="G16" t="e">
        <f ca="1">_xll.AtlasFormulas.AtlasFunctions.AtlasBalance("PROD",G$1,"T.BOMTable","Count|RecId|0","","","","","","","BOMId",$A16)</f>
        <v>#NAME?</v>
      </c>
      <c r="H16" t="e">
        <f ca="1">_xll.AtlasFormulas.AtlasFunctions.AtlasBalance("PROD",H$1,"T.BOMTable","Count|RecId|0","","","","","","","BOMId",$A16)</f>
        <v>#NAME?</v>
      </c>
      <c r="I16" t="e">
        <f ca="1">_xll.AtlasFormulas.AtlasFunctions.AtlasBalance("PROD",I$1,"T.BOMTable","Count|RecId|0","","","","","","","BOMId",$A16)</f>
        <v>#NAME?</v>
      </c>
      <c r="J16" t="e">
        <f ca="1">_xll.AtlasFormulas.AtlasFunctions.AtlasBalance("PROD",J$1,"T.BOMTable","Count|RecId|0","","","","","","","BOMId",$A16)</f>
        <v>#NAME?</v>
      </c>
      <c r="K16" t="e">
        <f ca="1">_xll.AtlasFormulas.AtlasFunctions.AtlasBalance("PROD",K$1,"T.BOMTable","Count|RecId|0","","","","","","","BOMId",$A16)</f>
        <v>#NAME?</v>
      </c>
      <c r="L16" t="e">
        <f ca="1">_xll.AtlasFormulas.AtlasFunctions.AtlasBalance("PROD",L$1,"T.BOMTable","Count|RecId|0","","","","","","","BOMId",$A16)</f>
        <v>#NAME?</v>
      </c>
      <c r="M16" t="e">
        <f ca="1">_xll.AtlasFormulas.AtlasFunctions.AtlasBalance("PROD",M$1,"T.BOMTable","Count|RecId|0","","","","","","","BOMId",$A16)</f>
        <v>#NAME?</v>
      </c>
    </row>
    <row r="17" spans="1:13" x14ac:dyDescent="0.25">
      <c r="A17" t="s">
        <v>30</v>
      </c>
      <c r="B17" t="s">
        <v>31</v>
      </c>
      <c r="C17" t="e">
        <f ca="1">_xll.AtlasFormulas.AtlasFunctions.AtlasBalance("PROD",C$1,"T.BOMTable","Count|RecId|0","","","","","","","BOMId",$A17)</f>
        <v>#NAME?</v>
      </c>
      <c r="D17" t="e">
        <f ca="1">_xll.AtlasFormulas.AtlasFunctions.AtlasBalance("PROD",D$1,"T.BOMTable","Count|RecId|0","","","","","","","BOMId",$A17)</f>
        <v>#NAME?</v>
      </c>
      <c r="E17" t="e">
        <f ca="1">_xll.AtlasFormulas.AtlasFunctions.AtlasBalance("PROD",E$1,"T.BOMTable","Count|RecId|0","","","","","","","BOMId",$A17)</f>
        <v>#NAME?</v>
      </c>
      <c r="F17" t="e">
        <f ca="1">_xll.AtlasFormulas.AtlasFunctions.AtlasBalance("PROD",F$1,"T.BOMTable","Count|RecId|0","","","","","","","BOMId",$A17)</f>
        <v>#NAME?</v>
      </c>
      <c r="G17" t="e">
        <f ca="1">_xll.AtlasFormulas.AtlasFunctions.AtlasBalance("PROD",G$1,"T.BOMTable","Count|RecId|0","","","","","","","BOMId",$A17)</f>
        <v>#NAME?</v>
      </c>
      <c r="H17" t="e">
        <f ca="1">_xll.AtlasFormulas.AtlasFunctions.AtlasBalance("PROD",H$1,"T.BOMTable","Count|RecId|0","","","","","","","BOMId",$A17)</f>
        <v>#NAME?</v>
      </c>
      <c r="I17" t="e">
        <f ca="1">_xll.AtlasFormulas.AtlasFunctions.AtlasBalance("PROD",I$1,"T.BOMTable","Count|RecId|0","","","","","","","BOMId",$A17)</f>
        <v>#NAME?</v>
      </c>
      <c r="J17" t="e">
        <f ca="1">_xll.AtlasFormulas.AtlasFunctions.AtlasBalance("PROD",J$1,"T.BOMTable","Count|RecId|0","","","","","","","BOMId",$A17)</f>
        <v>#NAME?</v>
      </c>
      <c r="K17" t="e">
        <f ca="1">_xll.AtlasFormulas.AtlasFunctions.AtlasBalance("PROD",K$1,"T.BOMTable","Count|RecId|0","","","","","","","BOMId",$A17)</f>
        <v>#NAME?</v>
      </c>
      <c r="L17" t="e">
        <f ca="1">_xll.AtlasFormulas.AtlasFunctions.AtlasBalance("PROD",L$1,"T.BOMTable","Count|RecId|0","","","","","","","BOMId",$A17)</f>
        <v>#NAME?</v>
      </c>
      <c r="M17" t="e">
        <f ca="1">_xll.AtlasFormulas.AtlasFunctions.AtlasBalance("PROD",M$1,"T.BOMTable","Count|RecId|0","","","","","","","BOMId",$A17)</f>
        <v>#NAME?</v>
      </c>
    </row>
    <row r="18" spans="1:13" x14ac:dyDescent="0.25">
      <c r="A18" t="s">
        <v>32</v>
      </c>
      <c r="B18" t="s">
        <v>33</v>
      </c>
      <c r="C18" t="e">
        <f ca="1">_xll.AtlasFormulas.AtlasFunctions.AtlasBalance("PROD",C$1,"T.BOMTable","Count|RecId|0","","","","","","","BOMId",$A18)</f>
        <v>#NAME?</v>
      </c>
      <c r="D18" t="e">
        <f ca="1">_xll.AtlasFormulas.AtlasFunctions.AtlasBalance("PROD",D$1,"T.BOMTable","Count|RecId|0","","","","","","","BOMId",$A18)</f>
        <v>#NAME?</v>
      </c>
      <c r="E18" t="e">
        <f ca="1">_xll.AtlasFormulas.AtlasFunctions.AtlasBalance("PROD",E$1,"T.BOMTable","Count|RecId|0","","","","","","","BOMId",$A18)</f>
        <v>#NAME?</v>
      </c>
      <c r="F18" t="e">
        <f ca="1">_xll.AtlasFormulas.AtlasFunctions.AtlasBalance("PROD",F$1,"T.BOMTable","Count|RecId|0","","","","","","","BOMId",$A18)</f>
        <v>#NAME?</v>
      </c>
      <c r="G18" t="e">
        <f ca="1">_xll.AtlasFormulas.AtlasFunctions.AtlasBalance("PROD",G$1,"T.BOMTable","Count|RecId|0","","","","","","","BOMId",$A18)</f>
        <v>#NAME?</v>
      </c>
      <c r="H18" t="e">
        <f ca="1">_xll.AtlasFormulas.AtlasFunctions.AtlasBalance("PROD",H$1,"T.BOMTable","Count|RecId|0","","","","","","","BOMId",$A18)</f>
        <v>#NAME?</v>
      </c>
      <c r="I18" t="e">
        <f ca="1">_xll.AtlasFormulas.AtlasFunctions.AtlasBalance("PROD",I$1,"T.BOMTable","Count|RecId|0","","","","","","","BOMId",$A18)</f>
        <v>#NAME?</v>
      </c>
      <c r="J18" t="e">
        <f ca="1">_xll.AtlasFormulas.AtlasFunctions.AtlasBalance("PROD",J$1,"T.BOMTable","Count|RecId|0","","","","","","","BOMId",$A18)</f>
        <v>#NAME?</v>
      </c>
      <c r="K18" t="e">
        <f ca="1">_xll.AtlasFormulas.AtlasFunctions.AtlasBalance("PROD",K$1,"T.BOMTable","Count|RecId|0","","","","","","","BOMId",$A18)</f>
        <v>#NAME?</v>
      </c>
      <c r="L18" t="e">
        <f ca="1">_xll.AtlasFormulas.AtlasFunctions.AtlasBalance("PROD",L$1,"T.BOMTable","Count|RecId|0","","","","","","","BOMId",$A18)</f>
        <v>#NAME?</v>
      </c>
      <c r="M18" t="e">
        <f ca="1">_xll.AtlasFormulas.AtlasFunctions.AtlasBalance("PROD",M$1,"T.BOMTable","Count|RecId|0","","","","","","","BOMId",$A18)</f>
        <v>#NAME?</v>
      </c>
    </row>
    <row r="19" spans="1:13" x14ac:dyDescent="0.25">
      <c r="A19" t="s">
        <v>34</v>
      </c>
      <c r="B19" t="s">
        <v>35</v>
      </c>
      <c r="C19" t="e">
        <f ca="1">_xll.AtlasFormulas.AtlasFunctions.AtlasBalance("PROD",C$1,"T.BOMTable","Count|RecId|0","","","","","","","BOMId",$A19)</f>
        <v>#NAME?</v>
      </c>
      <c r="D19" t="e">
        <f ca="1">_xll.AtlasFormulas.AtlasFunctions.AtlasBalance("PROD",D$1,"T.BOMTable","Count|RecId|0","","","","","","","BOMId",$A19)</f>
        <v>#NAME?</v>
      </c>
      <c r="E19" t="e">
        <f ca="1">_xll.AtlasFormulas.AtlasFunctions.AtlasBalance("PROD",E$1,"T.BOMTable","Count|RecId|0","","","","","","","BOMId",$A19)</f>
        <v>#NAME?</v>
      </c>
      <c r="F19" t="e">
        <f ca="1">_xll.AtlasFormulas.AtlasFunctions.AtlasBalance("PROD",F$1,"T.BOMTable","Count|RecId|0","","","","","","","BOMId",$A19)</f>
        <v>#NAME?</v>
      </c>
      <c r="G19" t="e">
        <f ca="1">_xll.AtlasFormulas.AtlasFunctions.AtlasBalance("PROD",G$1,"T.BOMTable","Count|RecId|0","","","","","","","BOMId",$A19)</f>
        <v>#NAME?</v>
      </c>
      <c r="H19" t="e">
        <f ca="1">_xll.AtlasFormulas.AtlasFunctions.AtlasBalance("PROD",H$1,"T.BOMTable","Count|RecId|0","","","","","","","BOMId",$A19)</f>
        <v>#NAME?</v>
      </c>
      <c r="I19" t="e">
        <f ca="1">_xll.AtlasFormulas.AtlasFunctions.AtlasBalance("PROD",I$1,"T.BOMTable","Count|RecId|0","","","","","","","BOMId",$A19)</f>
        <v>#NAME?</v>
      </c>
      <c r="J19" t="e">
        <f ca="1">_xll.AtlasFormulas.AtlasFunctions.AtlasBalance("PROD",J$1,"T.BOMTable","Count|RecId|0","","","","","","","BOMId",$A19)</f>
        <v>#NAME?</v>
      </c>
      <c r="K19" t="e">
        <f ca="1">_xll.AtlasFormulas.AtlasFunctions.AtlasBalance("PROD",K$1,"T.BOMTable","Count|RecId|0","","","","","","","BOMId",$A19)</f>
        <v>#NAME?</v>
      </c>
      <c r="L19" t="e">
        <f ca="1">_xll.AtlasFormulas.AtlasFunctions.AtlasBalance("PROD",L$1,"T.BOMTable","Count|RecId|0","","","","","","","BOMId",$A19)</f>
        <v>#NAME?</v>
      </c>
      <c r="M19" t="e">
        <f ca="1">_xll.AtlasFormulas.AtlasFunctions.AtlasBalance("PROD",M$1,"T.BOMTable","Count|RecId|0","","","","","","","BOMId",$A19)</f>
        <v>#NAME?</v>
      </c>
    </row>
    <row r="20" spans="1:13" x14ac:dyDescent="0.25">
      <c r="A20" t="s">
        <v>36</v>
      </c>
      <c r="B20" t="s">
        <v>37</v>
      </c>
      <c r="C20" t="e">
        <f ca="1">_xll.AtlasFormulas.AtlasFunctions.AtlasBalance("PROD",C$1,"T.BOMTable","Count|RecId|0","","","","","","","BOMId",$A20)</f>
        <v>#NAME?</v>
      </c>
      <c r="D20" t="e">
        <f ca="1">_xll.AtlasFormulas.AtlasFunctions.AtlasBalance("PROD",D$1,"T.BOMTable","Count|RecId|0","","","","","","","BOMId",$A20)</f>
        <v>#NAME?</v>
      </c>
      <c r="E20" t="e">
        <f ca="1">_xll.AtlasFormulas.AtlasFunctions.AtlasBalance("PROD",E$1,"T.BOMTable","Count|RecId|0","","","","","","","BOMId",$A20)</f>
        <v>#NAME?</v>
      </c>
      <c r="F20" t="e">
        <f ca="1">_xll.AtlasFormulas.AtlasFunctions.AtlasBalance("PROD",F$1,"T.BOMTable","Count|RecId|0","","","","","","","BOMId",$A20)</f>
        <v>#NAME?</v>
      </c>
      <c r="G20" t="e">
        <f ca="1">_xll.AtlasFormulas.AtlasFunctions.AtlasBalance("PROD",G$1,"T.BOMTable","Count|RecId|0","","","","","","","BOMId",$A20)</f>
        <v>#NAME?</v>
      </c>
      <c r="H20" t="e">
        <f ca="1">_xll.AtlasFormulas.AtlasFunctions.AtlasBalance("PROD",H$1,"T.BOMTable","Count|RecId|0","","","","","","","BOMId",$A20)</f>
        <v>#NAME?</v>
      </c>
      <c r="I20" t="e">
        <f ca="1">_xll.AtlasFormulas.AtlasFunctions.AtlasBalance("PROD",I$1,"T.BOMTable","Count|RecId|0","","","","","","","BOMId",$A20)</f>
        <v>#NAME?</v>
      </c>
      <c r="J20" t="e">
        <f ca="1">_xll.AtlasFormulas.AtlasFunctions.AtlasBalance("PROD",J$1,"T.BOMTable","Count|RecId|0","","","","","","","BOMId",$A20)</f>
        <v>#NAME?</v>
      </c>
      <c r="K20" t="e">
        <f ca="1">_xll.AtlasFormulas.AtlasFunctions.AtlasBalance("PROD",K$1,"T.BOMTable","Count|RecId|0","","","","","","","BOMId",$A20)</f>
        <v>#NAME?</v>
      </c>
      <c r="L20" t="e">
        <f ca="1">_xll.AtlasFormulas.AtlasFunctions.AtlasBalance("PROD",L$1,"T.BOMTable","Count|RecId|0","","","","","","","BOMId",$A20)</f>
        <v>#NAME?</v>
      </c>
      <c r="M20" t="e">
        <f ca="1">_xll.AtlasFormulas.AtlasFunctions.AtlasBalance("PROD",M$1,"T.BOMTable","Count|RecId|0","","","","","","","BOMId",$A20)</f>
        <v>#NAME?</v>
      </c>
    </row>
    <row r="21" spans="1:13" x14ac:dyDescent="0.25">
      <c r="A21" t="s">
        <v>38</v>
      </c>
      <c r="B21" t="s">
        <v>39</v>
      </c>
      <c r="C21" t="e">
        <f ca="1">_xll.AtlasFormulas.AtlasFunctions.AtlasBalance("PROD",C$1,"T.BOMTable","Count|RecId|0","","","","","","","BOMId",$A21)</f>
        <v>#NAME?</v>
      </c>
      <c r="D21" t="e">
        <f ca="1">_xll.AtlasFormulas.AtlasFunctions.AtlasBalance("PROD",D$1,"T.BOMTable","Count|RecId|0","","","","","","","BOMId",$A21)</f>
        <v>#NAME?</v>
      </c>
      <c r="E21" t="e">
        <f ca="1">_xll.AtlasFormulas.AtlasFunctions.AtlasBalance("PROD",E$1,"T.BOMTable","Count|RecId|0","","","","","","","BOMId",$A21)</f>
        <v>#NAME?</v>
      </c>
      <c r="F21" t="e">
        <f ca="1">_xll.AtlasFormulas.AtlasFunctions.AtlasBalance("PROD",F$1,"T.BOMTable","Count|RecId|0","","","","","","","BOMId",$A21)</f>
        <v>#NAME?</v>
      </c>
      <c r="G21" t="e">
        <f ca="1">_xll.AtlasFormulas.AtlasFunctions.AtlasBalance("PROD",G$1,"T.BOMTable","Count|RecId|0","","","","","","","BOMId",$A21)</f>
        <v>#NAME?</v>
      </c>
      <c r="H21" t="e">
        <f ca="1">_xll.AtlasFormulas.AtlasFunctions.AtlasBalance("PROD",H$1,"T.BOMTable","Count|RecId|0","","","","","","","BOMId",$A21)</f>
        <v>#NAME?</v>
      </c>
      <c r="I21" t="e">
        <f ca="1">_xll.AtlasFormulas.AtlasFunctions.AtlasBalance("PROD",I$1,"T.BOMTable","Count|RecId|0","","","","","","","BOMId",$A21)</f>
        <v>#NAME?</v>
      </c>
      <c r="J21" t="e">
        <f ca="1">_xll.AtlasFormulas.AtlasFunctions.AtlasBalance("PROD",J$1,"T.BOMTable","Count|RecId|0","","","","","","","BOMId",$A21)</f>
        <v>#NAME?</v>
      </c>
      <c r="K21" t="e">
        <f ca="1">_xll.AtlasFormulas.AtlasFunctions.AtlasBalance("PROD",K$1,"T.BOMTable","Count|RecId|0","","","","","","","BOMId",$A21)</f>
        <v>#NAME?</v>
      </c>
      <c r="L21" t="e">
        <f ca="1">_xll.AtlasFormulas.AtlasFunctions.AtlasBalance("PROD",L$1,"T.BOMTable","Count|RecId|0","","","","","","","BOMId",$A21)</f>
        <v>#NAME?</v>
      </c>
      <c r="M21" t="e">
        <f ca="1">_xll.AtlasFormulas.AtlasFunctions.AtlasBalance("PROD",M$1,"T.BOMTable","Count|RecId|0","","","","","","","BOMId",$A21)</f>
        <v>#NAME?</v>
      </c>
    </row>
    <row r="22" spans="1:13" x14ac:dyDescent="0.25">
      <c r="A22" t="s">
        <v>40</v>
      </c>
      <c r="B22" t="s">
        <v>41</v>
      </c>
      <c r="C22" t="e">
        <f ca="1">_xll.AtlasFormulas.AtlasFunctions.AtlasBalance("PROD",C$1,"T.BOMTable","Count|RecId|0","","","","","","","BOMId",$A22)</f>
        <v>#NAME?</v>
      </c>
      <c r="D22" t="e">
        <f ca="1">_xll.AtlasFormulas.AtlasFunctions.AtlasBalance("PROD",D$1,"T.BOMTable","Count|RecId|0","","","","","","","BOMId",$A22)</f>
        <v>#NAME?</v>
      </c>
      <c r="E22" t="e">
        <f ca="1">_xll.AtlasFormulas.AtlasFunctions.AtlasBalance("PROD",E$1,"T.BOMTable","Count|RecId|0","","","","","","","BOMId",$A22)</f>
        <v>#NAME?</v>
      </c>
      <c r="F22" t="e">
        <f ca="1">_xll.AtlasFormulas.AtlasFunctions.AtlasBalance("PROD",F$1,"T.BOMTable","Count|RecId|0","","","","","","","BOMId",$A22)</f>
        <v>#NAME?</v>
      </c>
      <c r="G22" t="e">
        <f ca="1">_xll.AtlasFormulas.AtlasFunctions.AtlasBalance("PROD",G$1,"T.BOMTable","Count|RecId|0","","","","","","","BOMId",$A22)</f>
        <v>#NAME?</v>
      </c>
      <c r="H22" t="e">
        <f ca="1">_xll.AtlasFormulas.AtlasFunctions.AtlasBalance("PROD",H$1,"T.BOMTable","Count|RecId|0","","","","","","","BOMId",$A22)</f>
        <v>#NAME?</v>
      </c>
      <c r="I22" t="e">
        <f ca="1">_xll.AtlasFormulas.AtlasFunctions.AtlasBalance("PROD",I$1,"T.BOMTable","Count|RecId|0","","","","","","","BOMId",$A22)</f>
        <v>#NAME?</v>
      </c>
      <c r="J22" t="e">
        <f ca="1">_xll.AtlasFormulas.AtlasFunctions.AtlasBalance("PROD",J$1,"T.BOMTable","Count|RecId|0","","","","","","","BOMId",$A22)</f>
        <v>#NAME?</v>
      </c>
      <c r="K22" t="e">
        <f ca="1">_xll.AtlasFormulas.AtlasFunctions.AtlasBalance("PROD",K$1,"T.BOMTable","Count|RecId|0","","","","","","","BOMId",$A22)</f>
        <v>#NAME?</v>
      </c>
      <c r="L22" t="e">
        <f ca="1">_xll.AtlasFormulas.AtlasFunctions.AtlasBalance("PROD",L$1,"T.BOMTable","Count|RecId|0","","","","","","","BOMId",$A22)</f>
        <v>#NAME?</v>
      </c>
      <c r="M22" t="e">
        <f ca="1">_xll.AtlasFormulas.AtlasFunctions.AtlasBalance("PROD",M$1,"T.BOMTable","Count|RecId|0","","","","","","","BOMId",$A22)</f>
        <v>#NAME?</v>
      </c>
    </row>
    <row r="23" spans="1:13" x14ac:dyDescent="0.25">
      <c r="A23" t="s">
        <v>42</v>
      </c>
      <c r="B23" t="s">
        <v>43</v>
      </c>
      <c r="C23" t="e">
        <f ca="1">_xll.AtlasFormulas.AtlasFunctions.AtlasBalance("PROD",C$1,"T.BOMTable","Count|RecId|0","","","","","","","BOMId",$A23)</f>
        <v>#NAME?</v>
      </c>
      <c r="D23" t="e">
        <f ca="1">_xll.AtlasFormulas.AtlasFunctions.AtlasBalance("PROD",D$1,"T.BOMTable","Count|RecId|0","","","","","","","BOMId",$A23)</f>
        <v>#NAME?</v>
      </c>
      <c r="E23" t="e">
        <f ca="1">_xll.AtlasFormulas.AtlasFunctions.AtlasBalance("PROD",E$1,"T.BOMTable","Count|RecId|0","","","","","","","BOMId",$A23)</f>
        <v>#NAME?</v>
      </c>
      <c r="F23" t="e">
        <f ca="1">_xll.AtlasFormulas.AtlasFunctions.AtlasBalance("PROD",F$1,"T.BOMTable","Count|RecId|0","","","","","","","BOMId",$A23)</f>
        <v>#NAME?</v>
      </c>
      <c r="G23" t="e">
        <f ca="1">_xll.AtlasFormulas.AtlasFunctions.AtlasBalance("PROD",G$1,"T.BOMTable","Count|RecId|0","","","","","","","BOMId",$A23)</f>
        <v>#NAME?</v>
      </c>
      <c r="H23" t="e">
        <f ca="1">_xll.AtlasFormulas.AtlasFunctions.AtlasBalance("PROD",H$1,"T.BOMTable","Count|RecId|0","","","","","","","BOMId",$A23)</f>
        <v>#NAME?</v>
      </c>
      <c r="I23" t="e">
        <f ca="1">_xll.AtlasFormulas.AtlasFunctions.AtlasBalance("PROD",I$1,"T.BOMTable","Count|RecId|0","","","","","","","BOMId",$A23)</f>
        <v>#NAME?</v>
      </c>
      <c r="J23" t="e">
        <f ca="1">_xll.AtlasFormulas.AtlasFunctions.AtlasBalance("PROD",J$1,"T.BOMTable","Count|RecId|0","","","","","","","BOMId",$A23)</f>
        <v>#NAME?</v>
      </c>
      <c r="K23" t="e">
        <f ca="1">_xll.AtlasFormulas.AtlasFunctions.AtlasBalance("PROD",K$1,"T.BOMTable","Count|RecId|0","","","","","","","BOMId",$A23)</f>
        <v>#NAME?</v>
      </c>
      <c r="L23" t="e">
        <f ca="1">_xll.AtlasFormulas.AtlasFunctions.AtlasBalance("PROD",L$1,"T.BOMTable","Count|RecId|0","","","","","","","BOMId",$A23)</f>
        <v>#NAME?</v>
      </c>
      <c r="M23" t="e">
        <f ca="1">_xll.AtlasFormulas.AtlasFunctions.AtlasBalance("PROD",M$1,"T.BOMTable","Count|RecId|0","","","","","","","BOMId",$A23)</f>
        <v>#NAME?</v>
      </c>
    </row>
    <row r="24" spans="1:13" x14ac:dyDescent="0.25">
      <c r="A24" t="s">
        <v>44</v>
      </c>
      <c r="B24" t="s">
        <v>45</v>
      </c>
      <c r="C24" t="e">
        <f ca="1">_xll.AtlasFormulas.AtlasFunctions.AtlasBalance("PROD",C$1,"T.BOMTable","Count|RecId|0","","","","","","","BOMId",$A24)</f>
        <v>#NAME?</v>
      </c>
      <c r="D24" t="e">
        <f ca="1">_xll.AtlasFormulas.AtlasFunctions.AtlasBalance("PROD",D$1,"T.BOMTable","Count|RecId|0","","","","","","","BOMId",$A24)</f>
        <v>#NAME?</v>
      </c>
      <c r="E24" t="e">
        <f ca="1">_xll.AtlasFormulas.AtlasFunctions.AtlasBalance("PROD",E$1,"T.BOMTable","Count|RecId|0","","","","","","","BOMId",$A24)</f>
        <v>#NAME?</v>
      </c>
      <c r="F24" t="e">
        <f ca="1">_xll.AtlasFormulas.AtlasFunctions.AtlasBalance("PROD",F$1,"T.BOMTable","Count|RecId|0","","","","","","","BOMId",$A24)</f>
        <v>#NAME?</v>
      </c>
      <c r="G24" t="e">
        <f ca="1">_xll.AtlasFormulas.AtlasFunctions.AtlasBalance("PROD",G$1,"T.BOMTable","Count|RecId|0","","","","","","","BOMId",$A24)</f>
        <v>#NAME?</v>
      </c>
      <c r="H24" t="e">
        <f ca="1">_xll.AtlasFormulas.AtlasFunctions.AtlasBalance("PROD",H$1,"T.BOMTable","Count|RecId|0","","","","","","","BOMId",$A24)</f>
        <v>#NAME?</v>
      </c>
      <c r="I24" t="e">
        <f ca="1">_xll.AtlasFormulas.AtlasFunctions.AtlasBalance("PROD",I$1,"T.BOMTable","Count|RecId|0","","","","","","","BOMId",$A24)</f>
        <v>#NAME?</v>
      </c>
      <c r="J24" t="e">
        <f ca="1">_xll.AtlasFormulas.AtlasFunctions.AtlasBalance("PROD",J$1,"T.BOMTable","Count|RecId|0","","","","","","","BOMId",$A24)</f>
        <v>#NAME?</v>
      </c>
      <c r="K24" t="e">
        <f ca="1">_xll.AtlasFormulas.AtlasFunctions.AtlasBalance("PROD",K$1,"T.BOMTable","Count|RecId|0","","","","","","","BOMId",$A24)</f>
        <v>#NAME?</v>
      </c>
      <c r="L24" t="e">
        <f ca="1">_xll.AtlasFormulas.AtlasFunctions.AtlasBalance("PROD",L$1,"T.BOMTable","Count|RecId|0","","","","","","","BOMId",$A24)</f>
        <v>#NAME?</v>
      </c>
      <c r="M24" t="e">
        <f ca="1">_xll.AtlasFormulas.AtlasFunctions.AtlasBalance("PROD",M$1,"T.BOMTable","Count|RecId|0","","","","","","","BOMId",$A24)</f>
        <v>#NAME?</v>
      </c>
    </row>
    <row r="25" spans="1:13" x14ac:dyDescent="0.25">
      <c r="A25" t="s">
        <v>46</v>
      </c>
      <c r="B25" t="s">
        <v>47</v>
      </c>
      <c r="C25" t="e">
        <f ca="1">_xll.AtlasFormulas.AtlasFunctions.AtlasBalance("PROD",C$1,"T.BOMTable","Count|RecId|0","","","","","","","BOMId",$A25)</f>
        <v>#NAME?</v>
      </c>
      <c r="D25" t="e">
        <f ca="1">_xll.AtlasFormulas.AtlasFunctions.AtlasBalance("PROD",D$1,"T.BOMTable","Count|RecId|0","","","","","","","BOMId",$A25)</f>
        <v>#NAME?</v>
      </c>
      <c r="E25" t="e">
        <f ca="1">_xll.AtlasFormulas.AtlasFunctions.AtlasBalance("PROD",E$1,"T.BOMTable","Count|RecId|0","","","","","","","BOMId",$A25)</f>
        <v>#NAME?</v>
      </c>
      <c r="F25" t="e">
        <f ca="1">_xll.AtlasFormulas.AtlasFunctions.AtlasBalance("PROD",F$1,"T.BOMTable","Count|RecId|0","","","","","","","BOMId",$A25)</f>
        <v>#NAME?</v>
      </c>
      <c r="G25" t="e">
        <f ca="1">_xll.AtlasFormulas.AtlasFunctions.AtlasBalance("PROD",G$1,"T.BOMTable","Count|RecId|0","","","","","","","BOMId",$A25)</f>
        <v>#NAME?</v>
      </c>
      <c r="H25" t="e">
        <f ca="1">_xll.AtlasFormulas.AtlasFunctions.AtlasBalance("PROD",H$1,"T.BOMTable","Count|RecId|0","","","","","","","BOMId",$A25)</f>
        <v>#NAME?</v>
      </c>
      <c r="I25" t="e">
        <f ca="1">_xll.AtlasFormulas.AtlasFunctions.AtlasBalance("PROD",I$1,"T.BOMTable","Count|RecId|0","","","","","","","BOMId",$A25)</f>
        <v>#NAME?</v>
      </c>
      <c r="J25" t="e">
        <f ca="1">_xll.AtlasFormulas.AtlasFunctions.AtlasBalance("PROD",J$1,"T.BOMTable","Count|RecId|0","","","","","","","BOMId",$A25)</f>
        <v>#NAME?</v>
      </c>
      <c r="K25" t="e">
        <f ca="1">_xll.AtlasFormulas.AtlasFunctions.AtlasBalance("PROD",K$1,"T.BOMTable","Count|RecId|0","","","","","","","BOMId",$A25)</f>
        <v>#NAME?</v>
      </c>
      <c r="L25" t="e">
        <f ca="1">_xll.AtlasFormulas.AtlasFunctions.AtlasBalance("PROD",L$1,"T.BOMTable","Count|RecId|0","","","","","","","BOMId",$A25)</f>
        <v>#NAME?</v>
      </c>
      <c r="M25" t="e">
        <f ca="1">_xll.AtlasFormulas.AtlasFunctions.AtlasBalance("PROD",M$1,"T.BOMTable","Count|RecId|0","","","","","","","BOMId",$A25)</f>
        <v>#NAME?</v>
      </c>
    </row>
    <row r="26" spans="1:13" x14ac:dyDescent="0.25">
      <c r="A26" t="s">
        <v>48</v>
      </c>
      <c r="B26" t="s">
        <v>49</v>
      </c>
      <c r="C26" t="e">
        <f ca="1">_xll.AtlasFormulas.AtlasFunctions.AtlasBalance("PROD",C$1,"T.BOMTable","Count|RecId|0","","","","","","","BOMId",$A26)</f>
        <v>#NAME?</v>
      </c>
      <c r="D26" t="e">
        <f ca="1">_xll.AtlasFormulas.AtlasFunctions.AtlasBalance("PROD",D$1,"T.BOMTable","Count|RecId|0","","","","","","","BOMId",$A26)</f>
        <v>#NAME?</v>
      </c>
      <c r="E26" t="e">
        <f ca="1">_xll.AtlasFormulas.AtlasFunctions.AtlasBalance("PROD",E$1,"T.BOMTable","Count|RecId|0","","","","","","","BOMId",$A26)</f>
        <v>#NAME?</v>
      </c>
      <c r="F26" t="e">
        <f ca="1">_xll.AtlasFormulas.AtlasFunctions.AtlasBalance("PROD",F$1,"T.BOMTable","Count|RecId|0","","","","","","","BOMId",$A26)</f>
        <v>#NAME?</v>
      </c>
      <c r="G26" t="e">
        <f ca="1">_xll.AtlasFormulas.AtlasFunctions.AtlasBalance("PROD",G$1,"T.BOMTable","Count|RecId|0","","","","","","","BOMId",$A26)</f>
        <v>#NAME?</v>
      </c>
      <c r="H26" t="e">
        <f ca="1">_xll.AtlasFormulas.AtlasFunctions.AtlasBalance("PROD",H$1,"T.BOMTable","Count|RecId|0","","","","","","","BOMId",$A26)</f>
        <v>#NAME?</v>
      </c>
      <c r="I26" t="e">
        <f ca="1">_xll.AtlasFormulas.AtlasFunctions.AtlasBalance("PROD",I$1,"T.BOMTable","Count|RecId|0","","","","","","","BOMId",$A26)</f>
        <v>#NAME?</v>
      </c>
      <c r="J26" t="e">
        <f ca="1">_xll.AtlasFormulas.AtlasFunctions.AtlasBalance("PROD",J$1,"T.BOMTable","Count|RecId|0","","","","","","","BOMId",$A26)</f>
        <v>#NAME?</v>
      </c>
      <c r="K26" t="e">
        <f ca="1">_xll.AtlasFormulas.AtlasFunctions.AtlasBalance("PROD",K$1,"T.BOMTable","Count|RecId|0","","","","","","","BOMId",$A26)</f>
        <v>#NAME?</v>
      </c>
      <c r="L26" t="e">
        <f ca="1">_xll.AtlasFormulas.AtlasFunctions.AtlasBalance("PROD",L$1,"T.BOMTable","Count|RecId|0","","","","","","","BOMId",$A26)</f>
        <v>#NAME?</v>
      </c>
      <c r="M26" t="e">
        <f ca="1">_xll.AtlasFormulas.AtlasFunctions.AtlasBalance("PROD",M$1,"T.BOMTable","Count|RecId|0","","","","","","","BOMId",$A26)</f>
        <v>#NAME?</v>
      </c>
    </row>
    <row r="27" spans="1:13" x14ac:dyDescent="0.25">
      <c r="A27" t="s">
        <v>50</v>
      </c>
      <c r="B27" t="s">
        <v>51</v>
      </c>
      <c r="C27" t="e">
        <f ca="1">_xll.AtlasFormulas.AtlasFunctions.AtlasBalance("PROD",C$1,"T.BOMTable","Count|RecId|0","","","","","","","BOMId",$A27)</f>
        <v>#NAME?</v>
      </c>
      <c r="D27" t="e">
        <f ca="1">_xll.AtlasFormulas.AtlasFunctions.AtlasBalance("PROD",D$1,"T.BOMTable","Count|RecId|0","","","","","","","BOMId",$A27)</f>
        <v>#NAME?</v>
      </c>
      <c r="E27" t="e">
        <f ca="1">_xll.AtlasFormulas.AtlasFunctions.AtlasBalance("PROD",E$1,"T.BOMTable","Count|RecId|0","","","","","","","BOMId",$A27)</f>
        <v>#NAME?</v>
      </c>
      <c r="F27" t="e">
        <f ca="1">_xll.AtlasFormulas.AtlasFunctions.AtlasBalance("PROD",F$1,"T.BOMTable","Count|RecId|0","","","","","","","BOMId",$A27)</f>
        <v>#NAME?</v>
      </c>
      <c r="G27" t="e">
        <f ca="1">_xll.AtlasFormulas.AtlasFunctions.AtlasBalance("PROD",G$1,"T.BOMTable","Count|RecId|0","","","","","","","BOMId",$A27)</f>
        <v>#NAME?</v>
      </c>
      <c r="H27" t="e">
        <f ca="1">_xll.AtlasFormulas.AtlasFunctions.AtlasBalance("PROD",H$1,"T.BOMTable","Count|RecId|0","","","","","","","BOMId",$A27)</f>
        <v>#NAME?</v>
      </c>
      <c r="I27" t="e">
        <f ca="1">_xll.AtlasFormulas.AtlasFunctions.AtlasBalance("PROD",I$1,"T.BOMTable","Count|RecId|0","","","","","","","BOMId",$A27)</f>
        <v>#NAME?</v>
      </c>
      <c r="J27" t="e">
        <f ca="1">_xll.AtlasFormulas.AtlasFunctions.AtlasBalance("PROD",J$1,"T.BOMTable","Count|RecId|0","","","","","","","BOMId",$A27)</f>
        <v>#NAME?</v>
      </c>
      <c r="K27" t="e">
        <f ca="1">_xll.AtlasFormulas.AtlasFunctions.AtlasBalance("PROD",K$1,"T.BOMTable","Count|RecId|0","","","","","","","BOMId",$A27)</f>
        <v>#NAME?</v>
      </c>
      <c r="L27" t="e">
        <f ca="1">_xll.AtlasFormulas.AtlasFunctions.AtlasBalance("PROD",L$1,"T.BOMTable","Count|RecId|0","","","","","","","BOMId",$A27)</f>
        <v>#NAME?</v>
      </c>
      <c r="M27" t="e">
        <f ca="1">_xll.AtlasFormulas.AtlasFunctions.AtlasBalance("PROD",M$1,"T.BOMTable","Count|RecId|0","","","","","","","BOMId",$A27)</f>
        <v>#NAME?</v>
      </c>
    </row>
    <row r="28" spans="1:13" x14ac:dyDescent="0.25">
      <c r="A28" t="s">
        <v>52</v>
      </c>
      <c r="B28" t="s">
        <v>53</v>
      </c>
      <c r="C28" t="e">
        <f ca="1">_xll.AtlasFormulas.AtlasFunctions.AtlasBalance("PROD",C$1,"T.BOMTable","Count|RecId|0","","","","","","","BOMId",$A28)</f>
        <v>#NAME?</v>
      </c>
      <c r="D28" t="e">
        <f ca="1">_xll.AtlasFormulas.AtlasFunctions.AtlasBalance("PROD",D$1,"T.BOMTable","Count|RecId|0","","","","","","","BOMId",$A28)</f>
        <v>#NAME?</v>
      </c>
      <c r="E28" t="e">
        <f ca="1">_xll.AtlasFormulas.AtlasFunctions.AtlasBalance("PROD",E$1,"T.BOMTable","Count|RecId|0","","","","","","","BOMId",$A28)</f>
        <v>#NAME?</v>
      </c>
      <c r="F28" t="e">
        <f ca="1">_xll.AtlasFormulas.AtlasFunctions.AtlasBalance("PROD",F$1,"T.BOMTable","Count|RecId|0","","","","","","","BOMId",$A28)</f>
        <v>#NAME?</v>
      </c>
      <c r="G28" t="e">
        <f ca="1">_xll.AtlasFormulas.AtlasFunctions.AtlasBalance("PROD",G$1,"T.BOMTable","Count|RecId|0","","","","","","","BOMId",$A28)</f>
        <v>#NAME?</v>
      </c>
      <c r="H28" t="e">
        <f ca="1">_xll.AtlasFormulas.AtlasFunctions.AtlasBalance("PROD",H$1,"T.BOMTable","Count|RecId|0","","","","","","","BOMId",$A28)</f>
        <v>#NAME?</v>
      </c>
      <c r="I28" t="e">
        <f ca="1">_xll.AtlasFormulas.AtlasFunctions.AtlasBalance("PROD",I$1,"T.BOMTable","Count|RecId|0","","","","","","","BOMId",$A28)</f>
        <v>#NAME?</v>
      </c>
      <c r="J28" t="e">
        <f ca="1">_xll.AtlasFormulas.AtlasFunctions.AtlasBalance("PROD",J$1,"T.BOMTable","Count|RecId|0","","","","","","","BOMId",$A28)</f>
        <v>#NAME?</v>
      </c>
      <c r="K28" t="e">
        <f ca="1">_xll.AtlasFormulas.AtlasFunctions.AtlasBalance("PROD",K$1,"T.BOMTable","Count|RecId|0","","","","","","","BOMId",$A28)</f>
        <v>#NAME?</v>
      </c>
      <c r="L28" t="e">
        <f ca="1">_xll.AtlasFormulas.AtlasFunctions.AtlasBalance("PROD",L$1,"T.BOMTable","Count|RecId|0","","","","","","","BOMId",$A28)</f>
        <v>#NAME?</v>
      </c>
      <c r="M28" t="e">
        <f ca="1">_xll.AtlasFormulas.AtlasFunctions.AtlasBalance("PROD",M$1,"T.BOMTable","Count|RecId|0","","","","","","","BOMId",$A28)</f>
        <v>#NAME?</v>
      </c>
    </row>
    <row r="29" spans="1:13" x14ac:dyDescent="0.25">
      <c r="A29" t="s">
        <v>54</v>
      </c>
      <c r="B29" t="s">
        <v>55</v>
      </c>
      <c r="C29" t="e">
        <f ca="1">_xll.AtlasFormulas.AtlasFunctions.AtlasBalance("PROD",C$1,"T.BOMTable","Count|RecId|0","","","","","","","BOMId",$A29)</f>
        <v>#NAME?</v>
      </c>
      <c r="D29" t="e">
        <f ca="1">_xll.AtlasFormulas.AtlasFunctions.AtlasBalance("PROD",D$1,"T.BOMTable","Count|RecId|0","","","","","","","BOMId",$A29)</f>
        <v>#NAME?</v>
      </c>
      <c r="E29" t="e">
        <f ca="1">_xll.AtlasFormulas.AtlasFunctions.AtlasBalance("PROD",E$1,"T.BOMTable","Count|RecId|0","","","","","","","BOMId",$A29)</f>
        <v>#NAME?</v>
      </c>
      <c r="F29" t="e">
        <f ca="1">_xll.AtlasFormulas.AtlasFunctions.AtlasBalance("PROD",F$1,"T.BOMTable","Count|RecId|0","","","","","","","BOMId",$A29)</f>
        <v>#NAME?</v>
      </c>
      <c r="G29" t="e">
        <f ca="1">_xll.AtlasFormulas.AtlasFunctions.AtlasBalance("PROD",G$1,"T.BOMTable","Count|RecId|0","","","","","","","BOMId",$A29)</f>
        <v>#NAME?</v>
      </c>
      <c r="H29" t="e">
        <f ca="1">_xll.AtlasFormulas.AtlasFunctions.AtlasBalance("PROD",H$1,"T.BOMTable","Count|RecId|0","","","","","","","BOMId",$A29)</f>
        <v>#NAME?</v>
      </c>
      <c r="I29" t="e">
        <f ca="1">_xll.AtlasFormulas.AtlasFunctions.AtlasBalance("PROD",I$1,"T.BOMTable","Count|RecId|0","","","","","","","BOMId",$A29)</f>
        <v>#NAME?</v>
      </c>
      <c r="J29" t="e">
        <f ca="1">_xll.AtlasFormulas.AtlasFunctions.AtlasBalance("PROD",J$1,"T.BOMTable","Count|RecId|0","","","","","","","BOMId",$A29)</f>
        <v>#NAME?</v>
      </c>
      <c r="K29" t="e">
        <f ca="1">_xll.AtlasFormulas.AtlasFunctions.AtlasBalance("PROD",K$1,"T.BOMTable","Count|RecId|0","","","","","","","BOMId",$A29)</f>
        <v>#NAME?</v>
      </c>
      <c r="L29" t="e">
        <f ca="1">_xll.AtlasFormulas.AtlasFunctions.AtlasBalance("PROD",L$1,"T.BOMTable","Count|RecId|0","","","","","","","BOMId",$A29)</f>
        <v>#NAME?</v>
      </c>
      <c r="M29" t="e">
        <f ca="1">_xll.AtlasFormulas.AtlasFunctions.AtlasBalance("PROD",M$1,"T.BOMTable","Count|RecId|0","","","","","","","BOMId",$A29)</f>
        <v>#NAME?</v>
      </c>
    </row>
    <row r="30" spans="1:13" x14ac:dyDescent="0.25">
      <c r="A30" t="s">
        <v>56</v>
      </c>
      <c r="B30" t="s">
        <v>57</v>
      </c>
      <c r="C30" t="e">
        <f ca="1">_xll.AtlasFormulas.AtlasFunctions.AtlasBalance("PROD",C$1,"T.BOMTable","Count|RecId|0","","","","","","","BOMId",$A30)</f>
        <v>#NAME?</v>
      </c>
      <c r="D30" t="e">
        <f ca="1">_xll.AtlasFormulas.AtlasFunctions.AtlasBalance("PROD",D$1,"T.BOMTable","Count|RecId|0","","","","","","","BOMId",$A30)</f>
        <v>#NAME?</v>
      </c>
      <c r="E30" t="e">
        <f ca="1">_xll.AtlasFormulas.AtlasFunctions.AtlasBalance("PROD",E$1,"T.BOMTable","Count|RecId|0","","","","","","","BOMId",$A30)</f>
        <v>#NAME?</v>
      </c>
      <c r="F30" t="e">
        <f ca="1">_xll.AtlasFormulas.AtlasFunctions.AtlasBalance("PROD",F$1,"T.BOMTable","Count|RecId|0","","","","","","","BOMId",$A30)</f>
        <v>#NAME?</v>
      </c>
      <c r="G30" t="e">
        <f ca="1">_xll.AtlasFormulas.AtlasFunctions.AtlasBalance("PROD",G$1,"T.BOMTable","Count|RecId|0","","","","","","","BOMId",$A30)</f>
        <v>#NAME?</v>
      </c>
      <c r="H30" t="e">
        <f ca="1">_xll.AtlasFormulas.AtlasFunctions.AtlasBalance("PROD",H$1,"T.BOMTable","Count|RecId|0","","","","","","","BOMId",$A30)</f>
        <v>#NAME?</v>
      </c>
      <c r="I30" t="e">
        <f ca="1">_xll.AtlasFormulas.AtlasFunctions.AtlasBalance("PROD",I$1,"T.BOMTable","Count|RecId|0","","","","","","","BOMId",$A30)</f>
        <v>#NAME?</v>
      </c>
      <c r="J30" t="e">
        <f ca="1">_xll.AtlasFormulas.AtlasFunctions.AtlasBalance("PROD",J$1,"T.BOMTable","Count|RecId|0","","","","","","","BOMId",$A30)</f>
        <v>#NAME?</v>
      </c>
      <c r="K30" t="e">
        <f ca="1">_xll.AtlasFormulas.AtlasFunctions.AtlasBalance("PROD",K$1,"T.BOMTable","Count|RecId|0","","","","","","","BOMId",$A30)</f>
        <v>#NAME?</v>
      </c>
      <c r="L30" t="e">
        <f ca="1">_xll.AtlasFormulas.AtlasFunctions.AtlasBalance("PROD",L$1,"T.BOMTable","Count|RecId|0","","","","","","","BOMId",$A30)</f>
        <v>#NAME?</v>
      </c>
      <c r="M30" t="e">
        <f ca="1">_xll.AtlasFormulas.AtlasFunctions.AtlasBalance("PROD",M$1,"T.BOMTable","Count|RecId|0","","","","","","","BOMId",$A30)</f>
        <v>#NAME?</v>
      </c>
    </row>
    <row r="31" spans="1:13" x14ac:dyDescent="0.25">
      <c r="A31" t="s">
        <v>58</v>
      </c>
      <c r="B31" t="s">
        <v>59</v>
      </c>
      <c r="C31" t="e">
        <f ca="1">_xll.AtlasFormulas.AtlasFunctions.AtlasBalance("PROD",C$1,"T.BOMTable","Count|RecId|0","","","","","","","BOMId",$A31)</f>
        <v>#NAME?</v>
      </c>
      <c r="D31" t="e">
        <f ca="1">_xll.AtlasFormulas.AtlasFunctions.AtlasBalance("PROD",D$1,"T.BOMTable","Count|RecId|0","","","","","","","BOMId",$A31)</f>
        <v>#NAME?</v>
      </c>
      <c r="E31" t="e">
        <f ca="1">_xll.AtlasFormulas.AtlasFunctions.AtlasBalance("PROD",E$1,"T.BOMTable","Count|RecId|0","","","","","","","BOMId",$A31)</f>
        <v>#NAME?</v>
      </c>
      <c r="F31" t="e">
        <f ca="1">_xll.AtlasFormulas.AtlasFunctions.AtlasBalance("PROD",F$1,"T.BOMTable","Count|RecId|0","","","","","","","BOMId",$A31)</f>
        <v>#NAME?</v>
      </c>
      <c r="G31" t="e">
        <f ca="1">_xll.AtlasFormulas.AtlasFunctions.AtlasBalance("PROD",G$1,"T.BOMTable","Count|RecId|0","","","","","","","BOMId",$A31)</f>
        <v>#NAME?</v>
      </c>
      <c r="H31" t="e">
        <f ca="1">_xll.AtlasFormulas.AtlasFunctions.AtlasBalance("PROD",H$1,"T.BOMTable","Count|RecId|0","","","","","","","BOMId",$A31)</f>
        <v>#NAME?</v>
      </c>
      <c r="I31" t="e">
        <f ca="1">_xll.AtlasFormulas.AtlasFunctions.AtlasBalance("PROD",I$1,"T.BOMTable","Count|RecId|0","","","","","","","BOMId",$A31)</f>
        <v>#NAME?</v>
      </c>
      <c r="J31" t="e">
        <f ca="1">_xll.AtlasFormulas.AtlasFunctions.AtlasBalance("PROD",J$1,"T.BOMTable","Count|RecId|0","","","","","","","BOMId",$A31)</f>
        <v>#NAME?</v>
      </c>
      <c r="K31" t="e">
        <f ca="1">_xll.AtlasFormulas.AtlasFunctions.AtlasBalance("PROD",K$1,"T.BOMTable","Count|RecId|0","","","","","","","BOMId",$A31)</f>
        <v>#NAME?</v>
      </c>
      <c r="L31" t="e">
        <f ca="1">_xll.AtlasFormulas.AtlasFunctions.AtlasBalance("PROD",L$1,"T.BOMTable","Count|RecId|0","","","","","","","BOMId",$A31)</f>
        <v>#NAME?</v>
      </c>
      <c r="M31" t="e">
        <f ca="1">_xll.AtlasFormulas.AtlasFunctions.AtlasBalance("PROD",M$1,"T.BOMTable","Count|RecId|0","","","","","","","BOMId",$A31)</f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BOMLines"/>
  <dimension ref="A1:M31"/>
  <sheetViews>
    <sheetView workbookViewId="0">
      <selection activeCell="L7" sqref="L7"/>
    </sheetView>
  </sheetViews>
  <sheetFormatPr defaultRowHeight="15" x14ac:dyDescent="0.25"/>
  <cols>
    <col min="1" max="1" width="19.140625" bestFit="1" customWidth="1"/>
    <col min="2" max="2" width="42.5703125" bestFit="1" customWidth="1"/>
    <col min="3" max="13" width="4" bestFit="1" customWidth="1"/>
  </cols>
  <sheetData>
    <row r="1" spans="1:13" x14ac:dyDescent="0.25">
      <c r="A1" t="s">
        <v>60</v>
      </c>
      <c r="B1" t="s">
        <v>61</v>
      </c>
      <c r="C1">
        <v>345</v>
      </c>
      <c r="D1">
        <v>360</v>
      </c>
      <c r="E1">
        <v>362</v>
      </c>
      <c r="F1">
        <v>363</v>
      </c>
      <c r="G1">
        <v>364</v>
      </c>
      <c r="H1">
        <v>365</v>
      </c>
      <c r="I1">
        <v>366</v>
      </c>
      <c r="J1">
        <v>368</v>
      </c>
      <c r="K1">
        <v>369</v>
      </c>
      <c r="L1">
        <v>371</v>
      </c>
      <c r="M1">
        <v>372</v>
      </c>
    </row>
    <row r="2" spans="1:13" x14ac:dyDescent="0.25">
      <c r="A2" t="s">
        <v>0</v>
      </c>
      <c r="B2" t="s">
        <v>1</v>
      </c>
      <c r="C2" t="e">
        <f ca="1">_xll.AtlasFormulas.AtlasFunctions.AtlasBalance("PROD",C$1,"T.BOM","Count|RecId|0","","","","","","","ItemId",$A2)</f>
        <v>#NAME?</v>
      </c>
      <c r="D2" t="e">
        <f ca="1">_xll.AtlasFormulas.AtlasFunctions.AtlasBalance("PROD",D$1,"T.BOM","Count|RecId|0","","","","","","","ItemId",$A2)</f>
        <v>#NAME?</v>
      </c>
      <c r="E2" t="e">
        <f ca="1">_xll.AtlasFormulas.AtlasFunctions.AtlasBalance("PROD",E$1,"T.BOM","Count|RecId|0","","","","","","","ItemId",$A2)</f>
        <v>#NAME?</v>
      </c>
      <c r="F2" t="e">
        <f ca="1">_xll.AtlasFormulas.AtlasFunctions.AtlasBalance("PROD",F$1,"T.BOM","Count|RecId|0","","","","","","","ItemId",$A2)</f>
        <v>#NAME?</v>
      </c>
      <c r="G2" t="e">
        <f ca="1">_xll.AtlasFormulas.AtlasFunctions.AtlasBalance("PROD",G$1,"T.BOM","Count|RecId|0","","","","","","","ItemId",$A2)</f>
        <v>#NAME?</v>
      </c>
      <c r="H2" t="e">
        <f ca="1">_xll.AtlasFormulas.AtlasFunctions.AtlasBalance("PROD",H$1,"T.BOM","Count|RecId|0","","","","","","","ItemId",$A2)</f>
        <v>#NAME?</v>
      </c>
      <c r="I2" t="e">
        <f ca="1">_xll.AtlasFormulas.AtlasFunctions.AtlasBalance("PROD",I$1,"T.BOM","Count|RecId|0","","","","","","","ItemId",$A2)</f>
        <v>#NAME?</v>
      </c>
      <c r="J2" t="e">
        <f ca="1">_xll.AtlasFormulas.AtlasFunctions.AtlasBalance("PROD",J$1,"T.BOM","Count|RecId|0","","","","","","","ItemId",$A2)</f>
        <v>#NAME?</v>
      </c>
      <c r="K2" t="e">
        <f ca="1">_xll.AtlasFormulas.AtlasFunctions.AtlasBalance("PROD",K$1,"T.BOM","Count|RecId|0","","","","","","","ItemId",$A2)</f>
        <v>#NAME?</v>
      </c>
      <c r="L2" t="e">
        <f ca="1">_xll.AtlasFormulas.AtlasFunctions.AtlasBalance("PROD",L$1,"T.BOM","Count|RecId|0","","","","","","","ItemId",$A2)</f>
        <v>#NAME?</v>
      </c>
      <c r="M2" t="e">
        <f ca="1">_xll.AtlasFormulas.AtlasFunctions.AtlasBalance("PROD",M$1,"T.BOM","Count|RecId|0","","","","","","","ItemId",$A2)</f>
        <v>#NAME?</v>
      </c>
    </row>
    <row r="3" spans="1:13" x14ac:dyDescent="0.25">
      <c r="A3" t="s">
        <v>2</v>
      </c>
      <c r="B3" t="s">
        <v>3</v>
      </c>
      <c r="C3" t="e">
        <f ca="1">_xll.AtlasFormulas.AtlasFunctions.AtlasBalance("PROD",C$1,"T.BOM","Count|RecId|0","","","","","","","ItemId",$A3)</f>
        <v>#NAME?</v>
      </c>
      <c r="D3" t="e">
        <f ca="1">_xll.AtlasFormulas.AtlasFunctions.AtlasBalance("PROD",D$1,"T.BOM","Count|RecId|0","","","","","","","ItemId",$A3)</f>
        <v>#NAME?</v>
      </c>
      <c r="E3" t="e">
        <f ca="1">_xll.AtlasFormulas.AtlasFunctions.AtlasBalance("PROD",E$1,"T.BOM","Count|RecId|0","","","","","","","ItemId",$A3)</f>
        <v>#NAME?</v>
      </c>
      <c r="F3" t="e">
        <f ca="1">_xll.AtlasFormulas.AtlasFunctions.AtlasBalance("PROD",F$1,"T.BOM","Count|RecId|0","","","","","","","ItemId",$A3)</f>
        <v>#NAME?</v>
      </c>
      <c r="G3" t="e">
        <f ca="1">_xll.AtlasFormulas.AtlasFunctions.AtlasBalance("PROD",G$1,"T.BOM","Count|RecId|0","","","","","","","ItemId",$A3)</f>
        <v>#NAME?</v>
      </c>
      <c r="H3" t="e">
        <f ca="1">_xll.AtlasFormulas.AtlasFunctions.AtlasBalance("PROD",H$1,"T.BOM","Count|RecId|0","","","","","","","ItemId",$A3)</f>
        <v>#NAME?</v>
      </c>
      <c r="I3" t="e">
        <f ca="1">_xll.AtlasFormulas.AtlasFunctions.AtlasBalance("PROD",I$1,"T.BOM","Count|RecId|0","","","","","","","ItemId",$A3)</f>
        <v>#NAME?</v>
      </c>
      <c r="J3" t="e">
        <f ca="1">_xll.AtlasFormulas.AtlasFunctions.AtlasBalance("PROD",J$1,"T.BOM","Count|RecId|0","","","","","","","ItemId",$A3)</f>
        <v>#NAME?</v>
      </c>
      <c r="K3" t="e">
        <f ca="1">_xll.AtlasFormulas.AtlasFunctions.AtlasBalance("PROD",K$1,"T.BOM","Count|RecId|0","","","","","","","ItemId",$A3)</f>
        <v>#NAME?</v>
      </c>
      <c r="L3" t="e">
        <f ca="1">_xll.AtlasFormulas.AtlasFunctions.AtlasBalance("PROD",L$1,"T.BOM","Count|RecId|0","","","","","","","ItemId",$A3)</f>
        <v>#NAME?</v>
      </c>
      <c r="M3" t="e">
        <f ca="1">_xll.AtlasFormulas.AtlasFunctions.AtlasBalance("PROD",M$1,"T.BOM","Count|RecId|0","","","","","","","ItemId",$A3)</f>
        <v>#NAME?</v>
      </c>
    </row>
    <row r="4" spans="1:13" x14ac:dyDescent="0.25">
      <c r="A4" t="s">
        <v>4</v>
      </c>
      <c r="B4" t="s">
        <v>5</v>
      </c>
      <c r="C4" t="e">
        <f ca="1">_xll.AtlasFormulas.AtlasFunctions.AtlasBalance("PROD",C$1,"T.BOM","Count|RecId|0","","","","","","","ItemId",$A4)</f>
        <v>#NAME?</v>
      </c>
      <c r="D4" t="e">
        <f ca="1">_xll.AtlasFormulas.AtlasFunctions.AtlasBalance("PROD",D$1,"T.BOM","Count|RecId|0","","","","","","","ItemId",$A4)</f>
        <v>#NAME?</v>
      </c>
      <c r="E4" t="e">
        <f ca="1">_xll.AtlasFormulas.AtlasFunctions.AtlasBalance("PROD",E$1,"T.BOM","Count|RecId|0","","","","","","","ItemId",$A4)</f>
        <v>#NAME?</v>
      </c>
      <c r="F4" t="e">
        <f ca="1">_xll.AtlasFormulas.AtlasFunctions.AtlasBalance("PROD",F$1,"T.BOM","Count|RecId|0","","","","","","","ItemId",$A4)</f>
        <v>#NAME?</v>
      </c>
      <c r="G4" t="e">
        <f ca="1">_xll.AtlasFormulas.AtlasFunctions.AtlasBalance("PROD",G$1,"T.BOM","Count|RecId|0","","","","","","","ItemId",$A4)</f>
        <v>#NAME?</v>
      </c>
      <c r="H4" t="e">
        <f ca="1">_xll.AtlasFormulas.AtlasFunctions.AtlasBalance("PROD",H$1,"T.BOM","Count|RecId|0","","","","","","","ItemId",$A4)</f>
        <v>#NAME?</v>
      </c>
      <c r="I4" t="e">
        <f ca="1">_xll.AtlasFormulas.AtlasFunctions.AtlasBalance("PROD",I$1,"T.BOM","Count|RecId|0","","","","","","","ItemId",$A4)</f>
        <v>#NAME?</v>
      </c>
      <c r="J4" t="e">
        <f ca="1">_xll.AtlasFormulas.AtlasFunctions.AtlasBalance("PROD",J$1,"T.BOM","Count|RecId|0","","","","","","","ItemId",$A4)</f>
        <v>#NAME?</v>
      </c>
      <c r="K4" t="e">
        <f ca="1">_xll.AtlasFormulas.AtlasFunctions.AtlasBalance("PROD",K$1,"T.BOM","Count|RecId|0","","","","","","","ItemId",$A4)</f>
        <v>#NAME?</v>
      </c>
      <c r="L4" t="e">
        <f ca="1">_xll.AtlasFormulas.AtlasFunctions.AtlasBalance("PROD",L$1,"T.BOM","Count|RecId|0","","","","","","","ItemId",$A4)</f>
        <v>#NAME?</v>
      </c>
      <c r="M4" t="e">
        <f ca="1">_xll.AtlasFormulas.AtlasFunctions.AtlasBalance("PROD",M$1,"T.BOM","Count|RecId|0","","","","","","","ItemId",$A4)</f>
        <v>#NAME?</v>
      </c>
    </row>
    <row r="5" spans="1:13" x14ac:dyDescent="0.25">
      <c r="A5" t="s">
        <v>6</v>
      </c>
      <c r="B5" t="s">
        <v>7</v>
      </c>
      <c r="C5" t="e">
        <f ca="1">_xll.AtlasFormulas.AtlasFunctions.AtlasBalance("PROD",C$1,"T.BOM","Count|RecId|0","","","","","","","ItemId",$A5)</f>
        <v>#NAME?</v>
      </c>
      <c r="D5" t="e">
        <f ca="1">_xll.AtlasFormulas.AtlasFunctions.AtlasBalance("PROD",D$1,"T.BOM","Count|RecId|0","","","","","","","ItemId",$A5)</f>
        <v>#NAME?</v>
      </c>
      <c r="E5" t="e">
        <f ca="1">_xll.AtlasFormulas.AtlasFunctions.AtlasBalance("PROD",E$1,"T.BOM","Count|RecId|0","","","","","","","ItemId",$A5)</f>
        <v>#NAME?</v>
      </c>
      <c r="F5" t="e">
        <f ca="1">_xll.AtlasFormulas.AtlasFunctions.AtlasBalance("PROD",F$1,"T.BOM","Count|RecId|0","","","","","","","ItemId",$A5)</f>
        <v>#NAME?</v>
      </c>
      <c r="G5" t="e">
        <f ca="1">_xll.AtlasFormulas.AtlasFunctions.AtlasBalance("PROD",G$1,"T.BOM","Count|RecId|0","","","","","","","ItemId",$A5)</f>
        <v>#NAME?</v>
      </c>
      <c r="H5" t="e">
        <f ca="1">_xll.AtlasFormulas.AtlasFunctions.AtlasBalance("PROD",H$1,"T.BOM","Count|RecId|0","","","","","","","ItemId",$A5)</f>
        <v>#NAME?</v>
      </c>
      <c r="I5" t="e">
        <f ca="1">_xll.AtlasFormulas.AtlasFunctions.AtlasBalance("PROD",I$1,"T.BOM","Count|RecId|0","","","","","","","ItemId",$A5)</f>
        <v>#NAME?</v>
      </c>
      <c r="J5" t="e">
        <f ca="1">_xll.AtlasFormulas.AtlasFunctions.AtlasBalance("PROD",J$1,"T.BOM","Count|RecId|0","","","","","","","ItemId",$A5)</f>
        <v>#NAME?</v>
      </c>
      <c r="K5" t="e">
        <f ca="1">_xll.AtlasFormulas.AtlasFunctions.AtlasBalance("PROD",K$1,"T.BOM","Count|RecId|0","","","","","","","ItemId",$A5)</f>
        <v>#NAME?</v>
      </c>
      <c r="L5" t="e">
        <f ca="1">_xll.AtlasFormulas.AtlasFunctions.AtlasBalance("PROD",L$1,"T.BOM","Count|RecId|0","","","","","","","ItemId",$A5)</f>
        <v>#NAME?</v>
      </c>
      <c r="M5" t="e">
        <f ca="1">_xll.AtlasFormulas.AtlasFunctions.AtlasBalance("PROD",M$1,"T.BOM","Count|RecId|0","","","","","","","ItemId",$A5)</f>
        <v>#NAME?</v>
      </c>
    </row>
    <row r="6" spans="1:13" x14ac:dyDescent="0.25">
      <c r="A6" t="s">
        <v>8</v>
      </c>
      <c r="B6" t="s">
        <v>9</v>
      </c>
      <c r="C6" t="e">
        <f ca="1">_xll.AtlasFormulas.AtlasFunctions.AtlasBalance("PROD",C$1,"T.BOM","Count|RecId|0","","","","","","","ItemId",$A6)</f>
        <v>#NAME?</v>
      </c>
      <c r="D6" t="e">
        <f ca="1">_xll.AtlasFormulas.AtlasFunctions.AtlasBalance("PROD",D$1,"T.BOM","Count|RecId|0","","","","","","","ItemId",$A6)</f>
        <v>#NAME?</v>
      </c>
      <c r="E6" t="e">
        <f ca="1">_xll.AtlasFormulas.AtlasFunctions.AtlasBalance("PROD",E$1,"T.BOM","Count|RecId|0","","","","","","","ItemId",$A6)</f>
        <v>#NAME?</v>
      </c>
      <c r="F6" t="e">
        <f ca="1">_xll.AtlasFormulas.AtlasFunctions.AtlasBalance("PROD",F$1,"T.BOM","Count|RecId|0","","","","","","","ItemId",$A6)</f>
        <v>#NAME?</v>
      </c>
      <c r="G6" t="e">
        <f ca="1">_xll.AtlasFormulas.AtlasFunctions.AtlasBalance("PROD",G$1,"T.BOM","Count|RecId|0","","","","","","","ItemId",$A6)</f>
        <v>#NAME?</v>
      </c>
      <c r="H6" t="e">
        <f ca="1">_xll.AtlasFormulas.AtlasFunctions.AtlasBalance("PROD",H$1,"T.BOM","Count|RecId|0","","","","","","","ItemId",$A6)</f>
        <v>#NAME?</v>
      </c>
      <c r="I6" t="e">
        <f ca="1">_xll.AtlasFormulas.AtlasFunctions.AtlasBalance("PROD",I$1,"T.BOM","Count|RecId|0","","","","","","","ItemId",$A6)</f>
        <v>#NAME?</v>
      </c>
      <c r="J6" t="e">
        <f ca="1">_xll.AtlasFormulas.AtlasFunctions.AtlasBalance("PROD",J$1,"T.BOM","Count|RecId|0","","","","","","","ItemId",$A6)</f>
        <v>#NAME?</v>
      </c>
      <c r="K6" t="e">
        <f ca="1">_xll.AtlasFormulas.AtlasFunctions.AtlasBalance("PROD",K$1,"T.BOM","Count|RecId|0","","","","","","","ItemId",$A6)</f>
        <v>#NAME?</v>
      </c>
      <c r="L6" t="e">
        <f ca="1">_xll.AtlasFormulas.AtlasFunctions.AtlasBalance("PROD",L$1,"T.BOM","Count|RecId|0","","","","","","","ItemId",$A6)</f>
        <v>#NAME?</v>
      </c>
      <c r="M6" t="e">
        <f ca="1">_xll.AtlasFormulas.AtlasFunctions.AtlasBalance("PROD",M$1,"T.BOM","Count|RecId|0","","","","","","","ItemId",$A6)</f>
        <v>#NAME?</v>
      </c>
    </row>
    <row r="7" spans="1:13" x14ac:dyDescent="0.25">
      <c r="A7" t="s">
        <v>10</v>
      </c>
      <c r="B7" t="s">
        <v>11</v>
      </c>
      <c r="C7" t="e">
        <f ca="1">_xll.AtlasFormulas.AtlasFunctions.AtlasBalance("PROD",C$1,"T.BOM","Count|RecId|0","","","","","","","ItemId",$A7)</f>
        <v>#NAME?</v>
      </c>
      <c r="D7" t="e">
        <f ca="1">_xll.AtlasFormulas.AtlasFunctions.AtlasBalance("PROD",D$1,"T.BOM","Count|RecId|0","","","","","","","ItemId",$A7)</f>
        <v>#NAME?</v>
      </c>
      <c r="E7" t="e">
        <f ca="1">_xll.AtlasFormulas.AtlasFunctions.AtlasBalance("PROD",E$1,"T.BOM","Count|RecId|0","","","","","","","ItemId",$A7)</f>
        <v>#NAME?</v>
      </c>
      <c r="F7" t="e">
        <f ca="1">_xll.AtlasFormulas.AtlasFunctions.AtlasBalance("PROD",F$1,"T.BOM","Count|RecId|0","","","","","","","ItemId",$A7)</f>
        <v>#NAME?</v>
      </c>
      <c r="G7" t="e">
        <f ca="1">_xll.AtlasFormulas.AtlasFunctions.AtlasBalance("PROD",G$1,"T.BOM","Count|RecId|0","","","","","","","ItemId",$A7)</f>
        <v>#NAME?</v>
      </c>
      <c r="H7" t="e">
        <f ca="1">_xll.AtlasFormulas.AtlasFunctions.AtlasBalance("PROD",H$1,"T.BOM","Count|RecId|0","","","","","","","ItemId",$A7)</f>
        <v>#NAME?</v>
      </c>
      <c r="I7" t="e">
        <f ca="1">_xll.AtlasFormulas.AtlasFunctions.AtlasBalance("PROD",I$1,"T.BOM","Count|RecId|0","","","","","","","ItemId",$A7)</f>
        <v>#NAME?</v>
      </c>
      <c r="J7" t="e">
        <f ca="1">_xll.AtlasFormulas.AtlasFunctions.AtlasBalance("PROD",J$1,"T.BOM","Count|RecId|0","","","","","","","ItemId",$A7)</f>
        <v>#NAME?</v>
      </c>
      <c r="K7" t="e">
        <f ca="1">_xll.AtlasFormulas.AtlasFunctions.AtlasBalance("PROD",K$1,"T.BOM","Count|RecId|0","","","","","","","ItemId",$A7)</f>
        <v>#NAME?</v>
      </c>
      <c r="L7" t="e">
        <f ca="1">_xll.AtlasFormulas.AtlasFunctions.AtlasBalance("PROD",L$1,"T.BOM","Count|RecId|0","","","","","","","ItemId",$A7)</f>
        <v>#NAME?</v>
      </c>
      <c r="M7" t="e">
        <f ca="1">_xll.AtlasFormulas.AtlasFunctions.AtlasBalance("PROD",M$1,"T.BOM","Count|RecId|0","","","","","","","ItemId",$A7)</f>
        <v>#NAME?</v>
      </c>
    </row>
    <row r="8" spans="1:13" x14ac:dyDescent="0.25">
      <c r="A8" t="s">
        <v>12</v>
      </c>
      <c r="B8" t="s">
        <v>13</v>
      </c>
      <c r="C8" t="e">
        <f ca="1">_xll.AtlasFormulas.AtlasFunctions.AtlasBalance("PROD",C$1,"T.BOM","Count|RecId|0","","","","","","","ItemId",$A8)</f>
        <v>#NAME?</v>
      </c>
      <c r="D8" t="e">
        <f ca="1">_xll.AtlasFormulas.AtlasFunctions.AtlasBalance("PROD",D$1,"T.BOM","Count|RecId|0","","","","","","","ItemId",$A8)</f>
        <v>#NAME?</v>
      </c>
      <c r="E8" t="e">
        <f ca="1">_xll.AtlasFormulas.AtlasFunctions.AtlasBalance("PROD",E$1,"T.BOM","Count|RecId|0","","","","","","","ItemId",$A8)</f>
        <v>#NAME?</v>
      </c>
      <c r="F8" t="e">
        <f ca="1">_xll.AtlasFormulas.AtlasFunctions.AtlasBalance("PROD",F$1,"T.BOM","Count|RecId|0","","","","","","","ItemId",$A8)</f>
        <v>#NAME?</v>
      </c>
      <c r="G8" t="e">
        <f ca="1">_xll.AtlasFormulas.AtlasFunctions.AtlasBalance("PROD",G$1,"T.BOM","Count|RecId|0","","","","","","","ItemId",$A8)</f>
        <v>#NAME?</v>
      </c>
      <c r="H8" t="e">
        <f ca="1">_xll.AtlasFormulas.AtlasFunctions.AtlasBalance("PROD",H$1,"T.BOM","Count|RecId|0","","","","","","","ItemId",$A8)</f>
        <v>#NAME?</v>
      </c>
      <c r="I8" t="e">
        <f ca="1">_xll.AtlasFormulas.AtlasFunctions.AtlasBalance("PROD",I$1,"T.BOM","Count|RecId|0","","","","","","","ItemId",$A8)</f>
        <v>#NAME?</v>
      </c>
      <c r="J8" t="e">
        <f ca="1">_xll.AtlasFormulas.AtlasFunctions.AtlasBalance("PROD",J$1,"T.BOM","Count|RecId|0","","","","","","","ItemId",$A8)</f>
        <v>#NAME?</v>
      </c>
      <c r="K8" t="e">
        <f ca="1">_xll.AtlasFormulas.AtlasFunctions.AtlasBalance("PROD",K$1,"T.BOM","Count|RecId|0","","","","","","","ItemId",$A8)</f>
        <v>#NAME?</v>
      </c>
      <c r="L8" t="e">
        <f ca="1">_xll.AtlasFormulas.AtlasFunctions.AtlasBalance("PROD",L$1,"T.BOM","Count|RecId|0","","","","","","","ItemId",$A8)</f>
        <v>#NAME?</v>
      </c>
      <c r="M8" t="e">
        <f ca="1">_xll.AtlasFormulas.AtlasFunctions.AtlasBalance("PROD",M$1,"T.BOM","Count|RecId|0","","","","","","","ItemId",$A8)</f>
        <v>#NAME?</v>
      </c>
    </row>
    <row r="9" spans="1:13" x14ac:dyDescent="0.25">
      <c r="A9" t="s">
        <v>14</v>
      </c>
      <c r="B9" t="s">
        <v>15</v>
      </c>
      <c r="C9" t="e">
        <f ca="1">_xll.AtlasFormulas.AtlasFunctions.AtlasBalance("PROD",C$1,"T.BOM","Count|RecId|0","","","","","","","ItemId",$A9)</f>
        <v>#NAME?</v>
      </c>
      <c r="D9" t="e">
        <f ca="1">_xll.AtlasFormulas.AtlasFunctions.AtlasBalance("PROD",D$1,"T.BOM","Count|RecId|0","","","","","","","ItemId",$A9)</f>
        <v>#NAME?</v>
      </c>
      <c r="E9" t="e">
        <f ca="1">_xll.AtlasFormulas.AtlasFunctions.AtlasBalance("PROD",E$1,"T.BOM","Count|RecId|0","","","","","","","ItemId",$A9)</f>
        <v>#NAME?</v>
      </c>
      <c r="F9" t="e">
        <f ca="1">_xll.AtlasFormulas.AtlasFunctions.AtlasBalance("PROD",F$1,"T.BOM","Count|RecId|0","","","","","","","ItemId",$A9)</f>
        <v>#NAME?</v>
      </c>
      <c r="G9" t="e">
        <f ca="1">_xll.AtlasFormulas.AtlasFunctions.AtlasBalance("PROD",G$1,"T.BOM","Count|RecId|0","","","","","","","ItemId",$A9)</f>
        <v>#NAME?</v>
      </c>
      <c r="H9" t="e">
        <f ca="1">_xll.AtlasFormulas.AtlasFunctions.AtlasBalance("PROD",H$1,"T.BOM","Count|RecId|0","","","","","","","ItemId",$A9)</f>
        <v>#NAME?</v>
      </c>
      <c r="I9" t="e">
        <f ca="1">_xll.AtlasFormulas.AtlasFunctions.AtlasBalance("PROD",I$1,"T.BOM","Count|RecId|0","","","","","","","ItemId",$A9)</f>
        <v>#NAME?</v>
      </c>
      <c r="J9" t="e">
        <f ca="1">_xll.AtlasFormulas.AtlasFunctions.AtlasBalance("PROD",J$1,"T.BOM","Count|RecId|0","","","","","","","ItemId",$A9)</f>
        <v>#NAME?</v>
      </c>
      <c r="K9" t="e">
        <f ca="1">_xll.AtlasFormulas.AtlasFunctions.AtlasBalance("PROD",K$1,"T.BOM","Count|RecId|0","","","","","","","ItemId",$A9)</f>
        <v>#NAME?</v>
      </c>
      <c r="L9" t="e">
        <f ca="1">_xll.AtlasFormulas.AtlasFunctions.AtlasBalance("PROD",L$1,"T.BOM","Count|RecId|0","","","","","","","ItemId",$A9)</f>
        <v>#NAME?</v>
      </c>
      <c r="M9" t="e">
        <f ca="1">_xll.AtlasFormulas.AtlasFunctions.AtlasBalance("PROD",M$1,"T.BOM","Count|RecId|0","","","","","","","ItemId",$A9)</f>
        <v>#NAME?</v>
      </c>
    </row>
    <row r="10" spans="1:13" x14ac:dyDescent="0.25">
      <c r="A10" t="s">
        <v>16</v>
      </c>
      <c r="B10" t="s">
        <v>17</v>
      </c>
      <c r="C10" t="e">
        <f ca="1">_xll.AtlasFormulas.AtlasFunctions.AtlasBalance("PROD",C$1,"T.BOM","Count|RecId|0","","","","","","","ItemId",$A10)</f>
        <v>#NAME?</v>
      </c>
      <c r="D10" t="e">
        <f ca="1">_xll.AtlasFormulas.AtlasFunctions.AtlasBalance("PROD",D$1,"T.BOM","Count|RecId|0","","","","","","","ItemId",$A10)</f>
        <v>#NAME?</v>
      </c>
      <c r="E10" t="e">
        <f ca="1">_xll.AtlasFormulas.AtlasFunctions.AtlasBalance("PROD",E$1,"T.BOM","Count|RecId|0","","","","","","","ItemId",$A10)</f>
        <v>#NAME?</v>
      </c>
      <c r="F10" t="e">
        <f ca="1">_xll.AtlasFormulas.AtlasFunctions.AtlasBalance("PROD",F$1,"T.BOM","Count|RecId|0","","","","","","","ItemId",$A10)</f>
        <v>#NAME?</v>
      </c>
      <c r="G10" t="e">
        <f ca="1">_xll.AtlasFormulas.AtlasFunctions.AtlasBalance("PROD",G$1,"T.BOM","Count|RecId|0","","","","","","","ItemId",$A10)</f>
        <v>#NAME?</v>
      </c>
      <c r="H10" t="e">
        <f ca="1">_xll.AtlasFormulas.AtlasFunctions.AtlasBalance("PROD",H$1,"T.BOM","Count|RecId|0","","","","","","","ItemId",$A10)</f>
        <v>#NAME?</v>
      </c>
      <c r="I10" t="e">
        <f ca="1">_xll.AtlasFormulas.AtlasFunctions.AtlasBalance("PROD",I$1,"T.BOM","Count|RecId|0","","","","","","","ItemId",$A10)</f>
        <v>#NAME?</v>
      </c>
      <c r="J10" t="e">
        <f ca="1">_xll.AtlasFormulas.AtlasFunctions.AtlasBalance("PROD",J$1,"T.BOM","Count|RecId|0","","","","","","","ItemId",$A10)</f>
        <v>#NAME?</v>
      </c>
      <c r="K10" t="e">
        <f ca="1">_xll.AtlasFormulas.AtlasFunctions.AtlasBalance("PROD",K$1,"T.BOM","Count|RecId|0","","","","","","","ItemId",$A10)</f>
        <v>#NAME?</v>
      </c>
      <c r="L10" t="e">
        <f ca="1">_xll.AtlasFormulas.AtlasFunctions.AtlasBalance("PROD",L$1,"T.BOM","Count|RecId|0","","","","","","","ItemId",$A10)</f>
        <v>#NAME?</v>
      </c>
      <c r="M10" t="e">
        <f ca="1">_xll.AtlasFormulas.AtlasFunctions.AtlasBalance("PROD",M$1,"T.BOM","Count|RecId|0","","","","","","","ItemId",$A10)</f>
        <v>#NAME?</v>
      </c>
    </row>
    <row r="11" spans="1:13" x14ac:dyDescent="0.25">
      <c r="A11" t="s">
        <v>18</v>
      </c>
      <c r="B11" t="s">
        <v>19</v>
      </c>
      <c r="C11" t="e">
        <f ca="1">_xll.AtlasFormulas.AtlasFunctions.AtlasBalance("PROD",C$1,"T.BOM","Count|RecId|0","","","","","","","ItemId",$A11)</f>
        <v>#NAME?</v>
      </c>
      <c r="D11" t="e">
        <f ca="1">_xll.AtlasFormulas.AtlasFunctions.AtlasBalance("PROD",D$1,"T.BOM","Count|RecId|0","","","","","","","ItemId",$A11)</f>
        <v>#NAME?</v>
      </c>
      <c r="E11" t="e">
        <f ca="1">_xll.AtlasFormulas.AtlasFunctions.AtlasBalance("PROD",E$1,"T.BOM","Count|RecId|0","","","","","","","ItemId",$A11)</f>
        <v>#NAME?</v>
      </c>
      <c r="F11" t="e">
        <f ca="1">_xll.AtlasFormulas.AtlasFunctions.AtlasBalance("PROD",F$1,"T.BOM","Count|RecId|0","","","","","","","ItemId",$A11)</f>
        <v>#NAME?</v>
      </c>
      <c r="G11" t="e">
        <f ca="1">_xll.AtlasFormulas.AtlasFunctions.AtlasBalance("PROD",G$1,"T.BOM","Count|RecId|0","","","","","","","ItemId",$A11)</f>
        <v>#NAME?</v>
      </c>
      <c r="H11" t="e">
        <f ca="1">_xll.AtlasFormulas.AtlasFunctions.AtlasBalance("PROD",H$1,"T.BOM","Count|RecId|0","","","","","","","ItemId",$A11)</f>
        <v>#NAME?</v>
      </c>
      <c r="I11" t="e">
        <f ca="1">_xll.AtlasFormulas.AtlasFunctions.AtlasBalance("PROD",I$1,"T.BOM","Count|RecId|0","","","","","","","ItemId",$A11)</f>
        <v>#NAME?</v>
      </c>
      <c r="J11" t="e">
        <f ca="1">_xll.AtlasFormulas.AtlasFunctions.AtlasBalance("PROD",J$1,"T.BOM","Count|RecId|0","","","","","","","ItemId",$A11)</f>
        <v>#NAME?</v>
      </c>
      <c r="K11" t="e">
        <f ca="1">_xll.AtlasFormulas.AtlasFunctions.AtlasBalance("PROD",K$1,"T.BOM","Count|RecId|0","","","","","","","ItemId",$A11)</f>
        <v>#NAME?</v>
      </c>
      <c r="L11" t="e">
        <f ca="1">_xll.AtlasFormulas.AtlasFunctions.AtlasBalance("PROD",L$1,"T.BOM","Count|RecId|0","","","","","","","ItemId",$A11)</f>
        <v>#NAME?</v>
      </c>
      <c r="M11" t="e">
        <f ca="1">_xll.AtlasFormulas.AtlasFunctions.AtlasBalance("PROD",M$1,"T.BOM","Count|RecId|0","","","","","","","ItemId",$A11)</f>
        <v>#NAME?</v>
      </c>
    </row>
    <row r="12" spans="1:13" x14ac:dyDescent="0.25">
      <c r="A12" t="s">
        <v>20</v>
      </c>
      <c r="B12" t="s">
        <v>21</v>
      </c>
      <c r="C12" t="e">
        <f ca="1">_xll.AtlasFormulas.AtlasFunctions.AtlasBalance("PROD",C$1,"T.BOM","Count|RecId|0","","","","","","","ItemId",$A12)</f>
        <v>#NAME?</v>
      </c>
      <c r="D12" t="e">
        <f ca="1">_xll.AtlasFormulas.AtlasFunctions.AtlasBalance("PROD",D$1,"T.BOM","Count|RecId|0","","","","","","","ItemId",$A12)</f>
        <v>#NAME?</v>
      </c>
      <c r="E12" t="e">
        <f ca="1">_xll.AtlasFormulas.AtlasFunctions.AtlasBalance("PROD",E$1,"T.BOM","Count|RecId|0","","","","","","","ItemId",$A12)</f>
        <v>#NAME?</v>
      </c>
      <c r="F12" t="e">
        <f ca="1">_xll.AtlasFormulas.AtlasFunctions.AtlasBalance("PROD",F$1,"T.BOM","Count|RecId|0","","","","","","","ItemId",$A12)</f>
        <v>#NAME?</v>
      </c>
      <c r="G12" t="e">
        <f ca="1">_xll.AtlasFormulas.AtlasFunctions.AtlasBalance("PROD",G$1,"T.BOM","Count|RecId|0","","","","","","","ItemId",$A12)</f>
        <v>#NAME?</v>
      </c>
      <c r="H12" t="e">
        <f ca="1">_xll.AtlasFormulas.AtlasFunctions.AtlasBalance("PROD",H$1,"T.BOM","Count|RecId|0","","","","","","","ItemId",$A12)</f>
        <v>#NAME?</v>
      </c>
      <c r="I12" t="e">
        <f ca="1">_xll.AtlasFormulas.AtlasFunctions.AtlasBalance("PROD",I$1,"T.BOM","Count|RecId|0","","","","","","","ItemId",$A12)</f>
        <v>#NAME?</v>
      </c>
      <c r="J12" t="e">
        <f ca="1">_xll.AtlasFormulas.AtlasFunctions.AtlasBalance("PROD",J$1,"T.BOM","Count|RecId|0","","","","","","","ItemId",$A12)</f>
        <v>#NAME?</v>
      </c>
      <c r="K12" t="e">
        <f ca="1">_xll.AtlasFormulas.AtlasFunctions.AtlasBalance("PROD",K$1,"T.BOM","Count|RecId|0","","","","","","","ItemId",$A12)</f>
        <v>#NAME?</v>
      </c>
      <c r="L12" t="e">
        <f ca="1">_xll.AtlasFormulas.AtlasFunctions.AtlasBalance("PROD",L$1,"T.BOM","Count|RecId|0","","","","","","","ItemId",$A12)</f>
        <v>#NAME?</v>
      </c>
      <c r="M12" t="e">
        <f ca="1">_xll.AtlasFormulas.AtlasFunctions.AtlasBalance("PROD",M$1,"T.BOM","Count|RecId|0","","","","","","","ItemId",$A12)</f>
        <v>#NAME?</v>
      </c>
    </row>
    <row r="13" spans="1:13" x14ac:dyDescent="0.25">
      <c r="A13" t="s">
        <v>22</v>
      </c>
      <c r="B13" t="s">
        <v>23</v>
      </c>
      <c r="C13" t="e">
        <f ca="1">_xll.AtlasFormulas.AtlasFunctions.AtlasBalance("PROD",C$1,"T.BOM","Count|RecId|0","","","","","","","ItemId",$A13)</f>
        <v>#NAME?</v>
      </c>
      <c r="D13" t="e">
        <f ca="1">_xll.AtlasFormulas.AtlasFunctions.AtlasBalance("PROD",D$1,"T.BOM","Count|RecId|0","","","","","","","ItemId",$A13)</f>
        <v>#NAME?</v>
      </c>
      <c r="E13" t="e">
        <f ca="1">_xll.AtlasFormulas.AtlasFunctions.AtlasBalance("PROD",E$1,"T.BOM","Count|RecId|0","","","","","","","ItemId",$A13)</f>
        <v>#NAME?</v>
      </c>
      <c r="F13" t="e">
        <f ca="1">_xll.AtlasFormulas.AtlasFunctions.AtlasBalance("PROD",F$1,"T.BOM","Count|RecId|0","","","","","","","ItemId",$A13)</f>
        <v>#NAME?</v>
      </c>
      <c r="G13" t="e">
        <f ca="1">_xll.AtlasFormulas.AtlasFunctions.AtlasBalance("PROD",G$1,"T.BOM","Count|RecId|0","","","","","","","ItemId",$A13)</f>
        <v>#NAME?</v>
      </c>
      <c r="H13" t="e">
        <f ca="1">_xll.AtlasFormulas.AtlasFunctions.AtlasBalance("PROD",H$1,"T.BOM","Count|RecId|0","","","","","","","ItemId",$A13)</f>
        <v>#NAME?</v>
      </c>
      <c r="I13" t="e">
        <f ca="1">_xll.AtlasFormulas.AtlasFunctions.AtlasBalance("PROD",I$1,"T.BOM","Count|RecId|0","","","","","","","ItemId",$A13)</f>
        <v>#NAME?</v>
      </c>
      <c r="J13" t="e">
        <f ca="1">_xll.AtlasFormulas.AtlasFunctions.AtlasBalance("PROD",J$1,"T.BOM","Count|RecId|0","","","","","","","ItemId",$A13)</f>
        <v>#NAME?</v>
      </c>
      <c r="K13" t="e">
        <f ca="1">_xll.AtlasFormulas.AtlasFunctions.AtlasBalance("PROD",K$1,"T.BOM","Count|RecId|0","","","","","","","ItemId",$A13)</f>
        <v>#NAME?</v>
      </c>
      <c r="L13" t="e">
        <f ca="1">_xll.AtlasFormulas.AtlasFunctions.AtlasBalance("PROD",L$1,"T.BOM","Count|RecId|0","","","","","","","ItemId",$A13)</f>
        <v>#NAME?</v>
      </c>
      <c r="M13" t="e">
        <f ca="1">_xll.AtlasFormulas.AtlasFunctions.AtlasBalance("PROD",M$1,"T.BOM","Count|RecId|0","","","","","","","ItemId",$A13)</f>
        <v>#NAME?</v>
      </c>
    </row>
    <row r="14" spans="1:13" x14ac:dyDescent="0.25">
      <c r="A14" t="s">
        <v>24</v>
      </c>
      <c r="B14" t="s">
        <v>25</v>
      </c>
      <c r="C14" t="e">
        <f ca="1">_xll.AtlasFormulas.AtlasFunctions.AtlasBalance("PROD",C$1,"T.BOM","Count|RecId|0","","","","","","","ItemId",$A14)</f>
        <v>#NAME?</v>
      </c>
      <c r="D14" t="e">
        <f ca="1">_xll.AtlasFormulas.AtlasFunctions.AtlasBalance("PROD",D$1,"T.BOM","Count|RecId|0","","","","","","","ItemId",$A14)</f>
        <v>#NAME?</v>
      </c>
      <c r="E14" t="e">
        <f ca="1">_xll.AtlasFormulas.AtlasFunctions.AtlasBalance("PROD",E$1,"T.BOM","Count|RecId|0","","","","","","","ItemId",$A14)</f>
        <v>#NAME?</v>
      </c>
      <c r="F14" t="e">
        <f ca="1">_xll.AtlasFormulas.AtlasFunctions.AtlasBalance("PROD",F$1,"T.BOM","Count|RecId|0","","","","","","","ItemId",$A14)</f>
        <v>#NAME?</v>
      </c>
      <c r="G14" t="e">
        <f ca="1">_xll.AtlasFormulas.AtlasFunctions.AtlasBalance("PROD",G$1,"T.BOM","Count|RecId|0","","","","","","","ItemId",$A14)</f>
        <v>#NAME?</v>
      </c>
      <c r="H14" t="e">
        <f ca="1">_xll.AtlasFormulas.AtlasFunctions.AtlasBalance("PROD",H$1,"T.BOM","Count|RecId|0","","","","","","","ItemId",$A14)</f>
        <v>#NAME?</v>
      </c>
      <c r="I14" t="e">
        <f ca="1">_xll.AtlasFormulas.AtlasFunctions.AtlasBalance("PROD",I$1,"T.BOM","Count|RecId|0","","","","","","","ItemId",$A14)</f>
        <v>#NAME?</v>
      </c>
      <c r="J14" t="e">
        <f ca="1">_xll.AtlasFormulas.AtlasFunctions.AtlasBalance("PROD",J$1,"T.BOM","Count|RecId|0","","","","","","","ItemId",$A14)</f>
        <v>#NAME?</v>
      </c>
      <c r="K14" t="e">
        <f ca="1">_xll.AtlasFormulas.AtlasFunctions.AtlasBalance("PROD",K$1,"T.BOM","Count|RecId|0","","","","","","","ItemId",$A14)</f>
        <v>#NAME?</v>
      </c>
      <c r="L14" t="e">
        <f ca="1">_xll.AtlasFormulas.AtlasFunctions.AtlasBalance("PROD",L$1,"T.BOM","Count|RecId|0","","","","","","","ItemId",$A14)</f>
        <v>#NAME?</v>
      </c>
      <c r="M14" t="e">
        <f ca="1">_xll.AtlasFormulas.AtlasFunctions.AtlasBalance("PROD",M$1,"T.BOM","Count|RecId|0","","","","","","","ItemId",$A14)</f>
        <v>#NAME?</v>
      </c>
    </row>
    <row r="15" spans="1:13" x14ac:dyDescent="0.25">
      <c r="A15" t="s">
        <v>26</v>
      </c>
      <c r="B15" t="s">
        <v>27</v>
      </c>
      <c r="C15" t="e">
        <f ca="1">_xll.AtlasFormulas.AtlasFunctions.AtlasBalance("PROD",C$1,"T.BOM","Count|RecId|0","","","","","","","ItemId",$A15)</f>
        <v>#NAME?</v>
      </c>
      <c r="D15" t="e">
        <f ca="1">_xll.AtlasFormulas.AtlasFunctions.AtlasBalance("PROD",D$1,"T.BOM","Count|RecId|0","","","","","","","ItemId",$A15)</f>
        <v>#NAME?</v>
      </c>
      <c r="E15" t="e">
        <f ca="1">_xll.AtlasFormulas.AtlasFunctions.AtlasBalance("PROD",E$1,"T.BOM","Count|RecId|0","","","","","","","ItemId",$A15)</f>
        <v>#NAME?</v>
      </c>
      <c r="F15" t="e">
        <f ca="1">_xll.AtlasFormulas.AtlasFunctions.AtlasBalance("PROD",F$1,"T.BOM","Count|RecId|0","","","","","","","ItemId",$A15)</f>
        <v>#NAME?</v>
      </c>
      <c r="G15" t="e">
        <f ca="1">_xll.AtlasFormulas.AtlasFunctions.AtlasBalance("PROD",G$1,"T.BOM","Count|RecId|0","","","","","","","ItemId",$A15)</f>
        <v>#NAME?</v>
      </c>
      <c r="H15" t="e">
        <f ca="1">_xll.AtlasFormulas.AtlasFunctions.AtlasBalance("PROD",H$1,"T.BOM","Count|RecId|0","","","","","","","ItemId",$A15)</f>
        <v>#NAME?</v>
      </c>
      <c r="I15" t="e">
        <f ca="1">_xll.AtlasFormulas.AtlasFunctions.AtlasBalance("PROD",I$1,"T.BOM","Count|RecId|0","","","","","","","ItemId",$A15)</f>
        <v>#NAME?</v>
      </c>
      <c r="J15" t="e">
        <f ca="1">_xll.AtlasFormulas.AtlasFunctions.AtlasBalance("PROD",J$1,"T.BOM","Count|RecId|0","","","","","","","ItemId",$A15)</f>
        <v>#NAME?</v>
      </c>
      <c r="K15" t="e">
        <f ca="1">_xll.AtlasFormulas.AtlasFunctions.AtlasBalance("PROD",K$1,"T.BOM","Count|RecId|0","","","","","","","ItemId",$A15)</f>
        <v>#NAME?</v>
      </c>
      <c r="L15" t="e">
        <f ca="1">_xll.AtlasFormulas.AtlasFunctions.AtlasBalance("PROD",L$1,"T.BOM","Count|RecId|0","","","","","","","ItemId",$A15)</f>
        <v>#NAME?</v>
      </c>
      <c r="M15" t="e">
        <f ca="1">_xll.AtlasFormulas.AtlasFunctions.AtlasBalance("PROD",M$1,"T.BOM","Count|RecId|0","","","","","","","ItemId",$A15)</f>
        <v>#NAME?</v>
      </c>
    </row>
    <row r="16" spans="1:13" x14ac:dyDescent="0.25">
      <c r="A16" t="s">
        <v>28</v>
      </c>
      <c r="B16" t="s">
        <v>29</v>
      </c>
      <c r="C16" t="e">
        <f ca="1">_xll.AtlasFormulas.AtlasFunctions.AtlasBalance("PROD",C$1,"T.BOM","Count|RecId|0","","","","","","","ItemId",$A16)</f>
        <v>#NAME?</v>
      </c>
      <c r="D16" t="e">
        <f ca="1">_xll.AtlasFormulas.AtlasFunctions.AtlasBalance("PROD",D$1,"T.BOM","Count|RecId|0","","","","","","","ItemId",$A16)</f>
        <v>#NAME?</v>
      </c>
      <c r="E16" t="e">
        <f ca="1">_xll.AtlasFormulas.AtlasFunctions.AtlasBalance("PROD",E$1,"T.BOM","Count|RecId|0","","","","","","","ItemId",$A16)</f>
        <v>#NAME?</v>
      </c>
      <c r="F16" t="e">
        <f ca="1">_xll.AtlasFormulas.AtlasFunctions.AtlasBalance("PROD",F$1,"T.BOM","Count|RecId|0","","","","","","","ItemId",$A16)</f>
        <v>#NAME?</v>
      </c>
      <c r="G16" t="e">
        <f ca="1">_xll.AtlasFormulas.AtlasFunctions.AtlasBalance("PROD",G$1,"T.BOM","Count|RecId|0","","","","","","","ItemId",$A16)</f>
        <v>#NAME?</v>
      </c>
      <c r="H16" t="e">
        <f ca="1">_xll.AtlasFormulas.AtlasFunctions.AtlasBalance("PROD",H$1,"T.BOM","Count|RecId|0","","","","","","","ItemId",$A16)</f>
        <v>#NAME?</v>
      </c>
      <c r="I16" t="e">
        <f ca="1">_xll.AtlasFormulas.AtlasFunctions.AtlasBalance("PROD",I$1,"T.BOM","Count|RecId|0","","","","","","","ItemId",$A16)</f>
        <v>#NAME?</v>
      </c>
      <c r="J16" t="e">
        <f ca="1">_xll.AtlasFormulas.AtlasFunctions.AtlasBalance("PROD",J$1,"T.BOM","Count|RecId|0","","","","","","","ItemId",$A16)</f>
        <v>#NAME?</v>
      </c>
      <c r="K16" t="e">
        <f ca="1">_xll.AtlasFormulas.AtlasFunctions.AtlasBalance("PROD",K$1,"T.BOM","Count|RecId|0","","","","","","","ItemId",$A16)</f>
        <v>#NAME?</v>
      </c>
      <c r="L16" t="e">
        <f ca="1">_xll.AtlasFormulas.AtlasFunctions.AtlasBalance("PROD",L$1,"T.BOM","Count|RecId|0","","","","","","","ItemId",$A16)</f>
        <v>#NAME?</v>
      </c>
      <c r="M16" t="e">
        <f ca="1">_xll.AtlasFormulas.AtlasFunctions.AtlasBalance("PROD",M$1,"T.BOM","Count|RecId|0","","","","","","","ItemId",$A16)</f>
        <v>#NAME?</v>
      </c>
    </row>
    <row r="17" spans="1:13" x14ac:dyDescent="0.25">
      <c r="A17" t="s">
        <v>30</v>
      </c>
      <c r="B17" t="s">
        <v>31</v>
      </c>
      <c r="C17" t="e">
        <f ca="1">_xll.AtlasFormulas.AtlasFunctions.AtlasBalance("PROD",C$1,"T.BOM","Count|RecId|0","","","","","","","ItemId",$A17)</f>
        <v>#NAME?</v>
      </c>
      <c r="D17" t="e">
        <f ca="1">_xll.AtlasFormulas.AtlasFunctions.AtlasBalance("PROD",D$1,"T.BOM","Count|RecId|0","","","","","","","ItemId",$A17)</f>
        <v>#NAME?</v>
      </c>
      <c r="E17" t="e">
        <f ca="1">_xll.AtlasFormulas.AtlasFunctions.AtlasBalance("PROD",E$1,"T.BOM","Count|RecId|0","","","","","","","ItemId",$A17)</f>
        <v>#NAME?</v>
      </c>
      <c r="F17" t="e">
        <f ca="1">_xll.AtlasFormulas.AtlasFunctions.AtlasBalance("PROD",F$1,"T.BOM","Count|RecId|0","","","","","","","ItemId",$A17)</f>
        <v>#NAME?</v>
      </c>
      <c r="G17" t="e">
        <f ca="1">_xll.AtlasFormulas.AtlasFunctions.AtlasBalance("PROD",G$1,"T.BOM","Count|RecId|0","","","","","","","ItemId",$A17)</f>
        <v>#NAME?</v>
      </c>
      <c r="H17" t="e">
        <f ca="1">_xll.AtlasFormulas.AtlasFunctions.AtlasBalance("PROD",H$1,"T.BOM","Count|RecId|0","","","","","","","ItemId",$A17)</f>
        <v>#NAME?</v>
      </c>
      <c r="I17" t="e">
        <f ca="1">_xll.AtlasFormulas.AtlasFunctions.AtlasBalance("PROD",I$1,"T.BOM","Count|RecId|0","","","","","","","ItemId",$A17)</f>
        <v>#NAME?</v>
      </c>
      <c r="J17" t="e">
        <f ca="1">_xll.AtlasFormulas.AtlasFunctions.AtlasBalance("PROD",J$1,"T.BOM","Count|RecId|0","","","","","","","ItemId",$A17)</f>
        <v>#NAME?</v>
      </c>
      <c r="K17" t="e">
        <f ca="1">_xll.AtlasFormulas.AtlasFunctions.AtlasBalance("PROD",K$1,"T.BOM","Count|RecId|0","","","","","","","ItemId",$A17)</f>
        <v>#NAME?</v>
      </c>
      <c r="L17" t="e">
        <f ca="1">_xll.AtlasFormulas.AtlasFunctions.AtlasBalance("PROD",L$1,"T.BOM","Count|RecId|0","","","","","","","ItemId",$A17)</f>
        <v>#NAME?</v>
      </c>
      <c r="M17" t="e">
        <f ca="1">_xll.AtlasFormulas.AtlasFunctions.AtlasBalance("PROD",M$1,"T.BOM","Count|RecId|0","","","","","","","ItemId",$A17)</f>
        <v>#NAME?</v>
      </c>
    </row>
    <row r="18" spans="1:13" x14ac:dyDescent="0.25">
      <c r="A18" t="s">
        <v>32</v>
      </c>
      <c r="B18" t="s">
        <v>33</v>
      </c>
      <c r="C18" t="e">
        <f ca="1">_xll.AtlasFormulas.AtlasFunctions.AtlasBalance("PROD",C$1,"T.BOM","Count|RecId|0","","","","","","","ItemId",$A18)</f>
        <v>#NAME?</v>
      </c>
      <c r="D18" t="e">
        <f ca="1">_xll.AtlasFormulas.AtlasFunctions.AtlasBalance("PROD",D$1,"T.BOM","Count|RecId|0","","","","","","","ItemId",$A18)</f>
        <v>#NAME?</v>
      </c>
      <c r="E18" t="e">
        <f ca="1">_xll.AtlasFormulas.AtlasFunctions.AtlasBalance("PROD",E$1,"T.BOM","Count|RecId|0","","","","","","","ItemId",$A18)</f>
        <v>#NAME?</v>
      </c>
      <c r="F18" t="e">
        <f ca="1">_xll.AtlasFormulas.AtlasFunctions.AtlasBalance("PROD",F$1,"T.BOM","Count|RecId|0","","","","","","","ItemId",$A18)</f>
        <v>#NAME?</v>
      </c>
      <c r="G18" t="e">
        <f ca="1">_xll.AtlasFormulas.AtlasFunctions.AtlasBalance("PROD",G$1,"T.BOM","Count|RecId|0","","","","","","","ItemId",$A18)</f>
        <v>#NAME?</v>
      </c>
      <c r="H18" t="e">
        <f ca="1">_xll.AtlasFormulas.AtlasFunctions.AtlasBalance("PROD",H$1,"T.BOM","Count|RecId|0","","","","","","","ItemId",$A18)</f>
        <v>#NAME?</v>
      </c>
      <c r="I18" t="e">
        <f ca="1">_xll.AtlasFormulas.AtlasFunctions.AtlasBalance("PROD",I$1,"T.BOM","Count|RecId|0","","","","","","","ItemId",$A18)</f>
        <v>#NAME?</v>
      </c>
      <c r="J18" t="e">
        <f ca="1">_xll.AtlasFormulas.AtlasFunctions.AtlasBalance("PROD",J$1,"T.BOM","Count|RecId|0","","","","","","","ItemId",$A18)</f>
        <v>#NAME?</v>
      </c>
      <c r="K18" t="e">
        <f ca="1">_xll.AtlasFormulas.AtlasFunctions.AtlasBalance("PROD",K$1,"T.BOM","Count|RecId|0","","","","","","","ItemId",$A18)</f>
        <v>#NAME?</v>
      </c>
      <c r="L18" t="e">
        <f ca="1">_xll.AtlasFormulas.AtlasFunctions.AtlasBalance("PROD",L$1,"T.BOM","Count|RecId|0","","","","","","","ItemId",$A18)</f>
        <v>#NAME?</v>
      </c>
      <c r="M18" t="e">
        <f ca="1">_xll.AtlasFormulas.AtlasFunctions.AtlasBalance("PROD",M$1,"T.BOM","Count|RecId|0","","","","","","","ItemId",$A18)</f>
        <v>#NAME?</v>
      </c>
    </row>
    <row r="19" spans="1:13" x14ac:dyDescent="0.25">
      <c r="A19" t="s">
        <v>34</v>
      </c>
      <c r="B19" t="s">
        <v>35</v>
      </c>
      <c r="C19" t="e">
        <f ca="1">_xll.AtlasFormulas.AtlasFunctions.AtlasBalance("PROD",C$1,"T.BOM","Count|RecId|0","","","","","","","ItemId",$A19)</f>
        <v>#NAME?</v>
      </c>
      <c r="D19" t="e">
        <f ca="1">_xll.AtlasFormulas.AtlasFunctions.AtlasBalance("PROD",D$1,"T.BOM","Count|RecId|0","","","","","","","ItemId",$A19)</f>
        <v>#NAME?</v>
      </c>
      <c r="E19" t="e">
        <f ca="1">_xll.AtlasFormulas.AtlasFunctions.AtlasBalance("PROD",E$1,"T.BOM","Count|RecId|0","","","","","","","ItemId",$A19)</f>
        <v>#NAME?</v>
      </c>
      <c r="F19" t="e">
        <f ca="1">_xll.AtlasFormulas.AtlasFunctions.AtlasBalance("PROD",F$1,"T.BOM","Count|RecId|0","","","","","","","ItemId",$A19)</f>
        <v>#NAME?</v>
      </c>
      <c r="G19" t="e">
        <f ca="1">_xll.AtlasFormulas.AtlasFunctions.AtlasBalance("PROD",G$1,"T.BOM","Count|RecId|0","","","","","","","ItemId",$A19)</f>
        <v>#NAME?</v>
      </c>
      <c r="H19" t="e">
        <f ca="1">_xll.AtlasFormulas.AtlasFunctions.AtlasBalance("PROD",H$1,"T.BOM","Count|RecId|0","","","","","","","ItemId",$A19)</f>
        <v>#NAME?</v>
      </c>
      <c r="I19" t="e">
        <f ca="1">_xll.AtlasFormulas.AtlasFunctions.AtlasBalance("PROD",I$1,"T.BOM","Count|RecId|0","","","","","","","ItemId",$A19)</f>
        <v>#NAME?</v>
      </c>
      <c r="J19" t="e">
        <f ca="1">_xll.AtlasFormulas.AtlasFunctions.AtlasBalance("PROD",J$1,"T.BOM","Count|RecId|0","","","","","","","ItemId",$A19)</f>
        <v>#NAME?</v>
      </c>
      <c r="K19" t="e">
        <f ca="1">_xll.AtlasFormulas.AtlasFunctions.AtlasBalance("PROD",K$1,"T.BOM","Count|RecId|0","","","","","","","ItemId",$A19)</f>
        <v>#NAME?</v>
      </c>
      <c r="L19" t="e">
        <f ca="1">_xll.AtlasFormulas.AtlasFunctions.AtlasBalance("PROD",L$1,"T.BOM","Count|RecId|0","","","","","","","ItemId",$A19)</f>
        <v>#NAME?</v>
      </c>
      <c r="M19" t="e">
        <f ca="1">_xll.AtlasFormulas.AtlasFunctions.AtlasBalance("PROD",M$1,"T.BOM","Count|RecId|0","","","","","","","ItemId",$A19)</f>
        <v>#NAME?</v>
      </c>
    </row>
    <row r="20" spans="1:13" x14ac:dyDescent="0.25">
      <c r="A20" t="s">
        <v>36</v>
      </c>
      <c r="B20" t="s">
        <v>37</v>
      </c>
      <c r="C20" t="e">
        <f ca="1">_xll.AtlasFormulas.AtlasFunctions.AtlasBalance("PROD",C$1,"T.BOM","Count|RecId|0","","","","","","","ItemId",$A20)</f>
        <v>#NAME?</v>
      </c>
      <c r="D20" t="e">
        <f ca="1">_xll.AtlasFormulas.AtlasFunctions.AtlasBalance("PROD",D$1,"T.BOM","Count|RecId|0","","","","","","","ItemId",$A20)</f>
        <v>#NAME?</v>
      </c>
      <c r="E20" t="e">
        <f ca="1">_xll.AtlasFormulas.AtlasFunctions.AtlasBalance("PROD",E$1,"T.BOM","Count|RecId|0","","","","","","","ItemId",$A20)</f>
        <v>#NAME?</v>
      </c>
      <c r="F20" t="e">
        <f ca="1">_xll.AtlasFormulas.AtlasFunctions.AtlasBalance("PROD",F$1,"T.BOM","Count|RecId|0","","","","","","","ItemId",$A20)</f>
        <v>#NAME?</v>
      </c>
      <c r="G20" t="e">
        <f ca="1">_xll.AtlasFormulas.AtlasFunctions.AtlasBalance("PROD",G$1,"T.BOM","Count|RecId|0","","","","","","","ItemId",$A20)</f>
        <v>#NAME?</v>
      </c>
      <c r="H20" t="e">
        <f ca="1">_xll.AtlasFormulas.AtlasFunctions.AtlasBalance("PROD",H$1,"T.BOM","Count|RecId|0","","","","","","","ItemId",$A20)</f>
        <v>#NAME?</v>
      </c>
      <c r="I20" t="e">
        <f ca="1">_xll.AtlasFormulas.AtlasFunctions.AtlasBalance("PROD",I$1,"T.BOM","Count|RecId|0","","","","","","","ItemId",$A20)</f>
        <v>#NAME?</v>
      </c>
      <c r="J20" t="e">
        <f ca="1">_xll.AtlasFormulas.AtlasFunctions.AtlasBalance("PROD",J$1,"T.BOM","Count|RecId|0","","","","","","","ItemId",$A20)</f>
        <v>#NAME?</v>
      </c>
      <c r="K20" t="e">
        <f ca="1">_xll.AtlasFormulas.AtlasFunctions.AtlasBalance("PROD",K$1,"T.BOM","Count|RecId|0","","","","","","","ItemId",$A20)</f>
        <v>#NAME?</v>
      </c>
      <c r="L20" t="e">
        <f ca="1">_xll.AtlasFormulas.AtlasFunctions.AtlasBalance("PROD",L$1,"T.BOM","Count|RecId|0","","","","","","","ItemId",$A20)</f>
        <v>#NAME?</v>
      </c>
      <c r="M20" t="e">
        <f ca="1">_xll.AtlasFormulas.AtlasFunctions.AtlasBalance("PROD",M$1,"T.BOM","Count|RecId|0","","","","","","","ItemId",$A20)</f>
        <v>#NAME?</v>
      </c>
    </row>
    <row r="21" spans="1:13" x14ac:dyDescent="0.25">
      <c r="A21" t="s">
        <v>38</v>
      </c>
      <c r="B21" t="s">
        <v>39</v>
      </c>
      <c r="C21" t="e">
        <f ca="1">_xll.AtlasFormulas.AtlasFunctions.AtlasBalance("PROD",C$1,"T.BOM","Count|RecId|0","","","","","","","ItemId",$A21)</f>
        <v>#NAME?</v>
      </c>
      <c r="D21" t="e">
        <f ca="1">_xll.AtlasFormulas.AtlasFunctions.AtlasBalance("PROD",D$1,"T.BOM","Count|RecId|0","","","","","","","ItemId",$A21)</f>
        <v>#NAME?</v>
      </c>
      <c r="E21" t="e">
        <f ca="1">_xll.AtlasFormulas.AtlasFunctions.AtlasBalance("PROD",E$1,"T.BOM","Count|RecId|0","","","","","","","ItemId",$A21)</f>
        <v>#NAME?</v>
      </c>
      <c r="F21" t="e">
        <f ca="1">_xll.AtlasFormulas.AtlasFunctions.AtlasBalance("PROD",F$1,"T.BOM","Count|RecId|0","","","","","","","ItemId",$A21)</f>
        <v>#NAME?</v>
      </c>
      <c r="G21" t="e">
        <f ca="1">_xll.AtlasFormulas.AtlasFunctions.AtlasBalance("PROD",G$1,"T.BOM","Count|RecId|0","","","","","","","ItemId",$A21)</f>
        <v>#NAME?</v>
      </c>
      <c r="H21" t="e">
        <f ca="1">_xll.AtlasFormulas.AtlasFunctions.AtlasBalance("PROD",H$1,"T.BOM","Count|RecId|0","","","","","","","ItemId",$A21)</f>
        <v>#NAME?</v>
      </c>
      <c r="I21" t="e">
        <f ca="1">_xll.AtlasFormulas.AtlasFunctions.AtlasBalance("PROD",I$1,"T.BOM","Count|RecId|0","","","","","","","ItemId",$A21)</f>
        <v>#NAME?</v>
      </c>
      <c r="J21" t="e">
        <f ca="1">_xll.AtlasFormulas.AtlasFunctions.AtlasBalance("PROD",J$1,"T.BOM","Count|RecId|0","","","","","","","ItemId",$A21)</f>
        <v>#NAME?</v>
      </c>
      <c r="K21" t="e">
        <f ca="1">_xll.AtlasFormulas.AtlasFunctions.AtlasBalance("PROD",K$1,"T.BOM","Count|RecId|0","","","","","","","ItemId",$A21)</f>
        <v>#NAME?</v>
      </c>
      <c r="L21" t="e">
        <f ca="1">_xll.AtlasFormulas.AtlasFunctions.AtlasBalance("PROD",L$1,"T.BOM","Count|RecId|0","","","","","","","ItemId",$A21)</f>
        <v>#NAME?</v>
      </c>
      <c r="M21" t="e">
        <f ca="1">_xll.AtlasFormulas.AtlasFunctions.AtlasBalance("PROD",M$1,"T.BOM","Count|RecId|0","","","","","","","ItemId",$A21)</f>
        <v>#NAME?</v>
      </c>
    </row>
    <row r="22" spans="1:13" x14ac:dyDescent="0.25">
      <c r="A22" t="s">
        <v>40</v>
      </c>
      <c r="B22" t="s">
        <v>41</v>
      </c>
      <c r="C22" t="e">
        <f ca="1">_xll.AtlasFormulas.AtlasFunctions.AtlasBalance("PROD",C$1,"T.BOM","Count|RecId|0","","","","","","","ItemId",$A22)</f>
        <v>#NAME?</v>
      </c>
      <c r="D22" t="e">
        <f ca="1">_xll.AtlasFormulas.AtlasFunctions.AtlasBalance("PROD",D$1,"T.BOM","Count|RecId|0","","","","","","","ItemId",$A22)</f>
        <v>#NAME?</v>
      </c>
      <c r="E22" t="e">
        <f ca="1">_xll.AtlasFormulas.AtlasFunctions.AtlasBalance("PROD",E$1,"T.BOM","Count|RecId|0","","","","","","","ItemId",$A22)</f>
        <v>#NAME?</v>
      </c>
      <c r="F22" t="e">
        <f ca="1">_xll.AtlasFormulas.AtlasFunctions.AtlasBalance("PROD",F$1,"T.BOM","Count|RecId|0","","","","","","","ItemId",$A22)</f>
        <v>#NAME?</v>
      </c>
      <c r="G22" t="e">
        <f ca="1">_xll.AtlasFormulas.AtlasFunctions.AtlasBalance("PROD",G$1,"T.BOM","Count|RecId|0","","","","","","","ItemId",$A22)</f>
        <v>#NAME?</v>
      </c>
      <c r="H22" t="e">
        <f ca="1">_xll.AtlasFormulas.AtlasFunctions.AtlasBalance("PROD",H$1,"T.BOM","Count|RecId|0","","","","","","","ItemId",$A22)</f>
        <v>#NAME?</v>
      </c>
      <c r="I22" t="e">
        <f ca="1">_xll.AtlasFormulas.AtlasFunctions.AtlasBalance("PROD",I$1,"T.BOM","Count|RecId|0","","","","","","","ItemId",$A22)</f>
        <v>#NAME?</v>
      </c>
      <c r="J22" t="e">
        <f ca="1">_xll.AtlasFormulas.AtlasFunctions.AtlasBalance("PROD",J$1,"T.BOM","Count|RecId|0","","","","","","","ItemId",$A22)</f>
        <v>#NAME?</v>
      </c>
      <c r="K22" t="e">
        <f ca="1">_xll.AtlasFormulas.AtlasFunctions.AtlasBalance("PROD",K$1,"T.BOM","Count|RecId|0","","","","","","","ItemId",$A22)</f>
        <v>#NAME?</v>
      </c>
      <c r="L22" t="e">
        <f ca="1">_xll.AtlasFormulas.AtlasFunctions.AtlasBalance("PROD",L$1,"T.BOM","Count|RecId|0","","","","","","","ItemId",$A22)</f>
        <v>#NAME?</v>
      </c>
      <c r="M22" t="e">
        <f ca="1">_xll.AtlasFormulas.AtlasFunctions.AtlasBalance("PROD",M$1,"T.BOM","Count|RecId|0","","","","","","","ItemId",$A22)</f>
        <v>#NAME?</v>
      </c>
    </row>
    <row r="23" spans="1:13" x14ac:dyDescent="0.25">
      <c r="A23" t="s">
        <v>42</v>
      </c>
      <c r="B23" t="s">
        <v>43</v>
      </c>
      <c r="C23" t="e">
        <f ca="1">_xll.AtlasFormulas.AtlasFunctions.AtlasBalance("PROD",C$1,"T.BOM","Count|RecId|0","","","","","","","ItemId",$A23)</f>
        <v>#NAME?</v>
      </c>
      <c r="D23" t="e">
        <f ca="1">_xll.AtlasFormulas.AtlasFunctions.AtlasBalance("PROD",D$1,"T.BOM","Count|RecId|0","","","","","","","ItemId",$A23)</f>
        <v>#NAME?</v>
      </c>
      <c r="E23" t="e">
        <f ca="1">_xll.AtlasFormulas.AtlasFunctions.AtlasBalance("PROD",E$1,"T.BOM","Count|RecId|0","","","","","","","ItemId",$A23)</f>
        <v>#NAME?</v>
      </c>
      <c r="F23" t="e">
        <f ca="1">_xll.AtlasFormulas.AtlasFunctions.AtlasBalance("PROD",F$1,"T.BOM","Count|RecId|0","","","","","","","ItemId",$A23)</f>
        <v>#NAME?</v>
      </c>
      <c r="G23" t="e">
        <f ca="1">_xll.AtlasFormulas.AtlasFunctions.AtlasBalance("PROD",G$1,"T.BOM","Count|RecId|0","","","","","","","ItemId",$A23)</f>
        <v>#NAME?</v>
      </c>
      <c r="H23" t="e">
        <f ca="1">_xll.AtlasFormulas.AtlasFunctions.AtlasBalance("PROD",H$1,"T.BOM","Count|RecId|0","","","","","","","ItemId",$A23)</f>
        <v>#NAME?</v>
      </c>
      <c r="I23" t="e">
        <f ca="1">_xll.AtlasFormulas.AtlasFunctions.AtlasBalance("PROD",I$1,"T.BOM","Count|RecId|0","","","","","","","ItemId",$A23)</f>
        <v>#NAME?</v>
      </c>
      <c r="J23" t="e">
        <f ca="1">_xll.AtlasFormulas.AtlasFunctions.AtlasBalance("PROD",J$1,"T.BOM","Count|RecId|0","","","","","","","ItemId",$A23)</f>
        <v>#NAME?</v>
      </c>
      <c r="K23" t="e">
        <f ca="1">_xll.AtlasFormulas.AtlasFunctions.AtlasBalance("PROD",K$1,"T.BOM","Count|RecId|0","","","","","","","ItemId",$A23)</f>
        <v>#NAME?</v>
      </c>
      <c r="L23" t="e">
        <f ca="1">_xll.AtlasFormulas.AtlasFunctions.AtlasBalance("PROD",L$1,"T.BOM","Count|RecId|0","","","","","","","ItemId",$A23)</f>
        <v>#NAME?</v>
      </c>
      <c r="M23" t="e">
        <f ca="1">_xll.AtlasFormulas.AtlasFunctions.AtlasBalance("PROD",M$1,"T.BOM","Count|RecId|0","","","","","","","ItemId",$A23)</f>
        <v>#NAME?</v>
      </c>
    </row>
    <row r="24" spans="1:13" x14ac:dyDescent="0.25">
      <c r="A24" t="s">
        <v>44</v>
      </c>
      <c r="B24" t="s">
        <v>45</v>
      </c>
      <c r="C24" t="e">
        <f ca="1">_xll.AtlasFormulas.AtlasFunctions.AtlasBalance("PROD",C$1,"T.BOM","Count|RecId|0","","","","","","","ItemId",$A24)</f>
        <v>#NAME?</v>
      </c>
      <c r="D24" t="e">
        <f ca="1">_xll.AtlasFormulas.AtlasFunctions.AtlasBalance("PROD",D$1,"T.BOM","Count|RecId|0","","","","","","","ItemId",$A24)</f>
        <v>#NAME?</v>
      </c>
      <c r="E24" t="e">
        <f ca="1">_xll.AtlasFormulas.AtlasFunctions.AtlasBalance("PROD",E$1,"T.BOM","Count|RecId|0","","","","","","","ItemId",$A24)</f>
        <v>#NAME?</v>
      </c>
      <c r="F24" t="e">
        <f ca="1">_xll.AtlasFormulas.AtlasFunctions.AtlasBalance("PROD",F$1,"T.BOM","Count|RecId|0","","","","","","","ItemId",$A24)</f>
        <v>#NAME?</v>
      </c>
      <c r="G24" t="e">
        <f ca="1">_xll.AtlasFormulas.AtlasFunctions.AtlasBalance("PROD",G$1,"T.BOM","Count|RecId|0","","","","","","","ItemId",$A24)</f>
        <v>#NAME?</v>
      </c>
      <c r="H24" t="e">
        <f ca="1">_xll.AtlasFormulas.AtlasFunctions.AtlasBalance("PROD",H$1,"T.BOM","Count|RecId|0","","","","","","","ItemId",$A24)</f>
        <v>#NAME?</v>
      </c>
      <c r="I24" t="e">
        <f ca="1">_xll.AtlasFormulas.AtlasFunctions.AtlasBalance("PROD",I$1,"T.BOM","Count|RecId|0","","","","","","","ItemId",$A24)</f>
        <v>#NAME?</v>
      </c>
      <c r="J24" t="e">
        <f ca="1">_xll.AtlasFormulas.AtlasFunctions.AtlasBalance("PROD",J$1,"T.BOM","Count|RecId|0","","","","","","","ItemId",$A24)</f>
        <v>#NAME?</v>
      </c>
      <c r="K24" t="e">
        <f ca="1">_xll.AtlasFormulas.AtlasFunctions.AtlasBalance("PROD",K$1,"T.BOM","Count|RecId|0","","","","","","","ItemId",$A24)</f>
        <v>#NAME?</v>
      </c>
      <c r="L24" t="e">
        <f ca="1">_xll.AtlasFormulas.AtlasFunctions.AtlasBalance("PROD",L$1,"T.BOM","Count|RecId|0","","","","","","","ItemId",$A24)</f>
        <v>#NAME?</v>
      </c>
      <c r="M24" t="e">
        <f ca="1">_xll.AtlasFormulas.AtlasFunctions.AtlasBalance("PROD",M$1,"T.BOM","Count|RecId|0","","","","","","","ItemId",$A24)</f>
        <v>#NAME?</v>
      </c>
    </row>
    <row r="25" spans="1:13" x14ac:dyDescent="0.25">
      <c r="A25" t="s">
        <v>46</v>
      </c>
      <c r="B25" t="s">
        <v>47</v>
      </c>
      <c r="C25" t="e">
        <f ca="1">_xll.AtlasFormulas.AtlasFunctions.AtlasBalance("PROD",C$1,"T.BOM","Count|RecId|0","","","","","","","ItemId",$A25)</f>
        <v>#NAME?</v>
      </c>
      <c r="D25" t="e">
        <f ca="1">_xll.AtlasFormulas.AtlasFunctions.AtlasBalance("PROD",D$1,"T.BOM","Count|RecId|0","","","","","","","ItemId",$A25)</f>
        <v>#NAME?</v>
      </c>
      <c r="E25" t="e">
        <f ca="1">_xll.AtlasFormulas.AtlasFunctions.AtlasBalance("PROD",E$1,"T.BOM","Count|RecId|0","","","","","","","ItemId",$A25)</f>
        <v>#NAME?</v>
      </c>
      <c r="F25" t="e">
        <f ca="1">_xll.AtlasFormulas.AtlasFunctions.AtlasBalance("PROD",F$1,"T.BOM","Count|RecId|0","","","","","","","ItemId",$A25)</f>
        <v>#NAME?</v>
      </c>
      <c r="G25" t="e">
        <f ca="1">_xll.AtlasFormulas.AtlasFunctions.AtlasBalance("PROD",G$1,"T.BOM","Count|RecId|0","","","","","","","ItemId",$A25)</f>
        <v>#NAME?</v>
      </c>
      <c r="H25" t="e">
        <f ca="1">_xll.AtlasFormulas.AtlasFunctions.AtlasBalance("PROD",H$1,"T.BOM","Count|RecId|0","","","","","","","ItemId",$A25)</f>
        <v>#NAME?</v>
      </c>
      <c r="I25" t="e">
        <f ca="1">_xll.AtlasFormulas.AtlasFunctions.AtlasBalance("PROD",I$1,"T.BOM","Count|RecId|0","","","","","","","ItemId",$A25)</f>
        <v>#NAME?</v>
      </c>
      <c r="J25" t="e">
        <f ca="1">_xll.AtlasFormulas.AtlasFunctions.AtlasBalance("PROD",J$1,"T.BOM","Count|RecId|0","","","","","","","ItemId",$A25)</f>
        <v>#NAME?</v>
      </c>
      <c r="K25" t="e">
        <f ca="1">_xll.AtlasFormulas.AtlasFunctions.AtlasBalance("PROD",K$1,"T.BOM","Count|RecId|0","","","","","","","ItemId",$A25)</f>
        <v>#NAME?</v>
      </c>
      <c r="L25" t="e">
        <f ca="1">_xll.AtlasFormulas.AtlasFunctions.AtlasBalance("PROD",L$1,"T.BOM","Count|RecId|0","","","","","","","ItemId",$A25)</f>
        <v>#NAME?</v>
      </c>
      <c r="M25" t="e">
        <f ca="1">_xll.AtlasFormulas.AtlasFunctions.AtlasBalance("PROD",M$1,"T.BOM","Count|RecId|0","","","","","","","ItemId",$A25)</f>
        <v>#NAME?</v>
      </c>
    </row>
    <row r="26" spans="1:13" x14ac:dyDescent="0.25">
      <c r="A26" t="s">
        <v>48</v>
      </c>
      <c r="B26" t="s">
        <v>49</v>
      </c>
      <c r="C26" t="e">
        <f ca="1">_xll.AtlasFormulas.AtlasFunctions.AtlasBalance("PROD",C$1,"T.BOM","Count|RecId|0","","","","","","","ItemId",$A26)</f>
        <v>#NAME?</v>
      </c>
      <c r="D26" t="e">
        <f ca="1">_xll.AtlasFormulas.AtlasFunctions.AtlasBalance("PROD",D$1,"T.BOM","Count|RecId|0","","","","","","","ItemId",$A26)</f>
        <v>#NAME?</v>
      </c>
      <c r="E26" t="e">
        <f ca="1">_xll.AtlasFormulas.AtlasFunctions.AtlasBalance("PROD",E$1,"T.BOM","Count|RecId|0","","","","","","","ItemId",$A26)</f>
        <v>#NAME?</v>
      </c>
      <c r="F26" t="e">
        <f ca="1">_xll.AtlasFormulas.AtlasFunctions.AtlasBalance("PROD",F$1,"T.BOM","Count|RecId|0","","","","","","","ItemId",$A26)</f>
        <v>#NAME?</v>
      </c>
      <c r="G26" t="e">
        <f ca="1">_xll.AtlasFormulas.AtlasFunctions.AtlasBalance("PROD",G$1,"T.BOM","Count|RecId|0","","","","","","","ItemId",$A26)</f>
        <v>#NAME?</v>
      </c>
      <c r="H26" t="e">
        <f ca="1">_xll.AtlasFormulas.AtlasFunctions.AtlasBalance("PROD",H$1,"T.BOM","Count|RecId|0","","","","","","","ItemId",$A26)</f>
        <v>#NAME?</v>
      </c>
      <c r="I26" t="e">
        <f ca="1">_xll.AtlasFormulas.AtlasFunctions.AtlasBalance("PROD",I$1,"T.BOM","Count|RecId|0","","","","","","","ItemId",$A26)</f>
        <v>#NAME?</v>
      </c>
      <c r="J26" t="e">
        <f ca="1">_xll.AtlasFormulas.AtlasFunctions.AtlasBalance("PROD",J$1,"T.BOM","Count|RecId|0","","","","","","","ItemId",$A26)</f>
        <v>#NAME?</v>
      </c>
      <c r="K26" t="e">
        <f ca="1">_xll.AtlasFormulas.AtlasFunctions.AtlasBalance("PROD",K$1,"T.BOM","Count|RecId|0","","","","","","","ItemId",$A26)</f>
        <v>#NAME?</v>
      </c>
      <c r="L26" t="e">
        <f ca="1">_xll.AtlasFormulas.AtlasFunctions.AtlasBalance("PROD",L$1,"T.BOM","Count|RecId|0","","","","","","","ItemId",$A26)</f>
        <v>#NAME?</v>
      </c>
      <c r="M26" t="e">
        <f ca="1">_xll.AtlasFormulas.AtlasFunctions.AtlasBalance("PROD",M$1,"T.BOM","Count|RecId|0","","","","","","","ItemId",$A26)</f>
        <v>#NAME?</v>
      </c>
    </row>
    <row r="27" spans="1:13" x14ac:dyDescent="0.25">
      <c r="A27" t="s">
        <v>50</v>
      </c>
      <c r="B27" t="s">
        <v>51</v>
      </c>
      <c r="C27" t="e">
        <f ca="1">_xll.AtlasFormulas.AtlasFunctions.AtlasBalance("PROD",C$1,"T.BOM","Count|RecId|0","","","","","","","ItemId",$A27)</f>
        <v>#NAME?</v>
      </c>
      <c r="D27" t="e">
        <f ca="1">_xll.AtlasFormulas.AtlasFunctions.AtlasBalance("PROD",D$1,"T.BOM","Count|RecId|0","","","","","","","ItemId",$A27)</f>
        <v>#NAME?</v>
      </c>
      <c r="E27" t="e">
        <f ca="1">_xll.AtlasFormulas.AtlasFunctions.AtlasBalance("PROD",E$1,"T.BOM","Count|RecId|0","","","","","","","ItemId",$A27)</f>
        <v>#NAME?</v>
      </c>
      <c r="F27" t="e">
        <f ca="1">_xll.AtlasFormulas.AtlasFunctions.AtlasBalance("PROD",F$1,"T.BOM","Count|RecId|0","","","","","","","ItemId",$A27)</f>
        <v>#NAME?</v>
      </c>
      <c r="G27" t="e">
        <f ca="1">_xll.AtlasFormulas.AtlasFunctions.AtlasBalance("PROD",G$1,"T.BOM","Count|RecId|0","","","","","","","ItemId",$A27)</f>
        <v>#NAME?</v>
      </c>
      <c r="H27" t="e">
        <f ca="1">_xll.AtlasFormulas.AtlasFunctions.AtlasBalance("PROD",H$1,"T.BOM","Count|RecId|0","","","","","","","ItemId",$A27)</f>
        <v>#NAME?</v>
      </c>
      <c r="I27" t="e">
        <f ca="1">_xll.AtlasFormulas.AtlasFunctions.AtlasBalance("PROD",I$1,"T.BOM","Count|RecId|0","","","","","","","ItemId",$A27)</f>
        <v>#NAME?</v>
      </c>
      <c r="J27" t="e">
        <f ca="1">_xll.AtlasFormulas.AtlasFunctions.AtlasBalance("PROD",J$1,"T.BOM","Count|RecId|0","","","","","","","ItemId",$A27)</f>
        <v>#NAME?</v>
      </c>
      <c r="K27" t="e">
        <f ca="1">_xll.AtlasFormulas.AtlasFunctions.AtlasBalance("PROD",K$1,"T.BOM","Count|RecId|0","","","","","","","ItemId",$A27)</f>
        <v>#NAME?</v>
      </c>
      <c r="L27" t="e">
        <f ca="1">_xll.AtlasFormulas.AtlasFunctions.AtlasBalance("PROD",L$1,"T.BOM","Count|RecId|0","","","","","","","ItemId",$A27)</f>
        <v>#NAME?</v>
      </c>
      <c r="M27" t="e">
        <f ca="1">_xll.AtlasFormulas.AtlasFunctions.AtlasBalance("PROD",M$1,"T.BOM","Count|RecId|0","","","","","","","ItemId",$A27)</f>
        <v>#NAME?</v>
      </c>
    </row>
    <row r="28" spans="1:13" x14ac:dyDescent="0.25">
      <c r="A28" t="s">
        <v>52</v>
      </c>
      <c r="B28" t="s">
        <v>53</v>
      </c>
      <c r="C28" t="e">
        <f ca="1">_xll.AtlasFormulas.AtlasFunctions.AtlasBalance("PROD",C$1,"T.BOM","Count|RecId|0","","","","","","","ItemId",$A28)</f>
        <v>#NAME?</v>
      </c>
      <c r="D28" t="e">
        <f ca="1">_xll.AtlasFormulas.AtlasFunctions.AtlasBalance("PROD",D$1,"T.BOM","Count|RecId|0","","","","","","","ItemId",$A28)</f>
        <v>#NAME?</v>
      </c>
      <c r="E28" t="e">
        <f ca="1">_xll.AtlasFormulas.AtlasFunctions.AtlasBalance("PROD",E$1,"T.BOM","Count|RecId|0","","","","","","","ItemId",$A28)</f>
        <v>#NAME?</v>
      </c>
      <c r="F28" t="e">
        <f ca="1">_xll.AtlasFormulas.AtlasFunctions.AtlasBalance("PROD",F$1,"T.BOM","Count|RecId|0","","","","","","","ItemId",$A28)</f>
        <v>#NAME?</v>
      </c>
      <c r="G28" t="e">
        <f ca="1">_xll.AtlasFormulas.AtlasFunctions.AtlasBalance("PROD",G$1,"T.BOM","Count|RecId|0","","","","","","","ItemId",$A28)</f>
        <v>#NAME?</v>
      </c>
      <c r="H28" t="e">
        <f ca="1">_xll.AtlasFormulas.AtlasFunctions.AtlasBalance("PROD",H$1,"T.BOM","Count|RecId|0","","","","","","","ItemId",$A28)</f>
        <v>#NAME?</v>
      </c>
      <c r="I28" t="e">
        <f ca="1">_xll.AtlasFormulas.AtlasFunctions.AtlasBalance("PROD",I$1,"T.BOM","Count|RecId|0","","","","","","","ItemId",$A28)</f>
        <v>#NAME?</v>
      </c>
      <c r="J28" t="e">
        <f ca="1">_xll.AtlasFormulas.AtlasFunctions.AtlasBalance("PROD",J$1,"T.BOM","Count|RecId|0","","","","","","","ItemId",$A28)</f>
        <v>#NAME?</v>
      </c>
      <c r="K28" t="e">
        <f ca="1">_xll.AtlasFormulas.AtlasFunctions.AtlasBalance("PROD",K$1,"T.BOM","Count|RecId|0","","","","","","","ItemId",$A28)</f>
        <v>#NAME?</v>
      </c>
      <c r="L28" t="e">
        <f ca="1">_xll.AtlasFormulas.AtlasFunctions.AtlasBalance("PROD",L$1,"T.BOM","Count|RecId|0","","","","","","","ItemId",$A28)</f>
        <v>#NAME?</v>
      </c>
      <c r="M28" t="e">
        <f ca="1">_xll.AtlasFormulas.AtlasFunctions.AtlasBalance("PROD",M$1,"T.BOM","Count|RecId|0","","","","","","","ItemId",$A28)</f>
        <v>#NAME?</v>
      </c>
    </row>
    <row r="29" spans="1:13" x14ac:dyDescent="0.25">
      <c r="A29" t="s">
        <v>54</v>
      </c>
      <c r="B29" t="s">
        <v>55</v>
      </c>
      <c r="C29" t="e">
        <f ca="1">_xll.AtlasFormulas.AtlasFunctions.AtlasBalance("PROD",C$1,"T.BOM","Count|RecId|0","","","","","","","ItemId",$A29)</f>
        <v>#NAME?</v>
      </c>
      <c r="D29" t="e">
        <f ca="1">_xll.AtlasFormulas.AtlasFunctions.AtlasBalance("PROD",D$1,"T.BOM","Count|RecId|0","","","","","","","ItemId",$A29)</f>
        <v>#NAME?</v>
      </c>
      <c r="E29" t="e">
        <f ca="1">_xll.AtlasFormulas.AtlasFunctions.AtlasBalance("PROD",E$1,"T.BOM","Count|RecId|0","","","","","","","ItemId",$A29)</f>
        <v>#NAME?</v>
      </c>
      <c r="F29" t="e">
        <f ca="1">_xll.AtlasFormulas.AtlasFunctions.AtlasBalance("PROD",F$1,"T.BOM","Count|RecId|0","","","","","","","ItemId",$A29)</f>
        <v>#NAME?</v>
      </c>
      <c r="G29" t="e">
        <f ca="1">_xll.AtlasFormulas.AtlasFunctions.AtlasBalance("PROD",G$1,"T.BOM","Count|RecId|0","","","","","","","ItemId",$A29)</f>
        <v>#NAME?</v>
      </c>
      <c r="H29" t="e">
        <f ca="1">_xll.AtlasFormulas.AtlasFunctions.AtlasBalance("PROD",H$1,"T.BOM","Count|RecId|0","","","","","","","ItemId",$A29)</f>
        <v>#NAME?</v>
      </c>
      <c r="I29" t="e">
        <f ca="1">_xll.AtlasFormulas.AtlasFunctions.AtlasBalance("PROD",I$1,"T.BOM","Count|RecId|0","","","","","","","ItemId",$A29)</f>
        <v>#NAME?</v>
      </c>
      <c r="J29" t="e">
        <f ca="1">_xll.AtlasFormulas.AtlasFunctions.AtlasBalance("PROD",J$1,"T.BOM","Count|RecId|0","","","","","","","ItemId",$A29)</f>
        <v>#NAME?</v>
      </c>
      <c r="K29" t="e">
        <f ca="1">_xll.AtlasFormulas.AtlasFunctions.AtlasBalance("PROD",K$1,"T.BOM","Count|RecId|0","","","","","","","ItemId",$A29)</f>
        <v>#NAME?</v>
      </c>
      <c r="L29" t="e">
        <f ca="1">_xll.AtlasFormulas.AtlasFunctions.AtlasBalance("PROD",L$1,"T.BOM","Count|RecId|0","","","","","","","ItemId",$A29)</f>
        <v>#NAME?</v>
      </c>
      <c r="M29" t="e">
        <f ca="1">_xll.AtlasFormulas.AtlasFunctions.AtlasBalance("PROD",M$1,"T.BOM","Count|RecId|0","","","","","","","ItemId",$A29)</f>
        <v>#NAME?</v>
      </c>
    </row>
    <row r="30" spans="1:13" x14ac:dyDescent="0.25">
      <c r="A30" t="s">
        <v>56</v>
      </c>
      <c r="B30" t="s">
        <v>57</v>
      </c>
      <c r="C30" t="e">
        <f ca="1">_xll.AtlasFormulas.AtlasFunctions.AtlasBalance("PROD",C$1,"T.BOM","Count|RecId|0","","","","","","","ItemId",$A30)</f>
        <v>#NAME?</v>
      </c>
      <c r="D30" t="e">
        <f ca="1">_xll.AtlasFormulas.AtlasFunctions.AtlasBalance("PROD",D$1,"T.BOM","Count|RecId|0","","","","","","","ItemId",$A30)</f>
        <v>#NAME?</v>
      </c>
      <c r="E30" t="e">
        <f ca="1">_xll.AtlasFormulas.AtlasFunctions.AtlasBalance("PROD",E$1,"T.BOM","Count|RecId|0","","","","","","","ItemId",$A30)</f>
        <v>#NAME?</v>
      </c>
      <c r="F30" t="e">
        <f ca="1">_xll.AtlasFormulas.AtlasFunctions.AtlasBalance("PROD",F$1,"T.BOM","Count|RecId|0","","","","","","","ItemId",$A30)</f>
        <v>#NAME?</v>
      </c>
      <c r="G30" t="e">
        <f ca="1">_xll.AtlasFormulas.AtlasFunctions.AtlasBalance("PROD",G$1,"T.BOM","Count|RecId|0","","","","","","","ItemId",$A30)</f>
        <v>#NAME?</v>
      </c>
      <c r="H30" t="e">
        <f ca="1">_xll.AtlasFormulas.AtlasFunctions.AtlasBalance("PROD",H$1,"T.BOM","Count|RecId|0","","","","","","","ItemId",$A30)</f>
        <v>#NAME?</v>
      </c>
      <c r="I30" t="e">
        <f ca="1">_xll.AtlasFormulas.AtlasFunctions.AtlasBalance("PROD",I$1,"T.BOM","Count|RecId|0","","","","","","","ItemId",$A30)</f>
        <v>#NAME?</v>
      </c>
      <c r="J30" t="e">
        <f ca="1">_xll.AtlasFormulas.AtlasFunctions.AtlasBalance("PROD",J$1,"T.BOM","Count|RecId|0","","","","","","","ItemId",$A30)</f>
        <v>#NAME?</v>
      </c>
      <c r="K30" t="e">
        <f ca="1">_xll.AtlasFormulas.AtlasFunctions.AtlasBalance("PROD",K$1,"T.BOM","Count|RecId|0","","","","","","","ItemId",$A30)</f>
        <v>#NAME?</v>
      </c>
      <c r="L30" t="e">
        <f ca="1">_xll.AtlasFormulas.AtlasFunctions.AtlasBalance("PROD",L$1,"T.BOM","Count|RecId|0","","","","","","","ItemId",$A30)</f>
        <v>#NAME?</v>
      </c>
      <c r="M30" t="e">
        <f ca="1">_xll.AtlasFormulas.AtlasFunctions.AtlasBalance("PROD",M$1,"T.BOM","Count|RecId|0","","","","","","","ItemId",$A30)</f>
        <v>#NAME?</v>
      </c>
    </row>
    <row r="31" spans="1:13" x14ac:dyDescent="0.25">
      <c r="A31" t="s">
        <v>58</v>
      </c>
      <c r="B31" t="s">
        <v>59</v>
      </c>
      <c r="C31" t="e">
        <f ca="1">_xll.AtlasFormulas.AtlasFunctions.AtlasBalance("PROD",C$1,"T.BOM","Count|RecId|0","","","","","","","ItemId",$A31)</f>
        <v>#NAME?</v>
      </c>
      <c r="D31" t="e">
        <f ca="1">_xll.AtlasFormulas.AtlasFunctions.AtlasBalance("PROD",D$1,"T.BOM","Count|RecId|0","","","","","","","ItemId",$A31)</f>
        <v>#NAME?</v>
      </c>
      <c r="E31" t="e">
        <f ca="1">_xll.AtlasFormulas.AtlasFunctions.AtlasBalance("PROD",E$1,"T.BOM","Count|RecId|0","","","","","","","ItemId",$A31)</f>
        <v>#NAME?</v>
      </c>
      <c r="F31" t="e">
        <f ca="1">_xll.AtlasFormulas.AtlasFunctions.AtlasBalance("PROD",F$1,"T.BOM","Count|RecId|0","","","","","","","ItemId",$A31)</f>
        <v>#NAME?</v>
      </c>
      <c r="G31" t="e">
        <f ca="1">_xll.AtlasFormulas.AtlasFunctions.AtlasBalance("PROD",G$1,"T.BOM","Count|RecId|0","","","","","","","ItemId",$A31)</f>
        <v>#NAME?</v>
      </c>
      <c r="H31" t="e">
        <f ca="1">_xll.AtlasFormulas.AtlasFunctions.AtlasBalance("PROD",H$1,"T.BOM","Count|RecId|0","","","","","","","ItemId",$A31)</f>
        <v>#NAME?</v>
      </c>
      <c r="I31" t="e">
        <f ca="1">_xll.AtlasFormulas.AtlasFunctions.AtlasBalance("PROD",I$1,"T.BOM","Count|RecId|0","","","","","","","ItemId",$A31)</f>
        <v>#NAME?</v>
      </c>
      <c r="J31" t="e">
        <f ca="1">_xll.AtlasFormulas.AtlasFunctions.AtlasBalance("PROD",J$1,"T.BOM","Count|RecId|0","","","","","","","ItemId",$A31)</f>
        <v>#NAME?</v>
      </c>
      <c r="K31" t="e">
        <f ca="1">_xll.AtlasFormulas.AtlasFunctions.AtlasBalance("PROD",K$1,"T.BOM","Count|RecId|0","","","","","","","ItemId",$A31)</f>
        <v>#NAME?</v>
      </c>
      <c r="L31" t="e">
        <f ca="1">_xll.AtlasFormulas.AtlasFunctions.AtlasBalance("PROD",L$1,"T.BOM","Count|RecId|0","","","","","","","ItemId",$A31)</f>
        <v>#NAME?</v>
      </c>
      <c r="M31" t="e">
        <f ca="1">_xll.AtlasFormulas.AtlasFunctions.AtlasBalance("PROD",M$1,"T.BOM","Count|RecId|0","","","","","","","ItemId",$A31)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ToDo</vt:lpstr>
      <vt:lpstr>Item exist</vt:lpstr>
      <vt:lpstr>Onhand</vt:lpstr>
      <vt:lpstr>InventTrans</vt:lpstr>
      <vt:lpstr>BOM</vt:lpstr>
      <vt:lpstr>PartOfBOM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Fradgley</dc:creator>
  <cp:lastModifiedBy>Spenser Wang</cp:lastModifiedBy>
  <dcterms:created xsi:type="dcterms:W3CDTF">2019-11-19T08:30:26Z</dcterms:created>
  <dcterms:modified xsi:type="dcterms:W3CDTF">2019-11-20T08:42:21Z</dcterms:modified>
</cp:coreProperties>
</file>