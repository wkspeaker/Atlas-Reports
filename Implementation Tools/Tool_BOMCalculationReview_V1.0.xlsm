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tables/table2.xml" ContentType="application/vnd.openxmlformats-officedocument.spreadsheetml.table+xml"/>
  <Override PartName="/xl/customProperty6.bin" ContentType="application/vnd.openxmlformats-officedocument.spreadsheetml.customProperty"/>
  <Override PartName="/xl/tables/table3.xml" ContentType="application/vnd.openxmlformats-officedocument.spreadsheetml.table+xml"/>
  <Override PartName="/xl/customProperty7.bin" ContentType="application/vnd.openxmlformats-officedocument.spreadsheetml.customProperty"/>
  <Override PartName="/xl/tables/table4.xml" ContentType="application/vnd.openxmlformats-officedocument.spreadsheetml.table+xml"/>
  <Override PartName="/xl/customProperty8.bin" ContentType="application/vnd.openxmlformats-officedocument.spreadsheetml.customProperty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372\UAT\Master Data Review\"/>
    </mc:Choice>
  </mc:AlternateContent>
  <bookViews>
    <workbookView xWindow="120" yWindow="75" windowWidth="20115" windowHeight="7740"/>
  </bookViews>
  <sheets>
    <sheet name="General" sheetId="1" r:id="rId1"/>
    <sheet name="Note" sheetId="7" r:id="rId2"/>
    <sheet name="BOMCostDetails" sheetId="5" r:id="rId3"/>
    <sheet name="ItemCostSummary" sheetId="6" r:id="rId4"/>
    <sheet name="BOM Details" sheetId="2" r:id="rId5"/>
    <sheet name="Item Details" sheetId="3" r:id="rId6"/>
    <sheet name="UnitConversion" sheetId="4" r:id="rId7"/>
  </sheets>
  <functionGroups builtInGroupCount="18"/>
  <definedNames>
    <definedName name="AtlasReport_1" localSheetId="4">'BOM Details'!$A$1:$N$1251</definedName>
    <definedName name="AtlasReport_2" localSheetId="5">'Item Details'!$A$1:$G$661</definedName>
    <definedName name="AtlasReport_3" localSheetId="6">UnitConversion!$A$1:$F$56</definedName>
    <definedName name="DataAreaId">General!$C$2</definedName>
  </definedNames>
  <calcPr calcId="162913"/>
</workbook>
</file>

<file path=xl/calcChain.xml><?xml version="1.0" encoding="utf-8"?>
<calcChain xmlns="http://schemas.openxmlformats.org/spreadsheetml/2006/main">
  <c r="M1250" i="2" l="1"/>
  <c r="G1250" i="2"/>
  <c r="F1250" i="2"/>
  <c r="D1250" i="2"/>
  <c r="C1250" i="2"/>
  <c r="D55" i="4"/>
  <c r="C55" i="4"/>
  <c r="F660" i="3"/>
</calcChain>
</file>

<file path=xl/sharedStrings.xml><?xml version="1.0" encoding="utf-8"?>
<sst xmlns="http://schemas.openxmlformats.org/spreadsheetml/2006/main" count="27844" uniqueCount="1253">
  <si>
    <t>Company:</t>
  </si>
  <si>
    <t>BOM lines</t>
  </si>
  <si>
    <t>BOM</t>
  </si>
  <si>
    <t>Item number</t>
  </si>
  <si>
    <t>Quantity</t>
  </si>
  <si>
    <t>Per series</t>
  </si>
  <si>
    <t>Unit</t>
  </si>
  <si>
    <t>A1RO 0A00 0440</t>
  </si>
  <si>
    <t>A1RO 0A00 PROD</t>
  </si>
  <si>
    <t>M</t>
  </si>
  <si>
    <t/>
  </si>
  <si>
    <t>PUFI TEIJ T240 110</t>
  </si>
  <si>
    <t>PURE MCTE SH166</t>
  </si>
  <si>
    <t>G</t>
  </si>
  <si>
    <t>PURE MCTE SR1331</t>
  </si>
  <si>
    <t>PURE MCTE SXAC</t>
  </si>
  <si>
    <t>PUAD IRON MAIS</t>
  </si>
  <si>
    <t>LAB/OH-DPP</t>
  </si>
  <si>
    <t>H</t>
  </si>
  <si>
    <t>LAB/OH-PREP</t>
  </si>
  <si>
    <t>C1EL 8A00 0001</t>
  </si>
  <si>
    <t>C1EL 8A00 PROD</t>
  </si>
  <si>
    <t>PUFI TORA T700 24K</t>
  </si>
  <si>
    <t>PURE WURT PAT656</t>
  </si>
  <si>
    <t>PUAD NEUD AERO</t>
  </si>
  <si>
    <t>C1HR 0A00 0001</t>
  </si>
  <si>
    <t>C1HR 0A00 PROD</t>
  </si>
  <si>
    <t>C1HR 0A00 0002</t>
  </si>
  <si>
    <t>PUFI TORA T300 1K</t>
  </si>
  <si>
    <t>PUFI TORA T700 6K</t>
  </si>
  <si>
    <t>C1HR 0B00 0001</t>
  </si>
  <si>
    <t>C1HR 0B00 PROD</t>
  </si>
  <si>
    <t>C1HR 0B00 0002</t>
  </si>
  <si>
    <t>PUFI TORA T700 12K</t>
  </si>
  <si>
    <t>PUFI TORA T300 3K</t>
  </si>
  <si>
    <t>C1HR 0C00 0001</t>
  </si>
  <si>
    <t>C1HR 0C00 PROD</t>
  </si>
  <si>
    <t>C1HR 0C00 0002</t>
  </si>
  <si>
    <t>C1HR 0C00 00D5</t>
  </si>
  <si>
    <t>PUFI TORA T300 6K</t>
  </si>
  <si>
    <t>C1HR 1A00 0001</t>
  </si>
  <si>
    <t>C1HR 1A00 PROD</t>
  </si>
  <si>
    <t>C1HR 1A00 0002</t>
  </si>
  <si>
    <t>C1HR 1B00 0001</t>
  </si>
  <si>
    <t>C1HR 1B00 PROD</t>
  </si>
  <si>
    <t>C1HR 1B00 0002</t>
  </si>
  <si>
    <t>C1HR 1B00 00D5</t>
  </si>
  <si>
    <t>C1HR 2A00 0001</t>
  </si>
  <si>
    <t>C1HR 2A00 PROD</t>
  </si>
  <si>
    <t>C1HR 2A00 0002</t>
  </si>
  <si>
    <t>C1HR 2A00 00D5</t>
  </si>
  <si>
    <t>C1HR 2B00 0001</t>
  </si>
  <si>
    <t>C1HR 2B00 PROD</t>
  </si>
  <si>
    <t>C1HR 2B00 0002</t>
  </si>
  <si>
    <t>C1HR 2B00 00D5</t>
  </si>
  <si>
    <t>C1RE 10A0 0001</t>
  </si>
  <si>
    <t>C1RE 10A0 PROD</t>
  </si>
  <si>
    <t>C1RE 10A0 0002</t>
  </si>
  <si>
    <t>C1RE 10A0 00D5</t>
  </si>
  <si>
    <t>C1RE 16A0 0001</t>
  </si>
  <si>
    <t>C1RE 16A0 PROD</t>
  </si>
  <si>
    <t>C1RE 16A0 0002</t>
  </si>
  <si>
    <t>C1RE 16A0 0004</t>
  </si>
  <si>
    <t>C1RE 16A0 00D5</t>
  </si>
  <si>
    <t>C1RE 16A0 0250</t>
  </si>
  <si>
    <t>C1RE 1A00 0001</t>
  </si>
  <si>
    <t>C1RE 1A00 PROD</t>
  </si>
  <si>
    <t>C1RE 1A00 0002</t>
  </si>
  <si>
    <t>C1RE 1A00 00D5</t>
  </si>
  <si>
    <t>C1RE 1B00 0001</t>
  </si>
  <si>
    <t>C1RE 1B00 PROD</t>
  </si>
  <si>
    <t>C1RE 1B00 0002</t>
  </si>
  <si>
    <t>C1RE 1B00 00D5</t>
  </si>
  <si>
    <t>C1RE 1B00 01D5</t>
  </si>
  <si>
    <t>C1RE 20A0 0001</t>
  </si>
  <si>
    <t>C1RE 20A0 PROD</t>
  </si>
  <si>
    <t>C1RE 20A0 0002</t>
  </si>
  <si>
    <t>C1RE 20A0 0003</t>
  </si>
  <si>
    <t>C1RE 20A0 00D5</t>
  </si>
  <si>
    <t>C1RE 20B0 0001</t>
  </si>
  <si>
    <t>C1RE 20B0 PROD</t>
  </si>
  <si>
    <t>C1RE 20B0 0002</t>
  </si>
  <si>
    <t>C1RE 2A00 0001</t>
  </si>
  <si>
    <t>C1RE 2A00 PROD</t>
  </si>
  <si>
    <t>C1RE 2A00 0002</t>
  </si>
  <si>
    <t>C1RE 2A00 00D5</t>
  </si>
  <si>
    <t>C1RE 2B00 0001</t>
  </si>
  <si>
    <t>C1RE 2B00 PROD</t>
  </si>
  <si>
    <t>C1RE 2B00 0002</t>
  </si>
  <si>
    <t>C1RE 2B00 00D5</t>
  </si>
  <si>
    <t>C1RE 3A00 0001</t>
  </si>
  <si>
    <t>C1RE 3A00 PROD</t>
  </si>
  <si>
    <t>C1RE 3A00 0002</t>
  </si>
  <si>
    <t>C1RE 3A00 00D5</t>
  </si>
  <si>
    <t>C1RE 3B00 0001</t>
  </si>
  <si>
    <t>C1RE 3B00 PROD</t>
  </si>
  <si>
    <t>C1RE 3B00 0002</t>
  </si>
  <si>
    <t>C1RE 3B00 00D5</t>
  </si>
  <si>
    <t>C1RE 3C00 0001</t>
  </si>
  <si>
    <t>C1RE 3C00 PROD</t>
  </si>
  <si>
    <t>C1RE 3C00 0002</t>
  </si>
  <si>
    <t>C1RE 3C00 00D5</t>
  </si>
  <si>
    <t>C1RE 3D00 0001</t>
  </si>
  <si>
    <t>C1RE 3D00 PROD</t>
  </si>
  <si>
    <t>C1RE 3D00 0002</t>
  </si>
  <si>
    <t>C1RE 3D00 00D5</t>
  </si>
  <si>
    <t>C1RE 40A0 0001</t>
  </si>
  <si>
    <t>C1RE 40A0 PROD</t>
  </si>
  <si>
    <t>C1RE 40A0 0002</t>
  </si>
  <si>
    <t>C1RE 40A0 00D5</t>
  </si>
  <si>
    <t>C1RE 4A00 0001</t>
  </si>
  <si>
    <t>C1RE 4A00 PROD</t>
  </si>
  <si>
    <t>C1RE 4A00 0002</t>
  </si>
  <si>
    <t>C1RE 4A00 00D5</t>
  </si>
  <si>
    <t>C1RE 4B00 0001</t>
  </si>
  <si>
    <t>C1RE 4B00 PROD</t>
  </si>
  <si>
    <t>C1RE 4B00 0002</t>
  </si>
  <si>
    <t>C1RE 4B00 00D5</t>
  </si>
  <si>
    <t>C1RE 50A0 0001</t>
  </si>
  <si>
    <t>C1RE 50A0 PROD</t>
  </si>
  <si>
    <t>C1RE 50A0 0002</t>
  </si>
  <si>
    <t>C1RE 50B0 0250</t>
  </si>
  <si>
    <t>C1RE 50B0 PROD</t>
  </si>
  <si>
    <t>PUFI MITS 37800 30K</t>
  </si>
  <si>
    <t>PUAD KEYS BYKP9920</t>
  </si>
  <si>
    <t>C1RE 50C0 PROD</t>
  </si>
  <si>
    <t>C1RE 5A00 0001</t>
  </si>
  <si>
    <t>C1RE 5A00 PROD</t>
  </si>
  <si>
    <t>C1RE 5A00 0002</t>
  </si>
  <si>
    <t>C1RE 5A00 1215</t>
  </si>
  <si>
    <t>C1RE 6A00 0001</t>
  </si>
  <si>
    <t>C1RE 6A00 PROD</t>
  </si>
  <si>
    <t>C1RE 6A00 0002</t>
  </si>
  <si>
    <t>C1RE 6A00 0003</t>
  </si>
  <si>
    <t>C1RE 6A00 00D5</t>
  </si>
  <si>
    <t>C1RE 6B00 0001</t>
  </si>
  <si>
    <t>C1RE 6B00 PROD</t>
  </si>
  <si>
    <t>C1RE 6B00 0002</t>
  </si>
  <si>
    <t>C1RE 6B00 00D5</t>
  </si>
  <si>
    <t>C1RE 7A00 0001</t>
  </si>
  <si>
    <t>C1RE 7A00 PROD</t>
  </si>
  <si>
    <t>C1RE 7A00 0002</t>
  </si>
  <si>
    <t>C1RE 8A00 0001</t>
  </si>
  <si>
    <t>C1RE 8A00 PROD</t>
  </si>
  <si>
    <t>C1RE 8A00 0002</t>
  </si>
  <si>
    <t>C1RE 8A00 0004</t>
  </si>
  <si>
    <t>C1RE 8A00 00D5</t>
  </si>
  <si>
    <t>C1RE 8B00 0001</t>
  </si>
  <si>
    <t>C1RE 8B00 PROD</t>
  </si>
  <si>
    <t>C1RE 8B00 0002</t>
  </si>
  <si>
    <t>C1RE 8B00 0006</t>
  </si>
  <si>
    <t>C1RE 90A0 0001</t>
  </si>
  <si>
    <t>C1RE 90A0 PROD</t>
  </si>
  <si>
    <t>C1RE 90A0 0002</t>
  </si>
  <si>
    <t>C1RO 0A00 0001</t>
  </si>
  <si>
    <t>C1RO 0A00 PROD</t>
  </si>
  <si>
    <t>C1RO 0A00 0002</t>
  </si>
  <si>
    <t>C1RO 0A00 00D5</t>
  </si>
  <si>
    <t>C1RO 0A00 0250</t>
  </si>
  <si>
    <t>C1RO 0B00 0001</t>
  </si>
  <si>
    <t>C1RO 0B00 PROD</t>
  </si>
  <si>
    <t>C1RO 0B00 0002</t>
  </si>
  <si>
    <t>C1RO 0B00 00D5</t>
  </si>
  <si>
    <t>C1RO 0B00 0250</t>
  </si>
  <si>
    <t>C1RO 0C00 0001</t>
  </si>
  <si>
    <t>C1RO 0C00 PROD</t>
  </si>
  <si>
    <t>C1RO 0C00 0002</t>
  </si>
  <si>
    <t>C1RO 0C00 00D5</t>
  </si>
  <si>
    <t>C1RO 0D00 0001</t>
  </si>
  <si>
    <t>C1RO 0D00 PROD</t>
  </si>
  <si>
    <t>C1RO 0D00 0002</t>
  </si>
  <si>
    <t>C1RO 0D00 00D5</t>
  </si>
  <si>
    <t>C1RO 10A0 0001</t>
  </si>
  <si>
    <t>C1RO 10A0 PROD</t>
  </si>
  <si>
    <t>C1RO 10A0 0002</t>
  </si>
  <si>
    <t>C1RO 10A0 00D5</t>
  </si>
  <si>
    <t>PUFI MITS TRH50 60K</t>
  </si>
  <si>
    <t>C1RO 11A0 0001</t>
  </si>
  <si>
    <t>C1RO 11A0 PROD</t>
  </si>
  <si>
    <t>C1RO 11A0 00D5</t>
  </si>
  <si>
    <t>C1RO 12A0 0001</t>
  </si>
  <si>
    <t>C1RO 12A0 PROD</t>
  </si>
  <si>
    <t>C1RO 12A0 0002</t>
  </si>
  <si>
    <t>C1RO 12A0 0005</t>
  </si>
  <si>
    <t>C1RO 12A0 00D5</t>
  </si>
  <si>
    <t>C1RO 14A0 0001</t>
  </si>
  <si>
    <t>C1RO 14A0 PROD</t>
  </si>
  <si>
    <t>C1RO 14A0 0002</t>
  </si>
  <si>
    <t>C1RO 14A0 0006</t>
  </si>
  <si>
    <t>C1RO 1A00 0001</t>
  </si>
  <si>
    <t>C1RO 1A00 PROD</t>
  </si>
  <si>
    <t>C1RO 1A00 0002</t>
  </si>
  <si>
    <t>C1RO 1A00 00D5</t>
  </si>
  <si>
    <t>C1RO 1A00 0500</t>
  </si>
  <si>
    <t>C1RO 1B00 0001</t>
  </si>
  <si>
    <t>C1RO 1B00 PROD</t>
  </si>
  <si>
    <t>C1RO 1B00 0002</t>
  </si>
  <si>
    <t>C1RO 1B00 00D5</t>
  </si>
  <si>
    <t>C1RO 1C00 0001</t>
  </si>
  <si>
    <t>C1RO 1C00 PROD</t>
  </si>
  <si>
    <t>C1RO 1C00 0002</t>
  </si>
  <si>
    <t>C1RO 1C00 00D5</t>
  </si>
  <si>
    <t>C1RO 1D00 0001</t>
  </si>
  <si>
    <t>C1RO 1D00 PROD</t>
  </si>
  <si>
    <t>C1RO 1D00 0002</t>
  </si>
  <si>
    <t>C1RO 1D00 00D5</t>
  </si>
  <si>
    <t>C1RO 1D00 D0003</t>
  </si>
  <si>
    <t>C1RO 1D00 D0006</t>
  </si>
  <si>
    <t>C1RO 1D00 D0007</t>
  </si>
  <si>
    <t>C1RO 1D00 D00085</t>
  </si>
  <si>
    <t>C1RO 1E00 0001</t>
  </si>
  <si>
    <t>C1RO 1E00 PROD</t>
  </si>
  <si>
    <t>C1RO 1E00 0002</t>
  </si>
  <si>
    <t>C1RO 1E00 00D5</t>
  </si>
  <si>
    <t>C1RO 1F00 0001</t>
  </si>
  <si>
    <t>C1RO 1F00 PROD</t>
  </si>
  <si>
    <t>C1RO 1F00 0002</t>
  </si>
  <si>
    <t>C1RO 1F00 00D5</t>
  </si>
  <si>
    <t>C1RO 1F00 02D5</t>
  </si>
  <si>
    <t>C1RO 1F00 D1105</t>
  </si>
  <si>
    <t>C1RO 1F00 D974</t>
  </si>
  <si>
    <t>C1RO 1F00 D985</t>
  </si>
  <si>
    <t>C1RO 2A00 0001</t>
  </si>
  <si>
    <t>C1RO 2A00 PROD</t>
  </si>
  <si>
    <t>C1RO 2A00 0002</t>
  </si>
  <si>
    <t>C1RO 2A00 00D5</t>
  </si>
  <si>
    <t>C1RO 2B00 0001</t>
  </si>
  <si>
    <t>C1RO 2B00 PROD</t>
  </si>
  <si>
    <t>C1RO 2B00 0002</t>
  </si>
  <si>
    <t>C1RO 2B00 00D5</t>
  </si>
  <si>
    <t>C1RO 2B00 D081</t>
  </si>
  <si>
    <t>C1RO 2B00 D105</t>
  </si>
  <si>
    <t>C1RO 2B00 D257</t>
  </si>
  <si>
    <t>C1RO 2B00 D261</t>
  </si>
  <si>
    <t>C1RO 2BTE D293</t>
  </si>
  <si>
    <t>C1RO 2BTE PROD</t>
  </si>
  <si>
    <t>C1RO 3A00 0001</t>
  </si>
  <si>
    <t>C1RO 3A00 PROD</t>
  </si>
  <si>
    <t>C1RO 3A00 0002</t>
  </si>
  <si>
    <t>C1RO 3A00 00D5</t>
  </si>
  <si>
    <t>C1RO 4A00 0001</t>
  </si>
  <si>
    <t>C1RO 4A00 PROD</t>
  </si>
  <si>
    <t>C1RO 4A00 0002</t>
  </si>
  <si>
    <t>C1RO 4A00 00D5</t>
  </si>
  <si>
    <t>C1RO 5A00 0001</t>
  </si>
  <si>
    <t>C1RO 5A00 PROD</t>
  </si>
  <si>
    <t>C1RO 5A00 0002</t>
  </si>
  <si>
    <t>C1RO 5A00 00D5</t>
  </si>
  <si>
    <t>C1RO 6A00 0001</t>
  </si>
  <si>
    <t>C1RO 6A00 PROD</t>
  </si>
  <si>
    <t>C1RO 6A00 0002</t>
  </si>
  <si>
    <t>C1RO 6A00 00D5</t>
  </si>
  <si>
    <t>C1RO 7A00 0001</t>
  </si>
  <si>
    <t>C1RO 7A00 PROD</t>
  </si>
  <si>
    <t>C1RO 7A00 0002</t>
  </si>
  <si>
    <t>C1RO 7A00 00D5</t>
  </si>
  <si>
    <t>C1RO 8A00 0001</t>
  </si>
  <si>
    <t>C1RO 8A00 PROD</t>
  </si>
  <si>
    <t>C1RO 8A00 0002</t>
  </si>
  <si>
    <t>C1RO 8A00 00D5</t>
  </si>
  <si>
    <t>C1SQ 3B00 0001</t>
  </si>
  <si>
    <t>C1SQ 3B00 PROD</t>
  </si>
  <si>
    <t>C1SQ 4A00 0001</t>
  </si>
  <si>
    <t>C1SQ 4A00 PROD</t>
  </si>
  <si>
    <t>C1SQ 4A00 0002</t>
  </si>
  <si>
    <t>C1SQ 4A00 00D5</t>
  </si>
  <si>
    <t>C1SQ 6A00 0001</t>
  </si>
  <si>
    <t>C1SQ 6A00 PROD</t>
  </si>
  <si>
    <t>C1SQ 6A00 0002</t>
  </si>
  <si>
    <t>C1SQ 6A00 00D5</t>
  </si>
  <si>
    <t>C1SQ 8A00 0001</t>
  </si>
  <si>
    <t>C1SQ 8A00 PROD</t>
  </si>
  <si>
    <t>C1SQ 8A00 0002</t>
  </si>
  <si>
    <t>C1SQ 8A00 00D5</t>
  </si>
  <si>
    <t>C1ST 1A00 0001</t>
  </si>
  <si>
    <t>C1ST 1A00 PROD</t>
  </si>
  <si>
    <t>C1ST 1A00 0250</t>
  </si>
  <si>
    <t>C1ST 1B00 0001</t>
  </si>
  <si>
    <t>C1ST 1B00 PROD</t>
  </si>
  <si>
    <t>C1ST 1B00 0250</t>
  </si>
  <si>
    <t>C1ST 2A00 0001</t>
  </si>
  <si>
    <t>C1ST 2A00 PROD</t>
  </si>
  <si>
    <t>C1ST 2A00 00D5</t>
  </si>
  <si>
    <t>C1ST 2A00 0250</t>
  </si>
  <si>
    <t>C1ST 3A00 0001</t>
  </si>
  <si>
    <t>C1ST 3A00 PROD</t>
  </si>
  <si>
    <t>C1ST 3A00 00D5</t>
  </si>
  <si>
    <t>C1ST 3A00 0250</t>
  </si>
  <si>
    <t>C1TE 1A00 0001</t>
  </si>
  <si>
    <t>C1TE 1A00 PROD</t>
  </si>
  <si>
    <t>C1TE 1A00 0002</t>
  </si>
  <si>
    <t>C1TE 1A00 00D5</t>
  </si>
  <si>
    <t>C1TE 3A00 0001</t>
  </si>
  <si>
    <t>C1TE 3A00 PROD</t>
  </si>
  <si>
    <t>C1TE 3A00 0002</t>
  </si>
  <si>
    <t>C1TE 3A00 00D5</t>
  </si>
  <si>
    <t>C1TE 3B00 0001</t>
  </si>
  <si>
    <t>C1TE 3B00 PROD</t>
  </si>
  <si>
    <t>C1TE 3B00 0002</t>
  </si>
  <si>
    <t>C1TE 3B00 00D5</t>
  </si>
  <si>
    <t>C1TS 4A00 0001</t>
  </si>
  <si>
    <t>C1TS 4A00 PROD</t>
  </si>
  <si>
    <t>C1TS 4A00 0002</t>
  </si>
  <si>
    <t>C1TS 4A00 00D5</t>
  </si>
  <si>
    <t>C1TS 6A00 0001</t>
  </si>
  <si>
    <t>C1TS 6A00 PROD</t>
  </si>
  <si>
    <t>C1TS 6A00 0002</t>
  </si>
  <si>
    <t>C1TS 6A00 00D5</t>
  </si>
  <si>
    <t>C1TS 8A00 0001</t>
  </si>
  <si>
    <t>C1TS 8A00 PROD</t>
  </si>
  <si>
    <t>C1TS 8A00 0002</t>
  </si>
  <si>
    <t>C1TS 8A00 00D5</t>
  </si>
  <si>
    <t>C1TU 0A00 0001</t>
  </si>
  <si>
    <t>C1TU 0A00 PROD</t>
  </si>
  <si>
    <t>C1TU 0A00 0002</t>
  </si>
  <si>
    <t>C1TU 0A00 00D5</t>
  </si>
  <si>
    <t>C1TU 10B0 0001</t>
  </si>
  <si>
    <t>C1TU 10B0 PROD</t>
  </si>
  <si>
    <t>C1TU 10B0 0002</t>
  </si>
  <si>
    <t>C1TU 10B0 00D5</t>
  </si>
  <si>
    <t>C1TU 12B0 0001</t>
  </si>
  <si>
    <t>C1TU 12B0 PROD</t>
  </si>
  <si>
    <t>C1TU 12B0 0002</t>
  </si>
  <si>
    <t>C1TU 12B0 00D5</t>
  </si>
  <si>
    <t>C1TU 1A00 0001</t>
  </si>
  <si>
    <t>C1TU 1A00 PROD</t>
  </si>
  <si>
    <t>C1TU 1A00 0002</t>
  </si>
  <si>
    <t>C1TU 1A00 00D5</t>
  </si>
  <si>
    <t>C1TU 1B00 0001</t>
  </si>
  <si>
    <t>C1TU 1B00 PROD</t>
  </si>
  <si>
    <t>C1TU 1B00 0002</t>
  </si>
  <si>
    <t>C1TU 1B00 00D5</t>
  </si>
  <si>
    <t>C1TU 1B00 D0003</t>
  </si>
  <si>
    <t>C1TU 1B00 D0006</t>
  </si>
  <si>
    <t>C1TU 1B00 D0007</t>
  </si>
  <si>
    <t>C1TU 2A00 0001</t>
  </si>
  <si>
    <t>C1TU 2A00 PROD</t>
  </si>
  <si>
    <t>C1TU 2A00 0002</t>
  </si>
  <si>
    <t>C1TU 2A00 00D5</t>
  </si>
  <si>
    <t>C1TU 2B00 0001</t>
  </si>
  <si>
    <t>C1TU 2B00 PROD</t>
  </si>
  <si>
    <t>C1TU 2B00 0002</t>
  </si>
  <si>
    <t>C1TU 2B00 00D5</t>
  </si>
  <si>
    <t>C1TU 3A00 0001</t>
  </si>
  <si>
    <t>C1TU 3A00 PROD</t>
  </si>
  <si>
    <t>C1TU 3A00 0002</t>
  </si>
  <si>
    <t>C1TU 3A00 00D5</t>
  </si>
  <si>
    <t>C1TU 4A00 0001</t>
  </si>
  <si>
    <t>C1TU 4A00 PROD</t>
  </si>
  <si>
    <t>C1TU 4A00 0002</t>
  </si>
  <si>
    <t>C1TU 4A00 00D5</t>
  </si>
  <si>
    <t>C1TU 4A00 D105</t>
  </si>
  <si>
    <t>C1TU 4B00 0001</t>
  </si>
  <si>
    <t>C1TU 4B00 PROD</t>
  </si>
  <si>
    <t>C1TU 4B00 0002</t>
  </si>
  <si>
    <t>C1TU 4B00 00D5</t>
  </si>
  <si>
    <t>C1TU 5A00 0001</t>
  </si>
  <si>
    <t>C1TU 5A00 PROD</t>
  </si>
  <si>
    <t>C1TU 5A00 0002</t>
  </si>
  <si>
    <t>C1TU 5A00 00D5</t>
  </si>
  <si>
    <t>C1TU 5B00 0001</t>
  </si>
  <si>
    <t>C1TU 5B00 PROD</t>
  </si>
  <si>
    <t>C1TU 5B00 0002</t>
  </si>
  <si>
    <t>C1TU 5B00 00D5</t>
  </si>
  <si>
    <t>C1TU 5B00 00D7</t>
  </si>
  <si>
    <t>C1TU 5B00 00D8</t>
  </si>
  <si>
    <t>C1TU 5B00 00D9</t>
  </si>
  <si>
    <t>C1TU 5B00 ELAN</t>
  </si>
  <si>
    <t>C1TU 6A00 0001</t>
  </si>
  <si>
    <t>C1TU 6A00 PROD</t>
  </si>
  <si>
    <t>C1TU 6A00 0002</t>
  </si>
  <si>
    <t>C1TU 6A00 00D5</t>
  </si>
  <si>
    <t>C1TU 6A00 0D01</t>
  </si>
  <si>
    <t>C1TU 6A00 D032</t>
  </si>
  <si>
    <t>C1TU 6B00 0001</t>
  </si>
  <si>
    <t>C1TU 6B00 PROD</t>
  </si>
  <si>
    <t>C1TU 6B00 0002</t>
  </si>
  <si>
    <t>C1TU 6B00 00D5</t>
  </si>
  <si>
    <t>C1TU 7B00 0001</t>
  </si>
  <si>
    <t>C1TU 7B00 PROD</t>
  </si>
  <si>
    <t>C1TU 7B00 0002</t>
  </si>
  <si>
    <t>C1TU 7B00 00D5</t>
  </si>
  <si>
    <t>C1TU 8A00 0001</t>
  </si>
  <si>
    <t>C1TU 8A00 PROD</t>
  </si>
  <si>
    <t>C1TU 8A00 0002</t>
  </si>
  <si>
    <t>C1TU 8A00 00D5</t>
  </si>
  <si>
    <t>C1TU 8B00 0001</t>
  </si>
  <si>
    <t>C1TU 8B00 PROD</t>
  </si>
  <si>
    <t>C1TU 8B00 0002</t>
  </si>
  <si>
    <t>C1TU 8B00 00D5</t>
  </si>
  <si>
    <t>C4RO 0A00 BOBB</t>
  </si>
  <si>
    <t>C4RO 0A00 PROD</t>
  </si>
  <si>
    <t>PUFI TORA T300 1KA</t>
  </si>
  <si>
    <t>PURE SOLV BMI5250</t>
  </si>
  <si>
    <t>CLEA LCA3 1540</t>
  </si>
  <si>
    <t>CLEA LCA3 PROD</t>
  </si>
  <si>
    <t>CLEA LCA3 1575</t>
  </si>
  <si>
    <t>CLEA LCA3 1665</t>
  </si>
  <si>
    <t>CLEA LCA3 1765</t>
  </si>
  <si>
    <t>CLEA LCA3 2102</t>
  </si>
  <si>
    <t>CLEA LCA3 5560</t>
  </si>
  <si>
    <t>CLEA LCA3 D608</t>
  </si>
  <si>
    <t>CLEA LCA3 D833</t>
  </si>
  <si>
    <t>CPRO 10A0 0002</t>
  </si>
  <si>
    <t>CPRO 10A0 PROD</t>
  </si>
  <si>
    <t>CPRO 12A0 0002</t>
  </si>
  <si>
    <t>CPRO 12A0 PROD</t>
  </si>
  <si>
    <t>CPRO 6A00 0002</t>
  </si>
  <si>
    <t>CPRO 6A00 PROD</t>
  </si>
  <si>
    <t>D1RE 54A0 PROD</t>
  </si>
  <si>
    <t>G1RO 0AA0 0440</t>
  </si>
  <si>
    <t>G1RO 0AA0 PROD</t>
  </si>
  <si>
    <t>PUFI STGO QS1318</t>
  </si>
  <si>
    <t>GTPV PK11 0190</t>
  </si>
  <si>
    <t>GTPV PK11 PROD</t>
  </si>
  <si>
    <t>GTPV PK11 0210</t>
  </si>
  <si>
    <t>GTPV PK11 0220</t>
  </si>
  <si>
    <t>GTPV PK11 0230</t>
  </si>
  <si>
    <t>GTPV PK11 0250</t>
  </si>
  <si>
    <t>GTPV PK11 0280</t>
  </si>
  <si>
    <t>GTPV PK11 0300</t>
  </si>
  <si>
    <t>GTPV PK11 0320</t>
  </si>
  <si>
    <t>GTPV PK11 0340</t>
  </si>
  <si>
    <t>GTPV PK11 0360</t>
  </si>
  <si>
    <t>GTPV PK11 0380</t>
  </si>
  <si>
    <t>GTPV PK11 0460</t>
  </si>
  <si>
    <t>GTPV PK11 1629</t>
  </si>
  <si>
    <t>GTPV PK11 1774</t>
  </si>
  <si>
    <t>GTPV PK11 1811</t>
  </si>
  <si>
    <t>GTPV PK11 1829</t>
  </si>
  <si>
    <t>GTPV PK11 1846</t>
  </si>
  <si>
    <t>GTPV PK11 1929</t>
  </si>
  <si>
    <t>GTPV PK11 1974</t>
  </si>
  <si>
    <t>GTPV PK11 2046</t>
  </si>
  <si>
    <t>GTPV PK11 2074</t>
  </si>
  <si>
    <t>GTPV PK11 2211</t>
  </si>
  <si>
    <t>GTPV PK11 2691</t>
  </si>
  <si>
    <t>GTPV PK11 2874</t>
  </si>
  <si>
    <t>GTPV PK11 3346</t>
  </si>
  <si>
    <t>GTPV PK11 3361</t>
  </si>
  <si>
    <t>GTPV PK11 3474</t>
  </si>
  <si>
    <t>H1RE 3B00 0001</t>
  </si>
  <si>
    <t>H1RE 3B00 PROD</t>
  </si>
  <si>
    <t>H1RE 3B00 0002</t>
  </si>
  <si>
    <t>PUFI TORA M46J 12K</t>
  </si>
  <si>
    <t>PUFI TORA M46J 6K</t>
  </si>
  <si>
    <t>H1RE 4B00 0001</t>
  </si>
  <si>
    <t>H1RE 4B00 PROD</t>
  </si>
  <si>
    <t>H1RE 4B00 0002</t>
  </si>
  <si>
    <t>H1RE 4B00 00D5</t>
  </si>
  <si>
    <t>H1RE 4B00 01D4</t>
  </si>
  <si>
    <t>H1RE 4B00 01D6</t>
  </si>
  <si>
    <t>H1RE 6A00 0002</t>
  </si>
  <si>
    <t>H1RE 6A00 PROD</t>
  </si>
  <si>
    <t>H1RE 6C00 0004</t>
  </si>
  <si>
    <t>H1RE 6C00 PROD</t>
  </si>
  <si>
    <t>H1RE 7A00 0002</t>
  </si>
  <si>
    <t>H1RE 7A00 PROD</t>
  </si>
  <si>
    <t>H1RE 8B00 0001</t>
  </si>
  <si>
    <t>H1RE 8B00 PROD</t>
  </si>
  <si>
    <t>H1RE 8B00 0002</t>
  </si>
  <si>
    <t>H1RE 8B00 00D5</t>
  </si>
  <si>
    <t>H1RO 0A00 0440</t>
  </si>
  <si>
    <t>H1RO 0A00 PROD</t>
  </si>
  <si>
    <t>PUFI SINO HS4C8</t>
  </si>
  <si>
    <t>H1RO 1D00 0001</t>
  </si>
  <si>
    <t>H1RO 1D00 PROD</t>
  </si>
  <si>
    <t>H1RO 1D00 0002</t>
  </si>
  <si>
    <t>H1RO 2A00 0001</t>
  </si>
  <si>
    <t>H1RO 2A00 PROD</t>
  </si>
  <si>
    <t>H1RO 2A00 0002</t>
  </si>
  <si>
    <t>I1RO 2A00 PROD</t>
  </si>
  <si>
    <t>PUFI TEIJ IMS65</t>
  </si>
  <si>
    <t>la15001028IRISK</t>
  </si>
  <si>
    <t>LA15005014</t>
  </si>
  <si>
    <t>LA15010014</t>
  </si>
  <si>
    <t>M1RE 10A0 0001</t>
  </si>
  <si>
    <t>M1RE 10A0 PROD</t>
  </si>
  <si>
    <t>PUFI MITS MR70 12K</t>
  </si>
  <si>
    <t>PCS</t>
  </si>
  <si>
    <t>U1RO 2A00 PROD</t>
  </si>
  <si>
    <t>PUFI TEIJ UMS40</t>
  </si>
  <si>
    <t>Total</t>
  </si>
  <si>
    <t>Flushing principle</t>
  </si>
  <si>
    <t>Line type</t>
  </si>
  <si>
    <t>Variable scrap</t>
  </si>
  <si>
    <t>Vendor account</t>
  </si>
  <si>
    <t>Finish</t>
  </si>
  <si>
    <t>Item</t>
  </si>
  <si>
    <t>Price</t>
  </si>
  <si>
    <t>A1RO 0A00 BOBB</t>
  </si>
  <si>
    <t>BOBBIN</t>
  </si>
  <si>
    <t>C1EL 8A00 0002</t>
  </si>
  <si>
    <t>C1HR 0A00 CUST</t>
  </si>
  <si>
    <t>C1HR 0B00 CUST</t>
  </si>
  <si>
    <t>C1HR 1A00 CUST</t>
  </si>
  <si>
    <t>C1HR 1B00 CUST</t>
  </si>
  <si>
    <t>C1HR 2A00 CUST</t>
  </si>
  <si>
    <t>C1HR 2B00 CUST</t>
  </si>
  <si>
    <t>C1RE 10A0 CUST</t>
  </si>
  <si>
    <t>C1RE 16A0 CUST</t>
  </si>
  <si>
    <t>C1RE 1A00 CUST</t>
  </si>
  <si>
    <t>C1RE 1B00 CUST</t>
  </si>
  <si>
    <t>C1RE 20A0 CUST</t>
  </si>
  <si>
    <t>C1RE 20B0 CUST</t>
  </si>
  <si>
    <t>C1RE 2A00 CUST</t>
  </si>
  <si>
    <t>C1RE 2B00 CUST</t>
  </si>
  <si>
    <t>C1RE 3A00 CUST</t>
  </si>
  <si>
    <t>C1RE 3B00 CUST</t>
  </si>
  <si>
    <t>C1RE 3C00 CUST</t>
  </si>
  <si>
    <t>C1RE 3D00 CUST</t>
  </si>
  <si>
    <t>C1RE 40A0 CUST</t>
  </si>
  <si>
    <t>C1RE 4A00 CUST</t>
  </si>
  <si>
    <t>C1RE 4B00 CUST</t>
  </si>
  <si>
    <t>C1RE 50A0 CUST</t>
  </si>
  <si>
    <t>C1RE 50B0 CUST</t>
  </si>
  <si>
    <t>C1RE 50C0 0001</t>
  </si>
  <si>
    <t>C1RE 50C0 0200</t>
  </si>
  <si>
    <t>C1RE 54A0 CUST</t>
  </si>
  <si>
    <t>C1RE 5A00 CUST</t>
  </si>
  <si>
    <t>C1RE 6A00 CUST</t>
  </si>
  <si>
    <t>C1RE 6B00 CUST</t>
  </si>
  <si>
    <t>C1RE 7A00 CUST</t>
  </si>
  <si>
    <t>C1RE 8A00 CUST</t>
  </si>
  <si>
    <t>C1RE 8B00 CUST</t>
  </si>
  <si>
    <t>C1RE 90A0 CUST</t>
  </si>
  <si>
    <t>C1RO 0A00 BOBB</t>
  </si>
  <si>
    <t>C1RO 0A00 CUST</t>
  </si>
  <si>
    <t>C1RO 0B00 CUST</t>
  </si>
  <si>
    <t>C1RO 0C00 CUST</t>
  </si>
  <si>
    <t>C1RO 0D00 CUST</t>
  </si>
  <si>
    <t>C1RO 10A0 CUST</t>
  </si>
  <si>
    <t>C1RO 11A0 CUST</t>
  </si>
  <si>
    <t>C1RO 12A0 CUST</t>
  </si>
  <si>
    <t>C1RO 14A0 CUST</t>
  </si>
  <si>
    <t>C1RO 1A00 BOBB</t>
  </si>
  <si>
    <t>C1RO 1A00 CUST</t>
  </si>
  <si>
    <t>C1RO 1B00 CUST</t>
  </si>
  <si>
    <t>C1RO 1C00 CUST</t>
  </si>
  <si>
    <t>C1RO 1D00 BOBB</t>
  </si>
  <si>
    <t>C1RO 1D00 CUST</t>
  </si>
  <si>
    <t>C1RO 1E00 CUST</t>
  </si>
  <si>
    <t>C1RO 1F00 CUST</t>
  </si>
  <si>
    <t>C1RO 2A00 CUST</t>
  </si>
  <si>
    <t>C1RO 2B00 CUST</t>
  </si>
  <si>
    <t>C1RO 2BTE CUST</t>
  </si>
  <si>
    <t>C1RO 3A00 CUST</t>
  </si>
  <si>
    <t>C1RO 4A00 CUST</t>
  </si>
  <si>
    <t>C1RO 5A00 CUST</t>
  </si>
  <si>
    <t>C1RO 6A00 CUST</t>
  </si>
  <si>
    <t>C1RO 7A00 CUST</t>
  </si>
  <si>
    <t>C1RO 8A00 CUST</t>
  </si>
  <si>
    <t>C1ST 1A00 CUST</t>
  </si>
  <si>
    <t>C1ST 1B00 CUST</t>
  </si>
  <si>
    <t>C1ST 2A00 CUST</t>
  </si>
  <si>
    <t>C1ST 3A00 CUST</t>
  </si>
  <si>
    <t>C1TE 1A00 CUST</t>
  </si>
  <si>
    <t>C1TE 3A00 CUST</t>
  </si>
  <si>
    <t>C1TE 3B00 CUST</t>
  </si>
  <si>
    <t>C1TS 4A00 CUST</t>
  </si>
  <si>
    <t>C1TS 6A00 CUST</t>
  </si>
  <si>
    <t>C1TS 8A00 CUST</t>
  </si>
  <si>
    <t>C1TU 0A00 CUST</t>
  </si>
  <si>
    <t>C1TU 10B0 CUST</t>
  </si>
  <si>
    <t>C1TU 12B0 CUST</t>
  </si>
  <si>
    <t>C1TU 1A00 CUST</t>
  </si>
  <si>
    <t>C1TU 1B00 CUST</t>
  </si>
  <si>
    <t>C1TU 1B00 D00085</t>
  </si>
  <si>
    <t>C1TU 1C00 D0003</t>
  </si>
  <si>
    <t>C1TU 1C00 D0006</t>
  </si>
  <si>
    <t>C1TU 1C00 D0007</t>
  </si>
  <si>
    <t>C1TU 1C00 D00085</t>
  </si>
  <si>
    <t>C1TU 2A00 CUST</t>
  </si>
  <si>
    <t>C1TU 2B00 CUST</t>
  </si>
  <si>
    <t>C1TU 3A00 CUST</t>
  </si>
  <si>
    <t>C1TU 4A00 CUST</t>
  </si>
  <si>
    <t>C1TU 4B00 CUST</t>
  </si>
  <si>
    <t>C1TU 5A00 CUST</t>
  </si>
  <si>
    <t>C1TU 5B00 CUST</t>
  </si>
  <si>
    <t>C1TU 6A00 CUST</t>
  </si>
  <si>
    <t>C1TU 6B00 CUST</t>
  </si>
  <si>
    <t>C1TU 7B00 CUST</t>
  </si>
  <si>
    <t>C1TU 8A00 CUST</t>
  </si>
  <si>
    <t>C1TU 8B00 CUST</t>
  </si>
  <si>
    <t>C4RO 0A00 CUST</t>
  </si>
  <si>
    <t>CLEA LCA3 CUST</t>
  </si>
  <si>
    <t>CPRO 12A0 CUST</t>
  </si>
  <si>
    <t>CustProd</t>
  </si>
  <si>
    <t>D1RE 54A0 CUST</t>
  </si>
  <si>
    <t>D1RE 90A0 CUST</t>
  </si>
  <si>
    <t>DESKRESEARCH</t>
  </si>
  <si>
    <t>G1RO 0AA0 BOBB</t>
  </si>
  <si>
    <t>G2RO 1G00 0001</t>
  </si>
  <si>
    <t>G2RO 1G01 02d5</t>
  </si>
  <si>
    <t>G2RO 1G02 02d5</t>
  </si>
  <si>
    <t>G2RO 1H00 0001</t>
  </si>
  <si>
    <t>G2RO 1H00 0250</t>
  </si>
  <si>
    <t>G2RO 2B00 0001</t>
  </si>
  <si>
    <t>G2RO 2B01 02d5</t>
  </si>
  <si>
    <t>G2RO 2B02 02d5</t>
  </si>
  <si>
    <t>G2RO 3A00 0001</t>
  </si>
  <si>
    <t>G2RO 3A00 0003</t>
  </si>
  <si>
    <t>G2RO 3A01 0003</t>
  </si>
  <si>
    <t>G2RO 3A02 0003</t>
  </si>
  <si>
    <t>G3RO 1G00 0001</t>
  </si>
  <si>
    <t>G3RO 1G01 02d5</t>
  </si>
  <si>
    <t>G3RO 1G02 02d5</t>
  </si>
  <si>
    <t>G3RO 1H01 0001</t>
  </si>
  <si>
    <t>G3RO 2B00 0001</t>
  </si>
  <si>
    <t>G3RO 2B01 02d5</t>
  </si>
  <si>
    <t>G3RO 2B02 02d5</t>
  </si>
  <si>
    <t>GTPV PK11 CUST</t>
  </si>
  <si>
    <t>H1RE 3B00 CUST</t>
  </si>
  <si>
    <t>H1RE 4B00 CUST</t>
  </si>
  <si>
    <t>H1RE 6A00 CUST</t>
  </si>
  <si>
    <t>H1RE 6C00 CUST</t>
  </si>
  <si>
    <t>H1RE 7A00 CUST</t>
  </si>
  <si>
    <t>H1RE 8B00 CUST</t>
  </si>
  <si>
    <t>H1RO 0A00 BOBB</t>
  </si>
  <si>
    <t>H1RO 0C00 0001</t>
  </si>
  <si>
    <t>H1RO 0C00 0002</t>
  </si>
  <si>
    <t>H1RO 1D00 CUST</t>
  </si>
  <si>
    <t>H1RO 2A00 CUST</t>
  </si>
  <si>
    <t>HANDLING</t>
  </si>
  <si>
    <t>I1RO 2A00 CUST</t>
  </si>
  <si>
    <t>LA15001028</t>
  </si>
  <si>
    <t>LAB/OH-DPP-ADD</t>
  </si>
  <si>
    <t>MACHINEPROD</t>
  </si>
  <si>
    <t>MACHINETESTHR</t>
  </si>
  <si>
    <t>KG</t>
  </si>
  <si>
    <t>PUAD NZIR MICA</t>
  </si>
  <si>
    <t>PUAD NZIR PALO</t>
  </si>
  <si>
    <t>PUAD RG PIGMW</t>
  </si>
  <si>
    <t>PUAD SIGM BARIUM</t>
  </si>
  <si>
    <t>PUAD TREI YBF3</t>
  </si>
  <si>
    <t>PUFI NEG HYBON2001</t>
  </si>
  <si>
    <t>PUFI SINO HS4C9</t>
  </si>
  <si>
    <t>PUFI SINO HS4C9276</t>
  </si>
  <si>
    <t>PUFI TEIJ</t>
  </si>
  <si>
    <t>PUFI TEIJ STS40 24K</t>
  </si>
  <si>
    <t>PUFI TEIJ STS40 48K</t>
  </si>
  <si>
    <t>PUFI TORA M60 3K</t>
  </si>
  <si>
    <t>PUFI TORA M60 6K</t>
  </si>
  <si>
    <t>PUFI TORA T1000 12K</t>
  </si>
  <si>
    <t>PUFI TORA T800 24K</t>
  </si>
  <si>
    <t>PURE ARKE ELIUM591</t>
  </si>
  <si>
    <t>PURE ARKE ELIUM595</t>
  </si>
  <si>
    <t>PURE BREN EPIKOTE828</t>
  </si>
  <si>
    <t>PURE MCTE XB3486</t>
  </si>
  <si>
    <t>PURE MCTE XB3585</t>
  </si>
  <si>
    <t>PURE VIBA DY070</t>
  </si>
  <si>
    <t>PURE VIBA HY917</t>
  </si>
  <si>
    <t>PURE VIBA LY1556</t>
  </si>
  <si>
    <t>STARTOFF</t>
  </si>
  <si>
    <t>TENSILETEST</t>
  </si>
  <si>
    <t>TOOLING</t>
  </si>
  <si>
    <t>U1RO 2A00 CUST</t>
  </si>
  <si>
    <t>VERDIE0625</t>
  </si>
  <si>
    <t>VERDIE0626</t>
  </si>
  <si>
    <t>VERDIE0627</t>
  </si>
  <si>
    <t>VERDIE0628</t>
  </si>
  <si>
    <t>VERDIE0629</t>
  </si>
  <si>
    <t>VERDIE0630</t>
  </si>
  <si>
    <t>VERDIE0631</t>
  </si>
  <si>
    <t>VERDIE0632</t>
  </si>
  <si>
    <t>VERDIE0633</t>
  </si>
  <si>
    <t>VERDIE0634</t>
  </si>
  <si>
    <t>VERDIE0637</t>
  </si>
  <si>
    <t>VERDIE0638</t>
  </si>
  <si>
    <t>VERDIE0642</t>
  </si>
  <si>
    <t>VERDIE0643</t>
  </si>
  <si>
    <t>VERDIE0645</t>
  </si>
  <si>
    <t>VERDIE0646</t>
  </si>
  <si>
    <t>VERDIE0647</t>
  </si>
  <si>
    <t>VERDIE0648</t>
  </si>
  <si>
    <t>VERDIE0649</t>
  </si>
  <si>
    <t>VERDIE0650</t>
  </si>
  <si>
    <t>VERDIE0652</t>
  </si>
  <si>
    <t>VKCOATING</t>
  </si>
  <si>
    <t>Unit conversion</t>
  </si>
  <si>
    <t>From unit</t>
  </si>
  <si>
    <t>Factor</t>
  </si>
  <si>
    <t>Additional quantity</t>
  </si>
  <si>
    <t>To unit</t>
  </si>
  <si>
    <t>Round-off</t>
  </si>
  <si>
    <t>Round off</t>
  </si>
  <si>
    <t>Ton</t>
  </si>
  <si>
    <t>MG</t>
  </si>
  <si>
    <t>SET</t>
  </si>
  <si>
    <t>BATCH</t>
  </si>
  <si>
    <t>C1TS 6A00 Test</t>
  </si>
  <si>
    <t>test</t>
  </si>
  <si>
    <t>Roll</t>
  </si>
  <si>
    <t>FACAPEX001</t>
  </si>
  <si>
    <t>Item details_Inventory</t>
  </si>
  <si>
    <t>Item name</t>
  </si>
  <si>
    <t>Item group</t>
  </si>
  <si>
    <t>Item type</t>
  </si>
  <si>
    <t>Aramid fiber rod D0.28</t>
  </si>
  <si>
    <t>Product</t>
  </si>
  <si>
    <t>Component</t>
  </si>
  <si>
    <t>Bobbin costs</t>
  </si>
  <si>
    <t>Services</t>
  </si>
  <si>
    <t>Service</t>
  </si>
  <si>
    <t>Carbon ellipse rod 8x5.65-100cm</t>
  </si>
  <si>
    <t>Carbon ellipse rod 8x5.65-200cm</t>
  </si>
  <si>
    <t>Carbon ellipse rod 8x5.65</t>
  </si>
  <si>
    <t>Carbon halfround rod R0.70-100cm</t>
  </si>
  <si>
    <t>Carbon halfround rod R0.70-200cm</t>
  </si>
  <si>
    <t>Carbon halfround rod R0.70</t>
  </si>
  <si>
    <t>Carbon halfround rod R0.80-100cm</t>
  </si>
  <si>
    <t>Carbon halfround rod R0.80-200cm</t>
  </si>
  <si>
    <t>Carbon halfround rod R0.80</t>
  </si>
  <si>
    <t>Carbon halfround rod R0.90-100cm</t>
  </si>
  <si>
    <t>Carbon halfround rod R0.90-200cm</t>
  </si>
  <si>
    <t>Carbon halfround rod R0.90-50cm</t>
  </si>
  <si>
    <t>Carbon halfround rod R0.90</t>
  </si>
  <si>
    <t>Carbon halfround rod R1-100cm</t>
  </si>
  <si>
    <t>Carbon halfround rod R1-200cm</t>
  </si>
  <si>
    <t>Carbon halfround rod R1</t>
  </si>
  <si>
    <t>Carbon halfround rod R1.50-100cm</t>
  </si>
  <si>
    <t>Carbon halfround rod R1.50-200cm</t>
  </si>
  <si>
    <t>Carbon halfround rod R1.50-50cm</t>
  </si>
  <si>
    <t>Carbon halfround rod R1.50</t>
  </si>
  <si>
    <t>Carbon halfround rod R2-100cm</t>
  </si>
  <si>
    <t>Carbon halfround rod R2-200cm</t>
  </si>
  <si>
    <t>Carbon halfround rod R2-50cm</t>
  </si>
  <si>
    <t>Carbon halfround rod R2</t>
  </si>
  <si>
    <t>Carbon halfround rod R2.50-100cm</t>
  </si>
  <si>
    <t>Carbon halfround rod R2.50-200cm</t>
  </si>
  <si>
    <t>Carbon halfround rod R2.50-50cm</t>
  </si>
  <si>
    <t>Carbon halfround rod R2.50</t>
  </si>
  <si>
    <t>Carbon rectangular rod 10x1-100cm</t>
  </si>
  <si>
    <t>Carbon rectangular rod 10x1-200cm</t>
  </si>
  <si>
    <t>Carbon rectangular rod 10x1-50cm</t>
  </si>
  <si>
    <t>Carbon rectangular rod 10x1</t>
  </si>
  <si>
    <t>Carbon rectangular rod 16x2-100cm</t>
  </si>
  <si>
    <t>Carbon rectangular rod 16x2-200cm</t>
  </si>
  <si>
    <t>Carbon rectangular rod 16x2-400cm</t>
  </si>
  <si>
    <t>Carbon rectangular rod 16x2-50cm</t>
  </si>
  <si>
    <t>Carbon rectangular rod 16x2</t>
  </si>
  <si>
    <t>Carbon rectangular rod 1x0.40-100cm</t>
  </si>
  <si>
    <t>Carbon rectangular rod 1x0.40-200cm</t>
  </si>
  <si>
    <t>Carbon rectangular rod 1x0.40-50cm</t>
  </si>
  <si>
    <t>Carbon rectangular rod 1x0.40</t>
  </si>
  <si>
    <t>Carbon rectangular rod 1.40x1.40-100cm</t>
  </si>
  <si>
    <t>Carbon rectangular rod 1.40x1.40-200cm</t>
  </si>
  <si>
    <t>Carbon rectangular rod 1.40x1.40-50cm</t>
  </si>
  <si>
    <t>Carbon rectangular rod 1.40x1.40-150cm</t>
  </si>
  <si>
    <t>Carbon rectangular rod 1.40x1.40</t>
  </si>
  <si>
    <t>Carbon rectangular rod 20x0.50-100cm</t>
  </si>
  <si>
    <t>Carbon rectangular rod 20x0.50-200cm</t>
  </si>
  <si>
    <t>Carbon rectangular rod 20x0.50-300cm</t>
  </si>
  <si>
    <t>Carbon rectangular rod 20x0.50-50cm</t>
  </si>
  <si>
    <t>Carbon rectangular rod 20x0.50</t>
  </si>
  <si>
    <t>Carbon rectangular rod 20x1-100cm</t>
  </si>
  <si>
    <t>Carbon rectangular rod 20x1-200cm</t>
  </si>
  <si>
    <t>Carbon rectangular rod 20x1</t>
  </si>
  <si>
    <t>Carbon rectangular rod 2x0.40-100cm</t>
  </si>
  <si>
    <t>Carbon rectangular rod 2x0.40-200cm</t>
  </si>
  <si>
    <t>Carbon rectangular rod 2x0.40-50cm</t>
  </si>
  <si>
    <t>Carbon rectangular rod 2x0.40</t>
  </si>
  <si>
    <t>Carbon rectangular rod 2x0.80-100cm</t>
  </si>
  <si>
    <t>Carbon rectangular rod 2x0.80-200cm</t>
  </si>
  <si>
    <t>Carbon rectangular rod 2x0.80-50cm</t>
  </si>
  <si>
    <t>Carbon rectangular rod 2x0.80</t>
  </si>
  <si>
    <t>Carbon rectangular rod 3x0.40-100cm</t>
  </si>
  <si>
    <t>Carbon rectangular rod 3x0.40-200cm</t>
  </si>
  <si>
    <t>Carbon rectangular rod 3x0.40-50cm</t>
  </si>
  <si>
    <t>Carbon rectangular rod 3x0.40</t>
  </si>
  <si>
    <t>Carbon rectangular rod 3x0.60-100cm</t>
  </si>
  <si>
    <t>Carbon rectangular rod 3x0.60-200cm</t>
  </si>
  <si>
    <t>Carbon rectangular rod 3x0.60-50cm</t>
  </si>
  <si>
    <t>Carbon rectangular rod 3x0.60</t>
  </si>
  <si>
    <t>Carbon rectangular rod 3x0.80-100cm</t>
  </si>
  <si>
    <t>Carbon rectangular rod 3x0.80-200cm</t>
  </si>
  <si>
    <t>Carbon rectangular rod 3x0.80-50cm</t>
  </si>
  <si>
    <t>Carbon rectangular rod 3x0.80</t>
  </si>
  <si>
    <t>Carbon rectangular rod 3x1-100cm</t>
  </si>
  <si>
    <t>Carbon rectangular rod 3x1-200cm</t>
  </si>
  <si>
    <t>Carbon rectangular rod 3x1-50cm</t>
  </si>
  <si>
    <t>Carbon rectangular rod 3x1</t>
  </si>
  <si>
    <t>Carbon rectangular rod 40x0.50-100cm</t>
  </si>
  <si>
    <t>Carbon rectangular rod 40x0.50-200cm</t>
  </si>
  <si>
    <t>Carbon rectangular rod 40x0.50-50cm</t>
  </si>
  <si>
    <t>Carbon rectangular rod 40x0.50</t>
  </si>
  <si>
    <t>Carbon rectangular rod 4x0.60-100cm</t>
  </si>
  <si>
    <t>Carbon rectangular rod 4x0.60-200cm</t>
  </si>
  <si>
    <t>Carbon rectangular rod 4x0.60-50cm</t>
  </si>
  <si>
    <t>Carbon rectangular rod 4x0.60</t>
  </si>
  <si>
    <t>Carbon rectangular rod 4x1.10-100cm</t>
  </si>
  <si>
    <t>Carbon rectangular rod 4x1.10-200cm</t>
  </si>
  <si>
    <t>Carbon rectangular rod 4x1.10-50cm</t>
  </si>
  <si>
    <t>Carbon rectangular rod 4x1.10</t>
  </si>
  <si>
    <t>Carbon rectangular rod 50x2-100cm</t>
  </si>
  <si>
    <t>Carbon rectangular rod 50x2-200cm</t>
  </si>
  <si>
    <t>Carbon rectangular rod 50x2</t>
  </si>
  <si>
    <t>Carbon rectangular rod 50x1.4</t>
  </si>
  <si>
    <t>Carbon rectangular rod 50x1-100cm</t>
  </si>
  <si>
    <t>Carbon rectangular rod 50x1-200cm</t>
  </si>
  <si>
    <t>Carbon rectangular sheet 54x1</t>
  </si>
  <si>
    <t>Carbon rectangular rod 5x1 -100cm</t>
  </si>
  <si>
    <t>Carbon rectangular rod 5x1 -200cm</t>
  </si>
  <si>
    <t>Carbon rectangular rod 5x1-121,5mm</t>
  </si>
  <si>
    <t>Carbon rectangular rod 5x1</t>
  </si>
  <si>
    <t>Carbon rectangular rod 6x0.60-100cm</t>
  </si>
  <si>
    <t>Carbon rectangular rod 6x0.60-200cm</t>
  </si>
  <si>
    <t>Carbon rectangular rod 6x0.60-300cm</t>
  </si>
  <si>
    <t>Carbon rectangular rod 6x0.60-50cm</t>
  </si>
  <si>
    <t>Carbon rectangular rod 6x0.60</t>
  </si>
  <si>
    <t>Carbon rectangular rod 6x0.80-100cm</t>
  </si>
  <si>
    <t>Carbon rectangular rod 6x0.80-200cm</t>
  </si>
  <si>
    <t>Carbon rectangular rod 6x0.80-50cm</t>
  </si>
  <si>
    <t>Carbon rectangular rod 6x0.80</t>
  </si>
  <si>
    <t>Carbon rectangular rod 7x0.30-100cm</t>
  </si>
  <si>
    <t>Carbon rectangular rod 7x0.30-200cm</t>
  </si>
  <si>
    <t>Carbon rectangular rod 7x0.30</t>
  </si>
  <si>
    <t>Carbon rectangular rod 8x0.80-100cm</t>
  </si>
  <si>
    <t>Carbon rectangular rod 8x0.80-200cm</t>
  </si>
  <si>
    <t>Carbon rectangular rod 8x0.80-400cm</t>
  </si>
  <si>
    <t>Carbon rectangular rod 8x0.80-50cm</t>
  </si>
  <si>
    <t>Carbon rectangular rod 8x0.80</t>
  </si>
  <si>
    <t>Carbon rectangular rod 8x1.20-100cm</t>
  </si>
  <si>
    <t>Carbon rectangular rod 8x1.20-200cm</t>
  </si>
  <si>
    <t>Carbon rectangular rod 8x1.20-600cm</t>
  </si>
  <si>
    <t>Carbon rectangular rod 8x1.20</t>
  </si>
  <si>
    <t>Carbon rectangular rod 90x1-100cm</t>
  </si>
  <si>
    <t>Carbon rectangular rod 90x1-200cm</t>
  </si>
  <si>
    <t>Carbon rectangular rod 90x1</t>
  </si>
  <si>
    <t>Carbon round solid rod D0.28-100cm</t>
  </si>
  <si>
    <t>Carbon round solid rod D0.28-200cm</t>
  </si>
  <si>
    <t>Carbon round solid rod D0.28-50cm</t>
  </si>
  <si>
    <t>Carbon round solid rod D0.28</t>
  </si>
  <si>
    <t>Carbon round solid rod D0.50-100cm</t>
  </si>
  <si>
    <t>Carbon round solid rod D0.50-200cm</t>
  </si>
  <si>
    <t>Carbon round solid rod D0.50-50cm</t>
  </si>
  <si>
    <t>Carbon round solid rod D0.50</t>
  </si>
  <si>
    <t>Carbon round solid rod D0.70-100cm</t>
  </si>
  <si>
    <t>Carbon round solid rod D0.70-200cm</t>
  </si>
  <si>
    <t>Carbon round solid rod D0.70-50cm</t>
  </si>
  <si>
    <t>Carbon round solid rod D0.70</t>
  </si>
  <si>
    <t>Carbon round solid rod D0.85-100cm</t>
  </si>
  <si>
    <t>Carbon round solid rod D0.85-200cm</t>
  </si>
  <si>
    <t>Carbon round solid rod D0.85-50cm</t>
  </si>
  <si>
    <t>Carbon round solid rod D0.85</t>
  </si>
  <si>
    <t>Carbon round solid rod D10-100cm</t>
  </si>
  <si>
    <t>Carbon round solid rod D10-200cm</t>
  </si>
  <si>
    <t>Carbon round solid rod D10-50cm</t>
  </si>
  <si>
    <t>Carbon round solid rod D10</t>
  </si>
  <si>
    <t>Carbon round solid rod D11-100cm</t>
  </si>
  <si>
    <t>Carbon round solid rod D11-50cm</t>
  </si>
  <si>
    <t>Carbon round solid rod D11</t>
  </si>
  <si>
    <t>Carbon round solid rod D12-100cm</t>
  </si>
  <si>
    <t>Carbon round solid rod D12-200cm</t>
  </si>
  <si>
    <t>Carbon round solid rod D12-500cm</t>
  </si>
  <si>
    <t>Carbon round solid rod D12-50cm</t>
  </si>
  <si>
    <t>Carbon round solid rod D12</t>
  </si>
  <si>
    <t>Carbon round solid rod D14-100cm</t>
  </si>
  <si>
    <t>Carbon round solid rod D14-200cm</t>
  </si>
  <si>
    <t>Carbon round solid rod D14-600cm</t>
  </si>
  <si>
    <t>Carbon round solid rod D14</t>
  </si>
  <si>
    <t>Carbon round solid rod D1-100cm</t>
  </si>
  <si>
    <t>Carbon round solid rod D1-200cm</t>
  </si>
  <si>
    <t>Carbon round solid rod D1-50cm</t>
  </si>
  <si>
    <t>Carbon round solid rod D1</t>
  </si>
  <si>
    <t>Carbon round solid rod D1.20-100cm</t>
  </si>
  <si>
    <t>Carbon round solid rod D1.20-200cm</t>
  </si>
  <si>
    <t>Carbon round solid rod D1.20-50cm</t>
  </si>
  <si>
    <t>Carbon round solid rod D1.20</t>
  </si>
  <si>
    <t>Carbon round solid rod D1.30-100cm</t>
  </si>
  <si>
    <t>Carbon round solid rod D1.30-200cm</t>
  </si>
  <si>
    <t>Carbon round solid rod D1.30-50cm</t>
  </si>
  <si>
    <t>Carbon round solid rod D1.30</t>
  </si>
  <si>
    <t>Carbon round solid rod D1.50-100cm</t>
  </si>
  <si>
    <t>Carbon round solid rod D1.50-200cm</t>
  </si>
  <si>
    <t>Carbon round solid rod D1.50-50cm</t>
  </si>
  <si>
    <t>Carbon round solid rod D1.50</t>
  </si>
  <si>
    <t>Carbon round solid rod D1.50-3mm</t>
  </si>
  <si>
    <t>Carbon round solid rod D1.50-6mm</t>
  </si>
  <si>
    <t>Carbon/epoxy solid round rod D1.5-7mm</t>
  </si>
  <si>
    <t>Carbon round solid rod D1.50-8,5mm</t>
  </si>
  <si>
    <t>Carbon round solid rod D1.60-100cm</t>
  </si>
  <si>
    <t>Carbon round solid rod D1.60-200cm</t>
  </si>
  <si>
    <t>Carbon round solid rod D1.60-50cm</t>
  </si>
  <si>
    <t>Carbon round solid rod D1.60</t>
  </si>
  <si>
    <t>Carbon round solid rod D1.80-100cm</t>
  </si>
  <si>
    <t>Carbon round solid rod D1.80-200cm</t>
  </si>
  <si>
    <t>Carbon round solid rod D1.80-50cm</t>
  </si>
  <si>
    <t>Carbon round solid rod D1.80-250cm</t>
  </si>
  <si>
    <t>Carbon round solid rod D1.80</t>
  </si>
  <si>
    <t>Carbon round solid rod D1.80-110.5mm</t>
  </si>
  <si>
    <t>Carbon round solid rod D1.80-97.4mm</t>
  </si>
  <si>
    <t>Carbon round solid rod D1.80-98.5mm</t>
  </si>
  <si>
    <t>Carbon round solid rod D2-100cm</t>
  </si>
  <si>
    <t>Carbon round solid rod D2-200cm</t>
  </si>
  <si>
    <t>Carbon round solid rod D2-50cm</t>
  </si>
  <si>
    <t>Carbon round solid rod D2</t>
  </si>
  <si>
    <t>Carbon round solid rod D2.50-100cm</t>
  </si>
  <si>
    <t>Carbon round solid rod D2.50-200cm</t>
  </si>
  <si>
    <t>Carbon round solid rod D2.50-50cm</t>
  </si>
  <si>
    <t>Carbon round solid rod D2.50</t>
  </si>
  <si>
    <t>Carbon round solid rod D2.5-81.5mm</t>
  </si>
  <si>
    <t>Carbon round solid rod D2.5-105mm</t>
  </si>
  <si>
    <t>Carbon round solid rod D2.5-257mm</t>
  </si>
  <si>
    <t>Carbon round solid rod D2.5-261mm</t>
  </si>
  <si>
    <t>Carbon solid round rod D2.50</t>
  </si>
  <si>
    <t>Carbon solid round rod D2.50-293mm</t>
  </si>
  <si>
    <t>Carbon round solid rod D3-100cm</t>
  </si>
  <si>
    <t>Carbon round solid rod D3-200cm</t>
  </si>
  <si>
    <t>Carbon round solid rod D3-50cm</t>
  </si>
  <si>
    <t>Carbon round solid rod D3</t>
  </si>
  <si>
    <t>Carbon round solid rod D4-100cm</t>
  </si>
  <si>
    <t>Carbon round solid rod D4-200cm</t>
  </si>
  <si>
    <t>Carbon round solid rod D4-50cm</t>
  </si>
  <si>
    <t>Carbon round solid rod D4</t>
  </si>
  <si>
    <t>Carbon round solid rod D5-100cm</t>
  </si>
  <si>
    <t>Carbon round solid rod D5-200cm</t>
  </si>
  <si>
    <t>Carbon round solid rod D5-50cm</t>
  </si>
  <si>
    <t>Carbon round solid rod D5</t>
  </si>
  <si>
    <t>Carbon round solid rod D6-100cm</t>
  </si>
  <si>
    <t>Carbon round solid rod D6-200cm</t>
  </si>
  <si>
    <t>Carbon round solid rod D6-50cm</t>
  </si>
  <si>
    <t>Carbon round solid rod D6</t>
  </si>
  <si>
    <t>Carbon round solid rod D7-100cm</t>
  </si>
  <si>
    <t>Carbon round solid rod D7-200cm</t>
  </si>
  <si>
    <t>Carbon round solid rod D7-50cm</t>
  </si>
  <si>
    <t>Carbon round solid rod D7</t>
  </si>
  <si>
    <t>Carbon round solid rod D8-100cm</t>
  </si>
  <si>
    <t>Carbon round solid rod D8-200cm</t>
  </si>
  <si>
    <t>Carbon round solid rod D8-50cm</t>
  </si>
  <si>
    <t>Carbon round solid rod D8</t>
  </si>
  <si>
    <t>Carbon solid square rod D3.16x3.16mm</t>
  </si>
  <si>
    <t>Carbon square solid rod 4x4-100cm</t>
  </si>
  <si>
    <t>Carbon square solid rod 4x4-200cm</t>
  </si>
  <si>
    <t>Carbon square solid rod 4x4-50cm</t>
  </si>
  <si>
    <t>Carbon square solid rod 4x4</t>
  </si>
  <si>
    <t>Carbon square solid rod 6x6-100cm</t>
  </si>
  <si>
    <t>Carbon square solid rod 6x6-200cm</t>
  </si>
  <si>
    <t>Carbon square solid rod 6x6-50cm</t>
  </si>
  <si>
    <t>Carbon square solid rod 6x6</t>
  </si>
  <si>
    <t>Carbon square solid rod 8x8-100cm</t>
  </si>
  <si>
    <t>Carbon square solid rod 8x8-200cm</t>
  </si>
  <si>
    <t>Carbon square solid rod 8x8-50cm</t>
  </si>
  <si>
    <t>Carbon square solid rod 8x8</t>
  </si>
  <si>
    <t>Carbon micro strip 1x0.12-100cm</t>
  </si>
  <si>
    <t>Carbon micro strip 1x0.12-250m</t>
  </si>
  <si>
    <t>Carbon micro strip 1x0.12</t>
  </si>
  <si>
    <t>Carbon micro strip 1.50x0.12-100cm</t>
  </si>
  <si>
    <t>Carbon micro strip 1.50x0.12-250m</t>
  </si>
  <si>
    <t>Carbon micro strip 1.50x0.12</t>
  </si>
  <si>
    <t>Carbon micro strip 2x0.13-100cm</t>
  </si>
  <si>
    <t>Carbon micro strip 2x0.13-50cm</t>
  </si>
  <si>
    <t>Carbon micro strip 2x0.13-250m</t>
  </si>
  <si>
    <t>Carbon micro strip 2x0.13</t>
  </si>
  <si>
    <t>Carbon micro strip 3x0.13-100cm</t>
  </si>
  <si>
    <t>Carbon micro strip 3x0.13-50cm</t>
  </si>
  <si>
    <t>Carbon micro strip 3x0.13-250m</t>
  </si>
  <si>
    <t>Carbon micro strip 3x0.13</t>
  </si>
  <si>
    <t>Carbon trailing edge 1.60x0.60/0.40-100cm</t>
  </si>
  <si>
    <t>Carbon trailing edge 1.60x0.60/0.40-200cm</t>
  </si>
  <si>
    <t>Carbon trailing edge 1.60x0.60/0.40-50cm</t>
  </si>
  <si>
    <t>Carbon trailing edge 1.60x0.60/0.40</t>
  </si>
  <si>
    <t>Carbon trailing edge 3x0.70/0.50-100cm</t>
  </si>
  <si>
    <t>Carbon trailing edge 3x0.70/0.50-200cm</t>
  </si>
  <si>
    <t>Carbon trailing edge 3x0.70/0.50-50cm</t>
  </si>
  <si>
    <t>Carbon trailing edge 3x0.70/0.50</t>
  </si>
  <si>
    <t>Carbon trailing edge 3.80x0.85/0.60-100cm</t>
  </si>
  <si>
    <t>Carbon trailing edge 3.80x0.85/0.60-200cm</t>
  </si>
  <si>
    <t>Carbon trailing edge 3.80x0.85/0.60-50cm</t>
  </si>
  <si>
    <t>Carbon trailing edge 3.80x0.85/0.60</t>
  </si>
  <si>
    <t>Carbon Tube Square 4(out)x2.5(in)-100cm</t>
  </si>
  <si>
    <t>Carbon Tube Square 4(out)x2.5(in)-200cm</t>
  </si>
  <si>
    <t>Carbon Tube Square 4(out)x2.5(in)-50cm</t>
  </si>
  <si>
    <t>Carbon Tube Square 4(out)x2.5(in)</t>
  </si>
  <si>
    <t>Carbon Tube Square 6(out)x4(in)-100cm</t>
  </si>
  <si>
    <t>Carbon Tube Square 6(out)x4(in)-200cm</t>
  </si>
  <si>
    <t>Carbon Tube Square 6(out)x4(in)-50cm</t>
  </si>
  <si>
    <t>Carbon Tube Square 6(out)x4(in)</t>
  </si>
  <si>
    <t>Carbon Tube Square 8(out)x6(in)-100cm</t>
  </si>
  <si>
    <t>Carbon Tube Square 8(out)x6(in)-200cm</t>
  </si>
  <si>
    <t>Carbon Tube Square 8(out)x6(in)-50cm</t>
  </si>
  <si>
    <t>Carbon Tube Square 8(out)x6(in)</t>
  </si>
  <si>
    <t>Carbon Tube D0.70x0.30-100cm</t>
  </si>
  <si>
    <t>Carbon Tube D0.70x0.30-200cm</t>
  </si>
  <si>
    <t>Carbon Tube D0.70x0.30-50cm</t>
  </si>
  <si>
    <t>Carbon Tube D0.70x0.30</t>
  </si>
  <si>
    <t>Carbon Tube D10x8-100cm</t>
  </si>
  <si>
    <t>Carbon Tube D10x8-200cm</t>
  </si>
  <si>
    <t>Carbon Tube D10x8-50cm</t>
  </si>
  <si>
    <t>Carbon Tube D10x8</t>
  </si>
  <si>
    <t>Carbon Tube D12x10-100cm</t>
  </si>
  <si>
    <t>Carbon Tube D12x10-200cm</t>
  </si>
  <si>
    <t>Carbon Tube D12x10-50cm</t>
  </si>
  <si>
    <t>Carbon Tube D12x10</t>
  </si>
  <si>
    <t>Carbon Tube D1x0.50-100cm</t>
  </si>
  <si>
    <t>Carbon Tube D1x0.50-200cm</t>
  </si>
  <si>
    <t>Carbon Tube D1x0.50-50cm</t>
  </si>
  <si>
    <t>Carbon Tube D1x0.50</t>
  </si>
  <si>
    <t>Carbon Tube D1.50x0.70-100cm</t>
  </si>
  <si>
    <t>Carbon Tube D1.50x0.70-200cm</t>
  </si>
  <si>
    <t>Carbon Tube D1.50x0.70-50cm</t>
  </si>
  <si>
    <t>Carbon Tube D1.50x0.70</t>
  </si>
  <si>
    <t>Carbon Tube D1.50x0.70-3mm</t>
  </si>
  <si>
    <t>Carbon Tube D1.50x0.70-6mm</t>
  </si>
  <si>
    <t>Carbon tube D1.50x0.70-7mm</t>
  </si>
  <si>
    <t>Carbon Tube D1.50x0.70-8.5mm</t>
  </si>
  <si>
    <t>Carbon tube D1.50x0.30-3mm</t>
  </si>
  <si>
    <t>Carbon tube D1.50x0.30-6mm</t>
  </si>
  <si>
    <t>Carbon tube D1.50x0.30-7mm</t>
  </si>
  <si>
    <t>Carbon tube D1.50x0.30-8.5mm</t>
  </si>
  <si>
    <t>Carbon Tube D2x1-100cm</t>
  </si>
  <si>
    <t>Carbon Tube D2x1-200cm</t>
  </si>
  <si>
    <t>Carbon Tube D2x1-50cm</t>
  </si>
  <si>
    <t>Carbon Tube D2x1</t>
  </si>
  <si>
    <t>Carbon Tube D2.50x1.50-100cm</t>
  </si>
  <si>
    <t>Carbon Tube D2.50x1.50-200cm</t>
  </si>
  <si>
    <t>Carbon Tube D2.50x1.50-50cm</t>
  </si>
  <si>
    <t>Carbon Tube D2.50x1.50</t>
  </si>
  <si>
    <t>Carbon Tube D3x2-100cm</t>
  </si>
  <si>
    <t>Carbon Tube D3x2-200cm</t>
  </si>
  <si>
    <t>Carbon Tube D3x2-50cm</t>
  </si>
  <si>
    <t>Carbon Tube D3x2</t>
  </si>
  <si>
    <t>Carbon Tube D4x2.50-100cm</t>
  </si>
  <si>
    <t>Carbon Tube D4x2.50-200cm</t>
  </si>
  <si>
    <t>Carbon Tube D4x2.50-50cm</t>
  </si>
  <si>
    <t>Carbon Tube D4x2.50</t>
  </si>
  <si>
    <t>Carbon Tube D4x2.50-105mm</t>
  </si>
  <si>
    <t>Carbon Tube D4x3-100cm</t>
  </si>
  <si>
    <t>Carbon Tube D4x3-200cm</t>
  </si>
  <si>
    <t>Carbon Tube D4x3-50cm</t>
  </si>
  <si>
    <t>Carbon Tube D4x3</t>
  </si>
  <si>
    <t>Carbon Tube D5x4-100cm</t>
  </si>
  <si>
    <t>Carbon Tube D5x4-200cm</t>
  </si>
  <si>
    <t>Carbon Tube D5x4-50cm</t>
  </si>
  <si>
    <t>Carbon Tube D5x4</t>
  </si>
  <si>
    <t>Carbon Tube D5x3-100cm</t>
  </si>
  <si>
    <t>Carbon Tube D5x3-200cm</t>
  </si>
  <si>
    <t>Carbon Tube D5x3-50cm</t>
  </si>
  <si>
    <t>Carbon Tube D5x3-700mm</t>
  </si>
  <si>
    <t>Carbon Tube D5x3-800mm</t>
  </si>
  <si>
    <t>Carbon Tube D5x3-900mm</t>
  </si>
  <si>
    <t>Carbon Tube D5x3</t>
  </si>
  <si>
    <t>Carbon Tube D5x3-1000mm</t>
  </si>
  <si>
    <t>Carbon Tube D6x5-100cm</t>
  </si>
  <si>
    <t>Carbon Tube D6x5-200cm</t>
  </si>
  <si>
    <t>Carbon Tube D6x5-50cm</t>
  </si>
  <si>
    <t>Carbon Tube D6x5-10cm</t>
  </si>
  <si>
    <t>Carbon Tube D6x5</t>
  </si>
  <si>
    <t>Carbon Tube D6x5-3,2cm</t>
  </si>
  <si>
    <t>Carbon Tube D6x4-100cm</t>
  </si>
  <si>
    <t>Carbon Tube D6x4-200cm</t>
  </si>
  <si>
    <t>Carbon Tube D6x4-50cm</t>
  </si>
  <si>
    <t>Carbon Tube D6x4</t>
  </si>
  <si>
    <t>Carbon Tube D7x5-100cm</t>
  </si>
  <si>
    <t>Carbon Tube D7x5-200cm</t>
  </si>
  <si>
    <t>Carbon Tube D7x5-50cm</t>
  </si>
  <si>
    <t>Carbon Tube D7x5</t>
  </si>
  <si>
    <t>Carbon Tube D8x7-100cm</t>
  </si>
  <si>
    <t>Carbon Tube D8x7-200cm</t>
  </si>
  <si>
    <t>Carbon Tube D8x7-50cm</t>
  </si>
  <si>
    <t>Carbon Tube D8x7</t>
  </si>
  <si>
    <t>Carbon Tube D8x6-100cm</t>
  </si>
  <si>
    <t>Carbon Tube D8x6-200cm</t>
  </si>
  <si>
    <t>Carbon Tube D8x6-50cm</t>
  </si>
  <si>
    <t>Carbon Tube D8x6</t>
  </si>
  <si>
    <t>Carbon Rodstock,D0.28mm</t>
  </si>
  <si>
    <t>Composite Profile 1540mm for LCC Door 2.0</t>
  </si>
  <si>
    <t>Composite Profile 1575mm for LCC Door 2.0</t>
  </si>
  <si>
    <t>Composite Profile 1665mm for LCC Door 2.0</t>
  </si>
  <si>
    <t>Composite Profile 1765mm for LCC Door 2.0</t>
  </si>
  <si>
    <t>Composite Profile 2102mm for LCC Door 2.0</t>
  </si>
  <si>
    <t>Composite Profile 5560mm for LCC Door 2.0</t>
  </si>
  <si>
    <t>Composite Profile 608mm for LCC Door 2.0</t>
  </si>
  <si>
    <t>Composite Profile 833mm for LCC Door 2.0</t>
  </si>
  <si>
    <t>Customer product for quotation, Item must be changed when co</t>
  </si>
  <si>
    <t>Carbon Fibrer rectangular sheet 90x1</t>
  </si>
  <si>
    <t>General desk research</t>
  </si>
  <si>
    <t>Fixed Asset Item</t>
  </si>
  <si>
    <t>Glass fiber rod, D0.18mm</t>
  </si>
  <si>
    <t>Transparent glass fibre rod, D1,7 per meter</t>
  </si>
  <si>
    <t>Transparent glass fibre rod, D1,7-250cm</t>
  </si>
  <si>
    <t>Transparent glass fibre rod, D1,9-per meter</t>
  </si>
  <si>
    <t>Transparent glass fibre rod, D1,9-250cm</t>
  </si>
  <si>
    <t>Transparent glass fibre rod, D2,2 per meter</t>
  </si>
  <si>
    <t>Transparent glass fibre rod, D2,2-250cm</t>
  </si>
  <si>
    <t>Transparent glass fibre rod, D3,0-per meter</t>
  </si>
  <si>
    <t>Transparent glass fibre rod, D3,0-300cm</t>
  </si>
  <si>
    <t>White glass fibre rod, D1,7 per meter</t>
  </si>
  <si>
    <t>White glass fibre rod, D1,7-250cm</t>
  </si>
  <si>
    <t>White glass fibre rod, D2,2 per meter</t>
  </si>
  <si>
    <t>White glass fibre rod, D2,2-250cm</t>
  </si>
  <si>
    <t>Carbon profiel, PK0011/L3620-0190, 1862,4mm</t>
  </si>
  <si>
    <t>Carbon profiel, PK0011/L3620-0210, 2062,4mm</t>
  </si>
  <si>
    <t>Carbon profiel, PK0011/L3620-0220, 2162,4mm</t>
  </si>
  <si>
    <t>Carbon profiel, PK0011/L3620-0230, 2262,4mm</t>
  </si>
  <si>
    <t>Carbon profiel, PK0011/L3620-0250, 2462,4mm</t>
  </si>
  <si>
    <t>Carbon profiel, PK0011/L3620-0280, 2762,4mm</t>
  </si>
  <si>
    <t>Carbon profiel, PK0011/L3620-0300, 2962,4mm</t>
  </si>
  <si>
    <t>Carbon profiel, PK0011/L3620-0320, 3162,4mm</t>
  </si>
  <si>
    <t>Carbon profiel, PK0011/L3620-0340, 3362,4mm</t>
  </si>
  <si>
    <t>Carbon profiel, PK0011/L3620-0360, 3562,4mm</t>
  </si>
  <si>
    <t>Carbon profiel, PK0011/L3620-0380, 3762,4mm</t>
  </si>
  <si>
    <t>Carbon profiel, PK0011/L3620-0460, 4562,4mm</t>
  </si>
  <si>
    <t>Carbon profiel, PK0011/L3620-1629, 1629,0mm</t>
  </si>
  <si>
    <t>Carbon profiel, PK0011/L3620-1774, 1774,0mm</t>
  </si>
  <si>
    <t>Carbon profiel, PK0011/L3620-1811, 1811,0mm</t>
  </si>
  <si>
    <t>Carbon profiel, PK0011/L3620-1829, 1829,0mm</t>
  </si>
  <si>
    <t>Carbon profiel, PK0011/L3620-1846, 1846,0mm</t>
  </si>
  <si>
    <t>Carbon profiel, PK0011/L3620-1929, 1929,0mm</t>
  </si>
  <si>
    <t>Carbon profiel, PK0011/L3620-1974, 1974,0mm</t>
  </si>
  <si>
    <t>Carbon profiel, PK0011/L3620-2046, 2046,0mm</t>
  </si>
  <si>
    <t>Carbon profiel, PK0011/L3620-2074, 2074,0mm</t>
  </si>
  <si>
    <t>Carbon profiel, PK0011/L3620-2211, 2211,0mm</t>
  </si>
  <si>
    <t>Carbon profiel, PK0011/L3620-2691, 2691,0mm</t>
  </si>
  <si>
    <t>Carbon profiel, PK0011/L3620-2874, 2874,0mm</t>
  </si>
  <si>
    <t>Carbon profiel, PK0011/L3620-3346, 3346,0mm</t>
  </si>
  <si>
    <t>Carbon profiel, PK0011/L3620-3361, 3361,0mm</t>
  </si>
  <si>
    <t>Carbon profiel, PK0011/L3620-3474, 3474,0mm</t>
  </si>
  <si>
    <t>Carbon profiel, PK0011/L3620</t>
  </si>
  <si>
    <t>HM carbon rectangular rod 3x0.60-100cm</t>
  </si>
  <si>
    <t>HM carbon rectangular rod 3x0.60-200cm</t>
  </si>
  <si>
    <t>HM carbon rectangular rod 3x0.60</t>
  </si>
  <si>
    <t>HM carbon rectangular rod 4x1.10-100cm</t>
  </si>
  <si>
    <t>HM carbon rectangular rod 4x1.10-200cm</t>
  </si>
  <si>
    <t>HM carbon rectangular rod 4x1.10-50cm</t>
  </si>
  <si>
    <t>HM carbon rectangular rod 4x1.1-140cm</t>
  </si>
  <si>
    <t>HM carbon rectangular rod 4x1.1-160cm</t>
  </si>
  <si>
    <t>HM carbon rectangular rod 4x1.10</t>
  </si>
  <si>
    <t>HM carbon rectangular rod 6x0.60-200cm</t>
  </si>
  <si>
    <t>HM carbon rectangular rod 6x0.60</t>
  </si>
  <si>
    <t>HM carbon rectangular rod 6x1.20-400cm</t>
  </si>
  <si>
    <t>HM carbon rectangular rod 6x1.20</t>
  </si>
  <si>
    <t>HM carbon rectangular rod 7x0.30 -200cm</t>
  </si>
  <si>
    <t>HM carbon rectangular rod 7x0.30</t>
  </si>
  <si>
    <t>HM carbon rectangular rod 8x1.2mm-100cm</t>
  </si>
  <si>
    <t>HM carbon rectangular rod 8x1.2mm-200cm</t>
  </si>
  <si>
    <t>HM carbon rectangular rod 8x1.2mm-50cm</t>
  </si>
  <si>
    <t>HM carbon rectangular rod 8x1.2mm</t>
  </si>
  <si>
    <t>Hybrid (glass/aramid) fiber rod D0.28mm</t>
  </si>
  <si>
    <t>HM carbon round solid rod D0.70-100cm</t>
  </si>
  <si>
    <t>HM carbon round solid rod D0.70-200cm</t>
  </si>
  <si>
    <t>HM carbon round solid rod D1.50-100cm</t>
  </si>
  <si>
    <t>HM carbon round solid rod D1.50-200cm</t>
  </si>
  <si>
    <t>HM carbon round solid rod D1.50</t>
  </si>
  <si>
    <t>HM carbon round solid rod D2-100cm</t>
  </si>
  <si>
    <t>HM carbon round solid rod D2-200cm</t>
  </si>
  <si>
    <t>HM carbon round solid rod D2</t>
  </si>
  <si>
    <t>Handling costs</t>
  </si>
  <si>
    <t>Carbon (IMS 65)/epoxy round solid rod D2</t>
  </si>
  <si>
    <t>S&amp;P C-Laminate SM (150/2000) 10/2.8</t>
  </si>
  <si>
    <t>S&amp;P C-Laminate SM (150/2000) 50/1.4</t>
  </si>
  <si>
    <t>S&amp;P C-Laminate SM (150/2000) 100/1.4</t>
  </si>
  <si>
    <t>Labor/Overhead – DPP</t>
  </si>
  <si>
    <t>Labor/Overhead – DPP Additional Charge</t>
  </si>
  <si>
    <t>Labor/Overhead – DPP Preparation Prod</t>
  </si>
  <si>
    <t>Carbon (MR70) rectangular rod 10x1-100cm</t>
  </si>
  <si>
    <t>Carbon (MR70) rectangular rod 10x1</t>
  </si>
  <si>
    <t>Machine production work</t>
  </si>
  <si>
    <t>Machine research work / testing</t>
  </si>
  <si>
    <t>Iron particles</t>
  </si>
  <si>
    <t>Material</t>
  </si>
  <si>
    <t>BYK P9920</t>
  </si>
  <si>
    <t>Aerosil 380 (1kg)</t>
  </si>
  <si>
    <t>Nano zirconium powder</t>
  </si>
  <si>
    <t>Universal Colour Paste pure white, tin/1kg RAL 9010</t>
  </si>
  <si>
    <t>243353 - Barium Sulphate (1kg)</t>
  </si>
  <si>
    <t>YbF3 (Ytterbium Fluoride)</t>
  </si>
  <si>
    <t>30K 37-800WD 1.0 6.8kg ML NM03</t>
  </si>
  <si>
    <t>MR70 12K Size type R 0.2%</t>
  </si>
  <si>
    <t>THR50 60K 1.0%R 8kg ML 1% R</t>
  </si>
  <si>
    <t>Hybon 2001 - 1200TEX (20kg)</t>
  </si>
  <si>
    <t>HS Glass - HS4C8-28 JA11 (28TEX)</t>
  </si>
  <si>
    <t>HS4C9-33 JA11 - original cake of each 4 KG</t>
  </si>
  <si>
    <t>HS Glass - HS4C9-276 JA11 (276TEX)</t>
  </si>
  <si>
    <t>Roving Quartzel C09 33 QS1318 (33TEX)</t>
  </si>
  <si>
    <t>Teijin Aramid 11Tex</t>
  </si>
  <si>
    <t>IMS65 24K 830 TEX, 4kg</t>
  </si>
  <si>
    <t>STS40 F13 24K</t>
  </si>
  <si>
    <t>STS40 F13 48K 3200 tex, 8kg</t>
  </si>
  <si>
    <t>Technora 240 110dTex</t>
  </si>
  <si>
    <t>UMS40 F23 24K 800 tex, 2kg</t>
  </si>
  <si>
    <t>M46JB-12000-50B-P1 BB 2kg</t>
  </si>
  <si>
    <t>M46JB-6000-50B-P1 BB 2kg</t>
  </si>
  <si>
    <t>M60JB-3000-50B BB 0,25kg</t>
  </si>
  <si>
    <t>M60JB-6000-50B BB 0,40 kg</t>
  </si>
  <si>
    <t>T1000GB-12000-40D BB 2 kg</t>
  </si>
  <si>
    <t>T300B-1000-50B BB 0,5 kg (67 TEX)</t>
  </si>
  <si>
    <t>T300B-1000-50B BB 0,5 kg (67TEX)</t>
  </si>
  <si>
    <t>T300B-3000-50B BB 2kg (200 TEX)</t>
  </si>
  <si>
    <t>T300B-6000-50B BB 2kg (400 TEX)</t>
  </si>
  <si>
    <t>T700SC-6000-50C BB 2KG (400 TEX)</t>
  </si>
  <si>
    <t>T700SC-24000-50C BB 6KG (1600 TEX)</t>
  </si>
  <si>
    <t>T800SC-24000-10E-P1 BB 2,5kg</t>
  </si>
  <si>
    <t>Elium 591 (5kg)</t>
  </si>
  <si>
    <t>Elium 595 (5kg)</t>
  </si>
  <si>
    <t>Epikote 828</t>
  </si>
  <si>
    <t>Sicomin SH166 (IBC - 1100kg)</t>
  </si>
  <si>
    <t>Sicomin SR1331 (IBC - 1000kg)</t>
  </si>
  <si>
    <t>Sicomin SXAC 1MI (5 kg)</t>
  </si>
  <si>
    <t>Aradur 3486 BD, traag (20 kg)</t>
  </si>
  <si>
    <t>Araldite XB-3585 (25 kg)</t>
  </si>
  <si>
    <t>Cycom 5250-4 BMI-resin</t>
  </si>
  <si>
    <t>Accelerator DY070 (5kg)</t>
  </si>
  <si>
    <t>Aradur 917 - 1CH (220kg)</t>
  </si>
  <si>
    <t>Araldite LY 1556 (225kg)</t>
  </si>
  <si>
    <t>PAT-656/3 (100kg)</t>
  </si>
  <si>
    <t>Start off costs</t>
  </si>
  <si>
    <t>Tensile test</t>
  </si>
  <si>
    <t>Tooling costs</t>
  </si>
  <si>
    <t>Carbon (UMS 40)/epoxy round solid rod D2</t>
  </si>
  <si>
    <t>Group charges - Marketing</t>
  </si>
  <si>
    <t>Group Charges - Selling</t>
  </si>
  <si>
    <t>Group Charges - Admin</t>
  </si>
  <si>
    <t>Group &amp; misc. charges Below - Marketing</t>
  </si>
  <si>
    <t>Group &amp; misc. charges Below - Selling</t>
  </si>
  <si>
    <t>Group &amp; misc. charges Below - Admin</t>
  </si>
  <si>
    <t>Group Charges – Tpp</t>
  </si>
  <si>
    <t>Group Charges - R&amp;D</t>
  </si>
  <si>
    <t>Group Charges - Engineering</t>
  </si>
  <si>
    <t>Group charges - Sales &amp; Product Management</t>
  </si>
  <si>
    <t>Group Charges - IT Operations</t>
  </si>
  <si>
    <t>Group &amp; misc. charges Below - IT Operations</t>
  </si>
  <si>
    <t>Group Charges - IT General</t>
  </si>
  <si>
    <t>Group &amp; misc. charges Below - IT General</t>
  </si>
  <si>
    <t>Group Charges - Finance</t>
  </si>
  <si>
    <t>Group Charges - IT Development</t>
  </si>
  <si>
    <t>Group Charges - SAP Implementation</t>
  </si>
  <si>
    <t>Group Charges - SAP On-going</t>
  </si>
  <si>
    <t>Group Charges - HRIS Implementation</t>
  </si>
  <si>
    <t>Group Charges - HRIS On-going</t>
  </si>
  <si>
    <t>Group charges below - Finance</t>
  </si>
  <si>
    <t>Coating</t>
  </si>
  <si>
    <t>Consumption is</t>
  </si>
  <si>
    <t>Calculation</t>
  </si>
  <si>
    <t>Variable</t>
  </si>
  <si>
    <t>Yes</t>
  </si>
  <si>
    <t>Constant</t>
  </si>
  <si>
    <t>Standard order quantity</t>
  </si>
  <si>
    <t>Constant scrap</t>
  </si>
  <si>
    <t>Multiples</t>
  </si>
  <si>
    <t>Rounding-up</t>
  </si>
  <si>
    <t>No</t>
  </si>
  <si>
    <t>Prod Unit</t>
  </si>
  <si>
    <t>Warrings</t>
  </si>
  <si>
    <t>3:BOM does not exist.</t>
  </si>
  <si>
    <t>1:Cost price is zero.
2:Missing unit conversion.</t>
  </si>
  <si>
    <t>1:Cost price is zero.</t>
  </si>
  <si>
    <t>2:Missing unit conversion.</t>
  </si>
  <si>
    <t>Version</t>
    <phoneticPr fontId="3" type="noConversion"/>
  </si>
  <si>
    <t>V1.0</t>
    <phoneticPr fontId="3" type="noConversion"/>
  </si>
  <si>
    <t>Initial version</t>
    <phoneticPr fontId="3" type="noConversion"/>
  </si>
  <si>
    <t>Cost price per BOM unit</t>
  </si>
  <si>
    <t>Line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</si>
</sst>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EAE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2" fillId="0" borderId="0" xfId="0" applyNumberFormat="1" applyFont="1" applyAlignment="1"/>
    <xf numFmtId="0" fontId="0" fillId="2" borderId="0" xfId="0" applyFill="1"/>
    <xf numFmtId="0" fontId="0" fillId="4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14" fontId="0" fillId="0" borderId="0" xfId="0" applyNumberFormat="1"/>
  </cellXfs>
  <cellStyles count="2">
    <cellStyle name="Normal" xfId="0" builtinId="0"/>
    <cellStyle name="Title" xfId="1" builtinId="15"/>
  </cellStyles>
  <dxfs count="56"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EAEAE"/>
      <color rgb="FF01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161925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Cost Calculation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7" name="BOMDetailsCost_Table" displayName="BOMDetailsCost_Table" ref="A1:R1710" totalsRowShown="0">
  <autoFilter ref="A1:R1710"/>
  <tableColumns count="18">
    <tableColumn id="1" name="BOM"/>
    <tableColumn id="2" name="Prod Unit"/>
    <tableColumn id="3" name="Item number"/>
    <tableColumn id="4" name="Quantity"/>
    <tableColumn id="5" name="Per series"/>
    <tableColumn id="6" name="Unit"/>
    <tableColumn id="7" name="Variable scrap"/>
    <tableColumn id="8" name="Constant scrap"/>
    <tableColumn id="9" name="Line type"/>
    <tableColumn id="10" name="Consumption is"/>
    <tableColumn id="11" name="Calculation"/>
    <tableColumn id="12" name="Vendor account"/>
    <tableColumn id="13" name="Flushing principle"/>
    <tableColumn id="14" name="Multiples"/>
    <tableColumn id="15" name="Rounding-up"/>
    <tableColumn id="16" name="Cost price per BOM unit"/>
    <tableColumn id="17" name="Line cost"/>
    <tableColumn id="18" name="Warring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ItemDetailsCost_Table" displayName="ItemDetailsCost_Table" ref="A1:G658" totalsRowShown="0">
  <autoFilter ref="A1:G658"/>
  <tableColumns count="7">
    <tableColumn id="1" name="Item number"/>
    <tableColumn id="2" name="Item name"/>
    <tableColumn id="3" name="Item group"/>
    <tableColumn id="4" name="Item type"/>
    <tableColumn id="5" name="Unit"/>
    <tableColumn id="6" name="Price"/>
    <tableColumn id="7" name="Warrings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AtlasReport_1_Table_1" displayName="AtlasReport_1_Table_1" ref="A2:N1250" totalsRowCount="1">
  <autoFilter ref="A2:N1249"/>
  <tableColumns count="14">
    <tableColumn id="1" name="BOM" totalsRowLabel="Total" dataDxfId="55" totalsRowDxfId="54"/>
    <tableColumn id="2" name="Item number" dataDxfId="53" totalsRowDxfId="52"/>
    <tableColumn id="3" name="Quantity" totalsRowFunction="sum" dataDxfId="51" totalsRowDxfId="50"/>
    <tableColumn id="4" name="Per series" totalsRowFunction="sum" dataDxfId="49" totalsRowDxfId="48"/>
    <tableColumn id="5" name="Unit" dataDxfId="47" totalsRowDxfId="46"/>
    <tableColumn id="6" name="Variable scrap" totalsRowFunction="sum" dataDxfId="45" totalsRowDxfId="44"/>
    <tableColumn id="7" name="Constant scrap" totalsRowFunction="sum" dataDxfId="43" totalsRowDxfId="42"/>
    <tableColumn id="8" name="Line type" dataDxfId="41" totalsRowDxfId="40"/>
    <tableColumn id="9" name="Consumption is" dataDxfId="39" totalsRowDxfId="38"/>
    <tableColumn id="10" name="Calculation" dataDxfId="37" totalsRowDxfId="36"/>
    <tableColumn id="11" name="Vendor account" dataDxfId="35" totalsRowDxfId="34"/>
    <tableColumn id="12" name="Flushing principle" dataDxfId="33" totalsRowDxfId="32"/>
    <tableColumn id="13" name="Multiples" totalsRowFunction="sum" dataDxfId="31" totalsRowDxfId="30"/>
    <tableColumn id="14" name="Rounding-up" dataDxfId="29" totalsRow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AtlasReport_2_Table_1" displayName="AtlasReport_2_Table_1" ref="A2:G660" totalsRowCount="1">
  <autoFilter ref="A2:G659"/>
  <tableColumns count="7">
    <tableColumn id="1" name="Item number" totalsRowLabel="Total" dataDxfId="27" totalsRowDxfId="26"/>
    <tableColumn id="2" name="Item name" dataDxfId="25" totalsRowDxfId="24"/>
    <tableColumn id="3" name="Item group" dataDxfId="23" totalsRowDxfId="22"/>
    <tableColumn id="4" name="Item type" dataDxfId="21" totalsRowDxfId="20"/>
    <tableColumn id="5" name="Unit" dataDxfId="19" totalsRowDxfId="18"/>
    <tableColumn id="6" name="Price" totalsRowFunction="sum" dataDxfId="17" totalsRowDxfId="16"/>
    <tableColumn id="7" name="Standard order quantity" dataDxfId="15" totalsRow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AtlasReport_3_Table_1" displayName="AtlasReport_3_Table_1" ref="A2:F55" totalsRowCount="1">
  <autoFilter ref="A2:F54"/>
  <tableColumns count="6">
    <tableColumn id="1" name="Item number" totalsRowLabel="Total" dataDxfId="13" totalsRowDxfId="12"/>
    <tableColumn id="2" name="From unit" dataDxfId="11" totalsRowDxfId="10"/>
    <tableColumn id="3" name="Factor" totalsRowFunction="sum" dataDxfId="9" totalsRowDxfId="8"/>
    <tableColumn id="4" name="Additional quantity" totalsRowFunction="sum" dataDxfId="7" totalsRowDxfId="6"/>
    <tableColumn id="5" name="To unit" dataDxfId="5" totalsRowDxfId="4"/>
    <tableColumn id="6" name="Round-off" dataDxfId="3" totalsRow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customProperty" Target="../customProperty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2"/>
  <sheetViews>
    <sheetView tabSelected="1" workbookViewId="0">
      <selection activeCell="T16" sqref="T16"/>
    </sheetView>
  </sheetViews>
  <sheetFormatPr defaultRowHeight="13.5" x14ac:dyDescent="0.15"/>
  <cols>
    <col min="2" max="2" width="9.875" bestFit="1" customWidth="1"/>
  </cols>
  <sheetData>
    <row r="2" spans="2:3" x14ac:dyDescent="0.15">
      <c r="B2" t="s">
        <v>0</v>
      </c>
      <c r="C2">
        <v>372</v>
      </c>
    </row>
  </sheetData>
  <phoneticPr fontId="3" type="noConversion"/>
  <pageMargins left="0.7" right="0.7" top="0.75" bottom="0.75" header="0.3" footer="0.3"/>
  <pageSetup orientation="portrait" horizontalDpi="200" verticalDpi="200" copies="0" r:id="rId1"/>
  <customProperties>
    <customPr name="EpmWorksheetKeyString_GUID" r:id="rId2"/>
    <customPr name="FPMExcelClientCellBasedFunctionStatus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Main">
                <anchor moveWithCells="1" sizeWithCells="1">
                  <from>
                    <xdr:col>4</xdr:col>
                    <xdr:colOff>0</xdr:colOff>
                    <xdr:row>1</xdr:row>
                    <xdr:rowOff>161925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H1:J2"/>
  <sheetViews>
    <sheetView workbookViewId="0">
      <selection activeCell="J3" sqref="J3"/>
    </sheetView>
  </sheetViews>
  <sheetFormatPr defaultRowHeight="13.5" x14ac:dyDescent="0.15"/>
  <cols>
    <col min="8" max="8" width="10.375" bestFit="1" customWidth="1"/>
  </cols>
  <sheetData>
    <row r="1" spans="8:10" x14ac:dyDescent="0.15">
      <c r="H1" t="s">
        <v>1248</v>
      </c>
    </row>
    <row r="2" spans="8:10" x14ac:dyDescent="0.15">
      <c r="H2" s="11">
        <v>43636</v>
      </c>
      <c r="I2" t="s">
        <v>1249</v>
      </c>
      <c r="J2" t="s">
        <v>1250</v>
      </c>
    </row>
  </sheetData>
  <phoneticPr fontId="3" type="noConversion"/>
  <pageMargins left="0.7" right="0.7" top="0.75" bottom="0.75" header="0.3" footer="0.3"/>
  <customProperties>
    <customPr name="EpmWorksheetKeyString_GU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0.59999389629810485"/>
  </sheetPr>
  <dimension ref="A1:R171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1689" sqref="J1689"/>
    </sheetView>
  </sheetViews>
  <sheetFormatPr defaultRowHeight="13.5" x14ac:dyDescent="0.15"/>
  <cols>
    <col min="1" max="1" width="16.125" customWidth="1"/>
    <col min="2" max="2" width="12.875" customWidth="1"/>
    <col min="3" max="3" width="21.625" bestFit="1" customWidth="1"/>
    <col min="4" max="4" width="12.75" bestFit="1" customWidth="1"/>
    <col min="5" max="5" width="15.25" bestFit="1" customWidth="1"/>
    <col min="6" max="9" width="3.625" customWidth="1"/>
    <col min="10" max="10" width="20.25" bestFit="1" customWidth="1"/>
    <col min="11" max="11" width="3.625" customWidth="1"/>
    <col min="12" max="12" width="2.625" customWidth="1"/>
    <col min="13" max="13" width="25.25" bestFit="1" customWidth="1"/>
    <col min="14" max="14" width="2.625" customWidth="1"/>
    <col min="15" max="15" width="3.625" customWidth="1"/>
    <col min="16" max="16" width="28.625" customWidth="1"/>
    <col min="17" max="17" width="14" bestFit="1" customWidth="1"/>
    <col min="18" max="18" width="50.625" customWidth="1"/>
  </cols>
  <sheetData>
    <row r="1" spans="1:18" x14ac:dyDescent="0.15">
      <c r="A1" t="s">
        <v>2</v>
      </c>
      <c r="B1" t="s">
        <v>1242</v>
      </c>
      <c r="C1" t="s">
        <v>3</v>
      </c>
      <c r="D1" t="s">
        <v>4</v>
      </c>
      <c r="E1" t="s">
        <v>5</v>
      </c>
      <c r="F1" t="s">
        <v>6</v>
      </c>
      <c r="G1" t="s">
        <v>485</v>
      </c>
      <c r="H1" t="s">
        <v>1238</v>
      </c>
      <c r="I1" t="s">
        <v>484</v>
      </c>
      <c r="J1" t="s">
        <v>1232</v>
      </c>
      <c r="K1" t="s">
        <v>1233</v>
      </c>
      <c r="L1" t="s">
        <v>486</v>
      </c>
      <c r="M1" t="s">
        <v>483</v>
      </c>
      <c r="N1" t="s">
        <v>1239</v>
      </c>
      <c r="O1" t="s">
        <v>1240</v>
      </c>
      <c r="P1" t="s">
        <v>1251</v>
      </c>
      <c r="Q1" t="s">
        <v>1252</v>
      </c>
      <c r="R1" t="s">
        <v>1243</v>
      </c>
    </row>
    <row r="2" spans="1:18" x14ac:dyDescent="0.15">
      <c r="A2" t="s">
        <v>7</v>
      </c>
      <c r="B2" t="s">
        <v>479</v>
      </c>
      <c r="P2">
        <v>228.20013402437539</v>
      </c>
      <c r="R2" s="6"/>
    </row>
    <row r="3" spans="1:18" x14ac:dyDescent="0.15">
      <c r="C3" t="s">
        <v>8</v>
      </c>
      <c r="D3">
        <v>440</v>
      </c>
      <c r="E3">
        <v>1</v>
      </c>
      <c r="F3" t="s">
        <v>9</v>
      </c>
      <c r="G3">
        <v>0</v>
      </c>
      <c r="H3">
        <v>0</v>
      </c>
      <c r="I3" t="s">
        <v>488</v>
      </c>
      <c r="J3" t="s">
        <v>1234</v>
      </c>
      <c r="K3" t="s">
        <v>1235</v>
      </c>
      <c r="M3" t="s">
        <v>487</v>
      </c>
      <c r="N3">
        <v>0</v>
      </c>
      <c r="O3" t="s">
        <v>1241</v>
      </c>
      <c r="P3">
        <v>0.51863666823721677</v>
      </c>
      <c r="Q3">
        <v>228.20013402437539</v>
      </c>
      <c r="R3" s="6"/>
    </row>
    <row r="4" spans="1:18" x14ac:dyDescent="0.15">
      <c r="A4" t="s">
        <v>490</v>
      </c>
      <c r="B4" t="s">
        <v>479</v>
      </c>
      <c r="P4">
        <v>-1</v>
      </c>
      <c r="R4" s="8" t="s">
        <v>1244</v>
      </c>
    </row>
    <row r="5" spans="1:18" x14ac:dyDescent="0.15">
      <c r="A5" t="s">
        <v>8</v>
      </c>
      <c r="B5" t="s">
        <v>9</v>
      </c>
      <c r="P5">
        <v>0.51863666823721677</v>
      </c>
      <c r="R5" s="6"/>
    </row>
    <row r="6" spans="1:18" ht="27" x14ac:dyDescent="0.15">
      <c r="C6" t="s">
        <v>11</v>
      </c>
      <c r="D6">
        <v>3</v>
      </c>
      <c r="E6">
        <v>1</v>
      </c>
      <c r="F6" t="s">
        <v>9</v>
      </c>
      <c r="G6">
        <v>3</v>
      </c>
      <c r="H6">
        <v>0</v>
      </c>
      <c r="I6" t="s">
        <v>488</v>
      </c>
      <c r="J6" t="s">
        <v>1234</v>
      </c>
      <c r="K6" t="s">
        <v>1235</v>
      </c>
      <c r="M6" t="s">
        <v>487</v>
      </c>
      <c r="N6">
        <v>0</v>
      </c>
      <c r="O6" t="s">
        <v>1241</v>
      </c>
      <c r="P6">
        <v>-1</v>
      </c>
      <c r="Q6">
        <v>0</v>
      </c>
      <c r="R6" s="7" t="s">
        <v>1245</v>
      </c>
    </row>
    <row r="7" spans="1:18" x14ac:dyDescent="0.15">
      <c r="C7" t="s">
        <v>12</v>
      </c>
      <c r="D7">
        <v>10.011934673367</v>
      </c>
      <c r="E7">
        <v>1000</v>
      </c>
      <c r="F7" t="s">
        <v>13</v>
      </c>
      <c r="G7">
        <v>3</v>
      </c>
      <c r="H7">
        <v>0</v>
      </c>
      <c r="I7" t="s">
        <v>488</v>
      </c>
      <c r="J7" t="s">
        <v>1234</v>
      </c>
      <c r="K7" t="s">
        <v>1235</v>
      </c>
      <c r="M7" t="s">
        <v>487</v>
      </c>
      <c r="N7">
        <v>0</v>
      </c>
      <c r="O7" t="s">
        <v>1241</v>
      </c>
      <c r="P7">
        <v>1.03E-2</v>
      </c>
      <c r="Q7">
        <v>0.1062166149497505</v>
      </c>
      <c r="R7" s="6"/>
    </row>
    <row r="8" spans="1:18" x14ac:dyDescent="0.15">
      <c r="C8" t="s">
        <v>14</v>
      </c>
      <c r="D8">
        <v>11.124371859297</v>
      </c>
      <c r="E8">
        <v>1000</v>
      </c>
      <c r="F8" t="s">
        <v>13</v>
      </c>
      <c r="G8">
        <v>3</v>
      </c>
      <c r="H8">
        <v>0</v>
      </c>
      <c r="I8" t="s">
        <v>488</v>
      </c>
      <c r="J8" t="s">
        <v>1234</v>
      </c>
      <c r="K8" t="s">
        <v>1235</v>
      </c>
      <c r="M8" t="s">
        <v>487</v>
      </c>
      <c r="N8">
        <v>0</v>
      </c>
      <c r="O8" t="s">
        <v>1241</v>
      </c>
      <c r="P8">
        <v>5.4900000000000001E-3</v>
      </c>
      <c r="Q8">
        <v>6.2904985552766746E-2</v>
      </c>
      <c r="R8" s="6"/>
    </row>
    <row r="9" spans="1:18" x14ac:dyDescent="0.15">
      <c r="C9" t="s">
        <v>15</v>
      </c>
      <c r="D9">
        <v>0.222487437186</v>
      </c>
      <c r="E9">
        <v>1000</v>
      </c>
      <c r="F9" t="s">
        <v>13</v>
      </c>
      <c r="G9">
        <v>3</v>
      </c>
      <c r="H9">
        <v>0</v>
      </c>
      <c r="I9" t="s">
        <v>488</v>
      </c>
      <c r="J9" t="s">
        <v>1234</v>
      </c>
      <c r="K9" t="s">
        <v>1235</v>
      </c>
      <c r="M9" t="s">
        <v>487</v>
      </c>
      <c r="N9">
        <v>0</v>
      </c>
      <c r="O9" t="s">
        <v>1241</v>
      </c>
      <c r="P9">
        <v>7.9819999999999988E-2</v>
      </c>
      <c r="Q9">
        <v>1.8291715653272114E-2</v>
      </c>
      <c r="R9" s="6"/>
    </row>
    <row r="10" spans="1:18" x14ac:dyDescent="0.15">
      <c r="C10" t="s">
        <v>16</v>
      </c>
      <c r="D10">
        <v>0.67448823062700003</v>
      </c>
      <c r="E10">
        <v>1000</v>
      </c>
      <c r="F10" t="s">
        <v>13</v>
      </c>
      <c r="G10">
        <v>3</v>
      </c>
      <c r="H10">
        <v>0</v>
      </c>
      <c r="I10" t="s">
        <v>488</v>
      </c>
      <c r="J10" t="s">
        <v>1234</v>
      </c>
      <c r="K10" t="s">
        <v>1235</v>
      </c>
      <c r="M10" t="s">
        <v>487</v>
      </c>
      <c r="N10">
        <v>0</v>
      </c>
      <c r="O10" t="s">
        <v>1241</v>
      </c>
      <c r="P10">
        <v>0.01</v>
      </c>
      <c r="Q10">
        <v>6.9472287754581011E-3</v>
      </c>
      <c r="R10" s="6"/>
    </row>
    <row r="11" spans="1:18" x14ac:dyDescent="0.15">
      <c r="C11" t="s">
        <v>17</v>
      </c>
      <c r="D11">
        <v>6.4102564102559993</v>
      </c>
      <c r="E11">
        <v>1000</v>
      </c>
      <c r="F11" t="s">
        <v>18</v>
      </c>
      <c r="G11">
        <v>0</v>
      </c>
      <c r="H11">
        <v>0</v>
      </c>
      <c r="I11" t="s">
        <v>488</v>
      </c>
      <c r="J11" t="s">
        <v>1234</v>
      </c>
      <c r="K11" t="s">
        <v>1235</v>
      </c>
      <c r="M11" t="s">
        <v>487</v>
      </c>
      <c r="N11">
        <v>0</v>
      </c>
      <c r="O11" t="s">
        <v>1241</v>
      </c>
      <c r="P11">
        <v>53.85</v>
      </c>
      <c r="Q11">
        <v>345.19230769228557</v>
      </c>
      <c r="R11" s="6"/>
    </row>
    <row r="12" spans="1:18" x14ac:dyDescent="0.15">
      <c r="C12" t="s">
        <v>19</v>
      </c>
      <c r="D12">
        <v>5</v>
      </c>
      <c r="E12">
        <v>1</v>
      </c>
      <c r="F12" t="s">
        <v>18</v>
      </c>
      <c r="G12">
        <v>0</v>
      </c>
      <c r="H12">
        <v>0</v>
      </c>
      <c r="I12" t="s">
        <v>488</v>
      </c>
      <c r="J12" t="s">
        <v>1236</v>
      </c>
      <c r="K12" t="s">
        <v>1235</v>
      </c>
      <c r="M12" t="s">
        <v>487</v>
      </c>
      <c r="N12">
        <v>0</v>
      </c>
      <c r="O12" t="s">
        <v>1241</v>
      </c>
      <c r="P12">
        <v>34.65</v>
      </c>
      <c r="Q12">
        <v>173.25</v>
      </c>
      <c r="R12" s="6"/>
    </row>
    <row r="13" spans="1:18" x14ac:dyDescent="0.15">
      <c r="A13" t="s">
        <v>20</v>
      </c>
      <c r="B13" t="s">
        <v>479</v>
      </c>
      <c r="P13">
        <v>1.196708511597959</v>
      </c>
      <c r="R13" s="6"/>
    </row>
    <row r="14" spans="1:18" x14ac:dyDescent="0.15">
      <c r="C14" t="s">
        <v>21</v>
      </c>
      <c r="D14">
        <v>1</v>
      </c>
      <c r="E14">
        <v>1</v>
      </c>
      <c r="F14" t="s">
        <v>9</v>
      </c>
      <c r="G14">
        <v>0</v>
      </c>
      <c r="H14">
        <v>0</v>
      </c>
      <c r="I14" t="s">
        <v>488</v>
      </c>
      <c r="J14" t="s">
        <v>1234</v>
      </c>
      <c r="K14" t="s">
        <v>1235</v>
      </c>
      <c r="M14" t="s">
        <v>487</v>
      </c>
      <c r="N14">
        <v>0</v>
      </c>
      <c r="O14" t="s">
        <v>1241</v>
      </c>
      <c r="P14">
        <v>1.196708511597959</v>
      </c>
      <c r="Q14">
        <v>1.196708511597959</v>
      </c>
      <c r="R14" s="6"/>
    </row>
    <row r="15" spans="1:18" x14ac:dyDescent="0.15">
      <c r="A15" t="s">
        <v>492</v>
      </c>
      <c r="B15" t="s">
        <v>479</v>
      </c>
      <c r="P15">
        <v>-1</v>
      </c>
      <c r="R15" s="8" t="s">
        <v>1244</v>
      </c>
    </row>
    <row r="16" spans="1:18" x14ac:dyDescent="0.15">
      <c r="A16" t="s">
        <v>21</v>
      </c>
      <c r="B16" t="s">
        <v>9</v>
      </c>
      <c r="P16">
        <v>1.196708511597959</v>
      </c>
      <c r="R16" s="6"/>
    </row>
    <row r="17" spans="1:18" x14ac:dyDescent="0.15">
      <c r="C17" t="s">
        <v>22</v>
      </c>
      <c r="D17">
        <v>24</v>
      </c>
      <c r="E17">
        <v>1</v>
      </c>
      <c r="F17" t="s">
        <v>9</v>
      </c>
      <c r="G17">
        <v>3</v>
      </c>
      <c r="H17">
        <v>0</v>
      </c>
      <c r="I17" t="s">
        <v>488</v>
      </c>
      <c r="J17" t="s">
        <v>1234</v>
      </c>
      <c r="K17" t="s">
        <v>1235</v>
      </c>
      <c r="M17" t="s">
        <v>487</v>
      </c>
      <c r="N17">
        <v>0</v>
      </c>
      <c r="O17" t="s">
        <v>1241</v>
      </c>
      <c r="P17">
        <v>0</v>
      </c>
      <c r="Q17">
        <v>0</v>
      </c>
      <c r="R17" s="9" t="s">
        <v>1246</v>
      </c>
    </row>
    <row r="18" spans="1:18" x14ac:dyDescent="0.15">
      <c r="C18" t="s">
        <v>12</v>
      </c>
      <c r="D18">
        <v>6.0783919597990002</v>
      </c>
      <c r="E18">
        <v>1</v>
      </c>
      <c r="F18" t="s">
        <v>13</v>
      </c>
      <c r="G18">
        <v>3</v>
      </c>
      <c r="H18">
        <v>0</v>
      </c>
      <c r="I18" t="s">
        <v>488</v>
      </c>
      <c r="J18" t="s">
        <v>1234</v>
      </c>
      <c r="K18" t="s">
        <v>1235</v>
      </c>
      <c r="M18" t="s">
        <v>487</v>
      </c>
      <c r="N18">
        <v>0</v>
      </c>
      <c r="O18" t="s">
        <v>1241</v>
      </c>
      <c r="P18">
        <v>1.03E-2</v>
      </c>
      <c r="Q18">
        <v>64.485660301507593</v>
      </c>
      <c r="R18" s="6"/>
    </row>
    <row r="19" spans="1:18" x14ac:dyDescent="0.15">
      <c r="C19" t="s">
        <v>14</v>
      </c>
      <c r="D19">
        <v>6.7537688442209998</v>
      </c>
      <c r="E19">
        <v>1</v>
      </c>
      <c r="F19" t="s">
        <v>13</v>
      </c>
      <c r="G19">
        <v>3</v>
      </c>
      <c r="H19">
        <v>0</v>
      </c>
      <c r="I19" t="s">
        <v>488</v>
      </c>
      <c r="J19" t="s">
        <v>1234</v>
      </c>
      <c r="K19" t="s">
        <v>1235</v>
      </c>
      <c r="M19" t="s">
        <v>487</v>
      </c>
      <c r="N19">
        <v>0</v>
      </c>
      <c r="O19" t="s">
        <v>1241</v>
      </c>
      <c r="P19">
        <v>5.4900000000000001E-3</v>
      </c>
      <c r="Q19">
        <v>38.190536683416489</v>
      </c>
      <c r="R19" s="6"/>
    </row>
    <row r="20" spans="1:18" x14ac:dyDescent="0.15">
      <c r="C20" t="s">
        <v>15</v>
      </c>
      <c r="D20">
        <v>0.13507537688400001</v>
      </c>
      <c r="E20">
        <v>1</v>
      </c>
      <c r="F20" t="s">
        <v>13</v>
      </c>
      <c r="G20">
        <v>3</v>
      </c>
      <c r="H20">
        <v>0</v>
      </c>
      <c r="I20" t="s">
        <v>488</v>
      </c>
      <c r="J20" t="s">
        <v>1234</v>
      </c>
      <c r="K20" t="s">
        <v>1235</v>
      </c>
      <c r="M20" t="s">
        <v>487</v>
      </c>
      <c r="N20">
        <v>0</v>
      </c>
      <c r="O20" t="s">
        <v>1241</v>
      </c>
      <c r="P20">
        <v>7.9819999999999988E-2</v>
      </c>
      <c r="Q20">
        <v>11.105168080367305</v>
      </c>
      <c r="R20" s="6"/>
    </row>
    <row r="21" spans="1:18" x14ac:dyDescent="0.15">
      <c r="C21" t="s">
        <v>23</v>
      </c>
      <c r="D21">
        <v>0.33768844221099997</v>
      </c>
      <c r="E21">
        <v>1</v>
      </c>
      <c r="F21" t="s">
        <v>13</v>
      </c>
      <c r="G21">
        <v>3</v>
      </c>
      <c r="H21">
        <v>0</v>
      </c>
      <c r="I21" t="s">
        <v>488</v>
      </c>
      <c r="J21" t="s">
        <v>1234</v>
      </c>
      <c r="K21" t="s">
        <v>1235</v>
      </c>
      <c r="M21" t="s">
        <v>487</v>
      </c>
      <c r="N21">
        <v>0</v>
      </c>
      <c r="O21" t="s">
        <v>1241</v>
      </c>
      <c r="P21">
        <v>2.3609999999999999E-2</v>
      </c>
      <c r="Q21">
        <v>8.2120088442197616</v>
      </c>
      <c r="R21" s="6"/>
    </row>
    <row r="22" spans="1:18" x14ac:dyDescent="0.15">
      <c r="C22" t="s">
        <v>24</v>
      </c>
      <c r="D22">
        <v>0.13507537688400001</v>
      </c>
      <c r="E22">
        <v>1</v>
      </c>
      <c r="F22" t="s">
        <v>13</v>
      </c>
      <c r="G22">
        <v>3</v>
      </c>
      <c r="H22">
        <v>0</v>
      </c>
      <c r="I22" t="s">
        <v>488</v>
      </c>
      <c r="J22" t="s">
        <v>1234</v>
      </c>
      <c r="K22" t="s">
        <v>1235</v>
      </c>
      <c r="M22" t="s">
        <v>487</v>
      </c>
      <c r="N22">
        <v>0</v>
      </c>
      <c r="O22" t="s">
        <v>1241</v>
      </c>
      <c r="P22">
        <v>2.8500000000000001E-2</v>
      </c>
      <c r="Q22">
        <v>3.9651376884298202</v>
      </c>
      <c r="R22" s="6"/>
    </row>
    <row r="23" spans="1:18" x14ac:dyDescent="0.15">
      <c r="C23" t="s">
        <v>17</v>
      </c>
      <c r="D23">
        <v>16.666666666666998</v>
      </c>
      <c r="E23">
        <v>1000</v>
      </c>
      <c r="F23" t="s">
        <v>18</v>
      </c>
      <c r="G23">
        <v>0</v>
      </c>
      <c r="H23">
        <v>0</v>
      </c>
      <c r="I23" t="s">
        <v>488</v>
      </c>
      <c r="J23" t="s">
        <v>1234</v>
      </c>
      <c r="K23" t="s">
        <v>1235</v>
      </c>
      <c r="M23" t="s">
        <v>487</v>
      </c>
      <c r="N23">
        <v>0</v>
      </c>
      <c r="O23" t="s">
        <v>1241</v>
      </c>
      <c r="P23">
        <v>53.85</v>
      </c>
      <c r="Q23">
        <v>897.50000000001785</v>
      </c>
      <c r="R23" s="6"/>
    </row>
    <row r="24" spans="1:18" x14ac:dyDescent="0.15">
      <c r="C24" t="s">
        <v>19</v>
      </c>
      <c r="D24">
        <v>5</v>
      </c>
      <c r="E24">
        <v>1</v>
      </c>
      <c r="F24" t="s">
        <v>18</v>
      </c>
      <c r="G24">
        <v>0</v>
      </c>
      <c r="H24">
        <v>0</v>
      </c>
      <c r="I24" t="s">
        <v>488</v>
      </c>
      <c r="J24" t="s">
        <v>1236</v>
      </c>
      <c r="K24" t="s">
        <v>1235</v>
      </c>
      <c r="M24" t="s">
        <v>487</v>
      </c>
      <c r="N24">
        <v>0</v>
      </c>
      <c r="O24" t="s">
        <v>1241</v>
      </c>
      <c r="P24">
        <v>34.65</v>
      </c>
      <c r="Q24">
        <v>173.25</v>
      </c>
      <c r="R24" s="6"/>
    </row>
    <row r="25" spans="1:18" x14ac:dyDescent="0.15">
      <c r="A25" t="s">
        <v>25</v>
      </c>
      <c r="B25" t="s">
        <v>479</v>
      </c>
      <c r="P25">
        <v>0.89387424231773338</v>
      </c>
      <c r="R25" s="6"/>
    </row>
    <row r="26" spans="1:18" x14ac:dyDescent="0.15">
      <c r="C26" t="s">
        <v>26</v>
      </c>
      <c r="D26">
        <v>1</v>
      </c>
      <c r="E26">
        <v>1</v>
      </c>
      <c r="F26" t="s">
        <v>9</v>
      </c>
      <c r="G26">
        <v>0</v>
      </c>
      <c r="H26">
        <v>0</v>
      </c>
      <c r="I26" t="s">
        <v>488</v>
      </c>
      <c r="J26" t="s">
        <v>1234</v>
      </c>
      <c r="K26" t="s">
        <v>1235</v>
      </c>
      <c r="M26" t="s">
        <v>487</v>
      </c>
      <c r="N26">
        <v>0</v>
      </c>
      <c r="O26" t="s">
        <v>1241</v>
      </c>
      <c r="P26">
        <v>0.89387424231773338</v>
      </c>
      <c r="Q26">
        <v>0.89387424231773338</v>
      </c>
      <c r="R26" s="6"/>
    </row>
    <row r="27" spans="1:18" x14ac:dyDescent="0.15">
      <c r="A27" t="s">
        <v>27</v>
      </c>
      <c r="B27" t="s">
        <v>479</v>
      </c>
      <c r="P27">
        <v>1.7877484846354668</v>
      </c>
      <c r="R27" s="6"/>
    </row>
    <row r="28" spans="1:18" x14ac:dyDescent="0.15">
      <c r="C28" t="s">
        <v>26</v>
      </c>
      <c r="D28">
        <v>2</v>
      </c>
      <c r="E28">
        <v>1</v>
      </c>
      <c r="F28" t="s">
        <v>9</v>
      </c>
      <c r="G28">
        <v>0</v>
      </c>
      <c r="H28">
        <v>0</v>
      </c>
      <c r="I28" t="s">
        <v>488</v>
      </c>
      <c r="J28" t="s">
        <v>1234</v>
      </c>
      <c r="K28" t="s">
        <v>1235</v>
      </c>
      <c r="M28" t="s">
        <v>487</v>
      </c>
      <c r="N28">
        <v>0</v>
      </c>
      <c r="O28" t="s">
        <v>1241</v>
      </c>
      <c r="P28">
        <v>0.89387424231773338</v>
      </c>
      <c r="Q28">
        <v>1.7877484846354668</v>
      </c>
      <c r="R28" s="6"/>
    </row>
    <row r="29" spans="1:18" x14ac:dyDescent="0.15">
      <c r="A29" t="s">
        <v>26</v>
      </c>
      <c r="B29" t="s">
        <v>9</v>
      </c>
      <c r="P29">
        <v>0.89387424231773338</v>
      </c>
      <c r="R29" s="6"/>
    </row>
    <row r="30" spans="1:18" x14ac:dyDescent="0.15">
      <c r="C30" t="s">
        <v>28</v>
      </c>
      <c r="D30">
        <v>2</v>
      </c>
      <c r="E30">
        <v>1</v>
      </c>
      <c r="F30" t="s">
        <v>9</v>
      </c>
      <c r="G30">
        <v>3</v>
      </c>
      <c r="H30">
        <v>0</v>
      </c>
      <c r="I30" t="s">
        <v>488</v>
      </c>
      <c r="J30" t="s">
        <v>1234</v>
      </c>
      <c r="K30" t="s">
        <v>1235</v>
      </c>
      <c r="M30" t="s">
        <v>487</v>
      </c>
      <c r="N30">
        <v>0</v>
      </c>
      <c r="O30" t="s">
        <v>1241</v>
      </c>
      <c r="P30">
        <v>1.8814270000000001E-2</v>
      </c>
      <c r="Q30">
        <v>38.757396200000002</v>
      </c>
      <c r="R30" s="6"/>
    </row>
    <row r="31" spans="1:18" x14ac:dyDescent="0.15">
      <c r="C31" t="s">
        <v>29</v>
      </c>
      <c r="D31">
        <v>1</v>
      </c>
      <c r="E31">
        <v>1</v>
      </c>
      <c r="F31" t="s">
        <v>9</v>
      </c>
      <c r="G31">
        <v>3</v>
      </c>
      <c r="H31">
        <v>0</v>
      </c>
      <c r="I31" t="s">
        <v>488</v>
      </c>
      <c r="J31" t="s">
        <v>1234</v>
      </c>
      <c r="K31" t="s">
        <v>1235</v>
      </c>
      <c r="M31" t="s">
        <v>487</v>
      </c>
      <c r="N31">
        <v>0</v>
      </c>
      <c r="O31" t="s">
        <v>1241</v>
      </c>
      <c r="P31">
        <v>0</v>
      </c>
      <c r="Q31">
        <v>0</v>
      </c>
      <c r="R31" s="9" t="s">
        <v>1246</v>
      </c>
    </row>
    <row r="32" spans="1:18" x14ac:dyDescent="0.15">
      <c r="C32" t="s">
        <v>12</v>
      </c>
      <c r="D32">
        <v>0.15684422110599999</v>
      </c>
      <c r="E32">
        <v>1</v>
      </c>
      <c r="F32" t="s">
        <v>13</v>
      </c>
      <c r="G32">
        <v>3</v>
      </c>
      <c r="H32">
        <v>0</v>
      </c>
      <c r="I32" t="s">
        <v>488</v>
      </c>
      <c r="J32" t="s">
        <v>1234</v>
      </c>
      <c r="K32" t="s">
        <v>1235</v>
      </c>
      <c r="M32" t="s">
        <v>487</v>
      </c>
      <c r="N32">
        <v>0</v>
      </c>
      <c r="O32" t="s">
        <v>1241</v>
      </c>
      <c r="P32">
        <v>1.03E-2</v>
      </c>
      <c r="Q32">
        <v>1.6639603417135538</v>
      </c>
      <c r="R32" s="6"/>
    </row>
    <row r="33" spans="1:18" x14ac:dyDescent="0.15">
      <c r="C33" t="s">
        <v>14</v>
      </c>
      <c r="D33">
        <v>0.17427135678399999</v>
      </c>
      <c r="E33">
        <v>1</v>
      </c>
      <c r="F33" t="s">
        <v>13</v>
      </c>
      <c r="G33">
        <v>3</v>
      </c>
      <c r="H33">
        <v>0</v>
      </c>
      <c r="I33" t="s">
        <v>488</v>
      </c>
      <c r="J33" t="s">
        <v>1234</v>
      </c>
      <c r="K33" t="s">
        <v>1235</v>
      </c>
      <c r="M33" t="s">
        <v>487</v>
      </c>
      <c r="N33">
        <v>0</v>
      </c>
      <c r="O33" t="s">
        <v>1241</v>
      </c>
      <c r="P33">
        <v>5.4900000000000001E-3</v>
      </c>
      <c r="Q33">
        <v>0.98545224120648478</v>
      </c>
      <c r="R33" s="6"/>
    </row>
    <row r="34" spans="1:18" x14ac:dyDescent="0.15">
      <c r="C34" t="s">
        <v>15</v>
      </c>
      <c r="D34">
        <v>3.4854271356780004</v>
      </c>
      <c r="E34">
        <v>1000</v>
      </c>
      <c r="F34" t="s">
        <v>13</v>
      </c>
      <c r="G34">
        <v>3</v>
      </c>
      <c r="H34">
        <v>0</v>
      </c>
      <c r="I34" t="s">
        <v>488</v>
      </c>
      <c r="J34" t="s">
        <v>1234</v>
      </c>
      <c r="K34" t="s">
        <v>1235</v>
      </c>
      <c r="M34" t="s">
        <v>487</v>
      </c>
      <c r="N34">
        <v>0</v>
      </c>
      <c r="O34" t="s">
        <v>1241</v>
      </c>
      <c r="P34">
        <v>7.9819999999999988E-2</v>
      </c>
      <c r="Q34">
        <v>0.28655299778891252</v>
      </c>
      <c r="R34" s="6"/>
    </row>
    <row r="35" spans="1:18" x14ac:dyDescent="0.15">
      <c r="C35" t="s">
        <v>23</v>
      </c>
      <c r="D35">
        <v>8.7135678391959992</v>
      </c>
      <c r="E35">
        <v>1000</v>
      </c>
      <c r="F35" t="s">
        <v>13</v>
      </c>
      <c r="G35">
        <v>3</v>
      </c>
      <c r="H35">
        <v>0</v>
      </c>
      <c r="I35" t="s">
        <v>488</v>
      </c>
      <c r="J35" t="s">
        <v>1234</v>
      </c>
      <c r="K35" t="s">
        <v>1235</v>
      </c>
      <c r="M35" t="s">
        <v>487</v>
      </c>
      <c r="N35">
        <v>0</v>
      </c>
      <c r="O35" t="s">
        <v>1241</v>
      </c>
      <c r="P35">
        <v>2.3609999999999999E-2</v>
      </c>
      <c r="Q35">
        <v>0.21189915678392007</v>
      </c>
      <c r="R35" s="6"/>
    </row>
    <row r="36" spans="1:18" x14ac:dyDescent="0.15">
      <c r="C36" t="s">
        <v>24</v>
      </c>
      <c r="D36">
        <v>3.4854271356780004</v>
      </c>
      <c r="E36">
        <v>1000</v>
      </c>
      <c r="F36" t="s">
        <v>13</v>
      </c>
      <c r="G36">
        <v>3</v>
      </c>
      <c r="H36">
        <v>0</v>
      </c>
      <c r="I36" t="s">
        <v>488</v>
      </c>
      <c r="J36" t="s">
        <v>1234</v>
      </c>
      <c r="K36" t="s">
        <v>1235</v>
      </c>
      <c r="M36" t="s">
        <v>487</v>
      </c>
      <c r="N36">
        <v>0</v>
      </c>
      <c r="O36" t="s">
        <v>1241</v>
      </c>
      <c r="P36">
        <v>2.8500000000000001E-2</v>
      </c>
      <c r="Q36">
        <v>0.1023147135678277</v>
      </c>
      <c r="R36" s="6"/>
    </row>
    <row r="37" spans="1:18" x14ac:dyDescent="0.15">
      <c r="C37" t="s">
        <v>17</v>
      </c>
      <c r="D37">
        <v>13.888888888889001</v>
      </c>
      <c r="E37">
        <v>1000</v>
      </c>
      <c r="F37" t="s">
        <v>18</v>
      </c>
      <c r="G37">
        <v>0</v>
      </c>
      <c r="H37">
        <v>0</v>
      </c>
      <c r="I37" t="s">
        <v>488</v>
      </c>
      <c r="J37" t="s">
        <v>1234</v>
      </c>
      <c r="K37" t="s">
        <v>1235</v>
      </c>
      <c r="M37" t="s">
        <v>487</v>
      </c>
      <c r="N37">
        <v>0</v>
      </c>
      <c r="O37" t="s">
        <v>1241</v>
      </c>
      <c r="P37">
        <v>53.85</v>
      </c>
      <c r="Q37">
        <v>747.91666666667277</v>
      </c>
      <c r="R37" s="6"/>
    </row>
    <row r="38" spans="1:18" x14ac:dyDescent="0.15">
      <c r="C38" t="s">
        <v>19</v>
      </c>
      <c r="D38">
        <v>3</v>
      </c>
      <c r="E38">
        <v>1</v>
      </c>
      <c r="F38" t="s">
        <v>18</v>
      </c>
      <c r="G38">
        <v>0</v>
      </c>
      <c r="H38">
        <v>0</v>
      </c>
      <c r="I38" t="s">
        <v>488</v>
      </c>
      <c r="J38" t="s">
        <v>1236</v>
      </c>
      <c r="K38" t="s">
        <v>1235</v>
      </c>
      <c r="M38" t="s">
        <v>487</v>
      </c>
      <c r="N38">
        <v>0</v>
      </c>
      <c r="O38" t="s">
        <v>1241</v>
      </c>
      <c r="P38">
        <v>34.65</v>
      </c>
      <c r="Q38">
        <v>103.94999999999999</v>
      </c>
      <c r="R38" s="6"/>
    </row>
    <row r="39" spans="1:18" x14ac:dyDescent="0.15">
      <c r="A39" t="s">
        <v>30</v>
      </c>
      <c r="B39" t="s">
        <v>479</v>
      </c>
      <c r="P39">
        <v>0.88492729726295238</v>
      </c>
      <c r="R39" s="6"/>
    </row>
    <row r="40" spans="1:18" x14ac:dyDescent="0.15">
      <c r="C40" t="s">
        <v>31</v>
      </c>
      <c r="D40">
        <v>1</v>
      </c>
      <c r="E40">
        <v>1</v>
      </c>
      <c r="F40" t="s">
        <v>9</v>
      </c>
      <c r="G40">
        <v>0</v>
      </c>
      <c r="H40">
        <v>0</v>
      </c>
      <c r="I40" t="s">
        <v>488</v>
      </c>
      <c r="J40" t="s">
        <v>1234</v>
      </c>
      <c r="K40" t="s">
        <v>1235</v>
      </c>
      <c r="M40" t="s">
        <v>487</v>
      </c>
      <c r="N40">
        <v>0</v>
      </c>
      <c r="O40" t="s">
        <v>1241</v>
      </c>
      <c r="P40">
        <v>0.88492729726295238</v>
      </c>
      <c r="Q40">
        <v>0.88492729726295238</v>
      </c>
      <c r="R40" s="6"/>
    </row>
    <row r="41" spans="1:18" x14ac:dyDescent="0.15">
      <c r="A41" t="s">
        <v>32</v>
      </c>
      <c r="B41" t="s">
        <v>479</v>
      </c>
      <c r="P41">
        <v>1.7698545945259048</v>
      </c>
      <c r="R41" s="6"/>
    </row>
    <row r="42" spans="1:18" x14ac:dyDescent="0.15">
      <c r="C42" t="s">
        <v>31</v>
      </c>
      <c r="D42">
        <v>2</v>
      </c>
      <c r="E42">
        <v>1</v>
      </c>
      <c r="F42" t="s">
        <v>9</v>
      </c>
      <c r="G42">
        <v>0</v>
      </c>
      <c r="H42">
        <v>0</v>
      </c>
      <c r="I42" t="s">
        <v>488</v>
      </c>
      <c r="J42" t="s">
        <v>1234</v>
      </c>
      <c r="K42" t="s">
        <v>1235</v>
      </c>
      <c r="M42" t="s">
        <v>487</v>
      </c>
      <c r="N42">
        <v>0</v>
      </c>
      <c r="O42" t="s">
        <v>1241</v>
      </c>
      <c r="P42">
        <v>0.88492729726295238</v>
      </c>
      <c r="Q42">
        <v>1.7698545945259048</v>
      </c>
      <c r="R42" s="6"/>
    </row>
    <row r="43" spans="1:18" x14ac:dyDescent="0.15">
      <c r="A43" t="s">
        <v>31</v>
      </c>
      <c r="B43" t="s">
        <v>9</v>
      </c>
      <c r="P43">
        <v>0.88492729726295238</v>
      </c>
      <c r="R43" s="6"/>
    </row>
    <row r="44" spans="1:18" x14ac:dyDescent="0.15">
      <c r="C44" t="s">
        <v>28</v>
      </c>
      <c r="D44">
        <v>1</v>
      </c>
      <c r="E44">
        <v>1</v>
      </c>
      <c r="F44" t="s">
        <v>9</v>
      </c>
      <c r="G44">
        <v>3</v>
      </c>
      <c r="H44">
        <v>0</v>
      </c>
      <c r="I44" t="s">
        <v>488</v>
      </c>
      <c r="J44" t="s">
        <v>1234</v>
      </c>
      <c r="K44" t="s">
        <v>1235</v>
      </c>
      <c r="M44" t="s">
        <v>487</v>
      </c>
      <c r="N44">
        <v>0</v>
      </c>
      <c r="O44" t="s">
        <v>1241</v>
      </c>
      <c r="P44">
        <v>1.8814270000000001E-2</v>
      </c>
      <c r="Q44">
        <v>19.378698100000001</v>
      </c>
      <c r="R44" s="6"/>
    </row>
    <row r="45" spans="1:18" x14ac:dyDescent="0.15">
      <c r="C45" t="s">
        <v>33</v>
      </c>
      <c r="D45">
        <v>1</v>
      </c>
      <c r="E45">
        <v>1</v>
      </c>
      <c r="F45" t="s">
        <v>9</v>
      </c>
      <c r="G45">
        <v>3</v>
      </c>
      <c r="H45">
        <v>0</v>
      </c>
      <c r="I45" t="s">
        <v>488</v>
      </c>
      <c r="J45" t="s">
        <v>1234</v>
      </c>
      <c r="K45" t="s">
        <v>1235</v>
      </c>
      <c r="M45" t="s">
        <v>487</v>
      </c>
      <c r="N45">
        <v>0</v>
      </c>
      <c r="O45" t="s">
        <v>1241</v>
      </c>
      <c r="P45">
        <v>0</v>
      </c>
      <c r="Q45">
        <v>0</v>
      </c>
      <c r="R45" s="9" t="s">
        <v>1246</v>
      </c>
    </row>
    <row r="46" spans="1:18" x14ac:dyDescent="0.15">
      <c r="C46" t="s">
        <v>34</v>
      </c>
      <c r="D46">
        <v>1</v>
      </c>
      <c r="E46">
        <v>1</v>
      </c>
      <c r="F46" t="s">
        <v>9</v>
      </c>
      <c r="G46">
        <v>3</v>
      </c>
      <c r="H46">
        <v>0</v>
      </c>
      <c r="I46" t="s">
        <v>488</v>
      </c>
      <c r="J46" t="s">
        <v>1234</v>
      </c>
      <c r="K46" t="s">
        <v>1235</v>
      </c>
      <c r="M46" t="s">
        <v>487</v>
      </c>
      <c r="N46">
        <v>0</v>
      </c>
      <c r="O46" t="s">
        <v>1241</v>
      </c>
      <c r="P46">
        <v>9.4000000000000004E-3</v>
      </c>
      <c r="Q46">
        <v>9.6820000000000004</v>
      </c>
      <c r="R46" s="6"/>
    </row>
    <row r="47" spans="1:18" x14ac:dyDescent="0.15">
      <c r="C47" t="s">
        <v>12</v>
      </c>
      <c r="D47">
        <v>0.193025125628</v>
      </c>
      <c r="E47">
        <v>1</v>
      </c>
      <c r="F47" t="s">
        <v>13</v>
      </c>
      <c r="G47">
        <v>3</v>
      </c>
      <c r="H47">
        <v>0</v>
      </c>
      <c r="I47" t="s">
        <v>488</v>
      </c>
      <c r="J47" t="s">
        <v>1234</v>
      </c>
      <c r="K47" t="s">
        <v>1235</v>
      </c>
      <c r="M47" t="s">
        <v>487</v>
      </c>
      <c r="N47">
        <v>0</v>
      </c>
      <c r="O47" t="s">
        <v>1241</v>
      </c>
      <c r="P47">
        <v>1.03E-2</v>
      </c>
      <c r="Q47">
        <v>2.0478035577874523</v>
      </c>
      <c r="R47" s="6"/>
    </row>
    <row r="48" spans="1:18" x14ac:dyDescent="0.15">
      <c r="C48" t="s">
        <v>14</v>
      </c>
      <c r="D48">
        <v>0.21447236180900001</v>
      </c>
      <c r="E48">
        <v>1</v>
      </c>
      <c r="F48" t="s">
        <v>13</v>
      </c>
      <c r="G48">
        <v>3</v>
      </c>
      <c r="H48">
        <v>0</v>
      </c>
      <c r="I48" t="s">
        <v>488</v>
      </c>
      <c r="J48" t="s">
        <v>1234</v>
      </c>
      <c r="K48" t="s">
        <v>1235</v>
      </c>
      <c r="M48" t="s">
        <v>487</v>
      </c>
      <c r="N48">
        <v>0</v>
      </c>
      <c r="O48" t="s">
        <v>1241</v>
      </c>
      <c r="P48">
        <v>5.4900000000000001E-3</v>
      </c>
      <c r="Q48">
        <v>1.2127768643213523</v>
      </c>
      <c r="R48" s="6"/>
    </row>
    <row r="49" spans="1:18" x14ac:dyDescent="0.15">
      <c r="C49" t="s">
        <v>15</v>
      </c>
      <c r="D49">
        <v>4.2894472361809992</v>
      </c>
      <c r="E49">
        <v>1000</v>
      </c>
      <c r="F49" t="s">
        <v>13</v>
      </c>
      <c r="G49">
        <v>3</v>
      </c>
      <c r="H49">
        <v>0</v>
      </c>
      <c r="I49" t="s">
        <v>488</v>
      </c>
      <c r="J49" t="s">
        <v>1234</v>
      </c>
      <c r="K49" t="s">
        <v>1235</v>
      </c>
      <c r="M49" t="s">
        <v>487</v>
      </c>
      <c r="N49">
        <v>0</v>
      </c>
      <c r="O49" t="s">
        <v>1241</v>
      </c>
      <c r="P49">
        <v>7.9819999999999988E-2</v>
      </c>
      <c r="Q49">
        <v>0.35265518874372631</v>
      </c>
      <c r="R49" s="6"/>
    </row>
    <row r="50" spans="1:18" x14ac:dyDescent="0.15">
      <c r="C50" t="s">
        <v>23</v>
      </c>
      <c r="D50">
        <v>10.723618090452</v>
      </c>
      <c r="E50">
        <v>1000</v>
      </c>
      <c r="F50" t="s">
        <v>13</v>
      </c>
      <c r="G50">
        <v>3</v>
      </c>
      <c r="H50">
        <v>0</v>
      </c>
      <c r="I50" t="s">
        <v>488</v>
      </c>
      <c r="J50" t="s">
        <v>1234</v>
      </c>
      <c r="K50" t="s">
        <v>1235</v>
      </c>
      <c r="M50" t="s">
        <v>487</v>
      </c>
      <c r="N50">
        <v>0</v>
      </c>
      <c r="O50" t="s">
        <v>1241</v>
      </c>
      <c r="P50">
        <v>2.3609999999999999E-2</v>
      </c>
      <c r="Q50">
        <v>0.26078016180903885</v>
      </c>
      <c r="R50" s="6"/>
    </row>
    <row r="51" spans="1:18" x14ac:dyDescent="0.15">
      <c r="C51" t="s">
        <v>24</v>
      </c>
      <c r="D51">
        <v>4.2894472361809992</v>
      </c>
      <c r="E51">
        <v>1000</v>
      </c>
      <c r="F51" t="s">
        <v>13</v>
      </c>
      <c r="G51">
        <v>3</v>
      </c>
      <c r="H51">
        <v>0</v>
      </c>
      <c r="I51" t="s">
        <v>488</v>
      </c>
      <c r="J51" t="s">
        <v>1234</v>
      </c>
      <c r="K51" t="s">
        <v>1235</v>
      </c>
      <c r="M51" t="s">
        <v>487</v>
      </c>
      <c r="N51">
        <v>0</v>
      </c>
      <c r="O51" t="s">
        <v>1241</v>
      </c>
      <c r="P51">
        <v>2.8500000000000001E-2</v>
      </c>
      <c r="Q51">
        <v>0.12591672361809322</v>
      </c>
      <c r="R51" s="6"/>
    </row>
    <row r="52" spans="1:18" x14ac:dyDescent="0.15">
      <c r="C52" t="s">
        <v>17</v>
      </c>
      <c r="D52">
        <v>13.888888888889001</v>
      </c>
      <c r="E52">
        <v>1000</v>
      </c>
      <c r="F52" t="s">
        <v>18</v>
      </c>
      <c r="G52">
        <v>0</v>
      </c>
      <c r="H52">
        <v>0</v>
      </c>
      <c r="I52" t="s">
        <v>488</v>
      </c>
      <c r="J52" t="s">
        <v>1234</v>
      </c>
      <c r="K52" t="s">
        <v>1235</v>
      </c>
      <c r="M52" t="s">
        <v>487</v>
      </c>
      <c r="N52">
        <v>0</v>
      </c>
      <c r="O52" t="s">
        <v>1241</v>
      </c>
      <c r="P52">
        <v>53.85</v>
      </c>
      <c r="Q52">
        <v>747.91666666667277</v>
      </c>
      <c r="R52" s="6"/>
    </row>
    <row r="53" spans="1:18" x14ac:dyDescent="0.15">
      <c r="C53" t="s">
        <v>19</v>
      </c>
      <c r="D53">
        <v>3</v>
      </c>
      <c r="E53">
        <v>1</v>
      </c>
      <c r="F53" t="s">
        <v>18</v>
      </c>
      <c r="G53">
        <v>0</v>
      </c>
      <c r="H53">
        <v>0</v>
      </c>
      <c r="I53" t="s">
        <v>488</v>
      </c>
      <c r="J53" t="s">
        <v>1236</v>
      </c>
      <c r="K53" t="s">
        <v>1235</v>
      </c>
      <c r="M53" t="s">
        <v>487</v>
      </c>
      <c r="N53">
        <v>0</v>
      </c>
      <c r="O53" t="s">
        <v>1241</v>
      </c>
      <c r="P53">
        <v>34.65</v>
      </c>
      <c r="Q53">
        <v>103.94999999999999</v>
      </c>
      <c r="R53" s="6"/>
    </row>
    <row r="54" spans="1:18" x14ac:dyDescent="0.15">
      <c r="A54" t="s">
        <v>35</v>
      </c>
      <c r="B54" t="s">
        <v>479</v>
      </c>
      <c r="P54">
        <v>0.78369508613141259</v>
      </c>
      <c r="R54" s="6"/>
    </row>
    <row r="55" spans="1:18" x14ac:dyDescent="0.15">
      <c r="C55" t="s">
        <v>36</v>
      </c>
      <c r="D55">
        <v>1</v>
      </c>
      <c r="E55">
        <v>1</v>
      </c>
      <c r="F55" t="s">
        <v>9</v>
      </c>
      <c r="G55">
        <v>0</v>
      </c>
      <c r="H55">
        <v>0</v>
      </c>
      <c r="I55" t="s">
        <v>488</v>
      </c>
      <c r="J55" t="s">
        <v>1234</v>
      </c>
      <c r="K55" t="s">
        <v>1235</v>
      </c>
      <c r="M55" t="s">
        <v>487</v>
      </c>
      <c r="N55">
        <v>0</v>
      </c>
      <c r="O55" t="s">
        <v>1241</v>
      </c>
      <c r="P55">
        <v>0.78369508613141259</v>
      </c>
      <c r="Q55">
        <v>0.78369508613141259</v>
      </c>
      <c r="R55" s="6"/>
    </row>
    <row r="56" spans="1:18" x14ac:dyDescent="0.15">
      <c r="A56" t="s">
        <v>37</v>
      </c>
      <c r="B56" t="s">
        <v>479</v>
      </c>
      <c r="P56">
        <v>1.5673901722628252</v>
      </c>
      <c r="R56" s="6"/>
    </row>
    <row r="57" spans="1:18" x14ac:dyDescent="0.15">
      <c r="C57" t="s">
        <v>36</v>
      </c>
      <c r="D57">
        <v>2</v>
      </c>
      <c r="E57">
        <v>1</v>
      </c>
      <c r="F57" t="s">
        <v>9</v>
      </c>
      <c r="G57">
        <v>0</v>
      </c>
      <c r="H57">
        <v>0</v>
      </c>
      <c r="I57" t="s">
        <v>488</v>
      </c>
      <c r="J57" t="s">
        <v>1234</v>
      </c>
      <c r="K57" t="s">
        <v>1235</v>
      </c>
      <c r="M57" t="s">
        <v>487</v>
      </c>
      <c r="N57">
        <v>0</v>
      </c>
      <c r="O57" t="s">
        <v>1241</v>
      </c>
      <c r="P57">
        <v>0.78369508613141259</v>
      </c>
      <c r="Q57">
        <v>1.5673901722628252</v>
      </c>
      <c r="R57" s="6"/>
    </row>
    <row r="58" spans="1:18" x14ac:dyDescent="0.15">
      <c r="A58" t="s">
        <v>38</v>
      </c>
      <c r="B58" t="s">
        <v>479</v>
      </c>
      <c r="P58">
        <v>0.39184754306570629</v>
      </c>
      <c r="R58" s="6"/>
    </row>
    <row r="59" spans="1:18" x14ac:dyDescent="0.15">
      <c r="C59" t="s">
        <v>36</v>
      </c>
      <c r="D59">
        <v>500</v>
      </c>
      <c r="E59">
        <v>1000</v>
      </c>
      <c r="F59" t="s">
        <v>9</v>
      </c>
      <c r="G59">
        <v>0</v>
      </c>
      <c r="H59">
        <v>0</v>
      </c>
      <c r="I59" t="s">
        <v>488</v>
      </c>
      <c r="J59" t="s">
        <v>1234</v>
      </c>
      <c r="K59" t="s">
        <v>1235</v>
      </c>
      <c r="M59" t="s">
        <v>487</v>
      </c>
      <c r="N59">
        <v>0</v>
      </c>
      <c r="O59" t="s">
        <v>1241</v>
      </c>
      <c r="P59">
        <v>0.78369508613141259</v>
      </c>
      <c r="Q59">
        <v>391.8475430657063</v>
      </c>
      <c r="R59" s="6"/>
    </row>
    <row r="60" spans="1:18" x14ac:dyDescent="0.15">
      <c r="A60" t="s">
        <v>36</v>
      </c>
      <c r="B60" t="s">
        <v>9</v>
      </c>
      <c r="P60">
        <v>0.78369508613141259</v>
      </c>
      <c r="R60" s="6"/>
    </row>
    <row r="61" spans="1:18" x14ac:dyDescent="0.15">
      <c r="C61" t="s">
        <v>39</v>
      </c>
      <c r="D61">
        <v>1</v>
      </c>
      <c r="E61">
        <v>1</v>
      </c>
      <c r="F61" t="s">
        <v>9</v>
      </c>
      <c r="G61">
        <v>3</v>
      </c>
      <c r="H61">
        <v>0</v>
      </c>
      <c r="I61" t="s">
        <v>488</v>
      </c>
      <c r="J61" t="s">
        <v>1234</v>
      </c>
      <c r="K61" t="s">
        <v>1235</v>
      </c>
      <c r="M61" t="s">
        <v>487</v>
      </c>
      <c r="N61">
        <v>0</v>
      </c>
      <c r="O61" t="s">
        <v>1241</v>
      </c>
      <c r="P61">
        <v>0</v>
      </c>
      <c r="Q61">
        <v>0</v>
      </c>
      <c r="R61" s="9" t="s">
        <v>1246</v>
      </c>
    </row>
    <row r="62" spans="1:18" x14ac:dyDescent="0.15">
      <c r="C62" t="s">
        <v>33</v>
      </c>
      <c r="D62">
        <v>1</v>
      </c>
      <c r="E62">
        <v>1</v>
      </c>
      <c r="F62" t="s">
        <v>9</v>
      </c>
      <c r="G62">
        <v>3</v>
      </c>
      <c r="H62">
        <v>0</v>
      </c>
      <c r="I62" t="s">
        <v>488</v>
      </c>
      <c r="J62" t="s">
        <v>1234</v>
      </c>
      <c r="K62" t="s">
        <v>1235</v>
      </c>
      <c r="M62" t="s">
        <v>487</v>
      </c>
      <c r="N62">
        <v>0</v>
      </c>
      <c r="O62" t="s">
        <v>1241</v>
      </c>
      <c r="P62">
        <v>0</v>
      </c>
      <c r="Q62">
        <v>0</v>
      </c>
      <c r="R62" s="9" t="s">
        <v>1246</v>
      </c>
    </row>
    <row r="63" spans="1:18" x14ac:dyDescent="0.15">
      <c r="C63" t="s">
        <v>34</v>
      </c>
      <c r="D63">
        <v>1</v>
      </c>
      <c r="E63">
        <v>1</v>
      </c>
      <c r="F63" t="s">
        <v>9</v>
      </c>
      <c r="G63">
        <v>3</v>
      </c>
      <c r="H63">
        <v>0</v>
      </c>
      <c r="I63" t="s">
        <v>488</v>
      </c>
      <c r="J63" t="s">
        <v>1234</v>
      </c>
      <c r="K63" t="s">
        <v>1235</v>
      </c>
      <c r="M63" t="s">
        <v>487</v>
      </c>
      <c r="N63">
        <v>0</v>
      </c>
      <c r="O63" t="s">
        <v>1241</v>
      </c>
      <c r="P63">
        <v>9.4000000000000004E-3</v>
      </c>
      <c r="Q63">
        <v>9.6820000000000004</v>
      </c>
      <c r="R63" s="6"/>
    </row>
    <row r="64" spans="1:18" x14ac:dyDescent="0.15">
      <c r="C64" t="s">
        <v>12</v>
      </c>
      <c r="D64">
        <v>0.253266331658</v>
      </c>
      <c r="E64">
        <v>1</v>
      </c>
      <c r="F64" t="s">
        <v>13</v>
      </c>
      <c r="G64">
        <v>3</v>
      </c>
      <c r="H64">
        <v>0</v>
      </c>
      <c r="I64" t="s">
        <v>488</v>
      </c>
      <c r="J64" t="s">
        <v>1234</v>
      </c>
      <c r="K64" t="s">
        <v>1235</v>
      </c>
      <c r="M64" t="s">
        <v>487</v>
      </c>
      <c r="N64">
        <v>0</v>
      </c>
      <c r="O64" t="s">
        <v>1241</v>
      </c>
      <c r="P64">
        <v>1.03E-2</v>
      </c>
      <c r="Q64">
        <v>2.6869025125597221</v>
      </c>
      <c r="R64" s="6"/>
    </row>
    <row r="65" spans="1:18" x14ac:dyDescent="0.15">
      <c r="C65" t="s">
        <v>14</v>
      </c>
      <c r="D65">
        <v>0.28140703517600002</v>
      </c>
      <c r="E65">
        <v>1</v>
      </c>
      <c r="F65" t="s">
        <v>13</v>
      </c>
      <c r="G65">
        <v>3</v>
      </c>
      <c r="H65">
        <v>0</v>
      </c>
      <c r="I65" t="s">
        <v>488</v>
      </c>
      <c r="J65" t="s">
        <v>1234</v>
      </c>
      <c r="K65" t="s">
        <v>1235</v>
      </c>
      <c r="M65" t="s">
        <v>487</v>
      </c>
      <c r="N65">
        <v>0</v>
      </c>
      <c r="O65" t="s">
        <v>1241</v>
      </c>
      <c r="P65">
        <v>5.4900000000000001E-3</v>
      </c>
      <c r="Q65">
        <v>1.5912723618097273</v>
      </c>
      <c r="R65" s="6"/>
    </row>
    <row r="66" spans="1:18" x14ac:dyDescent="0.15">
      <c r="C66" t="s">
        <v>15</v>
      </c>
      <c r="D66">
        <v>5.6281407035180004</v>
      </c>
      <c r="E66">
        <v>1000</v>
      </c>
      <c r="F66" t="s">
        <v>13</v>
      </c>
      <c r="G66">
        <v>3</v>
      </c>
      <c r="H66">
        <v>0</v>
      </c>
      <c r="I66" t="s">
        <v>488</v>
      </c>
      <c r="J66" t="s">
        <v>1234</v>
      </c>
      <c r="K66" t="s">
        <v>1235</v>
      </c>
      <c r="M66" t="s">
        <v>487</v>
      </c>
      <c r="N66">
        <v>0</v>
      </c>
      <c r="O66" t="s">
        <v>1241</v>
      </c>
      <c r="P66">
        <v>7.9819999999999988E-2</v>
      </c>
      <c r="Q66">
        <v>0.46271533668345094</v>
      </c>
      <c r="R66" s="6"/>
    </row>
    <row r="67" spans="1:18" x14ac:dyDescent="0.15">
      <c r="C67" t="s">
        <v>23</v>
      </c>
      <c r="D67">
        <v>14.070351758793999</v>
      </c>
      <c r="E67">
        <v>1000</v>
      </c>
      <c r="F67" t="s">
        <v>13</v>
      </c>
      <c r="G67">
        <v>3</v>
      </c>
      <c r="H67">
        <v>0</v>
      </c>
      <c r="I67" t="s">
        <v>488</v>
      </c>
      <c r="J67" t="s">
        <v>1234</v>
      </c>
      <c r="K67" t="s">
        <v>1235</v>
      </c>
      <c r="M67" t="s">
        <v>487</v>
      </c>
      <c r="N67">
        <v>0</v>
      </c>
      <c r="O67" t="s">
        <v>1241</v>
      </c>
      <c r="P67">
        <v>2.3609999999999999E-2</v>
      </c>
      <c r="Q67">
        <v>0.3421670351758801</v>
      </c>
      <c r="R67" s="6"/>
    </row>
    <row r="68" spans="1:18" x14ac:dyDescent="0.15">
      <c r="C68" t="s">
        <v>24</v>
      </c>
      <c r="D68">
        <v>5.6281407035180004</v>
      </c>
      <c r="E68">
        <v>1000</v>
      </c>
      <c r="F68" t="s">
        <v>13</v>
      </c>
      <c r="G68">
        <v>3</v>
      </c>
      <c r="H68">
        <v>0</v>
      </c>
      <c r="I68" t="s">
        <v>488</v>
      </c>
      <c r="J68" t="s">
        <v>1234</v>
      </c>
      <c r="K68" t="s">
        <v>1235</v>
      </c>
      <c r="M68" t="s">
        <v>487</v>
      </c>
      <c r="N68">
        <v>0</v>
      </c>
      <c r="O68" t="s">
        <v>1241</v>
      </c>
      <c r="P68">
        <v>2.8500000000000001E-2</v>
      </c>
      <c r="Q68">
        <v>0.16521407035177091</v>
      </c>
      <c r="R68" s="6"/>
    </row>
    <row r="69" spans="1:18" x14ac:dyDescent="0.15">
      <c r="C69" t="s">
        <v>17</v>
      </c>
      <c r="D69">
        <v>12.345679012346</v>
      </c>
      <c r="E69">
        <v>1000</v>
      </c>
      <c r="F69" t="s">
        <v>18</v>
      </c>
      <c r="G69">
        <v>0</v>
      </c>
      <c r="H69">
        <v>0</v>
      </c>
      <c r="I69" t="s">
        <v>488</v>
      </c>
      <c r="J69" t="s">
        <v>1234</v>
      </c>
      <c r="K69" t="s">
        <v>1235</v>
      </c>
      <c r="M69" t="s">
        <v>487</v>
      </c>
      <c r="N69">
        <v>0</v>
      </c>
      <c r="O69" t="s">
        <v>1241</v>
      </c>
      <c r="P69">
        <v>53.85</v>
      </c>
      <c r="Q69">
        <v>664.81481481483218</v>
      </c>
      <c r="R69" s="6"/>
    </row>
    <row r="70" spans="1:18" x14ac:dyDescent="0.15">
      <c r="C70" t="s">
        <v>19</v>
      </c>
      <c r="D70">
        <v>3</v>
      </c>
      <c r="E70">
        <v>1</v>
      </c>
      <c r="F70" t="s">
        <v>18</v>
      </c>
      <c r="G70">
        <v>0</v>
      </c>
      <c r="H70">
        <v>0</v>
      </c>
      <c r="I70" t="s">
        <v>488</v>
      </c>
      <c r="J70" t="s">
        <v>1236</v>
      </c>
      <c r="K70" t="s">
        <v>1235</v>
      </c>
      <c r="M70" t="s">
        <v>487</v>
      </c>
      <c r="N70">
        <v>0</v>
      </c>
      <c r="O70" t="s">
        <v>1241</v>
      </c>
      <c r="P70">
        <v>34.65</v>
      </c>
      <c r="Q70">
        <v>103.94999999999999</v>
      </c>
      <c r="R70" s="6"/>
    </row>
    <row r="71" spans="1:18" x14ac:dyDescent="0.15">
      <c r="A71" t="s">
        <v>40</v>
      </c>
      <c r="B71" t="s">
        <v>479</v>
      </c>
      <c r="P71">
        <v>0.83959237048673618</v>
      </c>
      <c r="R71" s="6"/>
    </row>
    <row r="72" spans="1:18" x14ac:dyDescent="0.15">
      <c r="C72" t="s">
        <v>41</v>
      </c>
      <c r="D72">
        <v>1</v>
      </c>
      <c r="E72">
        <v>1</v>
      </c>
      <c r="F72" t="s">
        <v>9</v>
      </c>
      <c r="G72">
        <v>0</v>
      </c>
      <c r="H72">
        <v>0</v>
      </c>
      <c r="I72" t="s">
        <v>488</v>
      </c>
      <c r="J72" t="s">
        <v>1234</v>
      </c>
      <c r="K72" t="s">
        <v>1235</v>
      </c>
      <c r="M72" t="s">
        <v>487</v>
      </c>
      <c r="N72">
        <v>0</v>
      </c>
      <c r="O72" t="s">
        <v>1241</v>
      </c>
      <c r="P72">
        <v>0.83959237048673618</v>
      </c>
      <c r="Q72">
        <v>0.83959237048673618</v>
      </c>
      <c r="R72" s="6"/>
    </row>
    <row r="73" spans="1:18" x14ac:dyDescent="0.15">
      <c r="A73" t="s">
        <v>42</v>
      </c>
      <c r="B73" t="s">
        <v>479</v>
      </c>
      <c r="P73">
        <v>1.6791847409734724</v>
      </c>
      <c r="R73" s="6"/>
    </row>
    <row r="74" spans="1:18" x14ac:dyDescent="0.15">
      <c r="C74" t="s">
        <v>41</v>
      </c>
      <c r="D74">
        <v>2</v>
      </c>
      <c r="E74">
        <v>1</v>
      </c>
      <c r="F74" t="s">
        <v>9</v>
      </c>
      <c r="G74">
        <v>0</v>
      </c>
      <c r="H74">
        <v>0</v>
      </c>
      <c r="I74" t="s">
        <v>488</v>
      </c>
      <c r="J74" t="s">
        <v>1234</v>
      </c>
      <c r="K74" t="s">
        <v>1235</v>
      </c>
      <c r="M74" t="s">
        <v>487</v>
      </c>
      <c r="N74">
        <v>0</v>
      </c>
      <c r="O74" t="s">
        <v>1241</v>
      </c>
      <c r="P74">
        <v>0.83959237048673618</v>
      </c>
      <c r="Q74">
        <v>1.6791847409734724</v>
      </c>
      <c r="R74" s="6"/>
    </row>
    <row r="75" spans="1:18" x14ac:dyDescent="0.15">
      <c r="A75" t="s">
        <v>41</v>
      </c>
      <c r="B75" t="s">
        <v>9</v>
      </c>
      <c r="P75">
        <v>0.83959237048673618</v>
      </c>
      <c r="R75" s="6"/>
    </row>
    <row r="76" spans="1:18" x14ac:dyDescent="0.15">
      <c r="C76" t="s">
        <v>28</v>
      </c>
      <c r="D76">
        <v>2</v>
      </c>
      <c r="E76">
        <v>1</v>
      </c>
      <c r="F76" t="s">
        <v>9</v>
      </c>
      <c r="G76">
        <v>3</v>
      </c>
      <c r="H76">
        <v>0</v>
      </c>
      <c r="I76" t="s">
        <v>488</v>
      </c>
      <c r="J76" t="s">
        <v>1234</v>
      </c>
      <c r="K76" t="s">
        <v>1235</v>
      </c>
      <c r="M76" t="s">
        <v>487</v>
      </c>
      <c r="N76">
        <v>0</v>
      </c>
      <c r="O76" t="s">
        <v>1241</v>
      </c>
      <c r="P76">
        <v>1.8814270000000001E-2</v>
      </c>
      <c r="Q76">
        <v>38.757396200000002</v>
      </c>
      <c r="R76" s="6"/>
    </row>
    <row r="77" spans="1:18" x14ac:dyDescent="0.15">
      <c r="C77" t="s">
        <v>33</v>
      </c>
      <c r="D77">
        <v>2</v>
      </c>
      <c r="E77">
        <v>1</v>
      </c>
      <c r="F77" t="s">
        <v>9</v>
      </c>
      <c r="G77">
        <v>3</v>
      </c>
      <c r="H77">
        <v>0</v>
      </c>
      <c r="I77" t="s">
        <v>488</v>
      </c>
      <c r="J77" t="s">
        <v>1234</v>
      </c>
      <c r="K77" t="s">
        <v>1235</v>
      </c>
      <c r="M77" t="s">
        <v>487</v>
      </c>
      <c r="N77">
        <v>0</v>
      </c>
      <c r="O77" t="s">
        <v>1241</v>
      </c>
      <c r="P77">
        <v>0</v>
      </c>
      <c r="Q77">
        <v>0</v>
      </c>
      <c r="R77" s="9" t="s">
        <v>1246</v>
      </c>
    </row>
    <row r="78" spans="1:18" x14ac:dyDescent="0.15">
      <c r="C78" t="s">
        <v>12</v>
      </c>
      <c r="D78">
        <v>0.31368844221100001</v>
      </c>
      <c r="E78">
        <v>1</v>
      </c>
      <c r="F78" t="s">
        <v>13</v>
      </c>
      <c r="G78">
        <v>3</v>
      </c>
      <c r="H78">
        <v>0</v>
      </c>
      <c r="I78" t="s">
        <v>488</v>
      </c>
      <c r="J78" t="s">
        <v>1234</v>
      </c>
      <c r="K78" t="s">
        <v>1235</v>
      </c>
      <c r="M78" t="s">
        <v>487</v>
      </c>
      <c r="N78">
        <v>0</v>
      </c>
      <c r="O78" t="s">
        <v>1241</v>
      </c>
      <c r="P78">
        <v>1.03E-2</v>
      </c>
      <c r="Q78">
        <v>3.3279206834164992</v>
      </c>
      <c r="R78" s="6"/>
    </row>
    <row r="79" spans="1:18" x14ac:dyDescent="0.15">
      <c r="C79" t="s">
        <v>14</v>
      </c>
      <c r="D79">
        <v>0.34854271356799998</v>
      </c>
      <c r="E79">
        <v>1</v>
      </c>
      <c r="F79" t="s">
        <v>13</v>
      </c>
      <c r="G79">
        <v>3</v>
      </c>
      <c r="H79">
        <v>0</v>
      </c>
      <c r="I79" t="s">
        <v>488</v>
      </c>
      <c r="J79" t="s">
        <v>1234</v>
      </c>
      <c r="K79" t="s">
        <v>1235</v>
      </c>
      <c r="M79" t="s">
        <v>487</v>
      </c>
      <c r="N79">
        <v>0</v>
      </c>
      <c r="O79" t="s">
        <v>1241</v>
      </c>
      <c r="P79">
        <v>5.4900000000000001E-3</v>
      </c>
      <c r="Q79">
        <v>1.9709044824129696</v>
      </c>
      <c r="R79" s="6"/>
    </row>
    <row r="80" spans="1:18" x14ac:dyDescent="0.15">
      <c r="C80" t="s">
        <v>15</v>
      </c>
      <c r="D80">
        <v>6.9708542713570001</v>
      </c>
      <c r="E80">
        <v>1000</v>
      </c>
      <c r="F80" t="s">
        <v>13</v>
      </c>
      <c r="G80">
        <v>3</v>
      </c>
      <c r="H80">
        <v>0</v>
      </c>
      <c r="I80" t="s">
        <v>488</v>
      </c>
      <c r="J80" t="s">
        <v>1234</v>
      </c>
      <c r="K80" t="s">
        <v>1235</v>
      </c>
      <c r="M80" t="s">
        <v>487</v>
      </c>
      <c r="N80">
        <v>0</v>
      </c>
      <c r="O80" t="s">
        <v>1241</v>
      </c>
      <c r="P80">
        <v>7.9819999999999988E-2</v>
      </c>
      <c r="Q80">
        <v>0.5731059955779072</v>
      </c>
      <c r="R80" s="6"/>
    </row>
    <row r="81" spans="1:18" x14ac:dyDescent="0.15">
      <c r="C81" t="s">
        <v>23</v>
      </c>
      <c r="D81">
        <v>17.427135678392002</v>
      </c>
      <c r="E81">
        <v>1000</v>
      </c>
      <c r="F81" t="s">
        <v>13</v>
      </c>
      <c r="G81">
        <v>3</v>
      </c>
      <c r="H81">
        <v>0</v>
      </c>
      <c r="I81" t="s">
        <v>488</v>
      </c>
      <c r="J81" t="s">
        <v>1234</v>
      </c>
      <c r="K81" t="s">
        <v>1235</v>
      </c>
      <c r="M81" t="s">
        <v>487</v>
      </c>
      <c r="N81">
        <v>0</v>
      </c>
      <c r="O81" t="s">
        <v>1241</v>
      </c>
      <c r="P81">
        <v>2.3609999999999999E-2</v>
      </c>
      <c r="Q81">
        <v>0.4237983135678402</v>
      </c>
      <c r="R81" s="6"/>
    </row>
    <row r="82" spans="1:18" x14ac:dyDescent="0.15">
      <c r="C82" t="s">
        <v>24</v>
      </c>
      <c r="D82">
        <v>6.9708542713570001</v>
      </c>
      <c r="E82">
        <v>1000</v>
      </c>
      <c r="F82" t="s">
        <v>13</v>
      </c>
      <c r="G82">
        <v>3</v>
      </c>
      <c r="H82">
        <v>0</v>
      </c>
      <c r="I82" t="s">
        <v>488</v>
      </c>
      <c r="J82" t="s">
        <v>1234</v>
      </c>
      <c r="K82" t="s">
        <v>1235</v>
      </c>
      <c r="M82" t="s">
        <v>487</v>
      </c>
      <c r="N82">
        <v>0</v>
      </c>
      <c r="O82" t="s">
        <v>1241</v>
      </c>
      <c r="P82">
        <v>2.8500000000000001E-2</v>
      </c>
      <c r="Q82">
        <v>0.20462942713568474</v>
      </c>
      <c r="R82" s="6"/>
    </row>
    <row r="83" spans="1:18" x14ac:dyDescent="0.15">
      <c r="C83" t="s">
        <v>17</v>
      </c>
      <c r="D83">
        <v>12.820512820513002</v>
      </c>
      <c r="E83">
        <v>1000</v>
      </c>
      <c r="F83" t="s">
        <v>18</v>
      </c>
      <c r="G83">
        <v>0</v>
      </c>
      <c r="H83">
        <v>0</v>
      </c>
      <c r="I83" t="s">
        <v>488</v>
      </c>
      <c r="J83" t="s">
        <v>1234</v>
      </c>
      <c r="K83" t="s">
        <v>1235</v>
      </c>
      <c r="M83" t="s">
        <v>487</v>
      </c>
      <c r="N83">
        <v>0</v>
      </c>
      <c r="O83" t="s">
        <v>1241</v>
      </c>
      <c r="P83">
        <v>53.85</v>
      </c>
      <c r="Q83">
        <v>690.38461538462525</v>
      </c>
      <c r="R83" s="6"/>
    </row>
    <row r="84" spans="1:18" x14ac:dyDescent="0.15">
      <c r="C84" t="s">
        <v>19</v>
      </c>
      <c r="D84">
        <v>3</v>
      </c>
      <c r="E84">
        <v>1</v>
      </c>
      <c r="F84" t="s">
        <v>18</v>
      </c>
      <c r="G84">
        <v>0</v>
      </c>
      <c r="H84">
        <v>0</v>
      </c>
      <c r="I84" t="s">
        <v>488</v>
      </c>
      <c r="J84" t="s">
        <v>1236</v>
      </c>
      <c r="K84" t="s">
        <v>1235</v>
      </c>
      <c r="M84" t="s">
        <v>487</v>
      </c>
      <c r="N84">
        <v>0</v>
      </c>
      <c r="O84" t="s">
        <v>1241</v>
      </c>
      <c r="P84">
        <v>34.65</v>
      </c>
      <c r="Q84">
        <v>103.94999999999999</v>
      </c>
      <c r="R84" s="6"/>
    </row>
    <row r="85" spans="1:18" x14ac:dyDescent="0.15">
      <c r="A85" t="s">
        <v>43</v>
      </c>
      <c r="B85" t="s">
        <v>479</v>
      </c>
      <c r="P85">
        <v>0.84587730785928006</v>
      </c>
      <c r="R85" s="6"/>
    </row>
    <row r="86" spans="1:18" x14ac:dyDescent="0.15">
      <c r="C86" t="s">
        <v>44</v>
      </c>
      <c r="D86">
        <v>1</v>
      </c>
      <c r="E86">
        <v>1</v>
      </c>
      <c r="F86" t="s">
        <v>9</v>
      </c>
      <c r="G86">
        <v>0</v>
      </c>
      <c r="H86">
        <v>0</v>
      </c>
      <c r="I86" t="s">
        <v>488</v>
      </c>
      <c r="J86" t="s">
        <v>1234</v>
      </c>
      <c r="K86" t="s">
        <v>1235</v>
      </c>
      <c r="M86" t="s">
        <v>487</v>
      </c>
      <c r="N86">
        <v>0</v>
      </c>
      <c r="O86" t="s">
        <v>1241</v>
      </c>
      <c r="P86">
        <v>0.84587730785928006</v>
      </c>
      <c r="Q86">
        <v>0.84587730785928006</v>
      </c>
      <c r="R86" s="6"/>
    </row>
    <row r="87" spans="1:18" x14ac:dyDescent="0.15">
      <c r="A87" t="s">
        <v>45</v>
      </c>
      <c r="B87" t="s">
        <v>479</v>
      </c>
      <c r="P87">
        <v>1.6917546157185601</v>
      </c>
      <c r="R87" s="6"/>
    </row>
    <row r="88" spans="1:18" x14ac:dyDescent="0.15">
      <c r="C88" t="s">
        <v>44</v>
      </c>
      <c r="D88">
        <v>2</v>
      </c>
      <c r="E88">
        <v>1</v>
      </c>
      <c r="F88" t="s">
        <v>9</v>
      </c>
      <c r="G88">
        <v>0</v>
      </c>
      <c r="H88">
        <v>0</v>
      </c>
      <c r="I88" t="s">
        <v>488</v>
      </c>
      <c r="J88" t="s">
        <v>1234</v>
      </c>
      <c r="K88" t="s">
        <v>1235</v>
      </c>
      <c r="M88" t="s">
        <v>487</v>
      </c>
      <c r="N88">
        <v>0</v>
      </c>
      <c r="O88" t="s">
        <v>1241</v>
      </c>
      <c r="P88">
        <v>0.84587730785928006</v>
      </c>
      <c r="Q88">
        <v>1.6917546157185601</v>
      </c>
      <c r="R88" s="6"/>
    </row>
    <row r="89" spans="1:18" x14ac:dyDescent="0.15">
      <c r="A89" t="s">
        <v>46</v>
      </c>
      <c r="B89" t="s">
        <v>479</v>
      </c>
      <c r="P89">
        <v>0.42293865392964003</v>
      </c>
      <c r="R89" s="6"/>
    </row>
    <row r="90" spans="1:18" x14ac:dyDescent="0.15">
      <c r="C90" t="s">
        <v>44</v>
      </c>
      <c r="D90">
        <v>500</v>
      </c>
      <c r="E90">
        <v>1000</v>
      </c>
      <c r="F90" t="s">
        <v>9</v>
      </c>
      <c r="G90">
        <v>0</v>
      </c>
      <c r="H90">
        <v>0</v>
      </c>
      <c r="I90" t="s">
        <v>488</v>
      </c>
      <c r="J90" t="s">
        <v>1234</v>
      </c>
      <c r="K90" t="s">
        <v>1235</v>
      </c>
      <c r="M90" t="s">
        <v>487</v>
      </c>
      <c r="N90">
        <v>0</v>
      </c>
      <c r="O90" t="s">
        <v>1241</v>
      </c>
      <c r="P90">
        <v>0.84587730785928006</v>
      </c>
      <c r="Q90">
        <v>422.93865392964005</v>
      </c>
      <c r="R90" s="6"/>
    </row>
    <row r="91" spans="1:18" x14ac:dyDescent="0.15">
      <c r="A91" t="s">
        <v>44</v>
      </c>
      <c r="B91" t="s">
        <v>9</v>
      </c>
      <c r="P91">
        <v>0.84587730785928006</v>
      </c>
      <c r="R91" s="6"/>
    </row>
    <row r="92" spans="1:18" x14ac:dyDescent="0.15">
      <c r="C92" t="s">
        <v>29</v>
      </c>
      <c r="D92">
        <v>1</v>
      </c>
      <c r="E92">
        <v>1</v>
      </c>
      <c r="F92" t="s">
        <v>9</v>
      </c>
      <c r="G92">
        <v>3</v>
      </c>
      <c r="H92">
        <v>0</v>
      </c>
      <c r="I92" t="s">
        <v>488</v>
      </c>
      <c r="J92" t="s">
        <v>1234</v>
      </c>
      <c r="K92" t="s">
        <v>1235</v>
      </c>
      <c r="M92" t="s">
        <v>487</v>
      </c>
      <c r="N92">
        <v>0</v>
      </c>
      <c r="O92" t="s">
        <v>1241</v>
      </c>
      <c r="P92">
        <v>0</v>
      </c>
      <c r="Q92">
        <v>0</v>
      </c>
      <c r="R92" s="9" t="s">
        <v>1246</v>
      </c>
    </row>
    <row r="93" spans="1:18" x14ac:dyDescent="0.15">
      <c r="C93" t="s">
        <v>33</v>
      </c>
      <c r="D93">
        <v>4</v>
      </c>
      <c r="E93">
        <v>1</v>
      </c>
      <c r="F93" t="s">
        <v>9</v>
      </c>
      <c r="G93">
        <v>3</v>
      </c>
      <c r="H93">
        <v>0</v>
      </c>
      <c r="I93" t="s">
        <v>488</v>
      </c>
      <c r="J93" t="s">
        <v>1234</v>
      </c>
      <c r="K93" t="s">
        <v>1235</v>
      </c>
      <c r="M93" t="s">
        <v>487</v>
      </c>
      <c r="N93">
        <v>0</v>
      </c>
      <c r="O93" t="s">
        <v>1241</v>
      </c>
      <c r="P93">
        <v>0</v>
      </c>
      <c r="Q93">
        <v>0</v>
      </c>
      <c r="R93" s="9" t="s">
        <v>1246</v>
      </c>
    </row>
    <row r="94" spans="1:18" x14ac:dyDescent="0.15">
      <c r="C94" t="s">
        <v>34</v>
      </c>
      <c r="D94">
        <v>1</v>
      </c>
      <c r="E94">
        <v>1</v>
      </c>
      <c r="F94" t="s">
        <v>9</v>
      </c>
      <c r="G94">
        <v>3</v>
      </c>
      <c r="H94">
        <v>0</v>
      </c>
      <c r="I94" t="s">
        <v>488</v>
      </c>
      <c r="J94" t="s">
        <v>1234</v>
      </c>
      <c r="K94" t="s">
        <v>1235</v>
      </c>
      <c r="M94" t="s">
        <v>487</v>
      </c>
      <c r="N94">
        <v>0</v>
      </c>
      <c r="O94" t="s">
        <v>1241</v>
      </c>
      <c r="P94">
        <v>9.4000000000000004E-3</v>
      </c>
      <c r="Q94">
        <v>9.6820000000000004</v>
      </c>
      <c r="R94" s="6"/>
    </row>
    <row r="95" spans="1:18" x14ac:dyDescent="0.15">
      <c r="C95" t="s">
        <v>12</v>
      </c>
      <c r="D95">
        <v>0.68743718593000003</v>
      </c>
      <c r="E95">
        <v>1</v>
      </c>
      <c r="F95" t="s">
        <v>13</v>
      </c>
      <c r="G95">
        <v>3</v>
      </c>
      <c r="H95">
        <v>0</v>
      </c>
      <c r="I95" t="s">
        <v>488</v>
      </c>
      <c r="J95" t="s">
        <v>1234</v>
      </c>
      <c r="K95" t="s">
        <v>1235</v>
      </c>
      <c r="M95" t="s">
        <v>487</v>
      </c>
      <c r="N95">
        <v>0</v>
      </c>
      <c r="O95" t="s">
        <v>1241</v>
      </c>
      <c r="P95">
        <v>1.03E-2</v>
      </c>
      <c r="Q95">
        <v>7.2930211055313707</v>
      </c>
      <c r="R95" s="6"/>
    </row>
    <row r="96" spans="1:18" x14ac:dyDescent="0.15">
      <c r="C96" t="s">
        <v>14</v>
      </c>
      <c r="D96">
        <v>0.763819095477</v>
      </c>
      <c r="E96">
        <v>1</v>
      </c>
      <c r="F96" t="s">
        <v>13</v>
      </c>
      <c r="G96">
        <v>3</v>
      </c>
      <c r="H96">
        <v>0</v>
      </c>
      <c r="I96" t="s">
        <v>488</v>
      </c>
      <c r="J96" t="s">
        <v>1234</v>
      </c>
      <c r="K96" t="s">
        <v>1235</v>
      </c>
      <c r="M96" t="s">
        <v>487</v>
      </c>
      <c r="N96">
        <v>0</v>
      </c>
      <c r="O96" t="s">
        <v>1241</v>
      </c>
      <c r="P96">
        <v>5.4900000000000001E-3</v>
      </c>
      <c r="Q96">
        <v>4.319167839193792</v>
      </c>
      <c r="R96" s="6"/>
    </row>
    <row r="97" spans="1:18" x14ac:dyDescent="0.15">
      <c r="C97" t="s">
        <v>15</v>
      </c>
      <c r="D97">
        <v>15.276381909548</v>
      </c>
      <c r="E97">
        <v>1000</v>
      </c>
      <c r="F97" t="s">
        <v>13</v>
      </c>
      <c r="G97">
        <v>3</v>
      </c>
      <c r="H97">
        <v>0</v>
      </c>
      <c r="I97" t="s">
        <v>488</v>
      </c>
      <c r="J97" t="s">
        <v>1234</v>
      </c>
      <c r="K97" t="s">
        <v>1235</v>
      </c>
      <c r="M97" t="s">
        <v>487</v>
      </c>
      <c r="N97">
        <v>0</v>
      </c>
      <c r="O97" t="s">
        <v>1241</v>
      </c>
      <c r="P97">
        <v>7.9819999999999988E-2</v>
      </c>
      <c r="Q97">
        <v>1.255941628140725</v>
      </c>
      <c r="R97" s="6"/>
    </row>
    <row r="98" spans="1:18" x14ac:dyDescent="0.15">
      <c r="C98" t="s">
        <v>23</v>
      </c>
      <c r="D98">
        <v>38.190954773869002</v>
      </c>
      <c r="E98">
        <v>1000</v>
      </c>
      <c r="F98" t="s">
        <v>13</v>
      </c>
      <c r="G98">
        <v>3</v>
      </c>
      <c r="H98">
        <v>0</v>
      </c>
      <c r="I98" t="s">
        <v>488</v>
      </c>
      <c r="J98" t="s">
        <v>1234</v>
      </c>
      <c r="K98" t="s">
        <v>1235</v>
      </c>
      <c r="M98" t="s">
        <v>487</v>
      </c>
      <c r="N98">
        <v>0</v>
      </c>
      <c r="O98" t="s">
        <v>1241</v>
      </c>
      <c r="P98">
        <v>2.3609999999999999E-2</v>
      </c>
      <c r="Q98">
        <v>0.92873909547737843</v>
      </c>
      <c r="R98" s="6"/>
    </row>
    <row r="99" spans="1:18" x14ac:dyDescent="0.15">
      <c r="C99" t="s">
        <v>24</v>
      </c>
      <c r="D99">
        <v>15.276381909548</v>
      </c>
      <c r="E99">
        <v>1000</v>
      </c>
      <c r="F99" t="s">
        <v>13</v>
      </c>
      <c r="G99">
        <v>3</v>
      </c>
      <c r="H99">
        <v>0</v>
      </c>
      <c r="I99" t="s">
        <v>488</v>
      </c>
      <c r="J99" t="s">
        <v>1234</v>
      </c>
      <c r="K99" t="s">
        <v>1235</v>
      </c>
      <c r="M99" t="s">
        <v>487</v>
      </c>
      <c r="N99">
        <v>0</v>
      </c>
      <c r="O99" t="s">
        <v>1241</v>
      </c>
      <c r="P99">
        <v>2.8500000000000001E-2</v>
      </c>
      <c r="Q99">
        <v>0.4484381909547816</v>
      </c>
      <c r="R99" s="6"/>
    </row>
    <row r="100" spans="1:18" x14ac:dyDescent="0.15">
      <c r="C100" t="s">
        <v>17</v>
      </c>
      <c r="D100">
        <v>13.333333333333</v>
      </c>
      <c r="E100">
        <v>1000</v>
      </c>
      <c r="F100" t="s">
        <v>18</v>
      </c>
      <c r="G100">
        <v>0</v>
      </c>
      <c r="H100">
        <v>0</v>
      </c>
      <c r="I100" t="s">
        <v>488</v>
      </c>
      <c r="J100" t="s">
        <v>1234</v>
      </c>
      <c r="K100" t="s">
        <v>1235</v>
      </c>
      <c r="M100" t="s">
        <v>487</v>
      </c>
      <c r="N100">
        <v>0</v>
      </c>
      <c r="O100" t="s">
        <v>1241</v>
      </c>
      <c r="P100">
        <v>53.85</v>
      </c>
      <c r="Q100">
        <v>717.99999999998204</v>
      </c>
      <c r="R100" s="6"/>
    </row>
    <row r="101" spans="1:18" x14ac:dyDescent="0.15">
      <c r="C101" t="s">
        <v>19</v>
      </c>
      <c r="D101">
        <v>3</v>
      </c>
      <c r="E101">
        <v>1</v>
      </c>
      <c r="F101" t="s">
        <v>18</v>
      </c>
      <c r="G101">
        <v>0</v>
      </c>
      <c r="H101">
        <v>0</v>
      </c>
      <c r="I101" t="s">
        <v>488</v>
      </c>
      <c r="J101" t="s">
        <v>1236</v>
      </c>
      <c r="K101" t="s">
        <v>1235</v>
      </c>
      <c r="M101" t="s">
        <v>487</v>
      </c>
      <c r="N101">
        <v>0</v>
      </c>
      <c r="O101" t="s">
        <v>1241</v>
      </c>
      <c r="P101">
        <v>34.65</v>
      </c>
      <c r="Q101">
        <v>103.94999999999999</v>
      </c>
      <c r="R101" s="6"/>
    </row>
    <row r="102" spans="1:18" x14ac:dyDescent="0.15">
      <c r="A102" t="s">
        <v>47</v>
      </c>
      <c r="B102" t="s">
        <v>479</v>
      </c>
      <c r="P102">
        <v>0.87735827020436141</v>
      </c>
      <c r="R102" s="6"/>
    </row>
    <row r="103" spans="1:18" x14ac:dyDescent="0.15">
      <c r="C103" t="s">
        <v>48</v>
      </c>
      <c r="D103">
        <v>1</v>
      </c>
      <c r="E103">
        <v>1</v>
      </c>
      <c r="F103" t="s">
        <v>9</v>
      </c>
      <c r="G103">
        <v>0</v>
      </c>
      <c r="H103">
        <v>0</v>
      </c>
      <c r="I103" t="s">
        <v>488</v>
      </c>
      <c r="J103" t="s">
        <v>1234</v>
      </c>
      <c r="K103" t="s">
        <v>1235</v>
      </c>
      <c r="M103" t="s">
        <v>487</v>
      </c>
      <c r="N103">
        <v>0</v>
      </c>
      <c r="O103" t="s">
        <v>1241</v>
      </c>
      <c r="P103">
        <v>0.87735827020436141</v>
      </c>
      <c r="Q103">
        <v>0.87735827020436141</v>
      </c>
      <c r="R103" s="6"/>
    </row>
    <row r="104" spans="1:18" x14ac:dyDescent="0.15">
      <c r="A104" t="s">
        <v>49</v>
      </c>
      <c r="B104" t="s">
        <v>479</v>
      </c>
      <c r="P104">
        <v>1.7547165404087228</v>
      </c>
      <c r="R104" s="6"/>
    </row>
    <row r="105" spans="1:18" x14ac:dyDescent="0.15">
      <c r="C105" t="s">
        <v>48</v>
      </c>
      <c r="D105">
        <v>2</v>
      </c>
      <c r="E105">
        <v>1</v>
      </c>
      <c r="F105" t="s">
        <v>9</v>
      </c>
      <c r="G105">
        <v>0</v>
      </c>
      <c r="H105">
        <v>0</v>
      </c>
      <c r="I105" t="s">
        <v>488</v>
      </c>
      <c r="J105" t="s">
        <v>1234</v>
      </c>
      <c r="K105" t="s">
        <v>1235</v>
      </c>
      <c r="M105" t="s">
        <v>487</v>
      </c>
      <c r="N105">
        <v>0</v>
      </c>
      <c r="O105" t="s">
        <v>1241</v>
      </c>
      <c r="P105">
        <v>0.87735827020436141</v>
      </c>
      <c r="Q105">
        <v>1.7547165404087228</v>
      </c>
      <c r="R105" s="6"/>
    </row>
    <row r="106" spans="1:18" x14ac:dyDescent="0.15">
      <c r="A106" t="s">
        <v>50</v>
      </c>
      <c r="B106" t="s">
        <v>479</v>
      </c>
      <c r="P106">
        <v>0.43867913510218071</v>
      </c>
      <c r="R106" s="6"/>
    </row>
    <row r="107" spans="1:18" x14ac:dyDescent="0.15">
      <c r="C107" t="s">
        <v>48</v>
      </c>
      <c r="D107">
        <v>500</v>
      </c>
      <c r="E107">
        <v>1000</v>
      </c>
      <c r="F107" t="s">
        <v>9</v>
      </c>
      <c r="G107">
        <v>0</v>
      </c>
      <c r="H107">
        <v>0</v>
      </c>
      <c r="I107" t="s">
        <v>488</v>
      </c>
      <c r="J107" t="s">
        <v>1234</v>
      </c>
      <c r="K107" t="s">
        <v>1235</v>
      </c>
      <c r="M107" t="s">
        <v>487</v>
      </c>
      <c r="N107">
        <v>0</v>
      </c>
      <c r="O107" t="s">
        <v>1241</v>
      </c>
      <c r="P107">
        <v>0.87735827020436141</v>
      </c>
      <c r="Q107">
        <v>438.67913510218068</v>
      </c>
      <c r="R107" s="6"/>
    </row>
    <row r="108" spans="1:18" x14ac:dyDescent="0.15">
      <c r="A108" t="s">
        <v>48</v>
      </c>
      <c r="B108" t="s">
        <v>9</v>
      </c>
      <c r="P108">
        <v>0.87735827020436141</v>
      </c>
      <c r="R108" s="6"/>
    </row>
    <row r="109" spans="1:18" x14ac:dyDescent="0.15">
      <c r="C109" t="s">
        <v>39</v>
      </c>
      <c r="D109">
        <v>1</v>
      </c>
      <c r="E109">
        <v>1</v>
      </c>
      <c r="F109" t="s">
        <v>9</v>
      </c>
      <c r="G109">
        <v>3</v>
      </c>
      <c r="H109">
        <v>0</v>
      </c>
      <c r="I109" t="s">
        <v>488</v>
      </c>
      <c r="J109" t="s">
        <v>1234</v>
      </c>
      <c r="K109" t="s">
        <v>1235</v>
      </c>
      <c r="M109" t="s">
        <v>487</v>
      </c>
      <c r="N109">
        <v>0</v>
      </c>
      <c r="O109" t="s">
        <v>1241</v>
      </c>
      <c r="P109">
        <v>0</v>
      </c>
      <c r="Q109">
        <v>0</v>
      </c>
      <c r="R109" s="9" t="s">
        <v>1246</v>
      </c>
    </row>
    <row r="110" spans="1:18" x14ac:dyDescent="0.15">
      <c r="C110" t="s">
        <v>33</v>
      </c>
      <c r="D110">
        <v>8</v>
      </c>
      <c r="E110">
        <v>1</v>
      </c>
      <c r="F110" t="s">
        <v>9</v>
      </c>
      <c r="G110">
        <v>3</v>
      </c>
      <c r="H110">
        <v>0</v>
      </c>
      <c r="I110" t="s">
        <v>488</v>
      </c>
      <c r="J110" t="s">
        <v>1234</v>
      </c>
      <c r="K110" t="s">
        <v>1235</v>
      </c>
      <c r="M110" t="s">
        <v>487</v>
      </c>
      <c r="N110">
        <v>0</v>
      </c>
      <c r="O110" t="s">
        <v>1241</v>
      </c>
      <c r="P110">
        <v>0</v>
      </c>
      <c r="Q110">
        <v>0</v>
      </c>
      <c r="R110" s="9" t="s">
        <v>1246</v>
      </c>
    </row>
    <row r="111" spans="1:18" x14ac:dyDescent="0.15">
      <c r="C111" t="s">
        <v>12</v>
      </c>
      <c r="D111">
        <v>1.230150753769</v>
      </c>
      <c r="E111">
        <v>1</v>
      </c>
      <c r="F111" t="s">
        <v>13</v>
      </c>
      <c r="G111">
        <v>3</v>
      </c>
      <c r="H111">
        <v>0</v>
      </c>
      <c r="I111" t="s">
        <v>488</v>
      </c>
      <c r="J111" t="s">
        <v>1234</v>
      </c>
      <c r="K111" t="s">
        <v>1235</v>
      </c>
      <c r="M111" t="s">
        <v>487</v>
      </c>
      <c r="N111">
        <v>0</v>
      </c>
      <c r="O111" t="s">
        <v>1241</v>
      </c>
      <c r="P111">
        <v>1.03E-2</v>
      </c>
      <c r="Q111">
        <v>13.050669346735321</v>
      </c>
      <c r="R111" s="6"/>
    </row>
    <row r="112" spans="1:18" x14ac:dyDescent="0.15">
      <c r="C112" t="s">
        <v>14</v>
      </c>
      <c r="D112">
        <v>1.3668341708539999</v>
      </c>
      <c r="E112">
        <v>1</v>
      </c>
      <c r="F112" t="s">
        <v>13</v>
      </c>
      <c r="G112">
        <v>3</v>
      </c>
      <c r="H112">
        <v>0</v>
      </c>
      <c r="I112" t="s">
        <v>488</v>
      </c>
      <c r="J112" t="s">
        <v>1234</v>
      </c>
      <c r="K112" t="s">
        <v>1235</v>
      </c>
      <c r="M112" t="s">
        <v>487</v>
      </c>
      <c r="N112">
        <v>0</v>
      </c>
      <c r="O112" t="s">
        <v>1241</v>
      </c>
      <c r="P112">
        <v>5.4900000000000001E-3</v>
      </c>
      <c r="Q112">
        <v>7.7290371859281137</v>
      </c>
      <c r="R112" s="6"/>
    </row>
    <row r="113" spans="1:18" x14ac:dyDescent="0.15">
      <c r="C113" t="s">
        <v>15</v>
      </c>
      <c r="D113">
        <v>27.336683417085002</v>
      </c>
      <c r="E113">
        <v>1000</v>
      </c>
      <c r="F113" t="s">
        <v>13</v>
      </c>
      <c r="G113">
        <v>3</v>
      </c>
      <c r="H113">
        <v>0</v>
      </c>
      <c r="I113" t="s">
        <v>488</v>
      </c>
      <c r="J113" t="s">
        <v>1234</v>
      </c>
      <c r="K113" t="s">
        <v>1235</v>
      </c>
      <c r="M113" t="s">
        <v>487</v>
      </c>
      <c r="N113">
        <v>0</v>
      </c>
      <c r="O113" t="s">
        <v>1241</v>
      </c>
      <c r="P113">
        <v>7.9819999999999988E-2</v>
      </c>
      <c r="Q113">
        <v>2.2474744924622763</v>
      </c>
      <c r="R113" s="6"/>
    </row>
    <row r="114" spans="1:18" x14ac:dyDescent="0.15">
      <c r="C114" t="s">
        <v>23</v>
      </c>
      <c r="D114">
        <v>68.341708542714002</v>
      </c>
      <c r="E114">
        <v>1000</v>
      </c>
      <c r="F114" t="s">
        <v>13</v>
      </c>
      <c r="G114">
        <v>3</v>
      </c>
      <c r="H114">
        <v>0</v>
      </c>
      <c r="I114" t="s">
        <v>488</v>
      </c>
      <c r="J114" t="s">
        <v>1234</v>
      </c>
      <c r="K114" t="s">
        <v>1235</v>
      </c>
      <c r="M114" t="s">
        <v>487</v>
      </c>
      <c r="N114">
        <v>0</v>
      </c>
      <c r="O114" t="s">
        <v>1241</v>
      </c>
      <c r="P114">
        <v>2.3609999999999999E-2</v>
      </c>
      <c r="Q114">
        <v>1.6619541708542818</v>
      </c>
      <c r="R114" s="6"/>
    </row>
    <row r="115" spans="1:18" x14ac:dyDescent="0.15">
      <c r="C115" t="s">
        <v>24</v>
      </c>
      <c r="D115">
        <v>27.336683417085002</v>
      </c>
      <c r="E115">
        <v>1000</v>
      </c>
      <c r="F115" t="s">
        <v>13</v>
      </c>
      <c r="G115">
        <v>3</v>
      </c>
      <c r="H115">
        <v>0</v>
      </c>
      <c r="I115" t="s">
        <v>488</v>
      </c>
      <c r="J115" t="s">
        <v>1234</v>
      </c>
      <c r="K115" t="s">
        <v>1235</v>
      </c>
      <c r="M115" t="s">
        <v>487</v>
      </c>
      <c r="N115">
        <v>0</v>
      </c>
      <c r="O115" t="s">
        <v>1241</v>
      </c>
      <c r="P115">
        <v>2.8500000000000001E-2</v>
      </c>
      <c r="Q115">
        <v>0.80246834170853021</v>
      </c>
      <c r="R115" s="6"/>
    </row>
    <row r="116" spans="1:18" x14ac:dyDescent="0.15">
      <c r="C116" t="s">
        <v>17</v>
      </c>
      <c r="D116">
        <v>13.888888888889001</v>
      </c>
      <c r="E116">
        <v>1000</v>
      </c>
      <c r="F116" t="s">
        <v>18</v>
      </c>
      <c r="G116">
        <v>0</v>
      </c>
      <c r="H116">
        <v>0</v>
      </c>
      <c r="I116" t="s">
        <v>488</v>
      </c>
      <c r="J116" t="s">
        <v>1234</v>
      </c>
      <c r="K116" t="s">
        <v>1235</v>
      </c>
      <c r="M116" t="s">
        <v>487</v>
      </c>
      <c r="N116">
        <v>0</v>
      </c>
      <c r="O116" t="s">
        <v>1241</v>
      </c>
      <c r="P116">
        <v>53.85</v>
      </c>
      <c r="Q116">
        <v>747.91666666667277</v>
      </c>
      <c r="R116" s="6"/>
    </row>
    <row r="117" spans="1:18" x14ac:dyDescent="0.15">
      <c r="C117" t="s">
        <v>19</v>
      </c>
      <c r="D117">
        <v>3</v>
      </c>
      <c r="E117">
        <v>1</v>
      </c>
      <c r="F117" t="s">
        <v>18</v>
      </c>
      <c r="G117">
        <v>0</v>
      </c>
      <c r="H117">
        <v>0</v>
      </c>
      <c r="I117" t="s">
        <v>488</v>
      </c>
      <c r="J117" t="s">
        <v>1236</v>
      </c>
      <c r="K117" t="s">
        <v>1235</v>
      </c>
      <c r="M117" t="s">
        <v>487</v>
      </c>
      <c r="N117">
        <v>0</v>
      </c>
      <c r="O117" t="s">
        <v>1241</v>
      </c>
      <c r="P117">
        <v>34.65</v>
      </c>
      <c r="Q117">
        <v>103.94999999999999</v>
      </c>
      <c r="R117" s="6"/>
    </row>
    <row r="118" spans="1:18" x14ac:dyDescent="0.15">
      <c r="A118" t="s">
        <v>51</v>
      </c>
      <c r="B118" t="s">
        <v>479</v>
      </c>
      <c r="P118">
        <v>0.95908991900054508</v>
      </c>
      <c r="R118" s="6"/>
    </row>
    <row r="119" spans="1:18" x14ac:dyDescent="0.15">
      <c r="C119" t="s">
        <v>52</v>
      </c>
      <c r="D119">
        <v>1</v>
      </c>
      <c r="E119">
        <v>1</v>
      </c>
      <c r="F119" t="s">
        <v>9</v>
      </c>
      <c r="G119">
        <v>0</v>
      </c>
      <c r="H119">
        <v>0</v>
      </c>
      <c r="I119" t="s">
        <v>488</v>
      </c>
      <c r="J119" t="s">
        <v>1234</v>
      </c>
      <c r="K119" t="s">
        <v>1235</v>
      </c>
      <c r="M119" t="s">
        <v>487</v>
      </c>
      <c r="N119">
        <v>0</v>
      </c>
      <c r="O119" t="s">
        <v>1241</v>
      </c>
      <c r="P119">
        <v>0.95908991900054508</v>
      </c>
      <c r="Q119">
        <v>0.95908991900054508</v>
      </c>
      <c r="R119" s="6"/>
    </row>
    <row r="120" spans="1:18" x14ac:dyDescent="0.15">
      <c r="A120" t="s">
        <v>53</v>
      </c>
      <c r="B120" t="s">
        <v>479</v>
      </c>
      <c r="P120">
        <v>1.9181798380010902</v>
      </c>
      <c r="R120" s="6"/>
    </row>
    <row r="121" spans="1:18" x14ac:dyDescent="0.15">
      <c r="C121" t="s">
        <v>52</v>
      </c>
      <c r="D121">
        <v>2</v>
      </c>
      <c r="E121">
        <v>1</v>
      </c>
      <c r="F121" t="s">
        <v>9</v>
      </c>
      <c r="G121">
        <v>0</v>
      </c>
      <c r="H121">
        <v>0</v>
      </c>
      <c r="I121" t="s">
        <v>488</v>
      </c>
      <c r="J121" t="s">
        <v>1234</v>
      </c>
      <c r="K121" t="s">
        <v>1235</v>
      </c>
      <c r="M121" t="s">
        <v>487</v>
      </c>
      <c r="N121">
        <v>0</v>
      </c>
      <c r="O121" t="s">
        <v>1241</v>
      </c>
      <c r="P121">
        <v>0.95908991900054508</v>
      </c>
      <c r="Q121">
        <v>1.9181798380010902</v>
      </c>
      <c r="R121" s="6"/>
    </row>
    <row r="122" spans="1:18" x14ac:dyDescent="0.15">
      <c r="A122" t="s">
        <v>54</v>
      </c>
      <c r="B122" t="s">
        <v>479</v>
      </c>
      <c r="P122">
        <v>0.47954495950027254</v>
      </c>
      <c r="R122" s="6"/>
    </row>
    <row r="123" spans="1:18" x14ac:dyDescent="0.15">
      <c r="C123" t="s">
        <v>52</v>
      </c>
      <c r="D123">
        <v>500</v>
      </c>
      <c r="E123">
        <v>1000</v>
      </c>
      <c r="F123" t="s">
        <v>9</v>
      </c>
      <c r="G123">
        <v>0</v>
      </c>
      <c r="H123">
        <v>0</v>
      </c>
      <c r="I123" t="s">
        <v>488</v>
      </c>
      <c r="J123" t="s">
        <v>1234</v>
      </c>
      <c r="K123" t="s">
        <v>1235</v>
      </c>
      <c r="M123" t="s">
        <v>487</v>
      </c>
      <c r="N123">
        <v>0</v>
      </c>
      <c r="O123" t="s">
        <v>1241</v>
      </c>
      <c r="P123">
        <v>0.95908991900054508</v>
      </c>
      <c r="Q123">
        <v>479.54495950027251</v>
      </c>
      <c r="R123" s="6"/>
    </row>
    <row r="124" spans="1:18" x14ac:dyDescent="0.15">
      <c r="A124" t="s">
        <v>52</v>
      </c>
      <c r="B124" t="s">
        <v>9</v>
      </c>
      <c r="P124">
        <v>0.95908991900054508</v>
      </c>
      <c r="R124" s="6"/>
    </row>
    <row r="125" spans="1:18" x14ac:dyDescent="0.15">
      <c r="C125" t="s">
        <v>33</v>
      </c>
      <c r="D125">
        <v>13</v>
      </c>
      <c r="E125">
        <v>1</v>
      </c>
      <c r="F125" t="s">
        <v>9</v>
      </c>
      <c r="G125">
        <v>3</v>
      </c>
      <c r="H125">
        <v>0</v>
      </c>
      <c r="I125" t="s">
        <v>488</v>
      </c>
      <c r="J125" t="s">
        <v>1234</v>
      </c>
      <c r="K125" t="s">
        <v>1235</v>
      </c>
      <c r="M125" t="s">
        <v>487</v>
      </c>
      <c r="N125">
        <v>0</v>
      </c>
      <c r="O125" t="s">
        <v>1241</v>
      </c>
      <c r="P125">
        <v>0</v>
      </c>
      <c r="Q125">
        <v>0</v>
      </c>
      <c r="R125" s="9" t="s">
        <v>1246</v>
      </c>
    </row>
    <row r="126" spans="1:18" x14ac:dyDescent="0.15">
      <c r="C126" t="s">
        <v>12</v>
      </c>
      <c r="D126">
        <v>1.8931658291460001</v>
      </c>
      <c r="E126">
        <v>1</v>
      </c>
      <c r="F126" t="s">
        <v>13</v>
      </c>
      <c r="G126">
        <v>3</v>
      </c>
      <c r="H126">
        <v>0</v>
      </c>
      <c r="I126" t="s">
        <v>488</v>
      </c>
      <c r="J126" t="s">
        <v>1234</v>
      </c>
      <c r="K126" t="s">
        <v>1235</v>
      </c>
      <c r="M126" t="s">
        <v>487</v>
      </c>
      <c r="N126">
        <v>0</v>
      </c>
      <c r="O126" t="s">
        <v>1241</v>
      </c>
      <c r="P126">
        <v>1.03E-2</v>
      </c>
      <c r="Q126">
        <v>20.084596281409915</v>
      </c>
      <c r="R126" s="6"/>
    </row>
    <row r="127" spans="1:18" x14ac:dyDescent="0.15">
      <c r="C127" t="s">
        <v>14</v>
      </c>
      <c r="D127">
        <v>2.1035175879399999</v>
      </c>
      <c r="E127">
        <v>1</v>
      </c>
      <c r="F127" t="s">
        <v>13</v>
      </c>
      <c r="G127">
        <v>3</v>
      </c>
      <c r="H127">
        <v>0</v>
      </c>
      <c r="I127" t="s">
        <v>488</v>
      </c>
      <c r="J127" t="s">
        <v>1234</v>
      </c>
      <c r="K127" t="s">
        <v>1235</v>
      </c>
      <c r="M127" t="s">
        <v>487</v>
      </c>
      <c r="N127">
        <v>0</v>
      </c>
      <c r="O127" t="s">
        <v>1241</v>
      </c>
      <c r="P127">
        <v>5.4900000000000001E-3</v>
      </c>
      <c r="Q127">
        <v>11.894760904524317</v>
      </c>
      <c r="R127" s="6"/>
    </row>
    <row r="128" spans="1:18" x14ac:dyDescent="0.15">
      <c r="C128" t="s">
        <v>15</v>
      </c>
      <c r="D128">
        <v>42.070351758794004</v>
      </c>
      <c r="E128">
        <v>1000</v>
      </c>
      <c r="F128" t="s">
        <v>13</v>
      </c>
      <c r="G128">
        <v>3</v>
      </c>
      <c r="H128">
        <v>0</v>
      </c>
      <c r="I128" t="s">
        <v>488</v>
      </c>
      <c r="J128" t="s">
        <v>1234</v>
      </c>
      <c r="K128" t="s">
        <v>1235</v>
      </c>
      <c r="M128" t="s">
        <v>487</v>
      </c>
      <c r="N128">
        <v>0</v>
      </c>
      <c r="O128" t="s">
        <v>1241</v>
      </c>
      <c r="P128">
        <v>7.9819999999999988E-2</v>
      </c>
      <c r="Q128">
        <v>3.458797141708545</v>
      </c>
      <c r="R128" s="6"/>
    </row>
    <row r="129" spans="1:18" x14ac:dyDescent="0.15">
      <c r="C129" t="s">
        <v>23</v>
      </c>
      <c r="D129">
        <v>0.105175879397</v>
      </c>
      <c r="E129">
        <v>1</v>
      </c>
      <c r="F129" t="s">
        <v>13</v>
      </c>
      <c r="G129">
        <v>3</v>
      </c>
      <c r="H129">
        <v>0</v>
      </c>
      <c r="I129" t="s">
        <v>488</v>
      </c>
      <c r="J129" t="s">
        <v>1234</v>
      </c>
      <c r="K129" t="s">
        <v>1235</v>
      </c>
      <c r="M129" t="s">
        <v>487</v>
      </c>
      <c r="N129">
        <v>0</v>
      </c>
      <c r="O129" t="s">
        <v>1241</v>
      </c>
      <c r="P129">
        <v>2.3609999999999999E-2</v>
      </c>
      <c r="Q129">
        <v>2.5576985879400649</v>
      </c>
      <c r="R129" s="6"/>
    </row>
    <row r="130" spans="1:18" x14ac:dyDescent="0.15">
      <c r="C130" t="s">
        <v>24</v>
      </c>
      <c r="D130">
        <v>42.070351758794004</v>
      </c>
      <c r="E130">
        <v>1000</v>
      </c>
      <c r="F130" t="s">
        <v>13</v>
      </c>
      <c r="G130">
        <v>3</v>
      </c>
      <c r="H130">
        <v>0</v>
      </c>
      <c r="I130" t="s">
        <v>488</v>
      </c>
      <c r="J130" t="s">
        <v>1234</v>
      </c>
      <c r="K130" t="s">
        <v>1235</v>
      </c>
      <c r="M130" t="s">
        <v>487</v>
      </c>
      <c r="N130">
        <v>0</v>
      </c>
      <c r="O130" t="s">
        <v>1241</v>
      </c>
      <c r="P130">
        <v>2.8500000000000001E-2</v>
      </c>
      <c r="Q130">
        <v>1.2349751758793981</v>
      </c>
      <c r="R130" s="6"/>
    </row>
    <row r="131" spans="1:18" x14ac:dyDescent="0.15">
      <c r="C131" t="s">
        <v>17</v>
      </c>
      <c r="D131">
        <v>15.151515151515</v>
      </c>
      <c r="E131">
        <v>1000</v>
      </c>
      <c r="F131" t="s">
        <v>18</v>
      </c>
      <c r="G131">
        <v>0</v>
      </c>
      <c r="H131">
        <v>0</v>
      </c>
      <c r="I131" t="s">
        <v>488</v>
      </c>
      <c r="J131" t="s">
        <v>1234</v>
      </c>
      <c r="K131" t="s">
        <v>1235</v>
      </c>
      <c r="M131" t="s">
        <v>487</v>
      </c>
      <c r="N131">
        <v>0</v>
      </c>
      <c r="O131" t="s">
        <v>1241</v>
      </c>
      <c r="P131">
        <v>53.85</v>
      </c>
      <c r="Q131">
        <v>815.90909090908269</v>
      </c>
      <c r="R131" s="6"/>
    </row>
    <row r="132" spans="1:18" x14ac:dyDescent="0.15">
      <c r="C132" t="s">
        <v>19</v>
      </c>
      <c r="D132">
        <v>3</v>
      </c>
      <c r="E132">
        <v>1</v>
      </c>
      <c r="F132" t="s">
        <v>18</v>
      </c>
      <c r="G132">
        <v>0</v>
      </c>
      <c r="H132">
        <v>0</v>
      </c>
      <c r="I132" t="s">
        <v>488</v>
      </c>
      <c r="J132" t="s">
        <v>1236</v>
      </c>
      <c r="K132" t="s">
        <v>1235</v>
      </c>
      <c r="M132" t="s">
        <v>487</v>
      </c>
      <c r="N132">
        <v>0</v>
      </c>
      <c r="O132" t="s">
        <v>1241</v>
      </c>
      <c r="P132">
        <v>34.65</v>
      </c>
      <c r="Q132">
        <v>103.94999999999999</v>
      </c>
      <c r="R132" s="6"/>
    </row>
    <row r="133" spans="1:18" x14ac:dyDescent="0.15">
      <c r="A133" t="s">
        <v>55</v>
      </c>
      <c r="B133" t="s">
        <v>479</v>
      </c>
      <c r="P133">
        <v>0.55450350174630514</v>
      </c>
      <c r="R133" s="6"/>
    </row>
    <row r="134" spans="1:18" x14ac:dyDescent="0.15">
      <c r="C134" t="s">
        <v>56</v>
      </c>
      <c r="D134">
        <v>1</v>
      </c>
      <c r="E134">
        <v>1</v>
      </c>
      <c r="F134" t="s">
        <v>9</v>
      </c>
      <c r="G134">
        <v>0</v>
      </c>
      <c r="H134">
        <v>0</v>
      </c>
      <c r="I134" t="s">
        <v>488</v>
      </c>
      <c r="J134" t="s">
        <v>1234</v>
      </c>
      <c r="K134" t="s">
        <v>1235</v>
      </c>
      <c r="M134" t="s">
        <v>487</v>
      </c>
      <c r="N134">
        <v>0</v>
      </c>
      <c r="O134" t="s">
        <v>1241</v>
      </c>
      <c r="P134">
        <v>0.55450350174630514</v>
      </c>
      <c r="Q134">
        <v>0.55450350174630514</v>
      </c>
      <c r="R134" s="6"/>
    </row>
    <row r="135" spans="1:18" x14ac:dyDescent="0.15">
      <c r="A135" t="s">
        <v>57</v>
      </c>
      <c r="B135" t="s">
        <v>479</v>
      </c>
      <c r="P135">
        <v>1.1090070034926103</v>
      </c>
      <c r="R135" s="6"/>
    </row>
    <row r="136" spans="1:18" x14ac:dyDescent="0.15">
      <c r="C136" t="s">
        <v>56</v>
      </c>
      <c r="D136">
        <v>2</v>
      </c>
      <c r="E136">
        <v>1</v>
      </c>
      <c r="F136" t="s">
        <v>9</v>
      </c>
      <c r="G136">
        <v>0</v>
      </c>
      <c r="H136">
        <v>0</v>
      </c>
      <c r="I136" t="s">
        <v>488</v>
      </c>
      <c r="J136" t="s">
        <v>1234</v>
      </c>
      <c r="K136" t="s">
        <v>1235</v>
      </c>
      <c r="M136" t="s">
        <v>487</v>
      </c>
      <c r="N136">
        <v>0</v>
      </c>
      <c r="O136" t="s">
        <v>1241</v>
      </c>
      <c r="P136">
        <v>0.55450350174630514</v>
      </c>
      <c r="Q136">
        <v>1.1090070034926103</v>
      </c>
      <c r="R136" s="6"/>
    </row>
    <row r="137" spans="1:18" x14ac:dyDescent="0.15">
      <c r="A137" t="s">
        <v>58</v>
      </c>
      <c r="B137" t="s">
        <v>479</v>
      </c>
      <c r="P137">
        <v>0.27725175087315257</v>
      </c>
      <c r="R137" s="6"/>
    </row>
    <row r="138" spans="1:18" x14ac:dyDescent="0.15">
      <c r="C138" t="s">
        <v>56</v>
      </c>
      <c r="D138">
        <v>500</v>
      </c>
      <c r="E138">
        <v>1000</v>
      </c>
      <c r="F138" t="s">
        <v>9</v>
      </c>
      <c r="G138">
        <v>0</v>
      </c>
      <c r="H138">
        <v>0</v>
      </c>
      <c r="I138" t="s">
        <v>488</v>
      </c>
      <c r="J138" t="s">
        <v>1234</v>
      </c>
      <c r="K138" t="s">
        <v>1235</v>
      </c>
      <c r="M138" t="s">
        <v>487</v>
      </c>
      <c r="N138">
        <v>0</v>
      </c>
      <c r="O138" t="s">
        <v>1241</v>
      </c>
      <c r="P138">
        <v>0.55450350174630514</v>
      </c>
      <c r="Q138">
        <v>277.25175087315256</v>
      </c>
      <c r="R138" s="6"/>
    </row>
    <row r="139" spans="1:18" x14ac:dyDescent="0.15">
      <c r="A139" t="s">
        <v>56</v>
      </c>
      <c r="B139" t="s">
        <v>9</v>
      </c>
      <c r="P139">
        <v>0.55450350174630514</v>
      </c>
      <c r="R139" s="6"/>
    </row>
    <row r="140" spans="1:18" x14ac:dyDescent="0.15">
      <c r="C140" t="s">
        <v>22</v>
      </c>
      <c r="D140">
        <v>7</v>
      </c>
      <c r="E140">
        <v>1</v>
      </c>
      <c r="F140" t="s">
        <v>9</v>
      </c>
      <c r="G140">
        <v>3</v>
      </c>
      <c r="H140">
        <v>0</v>
      </c>
      <c r="I140" t="s">
        <v>488</v>
      </c>
      <c r="J140" t="s">
        <v>1234</v>
      </c>
      <c r="K140" t="s">
        <v>1235</v>
      </c>
      <c r="M140" t="s">
        <v>487</v>
      </c>
      <c r="N140">
        <v>0</v>
      </c>
      <c r="O140" t="s">
        <v>1241</v>
      </c>
      <c r="P140">
        <v>0</v>
      </c>
      <c r="Q140">
        <v>0</v>
      </c>
      <c r="R140" s="9" t="s">
        <v>1246</v>
      </c>
    </row>
    <row r="141" spans="1:18" x14ac:dyDescent="0.15">
      <c r="C141" t="s">
        <v>12</v>
      </c>
      <c r="D141">
        <v>2.0241520100499999</v>
      </c>
      <c r="E141">
        <v>1</v>
      </c>
      <c r="F141" t="s">
        <v>13</v>
      </c>
      <c r="G141">
        <v>3</v>
      </c>
      <c r="H141">
        <v>0</v>
      </c>
      <c r="I141" t="s">
        <v>488</v>
      </c>
      <c r="J141" t="s">
        <v>1234</v>
      </c>
      <c r="K141" t="s">
        <v>1235</v>
      </c>
      <c r="M141" t="s">
        <v>487</v>
      </c>
      <c r="N141">
        <v>0</v>
      </c>
      <c r="O141" t="s">
        <v>1241</v>
      </c>
      <c r="P141">
        <v>1.03E-2</v>
      </c>
      <c r="Q141">
        <v>21.474228674620452</v>
      </c>
      <c r="R141" s="6"/>
    </row>
    <row r="142" spans="1:18" x14ac:dyDescent="0.15">
      <c r="C142" t="s">
        <v>14</v>
      </c>
      <c r="D142">
        <v>2.2490577889450001</v>
      </c>
      <c r="E142">
        <v>1</v>
      </c>
      <c r="F142" t="s">
        <v>13</v>
      </c>
      <c r="G142">
        <v>3</v>
      </c>
      <c r="H142">
        <v>0</v>
      </c>
      <c r="I142" t="s">
        <v>488</v>
      </c>
      <c r="J142" t="s">
        <v>1234</v>
      </c>
      <c r="K142" t="s">
        <v>1235</v>
      </c>
      <c r="M142" t="s">
        <v>487</v>
      </c>
      <c r="N142">
        <v>0</v>
      </c>
      <c r="O142" t="s">
        <v>1241</v>
      </c>
      <c r="P142">
        <v>5.4900000000000001E-3</v>
      </c>
      <c r="Q142">
        <v>12.717747079147294</v>
      </c>
      <c r="R142" s="6"/>
    </row>
    <row r="143" spans="1:18" x14ac:dyDescent="0.15">
      <c r="C143" t="s">
        <v>15</v>
      </c>
      <c r="D143">
        <v>44.981155778895001</v>
      </c>
      <c r="E143">
        <v>1000</v>
      </c>
      <c r="F143" t="s">
        <v>13</v>
      </c>
      <c r="G143">
        <v>3</v>
      </c>
      <c r="H143">
        <v>0</v>
      </c>
      <c r="I143" t="s">
        <v>488</v>
      </c>
      <c r="J143" t="s">
        <v>1234</v>
      </c>
      <c r="K143" t="s">
        <v>1235</v>
      </c>
      <c r="M143" t="s">
        <v>487</v>
      </c>
      <c r="N143">
        <v>0</v>
      </c>
      <c r="O143" t="s">
        <v>1241</v>
      </c>
      <c r="P143">
        <v>7.9819999999999988E-2</v>
      </c>
      <c r="Q143">
        <v>3.6981077298995406</v>
      </c>
      <c r="R143" s="6"/>
    </row>
    <row r="144" spans="1:18" x14ac:dyDescent="0.15">
      <c r="C144" t="s">
        <v>23</v>
      </c>
      <c r="D144">
        <v>0.11245288944700001</v>
      </c>
      <c r="E144">
        <v>1</v>
      </c>
      <c r="F144" t="s">
        <v>13</v>
      </c>
      <c r="G144">
        <v>3</v>
      </c>
      <c r="H144">
        <v>0</v>
      </c>
      <c r="I144" t="s">
        <v>488</v>
      </c>
      <c r="J144" t="s">
        <v>1234</v>
      </c>
      <c r="K144" t="s">
        <v>1235</v>
      </c>
      <c r="M144" t="s">
        <v>487</v>
      </c>
      <c r="N144">
        <v>0</v>
      </c>
      <c r="O144" t="s">
        <v>1241</v>
      </c>
      <c r="P144">
        <v>2.3609999999999999E-2</v>
      </c>
      <c r="Q144">
        <v>2.7346631014389802</v>
      </c>
      <c r="R144" s="6"/>
    </row>
    <row r="145" spans="1:18" x14ac:dyDescent="0.15">
      <c r="C145" t="s">
        <v>24</v>
      </c>
      <c r="D145">
        <v>44.981155778895001</v>
      </c>
      <c r="E145">
        <v>1000</v>
      </c>
      <c r="F145" t="s">
        <v>13</v>
      </c>
      <c r="G145">
        <v>3</v>
      </c>
      <c r="H145">
        <v>0</v>
      </c>
      <c r="I145" t="s">
        <v>488</v>
      </c>
      <c r="J145" t="s">
        <v>1234</v>
      </c>
      <c r="K145" t="s">
        <v>1235</v>
      </c>
      <c r="M145" t="s">
        <v>487</v>
      </c>
      <c r="N145">
        <v>0</v>
      </c>
      <c r="O145" t="s">
        <v>1241</v>
      </c>
      <c r="P145">
        <v>2.8500000000000001E-2</v>
      </c>
      <c r="Q145">
        <v>1.3204218278894628</v>
      </c>
      <c r="R145" s="6"/>
    </row>
    <row r="146" spans="1:18" x14ac:dyDescent="0.15">
      <c r="C146" t="s">
        <v>17</v>
      </c>
      <c r="D146">
        <v>6.9444444444440006</v>
      </c>
      <c r="E146">
        <v>1000</v>
      </c>
      <c r="F146" t="s">
        <v>18</v>
      </c>
      <c r="G146">
        <v>0</v>
      </c>
      <c r="H146">
        <v>0</v>
      </c>
      <c r="I146" t="s">
        <v>488</v>
      </c>
      <c r="J146" t="s">
        <v>1234</v>
      </c>
      <c r="K146" t="s">
        <v>1235</v>
      </c>
      <c r="M146" t="s">
        <v>487</v>
      </c>
      <c r="N146">
        <v>0</v>
      </c>
      <c r="O146" t="s">
        <v>1241</v>
      </c>
      <c r="P146">
        <v>53.85</v>
      </c>
      <c r="Q146">
        <v>373.95833333330944</v>
      </c>
      <c r="R146" s="6"/>
    </row>
    <row r="147" spans="1:18" x14ac:dyDescent="0.15">
      <c r="C147" t="s">
        <v>19</v>
      </c>
      <c r="D147">
        <v>4</v>
      </c>
      <c r="E147">
        <v>1</v>
      </c>
      <c r="F147" t="s">
        <v>18</v>
      </c>
      <c r="G147">
        <v>0</v>
      </c>
      <c r="H147">
        <v>0</v>
      </c>
      <c r="I147" t="s">
        <v>488</v>
      </c>
      <c r="J147" t="s">
        <v>1236</v>
      </c>
      <c r="K147" t="s">
        <v>1235</v>
      </c>
      <c r="M147" t="s">
        <v>487</v>
      </c>
      <c r="N147">
        <v>0</v>
      </c>
      <c r="O147" t="s">
        <v>1241</v>
      </c>
      <c r="P147">
        <v>34.65</v>
      </c>
      <c r="Q147">
        <v>138.6</v>
      </c>
      <c r="R147" s="6"/>
    </row>
    <row r="148" spans="1:18" x14ac:dyDescent="0.15">
      <c r="A148" t="s">
        <v>59</v>
      </c>
      <c r="B148" t="s">
        <v>479</v>
      </c>
      <c r="P148">
        <v>0.83136517215519834</v>
      </c>
      <c r="R148" s="6"/>
    </row>
    <row r="149" spans="1:18" x14ac:dyDescent="0.15">
      <c r="C149" t="s">
        <v>60</v>
      </c>
      <c r="D149">
        <v>1</v>
      </c>
      <c r="E149">
        <v>1</v>
      </c>
      <c r="F149" t="s">
        <v>9</v>
      </c>
      <c r="G149">
        <v>0</v>
      </c>
      <c r="H149">
        <v>0</v>
      </c>
      <c r="I149" t="s">
        <v>488</v>
      </c>
      <c r="J149" t="s">
        <v>1234</v>
      </c>
      <c r="K149" t="s">
        <v>1235</v>
      </c>
      <c r="M149" t="s">
        <v>487</v>
      </c>
      <c r="N149">
        <v>0</v>
      </c>
      <c r="O149" t="s">
        <v>1241</v>
      </c>
      <c r="P149">
        <v>0.83136517215519834</v>
      </c>
      <c r="Q149">
        <v>0.83136517215519834</v>
      </c>
      <c r="R149" s="6"/>
    </row>
    <row r="150" spans="1:18" x14ac:dyDescent="0.15">
      <c r="A150" t="s">
        <v>61</v>
      </c>
      <c r="B150" t="s">
        <v>479</v>
      </c>
      <c r="P150">
        <v>1.6627303443103967</v>
      </c>
      <c r="R150" s="6"/>
    </row>
    <row r="151" spans="1:18" x14ac:dyDescent="0.15">
      <c r="C151" t="s">
        <v>60</v>
      </c>
      <c r="D151">
        <v>2</v>
      </c>
      <c r="E151">
        <v>1</v>
      </c>
      <c r="F151" t="s">
        <v>9</v>
      </c>
      <c r="G151">
        <v>0</v>
      </c>
      <c r="H151">
        <v>0</v>
      </c>
      <c r="I151" t="s">
        <v>488</v>
      </c>
      <c r="J151" t="s">
        <v>1234</v>
      </c>
      <c r="K151" t="s">
        <v>1235</v>
      </c>
      <c r="M151" t="s">
        <v>487</v>
      </c>
      <c r="N151">
        <v>0</v>
      </c>
      <c r="O151" t="s">
        <v>1241</v>
      </c>
      <c r="P151">
        <v>0.83136517215519834</v>
      </c>
      <c r="Q151">
        <v>1.6627303443103967</v>
      </c>
      <c r="R151" s="6"/>
    </row>
    <row r="152" spans="1:18" x14ac:dyDescent="0.15">
      <c r="A152" t="s">
        <v>62</v>
      </c>
      <c r="B152" t="s">
        <v>479</v>
      </c>
      <c r="P152">
        <v>3.3254606886207934</v>
      </c>
      <c r="R152" s="6"/>
    </row>
    <row r="153" spans="1:18" x14ac:dyDescent="0.15">
      <c r="C153" t="s">
        <v>60</v>
      </c>
      <c r="D153">
        <v>4</v>
      </c>
      <c r="E153">
        <v>1</v>
      </c>
      <c r="F153" t="s">
        <v>9</v>
      </c>
      <c r="G153">
        <v>0</v>
      </c>
      <c r="H153">
        <v>0</v>
      </c>
      <c r="I153" t="s">
        <v>488</v>
      </c>
      <c r="J153" t="s">
        <v>1234</v>
      </c>
      <c r="K153" t="s">
        <v>1235</v>
      </c>
      <c r="M153" t="s">
        <v>487</v>
      </c>
      <c r="N153">
        <v>0</v>
      </c>
      <c r="O153" t="s">
        <v>1241</v>
      </c>
      <c r="P153">
        <v>0.83136517215519834</v>
      </c>
      <c r="Q153">
        <v>3.3254606886207934</v>
      </c>
      <c r="R153" s="6"/>
    </row>
    <row r="154" spans="1:18" x14ac:dyDescent="0.15">
      <c r="A154" t="s">
        <v>63</v>
      </c>
      <c r="B154" t="s">
        <v>479</v>
      </c>
      <c r="P154">
        <v>0.41568258607759917</v>
      </c>
      <c r="R154" s="6"/>
    </row>
    <row r="155" spans="1:18" x14ac:dyDescent="0.15">
      <c r="C155" t="s">
        <v>60</v>
      </c>
      <c r="D155">
        <v>500</v>
      </c>
      <c r="E155">
        <v>1000</v>
      </c>
      <c r="F155" t="s">
        <v>9</v>
      </c>
      <c r="G155">
        <v>0</v>
      </c>
      <c r="H155">
        <v>0</v>
      </c>
      <c r="I155" t="s">
        <v>488</v>
      </c>
      <c r="J155" t="s">
        <v>1234</v>
      </c>
      <c r="K155" t="s">
        <v>1235</v>
      </c>
      <c r="M155" t="s">
        <v>487</v>
      </c>
      <c r="N155">
        <v>0</v>
      </c>
      <c r="O155" t="s">
        <v>1241</v>
      </c>
      <c r="P155">
        <v>0.83136517215519834</v>
      </c>
      <c r="Q155">
        <v>415.68258607759918</v>
      </c>
      <c r="R155" s="6"/>
    </row>
    <row r="156" spans="1:18" x14ac:dyDescent="0.15">
      <c r="A156" t="s">
        <v>64</v>
      </c>
      <c r="B156" t="s">
        <v>479</v>
      </c>
      <c r="P156">
        <v>207.84129303879959</v>
      </c>
      <c r="R156" s="6"/>
    </row>
    <row r="157" spans="1:18" x14ac:dyDescent="0.15">
      <c r="C157" t="s">
        <v>60</v>
      </c>
      <c r="D157">
        <v>250</v>
      </c>
      <c r="E157">
        <v>1</v>
      </c>
      <c r="F157" t="s">
        <v>9</v>
      </c>
      <c r="G157">
        <v>0</v>
      </c>
      <c r="H157">
        <v>0</v>
      </c>
      <c r="I157" t="s">
        <v>488</v>
      </c>
      <c r="J157" t="s">
        <v>1234</v>
      </c>
      <c r="K157" t="s">
        <v>1235</v>
      </c>
      <c r="M157" t="s">
        <v>487</v>
      </c>
      <c r="N157">
        <v>0</v>
      </c>
      <c r="O157" t="s">
        <v>1241</v>
      </c>
      <c r="P157">
        <v>0.83136517215519834</v>
      </c>
      <c r="Q157">
        <v>207.84129303879959</v>
      </c>
      <c r="R157" s="6"/>
    </row>
    <row r="158" spans="1:18" x14ac:dyDescent="0.15">
      <c r="A158" t="s">
        <v>60</v>
      </c>
      <c r="B158" t="s">
        <v>9</v>
      </c>
      <c r="P158">
        <v>0.83136517215519834</v>
      </c>
      <c r="R158" s="6"/>
    </row>
    <row r="159" spans="1:18" x14ac:dyDescent="0.15">
      <c r="C159" t="s">
        <v>22</v>
      </c>
      <c r="D159">
        <v>22</v>
      </c>
      <c r="E159">
        <v>1</v>
      </c>
      <c r="F159" t="s">
        <v>9</v>
      </c>
      <c r="G159">
        <v>3</v>
      </c>
      <c r="H159">
        <v>0</v>
      </c>
      <c r="I159" t="s">
        <v>488</v>
      </c>
      <c r="J159" t="s">
        <v>1234</v>
      </c>
      <c r="K159" t="s">
        <v>1235</v>
      </c>
      <c r="M159" t="s">
        <v>487</v>
      </c>
      <c r="N159">
        <v>0</v>
      </c>
      <c r="O159" t="s">
        <v>1241</v>
      </c>
      <c r="P159">
        <v>0</v>
      </c>
      <c r="Q159">
        <v>0</v>
      </c>
      <c r="R159" s="9" t="s">
        <v>1246</v>
      </c>
    </row>
    <row r="160" spans="1:18" x14ac:dyDescent="0.15">
      <c r="C160" t="s">
        <v>12</v>
      </c>
      <c r="D160">
        <v>6.361620603015</v>
      </c>
      <c r="E160">
        <v>1</v>
      </c>
      <c r="F160" t="s">
        <v>13</v>
      </c>
      <c r="G160">
        <v>3</v>
      </c>
      <c r="H160">
        <v>0</v>
      </c>
      <c r="I160" t="s">
        <v>488</v>
      </c>
      <c r="J160" t="s">
        <v>1234</v>
      </c>
      <c r="K160" t="s">
        <v>1235</v>
      </c>
      <c r="M160" t="s">
        <v>487</v>
      </c>
      <c r="N160">
        <v>0</v>
      </c>
      <c r="O160" t="s">
        <v>1241</v>
      </c>
      <c r="P160">
        <v>1.03E-2</v>
      </c>
      <c r="Q160">
        <v>67.490432977386135</v>
      </c>
      <c r="R160" s="6"/>
    </row>
    <row r="161" spans="1:18" x14ac:dyDescent="0.15">
      <c r="C161" t="s">
        <v>14</v>
      </c>
      <c r="D161">
        <v>7.0684673366829998</v>
      </c>
      <c r="E161">
        <v>1</v>
      </c>
      <c r="F161" t="s">
        <v>13</v>
      </c>
      <c r="G161">
        <v>3</v>
      </c>
      <c r="H161">
        <v>0</v>
      </c>
      <c r="I161" t="s">
        <v>488</v>
      </c>
      <c r="J161" t="s">
        <v>1234</v>
      </c>
      <c r="K161" t="s">
        <v>1235</v>
      </c>
      <c r="M161" t="s">
        <v>487</v>
      </c>
      <c r="N161">
        <v>0</v>
      </c>
      <c r="O161" t="s">
        <v>1241</v>
      </c>
      <c r="P161">
        <v>5.4900000000000001E-3</v>
      </c>
      <c r="Q161">
        <v>39.970062248741357</v>
      </c>
      <c r="R161" s="6"/>
    </row>
    <row r="162" spans="1:18" x14ac:dyDescent="0.15">
      <c r="C162" t="s">
        <v>15</v>
      </c>
      <c r="D162">
        <v>0.14136934673400001</v>
      </c>
      <c r="E162">
        <v>1</v>
      </c>
      <c r="F162" t="s">
        <v>13</v>
      </c>
      <c r="G162">
        <v>3</v>
      </c>
      <c r="H162">
        <v>0</v>
      </c>
      <c r="I162" t="s">
        <v>488</v>
      </c>
      <c r="J162" t="s">
        <v>1234</v>
      </c>
      <c r="K162" t="s">
        <v>1235</v>
      </c>
      <c r="M162" t="s">
        <v>487</v>
      </c>
      <c r="N162">
        <v>0</v>
      </c>
      <c r="O162" t="s">
        <v>1241</v>
      </c>
      <c r="P162">
        <v>7.9819999999999988E-2</v>
      </c>
      <c r="Q162">
        <v>11.622624293997115</v>
      </c>
      <c r="R162" s="6"/>
    </row>
    <row r="163" spans="1:18" x14ac:dyDescent="0.15">
      <c r="C163" t="s">
        <v>23</v>
      </c>
      <c r="D163">
        <v>0.353423366834</v>
      </c>
      <c r="E163">
        <v>1</v>
      </c>
      <c r="F163" t="s">
        <v>13</v>
      </c>
      <c r="G163">
        <v>3</v>
      </c>
      <c r="H163">
        <v>0</v>
      </c>
      <c r="I163" t="s">
        <v>488</v>
      </c>
      <c r="J163" t="s">
        <v>1234</v>
      </c>
      <c r="K163" t="s">
        <v>1235</v>
      </c>
      <c r="M163" t="s">
        <v>487</v>
      </c>
      <c r="N163">
        <v>0</v>
      </c>
      <c r="O163" t="s">
        <v>1241</v>
      </c>
      <c r="P163">
        <v>2.3609999999999999E-2</v>
      </c>
      <c r="Q163">
        <v>8.5946554616792614</v>
      </c>
      <c r="R163" s="6"/>
    </row>
    <row r="164" spans="1:18" x14ac:dyDescent="0.15">
      <c r="C164" t="s">
        <v>24</v>
      </c>
      <c r="D164">
        <v>0.14136934673400001</v>
      </c>
      <c r="E164">
        <v>1</v>
      </c>
      <c r="F164" t="s">
        <v>13</v>
      </c>
      <c r="G164">
        <v>3</v>
      </c>
      <c r="H164">
        <v>0</v>
      </c>
      <c r="I164" t="s">
        <v>488</v>
      </c>
      <c r="J164" t="s">
        <v>1234</v>
      </c>
      <c r="K164" t="s">
        <v>1235</v>
      </c>
      <c r="M164" t="s">
        <v>487</v>
      </c>
      <c r="N164">
        <v>0</v>
      </c>
      <c r="O164" t="s">
        <v>1241</v>
      </c>
      <c r="P164">
        <v>2.8500000000000001E-2</v>
      </c>
      <c r="Q164">
        <v>4.1498971733765702</v>
      </c>
      <c r="R164" s="6"/>
    </row>
    <row r="165" spans="1:18" x14ac:dyDescent="0.15">
      <c r="C165" t="s">
        <v>17</v>
      </c>
      <c r="D165">
        <v>10.416666666667</v>
      </c>
      <c r="E165">
        <v>1000</v>
      </c>
      <c r="F165" t="s">
        <v>18</v>
      </c>
      <c r="G165">
        <v>0</v>
      </c>
      <c r="H165">
        <v>0</v>
      </c>
      <c r="I165" t="s">
        <v>488</v>
      </c>
      <c r="J165" t="s">
        <v>1234</v>
      </c>
      <c r="K165" t="s">
        <v>1235</v>
      </c>
      <c r="M165" t="s">
        <v>487</v>
      </c>
      <c r="N165">
        <v>0</v>
      </c>
      <c r="O165" t="s">
        <v>1241</v>
      </c>
      <c r="P165">
        <v>53.85</v>
      </c>
      <c r="Q165">
        <v>560.93750000001796</v>
      </c>
      <c r="R165" s="6"/>
    </row>
    <row r="166" spans="1:18" x14ac:dyDescent="0.15">
      <c r="C166" t="s">
        <v>19</v>
      </c>
      <c r="D166">
        <v>4</v>
      </c>
      <c r="E166">
        <v>1</v>
      </c>
      <c r="F166" t="s">
        <v>18</v>
      </c>
      <c r="G166">
        <v>0</v>
      </c>
      <c r="H166">
        <v>0</v>
      </c>
      <c r="I166" t="s">
        <v>488</v>
      </c>
      <c r="J166" t="s">
        <v>1236</v>
      </c>
      <c r="K166" t="s">
        <v>1235</v>
      </c>
      <c r="M166" t="s">
        <v>487</v>
      </c>
      <c r="N166">
        <v>0</v>
      </c>
      <c r="O166" t="s">
        <v>1241</v>
      </c>
      <c r="P166">
        <v>34.65</v>
      </c>
      <c r="Q166">
        <v>138.6</v>
      </c>
      <c r="R166" s="6"/>
    </row>
    <row r="167" spans="1:18" x14ac:dyDescent="0.15">
      <c r="A167" t="s">
        <v>65</v>
      </c>
      <c r="B167" t="s">
        <v>479</v>
      </c>
      <c r="P167">
        <v>0.53262747284904066</v>
      </c>
      <c r="R167" s="6"/>
    </row>
    <row r="168" spans="1:18" x14ac:dyDescent="0.15">
      <c r="C168" t="s">
        <v>66</v>
      </c>
      <c r="D168">
        <v>1</v>
      </c>
      <c r="E168">
        <v>1</v>
      </c>
      <c r="F168" t="s">
        <v>9</v>
      </c>
      <c r="G168">
        <v>0</v>
      </c>
      <c r="H168">
        <v>0</v>
      </c>
      <c r="I168" t="s">
        <v>488</v>
      </c>
      <c r="J168" t="s">
        <v>1234</v>
      </c>
      <c r="K168" t="s">
        <v>1235</v>
      </c>
      <c r="M168" t="s">
        <v>487</v>
      </c>
      <c r="N168">
        <v>0</v>
      </c>
      <c r="O168" t="s">
        <v>1241</v>
      </c>
      <c r="P168">
        <v>0.53262747284904066</v>
      </c>
      <c r="Q168">
        <v>0.53262747284904066</v>
      </c>
      <c r="R168" s="6"/>
    </row>
    <row r="169" spans="1:18" x14ac:dyDescent="0.15">
      <c r="A169" t="s">
        <v>67</v>
      </c>
      <c r="B169" t="s">
        <v>479</v>
      </c>
      <c r="P169">
        <v>1.0652549456980813</v>
      </c>
      <c r="R169" s="6"/>
    </row>
    <row r="170" spans="1:18" x14ac:dyDescent="0.15">
      <c r="C170" t="s">
        <v>66</v>
      </c>
      <c r="D170">
        <v>2</v>
      </c>
      <c r="E170">
        <v>1</v>
      </c>
      <c r="F170" t="s">
        <v>9</v>
      </c>
      <c r="G170">
        <v>0</v>
      </c>
      <c r="H170">
        <v>0</v>
      </c>
      <c r="I170" t="s">
        <v>488</v>
      </c>
      <c r="J170" t="s">
        <v>1234</v>
      </c>
      <c r="K170" t="s">
        <v>1235</v>
      </c>
      <c r="M170" t="s">
        <v>487</v>
      </c>
      <c r="N170">
        <v>0</v>
      </c>
      <c r="O170" t="s">
        <v>1241</v>
      </c>
      <c r="P170">
        <v>0.53262747284904066</v>
      </c>
      <c r="Q170">
        <v>1.0652549456980813</v>
      </c>
      <c r="R170" s="6"/>
    </row>
    <row r="171" spans="1:18" x14ac:dyDescent="0.15">
      <c r="A171" t="s">
        <v>68</v>
      </c>
      <c r="B171" t="s">
        <v>479</v>
      </c>
      <c r="P171">
        <v>0.26631373642452033</v>
      </c>
      <c r="R171" s="6"/>
    </row>
    <row r="172" spans="1:18" x14ac:dyDescent="0.15">
      <c r="C172" t="s">
        <v>66</v>
      </c>
      <c r="D172">
        <v>500</v>
      </c>
      <c r="E172">
        <v>1000</v>
      </c>
      <c r="F172" t="s">
        <v>9</v>
      </c>
      <c r="G172">
        <v>0</v>
      </c>
      <c r="H172">
        <v>0</v>
      </c>
      <c r="I172" t="s">
        <v>488</v>
      </c>
      <c r="J172" t="s">
        <v>1234</v>
      </c>
      <c r="K172" t="s">
        <v>1235</v>
      </c>
      <c r="M172" t="s">
        <v>487</v>
      </c>
      <c r="N172">
        <v>0</v>
      </c>
      <c r="O172" t="s">
        <v>1241</v>
      </c>
      <c r="P172">
        <v>0.53262747284904066</v>
      </c>
      <c r="Q172">
        <v>266.31373642452036</v>
      </c>
      <c r="R172" s="6"/>
    </row>
    <row r="173" spans="1:18" x14ac:dyDescent="0.15">
      <c r="A173" t="s">
        <v>66</v>
      </c>
      <c r="B173" t="s">
        <v>9</v>
      </c>
      <c r="P173">
        <v>0.53262747284904066</v>
      </c>
      <c r="R173" s="6"/>
    </row>
    <row r="174" spans="1:18" x14ac:dyDescent="0.15">
      <c r="C174" t="s">
        <v>34</v>
      </c>
      <c r="D174">
        <v>2</v>
      </c>
      <c r="E174">
        <v>1</v>
      </c>
      <c r="F174" t="s">
        <v>9</v>
      </c>
      <c r="G174">
        <v>3</v>
      </c>
      <c r="H174">
        <v>0</v>
      </c>
      <c r="I174" t="s">
        <v>488</v>
      </c>
      <c r="J174" t="s">
        <v>1234</v>
      </c>
      <c r="K174" t="s">
        <v>1235</v>
      </c>
      <c r="M174" t="s">
        <v>487</v>
      </c>
      <c r="N174">
        <v>0</v>
      </c>
      <c r="O174" t="s">
        <v>1241</v>
      </c>
      <c r="P174">
        <v>9.4000000000000004E-3</v>
      </c>
      <c r="Q174">
        <v>19.364000000000001</v>
      </c>
      <c r="R174" s="6"/>
    </row>
    <row r="175" spans="1:18" x14ac:dyDescent="0.15">
      <c r="C175" t="s">
        <v>12</v>
      </c>
      <c r="D175">
        <v>65.577889447236004</v>
      </c>
      <c r="E175">
        <v>1000</v>
      </c>
      <c r="F175" t="s">
        <v>13</v>
      </c>
      <c r="G175">
        <v>3</v>
      </c>
      <c r="H175">
        <v>0</v>
      </c>
      <c r="I175" t="s">
        <v>488</v>
      </c>
      <c r="J175" t="s">
        <v>1234</v>
      </c>
      <c r="K175" t="s">
        <v>1235</v>
      </c>
      <c r="M175" t="s">
        <v>487</v>
      </c>
      <c r="N175">
        <v>0</v>
      </c>
      <c r="O175" t="s">
        <v>1241</v>
      </c>
      <c r="P175">
        <v>1.03E-2</v>
      </c>
      <c r="Q175">
        <v>0.69571582914572672</v>
      </c>
      <c r="R175" s="6"/>
    </row>
    <row r="176" spans="1:18" x14ac:dyDescent="0.15">
      <c r="C176" t="s">
        <v>14</v>
      </c>
      <c r="D176">
        <v>72.864321608040015</v>
      </c>
      <c r="E176">
        <v>1000</v>
      </c>
      <c r="F176" t="s">
        <v>13</v>
      </c>
      <c r="G176">
        <v>3</v>
      </c>
      <c r="H176">
        <v>0</v>
      </c>
      <c r="I176" t="s">
        <v>488</v>
      </c>
      <c r="J176" t="s">
        <v>1234</v>
      </c>
      <c r="K176" t="s">
        <v>1235</v>
      </c>
      <c r="M176" t="s">
        <v>487</v>
      </c>
      <c r="N176">
        <v>0</v>
      </c>
      <c r="O176" t="s">
        <v>1241</v>
      </c>
      <c r="P176">
        <v>5.4900000000000001E-3</v>
      </c>
      <c r="Q176">
        <v>0.41202587939698387</v>
      </c>
      <c r="R176" s="6"/>
    </row>
    <row r="177" spans="1:18" x14ac:dyDescent="0.15">
      <c r="C177" t="s">
        <v>15</v>
      </c>
      <c r="D177">
        <v>1.457286432161</v>
      </c>
      <c r="E177">
        <v>1000</v>
      </c>
      <c r="F177" t="s">
        <v>13</v>
      </c>
      <c r="G177">
        <v>3</v>
      </c>
      <c r="H177">
        <v>0</v>
      </c>
      <c r="I177" t="s">
        <v>488</v>
      </c>
      <c r="J177" t="s">
        <v>1234</v>
      </c>
      <c r="K177" t="s">
        <v>1235</v>
      </c>
      <c r="M177" t="s">
        <v>487</v>
      </c>
      <c r="N177">
        <v>0</v>
      </c>
      <c r="O177" t="s">
        <v>1241</v>
      </c>
      <c r="P177">
        <v>7.9819999999999988E-2</v>
      </c>
      <c r="Q177">
        <v>0.11981022110554373</v>
      </c>
      <c r="R177" s="6"/>
    </row>
    <row r="178" spans="1:18" x14ac:dyDescent="0.15">
      <c r="C178" t="s">
        <v>23</v>
      </c>
      <c r="D178">
        <v>3.6432160804020008</v>
      </c>
      <c r="E178">
        <v>1000</v>
      </c>
      <c r="F178" t="s">
        <v>13</v>
      </c>
      <c r="G178">
        <v>3</v>
      </c>
      <c r="H178">
        <v>0</v>
      </c>
      <c r="I178" t="s">
        <v>488</v>
      </c>
      <c r="J178" t="s">
        <v>1234</v>
      </c>
      <c r="K178" t="s">
        <v>1235</v>
      </c>
      <c r="M178" t="s">
        <v>487</v>
      </c>
      <c r="N178">
        <v>0</v>
      </c>
      <c r="O178" t="s">
        <v>1241</v>
      </c>
      <c r="P178">
        <v>2.3609999999999999E-2</v>
      </c>
      <c r="Q178">
        <v>8.8596821608039972E-2</v>
      </c>
      <c r="R178" s="6"/>
    </row>
    <row r="179" spans="1:18" x14ac:dyDescent="0.15">
      <c r="C179" t="s">
        <v>24</v>
      </c>
      <c r="D179">
        <v>1.457286432161</v>
      </c>
      <c r="E179">
        <v>1000</v>
      </c>
      <c r="F179" t="s">
        <v>13</v>
      </c>
      <c r="G179">
        <v>3</v>
      </c>
      <c r="H179">
        <v>0</v>
      </c>
      <c r="I179" t="s">
        <v>488</v>
      </c>
      <c r="J179" t="s">
        <v>1234</v>
      </c>
      <c r="K179" t="s">
        <v>1235</v>
      </c>
      <c r="M179" t="s">
        <v>487</v>
      </c>
      <c r="N179">
        <v>0</v>
      </c>
      <c r="O179" t="s">
        <v>1241</v>
      </c>
      <c r="P179">
        <v>2.8500000000000001E-2</v>
      </c>
      <c r="Q179">
        <v>4.2778643216086154E-2</v>
      </c>
      <c r="R179" s="6"/>
    </row>
    <row r="180" spans="1:18" x14ac:dyDescent="0.15">
      <c r="C180" t="s">
        <v>17</v>
      </c>
      <c r="D180">
        <v>7.5757575757579998</v>
      </c>
      <c r="E180">
        <v>1000</v>
      </c>
      <c r="F180" t="s">
        <v>18</v>
      </c>
      <c r="G180">
        <v>0</v>
      </c>
      <c r="H180">
        <v>0</v>
      </c>
      <c r="I180" t="s">
        <v>488</v>
      </c>
      <c r="J180" t="s">
        <v>1234</v>
      </c>
      <c r="K180" t="s">
        <v>1235</v>
      </c>
      <c r="M180" t="s">
        <v>487</v>
      </c>
      <c r="N180">
        <v>0</v>
      </c>
      <c r="O180" t="s">
        <v>1241</v>
      </c>
      <c r="P180">
        <v>53.85</v>
      </c>
      <c r="Q180">
        <v>407.95454545456829</v>
      </c>
      <c r="R180" s="6"/>
    </row>
    <row r="181" spans="1:18" x14ac:dyDescent="0.15">
      <c r="C181" t="s">
        <v>19</v>
      </c>
      <c r="D181">
        <v>3</v>
      </c>
      <c r="E181">
        <v>1</v>
      </c>
      <c r="F181" t="s">
        <v>18</v>
      </c>
      <c r="G181">
        <v>0</v>
      </c>
      <c r="H181">
        <v>0</v>
      </c>
      <c r="I181" t="s">
        <v>488</v>
      </c>
      <c r="J181" t="s">
        <v>1236</v>
      </c>
      <c r="K181" t="s">
        <v>1235</v>
      </c>
      <c r="M181" t="s">
        <v>487</v>
      </c>
      <c r="N181">
        <v>0</v>
      </c>
      <c r="O181" t="s">
        <v>1241</v>
      </c>
      <c r="P181">
        <v>34.65</v>
      </c>
      <c r="Q181">
        <v>103.94999999999999</v>
      </c>
      <c r="R181" s="6"/>
    </row>
    <row r="182" spans="1:18" x14ac:dyDescent="0.15">
      <c r="A182" t="s">
        <v>69</v>
      </c>
      <c r="B182" t="s">
        <v>479</v>
      </c>
      <c r="P182">
        <v>0.57062928349747022</v>
      </c>
      <c r="R182" s="6"/>
    </row>
    <row r="183" spans="1:18" x14ac:dyDescent="0.15">
      <c r="C183" t="s">
        <v>70</v>
      </c>
      <c r="D183">
        <v>1</v>
      </c>
      <c r="E183">
        <v>1</v>
      </c>
      <c r="F183" t="s">
        <v>9</v>
      </c>
      <c r="G183">
        <v>0</v>
      </c>
      <c r="H183">
        <v>0</v>
      </c>
      <c r="I183" t="s">
        <v>488</v>
      </c>
      <c r="J183" t="s">
        <v>1234</v>
      </c>
      <c r="K183" t="s">
        <v>1235</v>
      </c>
      <c r="M183" t="s">
        <v>487</v>
      </c>
      <c r="N183">
        <v>0</v>
      </c>
      <c r="O183" t="s">
        <v>1241</v>
      </c>
      <c r="P183">
        <v>0.57062928349747022</v>
      </c>
      <c r="Q183">
        <v>0.57062928349747022</v>
      </c>
      <c r="R183" s="6"/>
    </row>
    <row r="184" spans="1:18" x14ac:dyDescent="0.15">
      <c r="A184" t="s">
        <v>71</v>
      </c>
      <c r="B184" t="s">
        <v>479</v>
      </c>
      <c r="P184">
        <v>1.1412585669949404</v>
      </c>
      <c r="R184" s="6"/>
    </row>
    <row r="185" spans="1:18" x14ac:dyDescent="0.15">
      <c r="C185" t="s">
        <v>70</v>
      </c>
      <c r="D185">
        <v>2</v>
      </c>
      <c r="E185">
        <v>1</v>
      </c>
      <c r="F185" t="s">
        <v>9</v>
      </c>
      <c r="G185">
        <v>0</v>
      </c>
      <c r="H185">
        <v>0</v>
      </c>
      <c r="I185" t="s">
        <v>488</v>
      </c>
      <c r="J185" t="s">
        <v>1234</v>
      </c>
      <c r="K185" t="s">
        <v>1235</v>
      </c>
      <c r="M185" t="s">
        <v>487</v>
      </c>
      <c r="N185">
        <v>0</v>
      </c>
      <c r="O185" t="s">
        <v>1241</v>
      </c>
      <c r="P185">
        <v>0.57062928349747022</v>
      </c>
      <c r="Q185">
        <v>1.1412585669949404</v>
      </c>
      <c r="R185" s="6"/>
    </row>
    <row r="186" spans="1:18" x14ac:dyDescent="0.15">
      <c r="A186" t="s">
        <v>72</v>
      </c>
      <c r="B186" t="s">
        <v>479</v>
      </c>
      <c r="P186">
        <v>0.28531464174873511</v>
      </c>
      <c r="R186" s="6"/>
    </row>
    <row r="187" spans="1:18" x14ac:dyDescent="0.15">
      <c r="C187" t="s">
        <v>70</v>
      </c>
      <c r="D187">
        <v>500</v>
      </c>
      <c r="E187">
        <v>1000</v>
      </c>
      <c r="F187" t="s">
        <v>9</v>
      </c>
      <c r="G187">
        <v>0</v>
      </c>
      <c r="H187">
        <v>0</v>
      </c>
      <c r="I187" t="s">
        <v>488</v>
      </c>
      <c r="J187" t="s">
        <v>1234</v>
      </c>
      <c r="K187" t="s">
        <v>1235</v>
      </c>
      <c r="M187" t="s">
        <v>487</v>
      </c>
      <c r="N187">
        <v>0</v>
      </c>
      <c r="O187" t="s">
        <v>1241</v>
      </c>
      <c r="P187">
        <v>0.57062928349747022</v>
      </c>
      <c r="Q187">
        <v>285.31464174873508</v>
      </c>
      <c r="R187" s="6"/>
    </row>
    <row r="188" spans="1:18" x14ac:dyDescent="0.15">
      <c r="A188" t="s">
        <v>73</v>
      </c>
      <c r="B188" t="s">
        <v>479</v>
      </c>
      <c r="P188">
        <v>0.85594392524620533</v>
      </c>
      <c r="R188" s="6"/>
    </row>
    <row r="189" spans="1:18" x14ac:dyDescent="0.15">
      <c r="C189" t="s">
        <v>70</v>
      </c>
      <c r="D189">
        <v>1.5</v>
      </c>
      <c r="E189">
        <v>1</v>
      </c>
      <c r="F189" t="s">
        <v>9</v>
      </c>
      <c r="G189">
        <v>0</v>
      </c>
      <c r="H189">
        <v>0</v>
      </c>
      <c r="I189" t="s">
        <v>488</v>
      </c>
      <c r="J189" t="s">
        <v>1234</v>
      </c>
      <c r="K189" t="s">
        <v>1235</v>
      </c>
      <c r="M189" t="s">
        <v>487</v>
      </c>
      <c r="N189">
        <v>0</v>
      </c>
      <c r="O189" t="s">
        <v>1241</v>
      </c>
      <c r="P189">
        <v>0.57062928349747022</v>
      </c>
      <c r="Q189">
        <v>0.85594392524620533</v>
      </c>
      <c r="R189" s="6"/>
    </row>
    <row r="190" spans="1:18" x14ac:dyDescent="0.15">
      <c r="A190" t="s">
        <v>70</v>
      </c>
      <c r="B190" t="s">
        <v>9</v>
      </c>
      <c r="P190">
        <v>0.57062928349747022</v>
      </c>
      <c r="R190" s="6"/>
    </row>
    <row r="191" spans="1:18" x14ac:dyDescent="0.15">
      <c r="C191" t="s">
        <v>39</v>
      </c>
      <c r="D191">
        <v>5</v>
      </c>
      <c r="E191">
        <v>1</v>
      </c>
      <c r="F191" t="s">
        <v>9</v>
      </c>
      <c r="G191">
        <v>3</v>
      </c>
      <c r="H191">
        <v>0</v>
      </c>
      <c r="I191" t="s">
        <v>488</v>
      </c>
      <c r="J191" t="s">
        <v>1234</v>
      </c>
      <c r="K191" t="s">
        <v>1235</v>
      </c>
      <c r="M191" t="s">
        <v>487</v>
      </c>
      <c r="N191">
        <v>0</v>
      </c>
      <c r="O191" t="s">
        <v>1241</v>
      </c>
      <c r="P191">
        <v>0</v>
      </c>
      <c r="Q191">
        <v>0</v>
      </c>
      <c r="R191" s="9" t="s">
        <v>1246</v>
      </c>
    </row>
    <row r="192" spans="1:18" x14ac:dyDescent="0.15">
      <c r="C192" t="s">
        <v>34</v>
      </c>
      <c r="D192">
        <v>1</v>
      </c>
      <c r="E192">
        <v>1</v>
      </c>
      <c r="F192" t="s">
        <v>9</v>
      </c>
      <c r="G192">
        <v>3</v>
      </c>
      <c r="H192">
        <v>0</v>
      </c>
      <c r="I192" t="s">
        <v>488</v>
      </c>
      <c r="J192" t="s">
        <v>1234</v>
      </c>
      <c r="K192" t="s">
        <v>1235</v>
      </c>
      <c r="M192" t="s">
        <v>487</v>
      </c>
      <c r="N192">
        <v>0</v>
      </c>
      <c r="O192" t="s">
        <v>1241</v>
      </c>
      <c r="P192">
        <v>9.4000000000000004E-3</v>
      </c>
      <c r="Q192">
        <v>9.6820000000000004</v>
      </c>
      <c r="R192" s="6"/>
    </row>
    <row r="193" spans="1:18" x14ac:dyDescent="0.15">
      <c r="C193" t="s">
        <v>12</v>
      </c>
      <c r="D193">
        <v>0.39798994974899998</v>
      </c>
      <c r="E193">
        <v>1</v>
      </c>
      <c r="F193" t="s">
        <v>13</v>
      </c>
      <c r="G193">
        <v>3</v>
      </c>
      <c r="H193">
        <v>0</v>
      </c>
      <c r="I193" t="s">
        <v>488</v>
      </c>
      <c r="J193" t="s">
        <v>1234</v>
      </c>
      <c r="K193" t="s">
        <v>1235</v>
      </c>
      <c r="M193" t="s">
        <v>487</v>
      </c>
      <c r="N193">
        <v>0</v>
      </c>
      <c r="O193" t="s">
        <v>1241</v>
      </c>
      <c r="P193">
        <v>1.03E-2</v>
      </c>
      <c r="Q193">
        <v>4.2222753768871408</v>
      </c>
      <c r="R193" s="6"/>
    </row>
    <row r="194" spans="1:18" x14ac:dyDescent="0.15">
      <c r="C194" t="s">
        <v>14</v>
      </c>
      <c r="D194">
        <v>0.44221105527600002</v>
      </c>
      <c r="E194">
        <v>1</v>
      </c>
      <c r="F194" t="s">
        <v>13</v>
      </c>
      <c r="G194">
        <v>3</v>
      </c>
      <c r="H194">
        <v>0</v>
      </c>
      <c r="I194" t="s">
        <v>488</v>
      </c>
      <c r="J194" t="s">
        <v>1234</v>
      </c>
      <c r="K194" t="s">
        <v>1235</v>
      </c>
      <c r="M194" t="s">
        <v>487</v>
      </c>
      <c r="N194">
        <v>0</v>
      </c>
      <c r="O194" t="s">
        <v>1241</v>
      </c>
      <c r="P194">
        <v>5.4900000000000001E-3</v>
      </c>
      <c r="Q194">
        <v>2.5005708542691973</v>
      </c>
      <c r="R194" s="6"/>
    </row>
    <row r="195" spans="1:18" x14ac:dyDescent="0.15">
      <c r="C195" t="s">
        <v>15</v>
      </c>
      <c r="D195">
        <v>8.8442211055279998</v>
      </c>
      <c r="E195">
        <v>1000</v>
      </c>
      <c r="F195" t="s">
        <v>13</v>
      </c>
      <c r="G195">
        <v>3</v>
      </c>
      <c r="H195">
        <v>0</v>
      </c>
      <c r="I195" t="s">
        <v>488</v>
      </c>
      <c r="J195" t="s">
        <v>1234</v>
      </c>
      <c r="K195" t="s">
        <v>1235</v>
      </c>
      <c r="M195" t="s">
        <v>487</v>
      </c>
      <c r="N195">
        <v>0</v>
      </c>
      <c r="O195" t="s">
        <v>1241</v>
      </c>
      <c r="P195">
        <v>7.9819999999999988E-2</v>
      </c>
      <c r="Q195">
        <v>0.72712410050254217</v>
      </c>
      <c r="R195" s="6"/>
    </row>
    <row r="196" spans="1:18" x14ac:dyDescent="0.15">
      <c r="C196" t="s">
        <v>23</v>
      </c>
      <c r="D196">
        <v>22.110552763819001</v>
      </c>
      <c r="E196">
        <v>1000</v>
      </c>
      <c r="F196" t="s">
        <v>13</v>
      </c>
      <c r="G196">
        <v>3</v>
      </c>
      <c r="H196">
        <v>0</v>
      </c>
      <c r="I196" t="s">
        <v>488</v>
      </c>
      <c r="J196" t="s">
        <v>1234</v>
      </c>
      <c r="K196" t="s">
        <v>1235</v>
      </c>
      <c r="M196" t="s">
        <v>487</v>
      </c>
      <c r="N196">
        <v>0</v>
      </c>
      <c r="O196" t="s">
        <v>1241</v>
      </c>
      <c r="P196">
        <v>2.3609999999999999E-2</v>
      </c>
      <c r="Q196">
        <v>0.53769105527637961</v>
      </c>
      <c r="R196" s="6"/>
    </row>
    <row r="197" spans="1:18" x14ac:dyDescent="0.15">
      <c r="C197" t="s">
        <v>24</v>
      </c>
      <c r="D197">
        <v>8.8442211055279998</v>
      </c>
      <c r="E197">
        <v>1000</v>
      </c>
      <c r="F197" t="s">
        <v>13</v>
      </c>
      <c r="G197">
        <v>3</v>
      </c>
      <c r="H197">
        <v>0</v>
      </c>
      <c r="I197" t="s">
        <v>488</v>
      </c>
      <c r="J197" t="s">
        <v>1234</v>
      </c>
      <c r="K197" t="s">
        <v>1235</v>
      </c>
      <c r="M197" t="s">
        <v>487</v>
      </c>
      <c r="N197">
        <v>0</v>
      </c>
      <c r="O197" t="s">
        <v>1241</v>
      </c>
      <c r="P197">
        <v>2.8500000000000001E-2</v>
      </c>
      <c r="Q197">
        <v>0.25962211055277445</v>
      </c>
      <c r="R197" s="6"/>
    </row>
    <row r="198" spans="1:18" x14ac:dyDescent="0.15">
      <c r="C198" t="s">
        <v>17</v>
      </c>
      <c r="D198">
        <v>8.3333333333330017</v>
      </c>
      <c r="E198">
        <v>1000</v>
      </c>
      <c r="F198" t="s">
        <v>18</v>
      </c>
      <c r="G198">
        <v>0</v>
      </c>
      <c r="H198">
        <v>0</v>
      </c>
      <c r="I198" t="s">
        <v>488</v>
      </c>
      <c r="J198" t="s">
        <v>1234</v>
      </c>
      <c r="K198" t="s">
        <v>1235</v>
      </c>
      <c r="M198" t="s">
        <v>487</v>
      </c>
      <c r="N198">
        <v>0</v>
      </c>
      <c r="O198" t="s">
        <v>1241</v>
      </c>
      <c r="P198">
        <v>53.85</v>
      </c>
      <c r="Q198">
        <v>448.74999999998215</v>
      </c>
      <c r="R198" s="6"/>
    </row>
    <row r="199" spans="1:18" x14ac:dyDescent="0.15">
      <c r="C199" t="s">
        <v>19</v>
      </c>
      <c r="D199">
        <v>3</v>
      </c>
      <c r="E199">
        <v>1</v>
      </c>
      <c r="F199" t="s">
        <v>18</v>
      </c>
      <c r="G199">
        <v>0</v>
      </c>
      <c r="H199">
        <v>0</v>
      </c>
      <c r="I199" t="s">
        <v>488</v>
      </c>
      <c r="J199" t="s">
        <v>1236</v>
      </c>
      <c r="K199" t="s">
        <v>1235</v>
      </c>
      <c r="M199" t="s">
        <v>487</v>
      </c>
      <c r="N199">
        <v>0</v>
      </c>
      <c r="O199" t="s">
        <v>1241</v>
      </c>
      <c r="P199">
        <v>34.65</v>
      </c>
      <c r="Q199">
        <v>103.94999999999999</v>
      </c>
      <c r="R199" s="6"/>
    </row>
    <row r="200" spans="1:18" x14ac:dyDescent="0.15">
      <c r="A200" t="s">
        <v>74</v>
      </c>
      <c r="B200" t="s">
        <v>479</v>
      </c>
      <c r="P200">
        <v>0.92869027546063698</v>
      </c>
      <c r="R200" s="6"/>
    </row>
    <row r="201" spans="1:18" x14ac:dyDescent="0.15">
      <c r="C201" t="s">
        <v>75</v>
      </c>
      <c r="D201">
        <v>1</v>
      </c>
      <c r="E201">
        <v>1</v>
      </c>
      <c r="F201" t="s">
        <v>9</v>
      </c>
      <c r="G201">
        <v>0</v>
      </c>
      <c r="H201">
        <v>0</v>
      </c>
      <c r="I201" t="s">
        <v>488</v>
      </c>
      <c r="J201" t="s">
        <v>1234</v>
      </c>
      <c r="K201" t="s">
        <v>1235</v>
      </c>
      <c r="M201" t="s">
        <v>487</v>
      </c>
      <c r="N201">
        <v>0</v>
      </c>
      <c r="O201" t="s">
        <v>1241</v>
      </c>
      <c r="P201">
        <v>0.92869027546063698</v>
      </c>
      <c r="Q201">
        <v>0.92869027546063698</v>
      </c>
      <c r="R201" s="6"/>
    </row>
    <row r="202" spans="1:18" x14ac:dyDescent="0.15">
      <c r="A202" t="s">
        <v>76</v>
      </c>
      <c r="B202" t="s">
        <v>479</v>
      </c>
      <c r="P202">
        <v>1.857380550921274</v>
      </c>
      <c r="R202" s="6"/>
    </row>
    <row r="203" spans="1:18" x14ac:dyDescent="0.15">
      <c r="C203" t="s">
        <v>75</v>
      </c>
      <c r="D203">
        <v>2</v>
      </c>
      <c r="E203">
        <v>1</v>
      </c>
      <c r="F203" t="s">
        <v>9</v>
      </c>
      <c r="G203">
        <v>0</v>
      </c>
      <c r="H203">
        <v>0</v>
      </c>
      <c r="I203" t="s">
        <v>488</v>
      </c>
      <c r="J203" t="s">
        <v>1234</v>
      </c>
      <c r="K203" t="s">
        <v>1235</v>
      </c>
      <c r="M203" t="s">
        <v>487</v>
      </c>
      <c r="N203">
        <v>0</v>
      </c>
      <c r="O203" t="s">
        <v>1241</v>
      </c>
      <c r="P203">
        <v>0.92869027546063698</v>
      </c>
      <c r="Q203">
        <v>1.857380550921274</v>
      </c>
      <c r="R203" s="6"/>
    </row>
    <row r="204" spans="1:18" x14ac:dyDescent="0.15">
      <c r="A204" t="s">
        <v>77</v>
      </c>
      <c r="B204" t="s">
        <v>479</v>
      </c>
      <c r="P204">
        <v>2.7860708263819109</v>
      </c>
      <c r="R204" s="6"/>
    </row>
    <row r="205" spans="1:18" x14ac:dyDescent="0.15">
      <c r="C205" t="s">
        <v>75</v>
      </c>
      <c r="D205">
        <v>3</v>
      </c>
      <c r="E205">
        <v>1</v>
      </c>
      <c r="F205" t="s">
        <v>9</v>
      </c>
      <c r="G205">
        <v>0</v>
      </c>
      <c r="H205">
        <v>0</v>
      </c>
      <c r="I205" t="s">
        <v>488</v>
      </c>
      <c r="J205" t="s">
        <v>1234</v>
      </c>
      <c r="K205" t="s">
        <v>1235</v>
      </c>
      <c r="M205" t="s">
        <v>487</v>
      </c>
      <c r="N205">
        <v>0</v>
      </c>
      <c r="O205" t="s">
        <v>1241</v>
      </c>
      <c r="P205">
        <v>0.92869027546063698</v>
      </c>
      <c r="Q205">
        <v>2.7860708263819109</v>
      </c>
      <c r="R205" s="6"/>
    </row>
    <row r="206" spans="1:18" x14ac:dyDescent="0.15">
      <c r="A206" t="s">
        <v>78</v>
      </c>
      <c r="B206" t="s">
        <v>479</v>
      </c>
      <c r="P206">
        <v>0.46434513773031849</v>
      </c>
      <c r="R206" s="6"/>
    </row>
    <row r="207" spans="1:18" x14ac:dyDescent="0.15">
      <c r="C207" t="s">
        <v>75</v>
      </c>
      <c r="D207">
        <v>500</v>
      </c>
      <c r="E207">
        <v>1000</v>
      </c>
      <c r="F207" t="s">
        <v>9</v>
      </c>
      <c r="G207">
        <v>0</v>
      </c>
      <c r="H207">
        <v>0</v>
      </c>
      <c r="I207" t="s">
        <v>488</v>
      </c>
      <c r="J207" t="s">
        <v>1234</v>
      </c>
      <c r="K207" t="s">
        <v>1235</v>
      </c>
      <c r="M207" t="s">
        <v>487</v>
      </c>
      <c r="N207">
        <v>0</v>
      </c>
      <c r="O207" t="s">
        <v>1241</v>
      </c>
      <c r="P207">
        <v>0.92869027546063698</v>
      </c>
      <c r="Q207">
        <v>464.34513773031847</v>
      </c>
      <c r="R207" s="6"/>
    </row>
    <row r="208" spans="1:18" x14ac:dyDescent="0.15">
      <c r="A208" t="s">
        <v>75</v>
      </c>
      <c r="B208" t="s">
        <v>9</v>
      </c>
      <c r="P208">
        <v>0.92869027546063698</v>
      </c>
      <c r="R208" s="6"/>
    </row>
    <row r="209" spans="1:18" x14ac:dyDescent="0.15">
      <c r="C209" t="s">
        <v>33</v>
      </c>
      <c r="D209">
        <v>15</v>
      </c>
      <c r="E209">
        <v>1</v>
      </c>
      <c r="F209" t="s">
        <v>9</v>
      </c>
      <c r="G209">
        <v>3</v>
      </c>
      <c r="H209">
        <v>0</v>
      </c>
      <c r="I209" t="s">
        <v>488</v>
      </c>
      <c r="J209" t="s">
        <v>1234</v>
      </c>
      <c r="K209" t="s">
        <v>1235</v>
      </c>
      <c r="M209" t="s">
        <v>487</v>
      </c>
      <c r="N209">
        <v>0</v>
      </c>
      <c r="O209" t="s">
        <v>1241</v>
      </c>
      <c r="P209">
        <v>0</v>
      </c>
      <c r="Q209">
        <v>0</v>
      </c>
      <c r="R209" s="9" t="s">
        <v>1246</v>
      </c>
    </row>
    <row r="210" spans="1:18" x14ac:dyDescent="0.15">
      <c r="C210" t="s">
        <v>12</v>
      </c>
      <c r="D210">
        <v>2.0351758793969998</v>
      </c>
      <c r="E210">
        <v>1</v>
      </c>
      <c r="F210" t="s">
        <v>13</v>
      </c>
      <c r="G210">
        <v>3</v>
      </c>
      <c r="H210">
        <v>0</v>
      </c>
      <c r="I210" t="s">
        <v>488</v>
      </c>
      <c r="J210" t="s">
        <v>1234</v>
      </c>
      <c r="K210" t="s">
        <v>1235</v>
      </c>
      <c r="M210" t="s">
        <v>487</v>
      </c>
      <c r="N210">
        <v>0</v>
      </c>
      <c r="O210" t="s">
        <v>1241</v>
      </c>
      <c r="P210">
        <v>1.03E-2</v>
      </c>
      <c r="Q210">
        <v>21.591180904522773</v>
      </c>
      <c r="R210" s="6"/>
    </row>
    <row r="211" spans="1:18" x14ac:dyDescent="0.15">
      <c r="C211" t="s">
        <v>14</v>
      </c>
      <c r="D211">
        <v>2.2613065326630002</v>
      </c>
      <c r="E211">
        <v>1</v>
      </c>
      <c r="F211" t="s">
        <v>13</v>
      </c>
      <c r="G211">
        <v>3</v>
      </c>
      <c r="H211">
        <v>0</v>
      </c>
      <c r="I211" t="s">
        <v>488</v>
      </c>
      <c r="J211" t="s">
        <v>1234</v>
      </c>
      <c r="K211" t="s">
        <v>1235</v>
      </c>
      <c r="M211" t="s">
        <v>487</v>
      </c>
      <c r="N211">
        <v>0</v>
      </c>
      <c r="O211" t="s">
        <v>1241</v>
      </c>
      <c r="P211">
        <v>5.4900000000000001E-3</v>
      </c>
      <c r="Q211">
        <v>12.787010050249469</v>
      </c>
      <c r="R211" s="6"/>
    </row>
    <row r="212" spans="1:18" x14ac:dyDescent="0.15">
      <c r="C212" t="s">
        <v>15</v>
      </c>
      <c r="D212">
        <v>45.226130653265997</v>
      </c>
      <c r="E212">
        <v>1000</v>
      </c>
      <c r="F212" t="s">
        <v>13</v>
      </c>
      <c r="G212">
        <v>3</v>
      </c>
      <c r="H212">
        <v>0</v>
      </c>
      <c r="I212" t="s">
        <v>488</v>
      </c>
      <c r="J212" t="s">
        <v>1234</v>
      </c>
      <c r="K212" t="s">
        <v>1235</v>
      </c>
      <c r="M212" t="s">
        <v>487</v>
      </c>
      <c r="N212">
        <v>0</v>
      </c>
      <c r="O212" t="s">
        <v>1241</v>
      </c>
      <c r="P212">
        <v>7.9819999999999988E-2</v>
      </c>
      <c r="Q212">
        <v>3.7182482412060023</v>
      </c>
      <c r="R212" s="6"/>
    </row>
    <row r="213" spans="1:18" x14ac:dyDescent="0.15">
      <c r="C213" t="s">
        <v>23</v>
      </c>
      <c r="D213">
        <v>0.11306532663299999</v>
      </c>
      <c r="E213">
        <v>1</v>
      </c>
      <c r="F213" t="s">
        <v>13</v>
      </c>
      <c r="G213">
        <v>3</v>
      </c>
      <c r="H213">
        <v>0</v>
      </c>
      <c r="I213" t="s">
        <v>488</v>
      </c>
      <c r="J213" t="s">
        <v>1234</v>
      </c>
      <c r="K213" t="s">
        <v>1235</v>
      </c>
      <c r="M213" t="s">
        <v>487</v>
      </c>
      <c r="N213">
        <v>0</v>
      </c>
      <c r="O213" t="s">
        <v>1241</v>
      </c>
      <c r="P213">
        <v>2.3609999999999999E-2</v>
      </c>
      <c r="Q213">
        <v>2.7495565326592839</v>
      </c>
      <c r="R213" s="6"/>
    </row>
    <row r="214" spans="1:18" x14ac:dyDescent="0.15">
      <c r="C214" t="s">
        <v>24</v>
      </c>
      <c r="D214">
        <v>45.226130653265997</v>
      </c>
      <c r="E214">
        <v>1000</v>
      </c>
      <c r="F214" t="s">
        <v>13</v>
      </c>
      <c r="G214">
        <v>3</v>
      </c>
      <c r="H214">
        <v>0</v>
      </c>
      <c r="I214" t="s">
        <v>488</v>
      </c>
      <c r="J214" t="s">
        <v>1234</v>
      </c>
      <c r="K214" t="s">
        <v>1235</v>
      </c>
      <c r="M214" t="s">
        <v>487</v>
      </c>
      <c r="N214">
        <v>0</v>
      </c>
      <c r="O214" t="s">
        <v>1241</v>
      </c>
      <c r="P214">
        <v>2.8500000000000001E-2</v>
      </c>
      <c r="Q214">
        <v>1.3276130653266234</v>
      </c>
      <c r="R214" s="6"/>
    </row>
    <row r="215" spans="1:18" x14ac:dyDescent="0.15">
      <c r="C215" t="s">
        <v>17</v>
      </c>
      <c r="D215">
        <v>13.888888888889001</v>
      </c>
      <c r="E215">
        <v>1000</v>
      </c>
      <c r="F215" t="s">
        <v>18</v>
      </c>
      <c r="G215">
        <v>0</v>
      </c>
      <c r="H215">
        <v>0</v>
      </c>
      <c r="I215" t="s">
        <v>488</v>
      </c>
      <c r="J215" t="s">
        <v>1234</v>
      </c>
      <c r="K215" t="s">
        <v>1235</v>
      </c>
      <c r="M215" t="s">
        <v>487</v>
      </c>
      <c r="N215">
        <v>0</v>
      </c>
      <c r="O215" t="s">
        <v>1241</v>
      </c>
      <c r="P215">
        <v>53.85</v>
      </c>
      <c r="Q215">
        <v>747.91666666667277</v>
      </c>
      <c r="R215" s="6"/>
    </row>
    <row r="216" spans="1:18" x14ac:dyDescent="0.15">
      <c r="C216" t="s">
        <v>19</v>
      </c>
      <c r="D216">
        <v>4</v>
      </c>
      <c r="E216">
        <v>1</v>
      </c>
      <c r="F216" t="s">
        <v>18</v>
      </c>
      <c r="G216">
        <v>0</v>
      </c>
      <c r="H216">
        <v>0</v>
      </c>
      <c r="I216" t="s">
        <v>488</v>
      </c>
      <c r="J216" t="s">
        <v>1236</v>
      </c>
      <c r="K216" t="s">
        <v>1235</v>
      </c>
      <c r="M216" t="s">
        <v>487</v>
      </c>
      <c r="N216">
        <v>0</v>
      </c>
      <c r="O216" t="s">
        <v>1241</v>
      </c>
      <c r="P216">
        <v>34.65</v>
      </c>
      <c r="Q216">
        <v>138.6</v>
      </c>
      <c r="R216" s="6"/>
    </row>
    <row r="217" spans="1:18" x14ac:dyDescent="0.15">
      <c r="A217" t="s">
        <v>79</v>
      </c>
      <c r="B217" t="s">
        <v>479</v>
      </c>
      <c r="P217">
        <v>0.74772537339895839</v>
      </c>
      <c r="R217" s="6"/>
    </row>
    <row r="218" spans="1:18" x14ac:dyDescent="0.15">
      <c r="C218" t="s">
        <v>80</v>
      </c>
      <c r="D218">
        <v>1</v>
      </c>
      <c r="E218">
        <v>1</v>
      </c>
      <c r="F218" t="s">
        <v>9</v>
      </c>
      <c r="G218">
        <v>0</v>
      </c>
      <c r="H218">
        <v>0</v>
      </c>
      <c r="I218" t="s">
        <v>488</v>
      </c>
      <c r="J218" t="s">
        <v>1234</v>
      </c>
      <c r="K218" t="s">
        <v>1235</v>
      </c>
      <c r="M218" t="s">
        <v>487</v>
      </c>
      <c r="N218">
        <v>0</v>
      </c>
      <c r="O218" t="s">
        <v>1241</v>
      </c>
      <c r="P218">
        <v>0.74772537339895839</v>
      </c>
      <c r="Q218">
        <v>0.74772537339895839</v>
      </c>
      <c r="R218" s="6"/>
    </row>
    <row r="219" spans="1:18" x14ac:dyDescent="0.15">
      <c r="A219" t="s">
        <v>81</v>
      </c>
      <c r="B219" t="s">
        <v>479</v>
      </c>
      <c r="P219">
        <v>1.4954507467979168</v>
      </c>
      <c r="R219" s="6"/>
    </row>
    <row r="220" spans="1:18" x14ac:dyDescent="0.15">
      <c r="C220" t="s">
        <v>80</v>
      </c>
      <c r="D220">
        <v>2</v>
      </c>
      <c r="E220">
        <v>1</v>
      </c>
      <c r="F220" t="s">
        <v>9</v>
      </c>
      <c r="G220">
        <v>0</v>
      </c>
      <c r="H220">
        <v>0</v>
      </c>
      <c r="I220" t="s">
        <v>488</v>
      </c>
      <c r="J220" t="s">
        <v>1234</v>
      </c>
      <c r="K220" t="s">
        <v>1235</v>
      </c>
      <c r="M220" t="s">
        <v>487</v>
      </c>
      <c r="N220">
        <v>0</v>
      </c>
      <c r="O220" t="s">
        <v>1241</v>
      </c>
      <c r="P220">
        <v>0.74772537339895839</v>
      </c>
      <c r="Q220">
        <v>1.4954507467979168</v>
      </c>
      <c r="R220" s="6"/>
    </row>
    <row r="221" spans="1:18" x14ac:dyDescent="0.15">
      <c r="A221" t="s">
        <v>80</v>
      </c>
      <c r="B221" t="s">
        <v>9</v>
      </c>
      <c r="P221">
        <v>0.74772537339895839</v>
      </c>
      <c r="R221" s="6"/>
    </row>
    <row r="222" spans="1:18" x14ac:dyDescent="0.15">
      <c r="C222" t="s">
        <v>22</v>
      </c>
      <c r="D222">
        <v>14</v>
      </c>
      <c r="E222">
        <v>1</v>
      </c>
      <c r="F222" t="s">
        <v>9</v>
      </c>
      <c r="G222">
        <v>3</v>
      </c>
      <c r="H222">
        <v>0</v>
      </c>
      <c r="I222" t="s">
        <v>488</v>
      </c>
      <c r="J222" t="s">
        <v>1234</v>
      </c>
      <c r="K222" t="s">
        <v>1235</v>
      </c>
      <c r="M222" t="s">
        <v>487</v>
      </c>
      <c r="N222">
        <v>0</v>
      </c>
      <c r="O222" t="s">
        <v>1241</v>
      </c>
      <c r="P222">
        <v>0</v>
      </c>
      <c r="Q222">
        <v>0</v>
      </c>
      <c r="R222" s="9" t="s">
        <v>1246</v>
      </c>
    </row>
    <row r="223" spans="1:18" x14ac:dyDescent="0.15">
      <c r="C223" t="s">
        <v>12</v>
      </c>
      <c r="D223">
        <v>3.9177135678389994</v>
      </c>
      <c r="E223">
        <v>1</v>
      </c>
      <c r="F223" t="s">
        <v>13</v>
      </c>
      <c r="G223">
        <v>3</v>
      </c>
      <c r="H223">
        <v>0</v>
      </c>
      <c r="I223" t="s">
        <v>488</v>
      </c>
      <c r="J223" t="s">
        <v>1234</v>
      </c>
      <c r="K223" t="s">
        <v>1235</v>
      </c>
      <c r="M223" t="s">
        <v>487</v>
      </c>
      <c r="N223">
        <v>0</v>
      </c>
      <c r="O223" t="s">
        <v>1241</v>
      </c>
      <c r="P223">
        <v>1.03E-2</v>
      </c>
      <c r="Q223">
        <v>41.563023241203943</v>
      </c>
      <c r="R223" s="6"/>
    </row>
    <row r="224" spans="1:18" x14ac:dyDescent="0.15">
      <c r="C224" t="s">
        <v>14</v>
      </c>
      <c r="D224">
        <v>4.3530150753769998</v>
      </c>
      <c r="E224">
        <v>1</v>
      </c>
      <c r="F224" t="s">
        <v>13</v>
      </c>
      <c r="G224">
        <v>3</v>
      </c>
      <c r="H224">
        <v>0</v>
      </c>
      <c r="I224" t="s">
        <v>488</v>
      </c>
      <c r="J224" t="s">
        <v>1234</v>
      </c>
      <c r="K224" t="s">
        <v>1235</v>
      </c>
      <c r="M224" t="s">
        <v>487</v>
      </c>
      <c r="N224">
        <v>0</v>
      </c>
      <c r="O224" t="s">
        <v>1241</v>
      </c>
      <c r="P224">
        <v>5.4900000000000001E-3</v>
      </c>
      <c r="Q224">
        <v>24.614994346734321</v>
      </c>
      <c r="R224" s="6"/>
    </row>
    <row r="225" spans="1:18" x14ac:dyDescent="0.15">
      <c r="C225" t="s">
        <v>15</v>
      </c>
      <c r="D225">
        <v>87.060301507538</v>
      </c>
      <c r="E225">
        <v>1000</v>
      </c>
      <c r="F225" t="s">
        <v>13</v>
      </c>
      <c r="G225">
        <v>3</v>
      </c>
      <c r="H225">
        <v>0</v>
      </c>
      <c r="I225" t="s">
        <v>488</v>
      </c>
      <c r="J225" t="s">
        <v>1234</v>
      </c>
      <c r="K225" t="s">
        <v>1235</v>
      </c>
      <c r="M225" t="s">
        <v>487</v>
      </c>
      <c r="N225">
        <v>0</v>
      </c>
      <c r="O225" t="s">
        <v>1241</v>
      </c>
      <c r="P225">
        <v>7.9819999999999988E-2</v>
      </c>
      <c r="Q225">
        <v>7.1576278643216327</v>
      </c>
      <c r="R225" s="6"/>
    </row>
    <row r="226" spans="1:18" x14ac:dyDescent="0.15">
      <c r="C226" t="s">
        <v>23</v>
      </c>
      <c r="D226">
        <v>0.217650753769</v>
      </c>
      <c r="E226">
        <v>1</v>
      </c>
      <c r="F226" t="s">
        <v>13</v>
      </c>
      <c r="G226">
        <v>3</v>
      </c>
      <c r="H226">
        <v>0</v>
      </c>
      <c r="I226" t="s">
        <v>488</v>
      </c>
      <c r="J226" t="s">
        <v>1234</v>
      </c>
      <c r="K226" t="s">
        <v>1235</v>
      </c>
      <c r="M226" t="s">
        <v>487</v>
      </c>
      <c r="N226">
        <v>0</v>
      </c>
      <c r="O226" t="s">
        <v>1241</v>
      </c>
      <c r="P226">
        <v>2.3609999999999999E-2</v>
      </c>
      <c r="Q226">
        <v>5.2928963253806733</v>
      </c>
      <c r="R226" s="6"/>
    </row>
    <row r="227" spans="1:18" x14ac:dyDescent="0.15">
      <c r="C227" t="s">
        <v>24</v>
      </c>
      <c r="D227">
        <v>87.060301507538</v>
      </c>
      <c r="E227">
        <v>1000</v>
      </c>
      <c r="F227" t="s">
        <v>13</v>
      </c>
      <c r="G227">
        <v>3</v>
      </c>
      <c r="H227">
        <v>0</v>
      </c>
      <c r="I227" t="s">
        <v>488</v>
      </c>
      <c r="J227" t="s">
        <v>1234</v>
      </c>
      <c r="K227" t="s">
        <v>1235</v>
      </c>
      <c r="M227" t="s">
        <v>487</v>
      </c>
      <c r="N227">
        <v>0</v>
      </c>
      <c r="O227" t="s">
        <v>1241</v>
      </c>
      <c r="P227">
        <v>2.8500000000000001E-2</v>
      </c>
      <c r="Q227">
        <v>2.5556551507537781</v>
      </c>
      <c r="R227" s="6"/>
    </row>
    <row r="228" spans="1:18" x14ac:dyDescent="0.15">
      <c r="C228" t="s">
        <v>17</v>
      </c>
      <c r="D228">
        <v>9.8039215686270005</v>
      </c>
      <c r="E228">
        <v>1000</v>
      </c>
      <c r="F228" t="s">
        <v>18</v>
      </c>
      <c r="G228">
        <v>0</v>
      </c>
      <c r="H228">
        <v>0</v>
      </c>
      <c r="I228" t="s">
        <v>488</v>
      </c>
      <c r="J228" t="s">
        <v>1234</v>
      </c>
      <c r="K228" t="s">
        <v>1235</v>
      </c>
      <c r="M228" t="s">
        <v>487</v>
      </c>
      <c r="N228">
        <v>0</v>
      </c>
      <c r="O228" t="s">
        <v>1241</v>
      </c>
      <c r="P228">
        <v>53.85</v>
      </c>
      <c r="Q228">
        <v>527.94117647056396</v>
      </c>
      <c r="R228" s="6"/>
    </row>
    <row r="229" spans="1:18" x14ac:dyDescent="0.15">
      <c r="C229" t="s">
        <v>19</v>
      </c>
      <c r="D229">
        <v>4</v>
      </c>
      <c r="E229">
        <v>1</v>
      </c>
      <c r="F229" t="s">
        <v>18</v>
      </c>
      <c r="G229">
        <v>0</v>
      </c>
      <c r="H229">
        <v>0</v>
      </c>
      <c r="I229" t="s">
        <v>488</v>
      </c>
      <c r="J229" t="s">
        <v>1236</v>
      </c>
      <c r="K229" t="s">
        <v>1235</v>
      </c>
      <c r="M229" t="s">
        <v>487</v>
      </c>
      <c r="N229">
        <v>0</v>
      </c>
      <c r="O229" t="s">
        <v>1241</v>
      </c>
      <c r="P229">
        <v>34.65</v>
      </c>
      <c r="Q229">
        <v>138.6</v>
      </c>
      <c r="R229" s="6"/>
    </row>
    <row r="230" spans="1:18" x14ac:dyDescent="0.15">
      <c r="A230" t="s">
        <v>82</v>
      </c>
      <c r="B230" t="s">
        <v>479</v>
      </c>
      <c r="P230">
        <v>0.45216006369932515</v>
      </c>
      <c r="R230" s="6"/>
    </row>
    <row r="231" spans="1:18" x14ac:dyDescent="0.15">
      <c r="C231" t="s">
        <v>83</v>
      </c>
      <c r="D231">
        <v>1</v>
      </c>
      <c r="E231">
        <v>1</v>
      </c>
      <c r="F231" t="s">
        <v>9</v>
      </c>
      <c r="G231">
        <v>0</v>
      </c>
      <c r="H231">
        <v>0</v>
      </c>
      <c r="I231" t="s">
        <v>488</v>
      </c>
      <c r="J231" t="s">
        <v>1234</v>
      </c>
      <c r="K231" t="s">
        <v>1235</v>
      </c>
      <c r="M231" t="s">
        <v>487</v>
      </c>
      <c r="N231">
        <v>0</v>
      </c>
      <c r="O231" t="s">
        <v>1241</v>
      </c>
      <c r="P231">
        <v>0.45216006369932515</v>
      </c>
      <c r="Q231">
        <v>0.45216006369932515</v>
      </c>
      <c r="R231" s="6"/>
    </row>
    <row r="232" spans="1:18" x14ac:dyDescent="0.15">
      <c r="A232" t="s">
        <v>84</v>
      </c>
      <c r="B232" t="s">
        <v>479</v>
      </c>
      <c r="P232">
        <v>0.90432012739865031</v>
      </c>
      <c r="R232" s="6"/>
    </row>
    <row r="233" spans="1:18" x14ac:dyDescent="0.15">
      <c r="C233" t="s">
        <v>83</v>
      </c>
      <c r="D233">
        <v>2</v>
      </c>
      <c r="E233">
        <v>1</v>
      </c>
      <c r="F233" t="s">
        <v>9</v>
      </c>
      <c r="G233">
        <v>0</v>
      </c>
      <c r="H233">
        <v>0</v>
      </c>
      <c r="I233" t="s">
        <v>488</v>
      </c>
      <c r="J233" t="s">
        <v>1234</v>
      </c>
      <c r="K233" t="s">
        <v>1235</v>
      </c>
      <c r="M233" t="s">
        <v>487</v>
      </c>
      <c r="N233">
        <v>0</v>
      </c>
      <c r="O233" t="s">
        <v>1241</v>
      </c>
      <c r="P233">
        <v>0.45216006369932515</v>
      </c>
      <c r="Q233">
        <v>0.90432012739865031</v>
      </c>
      <c r="R233" s="6"/>
    </row>
    <row r="234" spans="1:18" x14ac:dyDescent="0.15">
      <c r="A234" t="s">
        <v>85</v>
      </c>
      <c r="B234" t="s">
        <v>479</v>
      </c>
      <c r="P234">
        <v>0.22608003184966258</v>
      </c>
      <c r="R234" s="6"/>
    </row>
    <row r="235" spans="1:18" x14ac:dyDescent="0.15">
      <c r="C235" t="s">
        <v>83</v>
      </c>
      <c r="D235">
        <v>500</v>
      </c>
      <c r="E235">
        <v>1000</v>
      </c>
      <c r="F235" t="s">
        <v>9</v>
      </c>
      <c r="G235">
        <v>0</v>
      </c>
      <c r="H235">
        <v>0</v>
      </c>
      <c r="I235" t="s">
        <v>488</v>
      </c>
      <c r="J235" t="s">
        <v>1234</v>
      </c>
      <c r="K235" t="s">
        <v>1235</v>
      </c>
      <c r="M235" t="s">
        <v>487</v>
      </c>
      <c r="N235">
        <v>0</v>
      </c>
      <c r="O235" t="s">
        <v>1241</v>
      </c>
      <c r="P235">
        <v>0.45216006369932515</v>
      </c>
      <c r="Q235">
        <v>226.08003184966259</v>
      </c>
      <c r="R235" s="6"/>
    </row>
    <row r="236" spans="1:18" x14ac:dyDescent="0.15">
      <c r="A236" t="s">
        <v>83</v>
      </c>
      <c r="B236" t="s">
        <v>9</v>
      </c>
      <c r="P236">
        <v>0.45216006369932515</v>
      </c>
      <c r="R236" s="6"/>
    </row>
    <row r="237" spans="1:18" x14ac:dyDescent="0.15">
      <c r="C237" t="s">
        <v>29</v>
      </c>
      <c r="D237">
        <v>2</v>
      </c>
      <c r="E237">
        <v>1</v>
      </c>
      <c r="F237" t="s">
        <v>9</v>
      </c>
      <c r="G237">
        <v>3</v>
      </c>
      <c r="H237">
        <v>0</v>
      </c>
      <c r="I237" t="s">
        <v>488</v>
      </c>
      <c r="J237" t="s">
        <v>1234</v>
      </c>
      <c r="K237" t="s">
        <v>1235</v>
      </c>
      <c r="M237" t="s">
        <v>487</v>
      </c>
      <c r="N237">
        <v>0</v>
      </c>
      <c r="O237" t="s">
        <v>1241</v>
      </c>
      <c r="P237">
        <v>0</v>
      </c>
      <c r="Q237">
        <v>0</v>
      </c>
      <c r="R237" s="9" t="s">
        <v>1246</v>
      </c>
    </row>
    <row r="238" spans="1:18" x14ac:dyDescent="0.15">
      <c r="C238" t="s">
        <v>12</v>
      </c>
      <c r="D238">
        <v>0.14562814070399999</v>
      </c>
      <c r="E238">
        <v>1</v>
      </c>
      <c r="F238" t="s">
        <v>13</v>
      </c>
      <c r="G238">
        <v>3</v>
      </c>
      <c r="H238">
        <v>0</v>
      </c>
      <c r="I238" t="s">
        <v>488</v>
      </c>
      <c r="J238" t="s">
        <v>1234</v>
      </c>
      <c r="K238" t="s">
        <v>1235</v>
      </c>
      <c r="M238" t="s">
        <v>487</v>
      </c>
      <c r="N238">
        <v>0</v>
      </c>
      <c r="O238" t="s">
        <v>1241</v>
      </c>
      <c r="P238">
        <v>1.03E-2</v>
      </c>
      <c r="Q238">
        <v>1.5449689447287358</v>
      </c>
      <c r="R238" s="6"/>
    </row>
    <row r="239" spans="1:18" x14ac:dyDescent="0.15">
      <c r="C239" t="s">
        <v>14</v>
      </c>
      <c r="D239">
        <v>0.16180904522600001</v>
      </c>
      <c r="E239">
        <v>1</v>
      </c>
      <c r="F239" t="s">
        <v>13</v>
      </c>
      <c r="G239">
        <v>3</v>
      </c>
      <c r="H239">
        <v>0</v>
      </c>
      <c r="I239" t="s">
        <v>488</v>
      </c>
      <c r="J239" t="s">
        <v>1234</v>
      </c>
      <c r="K239" t="s">
        <v>1235</v>
      </c>
      <c r="M239" t="s">
        <v>487</v>
      </c>
      <c r="N239">
        <v>0</v>
      </c>
      <c r="O239" t="s">
        <v>1241</v>
      </c>
      <c r="P239">
        <v>5.4900000000000001E-3</v>
      </c>
      <c r="Q239">
        <v>0.91498160803946216</v>
      </c>
      <c r="R239" s="6"/>
    </row>
    <row r="240" spans="1:18" x14ac:dyDescent="0.15">
      <c r="C240" t="s">
        <v>15</v>
      </c>
      <c r="D240">
        <v>3.2361809045230006</v>
      </c>
      <c r="E240">
        <v>1000</v>
      </c>
      <c r="F240" t="s">
        <v>13</v>
      </c>
      <c r="G240">
        <v>3</v>
      </c>
      <c r="H240">
        <v>0</v>
      </c>
      <c r="I240" t="s">
        <v>488</v>
      </c>
      <c r="J240" t="s">
        <v>1234</v>
      </c>
      <c r="K240" t="s">
        <v>1235</v>
      </c>
      <c r="M240" t="s">
        <v>487</v>
      </c>
      <c r="N240">
        <v>0</v>
      </c>
      <c r="O240" t="s">
        <v>1241</v>
      </c>
      <c r="P240">
        <v>7.9819999999999988E-2</v>
      </c>
      <c r="Q240">
        <v>0.26606131859299664</v>
      </c>
      <c r="R240" s="6"/>
    </row>
    <row r="241" spans="1:18" x14ac:dyDescent="0.15">
      <c r="C241" t="s">
        <v>23</v>
      </c>
      <c r="D241">
        <v>8.090452261307</v>
      </c>
      <c r="E241">
        <v>1000</v>
      </c>
      <c r="F241" t="s">
        <v>13</v>
      </c>
      <c r="G241">
        <v>3</v>
      </c>
      <c r="H241">
        <v>0</v>
      </c>
      <c r="I241" t="s">
        <v>488</v>
      </c>
      <c r="J241" t="s">
        <v>1234</v>
      </c>
      <c r="K241" t="s">
        <v>1235</v>
      </c>
      <c r="M241" t="s">
        <v>487</v>
      </c>
      <c r="N241">
        <v>0</v>
      </c>
      <c r="O241" t="s">
        <v>1241</v>
      </c>
      <c r="P241">
        <v>2.3609999999999999E-2</v>
      </c>
      <c r="Q241">
        <v>0.19674604522614203</v>
      </c>
      <c r="R241" s="6"/>
    </row>
    <row r="242" spans="1:18" x14ac:dyDescent="0.15">
      <c r="C242" t="s">
        <v>24</v>
      </c>
      <c r="D242">
        <v>3.2361809045230006</v>
      </c>
      <c r="E242">
        <v>1000</v>
      </c>
      <c r="F242" t="s">
        <v>13</v>
      </c>
      <c r="G242">
        <v>3</v>
      </c>
      <c r="H242">
        <v>0</v>
      </c>
      <c r="I242" t="s">
        <v>488</v>
      </c>
      <c r="J242" t="s">
        <v>1234</v>
      </c>
      <c r="K242" t="s">
        <v>1235</v>
      </c>
      <c r="M242" t="s">
        <v>487</v>
      </c>
      <c r="N242">
        <v>0</v>
      </c>
      <c r="O242" t="s">
        <v>1241</v>
      </c>
      <c r="P242">
        <v>2.8500000000000001E-2</v>
      </c>
      <c r="Q242">
        <v>9.4998090452272685E-2</v>
      </c>
      <c r="R242" s="6"/>
    </row>
    <row r="243" spans="1:18" x14ac:dyDescent="0.15">
      <c r="C243" t="s">
        <v>17</v>
      </c>
      <c r="D243">
        <v>6.4102564102559993</v>
      </c>
      <c r="E243">
        <v>1000</v>
      </c>
      <c r="F243" t="s">
        <v>18</v>
      </c>
      <c r="G243">
        <v>0</v>
      </c>
      <c r="H243">
        <v>0</v>
      </c>
      <c r="I243" t="s">
        <v>488</v>
      </c>
      <c r="J243" t="s">
        <v>1234</v>
      </c>
      <c r="K243" t="s">
        <v>1235</v>
      </c>
      <c r="M243" t="s">
        <v>487</v>
      </c>
      <c r="N243">
        <v>0</v>
      </c>
      <c r="O243" t="s">
        <v>1241</v>
      </c>
      <c r="P243">
        <v>53.85</v>
      </c>
      <c r="Q243">
        <v>345.19230769228557</v>
      </c>
      <c r="R243" s="6"/>
    </row>
    <row r="244" spans="1:18" x14ac:dyDescent="0.15">
      <c r="C244" t="s">
        <v>19</v>
      </c>
      <c r="D244">
        <v>3</v>
      </c>
      <c r="E244">
        <v>1</v>
      </c>
      <c r="F244" t="s">
        <v>18</v>
      </c>
      <c r="G244">
        <v>0</v>
      </c>
      <c r="H244">
        <v>0</v>
      </c>
      <c r="I244" t="s">
        <v>488</v>
      </c>
      <c r="J244" t="s">
        <v>1236</v>
      </c>
      <c r="K244" t="s">
        <v>1235</v>
      </c>
      <c r="M244" t="s">
        <v>487</v>
      </c>
      <c r="N244">
        <v>0</v>
      </c>
      <c r="O244" t="s">
        <v>1241</v>
      </c>
      <c r="P244">
        <v>34.65</v>
      </c>
      <c r="Q244">
        <v>103.94999999999999</v>
      </c>
      <c r="R244" s="6"/>
    </row>
    <row r="245" spans="1:18" x14ac:dyDescent="0.15">
      <c r="A245" t="s">
        <v>86</v>
      </c>
      <c r="B245" t="s">
        <v>479</v>
      </c>
      <c r="P245">
        <v>0.43052122629978534</v>
      </c>
      <c r="R245" s="6"/>
    </row>
    <row r="246" spans="1:18" x14ac:dyDescent="0.15">
      <c r="C246" t="s">
        <v>87</v>
      </c>
      <c r="D246">
        <v>1</v>
      </c>
      <c r="E246">
        <v>1</v>
      </c>
      <c r="F246" t="s">
        <v>9</v>
      </c>
      <c r="G246">
        <v>0</v>
      </c>
      <c r="H246">
        <v>0</v>
      </c>
      <c r="I246" t="s">
        <v>488</v>
      </c>
      <c r="J246" t="s">
        <v>1234</v>
      </c>
      <c r="K246" t="s">
        <v>1235</v>
      </c>
      <c r="M246" t="s">
        <v>487</v>
      </c>
      <c r="N246">
        <v>0</v>
      </c>
      <c r="O246" t="s">
        <v>1241</v>
      </c>
      <c r="P246">
        <v>0.43052122629978534</v>
      </c>
      <c r="Q246">
        <v>0.43052122629978534</v>
      </c>
      <c r="R246" s="6"/>
    </row>
    <row r="247" spans="1:18" x14ac:dyDescent="0.15">
      <c r="A247" t="s">
        <v>88</v>
      </c>
      <c r="B247" t="s">
        <v>479</v>
      </c>
      <c r="P247">
        <v>0.86104245259957068</v>
      </c>
      <c r="R247" s="6"/>
    </row>
    <row r="248" spans="1:18" x14ac:dyDescent="0.15">
      <c r="C248" t="s">
        <v>87</v>
      </c>
      <c r="D248">
        <v>2</v>
      </c>
      <c r="E248">
        <v>1</v>
      </c>
      <c r="F248" t="s">
        <v>9</v>
      </c>
      <c r="G248">
        <v>0</v>
      </c>
      <c r="H248">
        <v>0</v>
      </c>
      <c r="I248" t="s">
        <v>488</v>
      </c>
      <c r="J248" t="s">
        <v>1234</v>
      </c>
      <c r="K248" t="s">
        <v>1235</v>
      </c>
      <c r="M248" t="s">
        <v>487</v>
      </c>
      <c r="N248">
        <v>0</v>
      </c>
      <c r="O248" t="s">
        <v>1241</v>
      </c>
      <c r="P248">
        <v>0.43052122629978534</v>
      </c>
      <c r="Q248">
        <v>0.86104245259957068</v>
      </c>
      <c r="R248" s="6"/>
    </row>
    <row r="249" spans="1:18" x14ac:dyDescent="0.15">
      <c r="A249" t="s">
        <v>89</v>
      </c>
      <c r="B249" t="s">
        <v>479</v>
      </c>
      <c r="P249">
        <v>0.21526061314989267</v>
      </c>
      <c r="R249" s="6"/>
    </row>
    <row r="250" spans="1:18" x14ac:dyDescent="0.15">
      <c r="C250" t="s">
        <v>87</v>
      </c>
      <c r="D250">
        <v>500</v>
      </c>
      <c r="E250">
        <v>1000</v>
      </c>
      <c r="F250" t="s">
        <v>9</v>
      </c>
      <c r="G250">
        <v>0</v>
      </c>
      <c r="H250">
        <v>0</v>
      </c>
      <c r="I250" t="s">
        <v>488</v>
      </c>
      <c r="J250" t="s">
        <v>1234</v>
      </c>
      <c r="K250" t="s">
        <v>1235</v>
      </c>
      <c r="M250" t="s">
        <v>487</v>
      </c>
      <c r="N250">
        <v>0</v>
      </c>
      <c r="O250" t="s">
        <v>1241</v>
      </c>
      <c r="P250">
        <v>0.43052122629978534</v>
      </c>
      <c r="Q250">
        <v>215.26061314989266</v>
      </c>
      <c r="R250" s="6"/>
    </row>
    <row r="251" spans="1:18" x14ac:dyDescent="0.15">
      <c r="A251" t="s">
        <v>87</v>
      </c>
      <c r="B251" t="s">
        <v>9</v>
      </c>
      <c r="P251">
        <v>0.43052122629978534</v>
      </c>
      <c r="R251" s="6"/>
    </row>
    <row r="252" spans="1:18" x14ac:dyDescent="0.15">
      <c r="C252" t="s">
        <v>33</v>
      </c>
      <c r="D252">
        <v>2</v>
      </c>
      <c r="E252">
        <v>1</v>
      </c>
      <c r="F252" t="s">
        <v>9</v>
      </c>
      <c r="G252">
        <v>3</v>
      </c>
      <c r="H252">
        <v>0</v>
      </c>
      <c r="I252" t="s">
        <v>488</v>
      </c>
      <c r="J252" t="s">
        <v>1234</v>
      </c>
      <c r="K252" t="s">
        <v>1235</v>
      </c>
      <c r="M252" t="s">
        <v>487</v>
      </c>
      <c r="N252">
        <v>0</v>
      </c>
      <c r="O252" t="s">
        <v>1241</v>
      </c>
      <c r="P252">
        <v>0</v>
      </c>
      <c r="Q252">
        <v>0</v>
      </c>
      <c r="R252" s="9" t="s">
        <v>1246</v>
      </c>
    </row>
    <row r="253" spans="1:18" x14ac:dyDescent="0.15">
      <c r="C253" t="s">
        <v>12</v>
      </c>
      <c r="D253">
        <v>0.291256281407</v>
      </c>
      <c r="E253">
        <v>1</v>
      </c>
      <c r="F253" t="s">
        <v>13</v>
      </c>
      <c r="G253">
        <v>3</v>
      </c>
      <c r="H253">
        <v>0</v>
      </c>
      <c r="I253" t="s">
        <v>488</v>
      </c>
      <c r="J253" t="s">
        <v>1234</v>
      </c>
      <c r="K253" t="s">
        <v>1235</v>
      </c>
      <c r="M253" t="s">
        <v>487</v>
      </c>
      <c r="N253">
        <v>0</v>
      </c>
      <c r="O253" t="s">
        <v>1241</v>
      </c>
      <c r="P253">
        <v>1.03E-2</v>
      </c>
      <c r="Q253">
        <v>3.0899378894468628</v>
      </c>
      <c r="R253" s="6"/>
    </row>
    <row r="254" spans="1:18" x14ac:dyDescent="0.15">
      <c r="C254" t="s">
        <v>14</v>
      </c>
      <c r="D254">
        <v>0.32361809045200002</v>
      </c>
      <c r="E254">
        <v>1</v>
      </c>
      <c r="F254" t="s">
        <v>13</v>
      </c>
      <c r="G254">
        <v>3</v>
      </c>
      <c r="H254">
        <v>0</v>
      </c>
      <c r="I254" t="s">
        <v>488</v>
      </c>
      <c r="J254" t="s">
        <v>1234</v>
      </c>
      <c r="K254" t="s">
        <v>1235</v>
      </c>
      <c r="M254" t="s">
        <v>487</v>
      </c>
      <c r="N254">
        <v>0</v>
      </c>
      <c r="O254" t="s">
        <v>1241</v>
      </c>
      <c r="P254">
        <v>5.4900000000000001E-3</v>
      </c>
      <c r="Q254">
        <v>1.8299632160789243</v>
      </c>
      <c r="R254" s="6"/>
    </row>
    <row r="255" spans="1:18" x14ac:dyDescent="0.15">
      <c r="C255" t="s">
        <v>15</v>
      </c>
      <c r="D255">
        <v>6.4723618090450001</v>
      </c>
      <c r="E255">
        <v>1000</v>
      </c>
      <c r="F255" t="s">
        <v>13</v>
      </c>
      <c r="G255">
        <v>3</v>
      </c>
      <c r="H255">
        <v>0</v>
      </c>
      <c r="I255" t="s">
        <v>488</v>
      </c>
      <c r="J255" t="s">
        <v>1234</v>
      </c>
      <c r="K255" t="s">
        <v>1235</v>
      </c>
      <c r="M255" t="s">
        <v>487</v>
      </c>
      <c r="N255">
        <v>0</v>
      </c>
      <c r="O255" t="s">
        <v>1241</v>
      </c>
      <c r="P255">
        <v>7.9819999999999988E-2</v>
      </c>
      <c r="Q255">
        <v>0.53212263718591102</v>
      </c>
      <c r="R255" s="6"/>
    </row>
    <row r="256" spans="1:18" x14ac:dyDescent="0.15">
      <c r="C256" t="s">
        <v>23</v>
      </c>
      <c r="D256">
        <v>16.180904522613002</v>
      </c>
      <c r="E256">
        <v>1000</v>
      </c>
      <c r="F256" t="s">
        <v>13</v>
      </c>
      <c r="G256">
        <v>3</v>
      </c>
      <c r="H256">
        <v>0</v>
      </c>
      <c r="I256" t="s">
        <v>488</v>
      </c>
      <c r="J256" t="s">
        <v>1234</v>
      </c>
      <c r="K256" t="s">
        <v>1235</v>
      </c>
      <c r="M256" t="s">
        <v>487</v>
      </c>
      <c r="N256">
        <v>0</v>
      </c>
      <c r="O256" t="s">
        <v>1241</v>
      </c>
      <c r="P256">
        <v>2.3609999999999999E-2</v>
      </c>
      <c r="Q256">
        <v>0.39349209045225975</v>
      </c>
      <c r="R256" s="6"/>
    </row>
    <row r="257" spans="1:18" x14ac:dyDescent="0.15">
      <c r="C257" t="s">
        <v>24</v>
      </c>
      <c r="D257">
        <v>6.4723618090450001</v>
      </c>
      <c r="E257">
        <v>1000</v>
      </c>
      <c r="F257" t="s">
        <v>13</v>
      </c>
      <c r="G257">
        <v>3</v>
      </c>
      <c r="H257">
        <v>0</v>
      </c>
      <c r="I257" t="s">
        <v>488</v>
      </c>
      <c r="J257" t="s">
        <v>1234</v>
      </c>
      <c r="K257" t="s">
        <v>1235</v>
      </c>
      <c r="M257" t="s">
        <v>487</v>
      </c>
      <c r="N257">
        <v>0</v>
      </c>
      <c r="O257" t="s">
        <v>1241</v>
      </c>
      <c r="P257">
        <v>2.8500000000000001E-2</v>
      </c>
      <c r="Q257">
        <v>0.189996180904516</v>
      </c>
      <c r="R257" s="6"/>
    </row>
    <row r="258" spans="1:18" x14ac:dyDescent="0.15">
      <c r="C258" t="s">
        <v>17</v>
      </c>
      <c r="D258">
        <v>5.9523809523809996</v>
      </c>
      <c r="E258">
        <v>1000</v>
      </c>
      <c r="F258" t="s">
        <v>18</v>
      </c>
      <c r="G258">
        <v>0</v>
      </c>
      <c r="H258">
        <v>0</v>
      </c>
      <c r="I258" t="s">
        <v>488</v>
      </c>
      <c r="J258" t="s">
        <v>1234</v>
      </c>
      <c r="K258" t="s">
        <v>1235</v>
      </c>
      <c r="M258" t="s">
        <v>487</v>
      </c>
      <c r="N258">
        <v>0</v>
      </c>
      <c r="O258" t="s">
        <v>1241</v>
      </c>
      <c r="P258">
        <v>53.85</v>
      </c>
      <c r="Q258">
        <v>320.53571428571684</v>
      </c>
      <c r="R258" s="6"/>
    </row>
    <row r="259" spans="1:18" x14ac:dyDescent="0.15">
      <c r="C259" t="s">
        <v>19</v>
      </c>
      <c r="D259">
        <v>3</v>
      </c>
      <c r="E259">
        <v>1</v>
      </c>
      <c r="F259" t="s">
        <v>18</v>
      </c>
      <c r="G259">
        <v>0</v>
      </c>
      <c r="H259">
        <v>0</v>
      </c>
      <c r="I259" t="s">
        <v>488</v>
      </c>
      <c r="J259" t="s">
        <v>1236</v>
      </c>
      <c r="K259" t="s">
        <v>1235</v>
      </c>
      <c r="M259" t="s">
        <v>487</v>
      </c>
      <c r="N259">
        <v>0</v>
      </c>
      <c r="O259" t="s">
        <v>1241</v>
      </c>
      <c r="P259">
        <v>34.65</v>
      </c>
      <c r="Q259">
        <v>103.94999999999999</v>
      </c>
      <c r="R259" s="6"/>
    </row>
    <row r="260" spans="1:18" x14ac:dyDescent="0.15">
      <c r="A260" t="s">
        <v>90</v>
      </c>
      <c r="B260" t="s">
        <v>479</v>
      </c>
      <c r="P260">
        <v>0.45366894170283428</v>
      </c>
      <c r="R260" s="6"/>
    </row>
    <row r="261" spans="1:18" x14ac:dyDescent="0.15">
      <c r="C261" t="s">
        <v>91</v>
      </c>
      <c r="D261">
        <v>1</v>
      </c>
      <c r="E261">
        <v>1</v>
      </c>
      <c r="F261" t="s">
        <v>9</v>
      </c>
      <c r="G261">
        <v>0</v>
      </c>
      <c r="H261">
        <v>0</v>
      </c>
      <c r="I261" t="s">
        <v>488</v>
      </c>
      <c r="J261" t="s">
        <v>1234</v>
      </c>
      <c r="K261" t="s">
        <v>1235</v>
      </c>
      <c r="M261" t="s">
        <v>487</v>
      </c>
      <c r="N261">
        <v>0</v>
      </c>
      <c r="O261" t="s">
        <v>1241</v>
      </c>
      <c r="P261">
        <v>0.45366894170283428</v>
      </c>
      <c r="Q261">
        <v>0.45366894170283428</v>
      </c>
      <c r="R261" s="6"/>
    </row>
    <row r="262" spans="1:18" x14ac:dyDescent="0.15">
      <c r="A262" t="s">
        <v>92</v>
      </c>
      <c r="B262" t="s">
        <v>479</v>
      </c>
      <c r="P262">
        <v>0.90733788340566857</v>
      </c>
      <c r="R262" s="6"/>
    </row>
    <row r="263" spans="1:18" x14ac:dyDescent="0.15">
      <c r="C263" t="s">
        <v>91</v>
      </c>
      <c r="D263">
        <v>2</v>
      </c>
      <c r="E263">
        <v>1</v>
      </c>
      <c r="F263" t="s">
        <v>9</v>
      </c>
      <c r="G263">
        <v>0</v>
      </c>
      <c r="H263">
        <v>0</v>
      </c>
      <c r="I263" t="s">
        <v>488</v>
      </c>
      <c r="J263" t="s">
        <v>1234</v>
      </c>
      <c r="K263" t="s">
        <v>1235</v>
      </c>
      <c r="M263" t="s">
        <v>487</v>
      </c>
      <c r="N263">
        <v>0</v>
      </c>
      <c r="O263" t="s">
        <v>1241</v>
      </c>
      <c r="P263">
        <v>0.45366894170283428</v>
      </c>
      <c r="Q263">
        <v>0.90733788340566857</v>
      </c>
      <c r="R263" s="6"/>
    </row>
    <row r="264" spans="1:18" x14ac:dyDescent="0.15">
      <c r="A264" t="s">
        <v>93</v>
      </c>
      <c r="B264" t="s">
        <v>479</v>
      </c>
      <c r="P264">
        <v>0.22683447085141714</v>
      </c>
      <c r="R264" s="6"/>
    </row>
    <row r="265" spans="1:18" x14ac:dyDescent="0.15">
      <c r="C265" t="s">
        <v>91</v>
      </c>
      <c r="D265">
        <v>500</v>
      </c>
      <c r="E265">
        <v>1000</v>
      </c>
      <c r="F265" t="s">
        <v>9</v>
      </c>
      <c r="G265">
        <v>0</v>
      </c>
      <c r="H265">
        <v>0</v>
      </c>
      <c r="I265" t="s">
        <v>488</v>
      </c>
      <c r="J265" t="s">
        <v>1234</v>
      </c>
      <c r="K265" t="s">
        <v>1235</v>
      </c>
      <c r="M265" t="s">
        <v>487</v>
      </c>
      <c r="N265">
        <v>0</v>
      </c>
      <c r="O265" t="s">
        <v>1241</v>
      </c>
      <c r="P265">
        <v>0.45366894170283428</v>
      </c>
      <c r="Q265">
        <v>226.83447085141714</v>
      </c>
      <c r="R265" s="6"/>
    </row>
    <row r="266" spans="1:18" x14ac:dyDescent="0.15">
      <c r="A266" t="s">
        <v>91</v>
      </c>
      <c r="B266" t="s">
        <v>9</v>
      </c>
      <c r="P266">
        <v>0.45366894170283428</v>
      </c>
      <c r="R266" s="6"/>
    </row>
    <row r="267" spans="1:18" x14ac:dyDescent="0.15">
      <c r="C267" t="s">
        <v>29</v>
      </c>
      <c r="D267">
        <v>3</v>
      </c>
      <c r="E267">
        <v>1</v>
      </c>
      <c r="F267" t="s">
        <v>9</v>
      </c>
      <c r="G267">
        <v>3</v>
      </c>
      <c r="H267">
        <v>0</v>
      </c>
      <c r="I267" t="s">
        <v>488</v>
      </c>
      <c r="J267" t="s">
        <v>1234</v>
      </c>
      <c r="K267" t="s">
        <v>1235</v>
      </c>
      <c r="M267" t="s">
        <v>487</v>
      </c>
      <c r="N267">
        <v>0</v>
      </c>
      <c r="O267" t="s">
        <v>1241</v>
      </c>
      <c r="P267">
        <v>0</v>
      </c>
      <c r="Q267">
        <v>0</v>
      </c>
      <c r="R267" s="9" t="s">
        <v>1246</v>
      </c>
    </row>
    <row r="268" spans="1:18" x14ac:dyDescent="0.15">
      <c r="C268" t="s">
        <v>12</v>
      </c>
      <c r="D268">
        <v>0.218442211055</v>
      </c>
      <c r="E268">
        <v>1</v>
      </c>
      <c r="F268" t="s">
        <v>13</v>
      </c>
      <c r="G268">
        <v>3</v>
      </c>
      <c r="H268">
        <v>0</v>
      </c>
      <c r="I268" t="s">
        <v>488</v>
      </c>
      <c r="J268" t="s">
        <v>1234</v>
      </c>
      <c r="K268" t="s">
        <v>1235</v>
      </c>
      <c r="M268" t="s">
        <v>487</v>
      </c>
      <c r="N268">
        <v>0</v>
      </c>
      <c r="O268" t="s">
        <v>1241</v>
      </c>
      <c r="P268">
        <v>1.03E-2</v>
      </c>
      <c r="Q268">
        <v>2.3174534170824952</v>
      </c>
      <c r="R268" s="6"/>
    </row>
    <row r="269" spans="1:18" x14ac:dyDescent="0.15">
      <c r="C269" t="s">
        <v>14</v>
      </c>
      <c r="D269">
        <v>0.242713567839</v>
      </c>
      <c r="E269">
        <v>1</v>
      </c>
      <c r="F269" t="s">
        <v>13</v>
      </c>
      <c r="G269">
        <v>3</v>
      </c>
      <c r="H269">
        <v>0</v>
      </c>
      <c r="I269" t="s">
        <v>488</v>
      </c>
      <c r="J269" t="s">
        <v>1234</v>
      </c>
      <c r="K269" t="s">
        <v>1235</v>
      </c>
      <c r="M269" t="s">
        <v>487</v>
      </c>
      <c r="N269">
        <v>0</v>
      </c>
      <c r="O269" t="s">
        <v>1241</v>
      </c>
      <c r="P269">
        <v>5.4900000000000001E-3</v>
      </c>
      <c r="Q269">
        <v>1.3724724120591933</v>
      </c>
      <c r="R269" s="6"/>
    </row>
    <row r="270" spans="1:18" x14ac:dyDescent="0.15">
      <c r="C270" t="s">
        <v>15</v>
      </c>
      <c r="D270">
        <v>4.8542713567840003</v>
      </c>
      <c r="E270">
        <v>1000</v>
      </c>
      <c r="F270" t="s">
        <v>13</v>
      </c>
      <c r="G270">
        <v>3</v>
      </c>
      <c r="H270">
        <v>0</v>
      </c>
      <c r="I270" t="s">
        <v>488</v>
      </c>
      <c r="J270" t="s">
        <v>1234</v>
      </c>
      <c r="K270" t="s">
        <v>1235</v>
      </c>
      <c r="M270" t="s">
        <v>487</v>
      </c>
      <c r="N270">
        <v>0</v>
      </c>
      <c r="O270" t="s">
        <v>1241</v>
      </c>
      <c r="P270">
        <v>7.9819999999999988E-2</v>
      </c>
      <c r="Q270">
        <v>0.39909197788945383</v>
      </c>
      <c r="R270" s="6"/>
    </row>
    <row r="271" spans="1:18" x14ac:dyDescent="0.15">
      <c r="C271" t="s">
        <v>23</v>
      </c>
      <c r="D271">
        <v>12.135678391960001</v>
      </c>
      <c r="E271">
        <v>1000</v>
      </c>
      <c r="F271" t="s">
        <v>13</v>
      </c>
      <c r="G271">
        <v>3</v>
      </c>
      <c r="H271">
        <v>0</v>
      </c>
      <c r="I271" t="s">
        <v>488</v>
      </c>
      <c r="J271" t="s">
        <v>1234</v>
      </c>
      <c r="K271" t="s">
        <v>1235</v>
      </c>
      <c r="M271" t="s">
        <v>487</v>
      </c>
      <c r="N271">
        <v>0</v>
      </c>
      <c r="O271" t="s">
        <v>1241</v>
      </c>
      <c r="P271">
        <v>2.3609999999999999E-2</v>
      </c>
      <c r="Q271">
        <v>0.29511906783920089</v>
      </c>
      <c r="R271" s="6"/>
    </row>
    <row r="272" spans="1:18" x14ac:dyDescent="0.15">
      <c r="C272" t="s">
        <v>24</v>
      </c>
      <c r="D272">
        <v>4.8542713567840003</v>
      </c>
      <c r="E272">
        <v>1000</v>
      </c>
      <c r="F272" t="s">
        <v>13</v>
      </c>
      <c r="G272">
        <v>3</v>
      </c>
      <c r="H272">
        <v>0</v>
      </c>
      <c r="I272" t="s">
        <v>488</v>
      </c>
      <c r="J272" t="s">
        <v>1234</v>
      </c>
      <c r="K272" t="s">
        <v>1235</v>
      </c>
      <c r="M272" t="s">
        <v>487</v>
      </c>
      <c r="N272">
        <v>0</v>
      </c>
      <c r="O272" t="s">
        <v>1241</v>
      </c>
      <c r="P272">
        <v>2.8500000000000001E-2</v>
      </c>
      <c r="Q272">
        <v>0.14249713567839434</v>
      </c>
      <c r="R272" s="6"/>
    </row>
    <row r="273" spans="1:18" x14ac:dyDescent="0.15">
      <c r="C273" t="s">
        <v>17</v>
      </c>
      <c r="D273">
        <v>6.4102564102559993</v>
      </c>
      <c r="E273">
        <v>1000</v>
      </c>
      <c r="F273" t="s">
        <v>18</v>
      </c>
      <c r="G273">
        <v>0</v>
      </c>
      <c r="H273">
        <v>0</v>
      </c>
      <c r="I273" t="s">
        <v>488</v>
      </c>
      <c r="J273" t="s">
        <v>1234</v>
      </c>
      <c r="K273" t="s">
        <v>1235</v>
      </c>
      <c r="M273" t="s">
        <v>487</v>
      </c>
      <c r="N273">
        <v>0</v>
      </c>
      <c r="O273" t="s">
        <v>1241</v>
      </c>
      <c r="P273">
        <v>53.85</v>
      </c>
      <c r="Q273">
        <v>345.19230769228557</v>
      </c>
      <c r="R273" s="6"/>
    </row>
    <row r="274" spans="1:18" x14ac:dyDescent="0.15">
      <c r="C274" t="s">
        <v>19</v>
      </c>
      <c r="D274">
        <v>3</v>
      </c>
      <c r="E274">
        <v>1</v>
      </c>
      <c r="F274" t="s">
        <v>18</v>
      </c>
      <c r="G274">
        <v>0</v>
      </c>
      <c r="H274">
        <v>0</v>
      </c>
      <c r="I274" t="s">
        <v>488</v>
      </c>
      <c r="J274" t="s">
        <v>1236</v>
      </c>
      <c r="K274" t="s">
        <v>1235</v>
      </c>
      <c r="M274" t="s">
        <v>487</v>
      </c>
      <c r="N274">
        <v>0</v>
      </c>
      <c r="O274" t="s">
        <v>1241</v>
      </c>
      <c r="P274">
        <v>34.65</v>
      </c>
      <c r="Q274">
        <v>103.94999999999999</v>
      </c>
      <c r="R274" s="6"/>
    </row>
    <row r="275" spans="1:18" x14ac:dyDescent="0.15">
      <c r="A275" t="s">
        <v>94</v>
      </c>
      <c r="B275" t="s">
        <v>479</v>
      </c>
      <c r="P275">
        <v>0.44338634220640832</v>
      </c>
      <c r="R275" s="6"/>
    </row>
    <row r="276" spans="1:18" x14ac:dyDescent="0.15">
      <c r="C276" t="s">
        <v>95</v>
      </c>
      <c r="D276">
        <v>1</v>
      </c>
      <c r="E276">
        <v>1</v>
      </c>
      <c r="F276" t="s">
        <v>9</v>
      </c>
      <c r="G276">
        <v>0</v>
      </c>
      <c r="H276">
        <v>0</v>
      </c>
      <c r="I276" t="s">
        <v>488</v>
      </c>
      <c r="J276" t="s">
        <v>1234</v>
      </c>
      <c r="K276" t="s">
        <v>1235</v>
      </c>
      <c r="M276" t="s">
        <v>487</v>
      </c>
      <c r="N276">
        <v>0</v>
      </c>
      <c r="O276" t="s">
        <v>1241</v>
      </c>
      <c r="P276">
        <v>0.44338634220640832</v>
      </c>
      <c r="Q276">
        <v>0.44338634220640832</v>
      </c>
      <c r="R276" s="6"/>
    </row>
    <row r="277" spans="1:18" x14ac:dyDescent="0.15">
      <c r="A277" t="s">
        <v>96</v>
      </c>
      <c r="B277" t="s">
        <v>479</v>
      </c>
      <c r="P277">
        <v>0.88677268441281665</v>
      </c>
      <c r="R277" s="6"/>
    </row>
    <row r="278" spans="1:18" x14ac:dyDescent="0.15">
      <c r="C278" t="s">
        <v>95</v>
      </c>
      <c r="D278">
        <v>2</v>
      </c>
      <c r="E278">
        <v>1</v>
      </c>
      <c r="F278" t="s">
        <v>9</v>
      </c>
      <c r="G278">
        <v>0</v>
      </c>
      <c r="H278">
        <v>0</v>
      </c>
      <c r="I278" t="s">
        <v>488</v>
      </c>
      <c r="J278" t="s">
        <v>1234</v>
      </c>
      <c r="K278" t="s">
        <v>1235</v>
      </c>
      <c r="M278" t="s">
        <v>487</v>
      </c>
      <c r="N278">
        <v>0</v>
      </c>
      <c r="O278" t="s">
        <v>1241</v>
      </c>
      <c r="P278">
        <v>0.44338634220640832</v>
      </c>
      <c r="Q278">
        <v>0.88677268441281665</v>
      </c>
      <c r="R278" s="6"/>
    </row>
    <row r="279" spans="1:18" x14ac:dyDescent="0.15">
      <c r="A279" t="s">
        <v>97</v>
      </c>
      <c r="B279" t="s">
        <v>479</v>
      </c>
      <c r="P279">
        <v>0.22169317110320416</v>
      </c>
      <c r="R279" s="6"/>
    </row>
    <row r="280" spans="1:18" x14ac:dyDescent="0.15">
      <c r="C280" t="s">
        <v>95</v>
      </c>
      <c r="D280">
        <v>500</v>
      </c>
      <c r="E280">
        <v>1000</v>
      </c>
      <c r="F280" t="s">
        <v>9</v>
      </c>
      <c r="G280">
        <v>0</v>
      </c>
      <c r="H280">
        <v>0</v>
      </c>
      <c r="I280" t="s">
        <v>488</v>
      </c>
      <c r="J280" t="s">
        <v>1234</v>
      </c>
      <c r="K280" t="s">
        <v>1235</v>
      </c>
      <c r="M280" t="s">
        <v>487</v>
      </c>
      <c r="N280">
        <v>0</v>
      </c>
      <c r="O280" t="s">
        <v>1241</v>
      </c>
      <c r="P280">
        <v>0.44338634220640832</v>
      </c>
      <c r="Q280">
        <v>221.69317110320415</v>
      </c>
      <c r="R280" s="6"/>
    </row>
    <row r="281" spans="1:18" x14ac:dyDescent="0.15">
      <c r="A281" t="s">
        <v>95</v>
      </c>
      <c r="B281" t="s">
        <v>9</v>
      </c>
      <c r="P281">
        <v>0.44338634220640832</v>
      </c>
      <c r="R281" s="6"/>
    </row>
    <row r="282" spans="1:18" x14ac:dyDescent="0.15">
      <c r="C282" t="s">
        <v>33</v>
      </c>
      <c r="D282">
        <v>2</v>
      </c>
      <c r="E282">
        <v>1</v>
      </c>
      <c r="F282" t="s">
        <v>9</v>
      </c>
      <c r="G282">
        <v>3</v>
      </c>
      <c r="H282">
        <v>0</v>
      </c>
      <c r="I282" t="s">
        <v>488</v>
      </c>
      <c r="J282" t="s">
        <v>1234</v>
      </c>
      <c r="K282" t="s">
        <v>1235</v>
      </c>
      <c r="M282" t="s">
        <v>487</v>
      </c>
      <c r="N282">
        <v>0</v>
      </c>
      <c r="O282" t="s">
        <v>1241</v>
      </c>
      <c r="P282">
        <v>0</v>
      </c>
      <c r="Q282">
        <v>0</v>
      </c>
      <c r="R282" s="9" t="s">
        <v>1246</v>
      </c>
    </row>
    <row r="283" spans="1:18" x14ac:dyDescent="0.15">
      <c r="C283" t="s">
        <v>29</v>
      </c>
      <c r="D283">
        <v>1</v>
      </c>
      <c r="E283">
        <v>1</v>
      </c>
      <c r="F283" t="s">
        <v>9</v>
      </c>
      <c r="G283">
        <v>3</v>
      </c>
      <c r="H283">
        <v>0</v>
      </c>
      <c r="I283" t="s">
        <v>488</v>
      </c>
      <c r="J283" t="s">
        <v>1234</v>
      </c>
      <c r="K283" t="s">
        <v>1235</v>
      </c>
      <c r="M283" t="s">
        <v>487</v>
      </c>
      <c r="N283">
        <v>0</v>
      </c>
      <c r="O283" t="s">
        <v>1241</v>
      </c>
      <c r="P283">
        <v>0</v>
      </c>
      <c r="Q283">
        <v>0</v>
      </c>
      <c r="R283" s="9" t="s">
        <v>1246</v>
      </c>
    </row>
    <row r="284" spans="1:18" x14ac:dyDescent="0.15">
      <c r="C284" t="s">
        <v>12</v>
      </c>
      <c r="D284">
        <v>0.33919597989900002</v>
      </c>
      <c r="E284">
        <v>1</v>
      </c>
      <c r="F284" t="s">
        <v>13</v>
      </c>
      <c r="G284">
        <v>3</v>
      </c>
      <c r="H284">
        <v>0</v>
      </c>
      <c r="I284" t="s">
        <v>488</v>
      </c>
      <c r="J284" t="s">
        <v>1234</v>
      </c>
      <c r="K284" t="s">
        <v>1235</v>
      </c>
      <c r="M284" t="s">
        <v>487</v>
      </c>
      <c r="N284">
        <v>0</v>
      </c>
      <c r="O284" t="s">
        <v>1241</v>
      </c>
      <c r="P284">
        <v>1.03E-2</v>
      </c>
      <c r="Q284">
        <v>3.5985301507484913</v>
      </c>
      <c r="R284" s="6"/>
    </row>
    <row r="285" spans="1:18" x14ac:dyDescent="0.15">
      <c r="C285" t="s">
        <v>14</v>
      </c>
      <c r="D285">
        <v>0.37688442211099998</v>
      </c>
      <c r="E285">
        <v>1</v>
      </c>
      <c r="F285" t="s">
        <v>13</v>
      </c>
      <c r="G285">
        <v>3</v>
      </c>
      <c r="H285">
        <v>0</v>
      </c>
      <c r="I285" t="s">
        <v>488</v>
      </c>
      <c r="J285" t="s">
        <v>1234</v>
      </c>
      <c r="K285" t="s">
        <v>1235</v>
      </c>
      <c r="M285" t="s">
        <v>487</v>
      </c>
      <c r="N285">
        <v>0</v>
      </c>
      <c r="O285" t="s">
        <v>1241</v>
      </c>
      <c r="P285">
        <v>5.4900000000000001E-3</v>
      </c>
      <c r="Q285">
        <v>2.1311683417110716</v>
      </c>
      <c r="R285" s="6"/>
    </row>
    <row r="286" spans="1:18" x14ac:dyDescent="0.15">
      <c r="C286" t="s">
        <v>15</v>
      </c>
      <c r="D286">
        <v>7.5376884422110013</v>
      </c>
      <c r="E286">
        <v>1000</v>
      </c>
      <c r="F286" t="s">
        <v>13</v>
      </c>
      <c r="G286">
        <v>3</v>
      </c>
      <c r="H286">
        <v>0</v>
      </c>
      <c r="I286" t="s">
        <v>488</v>
      </c>
      <c r="J286" t="s">
        <v>1234</v>
      </c>
      <c r="K286" t="s">
        <v>1235</v>
      </c>
      <c r="M286" t="s">
        <v>487</v>
      </c>
      <c r="N286">
        <v>0</v>
      </c>
      <c r="O286" t="s">
        <v>1241</v>
      </c>
      <c r="P286">
        <v>7.9819999999999988E-2</v>
      </c>
      <c r="Q286">
        <v>0.61970804020100057</v>
      </c>
      <c r="R286" s="6"/>
    </row>
    <row r="287" spans="1:18" x14ac:dyDescent="0.15">
      <c r="C287" t="s">
        <v>23</v>
      </c>
      <c r="D287">
        <v>18.844221105528003</v>
      </c>
      <c r="E287">
        <v>1000</v>
      </c>
      <c r="F287" t="s">
        <v>13</v>
      </c>
      <c r="G287">
        <v>3</v>
      </c>
      <c r="H287">
        <v>0</v>
      </c>
      <c r="I287" t="s">
        <v>488</v>
      </c>
      <c r="J287" t="s">
        <v>1234</v>
      </c>
      <c r="K287" t="s">
        <v>1235</v>
      </c>
      <c r="M287" t="s">
        <v>487</v>
      </c>
      <c r="N287">
        <v>0</v>
      </c>
      <c r="O287" t="s">
        <v>1241</v>
      </c>
      <c r="P287">
        <v>2.3609999999999999E-2</v>
      </c>
      <c r="Q287">
        <v>0.45825942211056159</v>
      </c>
      <c r="R287" s="6"/>
    </row>
    <row r="288" spans="1:18" x14ac:dyDescent="0.15">
      <c r="C288" t="s">
        <v>24</v>
      </c>
      <c r="D288">
        <v>7.5376884422110013</v>
      </c>
      <c r="E288">
        <v>1000</v>
      </c>
      <c r="F288" t="s">
        <v>13</v>
      </c>
      <c r="G288">
        <v>3</v>
      </c>
      <c r="H288">
        <v>0</v>
      </c>
      <c r="I288" t="s">
        <v>488</v>
      </c>
      <c r="J288" t="s">
        <v>1234</v>
      </c>
      <c r="K288" t="s">
        <v>1235</v>
      </c>
      <c r="M288" t="s">
        <v>487</v>
      </c>
      <c r="N288">
        <v>0</v>
      </c>
      <c r="O288" t="s">
        <v>1241</v>
      </c>
      <c r="P288">
        <v>2.8500000000000001E-2</v>
      </c>
      <c r="Q288">
        <v>0.22126884422110396</v>
      </c>
      <c r="R288" s="6"/>
    </row>
    <row r="289" spans="1:18" x14ac:dyDescent="0.15">
      <c r="C289" t="s">
        <v>17</v>
      </c>
      <c r="D289">
        <v>6.1728395061730001</v>
      </c>
      <c r="E289">
        <v>1000</v>
      </c>
      <c r="F289" t="s">
        <v>18</v>
      </c>
      <c r="G289">
        <v>0</v>
      </c>
      <c r="H289">
        <v>0</v>
      </c>
      <c r="I289" t="s">
        <v>488</v>
      </c>
      <c r="J289" t="s">
        <v>1234</v>
      </c>
      <c r="K289" t="s">
        <v>1235</v>
      </c>
      <c r="M289" t="s">
        <v>487</v>
      </c>
      <c r="N289">
        <v>0</v>
      </c>
      <c r="O289" t="s">
        <v>1241</v>
      </c>
      <c r="P289">
        <v>53.85</v>
      </c>
      <c r="Q289">
        <v>332.40740740741609</v>
      </c>
      <c r="R289" s="6"/>
    </row>
    <row r="290" spans="1:18" x14ac:dyDescent="0.15">
      <c r="C290" t="s">
        <v>19</v>
      </c>
      <c r="D290">
        <v>3</v>
      </c>
      <c r="E290">
        <v>1</v>
      </c>
      <c r="F290" t="s">
        <v>18</v>
      </c>
      <c r="G290">
        <v>0</v>
      </c>
      <c r="H290">
        <v>0</v>
      </c>
      <c r="I290" t="s">
        <v>488</v>
      </c>
      <c r="J290" t="s">
        <v>1236</v>
      </c>
      <c r="K290" t="s">
        <v>1235</v>
      </c>
      <c r="M290" t="s">
        <v>487</v>
      </c>
      <c r="N290">
        <v>0</v>
      </c>
      <c r="O290" t="s">
        <v>1241</v>
      </c>
      <c r="P290">
        <v>34.65</v>
      </c>
      <c r="Q290">
        <v>103.94999999999999</v>
      </c>
      <c r="R290" s="6"/>
    </row>
    <row r="291" spans="1:18" x14ac:dyDescent="0.15">
      <c r="A291" t="s">
        <v>98</v>
      </c>
      <c r="B291" t="s">
        <v>479</v>
      </c>
      <c r="P291">
        <v>0.43353898230682492</v>
      </c>
      <c r="R291" s="6"/>
    </row>
    <row r="292" spans="1:18" x14ac:dyDescent="0.15">
      <c r="C292" t="s">
        <v>99</v>
      </c>
      <c r="D292">
        <v>1</v>
      </c>
      <c r="E292">
        <v>1</v>
      </c>
      <c r="F292" t="s">
        <v>9</v>
      </c>
      <c r="G292">
        <v>0</v>
      </c>
      <c r="H292">
        <v>0</v>
      </c>
      <c r="I292" t="s">
        <v>488</v>
      </c>
      <c r="J292" t="s">
        <v>1234</v>
      </c>
      <c r="K292" t="s">
        <v>1235</v>
      </c>
      <c r="M292" t="s">
        <v>487</v>
      </c>
      <c r="N292">
        <v>0</v>
      </c>
      <c r="O292" t="s">
        <v>1241</v>
      </c>
      <c r="P292">
        <v>0.43353898230682492</v>
      </c>
      <c r="Q292">
        <v>0.43353898230682492</v>
      </c>
      <c r="R292" s="6"/>
    </row>
    <row r="293" spans="1:18" x14ac:dyDescent="0.15">
      <c r="A293" t="s">
        <v>100</v>
      </c>
      <c r="B293" t="s">
        <v>479</v>
      </c>
      <c r="P293">
        <v>0.86707796461364983</v>
      </c>
      <c r="R293" s="6"/>
    </row>
    <row r="294" spans="1:18" x14ac:dyDescent="0.15">
      <c r="C294" t="s">
        <v>99</v>
      </c>
      <c r="D294">
        <v>2</v>
      </c>
      <c r="E294">
        <v>1</v>
      </c>
      <c r="F294" t="s">
        <v>9</v>
      </c>
      <c r="G294">
        <v>0</v>
      </c>
      <c r="H294">
        <v>0</v>
      </c>
      <c r="I294" t="s">
        <v>488</v>
      </c>
      <c r="J294" t="s">
        <v>1234</v>
      </c>
      <c r="K294" t="s">
        <v>1235</v>
      </c>
      <c r="M294" t="s">
        <v>487</v>
      </c>
      <c r="N294">
        <v>0</v>
      </c>
      <c r="O294" t="s">
        <v>1241</v>
      </c>
      <c r="P294">
        <v>0.43353898230682492</v>
      </c>
      <c r="Q294">
        <v>0.86707796461364983</v>
      </c>
      <c r="R294" s="6"/>
    </row>
    <row r="295" spans="1:18" x14ac:dyDescent="0.15">
      <c r="A295" t="s">
        <v>101</v>
      </c>
      <c r="B295" t="s">
        <v>479</v>
      </c>
      <c r="P295">
        <v>0.21676949115341246</v>
      </c>
      <c r="R295" s="6"/>
    </row>
    <row r="296" spans="1:18" x14ac:dyDescent="0.15">
      <c r="C296" t="s">
        <v>99</v>
      </c>
      <c r="D296">
        <v>500</v>
      </c>
      <c r="E296">
        <v>1000</v>
      </c>
      <c r="F296" t="s">
        <v>9</v>
      </c>
      <c r="G296">
        <v>0</v>
      </c>
      <c r="H296">
        <v>0</v>
      </c>
      <c r="I296" t="s">
        <v>488</v>
      </c>
      <c r="J296" t="s">
        <v>1234</v>
      </c>
      <c r="K296" t="s">
        <v>1235</v>
      </c>
      <c r="M296" t="s">
        <v>487</v>
      </c>
      <c r="N296">
        <v>0</v>
      </c>
      <c r="O296" t="s">
        <v>1241</v>
      </c>
      <c r="P296">
        <v>0.43353898230682492</v>
      </c>
      <c r="Q296">
        <v>216.76949115341245</v>
      </c>
      <c r="R296" s="6"/>
    </row>
    <row r="297" spans="1:18" x14ac:dyDescent="0.15">
      <c r="A297" t="s">
        <v>99</v>
      </c>
      <c r="B297" t="s">
        <v>9</v>
      </c>
      <c r="P297">
        <v>0.43353898230682492</v>
      </c>
      <c r="R297" s="6"/>
    </row>
    <row r="298" spans="1:18" x14ac:dyDescent="0.15">
      <c r="C298" t="s">
        <v>33</v>
      </c>
      <c r="D298">
        <v>3</v>
      </c>
      <c r="E298">
        <v>1</v>
      </c>
      <c r="F298" t="s">
        <v>9</v>
      </c>
      <c r="G298">
        <v>3</v>
      </c>
      <c r="H298">
        <v>0</v>
      </c>
      <c r="I298" t="s">
        <v>488</v>
      </c>
      <c r="J298" t="s">
        <v>1234</v>
      </c>
      <c r="K298" t="s">
        <v>1235</v>
      </c>
      <c r="M298" t="s">
        <v>487</v>
      </c>
      <c r="N298">
        <v>0</v>
      </c>
      <c r="O298" t="s">
        <v>1241</v>
      </c>
      <c r="P298">
        <v>0</v>
      </c>
      <c r="Q298">
        <v>0</v>
      </c>
      <c r="R298" s="9" t="s">
        <v>1246</v>
      </c>
    </row>
    <row r="299" spans="1:18" x14ac:dyDescent="0.15">
      <c r="C299" t="s">
        <v>12</v>
      </c>
      <c r="D299">
        <v>0.43688442211099998</v>
      </c>
      <c r="E299">
        <v>1</v>
      </c>
      <c r="F299" t="s">
        <v>13</v>
      </c>
      <c r="G299">
        <v>3</v>
      </c>
      <c r="H299">
        <v>0</v>
      </c>
      <c r="I299" t="s">
        <v>488</v>
      </c>
      <c r="J299" t="s">
        <v>1234</v>
      </c>
      <c r="K299" t="s">
        <v>1235</v>
      </c>
      <c r="M299" t="s">
        <v>487</v>
      </c>
      <c r="N299">
        <v>0</v>
      </c>
      <c r="O299" t="s">
        <v>1241</v>
      </c>
      <c r="P299">
        <v>1.03E-2</v>
      </c>
      <c r="Q299">
        <v>4.6349068341755988</v>
      </c>
      <c r="R299" s="6"/>
    </row>
    <row r="300" spans="1:18" x14ac:dyDescent="0.15">
      <c r="C300" t="s">
        <v>14</v>
      </c>
      <c r="D300">
        <v>0.485427135678</v>
      </c>
      <c r="E300">
        <v>1</v>
      </c>
      <c r="F300" t="s">
        <v>13</v>
      </c>
      <c r="G300">
        <v>3</v>
      </c>
      <c r="H300">
        <v>0</v>
      </c>
      <c r="I300" t="s">
        <v>488</v>
      </c>
      <c r="J300" t="s">
        <v>1234</v>
      </c>
      <c r="K300" t="s">
        <v>1235</v>
      </c>
      <c r="M300" t="s">
        <v>487</v>
      </c>
      <c r="N300">
        <v>0</v>
      </c>
      <c r="O300" t="s">
        <v>1241</v>
      </c>
      <c r="P300">
        <v>5.4900000000000001E-3</v>
      </c>
      <c r="Q300">
        <v>2.7449448241183867</v>
      </c>
      <c r="R300" s="6"/>
    </row>
    <row r="301" spans="1:18" x14ac:dyDescent="0.15">
      <c r="C301" t="s">
        <v>15</v>
      </c>
      <c r="D301">
        <v>9.7085427135680007</v>
      </c>
      <c r="E301">
        <v>1000</v>
      </c>
      <c r="F301" t="s">
        <v>13</v>
      </c>
      <c r="G301">
        <v>3</v>
      </c>
      <c r="H301">
        <v>0</v>
      </c>
      <c r="I301" t="s">
        <v>488</v>
      </c>
      <c r="J301" t="s">
        <v>1234</v>
      </c>
      <c r="K301" t="s">
        <v>1235</v>
      </c>
      <c r="M301" t="s">
        <v>487</v>
      </c>
      <c r="N301">
        <v>0</v>
      </c>
      <c r="O301" t="s">
        <v>1241</v>
      </c>
      <c r="P301">
        <v>7.9819999999999988E-2</v>
      </c>
      <c r="Q301">
        <v>0.79818395577890766</v>
      </c>
      <c r="R301" s="6"/>
    </row>
    <row r="302" spans="1:18" x14ac:dyDescent="0.15">
      <c r="C302" t="s">
        <v>23</v>
      </c>
      <c r="D302">
        <v>24.271356783920002</v>
      </c>
      <c r="E302">
        <v>1000</v>
      </c>
      <c r="F302" t="s">
        <v>13</v>
      </c>
      <c r="G302">
        <v>3</v>
      </c>
      <c r="H302">
        <v>0</v>
      </c>
      <c r="I302" t="s">
        <v>488</v>
      </c>
      <c r="J302" t="s">
        <v>1234</v>
      </c>
      <c r="K302" t="s">
        <v>1235</v>
      </c>
      <c r="M302" t="s">
        <v>487</v>
      </c>
      <c r="N302">
        <v>0</v>
      </c>
      <c r="O302" t="s">
        <v>1241</v>
      </c>
      <c r="P302">
        <v>2.3609999999999999E-2</v>
      </c>
      <c r="Q302">
        <v>0.59023813567840178</v>
      </c>
      <c r="R302" s="6"/>
    </row>
    <row r="303" spans="1:18" x14ac:dyDescent="0.15">
      <c r="C303" t="s">
        <v>24</v>
      </c>
      <c r="D303">
        <v>9.7085427135680007</v>
      </c>
      <c r="E303">
        <v>1000</v>
      </c>
      <c r="F303" t="s">
        <v>13</v>
      </c>
      <c r="G303">
        <v>3</v>
      </c>
      <c r="H303">
        <v>0</v>
      </c>
      <c r="I303" t="s">
        <v>488</v>
      </c>
      <c r="J303" t="s">
        <v>1234</v>
      </c>
      <c r="K303" t="s">
        <v>1235</v>
      </c>
      <c r="M303" t="s">
        <v>487</v>
      </c>
      <c r="N303">
        <v>0</v>
      </c>
      <c r="O303" t="s">
        <v>1241</v>
      </c>
      <c r="P303">
        <v>2.8500000000000001E-2</v>
      </c>
      <c r="Q303">
        <v>0.28499427135678868</v>
      </c>
      <c r="R303" s="6"/>
    </row>
    <row r="304" spans="1:18" x14ac:dyDescent="0.15">
      <c r="C304" t="s">
        <v>17</v>
      </c>
      <c r="D304">
        <v>5.9523809523809996</v>
      </c>
      <c r="E304">
        <v>1000</v>
      </c>
      <c r="F304" t="s">
        <v>18</v>
      </c>
      <c r="G304">
        <v>0</v>
      </c>
      <c r="H304">
        <v>0</v>
      </c>
      <c r="I304" t="s">
        <v>488</v>
      </c>
      <c r="J304" t="s">
        <v>1234</v>
      </c>
      <c r="K304" t="s">
        <v>1235</v>
      </c>
      <c r="M304" t="s">
        <v>487</v>
      </c>
      <c r="N304">
        <v>0</v>
      </c>
      <c r="O304" t="s">
        <v>1241</v>
      </c>
      <c r="P304">
        <v>53.85</v>
      </c>
      <c r="Q304">
        <v>320.53571428571684</v>
      </c>
      <c r="R304" s="6"/>
    </row>
    <row r="305" spans="1:18" x14ac:dyDescent="0.15">
      <c r="C305" t="s">
        <v>19</v>
      </c>
      <c r="D305">
        <v>3</v>
      </c>
      <c r="E305">
        <v>1</v>
      </c>
      <c r="F305" t="s">
        <v>18</v>
      </c>
      <c r="G305">
        <v>0</v>
      </c>
      <c r="H305">
        <v>0</v>
      </c>
      <c r="I305" t="s">
        <v>488</v>
      </c>
      <c r="J305" t="s">
        <v>1236</v>
      </c>
      <c r="K305" t="s">
        <v>1235</v>
      </c>
      <c r="M305" t="s">
        <v>487</v>
      </c>
      <c r="N305">
        <v>0</v>
      </c>
      <c r="O305" t="s">
        <v>1241</v>
      </c>
      <c r="P305">
        <v>34.65</v>
      </c>
      <c r="Q305">
        <v>103.94999999999999</v>
      </c>
      <c r="R305" s="6"/>
    </row>
    <row r="306" spans="1:18" x14ac:dyDescent="0.15">
      <c r="A306" t="s">
        <v>102</v>
      </c>
      <c r="B306" t="s">
        <v>479</v>
      </c>
      <c r="P306">
        <v>0.48997935736145209</v>
      </c>
      <c r="R306" s="6"/>
    </row>
    <row r="307" spans="1:18" x14ac:dyDescent="0.15">
      <c r="C307" t="s">
        <v>103</v>
      </c>
      <c r="D307">
        <v>1</v>
      </c>
      <c r="E307">
        <v>1</v>
      </c>
      <c r="F307" t="s">
        <v>9</v>
      </c>
      <c r="G307">
        <v>0</v>
      </c>
      <c r="H307">
        <v>0</v>
      </c>
      <c r="I307" t="s">
        <v>488</v>
      </c>
      <c r="J307" t="s">
        <v>1234</v>
      </c>
      <c r="K307" t="s">
        <v>1235</v>
      </c>
      <c r="M307" t="s">
        <v>487</v>
      </c>
      <c r="N307">
        <v>0</v>
      </c>
      <c r="O307" t="s">
        <v>1241</v>
      </c>
      <c r="P307">
        <v>0.48997935736145209</v>
      </c>
      <c r="Q307">
        <v>0.48997935736145209</v>
      </c>
      <c r="R307" s="6"/>
    </row>
    <row r="308" spans="1:18" x14ac:dyDescent="0.15">
      <c r="A308" t="s">
        <v>104</v>
      </c>
      <c r="B308" t="s">
        <v>479</v>
      </c>
      <c r="P308">
        <v>0.97995871472290419</v>
      </c>
      <c r="R308" s="6"/>
    </row>
    <row r="309" spans="1:18" x14ac:dyDescent="0.15">
      <c r="C309" t="s">
        <v>103</v>
      </c>
      <c r="D309">
        <v>2</v>
      </c>
      <c r="E309">
        <v>1</v>
      </c>
      <c r="F309" t="s">
        <v>9</v>
      </c>
      <c r="G309">
        <v>0</v>
      </c>
      <c r="H309">
        <v>0</v>
      </c>
      <c r="I309" t="s">
        <v>488</v>
      </c>
      <c r="J309" t="s">
        <v>1234</v>
      </c>
      <c r="K309" t="s">
        <v>1235</v>
      </c>
      <c r="M309" t="s">
        <v>487</v>
      </c>
      <c r="N309">
        <v>0</v>
      </c>
      <c r="O309" t="s">
        <v>1241</v>
      </c>
      <c r="P309">
        <v>0.48997935736145209</v>
      </c>
      <c r="Q309">
        <v>0.97995871472290419</v>
      </c>
      <c r="R309" s="6"/>
    </row>
    <row r="310" spans="1:18" x14ac:dyDescent="0.15">
      <c r="A310" t="s">
        <v>105</v>
      </c>
      <c r="B310" t="s">
        <v>479</v>
      </c>
      <c r="P310">
        <v>0.24498967868072605</v>
      </c>
      <c r="R310" s="6"/>
    </row>
    <row r="311" spans="1:18" x14ac:dyDescent="0.15">
      <c r="C311" t="s">
        <v>103</v>
      </c>
      <c r="D311">
        <v>500</v>
      </c>
      <c r="E311">
        <v>1000</v>
      </c>
      <c r="F311" t="s">
        <v>9</v>
      </c>
      <c r="G311">
        <v>0</v>
      </c>
      <c r="H311">
        <v>0</v>
      </c>
      <c r="I311" t="s">
        <v>488</v>
      </c>
      <c r="J311" t="s">
        <v>1234</v>
      </c>
      <c r="K311" t="s">
        <v>1235</v>
      </c>
      <c r="M311" t="s">
        <v>487</v>
      </c>
      <c r="N311">
        <v>0</v>
      </c>
      <c r="O311" t="s">
        <v>1241</v>
      </c>
      <c r="P311">
        <v>0.48997935736145209</v>
      </c>
      <c r="Q311">
        <v>244.98967868072606</v>
      </c>
      <c r="R311" s="6"/>
    </row>
    <row r="312" spans="1:18" x14ac:dyDescent="0.15">
      <c r="A312" t="s">
        <v>103</v>
      </c>
      <c r="B312" t="s">
        <v>9</v>
      </c>
      <c r="P312">
        <v>0.48997935736145209</v>
      </c>
      <c r="R312" s="6"/>
    </row>
    <row r="313" spans="1:18" x14ac:dyDescent="0.15">
      <c r="C313" t="s">
        <v>33</v>
      </c>
      <c r="D313">
        <v>4</v>
      </c>
      <c r="E313">
        <v>1</v>
      </c>
      <c r="F313" t="s">
        <v>9</v>
      </c>
      <c r="G313">
        <v>3</v>
      </c>
      <c r="H313">
        <v>0</v>
      </c>
      <c r="I313" t="s">
        <v>488</v>
      </c>
      <c r="J313" t="s">
        <v>1234</v>
      </c>
      <c r="K313" t="s">
        <v>1235</v>
      </c>
      <c r="M313" t="s">
        <v>487</v>
      </c>
      <c r="N313">
        <v>0</v>
      </c>
      <c r="O313" t="s">
        <v>1241</v>
      </c>
      <c r="P313">
        <v>0</v>
      </c>
      <c r="Q313">
        <v>0</v>
      </c>
      <c r="R313" s="9" t="s">
        <v>1246</v>
      </c>
    </row>
    <row r="314" spans="1:18" x14ac:dyDescent="0.15">
      <c r="C314" t="s">
        <v>12</v>
      </c>
      <c r="D314">
        <v>0.58251256281399999</v>
      </c>
      <c r="E314">
        <v>1</v>
      </c>
      <c r="F314" t="s">
        <v>13</v>
      </c>
      <c r="G314">
        <v>3</v>
      </c>
      <c r="H314">
        <v>0</v>
      </c>
      <c r="I314" t="s">
        <v>488</v>
      </c>
      <c r="J314" t="s">
        <v>1234</v>
      </c>
      <c r="K314" t="s">
        <v>1235</v>
      </c>
      <c r="M314" t="s">
        <v>487</v>
      </c>
      <c r="N314">
        <v>0</v>
      </c>
      <c r="O314" t="s">
        <v>1241</v>
      </c>
      <c r="P314">
        <v>1.03E-2</v>
      </c>
      <c r="Q314">
        <v>6.1798757788937255</v>
      </c>
      <c r="R314" s="6"/>
    </row>
    <row r="315" spans="1:18" x14ac:dyDescent="0.15">
      <c r="C315" t="s">
        <v>14</v>
      </c>
      <c r="D315">
        <v>0.64723618090500001</v>
      </c>
      <c r="E315">
        <v>1</v>
      </c>
      <c r="F315" t="s">
        <v>13</v>
      </c>
      <c r="G315">
        <v>3</v>
      </c>
      <c r="H315">
        <v>0</v>
      </c>
      <c r="I315" t="s">
        <v>488</v>
      </c>
      <c r="J315" t="s">
        <v>1234</v>
      </c>
      <c r="K315" t="s">
        <v>1235</v>
      </c>
      <c r="M315" t="s">
        <v>487</v>
      </c>
      <c r="N315">
        <v>0</v>
      </c>
      <c r="O315" t="s">
        <v>1241</v>
      </c>
      <c r="P315">
        <v>5.4900000000000001E-3</v>
      </c>
      <c r="Q315">
        <v>3.6599264321635037</v>
      </c>
      <c r="R315" s="6"/>
    </row>
    <row r="316" spans="1:18" x14ac:dyDescent="0.15">
      <c r="C316" t="s">
        <v>15</v>
      </c>
      <c r="D316">
        <v>12.944723618091</v>
      </c>
      <c r="E316">
        <v>1000</v>
      </c>
      <c r="F316" t="s">
        <v>13</v>
      </c>
      <c r="G316">
        <v>3</v>
      </c>
      <c r="H316">
        <v>0</v>
      </c>
      <c r="I316" t="s">
        <v>488</v>
      </c>
      <c r="J316" t="s">
        <v>1234</v>
      </c>
      <c r="K316" t="s">
        <v>1235</v>
      </c>
      <c r="M316" t="s">
        <v>487</v>
      </c>
      <c r="N316">
        <v>0</v>
      </c>
      <c r="O316" t="s">
        <v>1241</v>
      </c>
      <c r="P316">
        <v>7.9819999999999988E-2</v>
      </c>
      <c r="Q316">
        <v>1.0642452743719042</v>
      </c>
      <c r="R316" s="6"/>
    </row>
    <row r="317" spans="1:18" x14ac:dyDescent="0.15">
      <c r="C317" t="s">
        <v>23</v>
      </c>
      <c r="D317">
        <v>32.361809045226003</v>
      </c>
      <c r="E317">
        <v>1000</v>
      </c>
      <c r="F317" t="s">
        <v>13</v>
      </c>
      <c r="G317">
        <v>3</v>
      </c>
      <c r="H317">
        <v>0</v>
      </c>
      <c r="I317" t="s">
        <v>488</v>
      </c>
      <c r="J317" t="s">
        <v>1234</v>
      </c>
      <c r="K317" t="s">
        <v>1235</v>
      </c>
      <c r="M317" t="s">
        <v>487</v>
      </c>
      <c r="N317">
        <v>0</v>
      </c>
      <c r="O317" t="s">
        <v>1241</v>
      </c>
      <c r="P317">
        <v>2.3609999999999999E-2</v>
      </c>
      <c r="Q317">
        <v>0.78698418090451949</v>
      </c>
      <c r="R317" s="6"/>
    </row>
    <row r="318" spans="1:18" x14ac:dyDescent="0.15">
      <c r="C318" t="s">
        <v>24</v>
      </c>
      <c r="D318">
        <v>12.944723618091</v>
      </c>
      <c r="E318">
        <v>1000</v>
      </c>
      <c r="F318" t="s">
        <v>13</v>
      </c>
      <c r="G318">
        <v>3</v>
      </c>
      <c r="H318">
        <v>0</v>
      </c>
      <c r="I318" t="s">
        <v>488</v>
      </c>
      <c r="J318" t="s">
        <v>1234</v>
      </c>
      <c r="K318" t="s">
        <v>1235</v>
      </c>
      <c r="M318" t="s">
        <v>487</v>
      </c>
      <c r="N318">
        <v>0</v>
      </c>
      <c r="O318" t="s">
        <v>1241</v>
      </c>
      <c r="P318">
        <v>2.8500000000000001E-2</v>
      </c>
      <c r="Q318">
        <v>0.37999236180906137</v>
      </c>
      <c r="R318" s="6"/>
    </row>
    <row r="319" spans="1:18" x14ac:dyDescent="0.15">
      <c r="C319" t="s">
        <v>17</v>
      </c>
      <c r="D319">
        <v>6.9444444444440006</v>
      </c>
      <c r="E319">
        <v>1000</v>
      </c>
      <c r="F319" t="s">
        <v>18</v>
      </c>
      <c r="G319">
        <v>0</v>
      </c>
      <c r="H319">
        <v>0</v>
      </c>
      <c r="I319" t="s">
        <v>488</v>
      </c>
      <c r="J319" t="s">
        <v>1234</v>
      </c>
      <c r="K319" t="s">
        <v>1235</v>
      </c>
      <c r="M319" t="s">
        <v>487</v>
      </c>
      <c r="N319">
        <v>0</v>
      </c>
      <c r="O319" t="s">
        <v>1241</v>
      </c>
      <c r="P319">
        <v>53.85</v>
      </c>
      <c r="Q319">
        <v>373.95833333330944</v>
      </c>
      <c r="R319" s="6"/>
    </row>
    <row r="320" spans="1:18" x14ac:dyDescent="0.15">
      <c r="C320" t="s">
        <v>19</v>
      </c>
      <c r="D320">
        <v>3</v>
      </c>
      <c r="E320">
        <v>1</v>
      </c>
      <c r="F320" t="s">
        <v>18</v>
      </c>
      <c r="G320">
        <v>0</v>
      </c>
      <c r="H320">
        <v>0</v>
      </c>
      <c r="I320" t="s">
        <v>488</v>
      </c>
      <c r="J320" t="s">
        <v>1236</v>
      </c>
      <c r="K320" t="s">
        <v>1235</v>
      </c>
      <c r="M320" t="s">
        <v>487</v>
      </c>
      <c r="N320">
        <v>0</v>
      </c>
      <c r="O320" t="s">
        <v>1241</v>
      </c>
      <c r="P320">
        <v>34.65</v>
      </c>
      <c r="Q320">
        <v>103.94999999999999</v>
      </c>
      <c r="R320" s="6"/>
    </row>
    <row r="321" spans="1:18" x14ac:dyDescent="0.15">
      <c r="A321" t="s">
        <v>106</v>
      </c>
      <c r="B321" t="s">
        <v>479</v>
      </c>
      <c r="P321">
        <v>1.6068841549732742</v>
      </c>
      <c r="R321" s="6"/>
    </row>
    <row r="322" spans="1:18" x14ac:dyDescent="0.15">
      <c r="C322" t="s">
        <v>107</v>
      </c>
      <c r="D322">
        <v>1</v>
      </c>
      <c r="E322">
        <v>1</v>
      </c>
      <c r="F322" t="s">
        <v>9</v>
      </c>
      <c r="G322">
        <v>0</v>
      </c>
      <c r="H322">
        <v>0</v>
      </c>
      <c r="I322" t="s">
        <v>488</v>
      </c>
      <c r="J322" t="s">
        <v>1234</v>
      </c>
      <c r="K322" t="s">
        <v>1235</v>
      </c>
      <c r="M322" t="s">
        <v>487</v>
      </c>
      <c r="N322">
        <v>0</v>
      </c>
      <c r="O322" t="s">
        <v>1241</v>
      </c>
      <c r="P322">
        <v>1.6068841549732742</v>
      </c>
      <c r="Q322">
        <v>1.6068841549732742</v>
      </c>
      <c r="R322" s="6"/>
    </row>
    <row r="323" spans="1:18" x14ac:dyDescent="0.15">
      <c r="A323" t="s">
        <v>108</v>
      </c>
      <c r="B323" t="s">
        <v>479</v>
      </c>
      <c r="P323">
        <v>3.2137683099465484</v>
      </c>
      <c r="R323" s="6"/>
    </row>
    <row r="324" spans="1:18" x14ac:dyDescent="0.15">
      <c r="C324" t="s">
        <v>107</v>
      </c>
      <c r="D324">
        <v>2</v>
      </c>
      <c r="E324">
        <v>1</v>
      </c>
      <c r="F324" t="s">
        <v>9</v>
      </c>
      <c r="G324">
        <v>0</v>
      </c>
      <c r="H324">
        <v>0</v>
      </c>
      <c r="I324" t="s">
        <v>488</v>
      </c>
      <c r="J324" t="s">
        <v>1234</v>
      </c>
      <c r="K324" t="s">
        <v>1235</v>
      </c>
      <c r="M324" t="s">
        <v>487</v>
      </c>
      <c r="N324">
        <v>0</v>
      </c>
      <c r="O324" t="s">
        <v>1241</v>
      </c>
      <c r="P324">
        <v>1.6068841549732742</v>
      </c>
      <c r="Q324">
        <v>3.2137683099465484</v>
      </c>
      <c r="R324" s="6"/>
    </row>
    <row r="325" spans="1:18" x14ac:dyDescent="0.15">
      <c r="A325" t="s">
        <v>109</v>
      </c>
      <c r="B325" t="s">
        <v>479</v>
      </c>
      <c r="P325">
        <v>0.8034420774866371</v>
      </c>
      <c r="R325" s="6"/>
    </row>
    <row r="326" spans="1:18" x14ac:dyDescent="0.15">
      <c r="C326" t="s">
        <v>107</v>
      </c>
      <c r="D326">
        <v>500</v>
      </c>
      <c r="E326">
        <v>1000</v>
      </c>
      <c r="F326" t="s">
        <v>9</v>
      </c>
      <c r="G326">
        <v>0</v>
      </c>
      <c r="H326">
        <v>0</v>
      </c>
      <c r="I326" t="s">
        <v>488</v>
      </c>
      <c r="J326" t="s">
        <v>1234</v>
      </c>
      <c r="K326" t="s">
        <v>1235</v>
      </c>
      <c r="M326" t="s">
        <v>487</v>
      </c>
      <c r="N326">
        <v>0</v>
      </c>
      <c r="O326" t="s">
        <v>1241</v>
      </c>
      <c r="P326">
        <v>1.6068841549732742</v>
      </c>
      <c r="Q326">
        <v>803.44207748663712</v>
      </c>
      <c r="R326" s="6"/>
    </row>
    <row r="327" spans="1:18" x14ac:dyDescent="0.15">
      <c r="A327" t="s">
        <v>107</v>
      </c>
      <c r="B327" t="s">
        <v>9</v>
      </c>
      <c r="P327">
        <v>1.6068841549732742</v>
      </c>
      <c r="R327" s="6"/>
    </row>
    <row r="328" spans="1:18" x14ac:dyDescent="0.15">
      <c r="C328" t="s">
        <v>33</v>
      </c>
      <c r="D328">
        <v>29</v>
      </c>
      <c r="E328">
        <v>1</v>
      </c>
      <c r="F328" t="s">
        <v>9</v>
      </c>
      <c r="G328">
        <v>3</v>
      </c>
      <c r="H328">
        <v>0</v>
      </c>
      <c r="I328" t="s">
        <v>488</v>
      </c>
      <c r="J328" t="s">
        <v>1234</v>
      </c>
      <c r="K328" t="s">
        <v>1235</v>
      </c>
      <c r="M328" t="s">
        <v>487</v>
      </c>
      <c r="N328">
        <v>0</v>
      </c>
      <c r="O328" t="s">
        <v>1241</v>
      </c>
      <c r="P328">
        <v>0</v>
      </c>
      <c r="Q328">
        <v>0</v>
      </c>
      <c r="R328" s="9" t="s">
        <v>1246</v>
      </c>
    </row>
    <row r="329" spans="1:18" x14ac:dyDescent="0.15">
      <c r="C329" t="s">
        <v>12</v>
      </c>
      <c r="D329">
        <v>4.2232160804020005</v>
      </c>
      <c r="E329">
        <v>1</v>
      </c>
      <c r="F329" t="s">
        <v>13</v>
      </c>
      <c r="G329">
        <v>3</v>
      </c>
      <c r="H329">
        <v>0</v>
      </c>
      <c r="I329" t="s">
        <v>488</v>
      </c>
      <c r="J329" t="s">
        <v>1234</v>
      </c>
      <c r="K329" t="s">
        <v>1235</v>
      </c>
      <c r="M329" t="s">
        <v>487</v>
      </c>
      <c r="N329">
        <v>0</v>
      </c>
      <c r="O329" t="s">
        <v>1241</v>
      </c>
      <c r="P329">
        <v>1.03E-2</v>
      </c>
      <c r="Q329">
        <v>44.804099396984817</v>
      </c>
      <c r="R329" s="6"/>
    </row>
    <row r="330" spans="1:18" x14ac:dyDescent="0.15">
      <c r="C330" t="s">
        <v>14</v>
      </c>
      <c r="D330">
        <v>4.6924623115579998</v>
      </c>
      <c r="E330">
        <v>1</v>
      </c>
      <c r="F330" t="s">
        <v>13</v>
      </c>
      <c r="G330">
        <v>3</v>
      </c>
      <c r="H330">
        <v>0</v>
      </c>
      <c r="I330" t="s">
        <v>488</v>
      </c>
      <c r="J330" t="s">
        <v>1234</v>
      </c>
      <c r="K330" t="s">
        <v>1235</v>
      </c>
      <c r="M330" t="s">
        <v>487</v>
      </c>
      <c r="N330">
        <v>0</v>
      </c>
      <c r="O330" t="s">
        <v>1241</v>
      </c>
      <c r="P330">
        <v>5.4900000000000001E-3</v>
      </c>
      <c r="Q330">
        <v>26.534466633167021</v>
      </c>
      <c r="R330" s="6"/>
    </row>
    <row r="331" spans="1:18" x14ac:dyDescent="0.15">
      <c r="C331" t="s">
        <v>15</v>
      </c>
      <c r="D331">
        <v>93.849246231156016</v>
      </c>
      <c r="E331">
        <v>1000</v>
      </c>
      <c r="F331" t="s">
        <v>13</v>
      </c>
      <c r="G331">
        <v>3</v>
      </c>
      <c r="H331">
        <v>0</v>
      </c>
      <c r="I331" t="s">
        <v>488</v>
      </c>
      <c r="J331" t="s">
        <v>1234</v>
      </c>
      <c r="K331" t="s">
        <v>1235</v>
      </c>
      <c r="M331" t="s">
        <v>487</v>
      </c>
      <c r="N331">
        <v>0</v>
      </c>
      <c r="O331" t="s">
        <v>1241</v>
      </c>
      <c r="P331">
        <v>7.9819999999999988E-2</v>
      </c>
      <c r="Q331">
        <v>7.7157782391959975</v>
      </c>
      <c r="R331" s="6"/>
    </row>
    <row r="332" spans="1:18" x14ac:dyDescent="0.15">
      <c r="C332" t="s">
        <v>23</v>
      </c>
      <c r="D332">
        <v>0.234623115578</v>
      </c>
      <c r="E332">
        <v>1</v>
      </c>
      <c r="F332" t="s">
        <v>13</v>
      </c>
      <c r="G332">
        <v>3</v>
      </c>
      <c r="H332">
        <v>0</v>
      </c>
      <c r="I332" t="s">
        <v>488</v>
      </c>
      <c r="J332" t="s">
        <v>1234</v>
      </c>
      <c r="K332" t="s">
        <v>1235</v>
      </c>
      <c r="M332" t="s">
        <v>487</v>
      </c>
      <c r="N332">
        <v>0</v>
      </c>
      <c r="O332" t="s">
        <v>1241</v>
      </c>
      <c r="P332">
        <v>2.3609999999999999E-2</v>
      </c>
      <c r="Q332">
        <v>5.705635311560477</v>
      </c>
      <c r="R332" s="6"/>
    </row>
    <row r="333" spans="1:18" x14ac:dyDescent="0.15">
      <c r="C333" t="s">
        <v>24</v>
      </c>
      <c r="D333">
        <v>93.849246231156016</v>
      </c>
      <c r="E333">
        <v>1000</v>
      </c>
      <c r="F333" t="s">
        <v>13</v>
      </c>
      <c r="G333">
        <v>3</v>
      </c>
      <c r="H333">
        <v>0</v>
      </c>
      <c r="I333" t="s">
        <v>488</v>
      </c>
      <c r="J333" t="s">
        <v>1234</v>
      </c>
      <c r="K333" t="s">
        <v>1235</v>
      </c>
      <c r="M333" t="s">
        <v>487</v>
      </c>
      <c r="N333">
        <v>0</v>
      </c>
      <c r="O333" t="s">
        <v>1241</v>
      </c>
      <c r="P333">
        <v>2.8500000000000001E-2</v>
      </c>
      <c r="Q333">
        <v>2.754944623115585</v>
      </c>
      <c r="R333" s="6"/>
    </row>
    <row r="334" spans="1:18" x14ac:dyDescent="0.15">
      <c r="C334" t="s">
        <v>17</v>
      </c>
      <c r="D334">
        <v>25.641025641026005</v>
      </c>
      <c r="E334">
        <v>1000</v>
      </c>
      <c r="F334" t="s">
        <v>18</v>
      </c>
      <c r="G334">
        <v>0</v>
      </c>
      <c r="H334">
        <v>0</v>
      </c>
      <c r="I334" t="s">
        <v>488</v>
      </c>
      <c r="J334" t="s">
        <v>1234</v>
      </c>
      <c r="K334" t="s">
        <v>1235</v>
      </c>
      <c r="M334" t="s">
        <v>487</v>
      </c>
      <c r="N334">
        <v>0</v>
      </c>
      <c r="O334" t="s">
        <v>1241</v>
      </c>
      <c r="P334">
        <v>53.85</v>
      </c>
      <c r="Q334">
        <v>1380.7692307692505</v>
      </c>
      <c r="R334" s="6"/>
    </row>
    <row r="335" spans="1:18" x14ac:dyDescent="0.15">
      <c r="C335" t="s">
        <v>19</v>
      </c>
      <c r="D335">
        <v>4</v>
      </c>
      <c r="E335">
        <v>1</v>
      </c>
      <c r="F335" t="s">
        <v>18</v>
      </c>
      <c r="G335">
        <v>0</v>
      </c>
      <c r="H335">
        <v>0</v>
      </c>
      <c r="I335" t="s">
        <v>488</v>
      </c>
      <c r="J335" t="s">
        <v>1236</v>
      </c>
      <c r="K335" t="s">
        <v>1235</v>
      </c>
      <c r="M335" t="s">
        <v>487</v>
      </c>
      <c r="N335">
        <v>0</v>
      </c>
      <c r="O335" t="s">
        <v>1241</v>
      </c>
      <c r="P335">
        <v>34.65</v>
      </c>
      <c r="Q335">
        <v>138.6</v>
      </c>
      <c r="R335" s="6"/>
    </row>
    <row r="336" spans="1:18" x14ac:dyDescent="0.15">
      <c r="A336" t="s">
        <v>110</v>
      </c>
      <c r="B336" t="s">
        <v>479</v>
      </c>
      <c r="P336">
        <v>0.33691961523867336</v>
      </c>
      <c r="R336" s="6"/>
    </row>
    <row r="337" spans="1:18" x14ac:dyDescent="0.15">
      <c r="C337" t="s">
        <v>111</v>
      </c>
      <c r="D337">
        <v>1</v>
      </c>
      <c r="E337">
        <v>1</v>
      </c>
      <c r="F337" t="s">
        <v>9</v>
      </c>
      <c r="G337">
        <v>0</v>
      </c>
      <c r="H337">
        <v>0</v>
      </c>
      <c r="I337" t="s">
        <v>488</v>
      </c>
      <c r="J337" t="s">
        <v>1234</v>
      </c>
      <c r="K337" t="s">
        <v>1235</v>
      </c>
      <c r="M337" t="s">
        <v>487</v>
      </c>
      <c r="N337">
        <v>0</v>
      </c>
      <c r="O337" t="s">
        <v>1241</v>
      </c>
      <c r="P337">
        <v>0.33691961523867336</v>
      </c>
      <c r="Q337">
        <v>0.33691961523867336</v>
      </c>
      <c r="R337" s="6"/>
    </row>
    <row r="338" spans="1:18" x14ac:dyDescent="0.15">
      <c r="A338" t="s">
        <v>112</v>
      </c>
      <c r="B338" t="s">
        <v>479</v>
      </c>
      <c r="P338">
        <v>0.67383923047734673</v>
      </c>
      <c r="R338" s="6"/>
    </row>
    <row r="339" spans="1:18" x14ac:dyDescent="0.15">
      <c r="C339" t="s">
        <v>111</v>
      </c>
      <c r="D339">
        <v>2</v>
      </c>
      <c r="E339">
        <v>1</v>
      </c>
      <c r="F339" t="s">
        <v>9</v>
      </c>
      <c r="G339">
        <v>0</v>
      </c>
      <c r="H339">
        <v>0</v>
      </c>
      <c r="I339" t="s">
        <v>488</v>
      </c>
      <c r="J339" t="s">
        <v>1234</v>
      </c>
      <c r="K339" t="s">
        <v>1235</v>
      </c>
      <c r="M339" t="s">
        <v>487</v>
      </c>
      <c r="N339">
        <v>0</v>
      </c>
      <c r="O339" t="s">
        <v>1241</v>
      </c>
      <c r="P339">
        <v>0.33691961523867336</v>
      </c>
      <c r="Q339">
        <v>0.67383923047734673</v>
      </c>
      <c r="R339" s="6"/>
    </row>
    <row r="340" spans="1:18" x14ac:dyDescent="0.15">
      <c r="A340" t="s">
        <v>113</v>
      </c>
      <c r="B340" t="s">
        <v>479</v>
      </c>
      <c r="P340">
        <v>0.16845980761933668</v>
      </c>
      <c r="R340" s="6"/>
    </row>
    <row r="341" spans="1:18" x14ac:dyDescent="0.15">
      <c r="C341" t="s">
        <v>111</v>
      </c>
      <c r="D341">
        <v>500</v>
      </c>
      <c r="E341">
        <v>1000</v>
      </c>
      <c r="F341" t="s">
        <v>9</v>
      </c>
      <c r="G341">
        <v>0</v>
      </c>
      <c r="H341">
        <v>0</v>
      </c>
      <c r="I341" t="s">
        <v>488</v>
      </c>
      <c r="J341" t="s">
        <v>1234</v>
      </c>
      <c r="K341" t="s">
        <v>1235</v>
      </c>
      <c r="M341" t="s">
        <v>487</v>
      </c>
      <c r="N341">
        <v>0</v>
      </c>
      <c r="O341" t="s">
        <v>1241</v>
      </c>
      <c r="P341">
        <v>0.33691961523867336</v>
      </c>
      <c r="Q341">
        <v>168.45980761933669</v>
      </c>
      <c r="R341" s="6"/>
    </row>
    <row r="342" spans="1:18" x14ac:dyDescent="0.15">
      <c r="A342" t="s">
        <v>111</v>
      </c>
      <c r="B342" t="s">
        <v>9</v>
      </c>
      <c r="P342">
        <v>0.33691961523867336</v>
      </c>
      <c r="R342" s="6"/>
    </row>
    <row r="343" spans="1:18" x14ac:dyDescent="0.15">
      <c r="C343" t="s">
        <v>33</v>
      </c>
      <c r="D343">
        <v>3</v>
      </c>
      <c r="E343">
        <v>1</v>
      </c>
      <c r="F343" t="s">
        <v>9</v>
      </c>
      <c r="G343">
        <v>3</v>
      </c>
      <c r="H343">
        <v>0</v>
      </c>
      <c r="I343" t="s">
        <v>488</v>
      </c>
      <c r="J343" t="s">
        <v>1234</v>
      </c>
      <c r="K343" t="s">
        <v>1235</v>
      </c>
      <c r="M343" t="s">
        <v>487</v>
      </c>
      <c r="N343">
        <v>0</v>
      </c>
      <c r="O343" t="s">
        <v>1241</v>
      </c>
      <c r="P343">
        <v>0</v>
      </c>
      <c r="Q343">
        <v>0</v>
      </c>
      <c r="R343" s="9" t="s">
        <v>1246</v>
      </c>
    </row>
    <row r="344" spans="1:18" x14ac:dyDescent="0.15">
      <c r="C344" t="s">
        <v>34</v>
      </c>
      <c r="D344">
        <v>1</v>
      </c>
      <c r="E344">
        <v>1</v>
      </c>
      <c r="F344" t="s">
        <v>9</v>
      </c>
      <c r="G344">
        <v>3</v>
      </c>
      <c r="H344">
        <v>0</v>
      </c>
      <c r="I344" t="s">
        <v>488</v>
      </c>
      <c r="J344" t="s">
        <v>1234</v>
      </c>
      <c r="K344" t="s">
        <v>1235</v>
      </c>
      <c r="M344" t="s">
        <v>487</v>
      </c>
      <c r="N344">
        <v>0</v>
      </c>
      <c r="O344" t="s">
        <v>1241</v>
      </c>
      <c r="P344">
        <v>9.4000000000000004E-3</v>
      </c>
      <c r="Q344">
        <v>9.6820000000000004</v>
      </c>
      <c r="R344" s="6"/>
    </row>
    <row r="345" spans="1:18" x14ac:dyDescent="0.15">
      <c r="C345" t="s">
        <v>12</v>
      </c>
      <c r="D345">
        <v>0.44095477386900001</v>
      </c>
      <c r="E345">
        <v>1</v>
      </c>
      <c r="F345" t="s">
        <v>13</v>
      </c>
      <c r="G345">
        <v>3</v>
      </c>
      <c r="H345">
        <v>0</v>
      </c>
      <c r="I345" t="s">
        <v>488</v>
      </c>
      <c r="J345" t="s">
        <v>1234</v>
      </c>
      <c r="K345" t="s">
        <v>1235</v>
      </c>
      <c r="M345" t="s">
        <v>487</v>
      </c>
      <c r="N345">
        <v>0</v>
      </c>
      <c r="O345" t="s">
        <v>1241</v>
      </c>
      <c r="P345">
        <v>1.03E-2</v>
      </c>
      <c r="Q345">
        <v>4.678089195976221</v>
      </c>
      <c r="R345" s="6"/>
    </row>
    <row r="346" spans="1:18" x14ac:dyDescent="0.15">
      <c r="C346" t="s">
        <v>14</v>
      </c>
      <c r="D346">
        <v>0.48994974874399999</v>
      </c>
      <c r="E346">
        <v>1</v>
      </c>
      <c r="F346" t="s">
        <v>13</v>
      </c>
      <c r="G346">
        <v>3</v>
      </c>
      <c r="H346">
        <v>0</v>
      </c>
      <c r="I346" t="s">
        <v>488</v>
      </c>
      <c r="J346" t="s">
        <v>1234</v>
      </c>
      <c r="K346" t="s">
        <v>1235</v>
      </c>
      <c r="M346" t="s">
        <v>487</v>
      </c>
      <c r="N346">
        <v>0</v>
      </c>
      <c r="O346" t="s">
        <v>1241</v>
      </c>
      <c r="P346">
        <v>5.4900000000000001E-3</v>
      </c>
      <c r="Q346">
        <v>2.7705188442226967</v>
      </c>
      <c r="R346" s="6"/>
    </row>
    <row r="347" spans="1:18" x14ac:dyDescent="0.15">
      <c r="C347" t="s">
        <v>15</v>
      </c>
      <c r="D347">
        <v>9.7989949748740006</v>
      </c>
      <c r="E347">
        <v>1000</v>
      </c>
      <c r="F347" t="s">
        <v>13</v>
      </c>
      <c r="G347">
        <v>3</v>
      </c>
      <c r="H347">
        <v>0</v>
      </c>
      <c r="I347" t="s">
        <v>488</v>
      </c>
      <c r="J347" t="s">
        <v>1234</v>
      </c>
      <c r="K347" t="s">
        <v>1235</v>
      </c>
      <c r="M347" t="s">
        <v>487</v>
      </c>
      <c r="N347">
        <v>0</v>
      </c>
      <c r="O347" t="s">
        <v>1241</v>
      </c>
      <c r="P347">
        <v>7.9819999999999988E-2</v>
      </c>
      <c r="Q347">
        <v>0.80562045226127599</v>
      </c>
      <c r="R347" s="6"/>
    </row>
    <row r="348" spans="1:18" x14ac:dyDescent="0.15">
      <c r="C348" t="s">
        <v>23</v>
      </c>
      <c r="D348">
        <v>24.497487437185999</v>
      </c>
      <c r="E348">
        <v>1000</v>
      </c>
      <c r="F348" t="s">
        <v>13</v>
      </c>
      <c r="G348">
        <v>3</v>
      </c>
      <c r="H348">
        <v>0</v>
      </c>
      <c r="I348" t="s">
        <v>488</v>
      </c>
      <c r="J348" t="s">
        <v>1234</v>
      </c>
      <c r="K348" t="s">
        <v>1235</v>
      </c>
      <c r="M348" t="s">
        <v>487</v>
      </c>
      <c r="N348">
        <v>0</v>
      </c>
      <c r="O348" t="s">
        <v>1241</v>
      </c>
      <c r="P348">
        <v>2.3609999999999999E-2</v>
      </c>
      <c r="Q348">
        <v>0.59573724874372025</v>
      </c>
      <c r="R348" s="6"/>
    </row>
    <row r="349" spans="1:18" x14ac:dyDescent="0.15">
      <c r="C349" t="s">
        <v>24</v>
      </c>
      <c r="D349">
        <v>9.7989949748740006</v>
      </c>
      <c r="E349">
        <v>1000</v>
      </c>
      <c r="F349" t="s">
        <v>13</v>
      </c>
      <c r="G349">
        <v>3</v>
      </c>
      <c r="H349">
        <v>0</v>
      </c>
      <c r="I349" t="s">
        <v>488</v>
      </c>
      <c r="J349" t="s">
        <v>1234</v>
      </c>
      <c r="K349" t="s">
        <v>1235</v>
      </c>
      <c r="M349" t="s">
        <v>487</v>
      </c>
      <c r="N349">
        <v>0</v>
      </c>
      <c r="O349" t="s">
        <v>1241</v>
      </c>
      <c r="P349">
        <v>2.8500000000000001E-2</v>
      </c>
      <c r="Q349">
        <v>0.2876494974874263</v>
      </c>
      <c r="R349" s="6"/>
    </row>
    <row r="350" spans="1:18" x14ac:dyDescent="0.15">
      <c r="C350" t="s">
        <v>17</v>
      </c>
      <c r="D350">
        <v>3.3333333333330004</v>
      </c>
      <c r="E350">
        <v>1000</v>
      </c>
      <c r="F350" t="s">
        <v>18</v>
      </c>
      <c r="G350">
        <v>0</v>
      </c>
      <c r="H350">
        <v>0</v>
      </c>
      <c r="I350" t="s">
        <v>488</v>
      </c>
      <c r="J350" t="s">
        <v>1234</v>
      </c>
      <c r="K350" t="s">
        <v>1235</v>
      </c>
      <c r="M350" t="s">
        <v>487</v>
      </c>
      <c r="N350">
        <v>0</v>
      </c>
      <c r="O350" t="s">
        <v>1241</v>
      </c>
      <c r="P350">
        <v>53.85</v>
      </c>
      <c r="Q350">
        <v>179.49999999998207</v>
      </c>
      <c r="R350" s="6"/>
    </row>
    <row r="351" spans="1:18" x14ac:dyDescent="0.15">
      <c r="C351" t="s">
        <v>19</v>
      </c>
      <c r="D351">
        <v>4</v>
      </c>
      <c r="E351">
        <v>1</v>
      </c>
      <c r="F351" t="s">
        <v>18</v>
      </c>
      <c r="G351">
        <v>0</v>
      </c>
      <c r="H351">
        <v>0</v>
      </c>
      <c r="I351" t="s">
        <v>488</v>
      </c>
      <c r="J351" t="s">
        <v>1236</v>
      </c>
      <c r="K351" t="s">
        <v>1235</v>
      </c>
      <c r="M351" t="s">
        <v>487</v>
      </c>
      <c r="N351">
        <v>0</v>
      </c>
      <c r="O351" t="s">
        <v>1241</v>
      </c>
      <c r="P351">
        <v>34.65</v>
      </c>
      <c r="Q351">
        <v>138.6</v>
      </c>
      <c r="R351" s="6"/>
    </row>
    <row r="352" spans="1:18" x14ac:dyDescent="0.15">
      <c r="A352" t="s">
        <v>114</v>
      </c>
      <c r="B352" t="s">
        <v>479</v>
      </c>
      <c r="P352">
        <v>0.50066175120987388</v>
      </c>
      <c r="R352" s="6"/>
    </row>
    <row r="353" spans="1:18" x14ac:dyDescent="0.15">
      <c r="C353" t="s">
        <v>115</v>
      </c>
      <c r="D353">
        <v>1</v>
      </c>
      <c r="E353">
        <v>1</v>
      </c>
      <c r="F353" t="s">
        <v>9</v>
      </c>
      <c r="G353">
        <v>0</v>
      </c>
      <c r="H353">
        <v>0</v>
      </c>
      <c r="I353" t="s">
        <v>488</v>
      </c>
      <c r="J353" t="s">
        <v>1234</v>
      </c>
      <c r="K353" t="s">
        <v>1235</v>
      </c>
      <c r="M353" t="s">
        <v>487</v>
      </c>
      <c r="N353">
        <v>0</v>
      </c>
      <c r="O353" t="s">
        <v>1241</v>
      </c>
      <c r="P353">
        <v>0.50066175120987388</v>
      </c>
      <c r="Q353">
        <v>0.50066175120987388</v>
      </c>
      <c r="R353" s="6"/>
    </row>
    <row r="354" spans="1:18" x14ac:dyDescent="0.15">
      <c r="A354" t="s">
        <v>116</v>
      </c>
      <c r="B354" t="s">
        <v>479</v>
      </c>
      <c r="P354">
        <v>1.0013235024197478</v>
      </c>
      <c r="R354" s="6"/>
    </row>
    <row r="355" spans="1:18" x14ac:dyDescent="0.15">
      <c r="C355" t="s">
        <v>115</v>
      </c>
      <c r="D355">
        <v>2</v>
      </c>
      <c r="E355">
        <v>1</v>
      </c>
      <c r="F355" t="s">
        <v>9</v>
      </c>
      <c r="G355">
        <v>0</v>
      </c>
      <c r="H355">
        <v>0</v>
      </c>
      <c r="I355" t="s">
        <v>488</v>
      </c>
      <c r="J355" t="s">
        <v>1234</v>
      </c>
      <c r="K355" t="s">
        <v>1235</v>
      </c>
      <c r="M355" t="s">
        <v>487</v>
      </c>
      <c r="N355">
        <v>0</v>
      </c>
      <c r="O355" t="s">
        <v>1241</v>
      </c>
      <c r="P355">
        <v>0.50066175120987388</v>
      </c>
      <c r="Q355">
        <v>1.0013235024197478</v>
      </c>
      <c r="R355" s="6"/>
    </row>
    <row r="356" spans="1:18" x14ac:dyDescent="0.15">
      <c r="A356" t="s">
        <v>117</v>
      </c>
      <c r="B356" t="s">
        <v>479</v>
      </c>
      <c r="P356">
        <v>0.25033087560493694</v>
      </c>
      <c r="R356" s="6"/>
    </row>
    <row r="357" spans="1:18" x14ac:dyDescent="0.15">
      <c r="C357" t="s">
        <v>115</v>
      </c>
      <c r="D357">
        <v>500</v>
      </c>
      <c r="E357">
        <v>1000</v>
      </c>
      <c r="F357" t="s">
        <v>9</v>
      </c>
      <c r="G357">
        <v>0</v>
      </c>
      <c r="H357">
        <v>0</v>
      </c>
      <c r="I357" t="s">
        <v>488</v>
      </c>
      <c r="J357" t="s">
        <v>1234</v>
      </c>
      <c r="K357" t="s">
        <v>1235</v>
      </c>
      <c r="M357" t="s">
        <v>487</v>
      </c>
      <c r="N357">
        <v>0</v>
      </c>
      <c r="O357" t="s">
        <v>1241</v>
      </c>
      <c r="P357">
        <v>0.50066175120987388</v>
      </c>
      <c r="Q357">
        <v>250.33087560493695</v>
      </c>
      <c r="R357" s="6"/>
    </row>
    <row r="358" spans="1:18" x14ac:dyDescent="0.15">
      <c r="A358" t="s">
        <v>115</v>
      </c>
      <c r="B358" t="s">
        <v>9</v>
      </c>
      <c r="P358">
        <v>0.50066175120987388</v>
      </c>
      <c r="R358" s="6"/>
    </row>
    <row r="359" spans="1:18" x14ac:dyDescent="0.15">
      <c r="C359" t="s">
        <v>33</v>
      </c>
      <c r="D359">
        <v>6</v>
      </c>
      <c r="E359">
        <v>1</v>
      </c>
      <c r="F359" t="s">
        <v>9</v>
      </c>
      <c r="G359">
        <v>3</v>
      </c>
      <c r="H359">
        <v>0</v>
      </c>
      <c r="I359" t="s">
        <v>488</v>
      </c>
      <c r="J359" t="s">
        <v>1234</v>
      </c>
      <c r="K359" t="s">
        <v>1235</v>
      </c>
      <c r="M359" t="s">
        <v>487</v>
      </c>
      <c r="N359">
        <v>0</v>
      </c>
      <c r="O359" t="s">
        <v>1241</v>
      </c>
      <c r="P359">
        <v>0</v>
      </c>
      <c r="Q359">
        <v>0</v>
      </c>
      <c r="R359" s="9" t="s">
        <v>1246</v>
      </c>
    </row>
    <row r="360" spans="1:18" x14ac:dyDescent="0.15">
      <c r="C360" t="s">
        <v>12</v>
      </c>
      <c r="D360">
        <v>0.814070351759</v>
      </c>
      <c r="E360">
        <v>1</v>
      </c>
      <c r="F360" t="s">
        <v>13</v>
      </c>
      <c r="G360">
        <v>3</v>
      </c>
      <c r="H360">
        <v>0</v>
      </c>
      <c r="I360" t="s">
        <v>488</v>
      </c>
      <c r="J360" t="s">
        <v>1234</v>
      </c>
      <c r="K360" t="s">
        <v>1235</v>
      </c>
      <c r="M360" t="s">
        <v>487</v>
      </c>
      <c r="N360">
        <v>0</v>
      </c>
      <c r="O360" t="s">
        <v>1241</v>
      </c>
      <c r="P360">
        <v>1.03E-2</v>
      </c>
      <c r="Q360">
        <v>8.6364723618112311</v>
      </c>
      <c r="R360" s="6"/>
    </row>
    <row r="361" spans="1:18" x14ac:dyDescent="0.15">
      <c r="C361" t="s">
        <v>14</v>
      </c>
      <c r="D361">
        <v>0.90452261306500004</v>
      </c>
      <c r="E361">
        <v>1</v>
      </c>
      <c r="F361" t="s">
        <v>13</v>
      </c>
      <c r="G361">
        <v>3</v>
      </c>
      <c r="H361">
        <v>0</v>
      </c>
      <c r="I361" t="s">
        <v>488</v>
      </c>
      <c r="J361" t="s">
        <v>1234</v>
      </c>
      <c r="K361" t="s">
        <v>1235</v>
      </c>
      <c r="M361" t="s">
        <v>487</v>
      </c>
      <c r="N361">
        <v>0</v>
      </c>
      <c r="O361" t="s">
        <v>1241</v>
      </c>
      <c r="P361">
        <v>5.4900000000000001E-3</v>
      </c>
      <c r="Q361">
        <v>5.1148040200986555</v>
      </c>
      <c r="R361" s="6"/>
    </row>
    <row r="362" spans="1:18" x14ac:dyDescent="0.15">
      <c r="C362" t="s">
        <v>15</v>
      </c>
      <c r="D362">
        <v>18.090452261307</v>
      </c>
      <c r="E362">
        <v>1000</v>
      </c>
      <c r="F362" t="s">
        <v>13</v>
      </c>
      <c r="G362">
        <v>3</v>
      </c>
      <c r="H362">
        <v>0</v>
      </c>
      <c r="I362" t="s">
        <v>488</v>
      </c>
      <c r="J362" t="s">
        <v>1234</v>
      </c>
      <c r="K362" t="s">
        <v>1235</v>
      </c>
      <c r="M362" t="s">
        <v>487</v>
      </c>
      <c r="N362">
        <v>0</v>
      </c>
      <c r="O362" t="s">
        <v>1241</v>
      </c>
      <c r="P362">
        <v>7.9819999999999988E-2</v>
      </c>
      <c r="Q362">
        <v>1.4872992964824503</v>
      </c>
      <c r="R362" s="6"/>
    </row>
    <row r="363" spans="1:18" x14ac:dyDescent="0.15">
      <c r="C363" t="s">
        <v>23</v>
      </c>
      <c r="D363">
        <v>45.226130653265997</v>
      </c>
      <c r="E363">
        <v>1000</v>
      </c>
      <c r="F363" t="s">
        <v>13</v>
      </c>
      <c r="G363">
        <v>3</v>
      </c>
      <c r="H363">
        <v>0</v>
      </c>
      <c r="I363" t="s">
        <v>488</v>
      </c>
      <c r="J363" t="s">
        <v>1234</v>
      </c>
      <c r="K363" t="s">
        <v>1235</v>
      </c>
      <c r="M363" t="s">
        <v>487</v>
      </c>
      <c r="N363">
        <v>0</v>
      </c>
      <c r="O363" t="s">
        <v>1241</v>
      </c>
      <c r="P363">
        <v>2.3609999999999999E-2</v>
      </c>
      <c r="Q363">
        <v>1.0998226130653184</v>
      </c>
      <c r="R363" s="6"/>
    </row>
    <row r="364" spans="1:18" x14ac:dyDescent="0.15">
      <c r="C364" t="s">
        <v>24</v>
      </c>
      <c r="D364">
        <v>18.090452261307</v>
      </c>
      <c r="E364">
        <v>1000</v>
      </c>
      <c r="F364" t="s">
        <v>13</v>
      </c>
      <c r="G364">
        <v>3</v>
      </c>
      <c r="H364">
        <v>0</v>
      </c>
      <c r="I364" t="s">
        <v>488</v>
      </c>
      <c r="J364" t="s">
        <v>1234</v>
      </c>
      <c r="K364" t="s">
        <v>1235</v>
      </c>
      <c r="M364" t="s">
        <v>487</v>
      </c>
      <c r="N364">
        <v>0</v>
      </c>
      <c r="O364" t="s">
        <v>1241</v>
      </c>
      <c r="P364">
        <v>2.8500000000000001E-2</v>
      </c>
      <c r="Q364">
        <v>0.53104522613066707</v>
      </c>
      <c r="R364" s="6"/>
    </row>
    <row r="365" spans="1:18" x14ac:dyDescent="0.15">
      <c r="C365" t="s">
        <v>17</v>
      </c>
      <c r="D365">
        <v>6.4102564102559993</v>
      </c>
      <c r="E365">
        <v>1000</v>
      </c>
      <c r="F365" t="s">
        <v>18</v>
      </c>
      <c r="G365">
        <v>0</v>
      </c>
      <c r="H365">
        <v>0</v>
      </c>
      <c r="I365" t="s">
        <v>488</v>
      </c>
      <c r="J365" t="s">
        <v>1234</v>
      </c>
      <c r="K365" t="s">
        <v>1235</v>
      </c>
      <c r="M365" t="s">
        <v>487</v>
      </c>
      <c r="N365">
        <v>0</v>
      </c>
      <c r="O365" t="s">
        <v>1241</v>
      </c>
      <c r="P365">
        <v>53.85</v>
      </c>
      <c r="Q365">
        <v>345.19230769228557</v>
      </c>
      <c r="R365" s="6"/>
    </row>
    <row r="366" spans="1:18" x14ac:dyDescent="0.15">
      <c r="C366" t="s">
        <v>19</v>
      </c>
      <c r="D366">
        <v>4</v>
      </c>
      <c r="E366">
        <v>1</v>
      </c>
      <c r="F366" t="s">
        <v>18</v>
      </c>
      <c r="G366">
        <v>0</v>
      </c>
      <c r="H366">
        <v>0</v>
      </c>
      <c r="I366" t="s">
        <v>488</v>
      </c>
      <c r="J366" t="s">
        <v>1236</v>
      </c>
      <c r="K366" t="s">
        <v>1235</v>
      </c>
      <c r="M366" t="s">
        <v>487</v>
      </c>
      <c r="N366">
        <v>0</v>
      </c>
      <c r="O366" t="s">
        <v>1241</v>
      </c>
      <c r="P366">
        <v>34.65</v>
      </c>
      <c r="Q366">
        <v>138.6</v>
      </c>
      <c r="R366" s="6"/>
    </row>
    <row r="367" spans="1:18" x14ac:dyDescent="0.15">
      <c r="A367" t="s">
        <v>118</v>
      </c>
      <c r="B367" t="s">
        <v>479</v>
      </c>
      <c r="P367">
        <v>1.5055221134328181</v>
      </c>
      <c r="R367" s="6"/>
    </row>
    <row r="368" spans="1:18" x14ac:dyDescent="0.15">
      <c r="C368" t="s">
        <v>119</v>
      </c>
      <c r="D368">
        <v>1</v>
      </c>
      <c r="E368">
        <v>1</v>
      </c>
      <c r="F368" t="s">
        <v>9</v>
      </c>
      <c r="G368">
        <v>0</v>
      </c>
      <c r="H368">
        <v>0</v>
      </c>
      <c r="I368" t="s">
        <v>488</v>
      </c>
      <c r="J368" t="s">
        <v>1234</v>
      </c>
      <c r="K368" t="s">
        <v>1235</v>
      </c>
      <c r="M368" t="s">
        <v>487</v>
      </c>
      <c r="N368">
        <v>0</v>
      </c>
      <c r="O368" t="s">
        <v>1241</v>
      </c>
      <c r="P368">
        <v>1.5055221134328181</v>
      </c>
      <c r="Q368">
        <v>1.5055221134328181</v>
      </c>
      <c r="R368" s="6"/>
    </row>
    <row r="369" spans="1:18" x14ac:dyDescent="0.15">
      <c r="A369" t="s">
        <v>120</v>
      </c>
      <c r="B369" t="s">
        <v>479</v>
      </c>
      <c r="P369">
        <v>3.0110442268656361</v>
      </c>
      <c r="R369" s="6"/>
    </row>
    <row r="370" spans="1:18" x14ac:dyDescent="0.15">
      <c r="C370" t="s">
        <v>119</v>
      </c>
      <c r="D370">
        <v>2</v>
      </c>
      <c r="E370">
        <v>1</v>
      </c>
      <c r="F370" t="s">
        <v>9</v>
      </c>
      <c r="G370">
        <v>0</v>
      </c>
      <c r="H370">
        <v>0</v>
      </c>
      <c r="I370" t="s">
        <v>488</v>
      </c>
      <c r="J370" t="s">
        <v>1234</v>
      </c>
      <c r="K370" t="s">
        <v>1235</v>
      </c>
      <c r="M370" t="s">
        <v>487</v>
      </c>
      <c r="N370">
        <v>0</v>
      </c>
      <c r="O370" t="s">
        <v>1241</v>
      </c>
      <c r="P370">
        <v>1.5055221134328181</v>
      </c>
      <c r="Q370">
        <v>3.0110442268656361</v>
      </c>
      <c r="R370" s="6"/>
    </row>
    <row r="371" spans="1:18" x14ac:dyDescent="0.15">
      <c r="A371" t="s">
        <v>119</v>
      </c>
      <c r="B371" t="s">
        <v>9</v>
      </c>
      <c r="P371">
        <v>1.5055221134328181</v>
      </c>
      <c r="R371" s="6"/>
    </row>
    <row r="372" spans="1:18" x14ac:dyDescent="0.15">
      <c r="C372" t="s">
        <v>22</v>
      </c>
      <c r="D372">
        <v>69</v>
      </c>
      <c r="E372">
        <v>1</v>
      </c>
      <c r="F372" t="s">
        <v>9</v>
      </c>
      <c r="G372">
        <v>3</v>
      </c>
      <c r="H372">
        <v>0</v>
      </c>
      <c r="I372" t="s">
        <v>488</v>
      </c>
      <c r="J372" t="s">
        <v>1234</v>
      </c>
      <c r="K372" t="s">
        <v>1235</v>
      </c>
      <c r="M372" t="s">
        <v>487</v>
      </c>
      <c r="N372">
        <v>0</v>
      </c>
      <c r="O372" t="s">
        <v>1241</v>
      </c>
      <c r="P372">
        <v>0</v>
      </c>
      <c r="Q372">
        <v>0</v>
      </c>
      <c r="R372" s="9" t="s">
        <v>1246</v>
      </c>
    </row>
    <row r="373" spans="1:18" x14ac:dyDescent="0.15">
      <c r="C373" t="s">
        <v>12</v>
      </c>
      <c r="D373">
        <v>19.308731155779</v>
      </c>
      <c r="E373">
        <v>1</v>
      </c>
      <c r="F373" t="s">
        <v>13</v>
      </c>
      <c r="G373">
        <v>3</v>
      </c>
      <c r="H373">
        <v>0</v>
      </c>
      <c r="I373" t="s">
        <v>488</v>
      </c>
      <c r="J373" t="s">
        <v>1234</v>
      </c>
      <c r="K373" t="s">
        <v>1235</v>
      </c>
      <c r="M373" t="s">
        <v>487</v>
      </c>
      <c r="N373">
        <v>0</v>
      </c>
      <c r="O373" t="s">
        <v>1241</v>
      </c>
      <c r="P373">
        <v>1.03E-2</v>
      </c>
      <c r="Q373">
        <v>204.84632883165943</v>
      </c>
      <c r="R373" s="6"/>
    </row>
    <row r="374" spans="1:18" x14ac:dyDescent="0.15">
      <c r="C374" t="s">
        <v>14</v>
      </c>
      <c r="D374">
        <v>21.454145728643002</v>
      </c>
      <c r="E374">
        <v>1</v>
      </c>
      <c r="F374" t="s">
        <v>13</v>
      </c>
      <c r="G374">
        <v>3</v>
      </c>
      <c r="H374">
        <v>0</v>
      </c>
      <c r="I374" t="s">
        <v>488</v>
      </c>
      <c r="J374" t="s">
        <v>1234</v>
      </c>
      <c r="K374" t="s">
        <v>1235</v>
      </c>
      <c r="M374" t="s">
        <v>487</v>
      </c>
      <c r="N374">
        <v>0</v>
      </c>
      <c r="O374" t="s">
        <v>1241</v>
      </c>
      <c r="P374">
        <v>5.4900000000000001E-3</v>
      </c>
      <c r="Q374">
        <v>121.3167578517576</v>
      </c>
      <c r="R374" s="6"/>
    </row>
    <row r="375" spans="1:18" x14ac:dyDescent="0.15">
      <c r="C375" t="s">
        <v>15</v>
      </c>
      <c r="D375">
        <v>0.42908291457300002</v>
      </c>
      <c r="E375">
        <v>1</v>
      </c>
      <c r="F375" t="s">
        <v>13</v>
      </c>
      <c r="G375">
        <v>3</v>
      </c>
      <c r="H375">
        <v>0</v>
      </c>
      <c r="I375" t="s">
        <v>488</v>
      </c>
      <c r="J375" t="s">
        <v>1234</v>
      </c>
      <c r="K375" t="s">
        <v>1235</v>
      </c>
      <c r="M375" t="s">
        <v>487</v>
      </c>
      <c r="N375">
        <v>0</v>
      </c>
      <c r="O375" t="s">
        <v>1241</v>
      </c>
      <c r="P375">
        <v>7.9819999999999988E-2</v>
      </c>
      <c r="Q375">
        <v>35.276880188453362</v>
      </c>
      <c r="R375" s="6"/>
    </row>
    <row r="376" spans="1:18" x14ac:dyDescent="0.15">
      <c r="C376" t="s">
        <v>23</v>
      </c>
      <c r="D376">
        <v>1.072707286432</v>
      </c>
      <c r="E376">
        <v>1</v>
      </c>
      <c r="F376" t="s">
        <v>13</v>
      </c>
      <c r="G376">
        <v>3</v>
      </c>
      <c r="H376">
        <v>0</v>
      </c>
      <c r="I376" t="s">
        <v>488</v>
      </c>
      <c r="J376" t="s">
        <v>1234</v>
      </c>
      <c r="K376" t="s">
        <v>1235</v>
      </c>
      <c r="M376" t="s">
        <v>487</v>
      </c>
      <c r="N376">
        <v>0</v>
      </c>
      <c r="O376" t="s">
        <v>1241</v>
      </c>
      <c r="P376">
        <v>2.3609999999999999E-2</v>
      </c>
      <c r="Q376">
        <v>26.086417603639305</v>
      </c>
      <c r="R376" s="6"/>
    </row>
    <row r="377" spans="1:18" x14ac:dyDescent="0.15">
      <c r="C377" t="s">
        <v>24</v>
      </c>
      <c r="D377">
        <v>0.42908291457300002</v>
      </c>
      <c r="E377">
        <v>1</v>
      </c>
      <c r="F377" t="s">
        <v>13</v>
      </c>
      <c r="G377">
        <v>3</v>
      </c>
      <c r="H377">
        <v>0</v>
      </c>
      <c r="I377" t="s">
        <v>488</v>
      </c>
      <c r="J377" t="s">
        <v>1234</v>
      </c>
      <c r="K377" t="s">
        <v>1235</v>
      </c>
      <c r="M377" t="s">
        <v>487</v>
      </c>
      <c r="N377">
        <v>0</v>
      </c>
      <c r="O377" t="s">
        <v>1241</v>
      </c>
      <c r="P377">
        <v>2.8500000000000001E-2</v>
      </c>
      <c r="Q377">
        <v>12.595728957290417</v>
      </c>
      <c r="R377" s="6"/>
    </row>
    <row r="378" spans="1:18" x14ac:dyDescent="0.15">
      <c r="C378" t="s">
        <v>17</v>
      </c>
      <c r="D378">
        <v>16.666666666666998</v>
      </c>
      <c r="E378">
        <v>1000</v>
      </c>
      <c r="F378" t="s">
        <v>18</v>
      </c>
      <c r="G378">
        <v>0</v>
      </c>
      <c r="H378">
        <v>0</v>
      </c>
      <c r="I378" t="s">
        <v>488</v>
      </c>
      <c r="J378" t="s">
        <v>1234</v>
      </c>
      <c r="K378" t="s">
        <v>1235</v>
      </c>
      <c r="M378" t="s">
        <v>487</v>
      </c>
      <c r="N378">
        <v>0</v>
      </c>
      <c r="O378" t="s">
        <v>1241</v>
      </c>
      <c r="P378">
        <v>53.85</v>
      </c>
      <c r="Q378">
        <v>897.50000000001785</v>
      </c>
      <c r="R378" s="6"/>
    </row>
    <row r="379" spans="1:18" x14ac:dyDescent="0.15">
      <c r="C379" t="s">
        <v>19</v>
      </c>
      <c r="D379">
        <v>6</v>
      </c>
      <c r="E379">
        <v>1</v>
      </c>
      <c r="F379" t="s">
        <v>18</v>
      </c>
      <c r="G379">
        <v>0</v>
      </c>
      <c r="H379">
        <v>0</v>
      </c>
      <c r="I379" t="s">
        <v>488</v>
      </c>
      <c r="J379" t="s">
        <v>1236</v>
      </c>
      <c r="K379" t="s">
        <v>1235</v>
      </c>
      <c r="M379" t="s">
        <v>487</v>
      </c>
      <c r="N379">
        <v>0</v>
      </c>
      <c r="O379" t="s">
        <v>1241</v>
      </c>
      <c r="P379">
        <v>34.65</v>
      </c>
      <c r="Q379">
        <v>207.89999999999998</v>
      </c>
      <c r="R379" s="6"/>
    </row>
    <row r="380" spans="1:18" x14ac:dyDescent="0.15">
      <c r="A380" t="s">
        <v>121</v>
      </c>
      <c r="B380" t="s">
        <v>479</v>
      </c>
      <c r="P380">
        <v>425.07727458359057</v>
      </c>
      <c r="R380" s="6"/>
    </row>
    <row r="381" spans="1:18" x14ac:dyDescent="0.15">
      <c r="C381" t="s">
        <v>122</v>
      </c>
      <c r="D381">
        <v>250</v>
      </c>
      <c r="E381">
        <v>1</v>
      </c>
      <c r="F381" t="s">
        <v>9</v>
      </c>
      <c r="G381">
        <v>0</v>
      </c>
      <c r="H381">
        <v>0</v>
      </c>
      <c r="I381" t="s">
        <v>488</v>
      </c>
      <c r="J381" t="s">
        <v>1234</v>
      </c>
      <c r="K381" t="s">
        <v>1235</v>
      </c>
      <c r="M381" t="s">
        <v>487</v>
      </c>
      <c r="N381">
        <v>0</v>
      </c>
      <c r="O381" t="s">
        <v>1241</v>
      </c>
      <c r="P381">
        <v>1.7003090983343623</v>
      </c>
      <c r="Q381">
        <v>425.07727458359057</v>
      </c>
      <c r="R381" s="6"/>
    </row>
    <row r="382" spans="1:18" x14ac:dyDescent="0.15">
      <c r="A382" t="s">
        <v>122</v>
      </c>
      <c r="B382" t="s">
        <v>9</v>
      </c>
      <c r="P382">
        <v>1.7003090983343623</v>
      </c>
      <c r="R382" s="6"/>
    </row>
    <row r="383" spans="1:18" x14ac:dyDescent="0.15">
      <c r="C383" t="s">
        <v>123</v>
      </c>
      <c r="D383">
        <v>51</v>
      </c>
      <c r="E383">
        <v>1</v>
      </c>
      <c r="F383" t="s">
        <v>9</v>
      </c>
      <c r="G383">
        <v>3</v>
      </c>
      <c r="H383">
        <v>0</v>
      </c>
      <c r="I383" t="s">
        <v>488</v>
      </c>
      <c r="J383" t="s">
        <v>1234</v>
      </c>
      <c r="K383" t="s">
        <v>1235</v>
      </c>
      <c r="M383" t="s">
        <v>487</v>
      </c>
      <c r="N383">
        <v>0</v>
      </c>
      <c r="O383" t="s">
        <v>1241</v>
      </c>
      <c r="P383">
        <v>0</v>
      </c>
      <c r="Q383">
        <v>0</v>
      </c>
      <c r="R383" s="9" t="s">
        <v>1246</v>
      </c>
    </row>
    <row r="384" spans="1:18" x14ac:dyDescent="0.15">
      <c r="C384" t="s">
        <v>12</v>
      </c>
      <c r="D384">
        <v>14.271670854271001</v>
      </c>
      <c r="E384">
        <v>1</v>
      </c>
      <c r="F384" t="s">
        <v>13</v>
      </c>
      <c r="G384">
        <v>3</v>
      </c>
      <c r="H384">
        <v>0</v>
      </c>
      <c r="I384" t="s">
        <v>488</v>
      </c>
      <c r="J384" t="s">
        <v>1234</v>
      </c>
      <c r="K384" t="s">
        <v>1235</v>
      </c>
      <c r="M384" t="s">
        <v>487</v>
      </c>
      <c r="N384">
        <v>0</v>
      </c>
      <c r="O384" t="s">
        <v>1241</v>
      </c>
      <c r="P384">
        <v>1.03E-2</v>
      </c>
      <c r="Q384">
        <v>151.40815609296104</v>
      </c>
      <c r="R384" s="6"/>
    </row>
    <row r="385" spans="1:18" x14ac:dyDescent="0.15">
      <c r="C385" t="s">
        <v>14</v>
      </c>
      <c r="D385">
        <v>15.857412060302002</v>
      </c>
      <c r="E385">
        <v>1</v>
      </c>
      <c r="F385" t="s">
        <v>13</v>
      </c>
      <c r="G385">
        <v>3</v>
      </c>
      <c r="H385">
        <v>0</v>
      </c>
      <c r="I385" t="s">
        <v>488</v>
      </c>
      <c r="J385" t="s">
        <v>1234</v>
      </c>
      <c r="K385" t="s">
        <v>1235</v>
      </c>
      <c r="M385" t="s">
        <v>487</v>
      </c>
      <c r="N385">
        <v>0</v>
      </c>
      <c r="O385" t="s">
        <v>1241</v>
      </c>
      <c r="P385">
        <v>5.4900000000000001E-3</v>
      </c>
      <c r="Q385">
        <v>89.668907977389722</v>
      </c>
      <c r="R385" s="6"/>
    </row>
    <row r="386" spans="1:18" x14ac:dyDescent="0.15">
      <c r="C386" t="s">
        <v>15</v>
      </c>
      <c r="D386">
        <v>0.31714824120599999</v>
      </c>
      <c r="E386">
        <v>1</v>
      </c>
      <c r="F386" t="s">
        <v>13</v>
      </c>
      <c r="G386">
        <v>3</v>
      </c>
      <c r="H386">
        <v>0</v>
      </c>
      <c r="I386" t="s">
        <v>488</v>
      </c>
      <c r="J386" t="s">
        <v>1234</v>
      </c>
      <c r="K386" t="s">
        <v>1235</v>
      </c>
      <c r="M386" t="s">
        <v>487</v>
      </c>
      <c r="N386">
        <v>0</v>
      </c>
      <c r="O386" t="s">
        <v>1241</v>
      </c>
      <c r="P386">
        <v>7.9819999999999988E-2</v>
      </c>
      <c r="Q386">
        <v>26.074215791454805</v>
      </c>
      <c r="R386" s="6"/>
    </row>
    <row r="387" spans="1:18" x14ac:dyDescent="0.15">
      <c r="C387" t="s">
        <v>23</v>
      </c>
      <c r="D387">
        <v>0.79287060301500001</v>
      </c>
      <c r="E387">
        <v>1</v>
      </c>
      <c r="F387" t="s">
        <v>13</v>
      </c>
      <c r="G387">
        <v>3</v>
      </c>
      <c r="H387">
        <v>0</v>
      </c>
      <c r="I387" t="s">
        <v>488</v>
      </c>
      <c r="J387" t="s">
        <v>1234</v>
      </c>
      <c r="K387" t="s">
        <v>1235</v>
      </c>
      <c r="M387" t="s">
        <v>487</v>
      </c>
      <c r="N387">
        <v>0</v>
      </c>
      <c r="O387" t="s">
        <v>1241</v>
      </c>
      <c r="P387">
        <v>2.3609999999999999E-2</v>
      </c>
      <c r="Q387">
        <v>19.281265185299674</v>
      </c>
      <c r="R387" s="6"/>
    </row>
    <row r="388" spans="1:18" x14ac:dyDescent="0.15">
      <c r="C388" t="s">
        <v>24</v>
      </c>
      <c r="D388">
        <v>0.31714824120599999</v>
      </c>
      <c r="E388">
        <v>1</v>
      </c>
      <c r="F388" t="s">
        <v>13</v>
      </c>
      <c r="G388">
        <v>3</v>
      </c>
      <c r="H388">
        <v>0</v>
      </c>
      <c r="I388" t="s">
        <v>488</v>
      </c>
      <c r="J388" t="s">
        <v>1234</v>
      </c>
      <c r="K388" t="s">
        <v>1235</v>
      </c>
      <c r="M388" t="s">
        <v>487</v>
      </c>
      <c r="N388">
        <v>0</v>
      </c>
      <c r="O388" t="s">
        <v>1241</v>
      </c>
      <c r="P388">
        <v>2.8500000000000001E-2</v>
      </c>
      <c r="Q388">
        <v>9.3098866206021302</v>
      </c>
      <c r="R388" s="6"/>
    </row>
    <row r="389" spans="1:18" x14ac:dyDescent="0.15">
      <c r="C389" t="s">
        <v>124</v>
      </c>
      <c r="D389">
        <v>0.94668750000000002</v>
      </c>
      <c r="E389">
        <v>1</v>
      </c>
      <c r="F389" t="s">
        <v>13</v>
      </c>
      <c r="G389">
        <v>3</v>
      </c>
      <c r="H389">
        <v>0</v>
      </c>
      <c r="I389" t="s">
        <v>488</v>
      </c>
      <c r="J389" t="s">
        <v>1234</v>
      </c>
      <c r="K389" t="s">
        <v>1235</v>
      </c>
      <c r="M389" t="s">
        <v>487</v>
      </c>
      <c r="N389">
        <v>0</v>
      </c>
      <c r="O389" t="s">
        <v>1241</v>
      </c>
      <c r="P389">
        <v>0</v>
      </c>
      <c r="Q389">
        <v>0</v>
      </c>
      <c r="R389" s="9" t="s">
        <v>1246</v>
      </c>
    </row>
    <row r="390" spans="1:18" x14ac:dyDescent="0.15">
      <c r="C390" t="s">
        <v>17</v>
      </c>
      <c r="D390">
        <v>22.222222222221998</v>
      </c>
      <c r="E390">
        <v>1000</v>
      </c>
      <c r="F390" t="s">
        <v>18</v>
      </c>
      <c r="G390">
        <v>0</v>
      </c>
      <c r="H390">
        <v>0</v>
      </c>
      <c r="I390" t="s">
        <v>488</v>
      </c>
      <c r="J390" t="s">
        <v>1234</v>
      </c>
      <c r="K390" t="s">
        <v>1235</v>
      </c>
      <c r="M390" t="s">
        <v>487</v>
      </c>
      <c r="N390">
        <v>0</v>
      </c>
      <c r="O390" t="s">
        <v>1241</v>
      </c>
      <c r="P390">
        <v>53.85</v>
      </c>
      <c r="Q390">
        <v>1196.6666666666547</v>
      </c>
      <c r="R390" s="6"/>
    </row>
    <row r="391" spans="1:18" x14ac:dyDescent="0.15">
      <c r="C391" t="s">
        <v>19</v>
      </c>
      <c r="D391">
        <v>6</v>
      </c>
      <c r="E391">
        <v>1</v>
      </c>
      <c r="F391" t="s">
        <v>18</v>
      </c>
      <c r="G391">
        <v>0</v>
      </c>
      <c r="H391">
        <v>0</v>
      </c>
      <c r="I391" t="s">
        <v>488</v>
      </c>
      <c r="J391" t="s">
        <v>1236</v>
      </c>
      <c r="K391" t="s">
        <v>1235</v>
      </c>
      <c r="M391" t="s">
        <v>487</v>
      </c>
      <c r="N391">
        <v>0</v>
      </c>
      <c r="O391" t="s">
        <v>1241</v>
      </c>
      <c r="P391">
        <v>34.65</v>
      </c>
      <c r="Q391">
        <v>207.89999999999998</v>
      </c>
      <c r="R391" s="6"/>
    </row>
    <row r="392" spans="1:18" x14ac:dyDescent="0.15">
      <c r="A392" t="s">
        <v>516</v>
      </c>
      <c r="B392" t="s">
        <v>479</v>
      </c>
      <c r="P392">
        <v>-1</v>
      </c>
      <c r="R392" s="8" t="s">
        <v>1244</v>
      </c>
    </row>
    <row r="393" spans="1:18" x14ac:dyDescent="0.15">
      <c r="A393" t="s">
        <v>517</v>
      </c>
      <c r="B393" t="s">
        <v>479</v>
      </c>
      <c r="P393">
        <v>-1</v>
      </c>
      <c r="R393" s="8" t="s">
        <v>1244</v>
      </c>
    </row>
    <row r="394" spans="1:18" x14ac:dyDescent="0.15">
      <c r="A394" t="s">
        <v>518</v>
      </c>
      <c r="B394" t="s">
        <v>479</v>
      </c>
      <c r="P394">
        <v>-1</v>
      </c>
      <c r="R394" s="8" t="s">
        <v>1244</v>
      </c>
    </row>
    <row r="395" spans="1:18" x14ac:dyDescent="0.15">
      <c r="A395" t="s">
        <v>126</v>
      </c>
      <c r="B395" t="s">
        <v>479</v>
      </c>
      <c r="P395">
        <v>0.60258794813024863</v>
      </c>
      <c r="R395" s="6"/>
    </row>
    <row r="396" spans="1:18" x14ac:dyDescent="0.15">
      <c r="C396" t="s">
        <v>127</v>
      </c>
      <c r="D396">
        <v>1</v>
      </c>
      <c r="E396">
        <v>1</v>
      </c>
      <c r="F396" t="s">
        <v>9</v>
      </c>
      <c r="G396">
        <v>0</v>
      </c>
      <c r="H396">
        <v>0</v>
      </c>
      <c r="I396" t="s">
        <v>488</v>
      </c>
      <c r="J396" t="s">
        <v>1234</v>
      </c>
      <c r="K396" t="s">
        <v>1235</v>
      </c>
      <c r="M396" t="s">
        <v>487</v>
      </c>
      <c r="N396">
        <v>0</v>
      </c>
      <c r="O396" t="s">
        <v>1241</v>
      </c>
      <c r="P396">
        <v>0.60258794813024863</v>
      </c>
      <c r="Q396">
        <v>0.60258794813024863</v>
      </c>
      <c r="R396" s="6"/>
    </row>
    <row r="397" spans="1:18" x14ac:dyDescent="0.15">
      <c r="A397" t="s">
        <v>128</v>
      </c>
      <c r="B397" t="s">
        <v>479</v>
      </c>
      <c r="P397">
        <v>1.2051758962604973</v>
      </c>
      <c r="R397" s="6"/>
    </row>
    <row r="398" spans="1:18" x14ac:dyDescent="0.15">
      <c r="C398" t="s">
        <v>127</v>
      </c>
      <c r="D398">
        <v>2</v>
      </c>
      <c r="E398">
        <v>1</v>
      </c>
      <c r="F398" t="s">
        <v>9</v>
      </c>
      <c r="G398">
        <v>0</v>
      </c>
      <c r="H398">
        <v>0</v>
      </c>
      <c r="I398" t="s">
        <v>488</v>
      </c>
      <c r="J398" t="s">
        <v>1234</v>
      </c>
      <c r="K398" t="s">
        <v>1235</v>
      </c>
      <c r="M398" t="s">
        <v>487</v>
      </c>
      <c r="N398">
        <v>0</v>
      </c>
      <c r="O398" t="s">
        <v>1241</v>
      </c>
      <c r="P398">
        <v>0.60258794813024863</v>
      </c>
      <c r="Q398">
        <v>1.2051758962604973</v>
      </c>
      <c r="R398" s="6"/>
    </row>
    <row r="399" spans="1:18" x14ac:dyDescent="0.15">
      <c r="A399" t="s">
        <v>129</v>
      </c>
      <c r="B399" t="s">
        <v>479</v>
      </c>
      <c r="P399">
        <v>0.30129397406512431</v>
      </c>
      <c r="R399" s="6"/>
    </row>
    <row r="400" spans="1:18" x14ac:dyDescent="0.15">
      <c r="C400" t="s">
        <v>127</v>
      </c>
      <c r="D400">
        <v>500</v>
      </c>
      <c r="E400">
        <v>1000</v>
      </c>
      <c r="F400" t="s">
        <v>9</v>
      </c>
      <c r="G400">
        <v>0</v>
      </c>
      <c r="H400">
        <v>0</v>
      </c>
      <c r="I400" t="s">
        <v>488</v>
      </c>
      <c r="J400" t="s">
        <v>1234</v>
      </c>
      <c r="K400" t="s">
        <v>1235</v>
      </c>
      <c r="M400" t="s">
        <v>487</v>
      </c>
      <c r="N400">
        <v>0</v>
      </c>
      <c r="O400" t="s">
        <v>1241</v>
      </c>
      <c r="P400">
        <v>0.60258794813024863</v>
      </c>
      <c r="Q400">
        <v>301.2939740651243</v>
      </c>
      <c r="R400" s="6"/>
    </row>
    <row r="401" spans="1:18" x14ac:dyDescent="0.15">
      <c r="A401" t="s">
        <v>127</v>
      </c>
      <c r="B401" t="s">
        <v>9</v>
      </c>
      <c r="P401">
        <v>0.60258794813024863</v>
      </c>
      <c r="R401" s="6"/>
    </row>
    <row r="402" spans="1:18" x14ac:dyDescent="0.15">
      <c r="C402" t="s">
        <v>33</v>
      </c>
      <c r="D402">
        <v>6</v>
      </c>
      <c r="E402">
        <v>1</v>
      </c>
      <c r="F402" t="s">
        <v>9</v>
      </c>
      <c r="G402">
        <v>3</v>
      </c>
      <c r="H402">
        <v>0</v>
      </c>
      <c r="I402" t="s">
        <v>488</v>
      </c>
      <c r="J402" t="s">
        <v>1234</v>
      </c>
      <c r="K402" t="s">
        <v>1235</v>
      </c>
      <c r="M402" t="s">
        <v>487</v>
      </c>
      <c r="N402">
        <v>0</v>
      </c>
      <c r="O402" t="s">
        <v>1241</v>
      </c>
      <c r="P402">
        <v>0</v>
      </c>
      <c r="Q402">
        <v>0</v>
      </c>
      <c r="R402" s="9" t="s">
        <v>1246</v>
      </c>
    </row>
    <row r="403" spans="1:18" x14ac:dyDescent="0.15">
      <c r="C403" t="s">
        <v>29</v>
      </c>
      <c r="D403">
        <v>2</v>
      </c>
      <c r="E403">
        <v>1</v>
      </c>
      <c r="F403" t="s">
        <v>9</v>
      </c>
      <c r="G403">
        <v>3</v>
      </c>
      <c r="H403">
        <v>0</v>
      </c>
      <c r="I403" t="s">
        <v>488</v>
      </c>
      <c r="J403" t="s">
        <v>1234</v>
      </c>
      <c r="K403" t="s">
        <v>1235</v>
      </c>
      <c r="M403" t="s">
        <v>487</v>
      </c>
      <c r="N403">
        <v>0</v>
      </c>
      <c r="O403" t="s">
        <v>1241</v>
      </c>
      <c r="P403">
        <v>0</v>
      </c>
      <c r="Q403">
        <v>0</v>
      </c>
      <c r="R403" s="9" t="s">
        <v>1246</v>
      </c>
    </row>
    <row r="404" spans="1:18" x14ac:dyDescent="0.15">
      <c r="C404" t="s">
        <v>12</v>
      </c>
      <c r="D404">
        <v>0.94974874371899998</v>
      </c>
      <c r="E404">
        <v>1</v>
      </c>
      <c r="F404" t="s">
        <v>13</v>
      </c>
      <c r="G404">
        <v>3</v>
      </c>
      <c r="H404">
        <v>0</v>
      </c>
      <c r="I404" t="s">
        <v>488</v>
      </c>
      <c r="J404" t="s">
        <v>1234</v>
      </c>
      <c r="K404" t="s">
        <v>1235</v>
      </c>
      <c r="M404" t="s">
        <v>487</v>
      </c>
      <c r="N404">
        <v>0</v>
      </c>
      <c r="O404" t="s">
        <v>1241</v>
      </c>
      <c r="P404">
        <v>1.03E-2</v>
      </c>
      <c r="Q404">
        <v>10.075884422114871</v>
      </c>
      <c r="R404" s="6"/>
    </row>
    <row r="405" spans="1:18" x14ac:dyDescent="0.15">
      <c r="C405" t="s">
        <v>14</v>
      </c>
      <c r="D405">
        <v>1.0552763819100002</v>
      </c>
      <c r="E405">
        <v>1</v>
      </c>
      <c r="F405" t="s">
        <v>13</v>
      </c>
      <c r="G405">
        <v>3</v>
      </c>
      <c r="H405">
        <v>0</v>
      </c>
      <c r="I405" t="s">
        <v>488</v>
      </c>
      <c r="J405" t="s">
        <v>1234</v>
      </c>
      <c r="K405" t="s">
        <v>1235</v>
      </c>
      <c r="M405" t="s">
        <v>487</v>
      </c>
      <c r="N405">
        <v>0</v>
      </c>
      <c r="O405" t="s">
        <v>1241</v>
      </c>
      <c r="P405">
        <v>5.4900000000000001E-3</v>
      </c>
      <c r="Q405">
        <v>5.9672713567864779</v>
      </c>
      <c r="R405" s="6"/>
    </row>
    <row r="406" spans="1:18" x14ac:dyDescent="0.15">
      <c r="C406" t="s">
        <v>15</v>
      </c>
      <c r="D406">
        <v>21.105527638191003</v>
      </c>
      <c r="E406">
        <v>1000</v>
      </c>
      <c r="F406" t="s">
        <v>13</v>
      </c>
      <c r="G406">
        <v>3</v>
      </c>
      <c r="H406">
        <v>0</v>
      </c>
      <c r="I406" t="s">
        <v>488</v>
      </c>
      <c r="J406" t="s">
        <v>1234</v>
      </c>
      <c r="K406" t="s">
        <v>1235</v>
      </c>
      <c r="M406" t="s">
        <v>487</v>
      </c>
      <c r="N406">
        <v>0</v>
      </c>
      <c r="O406" t="s">
        <v>1241</v>
      </c>
      <c r="P406">
        <v>7.9819999999999988E-2</v>
      </c>
      <c r="Q406">
        <v>1.735182512562818</v>
      </c>
      <c r="R406" s="6"/>
    </row>
    <row r="407" spans="1:18" x14ac:dyDescent="0.15">
      <c r="C407" t="s">
        <v>23</v>
      </c>
      <c r="D407">
        <v>52.763819095477004</v>
      </c>
      <c r="E407">
        <v>1000</v>
      </c>
      <c r="F407" t="s">
        <v>13</v>
      </c>
      <c r="G407">
        <v>3</v>
      </c>
      <c r="H407">
        <v>0</v>
      </c>
      <c r="I407" t="s">
        <v>488</v>
      </c>
      <c r="J407" t="s">
        <v>1234</v>
      </c>
      <c r="K407" t="s">
        <v>1235</v>
      </c>
      <c r="M407" t="s">
        <v>487</v>
      </c>
      <c r="N407">
        <v>0</v>
      </c>
      <c r="O407" t="s">
        <v>1241</v>
      </c>
      <c r="P407">
        <v>2.3609999999999999E-2</v>
      </c>
      <c r="Q407">
        <v>1.2831263819095384</v>
      </c>
      <c r="R407" s="6"/>
    </row>
    <row r="408" spans="1:18" x14ac:dyDescent="0.15">
      <c r="C408" t="s">
        <v>24</v>
      </c>
      <c r="D408">
        <v>21.105527638191003</v>
      </c>
      <c r="E408">
        <v>1000</v>
      </c>
      <c r="F408" t="s">
        <v>13</v>
      </c>
      <c r="G408">
        <v>3</v>
      </c>
      <c r="H408">
        <v>0</v>
      </c>
      <c r="I408" t="s">
        <v>488</v>
      </c>
      <c r="J408" t="s">
        <v>1234</v>
      </c>
      <c r="K408" t="s">
        <v>1235</v>
      </c>
      <c r="M408" t="s">
        <v>487</v>
      </c>
      <c r="N408">
        <v>0</v>
      </c>
      <c r="O408" t="s">
        <v>1241</v>
      </c>
      <c r="P408">
        <v>2.8500000000000001E-2</v>
      </c>
      <c r="Q408">
        <v>0.61955276381909696</v>
      </c>
      <c r="R408" s="6"/>
    </row>
    <row r="409" spans="1:18" x14ac:dyDescent="0.15">
      <c r="C409" t="s">
        <v>17</v>
      </c>
      <c r="D409">
        <v>8.2508250825080012</v>
      </c>
      <c r="E409">
        <v>1000</v>
      </c>
      <c r="F409" t="s">
        <v>18</v>
      </c>
      <c r="G409">
        <v>0</v>
      </c>
      <c r="H409">
        <v>0</v>
      </c>
      <c r="I409" t="s">
        <v>488</v>
      </c>
      <c r="J409" t="s">
        <v>1234</v>
      </c>
      <c r="K409" t="s">
        <v>1235</v>
      </c>
      <c r="M409" t="s">
        <v>487</v>
      </c>
      <c r="N409">
        <v>0</v>
      </c>
      <c r="O409" t="s">
        <v>1241</v>
      </c>
      <c r="P409">
        <v>53.85</v>
      </c>
      <c r="Q409">
        <v>444.30693069305585</v>
      </c>
      <c r="R409" s="6"/>
    </row>
    <row r="410" spans="1:18" x14ac:dyDescent="0.15">
      <c r="C410" t="s">
        <v>19</v>
      </c>
      <c r="D410">
        <v>4</v>
      </c>
      <c r="E410">
        <v>1</v>
      </c>
      <c r="F410" t="s">
        <v>18</v>
      </c>
      <c r="G410">
        <v>0</v>
      </c>
      <c r="H410">
        <v>0</v>
      </c>
      <c r="I410" t="s">
        <v>488</v>
      </c>
      <c r="J410" t="s">
        <v>1236</v>
      </c>
      <c r="K410" t="s">
        <v>1235</v>
      </c>
      <c r="M410" t="s">
        <v>487</v>
      </c>
      <c r="N410">
        <v>0</v>
      </c>
      <c r="O410" t="s">
        <v>1241</v>
      </c>
      <c r="P410">
        <v>34.65</v>
      </c>
      <c r="Q410">
        <v>138.6</v>
      </c>
      <c r="R410" s="6"/>
    </row>
    <row r="411" spans="1:18" x14ac:dyDescent="0.15">
      <c r="A411" t="s">
        <v>130</v>
      </c>
      <c r="B411" t="s">
        <v>479</v>
      </c>
      <c r="P411">
        <v>0.48506527700540553</v>
      </c>
      <c r="R411" s="6"/>
    </row>
    <row r="412" spans="1:18" x14ac:dyDescent="0.15">
      <c r="C412" t="s">
        <v>131</v>
      </c>
      <c r="D412">
        <v>1</v>
      </c>
      <c r="E412">
        <v>1</v>
      </c>
      <c r="F412" t="s">
        <v>9</v>
      </c>
      <c r="G412">
        <v>0</v>
      </c>
      <c r="H412">
        <v>0</v>
      </c>
      <c r="I412" t="s">
        <v>488</v>
      </c>
      <c r="J412" t="s">
        <v>1234</v>
      </c>
      <c r="K412" t="s">
        <v>1235</v>
      </c>
      <c r="M412" t="s">
        <v>487</v>
      </c>
      <c r="N412">
        <v>0</v>
      </c>
      <c r="O412" t="s">
        <v>1241</v>
      </c>
      <c r="P412">
        <v>0.48506527700540553</v>
      </c>
      <c r="Q412">
        <v>0.48506527700540553</v>
      </c>
      <c r="R412" s="6"/>
    </row>
    <row r="413" spans="1:18" x14ac:dyDescent="0.15">
      <c r="A413" t="s">
        <v>132</v>
      </c>
      <c r="B413" t="s">
        <v>479</v>
      </c>
      <c r="P413">
        <v>0.97013055401081105</v>
      </c>
      <c r="R413" s="6"/>
    </row>
    <row r="414" spans="1:18" x14ac:dyDescent="0.15">
      <c r="C414" t="s">
        <v>131</v>
      </c>
      <c r="D414">
        <v>2</v>
      </c>
      <c r="E414">
        <v>1</v>
      </c>
      <c r="F414" t="s">
        <v>9</v>
      </c>
      <c r="G414">
        <v>0</v>
      </c>
      <c r="H414">
        <v>0</v>
      </c>
      <c r="I414" t="s">
        <v>488</v>
      </c>
      <c r="J414" t="s">
        <v>1234</v>
      </c>
      <c r="K414" t="s">
        <v>1235</v>
      </c>
      <c r="M414" t="s">
        <v>487</v>
      </c>
      <c r="N414">
        <v>0</v>
      </c>
      <c r="O414" t="s">
        <v>1241</v>
      </c>
      <c r="P414">
        <v>0.48506527700540553</v>
      </c>
      <c r="Q414">
        <v>0.97013055401081105</v>
      </c>
      <c r="R414" s="6"/>
    </row>
    <row r="415" spans="1:18" x14ac:dyDescent="0.15">
      <c r="A415" t="s">
        <v>133</v>
      </c>
      <c r="B415" t="s">
        <v>479</v>
      </c>
      <c r="P415">
        <v>1.4551958310162165</v>
      </c>
      <c r="R415" s="6"/>
    </row>
    <row r="416" spans="1:18" x14ac:dyDescent="0.15">
      <c r="C416" t="s">
        <v>131</v>
      </c>
      <c r="D416">
        <v>3</v>
      </c>
      <c r="E416">
        <v>1</v>
      </c>
      <c r="F416" t="s">
        <v>9</v>
      </c>
      <c r="G416">
        <v>0</v>
      </c>
      <c r="H416">
        <v>0</v>
      </c>
      <c r="I416" t="s">
        <v>488</v>
      </c>
      <c r="J416" t="s">
        <v>1234</v>
      </c>
      <c r="K416" t="s">
        <v>1235</v>
      </c>
      <c r="M416" t="s">
        <v>487</v>
      </c>
      <c r="N416">
        <v>0</v>
      </c>
      <c r="O416" t="s">
        <v>1241</v>
      </c>
      <c r="P416">
        <v>0.48506527700540553</v>
      </c>
      <c r="Q416">
        <v>1.4551958310162165</v>
      </c>
      <c r="R416" s="6"/>
    </row>
    <row r="417" spans="1:18" x14ac:dyDescent="0.15">
      <c r="A417" t="s">
        <v>134</v>
      </c>
      <c r="B417" t="s">
        <v>479</v>
      </c>
      <c r="P417">
        <v>0.24253263850270276</v>
      </c>
      <c r="R417" s="6"/>
    </row>
    <row r="418" spans="1:18" x14ac:dyDescent="0.15">
      <c r="C418" t="s">
        <v>131</v>
      </c>
      <c r="D418">
        <v>500</v>
      </c>
      <c r="E418">
        <v>1000</v>
      </c>
      <c r="F418" t="s">
        <v>9</v>
      </c>
      <c r="G418">
        <v>0</v>
      </c>
      <c r="H418">
        <v>0</v>
      </c>
      <c r="I418" t="s">
        <v>488</v>
      </c>
      <c r="J418" t="s">
        <v>1234</v>
      </c>
      <c r="K418" t="s">
        <v>1235</v>
      </c>
      <c r="M418" t="s">
        <v>487</v>
      </c>
      <c r="N418">
        <v>0</v>
      </c>
      <c r="O418" t="s">
        <v>1241</v>
      </c>
      <c r="P418">
        <v>0.48506527700540553</v>
      </c>
      <c r="Q418">
        <v>242.53263850270275</v>
      </c>
      <c r="R418" s="6"/>
    </row>
    <row r="419" spans="1:18" x14ac:dyDescent="0.15">
      <c r="A419" t="s">
        <v>131</v>
      </c>
      <c r="B419" t="s">
        <v>9</v>
      </c>
      <c r="P419">
        <v>0.48506527700540553</v>
      </c>
      <c r="R419" s="6"/>
    </row>
    <row r="420" spans="1:18" x14ac:dyDescent="0.15">
      <c r="C420" t="s">
        <v>33</v>
      </c>
      <c r="D420">
        <v>5</v>
      </c>
      <c r="E420">
        <v>1</v>
      </c>
      <c r="F420" t="s">
        <v>9</v>
      </c>
      <c r="G420">
        <v>3</v>
      </c>
      <c r="H420">
        <v>0</v>
      </c>
      <c r="I420" t="s">
        <v>488</v>
      </c>
      <c r="J420" t="s">
        <v>1234</v>
      </c>
      <c r="K420" t="s">
        <v>1235</v>
      </c>
      <c r="M420" t="s">
        <v>487</v>
      </c>
      <c r="N420">
        <v>0</v>
      </c>
      <c r="O420" t="s">
        <v>1241</v>
      </c>
      <c r="P420">
        <v>0</v>
      </c>
      <c r="Q420">
        <v>0</v>
      </c>
      <c r="R420" s="9" t="s">
        <v>1246</v>
      </c>
    </row>
    <row r="421" spans="1:18" x14ac:dyDescent="0.15">
      <c r="C421" t="s">
        <v>12</v>
      </c>
      <c r="D421">
        <v>0.67839195979900002</v>
      </c>
      <c r="E421">
        <v>1</v>
      </c>
      <c r="F421" t="s">
        <v>13</v>
      </c>
      <c r="G421">
        <v>3</v>
      </c>
      <c r="H421">
        <v>0</v>
      </c>
      <c r="I421" t="s">
        <v>488</v>
      </c>
      <c r="J421" t="s">
        <v>1234</v>
      </c>
      <c r="K421" t="s">
        <v>1235</v>
      </c>
      <c r="M421" t="s">
        <v>487</v>
      </c>
      <c r="N421">
        <v>0</v>
      </c>
      <c r="O421" t="s">
        <v>1241</v>
      </c>
      <c r="P421">
        <v>1.03E-2</v>
      </c>
      <c r="Q421">
        <v>7.1970603015075918</v>
      </c>
      <c r="R421" s="6"/>
    </row>
    <row r="422" spans="1:18" x14ac:dyDescent="0.15">
      <c r="C422" t="s">
        <v>14</v>
      </c>
      <c r="D422">
        <v>0.75376884422099999</v>
      </c>
      <c r="E422">
        <v>1</v>
      </c>
      <c r="F422" t="s">
        <v>13</v>
      </c>
      <c r="G422">
        <v>3</v>
      </c>
      <c r="H422">
        <v>0</v>
      </c>
      <c r="I422" t="s">
        <v>488</v>
      </c>
      <c r="J422" t="s">
        <v>1234</v>
      </c>
      <c r="K422" t="s">
        <v>1235</v>
      </c>
      <c r="M422" t="s">
        <v>487</v>
      </c>
      <c r="N422">
        <v>0</v>
      </c>
      <c r="O422" t="s">
        <v>1241</v>
      </c>
      <c r="P422">
        <v>5.4900000000000001E-3</v>
      </c>
      <c r="Q422">
        <v>4.2623366834164891</v>
      </c>
      <c r="R422" s="6"/>
    </row>
    <row r="423" spans="1:18" x14ac:dyDescent="0.15">
      <c r="C423" t="s">
        <v>15</v>
      </c>
      <c r="D423">
        <v>15.075376884422001</v>
      </c>
      <c r="E423">
        <v>1000</v>
      </c>
      <c r="F423" t="s">
        <v>13</v>
      </c>
      <c r="G423">
        <v>3</v>
      </c>
      <c r="H423">
        <v>0</v>
      </c>
      <c r="I423" t="s">
        <v>488</v>
      </c>
      <c r="J423" t="s">
        <v>1234</v>
      </c>
      <c r="K423" t="s">
        <v>1235</v>
      </c>
      <c r="M423" t="s">
        <v>487</v>
      </c>
      <c r="N423">
        <v>0</v>
      </c>
      <c r="O423" t="s">
        <v>1241</v>
      </c>
      <c r="P423">
        <v>7.9819999999999988E-2</v>
      </c>
      <c r="Q423">
        <v>1.2394160804020009</v>
      </c>
      <c r="R423" s="6"/>
    </row>
    <row r="424" spans="1:18" x14ac:dyDescent="0.15">
      <c r="C424" t="s">
        <v>23</v>
      </c>
      <c r="D424">
        <v>37.688442211055005</v>
      </c>
      <c r="E424">
        <v>1000</v>
      </c>
      <c r="F424" t="s">
        <v>13</v>
      </c>
      <c r="G424">
        <v>3</v>
      </c>
      <c r="H424">
        <v>0</v>
      </c>
      <c r="I424" t="s">
        <v>488</v>
      </c>
      <c r="J424" t="s">
        <v>1234</v>
      </c>
      <c r="K424" t="s">
        <v>1235</v>
      </c>
      <c r="M424" t="s">
        <v>487</v>
      </c>
      <c r="N424">
        <v>0</v>
      </c>
      <c r="O424" t="s">
        <v>1241</v>
      </c>
      <c r="P424">
        <v>2.3609999999999999E-2</v>
      </c>
      <c r="Q424">
        <v>0.91651884422109886</v>
      </c>
      <c r="R424" s="6"/>
    </row>
    <row r="425" spans="1:18" x14ac:dyDescent="0.15">
      <c r="C425" t="s">
        <v>24</v>
      </c>
      <c r="D425">
        <v>15.075376884422001</v>
      </c>
      <c r="E425">
        <v>1000</v>
      </c>
      <c r="F425" t="s">
        <v>13</v>
      </c>
      <c r="G425">
        <v>3</v>
      </c>
      <c r="H425">
        <v>0</v>
      </c>
      <c r="I425" t="s">
        <v>488</v>
      </c>
      <c r="J425" t="s">
        <v>1234</v>
      </c>
      <c r="K425" t="s">
        <v>1235</v>
      </c>
      <c r="M425" t="s">
        <v>487</v>
      </c>
      <c r="N425">
        <v>0</v>
      </c>
      <c r="O425" t="s">
        <v>1241</v>
      </c>
      <c r="P425">
        <v>2.8500000000000001E-2</v>
      </c>
      <c r="Q425">
        <v>0.44253768844220787</v>
      </c>
      <c r="R425" s="6"/>
    </row>
    <row r="426" spans="1:18" x14ac:dyDescent="0.15">
      <c r="C426" t="s">
        <v>17</v>
      </c>
      <c r="D426">
        <v>6.1728395061730001</v>
      </c>
      <c r="E426">
        <v>1000</v>
      </c>
      <c r="F426" t="s">
        <v>18</v>
      </c>
      <c r="G426">
        <v>0</v>
      </c>
      <c r="H426">
        <v>0</v>
      </c>
      <c r="I426" t="s">
        <v>488</v>
      </c>
      <c r="J426" t="s">
        <v>1234</v>
      </c>
      <c r="K426" t="s">
        <v>1235</v>
      </c>
      <c r="M426" t="s">
        <v>487</v>
      </c>
      <c r="N426">
        <v>0</v>
      </c>
      <c r="O426" t="s">
        <v>1241</v>
      </c>
      <c r="P426">
        <v>53.85</v>
      </c>
      <c r="Q426">
        <v>332.40740740741609</v>
      </c>
      <c r="R426" s="6"/>
    </row>
    <row r="427" spans="1:18" x14ac:dyDescent="0.15">
      <c r="C427" t="s">
        <v>19</v>
      </c>
      <c r="D427">
        <v>4</v>
      </c>
      <c r="E427">
        <v>1</v>
      </c>
      <c r="F427" t="s">
        <v>18</v>
      </c>
      <c r="G427">
        <v>0</v>
      </c>
      <c r="H427">
        <v>0</v>
      </c>
      <c r="I427" t="s">
        <v>488</v>
      </c>
      <c r="J427" t="s">
        <v>1236</v>
      </c>
      <c r="K427" t="s">
        <v>1235</v>
      </c>
      <c r="M427" t="s">
        <v>487</v>
      </c>
      <c r="N427">
        <v>0</v>
      </c>
      <c r="O427" t="s">
        <v>1241</v>
      </c>
      <c r="P427">
        <v>34.65</v>
      </c>
      <c r="Q427">
        <v>138.6</v>
      </c>
      <c r="R427" s="6"/>
    </row>
    <row r="428" spans="1:18" x14ac:dyDescent="0.15">
      <c r="A428" t="s">
        <v>135</v>
      </c>
      <c r="B428" t="s">
        <v>479</v>
      </c>
      <c r="P428">
        <v>0.50066175120987388</v>
      </c>
      <c r="R428" s="6"/>
    </row>
    <row r="429" spans="1:18" x14ac:dyDescent="0.15">
      <c r="C429" t="s">
        <v>136</v>
      </c>
      <c r="D429">
        <v>1</v>
      </c>
      <c r="E429">
        <v>1</v>
      </c>
      <c r="F429" t="s">
        <v>9</v>
      </c>
      <c r="G429">
        <v>0</v>
      </c>
      <c r="H429">
        <v>0</v>
      </c>
      <c r="I429" t="s">
        <v>488</v>
      </c>
      <c r="J429" t="s">
        <v>1234</v>
      </c>
      <c r="K429" t="s">
        <v>1235</v>
      </c>
      <c r="M429" t="s">
        <v>487</v>
      </c>
      <c r="N429">
        <v>0</v>
      </c>
      <c r="O429" t="s">
        <v>1241</v>
      </c>
      <c r="P429">
        <v>0.50066175120987388</v>
      </c>
      <c r="Q429">
        <v>0.50066175120987388</v>
      </c>
      <c r="R429" s="6"/>
    </row>
    <row r="430" spans="1:18" x14ac:dyDescent="0.15">
      <c r="A430" t="s">
        <v>137</v>
      </c>
      <c r="B430" t="s">
        <v>479</v>
      </c>
      <c r="P430">
        <v>1.0013235024197478</v>
      </c>
      <c r="R430" s="6"/>
    </row>
    <row r="431" spans="1:18" x14ac:dyDescent="0.15">
      <c r="C431" t="s">
        <v>136</v>
      </c>
      <c r="D431">
        <v>2</v>
      </c>
      <c r="E431">
        <v>1</v>
      </c>
      <c r="F431" t="s">
        <v>9</v>
      </c>
      <c r="G431">
        <v>0</v>
      </c>
      <c r="H431">
        <v>0</v>
      </c>
      <c r="I431" t="s">
        <v>488</v>
      </c>
      <c r="J431" t="s">
        <v>1234</v>
      </c>
      <c r="K431" t="s">
        <v>1235</v>
      </c>
      <c r="M431" t="s">
        <v>487</v>
      </c>
      <c r="N431">
        <v>0</v>
      </c>
      <c r="O431" t="s">
        <v>1241</v>
      </c>
      <c r="P431">
        <v>0.50066175120987388</v>
      </c>
      <c r="Q431">
        <v>1.0013235024197478</v>
      </c>
      <c r="R431" s="6"/>
    </row>
    <row r="432" spans="1:18" x14ac:dyDescent="0.15">
      <c r="A432" t="s">
        <v>138</v>
      </c>
      <c r="B432" t="s">
        <v>479</v>
      </c>
      <c r="P432">
        <v>0.25033087560493694</v>
      </c>
      <c r="R432" s="6"/>
    </row>
    <row r="433" spans="1:18" x14ac:dyDescent="0.15">
      <c r="C433" t="s">
        <v>136</v>
      </c>
      <c r="D433">
        <v>500</v>
      </c>
      <c r="E433">
        <v>1000</v>
      </c>
      <c r="F433" t="s">
        <v>9</v>
      </c>
      <c r="G433">
        <v>0</v>
      </c>
      <c r="H433">
        <v>0</v>
      </c>
      <c r="I433" t="s">
        <v>488</v>
      </c>
      <c r="J433" t="s">
        <v>1234</v>
      </c>
      <c r="K433" t="s">
        <v>1235</v>
      </c>
      <c r="M433" t="s">
        <v>487</v>
      </c>
      <c r="N433">
        <v>0</v>
      </c>
      <c r="O433" t="s">
        <v>1241</v>
      </c>
      <c r="P433">
        <v>0.50066175120987388</v>
      </c>
      <c r="Q433">
        <v>250.33087560493695</v>
      </c>
      <c r="R433" s="6"/>
    </row>
    <row r="434" spans="1:18" x14ac:dyDescent="0.15">
      <c r="A434" t="s">
        <v>136</v>
      </c>
      <c r="B434" t="s">
        <v>9</v>
      </c>
      <c r="P434">
        <v>0.50066175120987388</v>
      </c>
      <c r="R434" s="6"/>
    </row>
    <row r="435" spans="1:18" x14ac:dyDescent="0.15">
      <c r="C435" t="s">
        <v>33</v>
      </c>
      <c r="D435">
        <v>6</v>
      </c>
      <c r="E435">
        <v>1</v>
      </c>
      <c r="F435" t="s">
        <v>9</v>
      </c>
      <c r="G435">
        <v>3</v>
      </c>
      <c r="H435">
        <v>0</v>
      </c>
      <c r="I435" t="s">
        <v>488</v>
      </c>
      <c r="J435" t="s">
        <v>1234</v>
      </c>
      <c r="K435" t="s">
        <v>1235</v>
      </c>
      <c r="M435" t="s">
        <v>487</v>
      </c>
      <c r="N435">
        <v>0</v>
      </c>
      <c r="O435" t="s">
        <v>1241</v>
      </c>
      <c r="P435">
        <v>0</v>
      </c>
      <c r="Q435">
        <v>0</v>
      </c>
      <c r="R435" s="9" t="s">
        <v>1246</v>
      </c>
    </row>
    <row r="436" spans="1:18" x14ac:dyDescent="0.15">
      <c r="C436" t="s">
        <v>12</v>
      </c>
      <c r="D436">
        <v>0.814070351759</v>
      </c>
      <c r="E436">
        <v>1</v>
      </c>
      <c r="F436" t="s">
        <v>13</v>
      </c>
      <c r="G436">
        <v>3</v>
      </c>
      <c r="H436">
        <v>0</v>
      </c>
      <c r="I436" t="s">
        <v>488</v>
      </c>
      <c r="J436" t="s">
        <v>1234</v>
      </c>
      <c r="K436" t="s">
        <v>1235</v>
      </c>
      <c r="M436" t="s">
        <v>487</v>
      </c>
      <c r="N436">
        <v>0</v>
      </c>
      <c r="O436" t="s">
        <v>1241</v>
      </c>
      <c r="P436">
        <v>1.03E-2</v>
      </c>
      <c r="Q436">
        <v>8.6364723618112311</v>
      </c>
      <c r="R436" s="6"/>
    </row>
    <row r="437" spans="1:18" x14ac:dyDescent="0.15">
      <c r="C437" t="s">
        <v>14</v>
      </c>
      <c r="D437">
        <v>0.90452261306500004</v>
      </c>
      <c r="E437">
        <v>1</v>
      </c>
      <c r="F437" t="s">
        <v>13</v>
      </c>
      <c r="G437">
        <v>3</v>
      </c>
      <c r="H437">
        <v>0</v>
      </c>
      <c r="I437" t="s">
        <v>488</v>
      </c>
      <c r="J437" t="s">
        <v>1234</v>
      </c>
      <c r="K437" t="s">
        <v>1235</v>
      </c>
      <c r="M437" t="s">
        <v>487</v>
      </c>
      <c r="N437">
        <v>0</v>
      </c>
      <c r="O437" t="s">
        <v>1241</v>
      </c>
      <c r="P437">
        <v>5.4900000000000001E-3</v>
      </c>
      <c r="Q437">
        <v>5.1148040200986555</v>
      </c>
      <c r="R437" s="6"/>
    </row>
    <row r="438" spans="1:18" x14ac:dyDescent="0.15">
      <c r="C438" t="s">
        <v>15</v>
      </c>
      <c r="D438">
        <v>18.090452261307</v>
      </c>
      <c r="E438">
        <v>1000</v>
      </c>
      <c r="F438" t="s">
        <v>13</v>
      </c>
      <c r="G438">
        <v>3</v>
      </c>
      <c r="H438">
        <v>0</v>
      </c>
      <c r="I438" t="s">
        <v>488</v>
      </c>
      <c r="J438" t="s">
        <v>1234</v>
      </c>
      <c r="K438" t="s">
        <v>1235</v>
      </c>
      <c r="M438" t="s">
        <v>487</v>
      </c>
      <c r="N438">
        <v>0</v>
      </c>
      <c r="O438" t="s">
        <v>1241</v>
      </c>
      <c r="P438">
        <v>7.9819999999999988E-2</v>
      </c>
      <c r="Q438">
        <v>1.4872992964824503</v>
      </c>
      <c r="R438" s="6"/>
    </row>
    <row r="439" spans="1:18" x14ac:dyDescent="0.15">
      <c r="C439" t="s">
        <v>23</v>
      </c>
      <c r="D439">
        <v>45.226130653265997</v>
      </c>
      <c r="E439">
        <v>1000</v>
      </c>
      <c r="F439" t="s">
        <v>13</v>
      </c>
      <c r="G439">
        <v>3</v>
      </c>
      <c r="H439">
        <v>0</v>
      </c>
      <c r="I439" t="s">
        <v>488</v>
      </c>
      <c r="J439" t="s">
        <v>1234</v>
      </c>
      <c r="K439" t="s">
        <v>1235</v>
      </c>
      <c r="M439" t="s">
        <v>487</v>
      </c>
      <c r="N439">
        <v>0</v>
      </c>
      <c r="O439" t="s">
        <v>1241</v>
      </c>
      <c r="P439">
        <v>2.3609999999999999E-2</v>
      </c>
      <c r="Q439">
        <v>1.0998226130653184</v>
      </c>
      <c r="R439" s="6"/>
    </row>
    <row r="440" spans="1:18" x14ac:dyDescent="0.15">
      <c r="C440" t="s">
        <v>24</v>
      </c>
      <c r="D440">
        <v>18.090452261307</v>
      </c>
      <c r="E440">
        <v>1000</v>
      </c>
      <c r="F440" t="s">
        <v>13</v>
      </c>
      <c r="G440">
        <v>3</v>
      </c>
      <c r="H440">
        <v>0</v>
      </c>
      <c r="I440" t="s">
        <v>488</v>
      </c>
      <c r="J440" t="s">
        <v>1234</v>
      </c>
      <c r="K440" t="s">
        <v>1235</v>
      </c>
      <c r="M440" t="s">
        <v>487</v>
      </c>
      <c r="N440">
        <v>0</v>
      </c>
      <c r="O440" t="s">
        <v>1241</v>
      </c>
      <c r="P440">
        <v>2.8500000000000001E-2</v>
      </c>
      <c r="Q440">
        <v>0.53104522613066707</v>
      </c>
      <c r="R440" s="6"/>
    </row>
    <row r="441" spans="1:18" x14ac:dyDescent="0.15">
      <c r="C441" t="s">
        <v>17</v>
      </c>
      <c r="D441">
        <v>6.4102564102559993</v>
      </c>
      <c r="E441">
        <v>1000</v>
      </c>
      <c r="F441" t="s">
        <v>18</v>
      </c>
      <c r="G441">
        <v>0</v>
      </c>
      <c r="H441">
        <v>0</v>
      </c>
      <c r="I441" t="s">
        <v>488</v>
      </c>
      <c r="J441" t="s">
        <v>1234</v>
      </c>
      <c r="K441" t="s">
        <v>1235</v>
      </c>
      <c r="M441" t="s">
        <v>487</v>
      </c>
      <c r="N441">
        <v>0</v>
      </c>
      <c r="O441" t="s">
        <v>1241</v>
      </c>
      <c r="P441">
        <v>53.85</v>
      </c>
      <c r="Q441">
        <v>345.19230769228557</v>
      </c>
      <c r="R441" s="6"/>
    </row>
    <row r="442" spans="1:18" x14ac:dyDescent="0.15">
      <c r="C442" t="s">
        <v>19</v>
      </c>
      <c r="D442">
        <v>4</v>
      </c>
      <c r="E442">
        <v>1</v>
      </c>
      <c r="F442" t="s">
        <v>18</v>
      </c>
      <c r="G442">
        <v>0</v>
      </c>
      <c r="H442">
        <v>0</v>
      </c>
      <c r="I442" t="s">
        <v>488</v>
      </c>
      <c r="J442" t="s">
        <v>1236</v>
      </c>
      <c r="K442" t="s">
        <v>1235</v>
      </c>
      <c r="M442" t="s">
        <v>487</v>
      </c>
      <c r="N442">
        <v>0</v>
      </c>
      <c r="O442" t="s">
        <v>1241</v>
      </c>
      <c r="P442">
        <v>34.65</v>
      </c>
      <c r="Q442">
        <v>138.6</v>
      </c>
      <c r="R442" s="6"/>
    </row>
    <row r="443" spans="1:18" x14ac:dyDescent="0.15">
      <c r="A443" t="s">
        <v>139</v>
      </c>
      <c r="B443" t="s">
        <v>479</v>
      </c>
      <c r="P443">
        <v>0.53865790002292802</v>
      </c>
      <c r="R443" s="6"/>
    </row>
    <row r="444" spans="1:18" x14ac:dyDescent="0.15">
      <c r="C444" t="s">
        <v>140</v>
      </c>
      <c r="D444">
        <v>1</v>
      </c>
      <c r="E444">
        <v>1</v>
      </c>
      <c r="F444" t="s">
        <v>9</v>
      </c>
      <c r="G444">
        <v>0</v>
      </c>
      <c r="H444">
        <v>0</v>
      </c>
      <c r="I444" t="s">
        <v>488</v>
      </c>
      <c r="J444" t="s">
        <v>1234</v>
      </c>
      <c r="K444" t="s">
        <v>1235</v>
      </c>
      <c r="M444" t="s">
        <v>487</v>
      </c>
      <c r="N444">
        <v>0</v>
      </c>
      <c r="O444" t="s">
        <v>1241</v>
      </c>
      <c r="P444">
        <v>0.53865790002292802</v>
      </c>
      <c r="Q444">
        <v>0.53865790002292802</v>
      </c>
      <c r="R444" s="6"/>
    </row>
    <row r="445" spans="1:18" x14ac:dyDescent="0.15">
      <c r="A445" t="s">
        <v>141</v>
      </c>
      <c r="B445" t="s">
        <v>479</v>
      </c>
      <c r="P445">
        <v>1.077315800045856</v>
      </c>
      <c r="R445" s="6"/>
    </row>
    <row r="446" spans="1:18" x14ac:dyDescent="0.15">
      <c r="C446" t="s">
        <v>140</v>
      </c>
      <c r="D446">
        <v>2</v>
      </c>
      <c r="E446">
        <v>1</v>
      </c>
      <c r="F446" t="s">
        <v>9</v>
      </c>
      <c r="G446">
        <v>0</v>
      </c>
      <c r="H446">
        <v>0</v>
      </c>
      <c r="I446" t="s">
        <v>488</v>
      </c>
      <c r="J446" t="s">
        <v>1234</v>
      </c>
      <c r="K446" t="s">
        <v>1235</v>
      </c>
      <c r="M446" t="s">
        <v>487</v>
      </c>
      <c r="N446">
        <v>0</v>
      </c>
      <c r="O446" t="s">
        <v>1241</v>
      </c>
      <c r="P446">
        <v>0.53865790002292802</v>
      </c>
      <c r="Q446">
        <v>1.077315800045856</v>
      </c>
      <c r="R446" s="6"/>
    </row>
    <row r="447" spans="1:18" x14ac:dyDescent="0.15">
      <c r="A447" t="s">
        <v>140</v>
      </c>
      <c r="B447" t="s">
        <v>9</v>
      </c>
      <c r="P447">
        <v>0.53865790002292802</v>
      </c>
      <c r="R447" s="6"/>
    </row>
    <row r="448" spans="1:18" x14ac:dyDescent="0.15">
      <c r="C448" t="s">
        <v>29</v>
      </c>
      <c r="D448">
        <v>7</v>
      </c>
      <c r="E448">
        <v>1</v>
      </c>
      <c r="F448" t="s">
        <v>9</v>
      </c>
      <c r="G448">
        <v>3</v>
      </c>
      <c r="H448">
        <v>0</v>
      </c>
      <c r="I448" t="s">
        <v>488</v>
      </c>
      <c r="J448" t="s">
        <v>1234</v>
      </c>
      <c r="K448" t="s">
        <v>1235</v>
      </c>
      <c r="M448" t="s">
        <v>487</v>
      </c>
      <c r="N448">
        <v>0</v>
      </c>
      <c r="O448" t="s">
        <v>1241</v>
      </c>
      <c r="P448">
        <v>0</v>
      </c>
      <c r="Q448">
        <v>0</v>
      </c>
      <c r="R448" s="9" t="s">
        <v>1246</v>
      </c>
    </row>
    <row r="449" spans="1:18" x14ac:dyDescent="0.15">
      <c r="C449" t="s">
        <v>12</v>
      </c>
      <c r="D449">
        <v>0.474874371859</v>
      </c>
      <c r="E449">
        <v>1</v>
      </c>
      <c r="F449" t="s">
        <v>13</v>
      </c>
      <c r="G449">
        <v>3</v>
      </c>
      <c r="H449">
        <v>0</v>
      </c>
      <c r="I449" t="s">
        <v>488</v>
      </c>
      <c r="J449" t="s">
        <v>1234</v>
      </c>
      <c r="K449" t="s">
        <v>1235</v>
      </c>
      <c r="M449" t="s">
        <v>487</v>
      </c>
      <c r="N449">
        <v>0</v>
      </c>
      <c r="O449" t="s">
        <v>1241</v>
      </c>
      <c r="P449">
        <v>1.03E-2</v>
      </c>
      <c r="Q449">
        <v>5.0379422110521306</v>
      </c>
      <c r="R449" s="6"/>
    </row>
    <row r="450" spans="1:18" x14ac:dyDescent="0.15">
      <c r="C450" t="s">
        <v>14</v>
      </c>
      <c r="D450">
        <v>0.52763819095499997</v>
      </c>
      <c r="E450">
        <v>1</v>
      </c>
      <c r="F450" t="s">
        <v>13</v>
      </c>
      <c r="G450">
        <v>3</v>
      </c>
      <c r="H450">
        <v>0</v>
      </c>
      <c r="I450" t="s">
        <v>488</v>
      </c>
      <c r="J450" t="s">
        <v>1234</v>
      </c>
      <c r="K450" t="s">
        <v>1235</v>
      </c>
      <c r="M450" t="s">
        <v>487</v>
      </c>
      <c r="N450">
        <v>0</v>
      </c>
      <c r="O450" t="s">
        <v>1241</v>
      </c>
      <c r="P450">
        <v>5.4900000000000001E-3</v>
      </c>
      <c r="Q450">
        <v>2.9836356783932381</v>
      </c>
      <c r="R450" s="6"/>
    </row>
    <row r="451" spans="1:18" x14ac:dyDescent="0.15">
      <c r="C451" t="s">
        <v>15</v>
      </c>
      <c r="D451">
        <v>10.552763819096</v>
      </c>
      <c r="E451">
        <v>1000</v>
      </c>
      <c r="F451" t="s">
        <v>13</v>
      </c>
      <c r="G451">
        <v>3</v>
      </c>
      <c r="H451">
        <v>0</v>
      </c>
      <c r="I451" t="s">
        <v>488</v>
      </c>
      <c r="J451" t="s">
        <v>1234</v>
      </c>
      <c r="K451" t="s">
        <v>1235</v>
      </c>
      <c r="M451" t="s">
        <v>487</v>
      </c>
      <c r="N451">
        <v>0</v>
      </c>
      <c r="O451" t="s">
        <v>1241</v>
      </c>
      <c r="P451">
        <v>7.9819999999999988E-2</v>
      </c>
      <c r="Q451">
        <v>0.86759125628144995</v>
      </c>
      <c r="R451" s="6"/>
    </row>
    <row r="452" spans="1:18" x14ac:dyDescent="0.15">
      <c r="C452" t="s">
        <v>23</v>
      </c>
      <c r="D452">
        <v>26.381909547738999</v>
      </c>
      <c r="E452">
        <v>1000</v>
      </c>
      <c r="F452" t="s">
        <v>13</v>
      </c>
      <c r="G452">
        <v>3</v>
      </c>
      <c r="H452">
        <v>0</v>
      </c>
      <c r="I452" t="s">
        <v>488</v>
      </c>
      <c r="J452" t="s">
        <v>1234</v>
      </c>
      <c r="K452" t="s">
        <v>1235</v>
      </c>
      <c r="M452" t="s">
        <v>487</v>
      </c>
      <c r="N452">
        <v>0</v>
      </c>
      <c r="O452" t="s">
        <v>1241</v>
      </c>
      <c r="P452">
        <v>2.3609999999999999E-2</v>
      </c>
      <c r="Q452">
        <v>0.64156319095478131</v>
      </c>
      <c r="R452" s="6"/>
    </row>
    <row r="453" spans="1:18" x14ac:dyDescent="0.15">
      <c r="C453" t="s">
        <v>24</v>
      </c>
      <c r="D453">
        <v>10.552763819096</v>
      </c>
      <c r="E453">
        <v>1000</v>
      </c>
      <c r="F453" t="s">
        <v>13</v>
      </c>
      <c r="G453">
        <v>3</v>
      </c>
      <c r="H453">
        <v>0</v>
      </c>
      <c r="I453" t="s">
        <v>488</v>
      </c>
      <c r="J453" t="s">
        <v>1234</v>
      </c>
      <c r="K453" t="s">
        <v>1235</v>
      </c>
      <c r="M453" t="s">
        <v>487</v>
      </c>
      <c r="N453">
        <v>0</v>
      </c>
      <c r="O453" t="s">
        <v>1241</v>
      </c>
      <c r="P453">
        <v>2.8500000000000001E-2</v>
      </c>
      <c r="Q453">
        <v>0.30977638190956308</v>
      </c>
      <c r="R453" s="6"/>
    </row>
    <row r="454" spans="1:18" x14ac:dyDescent="0.15">
      <c r="C454" t="s">
        <v>17</v>
      </c>
      <c r="D454">
        <v>7.2463768115939997</v>
      </c>
      <c r="E454">
        <v>1000</v>
      </c>
      <c r="F454" t="s">
        <v>18</v>
      </c>
      <c r="G454">
        <v>0</v>
      </c>
      <c r="H454">
        <v>0</v>
      </c>
      <c r="I454" t="s">
        <v>488</v>
      </c>
      <c r="J454" t="s">
        <v>1234</v>
      </c>
      <c r="K454" t="s">
        <v>1235</v>
      </c>
      <c r="M454" t="s">
        <v>487</v>
      </c>
      <c r="N454">
        <v>0</v>
      </c>
      <c r="O454" t="s">
        <v>1241</v>
      </c>
      <c r="P454">
        <v>53.85</v>
      </c>
      <c r="Q454">
        <v>390.2173913043369</v>
      </c>
      <c r="R454" s="6"/>
    </row>
    <row r="455" spans="1:18" x14ac:dyDescent="0.15">
      <c r="C455" t="s">
        <v>19</v>
      </c>
      <c r="D455">
        <v>4</v>
      </c>
      <c r="E455">
        <v>1</v>
      </c>
      <c r="F455" t="s">
        <v>18</v>
      </c>
      <c r="G455">
        <v>0</v>
      </c>
      <c r="H455">
        <v>0</v>
      </c>
      <c r="I455" t="s">
        <v>488</v>
      </c>
      <c r="J455" t="s">
        <v>1236</v>
      </c>
      <c r="K455" t="s">
        <v>1235</v>
      </c>
      <c r="M455" t="s">
        <v>487</v>
      </c>
      <c r="N455">
        <v>0</v>
      </c>
      <c r="O455" t="s">
        <v>1241</v>
      </c>
      <c r="P455">
        <v>34.65</v>
      </c>
      <c r="Q455">
        <v>138.6</v>
      </c>
      <c r="R455" s="6"/>
    </row>
    <row r="456" spans="1:18" x14ac:dyDescent="0.15">
      <c r="A456" t="s">
        <v>142</v>
      </c>
      <c r="B456" t="s">
        <v>479</v>
      </c>
      <c r="P456">
        <v>0.53670038138958909</v>
      </c>
      <c r="R456" s="6"/>
    </row>
    <row r="457" spans="1:18" x14ac:dyDescent="0.15">
      <c r="C457" t="s">
        <v>143</v>
      </c>
      <c r="D457">
        <v>1</v>
      </c>
      <c r="E457">
        <v>1</v>
      </c>
      <c r="F457" t="s">
        <v>9</v>
      </c>
      <c r="G457">
        <v>0</v>
      </c>
      <c r="H457">
        <v>0</v>
      </c>
      <c r="I457" t="s">
        <v>488</v>
      </c>
      <c r="J457" t="s">
        <v>1234</v>
      </c>
      <c r="K457" t="s">
        <v>1235</v>
      </c>
      <c r="M457" t="s">
        <v>487</v>
      </c>
      <c r="N457">
        <v>0</v>
      </c>
      <c r="O457" t="s">
        <v>1241</v>
      </c>
      <c r="P457">
        <v>0.53670038138958909</v>
      </c>
      <c r="Q457">
        <v>0.53670038138958909</v>
      </c>
      <c r="R457" s="6"/>
    </row>
    <row r="458" spans="1:18" x14ac:dyDescent="0.15">
      <c r="A458" t="s">
        <v>144</v>
      </c>
      <c r="B458" t="s">
        <v>479</v>
      </c>
      <c r="P458">
        <v>1.0734007627791782</v>
      </c>
      <c r="R458" s="6"/>
    </row>
    <row r="459" spans="1:18" x14ac:dyDescent="0.15">
      <c r="C459" t="s">
        <v>143</v>
      </c>
      <c r="D459">
        <v>2</v>
      </c>
      <c r="E459">
        <v>1</v>
      </c>
      <c r="F459" t="s">
        <v>9</v>
      </c>
      <c r="G459">
        <v>0</v>
      </c>
      <c r="H459">
        <v>0</v>
      </c>
      <c r="I459" t="s">
        <v>488</v>
      </c>
      <c r="J459" t="s">
        <v>1234</v>
      </c>
      <c r="K459" t="s">
        <v>1235</v>
      </c>
      <c r="M459" t="s">
        <v>487</v>
      </c>
      <c r="N459">
        <v>0</v>
      </c>
      <c r="O459" t="s">
        <v>1241</v>
      </c>
      <c r="P459">
        <v>0.53670038138958909</v>
      </c>
      <c r="Q459">
        <v>1.0734007627791782</v>
      </c>
      <c r="R459" s="6"/>
    </row>
    <row r="460" spans="1:18" x14ac:dyDescent="0.15">
      <c r="A460" t="s">
        <v>145</v>
      </c>
      <c r="B460" t="s">
        <v>479</v>
      </c>
      <c r="P460">
        <v>2.1468015255583563</v>
      </c>
      <c r="R460" s="6"/>
    </row>
    <row r="461" spans="1:18" x14ac:dyDescent="0.15">
      <c r="C461" t="s">
        <v>143</v>
      </c>
      <c r="D461">
        <v>4</v>
      </c>
      <c r="E461">
        <v>1</v>
      </c>
      <c r="F461" t="s">
        <v>9</v>
      </c>
      <c r="G461">
        <v>0</v>
      </c>
      <c r="H461">
        <v>0</v>
      </c>
      <c r="I461" t="s">
        <v>488</v>
      </c>
      <c r="J461" t="s">
        <v>1234</v>
      </c>
      <c r="K461" t="s">
        <v>1235</v>
      </c>
      <c r="M461" t="s">
        <v>487</v>
      </c>
      <c r="N461">
        <v>0</v>
      </c>
      <c r="O461" t="s">
        <v>1241</v>
      </c>
      <c r="P461">
        <v>0.53670038138958909</v>
      </c>
      <c r="Q461">
        <v>2.1468015255583563</v>
      </c>
      <c r="R461" s="6"/>
    </row>
    <row r="462" spans="1:18" x14ac:dyDescent="0.15">
      <c r="A462" t="s">
        <v>146</v>
      </c>
      <c r="B462" t="s">
        <v>479</v>
      </c>
      <c r="P462">
        <v>0.26835019069479454</v>
      </c>
      <c r="R462" s="6"/>
    </row>
    <row r="463" spans="1:18" x14ac:dyDescent="0.15">
      <c r="C463" t="s">
        <v>143</v>
      </c>
      <c r="D463">
        <v>500</v>
      </c>
      <c r="E463">
        <v>1000</v>
      </c>
      <c r="F463" t="s">
        <v>9</v>
      </c>
      <c r="G463">
        <v>0</v>
      </c>
      <c r="H463">
        <v>0</v>
      </c>
      <c r="I463" t="s">
        <v>488</v>
      </c>
      <c r="J463" t="s">
        <v>1234</v>
      </c>
      <c r="K463" t="s">
        <v>1235</v>
      </c>
      <c r="M463" t="s">
        <v>487</v>
      </c>
      <c r="N463">
        <v>0</v>
      </c>
      <c r="O463" t="s">
        <v>1241</v>
      </c>
      <c r="P463">
        <v>0.53670038138958909</v>
      </c>
      <c r="Q463">
        <v>268.35019069479455</v>
      </c>
      <c r="R463" s="6"/>
    </row>
    <row r="464" spans="1:18" x14ac:dyDescent="0.15">
      <c r="A464" t="s">
        <v>143</v>
      </c>
      <c r="B464" t="s">
        <v>9</v>
      </c>
      <c r="P464">
        <v>0.53670038138958909</v>
      </c>
      <c r="R464" s="6"/>
    </row>
    <row r="465" spans="1:18" x14ac:dyDescent="0.15">
      <c r="C465" t="s">
        <v>33</v>
      </c>
      <c r="D465">
        <v>8</v>
      </c>
      <c r="E465">
        <v>1</v>
      </c>
      <c r="F465" t="s">
        <v>9</v>
      </c>
      <c r="G465">
        <v>3</v>
      </c>
      <c r="H465">
        <v>0</v>
      </c>
      <c r="I465" t="s">
        <v>488</v>
      </c>
      <c r="J465" t="s">
        <v>1234</v>
      </c>
      <c r="K465" t="s">
        <v>1235</v>
      </c>
      <c r="M465" t="s">
        <v>487</v>
      </c>
      <c r="N465">
        <v>0</v>
      </c>
      <c r="O465" t="s">
        <v>1241</v>
      </c>
      <c r="P465">
        <v>0</v>
      </c>
      <c r="Q465">
        <v>0</v>
      </c>
      <c r="R465" s="9" t="s">
        <v>1246</v>
      </c>
    </row>
    <row r="466" spans="1:18" x14ac:dyDescent="0.15">
      <c r="C466" t="s">
        <v>12</v>
      </c>
      <c r="D466">
        <v>1.165025125628</v>
      </c>
      <c r="E466">
        <v>1</v>
      </c>
      <c r="F466" t="s">
        <v>13</v>
      </c>
      <c r="G466">
        <v>3</v>
      </c>
      <c r="H466">
        <v>0</v>
      </c>
      <c r="I466" t="s">
        <v>488</v>
      </c>
      <c r="J466" t="s">
        <v>1234</v>
      </c>
      <c r="K466" t="s">
        <v>1235</v>
      </c>
      <c r="M466" t="s">
        <v>487</v>
      </c>
      <c r="N466">
        <v>0</v>
      </c>
      <c r="O466" t="s">
        <v>1241</v>
      </c>
      <c r="P466">
        <v>1.03E-2</v>
      </c>
      <c r="Q466">
        <v>12.359751557787451</v>
      </c>
      <c r="R466" s="6"/>
    </row>
    <row r="467" spans="1:18" x14ac:dyDescent="0.15">
      <c r="C467" t="s">
        <v>14</v>
      </c>
      <c r="D467">
        <v>1.2944723618089999</v>
      </c>
      <c r="E467">
        <v>1</v>
      </c>
      <c r="F467" t="s">
        <v>13</v>
      </c>
      <c r="G467">
        <v>3</v>
      </c>
      <c r="H467">
        <v>0</v>
      </c>
      <c r="I467" t="s">
        <v>488</v>
      </c>
      <c r="J467" t="s">
        <v>1234</v>
      </c>
      <c r="K467" t="s">
        <v>1235</v>
      </c>
      <c r="M467" t="s">
        <v>487</v>
      </c>
      <c r="N467">
        <v>0</v>
      </c>
      <c r="O467" t="s">
        <v>1241</v>
      </c>
      <c r="P467">
        <v>5.4900000000000001E-3</v>
      </c>
      <c r="Q467">
        <v>7.3198528643213523</v>
      </c>
      <c r="R467" s="6"/>
    </row>
    <row r="468" spans="1:18" x14ac:dyDescent="0.15">
      <c r="C468" t="s">
        <v>15</v>
      </c>
      <c r="D468">
        <v>25.889447236180999</v>
      </c>
      <c r="E468">
        <v>1000</v>
      </c>
      <c r="F468" t="s">
        <v>13</v>
      </c>
      <c r="G468">
        <v>3</v>
      </c>
      <c r="H468">
        <v>0</v>
      </c>
      <c r="I468" t="s">
        <v>488</v>
      </c>
      <c r="J468" t="s">
        <v>1234</v>
      </c>
      <c r="K468" t="s">
        <v>1235</v>
      </c>
      <c r="M468" t="s">
        <v>487</v>
      </c>
      <c r="N468">
        <v>0</v>
      </c>
      <c r="O468" t="s">
        <v>1241</v>
      </c>
      <c r="P468">
        <v>7.9819999999999988E-2</v>
      </c>
      <c r="Q468">
        <v>2.1284905487437258</v>
      </c>
      <c r="R468" s="6"/>
    </row>
    <row r="469" spans="1:18" x14ac:dyDescent="0.15">
      <c r="C469" t="s">
        <v>23</v>
      </c>
      <c r="D469">
        <v>64.723618090452007</v>
      </c>
      <c r="E469">
        <v>1000</v>
      </c>
      <c r="F469" t="s">
        <v>13</v>
      </c>
      <c r="G469">
        <v>3</v>
      </c>
      <c r="H469">
        <v>0</v>
      </c>
      <c r="I469" t="s">
        <v>488</v>
      </c>
      <c r="J469" t="s">
        <v>1234</v>
      </c>
      <c r="K469" t="s">
        <v>1235</v>
      </c>
      <c r="M469" t="s">
        <v>487</v>
      </c>
      <c r="N469">
        <v>0</v>
      </c>
      <c r="O469" t="s">
        <v>1241</v>
      </c>
      <c r="P469">
        <v>2.3609999999999999E-2</v>
      </c>
      <c r="Q469">
        <v>1.573968361809039</v>
      </c>
      <c r="R469" s="6"/>
    </row>
    <row r="470" spans="1:18" x14ac:dyDescent="0.15">
      <c r="C470" t="s">
        <v>24</v>
      </c>
      <c r="D470">
        <v>25.889447236180999</v>
      </c>
      <c r="E470">
        <v>1000</v>
      </c>
      <c r="F470" t="s">
        <v>13</v>
      </c>
      <c r="G470">
        <v>3</v>
      </c>
      <c r="H470">
        <v>0</v>
      </c>
      <c r="I470" t="s">
        <v>488</v>
      </c>
      <c r="J470" t="s">
        <v>1234</v>
      </c>
      <c r="K470" t="s">
        <v>1235</v>
      </c>
      <c r="M470" t="s">
        <v>487</v>
      </c>
      <c r="N470">
        <v>0</v>
      </c>
      <c r="O470" t="s">
        <v>1241</v>
      </c>
      <c r="P470">
        <v>2.8500000000000001E-2</v>
      </c>
      <c r="Q470">
        <v>0.75998472361809322</v>
      </c>
      <c r="R470" s="6"/>
    </row>
    <row r="471" spans="1:18" x14ac:dyDescent="0.15">
      <c r="C471" t="s">
        <v>17</v>
      </c>
      <c r="D471">
        <v>6.9444444444440006</v>
      </c>
      <c r="E471">
        <v>1000</v>
      </c>
      <c r="F471" t="s">
        <v>18</v>
      </c>
      <c r="G471">
        <v>0</v>
      </c>
      <c r="H471">
        <v>0</v>
      </c>
      <c r="I471" t="s">
        <v>488</v>
      </c>
      <c r="J471" t="s">
        <v>1234</v>
      </c>
      <c r="K471" t="s">
        <v>1235</v>
      </c>
      <c r="M471" t="s">
        <v>487</v>
      </c>
      <c r="N471">
        <v>0</v>
      </c>
      <c r="O471" t="s">
        <v>1241</v>
      </c>
      <c r="P471">
        <v>53.85</v>
      </c>
      <c r="Q471">
        <v>373.95833333330944</v>
      </c>
      <c r="R471" s="6"/>
    </row>
    <row r="472" spans="1:18" x14ac:dyDescent="0.15">
      <c r="C472" t="s">
        <v>19</v>
      </c>
      <c r="D472">
        <v>4</v>
      </c>
      <c r="E472">
        <v>1</v>
      </c>
      <c r="F472" t="s">
        <v>18</v>
      </c>
      <c r="G472">
        <v>0</v>
      </c>
      <c r="H472">
        <v>0</v>
      </c>
      <c r="I472" t="s">
        <v>488</v>
      </c>
      <c r="J472" t="s">
        <v>1236</v>
      </c>
      <c r="K472" t="s">
        <v>1235</v>
      </c>
      <c r="M472" t="s">
        <v>487</v>
      </c>
      <c r="N472">
        <v>0</v>
      </c>
      <c r="O472" t="s">
        <v>1241</v>
      </c>
      <c r="P472">
        <v>34.65</v>
      </c>
      <c r="Q472">
        <v>138.6</v>
      </c>
      <c r="R472" s="6"/>
    </row>
    <row r="473" spans="1:18" x14ac:dyDescent="0.15">
      <c r="A473" t="s">
        <v>147</v>
      </c>
      <c r="B473" t="s">
        <v>479</v>
      </c>
      <c r="P473">
        <v>0.55016313450793697</v>
      </c>
      <c r="R473" s="6"/>
    </row>
    <row r="474" spans="1:18" x14ac:dyDescent="0.15">
      <c r="C474" t="s">
        <v>148</v>
      </c>
      <c r="D474">
        <v>1</v>
      </c>
      <c r="E474">
        <v>1</v>
      </c>
      <c r="F474" t="s">
        <v>9</v>
      </c>
      <c r="G474">
        <v>0</v>
      </c>
      <c r="H474">
        <v>0</v>
      </c>
      <c r="I474" t="s">
        <v>488</v>
      </c>
      <c r="J474" t="s">
        <v>1234</v>
      </c>
      <c r="K474" t="s">
        <v>1235</v>
      </c>
      <c r="M474" t="s">
        <v>487</v>
      </c>
      <c r="N474">
        <v>0</v>
      </c>
      <c r="O474" t="s">
        <v>1241</v>
      </c>
      <c r="P474">
        <v>0.55016313450793697</v>
      </c>
      <c r="Q474">
        <v>0.55016313450793697</v>
      </c>
      <c r="R474" s="6"/>
    </row>
    <row r="475" spans="1:18" x14ac:dyDescent="0.15">
      <c r="A475" t="s">
        <v>149</v>
      </c>
      <c r="B475" t="s">
        <v>479</v>
      </c>
      <c r="P475">
        <v>1.1003262690158739</v>
      </c>
      <c r="R475" s="6"/>
    </row>
    <row r="476" spans="1:18" x14ac:dyDescent="0.15">
      <c r="C476" t="s">
        <v>148</v>
      </c>
      <c r="D476">
        <v>2</v>
      </c>
      <c r="E476">
        <v>1</v>
      </c>
      <c r="F476" t="s">
        <v>9</v>
      </c>
      <c r="G476">
        <v>0</v>
      </c>
      <c r="H476">
        <v>0</v>
      </c>
      <c r="I476" t="s">
        <v>488</v>
      </c>
      <c r="J476" t="s">
        <v>1234</v>
      </c>
      <c r="K476" t="s">
        <v>1235</v>
      </c>
      <c r="M476" t="s">
        <v>487</v>
      </c>
      <c r="N476">
        <v>0</v>
      </c>
      <c r="O476" t="s">
        <v>1241</v>
      </c>
      <c r="P476">
        <v>0.55016313450793697</v>
      </c>
      <c r="Q476">
        <v>1.1003262690158739</v>
      </c>
      <c r="R476" s="6"/>
    </row>
    <row r="477" spans="1:18" x14ac:dyDescent="0.15">
      <c r="A477" t="s">
        <v>150</v>
      </c>
      <c r="B477" t="s">
        <v>479</v>
      </c>
      <c r="P477">
        <v>3.3009788070476218</v>
      </c>
      <c r="R477" s="6"/>
    </row>
    <row r="478" spans="1:18" x14ac:dyDescent="0.15">
      <c r="C478" t="s">
        <v>148</v>
      </c>
      <c r="D478">
        <v>6</v>
      </c>
      <c r="E478">
        <v>1</v>
      </c>
      <c r="F478" t="s">
        <v>9</v>
      </c>
      <c r="G478">
        <v>0</v>
      </c>
      <c r="H478">
        <v>0</v>
      </c>
      <c r="I478" t="s">
        <v>488</v>
      </c>
      <c r="J478" t="s">
        <v>1234</v>
      </c>
      <c r="K478" t="s">
        <v>1235</v>
      </c>
      <c r="M478" t="s">
        <v>487</v>
      </c>
      <c r="N478">
        <v>0</v>
      </c>
      <c r="O478" t="s">
        <v>1241</v>
      </c>
      <c r="P478">
        <v>0.55016313450793697</v>
      </c>
      <c r="Q478">
        <v>3.3009788070476218</v>
      </c>
      <c r="R478" s="6"/>
    </row>
    <row r="479" spans="1:18" x14ac:dyDescent="0.15">
      <c r="A479" t="s">
        <v>148</v>
      </c>
      <c r="B479" t="s">
        <v>9</v>
      </c>
      <c r="P479">
        <v>0.55016313450793697</v>
      </c>
      <c r="R479" s="6"/>
    </row>
    <row r="480" spans="1:18" x14ac:dyDescent="0.15">
      <c r="C480" t="s">
        <v>22</v>
      </c>
      <c r="D480">
        <v>6</v>
      </c>
      <c r="E480">
        <v>1</v>
      </c>
      <c r="F480" t="s">
        <v>9</v>
      </c>
      <c r="G480">
        <v>3</v>
      </c>
      <c r="H480">
        <v>0</v>
      </c>
      <c r="I480" t="s">
        <v>488</v>
      </c>
      <c r="J480" t="s">
        <v>1234</v>
      </c>
      <c r="K480" t="s">
        <v>1235</v>
      </c>
      <c r="M480" t="s">
        <v>487</v>
      </c>
      <c r="N480">
        <v>0</v>
      </c>
      <c r="O480" t="s">
        <v>1241</v>
      </c>
      <c r="P480">
        <v>0</v>
      </c>
      <c r="Q480">
        <v>0</v>
      </c>
      <c r="R480" s="9" t="s">
        <v>1246</v>
      </c>
    </row>
    <row r="481" spans="1:18" x14ac:dyDescent="0.15">
      <c r="C481" t="s">
        <v>33</v>
      </c>
      <c r="D481">
        <v>1</v>
      </c>
      <c r="E481">
        <v>1</v>
      </c>
      <c r="F481" t="s">
        <v>9</v>
      </c>
      <c r="G481">
        <v>3</v>
      </c>
      <c r="H481">
        <v>0</v>
      </c>
      <c r="I481" t="s">
        <v>488</v>
      </c>
      <c r="J481" t="s">
        <v>1234</v>
      </c>
      <c r="K481" t="s">
        <v>1235</v>
      </c>
      <c r="M481" t="s">
        <v>487</v>
      </c>
      <c r="N481">
        <v>0</v>
      </c>
      <c r="O481" t="s">
        <v>1241</v>
      </c>
      <c r="P481">
        <v>0</v>
      </c>
      <c r="Q481">
        <v>0</v>
      </c>
      <c r="R481" s="9" t="s">
        <v>1246</v>
      </c>
    </row>
    <row r="482" spans="1:18" x14ac:dyDescent="0.15">
      <c r="C482" t="s">
        <v>12</v>
      </c>
      <c r="D482">
        <v>1.814698492462</v>
      </c>
      <c r="E482">
        <v>1</v>
      </c>
      <c r="F482" t="s">
        <v>13</v>
      </c>
      <c r="G482">
        <v>3</v>
      </c>
      <c r="H482">
        <v>0</v>
      </c>
      <c r="I482" t="s">
        <v>488</v>
      </c>
      <c r="J482" t="s">
        <v>1234</v>
      </c>
      <c r="K482" t="s">
        <v>1235</v>
      </c>
      <c r="M482" t="s">
        <v>487</v>
      </c>
      <c r="N482">
        <v>0</v>
      </c>
      <c r="O482" t="s">
        <v>1241</v>
      </c>
      <c r="P482">
        <v>1.03E-2</v>
      </c>
      <c r="Q482">
        <v>19.252136306529358</v>
      </c>
      <c r="R482" s="6"/>
    </row>
    <row r="483" spans="1:18" x14ac:dyDescent="0.15">
      <c r="C483" t="s">
        <v>14</v>
      </c>
      <c r="D483">
        <v>2.0163316582910005</v>
      </c>
      <c r="E483">
        <v>1</v>
      </c>
      <c r="F483" t="s">
        <v>13</v>
      </c>
      <c r="G483">
        <v>3</v>
      </c>
      <c r="H483">
        <v>0</v>
      </c>
      <c r="I483" t="s">
        <v>488</v>
      </c>
      <c r="J483" t="s">
        <v>1234</v>
      </c>
      <c r="K483" t="s">
        <v>1235</v>
      </c>
      <c r="M483" t="s">
        <v>487</v>
      </c>
      <c r="N483">
        <v>0</v>
      </c>
      <c r="O483" t="s">
        <v>1241</v>
      </c>
      <c r="P483">
        <v>5.4900000000000001E-3</v>
      </c>
      <c r="Q483">
        <v>11.401750628138121</v>
      </c>
      <c r="R483" s="6"/>
    </row>
    <row r="484" spans="1:18" x14ac:dyDescent="0.15">
      <c r="C484" t="s">
        <v>15</v>
      </c>
      <c r="D484">
        <v>40.326633165829001</v>
      </c>
      <c r="E484">
        <v>1000</v>
      </c>
      <c r="F484" t="s">
        <v>13</v>
      </c>
      <c r="G484">
        <v>3</v>
      </c>
      <c r="H484">
        <v>0</v>
      </c>
      <c r="I484" t="s">
        <v>488</v>
      </c>
      <c r="J484" t="s">
        <v>1234</v>
      </c>
      <c r="K484" t="s">
        <v>1235</v>
      </c>
      <c r="M484" t="s">
        <v>487</v>
      </c>
      <c r="N484">
        <v>0</v>
      </c>
      <c r="O484" t="s">
        <v>1241</v>
      </c>
      <c r="P484">
        <v>7.9819999999999988E-2</v>
      </c>
      <c r="Q484">
        <v>3.3154380150753644</v>
      </c>
      <c r="R484" s="6"/>
    </row>
    <row r="485" spans="1:18" x14ac:dyDescent="0.15">
      <c r="C485" t="s">
        <v>23</v>
      </c>
      <c r="D485">
        <v>0.10081658291499999</v>
      </c>
      <c r="E485">
        <v>1</v>
      </c>
      <c r="F485" t="s">
        <v>13</v>
      </c>
      <c r="G485">
        <v>3</v>
      </c>
      <c r="H485">
        <v>0</v>
      </c>
      <c r="I485" t="s">
        <v>488</v>
      </c>
      <c r="J485" t="s">
        <v>1234</v>
      </c>
      <c r="K485" t="s">
        <v>1235</v>
      </c>
      <c r="M485" t="s">
        <v>487</v>
      </c>
      <c r="N485">
        <v>0</v>
      </c>
      <c r="O485" t="s">
        <v>1241</v>
      </c>
      <c r="P485">
        <v>2.3609999999999999E-2</v>
      </c>
      <c r="Q485">
        <v>2.4516879083018441</v>
      </c>
      <c r="R485" s="6"/>
    </row>
    <row r="486" spans="1:18" x14ac:dyDescent="0.15">
      <c r="C486" t="s">
        <v>24</v>
      </c>
      <c r="D486">
        <v>40.326633165829001</v>
      </c>
      <c r="E486">
        <v>1000</v>
      </c>
      <c r="F486" t="s">
        <v>13</v>
      </c>
      <c r="G486">
        <v>3</v>
      </c>
      <c r="H486">
        <v>0</v>
      </c>
      <c r="I486" t="s">
        <v>488</v>
      </c>
      <c r="J486" t="s">
        <v>1234</v>
      </c>
      <c r="K486" t="s">
        <v>1235</v>
      </c>
      <c r="M486" t="s">
        <v>487</v>
      </c>
      <c r="N486">
        <v>0</v>
      </c>
      <c r="O486" t="s">
        <v>1241</v>
      </c>
      <c r="P486">
        <v>2.8500000000000001E-2</v>
      </c>
      <c r="Q486">
        <v>1.1837883165829104</v>
      </c>
      <c r="R486" s="6"/>
    </row>
    <row r="487" spans="1:18" x14ac:dyDescent="0.15">
      <c r="C487" t="s">
        <v>17</v>
      </c>
      <c r="D487">
        <v>6.9444444444440006</v>
      </c>
      <c r="E487">
        <v>1000</v>
      </c>
      <c r="F487" t="s">
        <v>18</v>
      </c>
      <c r="G487">
        <v>0</v>
      </c>
      <c r="H487">
        <v>0</v>
      </c>
      <c r="I487" t="s">
        <v>488</v>
      </c>
      <c r="J487" t="s">
        <v>1234</v>
      </c>
      <c r="K487" t="s">
        <v>1235</v>
      </c>
      <c r="M487" t="s">
        <v>487</v>
      </c>
      <c r="N487">
        <v>0</v>
      </c>
      <c r="O487" t="s">
        <v>1241</v>
      </c>
      <c r="P487">
        <v>53.85</v>
      </c>
      <c r="Q487">
        <v>373.95833333330944</v>
      </c>
      <c r="R487" s="6"/>
    </row>
    <row r="488" spans="1:18" x14ac:dyDescent="0.15">
      <c r="C488" t="s">
        <v>19</v>
      </c>
      <c r="D488">
        <v>4</v>
      </c>
      <c r="E488">
        <v>1</v>
      </c>
      <c r="F488" t="s">
        <v>18</v>
      </c>
      <c r="G488">
        <v>0</v>
      </c>
      <c r="H488">
        <v>0</v>
      </c>
      <c r="I488" t="s">
        <v>488</v>
      </c>
      <c r="J488" t="s">
        <v>1236</v>
      </c>
      <c r="K488" t="s">
        <v>1235</v>
      </c>
      <c r="M488" t="s">
        <v>487</v>
      </c>
      <c r="N488">
        <v>0</v>
      </c>
      <c r="O488" t="s">
        <v>1241</v>
      </c>
      <c r="P488">
        <v>34.65</v>
      </c>
      <c r="Q488">
        <v>138.6</v>
      </c>
      <c r="R488" s="6"/>
    </row>
    <row r="489" spans="1:18" x14ac:dyDescent="0.15">
      <c r="A489" t="s">
        <v>151</v>
      </c>
      <c r="B489" t="s">
        <v>479</v>
      </c>
      <c r="P489">
        <v>1.859762216066307</v>
      </c>
      <c r="R489" s="6"/>
    </row>
    <row r="490" spans="1:18" x14ac:dyDescent="0.15">
      <c r="C490" t="s">
        <v>152</v>
      </c>
      <c r="D490">
        <v>1</v>
      </c>
      <c r="E490">
        <v>1</v>
      </c>
      <c r="F490" t="s">
        <v>9</v>
      </c>
      <c r="G490">
        <v>0</v>
      </c>
      <c r="H490">
        <v>0</v>
      </c>
      <c r="I490" t="s">
        <v>488</v>
      </c>
      <c r="J490" t="s">
        <v>1234</v>
      </c>
      <c r="K490" t="s">
        <v>1235</v>
      </c>
      <c r="M490" t="s">
        <v>487</v>
      </c>
      <c r="N490">
        <v>0</v>
      </c>
      <c r="O490" t="s">
        <v>1241</v>
      </c>
      <c r="P490">
        <v>1.859762216066307</v>
      </c>
      <c r="Q490">
        <v>1.859762216066307</v>
      </c>
      <c r="R490" s="6"/>
    </row>
    <row r="491" spans="1:18" x14ac:dyDescent="0.15">
      <c r="A491" t="s">
        <v>153</v>
      </c>
      <c r="B491" t="s">
        <v>479</v>
      </c>
      <c r="P491">
        <v>3.719524432132614</v>
      </c>
      <c r="R491" s="6"/>
    </row>
    <row r="492" spans="1:18" x14ac:dyDescent="0.15">
      <c r="C492" t="s">
        <v>152</v>
      </c>
      <c r="D492">
        <v>2</v>
      </c>
      <c r="E492">
        <v>1</v>
      </c>
      <c r="F492" t="s">
        <v>9</v>
      </c>
      <c r="G492">
        <v>0</v>
      </c>
      <c r="H492">
        <v>0</v>
      </c>
      <c r="I492" t="s">
        <v>488</v>
      </c>
      <c r="J492" t="s">
        <v>1234</v>
      </c>
      <c r="K492" t="s">
        <v>1235</v>
      </c>
      <c r="M492" t="s">
        <v>487</v>
      </c>
      <c r="N492">
        <v>0</v>
      </c>
      <c r="O492" t="s">
        <v>1241</v>
      </c>
      <c r="P492">
        <v>1.859762216066307</v>
      </c>
      <c r="Q492">
        <v>3.719524432132614</v>
      </c>
      <c r="R492" s="6"/>
    </row>
    <row r="493" spans="1:18" x14ac:dyDescent="0.15">
      <c r="A493" t="s">
        <v>152</v>
      </c>
      <c r="B493" t="s">
        <v>9</v>
      </c>
      <c r="P493">
        <v>1.859762216066307</v>
      </c>
      <c r="R493" s="6"/>
    </row>
    <row r="494" spans="1:18" x14ac:dyDescent="0.15">
      <c r="C494" t="s">
        <v>33</v>
      </c>
      <c r="D494">
        <v>62</v>
      </c>
      <c r="E494">
        <v>1</v>
      </c>
      <c r="F494" t="s">
        <v>9</v>
      </c>
      <c r="G494">
        <v>3</v>
      </c>
      <c r="H494">
        <v>0</v>
      </c>
      <c r="I494" t="s">
        <v>488</v>
      </c>
      <c r="J494" t="s">
        <v>1234</v>
      </c>
      <c r="K494" t="s">
        <v>1235</v>
      </c>
      <c r="M494" t="s">
        <v>487</v>
      </c>
      <c r="N494">
        <v>0</v>
      </c>
      <c r="O494" t="s">
        <v>1241</v>
      </c>
      <c r="P494">
        <v>0</v>
      </c>
      <c r="Q494">
        <v>0</v>
      </c>
      <c r="R494" s="9" t="s">
        <v>1246</v>
      </c>
    </row>
    <row r="495" spans="1:18" x14ac:dyDescent="0.15">
      <c r="C495" t="s">
        <v>12</v>
      </c>
      <c r="D495">
        <v>18.622198492462005</v>
      </c>
      <c r="E495">
        <v>1</v>
      </c>
      <c r="F495" t="s">
        <v>13</v>
      </c>
      <c r="G495">
        <v>3</v>
      </c>
      <c r="H495">
        <v>0</v>
      </c>
      <c r="I495" t="s">
        <v>488</v>
      </c>
      <c r="J495" t="s">
        <v>1234</v>
      </c>
      <c r="K495" t="s">
        <v>1235</v>
      </c>
      <c r="M495" t="s">
        <v>487</v>
      </c>
      <c r="N495">
        <v>0</v>
      </c>
      <c r="O495" t="s">
        <v>1241</v>
      </c>
      <c r="P495">
        <v>1.03E-2</v>
      </c>
      <c r="Q495">
        <v>197.56290380652942</v>
      </c>
      <c r="R495" s="6"/>
    </row>
    <row r="496" spans="1:18" x14ac:dyDescent="0.15">
      <c r="C496" t="s">
        <v>14</v>
      </c>
      <c r="D496">
        <v>20.691331658292</v>
      </c>
      <c r="E496">
        <v>1</v>
      </c>
      <c r="F496" t="s">
        <v>13</v>
      </c>
      <c r="G496">
        <v>3</v>
      </c>
      <c r="H496">
        <v>0</v>
      </c>
      <c r="I496" t="s">
        <v>488</v>
      </c>
      <c r="J496" t="s">
        <v>1234</v>
      </c>
      <c r="K496" t="s">
        <v>1235</v>
      </c>
      <c r="M496" t="s">
        <v>487</v>
      </c>
      <c r="N496">
        <v>0</v>
      </c>
      <c r="O496" t="s">
        <v>1241</v>
      </c>
      <c r="P496">
        <v>5.4900000000000001E-3</v>
      </c>
      <c r="Q496">
        <v>117.00327312814379</v>
      </c>
      <c r="R496" s="6"/>
    </row>
    <row r="497" spans="1:18" x14ac:dyDescent="0.15">
      <c r="C497" t="s">
        <v>15</v>
      </c>
      <c r="D497">
        <v>0.41382663316599999</v>
      </c>
      <c r="E497">
        <v>1</v>
      </c>
      <c r="F497" t="s">
        <v>13</v>
      </c>
      <c r="G497">
        <v>3</v>
      </c>
      <c r="H497">
        <v>0</v>
      </c>
      <c r="I497" t="s">
        <v>488</v>
      </c>
      <c r="J497" t="s">
        <v>1234</v>
      </c>
      <c r="K497" t="s">
        <v>1235</v>
      </c>
      <c r="M497" t="s">
        <v>487</v>
      </c>
      <c r="N497">
        <v>0</v>
      </c>
      <c r="O497" t="s">
        <v>1241</v>
      </c>
      <c r="P497">
        <v>7.9819999999999988E-2</v>
      </c>
      <c r="Q497">
        <v>34.022591115089419</v>
      </c>
      <c r="R497" s="6"/>
    </row>
    <row r="498" spans="1:18" x14ac:dyDescent="0.15">
      <c r="C498" t="s">
        <v>23</v>
      </c>
      <c r="D498">
        <v>1.0345665829150001</v>
      </c>
      <c r="E498">
        <v>1</v>
      </c>
      <c r="F498" t="s">
        <v>13</v>
      </c>
      <c r="G498">
        <v>3</v>
      </c>
      <c r="H498">
        <v>0</v>
      </c>
      <c r="I498" t="s">
        <v>488</v>
      </c>
      <c r="J498" t="s">
        <v>1234</v>
      </c>
      <c r="K498" t="s">
        <v>1235</v>
      </c>
      <c r="M498" t="s">
        <v>487</v>
      </c>
      <c r="N498">
        <v>0</v>
      </c>
      <c r="O498" t="s">
        <v>1241</v>
      </c>
      <c r="P498">
        <v>2.3609999999999999E-2</v>
      </c>
      <c r="Q498">
        <v>25.15890053330185</v>
      </c>
      <c r="R498" s="6"/>
    </row>
    <row r="499" spans="1:18" x14ac:dyDescent="0.15">
      <c r="C499" t="s">
        <v>24</v>
      </c>
      <c r="D499">
        <v>0.41382663316599999</v>
      </c>
      <c r="E499">
        <v>1</v>
      </c>
      <c r="F499" t="s">
        <v>13</v>
      </c>
      <c r="G499">
        <v>3</v>
      </c>
      <c r="H499">
        <v>0</v>
      </c>
      <c r="I499" t="s">
        <v>488</v>
      </c>
      <c r="J499" t="s">
        <v>1234</v>
      </c>
      <c r="K499" t="s">
        <v>1235</v>
      </c>
      <c r="M499" t="s">
        <v>487</v>
      </c>
      <c r="N499">
        <v>0</v>
      </c>
      <c r="O499" t="s">
        <v>1241</v>
      </c>
      <c r="P499">
        <v>2.8500000000000001E-2</v>
      </c>
      <c r="Q499">
        <v>12.14788081658793</v>
      </c>
      <c r="R499" s="6"/>
    </row>
    <row r="500" spans="1:18" x14ac:dyDescent="0.15">
      <c r="C500" t="s">
        <v>17</v>
      </c>
      <c r="D500">
        <v>22.222222222221998</v>
      </c>
      <c r="E500">
        <v>1000</v>
      </c>
      <c r="F500" t="s">
        <v>18</v>
      </c>
      <c r="G500">
        <v>0</v>
      </c>
      <c r="H500">
        <v>0</v>
      </c>
      <c r="I500" t="s">
        <v>488</v>
      </c>
      <c r="J500" t="s">
        <v>1234</v>
      </c>
      <c r="K500" t="s">
        <v>1235</v>
      </c>
      <c r="M500" t="s">
        <v>487</v>
      </c>
      <c r="N500">
        <v>0</v>
      </c>
      <c r="O500" t="s">
        <v>1241</v>
      </c>
      <c r="P500">
        <v>53.85</v>
      </c>
      <c r="Q500">
        <v>1196.6666666666547</v>
      </c>
      <c r="R500" s="6"/>
    </row>
    <row r="501" spans="1:18" x14ac:dyDescent="0.15">
      <c r="C501" t="s">
        <v>19</v>
      </c>
      <c r="D501">
        <v>8</v>
      </c>
      <c r="E501">
        <v>1</v>
      </c>
      <c r="F501" t="s">
        <v>18</v>
      </c>
      <c r="G501">
        <v>0</v>
      </c>
      <c r="H501">
        <v>0</v>
      </c>
      <c r="I501" t="s">
        <v>488</v>
      </c>
      <c r="J501" t="s">
        <v>1236</v>
      </c>
      <c r="K501" t="s">
        <v>1235</v>
      </c>
      <c r="M501" t="s">
        <v>487</v>
      </c>
      <c r="N501">
        <v>0</v>
      </c>
      <c r="O501" t="s">
        <v>1241</v>
      </c>
      <c r="P501">
        <v>34.65</v>
      </c>
      <c r="Q501">
        <v>277.2</v>
      </c>
      <c r="R501" s="6"/>
    </row>
    <row r="502" spans="1:18" x14ac:dyDescent="0.15">
      <c r="A502" t="s">
        <v>154</v>
      </c>
      <c r="B502" t="s">
        <v>479</v>
      </c>
      <c r="P502">
        <v>0.29617758901173197</v>
      </c>
      <c r="R502" s="6"/>
    </row>
    <row r="503" spans="1:18" x14ac:dyDescent="0.15">
      <c r="C503" t="s">
        <v>155</v>
      </c>
      <c r="D503">
        <v>1</v>
      </c>
      <c r="E503">
        <v>1</v>
      </c>
      <c r="F503" t="s">
        <v>9</v>
      </c>
      <c r="G503">
        <v>0</v>
      </c>
      <c r="H503">
        <v>0</v>
      </c>
      <c r="I503" t="s">
        <v>488</v>
      </c>
      <c r="J503" t="s">
        <v>1234</v>
      </c>
      <c r="K503" t="s">
        <v>1235</v>
      </c>
      <c r="M503" t="s">
        <v>487</v>
      </c>
      <c r="N503">
        <v>0</v>
      </c>
      <c r="O503" t="s">
        <v>1241</v>
      </c>
      <c r="P503">
        <v>0.29617758901173197</v>
      </c>
      <c r="Q503">
        <v>0.29617758901173197</v>
      </c>
      <c r="R503" s="6"/>
    </row>
    <row r="504" spans="1:18" x14ac:dyDescent="0.15">
      <c r="A504" t="s">
        <v>156</v>
      </c>
      <c r="B504" t="s">
        <v>479</v>
      </c>
      <c r="P504">
        <v>0.59235517802346394</v>
      </c>
      <c r="R504" s="6"/>
    </row>
    <row r="505" spans="1:18" x14ac:dyDescent="0.15">
      <c r="C505" t="s">
        <v>155</v>
      </c>
      <c r="D505">
        <v>2</v>
      </c>
      <c r="E505">
        <v>1</v>
      </c>
      <c r="F505" t="s">
        <v>9</v>
      </c>
      <c r="G505">
        <v>0</v>
      </c>
      <c r="H505">
        <v>0</v>
      </c>
      <c r="I505" t="s">
        <v>488</v>
      </c>
      <c r="J505" t="s">
        <v>1234</v>
      </c>
      <c r="K505" t="s">
        <v>1235</v>
      </c>
      <c r="M505" t="s">
        <v>487</v>
      </c>
      <c r="N505">
        <v>0</v>
      </c>
      <c r="O505" t="s">
        <v>1241</v>
      </c>
      <c r="P505">
        <v>0.29617758901173197</v>
      </c>
      <c r="Q505">
        <v>0.59235517802346394</v>
      </c>
      <c r="R505" s="6"/>
    </row>
    <row r="506" spans="1:18" x14ac:dyDescent="0.15">
      <c r="A506" t="s">
        <v>157</v>
      </c>
      <c r="B506" t="s">
        <v>479</v>
      </c>
      <c r="P506">
        <v>0.14808879450586598</v>
      </c>
      <c r="R506" s="6"/>
    </row>
    <row r="507" spans="1:18" x14ac:dyDescent="0.15">
      <c r="C507" t="s">
        <v>155</v>
      </c>
      <c r="D507">
        <v>500</v>
      </c>
      <c r="E507">
        <v>1000</v>
      </c>
      <c r="F507" t="s">
        <v>9</v>
      </c>
      <c r="G507">
        <v>0</v>
      </c>
      <c r="H507">
        <v>0</v>
      </c>
      <c r="I507" t="s">
        <v>488</v>
      </c>
      <c r="J507" t="s">
        <v>1234</v>
      </c>
      <c r="K507" t="s">
        <v>1235</v>
      </c>
      <c r="M507" t="s">
        <v>487</v>
      </c>
      <c r="N507">
        <v>0</v>
      </c>
      <c r="O507" t="s">
        <v>1241</v>
      </c>
      <c r="P507">
        <v>0.29617758901173197</v>
      </c>
      <c r="Q507">
        <v>148.08879450586599</v>
      </c>
      <c r="R507" s="6"/>
    </row>
    <row r="508" spans="1:18" x14ac:dyDescent="0.15">
      <c r="A508" t="s">
        <v>158</v>
      </c>
      <c r="B508" t="s">
        <v>479</v>
      </c>
      <c r="P508">
        <v>74.044397252932995</v>
      </c>
      <c r="R508" s="6"/>
    </row>
    <row r="509" spans="1:18" x14ac:dyDescent="0.15">
      <c r="C509" t="s">
        <v>155</v>
      </c>
      <c r="D509">
        <v>250</v>
      </c>
      <c r="E509">
        <v>1</v>
      </c>
      <c r="F509" t="s">
        <v>9</v>
      </c>
      <c r="G509">
        <v>0</v>
      </c>
      <c r="H509">
        <v>0</v>
      </c>
      <c r="I509" t="s">
        <v>488</v>
      </c>
      <c r="J509" t="s">
        <v>1234</v>
      </c>
      <c r="K509" t="s">
        <v>1235</v>
      </c>
      <c r="M509" t="s">
        <v>487</v>
      </c>
      <c r="N509">
        <v>0</v>
      </c>
      <c r="O509" t="s">
        <v>1241</v>
      </c>
      <c r="P509">
        <v>0.29617758901173197</v>
      </c>
      <c r="Q509">
        <v>74.044397252932995</v>
      </c>
      <c r="R509" s="6"/>
    </row>
    <row r="510" spans="1:18" x14ac:dyDescent="0.15">
      <c r="A510" t="s">
        <v>526</v>
      </c>
      <c r="B510" t="s">
        <v>479</v>
      </c>
      <c r="P510">
        <v>-1</v>
      </c>
      <c r="R510" s="8" t="s">
        <v>1244</v>
      </c>
    </row>
    <row r="511" spans="1:18" x14ac:dyDescent="0.15">
      <c r="A511" t="s">
        <v>155</v>
      </c>
      <c r="B511" t="s">
        <v>9</v>
      </c>
      <c r="P511">
        <v>0.29617758901173197</v>
      </c>
      <c r="R511" s="6"/>
    </row>
    <row r="512" spans="1:18" x14ac:dyDescent="0.15">
      <c r="C512" t="s">
        <v>28</v>
      </c>
      <c r="D512">
        <v>1</v>
      </c>
      <c r="E512">
        <v>1</v>
      </c>
      <c r="F512" t="s">
        <v>9</v>
      </c>
      <c r="G512">
        <v>3</v>
      </c>
      <c r="H512">
        <v>0</v>
      </c>
      <c r="I512" t="s">
        <v>488</v>
      </c>
      <c r="J512" t="s">
        <v>1234</v>
      </c>
      <c r="K512" t="s">
        <v>1235</v>
      </c>
      <c r="M512" t="s">
        <v>487</v>
      </c>
      <c r="N512">
        <v>0</v>
      </c>
      <c r="O512" t="s">
        <v>1241</v>
      </c>
      <c r="P512">
        <v>1.8814270000000001E-2</v>
      </c>
      <c r="Q512">
        <v>19.378698100000001</v>
      </c>
      <c r="R512" s="6"/>
    </row>
    <row r="513" spans="1:18" x14ac:dyDescent="0.15">
      <c r="C513" t="s">
        <v>12</v>
      </c>
      <c r="D513">
        <v>12.196356783920001</v>
      </c>
      <c r="E513">
        <v>1000</v>
      </c>
      <c r="F513" t="s">
        <v>13</v>
      </c>
      <c r="G513">
        <v>3</v>
      </c>
      <c r="H513">
        <v>0</v>
      </c>
      <c r="I513" t="s">
        <v>488</v>
      </c>
      <c r="J513" t="s">
        <v>1234</v>
      </c>
      <c r="K513" t="s">
        <v>1235</v>
      </c>
      <c r="M513" t="s">
        <v>487</v>
      </c>
      <c r="N513">
        <v>0</v>
      </c>
      <c r="O513" t="s">
        <v>1241</v>
      </c>
      <c r="P513">
        <v>1.03E-2</v>
      </c>
      <c r="Q513">
        <v>0.12939114912060729</v>
      </c>
      <c r="R513" s="6"/>
    </row>
    <row r="514" spans="1:18" x14ac:dyDescent="0.15">
      <c r="C514" t="s">
        <v>14</v>
      </c>
      <c r="D514">
        <v>13.551507537688002</v>
      </c>
      <c r="E514">
        <v>1000</v>
      </c>
      <c r="F514" t="s">
        <v>13</v>
      </c>
      <c r="G514">
        <v>3</v>
      </c>
      <c r="H514">
        <v>0</v>
      </c>
      <c r="I514" t="s">
        <v>488</v>
      </c>
      <c r="J514" t="s">
        <v>1234</v>
      </c>
      <c r="K514" t="s">
        <v>1235</v>
      </c>
      <c r="M514" t="s">
        <v>487</v>
      </c>
      <c r="N514">
        <v>0</v>
      </c>
      <c r="O514" t="s">
        <v>1241</v>
      </c>
      <c r="P514">
        <v>5.4900000000000001E-3</v>
      </c>
      <c r="Q514">
        <v>7.6629709673364355E-2</v>
      </c>
      <c r="R514" s="6"/>
    </row>
    <row r="515" spans="1:18" x14ac:dyDescent="0.15">
      <c r="C515" t="s">
        <v>15</v>
      </c>
      <c r="D515">
        <v>0.271030150754</v>
      </c>
      <c r="E515">
        <v>1000</v>
      </c>
      <c r="F515" t="s">
        <v>13</v>
      </c>
      <c r="G515">
        <v>3</v>
      </c>
      <c r="H515">
        <v>0</v>
      </c>
      <c r="I515" t="s">
        <v>488</v>
      </c>
      <c r="J515" t="s">
        <v>1234</v>
      </c>
      <c r="K515" t="s">
        <v>1235</v>
      </c>
      <c r="M515" t="s">
        <v>487</v>
      </c>
      <c r="N515">
        <v>0</v>
      </c>
      <c r="O515" t="s">
        <v>1241</v>
      </c>
      <c r="P515">
        <v>7.9819999999999988E-2</v>
      </c>
      <c r="Q515">
        <v>2.2282635432179804E-2</v>
      </c>
      <c r="R515" s="6"/>
    </row>
    <row r="516" spans="1:18" x14ac:dyDescent="0.15">
      <c r="C516" t="s">
        <v>23</v>
      </c>
      <c r="D516">
        <v>0.67757537688400005</v>
      </c>
      <c r="E516">
        <v>1000</v>
      </c>
      <c r="F516" t="s">
        <v>13</v>
      </c>
      <c r="G516">
        <v>3</v>
      </c>
      <c r="H516">
        <v>0</v>
      </c>
      <c r="I516" t="s">
        <v>488</v>
      </c>
      <c r="J516" t="s">
        <v>1234</v>
      </c>
      <c r="K516" t="s">
        <v>1235</v>
      </c>
      <c r="M516" t="s">
        <v>487</v>
      </c>
      <c r="N516">
        <v>0</v>
      </c>
      <c r="O516" t="s">
        <v>1241</v>
      </c>
      <c r="P516">
        <v>2.3609999999999999E-2</v>
      </c>
      <c r="Q516">
        <v>1.6477481287678175E-2</v>
      </c>
      <c r="R516" s="6"/>
    </row>
    <row r="517" spans="1:18" x14ac:dyDescent="0.15">
      <c r="C517" t="s">
        <v>24</v>
      </c>
      <c r="D517">
        <v>0.271030150754</v>
      </c>
      <c r="E517">
        <v>1000</v>
      </c>
      <c r="F517" t="s">
        <v>13</v>
      </c>
      <c r="G517">
        <v>3</v>
      </c>
      <c r="H517">
        <v>0</v>
      </c>
      <c r="I517" t="s">
        <v>488</v>
      </c>
      <c r="J517" t="s">
        <v>1234</v>
      </c>
      <c r="K517" t="s">
        <v>1235</v>
      </c>
      <c r="M517" t="s">
        <v>487</v>
      </c>
      <c r="N517">
        <v>0</v>
      </c>
      <c r="O517" t="s">
        <v>1241</v>
      </c>
      <c r="P517">
        <v>2.8500000000000001E-2</v>
      </c>
      <c r="Q517">
        <v>7.9560900753836705E-3</v>
      </c>
      <c r="R517" s="6"/>
    </row>
    <row r="518" spans="1:18" x14ac:dyDescent="0.15">
      <c r="C518" t="s">
        <v>17</v>
      </c>
      <c r="D518">
        <v>3.2051282051279997</v>
      </c>
      <c r="E518">
        <v>1000</v>
      </c>
      <c r="F518" t="s">
        <v>18</v>
      </c>
      <c r="G518">
        <v>0</v>
      </c>
      <c r="H518">
        <v>0</v>
      </c>
      <c r="I518" t="s">
        <v>488</v>
      </c>
      <c r="J518" t="s">
        <v>1234</v>
      </c>
      <c r="K518" t="s">
        <v>1235</v>
      </c>
      <c r="M518" t="s">
        <v>487</v>
      </c>
      <c r="N518">
        <v>0</v>
      </c>
      <c r="O518" t="s">
        <v>1241</v>
      </c>
      <c r="P518">
        <v>53.85</v>
      </c>
      <c r="Q518">
        <v>172.59615384614278</v>
      </c>
      <c r="R518" s="6"/>
    </row>
    <row r="519" spans="1:18" x14ac:dyDescent="0.15">
      <c r="C519" t="s">
        <v>19</v>
      </c>
      <c r="D519">
        <v>3</v>
      </c>
      <c r="E519">
        <v>1</v>
      </c>
      <c r="F519" t="s">
        <v>18</v>
      </c>
      <c r="G519">
        <v>0</v>
      </c>
      <c r="H519">
        <v>0</v>
      </c>
      <c r="I519" t="s">
        <v>488</v>
      </c>
      <c r="J519" t="s">
        <v>1236</v>
      </c>
      <c r="K519" t="s">
        <v>1235</v>
      </c>
      <c r="M519" t="s">
        <v>487</v>
      </c>
      <c r="N519">
        <v>0</v>
      </c>
      <c r="O519" t="s">
        <v>1241</v>
      </c>
      <c r="P519">
        <v>34.65</v>
      </c>
      <c r="Q519">
        <v>103.94999999999999</v>
      </c>
      <c r="R519" s="6"/>
    </row>
    <row r="520" spans="1:18" x14ac:dyDescent="0.15">
      <c r="A520" t="s">
        <v>159</v>
      </c>
      <c r="B520" t="s">
        <v>479</v>
      </c>
      <c r="P520">
        <v>0.31836371172904299</v>
      </c>
      <c r="R520" s="6"/>
    </row>
    <row r="521" spans="1:18" x14ac:dyDescent="0.15">
      <c r="C521" t="s">
        <v>160</v>
      </c>
      <c r="D521">
        <v>1</v>
      </c>
      <c r="E521">
        <v>1</v>
      </c>
      <c r="F521" t="s">
        <v>9</v>
      </c>
      <c r="G521">
        <v>0</v>
      </c>
      <c r="H521">
        <v>0</v>
      </c>
      <c r="I521" t="s">
        <v>488</v>
      </c>
      <c r="J521" t="s">
        <v>1234</v>
      </c>
      <c r="K521" t="s">
        <v>1235</v>
      </c>
      <c r="M521" t="s">
        <v>487</v>
      </c>
      <c r="N521">
        <v>0</v>
      </c>
      <c r="O521" t="s">
        <v>1241</v>
      </c>
      <c r="P521">
        <v>0.31836371172904299</v>
      </c>
      <c r="Q521">
        <v>0.31836371172904299</v>
      </c>
      <c r="R521" s="6"/>
    </row>
    <row r="522" spans="1:18" x14ac:dyDescent="0.15">
      <c r="A522" t="s">
        <v>161</v>
      </c>
      <c r="B522" t="s">
        <v>479</v>
      </c>
      <c r="P522">
        <v>0.63672742345808597</v>
      </c>
      <c r="R522" s="6"/>
    </row>
    <row r="523" spans="1:18" x14ac:dyDescent="0.15">
      <c r="C523" t="s">
        <v>160</v>
      </c>
      <c r="D523">
        <v>2</v>
      </c>
      <c r="E523">
        <v>1</v>
      </c>
      <c r="F523" t="s">
        <v>9</v>
      </c>
      <c r="G523">
        <v>0</v>
      </c>
      <c r="H523">
        <v>0</v>
      </c>
      <c r="I523" t="s">
        <v>488</v>
      </c>
      <c r="J523" t="s">
        <v>1234</v>
      </c>
      <c r="K523" t="s">
        <v>1235</v>
      </c>
      <c r="M523" t="s">
        <v>487</v>
      </c>
      <c r="N523">
        <v>0</v>
      </c>
      <c r="O523" t="s">
        <v>1241</v>
      </c>
      <c r="P523">
        <v>0.31836371172904299</v>
      </c>
      <c r="Q523">
        <v>0.63672742345808597</v>
      </c>
      <c r="R523" s="6"/>
    </row>
    <row r="524" spans="1:18" x14ac:dyDescent="0.15">
      <c r="A524" t="s">
        <v>162</v>
      </c>
      <c r="B524" t="s">
        <v>479</v>
      </c>
      <c r="P524">
        <v>0.15918185586452149</v>
      </c>
      <c r="R524" s="6"/>
    </row>
    <row r="525" spans="1:18" x14ac:dyDescent="0.15">
      <c r="C525" t="s">
        <v>160</v>
      </c>
      <c r="D525">
        <v>500</v>
      </c>
      <c r="E525">
        <v>1000</v>
      </c>
      <c r="F525" t="s">
        <v>9</v>
      </c>
      <c r="G525">
        <v>0</v>
      </c>
      <c r="H525">
        <v>0</v>
      </c>
      <c r="I525" t="s">
        <v>488</v>
      </c>
      <c r="J525" t="s">
        <v>1234</v>
      </c>
      <c r="K525" t="s">
        <v>1235</v>
      </c>
      <c r="M525" t="s">
        <v>487</v>
      </c>
      <c r="N525">
        <v>0</v>
      </c>
      <c r="O525" t="s">
        <v>1241</v>
      </c>
      <c r="P525">
        <v>0.31836371172904299</v>
      </c>
      <c r="Q525">
        <v>159.18185586452148</v>
      </c>
      <c r="R525" s="6"/>
    </row>
    <row r="526" spans="1:18" x14ac:dyDescent="0.15">
      <c r="A526" t="s">
        <v>163</v>
      </c>
      <c r="B526" t="s">
        <v>479</v>
      </c>
      <c r="P526">
        <v>79.59092793226074</v>
      </c>
      <c r="R526" s="6"/>
    </row>
    <row r="527" spans="1:18" x14ac:dyDescent="0.15">
      <c r="C527" t="s">
        <v>160</v>
      </c>
      <c r="D527">
        <v>250</v>
      </c>
      <c r="E527">
        <v>1</v>
      </c>
      <c r="F527" t="s">
        <v>9</v>
      </c>
      <c r="G527">
        <v>0</v>
      </c>
      <c r="H527">
        <v>0</v>
      </c>
      <c r="I527" t="s">
        <v>488</v>
      </c>
      <c r="J527" t="s">
        <v>1234</v>
      </c>
      <c r="K527" t="s">
        <v>1235</v>
      </c>
      <c r="M527" t="s">
        <v>487</v>
      </c>
      <c r="N527">
        <v>0</v>
      </c>
      <c r="O527" t="s">
        <v>1241</v>
      </c>
      <c r="P527">
        <v>0.31836371172904299</v>
      </c>
      <c r="Q527">
        <v>79.59092793226074</v>
      </c>
      <c r="R527" s="6"/>
    </row>
    <row r="528" spans="1:18" x14ac:dyDescent="0.15">
      <c r="A528" t="s">
        <v>160</v>
      </c>
      <c r="B528" t="s">
        <v>9</v>
      </c>
      <c r="P528">
        <v>0.31836371172904299</v>
      </c>
      <c r="R528" s="6"/>
    </row>
    <row r="529" spans="1:18" x14ac:dyDescent="0.15">
      <c r="C529" t="s">
        <v>34</v>
      </c>
      <c r="D529">
        <v>1</v>
      </c>
      <c r="E529">
        <v>1</v>
      </c>
      <c r="F529" t="s">
        <v>9</v>
      </c>
      <c r="G529">
        <v>3</v>
      </c>
      <c r="H529">
        <v>0</v>
      </c>
      <c r="I529" t="s">
        <v>488</v>
      </c>
      <c r="J529" t="s">
        <v>1234</v>
      </c>
      <c r="K529" t="s">
        <v>1235</v>
      </c>
      <c r="M529" t="s">
        <v>487</v>
      </c>
      <c r="N529">
        <v>0</v>
      </c>
      <c r="O529" t="s">
        <v>1241</v>
      </c>
      <c r="P529">
        <v>9.4000000000000004E-3</v>
      </c>
      <c r="Q529">
        <v>9.6820000000000004</v>
      </c>
      <c r="R529" s="6"/>
    </row>
    <row r="530" spans="1:18" x14ac:dyDescent="0.15">
      <c r="C530" t="s">
        <v>12</v>
      </c>
      <c r="D530">
        <v>36.407035175879003</v>
      </c>
      <c r="E530">
        <v>1000</v>
      </c>
      <c r="F530" t="s">
        <v>13</v>
      </c>
      <c r="G530">
        <v>3</v>
      </c>
      <c r="H530">
        <v>0</v>
      </c>
      <c r="I530" t="s">
        <v>488</v>
      </c>
      <c r="J530" t="s">
        <v>1234</v>
      </c>
      <c r="K530" t="s">
        <v>1235</v>
      </c>
      <c r="M530" t="s">
        <v>487</v>
      </c>
      <c r="N530">
        <v>0</v>
      </c>
      <c r="O530" t="s">
        <v>1241</v>
      </c>
      <c r="P530">
        <v>1.03E-2</v>
      </c>
      <c r="Q530">
        <v>0.38624223618090037</v>
      </c>
      <c r="R530" s="6"/>
    </row>
    <row r="531" spans="1:18" x14ac:dyDescent="0.15">
      <c r="C531" t="s">
        <v>14</v>
      </c>
      <c r="D531">
        <v>40.452261306533003</v>
      </c>
      <c r="E531">
        <v>1000</v>
      </c>
      <c r="F531" t="s">
        <v>13</v>
      </c>
      <c r="G531">
        <v>3</v>
      </c>
      <c r="H531">
        <v>0</v>
      </c>
      <c r="I531" t="s">
        <v>488</v>
      </c>
      <c r="J531" t="s">
        <v>1234</v>
      </c>
      <c r="K531" t="s">
        <v>1235</v>
      </c>
      <c r="M531" t="s">
        <v>487</v>
      </c>
      <c r="N531">
        <v>0</v>
      </c>
      <c r="O531" t="s">
        <v>1241</v>
      </c>
      <c r="P531">
        <v>5.4900000000000001E-3</v>
      </c>
      <c r="Q531">
        <v>0.22874540201005217</v>
      </c>
      <c r="R531" s="6"/>
    </row>
    <row r="532" spans="1:18" x14ac:dyDescent="0.15">
      <c r="C532" t="s">
        <v>15</v>
      </c>
      <c r="D532">
        <v>0.80904522613100005</v>
      </c>
      <c r="E532">
        <v>1000</v>
      </c>
      <c r="F532" t="s">
        <v>13</v>
      </c>
      <c r="G532">
        <v>3</v>
      </c>
      <c r="H532">
        <v>0</v>
      </c>
      <c r="I532" t="s">
        <v>488</v>
      </c>
      <c r="J532" t="s">
        <v>1234</v>
      </c>
      <c r="K532" t="s">
        <v>1235</v>
      </c>
      <c r="M532" t="s">
        <v>487</v>
      </c>
      <c r="N532">
        <v>0</v>
      </c>
      <c r="O532" t="s">
        <v>1241</v>
      </c>
      <c r="P532">
        <v>7.9819999999999988E-2</v>
      </c>
      <c r="Q532">
        <v>6.65153296482697E-2</v>
      </c>
      <c r="R532" s="6"/>
    </row>
    <row r="533" spans="1:18" x14ac:dyDescent="0.15">
      <c r="C533" t="s">
        <v>23</v>
      </c>
      <c r="D533">
        <v>2.022613065327</v>
      </c>
      <c r="E533">
        <v>1000</v>
      </c>
      <c r="F533" t="s">
        <v>13</v>
      </c>
      <c r="G533">
        <v>3</v>
      </c>
      <c r="H533">
        <v>0</v>
      </c>
      <c r="I533" t="s">
        <v>488</v>
      </c>
      <c r="J533" t="s">
        <v>1234</v>
      </c>
      <c r="K533" t="s">
        <v>1235</v>
      </c>
      <c r="M533" t="s">
        <v>487</v>
      </c>
      <c r="N533">
        <v>0</v>
      </c>
      <c r="O533" t="s">
        <v>1241</v>
      </c>
      <c r="P533">
        <v>2.3609999999999999E-2</v>
      </c>
      <c r="Q533">
        <v>4.9186511306541586E-2</v>
      </c>
      <c r="R533" s="6"/>
    </row>
    <row r="534" spans="1:18" x14ac:dyDescent="0.15">
      <c r="C534" t="s">
        <v>24</v>
      </c>
      <c r="D534">
        <v>0.80904522613100005</v>
      </c>
      <c r="E534">
        <v>1000</v>
      </c>
      <c r="F534" t="s">
        <v>13</v>
      </c>
      <c r="G534">
        <v>3</v>
      </c>
      <c r="H534">
        <v>0</v>
      </c>
      <c r="I534" t="s">
        <v>488</v>
      </c>
      <c r="J534" t="s">
        <v>1234</v>
      </c>
      <c r="K534" t="s">
        <v>1235</v>
      </c>
      <c r="M534" t="s">
        <v>487</v>
      </c>
      <c r="N534">
        <v>0</v>
      </c>
      <c r="O534" t="s">
        <v>1241</v>
      </c>
      <c r="P534">
        <v>2.8500000000000001E-2</v>
      </c>
      <c r="Q534">
        <v>2.3749522613075506E-2</v>
      </c>
      <c r="R534" s="6"/>
    </row>
    <row r="535" spans="1:18" x14ac:dyDescent="0.15">
      <c r="C535" t="s">
        <v>17</v>
      </c>
      <c r="D535">
        <v>3.7878787878789999</v>
      </c>
      <c r="E535">
        <v>1000</v>
      </c>
      <c r="F535" t="s">
        <v>18</v>
      </c>
      <c r="G535">
        <v>0</v>
      </c>
      <c r="H535">
        <v>0</v>
      </c>
      <c r="I535" t="s">
        <v>488</v>
      </c>
      <c r="J535" t="s">
        <v>1234</v>
      </c>
      <c r="K535" t="s">
        <v>1235</v>
      </c>
      <c r="M535" t="s">
        <v>487</v>
      </c>
      <c r="N535">
        <v>0</v>
      </c>
      <c r="O535" t="s">
        <v>1241</v>
      </c>
      <c r="P535">
        <v>53.85</v>
      </c>
      <c r="Q535">
        <v>203.97727272728415</v>
      </c>
      <c r="R535" s="6"/>
    </row>
    <row r="536" spans="1:18" x14ac:dyDescent="0.15">
      <c r="C536" t="s">
        <v>19</v>
      </c>
      <c r="D536">
        <v>3</v>
      </c>
      <c r="E536">
        <v>1</v>
      </c>
      <c r="F536" t="s">
        <v>18</v>
      </c>
      <c r="G536">
        <v>0</v>
      </c>
      <c r="H536">
        <v>0</v>
      </c>
      <c r="I536" t="s">
        <v>488</v>
      </c>
      <c r="J536" t="s">
        <v>1236</v>
      </c>
      <c r="K536" t="s">
        <v>1235</v>
      </c>
      <c r="M536" t="s">
        <v>487</v>
      </c>
      <c r="N536">
        <v>0</v>
      </c>
      <c r="O536" t="s">
        <v>1241</v>
      </c>
      <c r="P536">
        <v>34.65</v>
      </c>
      <c r="Q536">
        <v>103.94999999999999</v>
      </c>
      <c r="R536" s="6"/>
    </row>
    <row r="537" spans="1:18" x14ac:dyDescent="0.15">
      <c r="A537" t="s">
        <v>164</v>
      </c>
      <c r="B537" t="s">
        <v>479</v>
      </c>
      <c r="P537">
        <v>0.28509073514634908</v>
      </c>
      <c r="R537" s="6"/>
    </row>
    <row r="538" spans="1:18" x14ac:dyDescent="0.15">
      <c r="C538" t="s">
        <v>165</v>
      </c>
      <c r="D538">
        <v>1</v>
      </c>
      <c r="E538">
        <v>1</v>
      </c>
      <c r="F538" t="s">
        <v>9</v>
      </c>
      <c r="G538">
        <v>0</v>
      </c>
      <c r="H538">
        <v>0</v>
      </c>
      <c r="I538" t="s">
        <v>488</v>
      </c>
      <c r="J538" t="s">
        <v>1234</v>
      </c>
      <c r="K538" t="s">
        <v>1235</v>
      </c>
      <c r="M538" t="s">
        <v>487</v>
      </c>
      <c r="N538">
        <v>0</v>
      </c>
      <c r="O538" t="s">
        <v>1241</v>
      </c>
      <c r="P538">
        <v>0.28509073514634908</v>
      </c>
      <c r="Q538">
        <v>0.28509073514634908</v>
      </c>
      <c r="R538" s="6"/>
    </row>
    <row r="539" spans="1:18" x14ac:dyDescent="0.15">
      <c r="A539" t="s">
        <v>166</v>
      </c>
      <c r="B539" t="s">
        <v>479</v>
      </c>
      <c r="P539">
        <v>0.57018147029269817</v>
      </c>
      <c r="R539" s="6"/>
    </row>
    <row r="540" spans="1:18" x14ac:dyDescent="0.15">
      <c r="C540" t="s">
        <v>165</v>
      </c>
      <c r="D540">
        <v>2</v>
      </c>
      <c r="E540">
        <v>1</v>
      </c>
      <c r="F540" t="s">
        <v>9</v>
      </c>
      <c r="G540">
        <v>0</v>
      </c>
      <c r="H540">
        <v>0</v>
      </c>
      <c r="I540" t="s">
        <v>488</v>
      </c>
      <c r="J540" t="s">
        <v>1234</v>
      </c>
      <c r="K540" t="s">
        <v>1235</v>
      </c>
      <c r="M540" t="s">
        <v>487</v>
      </c>
      <c r="N540">
        <v>0</v>
      </c>
      <c r="O540" t="s">
        <v>1241</v>
      </c>
      <c r="P540">
        <v>0.28509073514634908</v>
      </c>
      <c r="Q540">
        <v>0.57018147029269817</v>
      </c>
      <c r="R540" s="6"/>
    </row>
    <row r="541" spans="1:18" x14ac:dyDescent="0.15">
      <c r="A541" t="s">
        <v>167</v>
      </c>
      <c r="B541" t="s">
        <v>479</v>
      </c>
      <c r="P541">
        <v>0.14254536757317454</v>
      </c>
      <c r="R541" s="6"/>
    </row>
    <row r="542" spans="1:18" x14ac:dyDescent="0.15">
      <c r="C542" t="s">
        <v>165</v>
      </c>
      <c r="D542">
        <v>500</v>
      </c>
      <c r="E542">
        <v>1000</v>
      </c>
      <c r="F542" t="s">
        <v>9</v>
      </c>
      <c r="G542">
        <v>0</v>
      </c>
      <c r="H542">
        <v>0</v>
      </c>
      <c r="I542" t="s">
        <v>488</v>
      </c>
      <c r="J542" t="s">
        <v>1234</v>
      </c>
      <c r="K542" t="s">
        <v>1235</v>
      </c>
      <c r="M542" t="s">
        <v>487</v>
      </c>
      <c r="N542">
        <v>0</v>
      </c>
      <c r="O542" t="s">
        <v>1241</v>
      </c>
      <c r="P542">
        <v>0.28509073514634908</v>
      </c>
      <c r="Q542">
        <v>142.54536757317453</v>
      </c>
      <c r="R542" s="6"/>
    </row>
    <row r="543" spans="1:18" x14ac:dyDescent="0.15">
      <c r="A543" t="s">
        <v>165</v>
      </c>
      <c r="B543" t="s">
        <v>9</v>
      </c>
      <c r="P543">
        <v>0.28509073514634908</v>
      </c>
      <c r="R543" s="6"/>
    </row>
    <row r="544" spans="1:18" x14ac:dyDescent="0.15">
      <c r="C544" t="s">
        <v>34</v>
      </c>
      <c r="D544">
        <v>2</v>
      </c>
      <c r="E544">
        <v>1</v>
      </c>
      <c r="F544" t="s">
        <v>9</v>
      </c>
      <c r="G544">
        <v>3</v>
      </c>
      <c r="H544">
        <v>0</v>
      </c>
      <c r="I544" t="s">
        <v>488</v>
      </c>
      <c r="J544" t="s">
        <v>1234</v>
      </c>
      <c r="K544" t="s">
        <v>1235</v>
      </c>
      <c r="M544" t="s">
        <v>487</v>
      </c>
      <c r="N544">
        <v>0</v>
      </c>
      <c r="O544" t="s">
        <v>1241</v>
      </c>
      <c r="P544">
        <v>9.4000000000000004E-3</v>
      </c>
      <c r="Q544">
        <v>19.364000000000001</v>
      </c>
      <c r="R544" s="6"/>
    </row>
    <row r="545" spans="1:18" x14ac:dyDescent="0.15">
      <c r="C545" t="s">
        <v>12</v>
      </c>
      <c r="D545">
        <v>72.814070351759</v>
      </c>
      <c r="E545">
        <v>1000</v>
      </c>
      <c r="F545" t="s">
        <v>13</v>
      </c>
      <c r="G545">
        <v>3</v>
      </c>
      <c r="H545">
        <v>0</v>
      </c>
      <c r="I545" t="s">
        <v>488</v>
      </c>
      <c r="J545" t="s">
        <v>1234</v>
      </c>
      <c r="K545" t="s">
        <v>1235</v>
      </c>
      <c r="M545" t="s">
        <v>487</v>
      </c>
      <c r="N545">
        <v>0</v>
      </c>
      <c r="O545" t="s">
        <v>1241</v>
      </c>
      <c r="P545">
        <v>1.03E-2</v>
      </c>
      <c r="Q545">
        <v>0.77248447236181128</v>
      </c>
      <c r="R545" s="6"/>
    </row>
    <row r="546" spans="1:18" x14ac:dyDescent="0.15">
      <c r="C546" t="s">
        <v>14</v>
      </c>
      <c r="D546">
        <v>80.904522613064998</v>
      </c>
      <c r="E546">
        <v>1000</v>
      </c>
      <c r="F546" t="s">
        <v>13</v>
      </c>
      <c r="G546">
        <v>3</v>
      </c>
      <c r="H546">
        <v>0</v>
      </c>
      <c r="I546" t="s">
        <v>488</v>
      </c>
      <c r="J546" t="s">
        <v>1234</v>
      </c>
      <c r="K546" t="s">
        <v>1235</v>
      </c>
      <c r="M546" t="s">
        <v>487</v>
      </c>
      <c r="N546">
        <v>0</v>
      </c>
      <c r="O546" t="s">
        <v>1241</v>
      </c>
      <c r="P546">
        <v>5.4900000000000001E-3</v>
      </c>
      <c r="Q546">
        <v>0.45749080402009862</v>
      </c>
      <c r="R546" s="6"/>
    </row>
    <row r="547" spans="1:18" x14ac:dyDescent="0.15">
      <c r="C547" t="s">
        <v>15</v>
      </c>
      <c r="D547">
        <v>1.618090452261</v>
      </c>
      <c r="E547">
        <v>1000</v>
      </c>
      <c r="F547" t="s">
        <v>13</v>
      </c>
      <c r="G547">
        <v>3</v>
      </c>
      <c r="H547">
        <v>0</v>
      </c>
      <c r="I547" t="s">
        <v>488</v>
      </c>
      <c r="J547" t="s">
        <v>1234</v>
      </c>
      <c r="K547" t="s">
        <v>1235</v>
      </c>
      <c r="M547" t="s">
        <v>487</v>
      </c>
      <c r="N547">
        <v>0</v>
      </c>
      <c r="O547" t="s">
        <v>1241</v>
      </c>
      <c r="P547">
        <v>7.9819999999999988E-2</v>
      </c>
      <c r="Q547">
        <v>0.13303065929645719</v>
      </c>
      <c r="R547" s="6"/>
    </row>
    <row r="548" spans="1:18" x14ac:dyDescent="0.15">
      <c r="C548" t="s">
        <v>23</v>
      </c>
      <c r="D548">
        <v>4.045226130653</v>
      </c>
      <c r="E548">
        <v>1000</v>
      </c>
      <c r="F548" t="s">
        <v>13</v>
      </c>
      <c r="G548">
        <v>3</v>
      </c>
      <c r="H548">
        <v>0</v>
      </c>
      <c r="I548" t="s">
        <v>488</v>
      </c>
      <c r="J548" t="s">
        <v>1234</v>
      </c>
      <c r="K548" t="s">
        <v>1235</v>
      </c>
      <c r="M548" t="s">
        <v>487</v>
      </c>
      <c r="N548">
        <v>0</v>
      </c>
      <c r="O548" t="s">
        <v>1241</v>
      </c>
      <c r="P548">
        <v>2.3609999999999999E-2</v>
      </c>
      <c r="Q548">
        <v>9.8373022613058844E-2</v>
      </c>
      <c r="R548" s="6"/>
    </row>
    <row r="549" spans="1:18" x14ac:dyDescent="0.15">
      <c r="C549" t="s">
        <v>24</v>
      </c>
      <c r="D549">
        <v>1.618090452261</v>
      </c>
      <c r="E549">
        <v>1000</v>
      </c>
      <c r="F549" t="s">
        <v>13</v>
      </c>
      <c r="G549">
        <v>3</v>
      </c>
      <c r="H549">
        <v>0</v>
      </c>
      <c r="I549" t="s">
        <v>488</v>
      </c>
      <c r="J549" t="s">
        <v>1234</v>
      </c>
      <c r="K549" t="s">
        <v>1235</v>
      </c>
      <c r="M549" t="s">
        <v>487</v>
      </c>
      <c r="N549">
        <v>0</v>
      </c>
      <c r="O549" t="s">
        <v>1241</v>
      </c>
      <c r="P549">
        <v>2.8500000000000001E-2</v>
      </c>
      <c r="Q549">
        <v>4.749904522612166E-2</v>
      </c>
      <c r="R549" s="6"/>
    </row>
    <row r="550" spans="1:18" x14ac:dyDescent="0.15">
      <c r="C550" t="s">
        <v>17</v>
      </c>
      <c r="D550">
        <v>2.9761904761899998</v>
      </c>
      <c r="E550">
        <v>1000</v>
      </c>
      <c r="F550" t="s">
        <v>18</v>
      </c>
      <c r="G550">
        <v>0</v>
      </c>
      <c r="H550">
        <v>0</v>
      </c>
      <c r="I550" t="s">
        <v>488</v>
      </c>
      <c r="J550" t="s">
        <v>1234</v>
      </c>
      <c r="K550" t="s">
        <v>1235</v>
      </c>
      <c r="M550" t="s">
        <v>487</v>
      </c>
      <c r="N550">
        <v>0</v>
      </c>
      <c r="O550" t="s">
        <v>1241</v>
      </c>
      <c r="P550">
        <v>53.85</v>
      </c>
      <c r="Q550">
        <v>160.2678571428315</v>
      </c>
      <c r="R550" s="6"/>
    </row>
    <row r="551" spans="1:18" x14ac:dyDescent="0.15">
      <c r="C551" t="s">
        <v>19</v>
      </c>
      <c r="D551">
        <v>3</v>
      </c>
      <c r="E551">
        <v>1</v>
      </c>
      <c r="F551" t="s">
        <v>18</v>
      </c>
      <c r="G551">
        <v>0</v>
      </c>
      <c r="H551">
        <v>0</v>
      </c>
      <c r="I551" t="s">
        <v>488</v>
      </c>
      <c r="J551" t="s">
        <v>1236</v>
      </c>
      <c r="K551" t="s">
        <v>1235</v>
      </c>
      <c r="M551" t="s">
        <v>487</v>
      </c>
      <c r="N551">
        <v>0</v>
      </c>
      <c r="O551" t="s">
        <v>1241</v>
      </c>
      <c r="P551">
        <v>34.65</v>
      </c>
      <c r="Q551">
        <v>103.94999999999999</v>
      </c>
      <c r="R551" s="6"/>
    </row>
    <row r="552" spans="1:18" x14ac:dyDescent="0.15">
      <c r="A552" t="s">
        <v>168</v>
      </c>
      <c r="B552" t="s">
        <v>479</v>
      </c>
      <c r="P552">
        <v>0.4557950312909993</v>
      </c>
      <c r="R552" s="6"/>
    </row>
    <row r="553" spans="1:18" x14ac:dyDescent="0.15">
      <c r="C553" t="s">
        <v>169</v>
      </c>
      <c r="D553">
        <v>1</v>
      </c>
      <c r="E553">
        <v>1</v>
      </c>
      <c r="F553" t="s">
        <v>9</v>
      </c>
      <c r="G553">
        <v>0</v>
      </c>
      <c r="H553">
        <v>0</v>
      </c>
      <c r="I553" t="s">
        <v>488</v>
      </c>
      <c r="J553" t="s">
        <v>1234</v>
      </c>
      <c r="K553" t="s">
        <v>1235</v>
      </c>
      <c r="M553" t="s">
        <v>487</v>
      </c>
      <c r="N553">
        <v>0</v>
      </c>
      <c r="O553" t="s">
        <v>1241</v>
      </c>
      <c r="P553">
        <v>0.4557950312909993</v>
      </c>
      <c r="Q553">
        <v>0.4557950312909993</v>
      </c>
      <c r="R553" s="6"/>
    </row>
    <row r="554" spans="1:18" x14ac:dyDescent="0.15">
      <c r="A554" t="s">
        <v>170</v>
      </c>
      <c r="B554" t="s">
        <v>479</v>
      </c>
      <c r="P554">
        <v>0.91159006258199859</v>
      </c>
      <c r="R554" s="6"/>
    </row>
    <row r="555" spans="1:18" x14ac:dyDescent="0.15">
      <c r="C555" t="s">
        <v>169</v>
      </c>
      <c r="D555">
        <v>2</v>
      </c>
      <c r="E555">
        <v>1</v>
      </c>
      <c r="F555" t="s">
        <v>9</v>
      </c>
      <c r="G555">
        <v>0</v>
      </c>
      <c r="H555">
        <v>0</v>
      </c>
      <c r="I555" t="s">
        <v>488</v>
      </c>
      <c r="J555" t="s">
        <v>1234</v>
      </c>
      <c r="K555" t="s">
        <v>1235</v>
      </c>
      <c r="M555" t="s">
        <v>487</v>
      </c>
      <c r="N555">
        <v>0</v>
      </c>
      <c r="O555" t="s">
        <v>1241</v>
      </c>
      <c r="P555">
        <v>0.4557950312909993</v>
      </c>
      <c r="Q555">
        <v>0.91159006258199859</v>
      </c>
      <c r="R555" s="6"/>
    </row>
    <row r="556" spans="1:18" x14ac:dyDescent="0.15">
      <c r="A556" t="s">
        <v>171</v>
      </c>
      <c r="B556" t="s">
        <v>479</v>
      </c>
      <c r="P556">
        <v>0.22789751564549965</v>
      </c>
      <c r="R556" s="6"/>
    </row>
    <row r="557" spans="1:18" x14ac:dyDescent="0.15">
      <c r="C557" t="s">
        <v>169</v>
      </c>
      <c r="D557">
        <v>500</v>
      </c>
      <c r="E557">
        <v>1000</v>
      </c>
      <c r="F557" t="s">
        <v>9</v>
      </c>
      <c r="G557">
        <v>0</v>
      </c>
      <c r="H557">
        <v>0</v>
      </c>
      <c r="I557" t="s">
        <v>488</v>
      </c>
      <c r="J557" t="s">
        <v>1234</v>
      </c>
      <c r="K557" t="s">
        <v>1235</v>
      </c>
      <c r="M557" t="s">
        <v>487</v>
      </c>
      <c r="N557">
        <v>0</v>
      </c>
      <c r="O557" t="s">
        <v>1241</v>
      </c>
      <c r="P557">
        <v>0.4557950312909993</v>
      </c>
      <c r="Q557">
        <v>227.89751564549965</v>
      </c>
      <c r="R557" s="6"/>
    </row>
    <row r="558" spans="1:18" x14ac:dyDescent="0.15">
      <c r="A558" t="s">
        <v>169</v>
      </c>
      <c r="B558" t="s">
        <v>9</v>
      </c>
      <c r="P558">
        <v>0.4557950312909993</v>
      </c>
      <c r="R558" s="6"/>
    </row>
    <row r="559" spans="1:18" x14ac:dyDescent="0.15">
      <c r="C559" t="s">
        <v>34</v>
      </c>
      <c r="D559">
        <v>3</v>
      </c>
      <c r="E559">
        <v>1</v>
      </c>
      <c r="F559" t="s">
        <v>9</v>
      </c>
      <c r="G559">
        <v>3</v>
      </c>
      <c r="H559">
        <v>0</v>
      </c>
      <c r="I559" t="s">
        <v>488</v>
      </c>
      <c r="J559" t="s">
        <v>1234</v>
      </c>
      <c r="K559" t="s">
        <v>1235</v>
      </c>
      <c r="M559" t="s">
        <v>487</v>
      </c>
      <c r="N559">
        <v>0</v>
      </c>
      <c r="O559" t="s">
        <v>1241</v>
      </c>
      <c r="P559">
        <v>9.4000000000000004E-3</v>
      </c>
      <c r="Q559">
        <v>29.045999999999999</v>
      </c>
      <c r="R559" s="6"/>
    </row>
    <row r="560" spans="1:18" x14ac:dyDescent="0.15">
      <c r="C560" t="s">
        <v>12</v>
      </c>
      <c r="D560">
        <v>0.109221105528</v>
      </c>
      <c r="E560">
        <v>1</v>
      </c>
      <c r="F560" t="s">
        <v>13</v>
      </c>
      <c r="G560">
        <v>3</v>
      </c>
      <c r="H560">
        <v>0</v>
      </c>
      <c r="I560" t="s">
        <v>488</v>
      </c>
      <c r="J560" t="s">
        <v>1234</v>
      </c>
      <c r="K560" t="s">
        <v>1235</v>
      </c>
      <c r="M560" t="s">
        <v>487</v>
      </c>
      <c r="N560">
        <v>0</v>
      </c>
      <c r="O560" t="s">
        <v>1241</v>
      </c>
      <c r="P560">
        <v>1.03E-2</v>
      </c>
      <c r="Q560">
        <v>1.158726708546552</v>
      </c>
      <c r="R560" s="6"/>
    </row>
    <row r="561" spans="1:18" x14ac:dyDescent="0.15">
      <c r="C561" t="s">
        <v>14</v>
      </c>
      <c r="D561">
        <v>0.12135678392</v>
      </c>
      <c r="E561">
        <v>1</v>
      </c>
      <c r="F561" t="s">
        <v>13</v>
      </c>
      <c r="G561">
        <v>3</v>
      </c>
      <c r="H561">
        <v>0</v>
      </c>
      <c r="I561" t="s">
        <v>488</v>
      </c>
      <c r="J561" t="s">
        <v>1234</v>
      </c>
      <c r="K561" t="s">
        <v>1235</v>
      </c>
      <c r="M561" t="s">
        <v>487</v>
      </c>
      <c r="N561">
        <v>0</v>
      </c>
      <c r="O561" t="s">
        <v>1241</v>
      </c>
      <c r="P561">
        <v>5.4900000000000001E-3</v>
      </c>
      <c r="Q561">
        <v>0.68623620603242397</v>
      </c>
      <c r="R561" s="6"/>
    </row>
    <row r="562" spans="1:18" x14ac:dyDescent="0.15">
      <c r="C562" t="s">
        <v>15</v>
      </c>
      <c r="D562">
        <v>2.4271356783920002</v>
      </c>
      <c r="E562">
        <v>1000</v>
      </c>
      <c r="F562" t="s">
        <v>13</v>
      </c>
      <c r="G562">
        <v>3</v>
      </c>
      <c r="H562">
        <v>0</v>
      </c>
      <c r="I562" t="s">
        <v>488</v>
      </c>
      <c r="J562" t="s">
        <v>1234</v>
      </c>
      <c r="K562" t="s">
        <v>1235</v>
      </c>
      <c r="M562" t="s">
        <v>487</v>
      </c>
      <c r="N562">
        <v>0</v>
      </c>
      <c r="O562" t="s">
        <v>1241</v>
      </c>
      <c r="P562">
        <v>7.9819999999999988E-2</v>
      </c>
      <c r="Q562">
        <v>0.19954598894472692</v>
      </c>
      <c r="R562" s="6"/>
    </row>
    <row r="563" spans="1:18" x14ac:dyDescent="0.15">
      <c r="C563" t="s">
        <v>23</v>
      </c>
      <c r="D563">
        <v>6.0678391959800004</v>
      </c>
      <c r="E563">
        <v>1000</v>
      </c>
      <c r="F563" t="s">
        <v>13</v>
      </c>
      <c r="G563">
        <v>3</v>
      </c>
      <c r="H563">
        <v>0</v>
      </c>
      <c r="I563" t="s">
        <v>488</v>
      </c>
      <c r="J563" t="s">
        <v>1234</v>
      </c>
      <c r="K563" t="s">
        <v>1235</v>
      </c>
      <c r="M563" t="s">
        <v>487</v>
      </c>
      <c r="N563">
        <v>0</v>
      </c>
      <c r="O563" t="s">
        <v>1241</v>
      </c>
      <c r="P563">
        <v>2.3609999999999999E-2</v>
      </c>
      <c r="Q563">
        <v>0.14755953391960044</v>
      </c>
      <c r="R563" s="6"/>
    </row>
    <row r="564" spans="1:18" x14ac:dyDescent="0.15">
      <c r="C564" t="s">
        <v>24</v>
      </c>
      <c r="D564">
        <v>2.4271356783920002</v>
      </c>
      <c r="E564">
        <v>1000</v>
      </c>
      <c r="F564" t="s">
        <v>13</v>
      </c>
      <c r="G564">
        <v>3</v>
      </c>
      <c r="H564">
        <v>0</v>
      </c>
      <c r="I564" t="s">
        <v>488</v>
      </c>
      <c r="J564" t="s">
        <v>1234</v>
      </c>
      <c r="K564" t="s">
        <v>1235</v>
      </c>
      <c r="M564" t="s">
        <v>487</v>
      </c>
      <c r="N564">
        <v>0</v>
      </c>
      <c r="O564" t="s">
        <v>1241</v>
      </c>
      <c r="P564">
        <v>2.8500000000000001E-2</v>
      </c>
      <c r="Q564">
        <v>7.1248567839197169E-2</v>
      </c>
      <c r="R564" s="6"/>
    </row>
    <row r="565" spans="1:18" x14ac:dyDescent="0.15">
      <c r="C565" t="s">
        <v>17</v>
      </c>
      <c r="D565">
        <v>5.9523809523809996</v>
      </c>
      <c r="E565">
        <v>1000</v>
      </c>
      <c r="F565" t="s">
        <v>18</v>
      </c>
      <c r="G565">
        <v>0</v>
      </c>
      <c r="H565">
        <v>0</v>
      </c>
      <c r="I565" t="s">
        <v>488</v>
      </c>
      <c r="J565" t="s">
        <v>1234</v>
      </c>
      <c r="K565" t="s">
        <v>1235</v>
      </c>
      <c r="M565" t="s">
        <v>487</v>
      </c>
      <c r="N565">
        <v>0</v>
      </c>
      <c r="O565" t="s">
        <v>1241</v>
      </c>
      <c r="P565">
        <v>53.85</v>
      </c>
      <c r="Q565">
        <v>320.53571428571684</v>
      </c>
      <c r="R565" s="6"/>
    </row>
    <row r="566" spans="1:18" x14ac:dyDescent="0.15">
      <c r="C566" t="s">
        <v>19</v>
      </c>
      <c r="D566">
        <v>3</v>
      </c>
      <c r="E566">
        <v>1</v>
      </c>
      <c r="F566" t="s">
        <v>18</v>
      </c>
      <c r="G566">
        <v>0</v>
      </c>
      <c r="H566">
        <v>0</v>
      </c>
      <c r="I566" t="s">
        <v>488</v>
      </c>
      <c r="J566" t="s">
        <v>1236</v>
      </c>
      <c r="K566" t="s">
        <v>1235</v>
      </c>
      <c r="M566" t="s">
        <v>487</v>
      </c>
      <c r="N566">
        <v>0</v>
      </c>
      <c r="O566" t="s">
        <v>1241</v>
      </c>
      <c r="P566">
        <v>34.65</v>
      </c>
      <c r="Q566">
        <v>103.94999999999999</v>
      </c>
      <c r="R566" s="6"/>
    </row>
    <row r="567" spans="1:18" x14ac:dyDescent="0.15">
      <c r="A567" t="s">
        <v>172</v>
      </c>
      <c r="B567" t="s">
        <v>479</v>
      </c>
      <c r="P567">
        <v>1.5335320893029887</v>
      </c>
      <c r="R567" s="6"/>
    </row>
    <row r="568" spans="1:18" x14ac:dyDescent="0.15">
      <c r="C568" t="s">
        <v>173</v>
      </c>
      <c r="D568">
        <v>1</v>
      </c>
      <c r="E568">
        <v>1</v>
      </c>
      <c r="F568" t="s">
        <v>9</v>
      </c>
      <c r="G568">
        <v>0</v>
      </c>
      <c r="H568">
        <v>0</v>
      </c>
      <c r="I568" t="s">
        <v>488</v>
      </c>
      <c r="J568" t="s">
        <v>1234</v>
      </c>
      <c r="K568" t="s">
        <v>1235</v>
      </c>
      <c r="M568" t="s">
        <v>487</v>
      </c>
      <c r="N568">
        <v>0</v>
      </c>
      <c r="O568" t="s">
        <v>1241</v>
      </c>
      <c r="P568">
        <v>1.5335320893029887</v>
      </c>
      <c r="Q568">
        <v>1.5335320893029887</v>
      </c>
      <c r="R568" s="6"/>
    </row>
    <row r="569" spans="1:18" x14ac:dyDescent="0.15">
      <c r="A569" t="s">
        <v>174</v>
      </c>
      <c r="B569" t="s">
        <v>479</v>
      </c>
      <c r="P569">
        <v>3.0670641786059774</v>
      </c>
      <c r="R569" s="6"/>
    </row>
    <row r="570" spans="1:18" x14ac:dyDescent="0.15">
      <c r="C570" t="s">
        <v>173</v>
      </c>
      <c r="D570">
        <v>2</v>
      </c>
      <c r="E570">
        <v>1</v>
      </c>
      <c r="F570" t="s">
        <v>9</v>
      </c>
      <c r="G570">
        <v>0</v>
      </c>
      <c r="H570">
        <v>0</v>
      </c>
      <c r="I570" t="s">
        <v>488</v>
      </c>
      <c r="J570" t="s">
        <v>1234</v>
      </c>
      <c r="K570" t="s">
        <v>1235</v>
      </c>
      <c r="M570" t="s">
        <v>487</v>
      </c>
      <c r="N570">
        <v>0</v>
      </c>
      <c r="O570" t="s">
        <v>1241</v>
      </c>
      <c r="P570">
        <v>1.5335320893029887</v>
      </c>
      <c r="Q570">
        <v>3.0670641786059774</v>
      </c>
      <c r="R570" s="6"/>
    </row>
    <row r="571" spans="1:18" x14ac:dyDescent="0.15">
      <c r="A571" t="s">
        <v>175</v>
      </c>
      <c r="B571" t="s">
        <v>479</v>
      </c>
      <c r="P571">
        <v>0.76676604465149434</v>
      </c>
      <c r="R571" s="6"/>
    </row>
    <row r="572" spans="1:18" x14ac:dyDescent="0.15">
      <c r="C572" t="s">
        <v>173</v>
      </c>
      <c r="D572">
        <v>500</v>
      </c>
      <c r="E572">
        <v>1000</v>
      </c>
      <c r="F572" t="s">
        <v>9</v>
      </c>
      <c r="G572">
        <v>0</v>
      </c>
      <c r="H572">
        <v>0</v>
      </c>
      <c r="I572" t="s">
        <v>488</v>
      </c>
      <c r="J572" t="s">
        <v>1234</v>
      </c>
      <c r="K572" t="s">
        <v>1235</v>
      </c>
      <c r="M572" t="s">
        <v>487</v>
      </c>
      <c r="N572">
        <v>0</v>
      </c>
      <c r="O572" t="s">
        <v>1241</v>
      </c>
      <c r="P572">
        <v>1.5335320893029887</v>
      </c>
      <c r="Q572">
        <v>766.76604465149433</v>
      </c>
      <c r="R572" s="6"/>
    </row>
    <row r="573" spans="1:18" x14ac:dyDescent="0.15">
      <c r="A573" t="s">
        <v>173</v>
      </c>
      <c r="B573" t="s">
        <v>9</v>
      </c>
      <c r="P573">
        <v>1.5335320893029887</v>
      </c>
      <c r="R573" s="6"/>
    </row>
    <row r="574" spans="1:18" x14ac:dyDescent="0.15">
      <c r="C574" t="s">
        <v>176</v>
      </c>
      <c r="D574">
        <v>28</v>
      </c>
      <c r="E574">
        <v>1</v>
      </c>
      <c r="F574" t="s">
        <v>9</v>
      </c>
      <c r="G574">
        <v>3</v>
      </c>
      <c r="H574">
        <v>0</v>
      </c>
      <c r="I574" t="s">
        <v>488</v>
      </c>
      <c r="J574" t="s">
        <v>1234</v>
      </c>
      <c r="K574" t="s">
        <v>1235</v>
      </c>
      <c r="M574" t="s">
        <v>487</v>
      </c>
      <c r="N574">
        <v>0</v>
      </c>
      <c r="O574" t="s">
        <v>1241</v>
      </c>
      <c r="P574">
        <v>0</v>
      </c>
      <c r="Q574">
        <v>0</v>
      </c>
      <c r="R574" s="9" t="s">
        <v>1246</v>
      </c>
    </row>
    <row r="575" spans="1:18" x14ac:dyDescent="0.15">
      <c r="C575" t="s">
        <v>12</v>
      </c>
      <c r="D575">
        <v>14.689447236181</v>
      </c>
      <c r="E575">
        <v>1</v>
      </c>
      <c r="F575" t="s">
        <v>13</v>
      </c>
      <c r="G575">
        <v>3</v>
      </c>
      <c r="H575">
        <v>0</v>
      </c>
      <c r="I575" t="s">
        <v>488</v>
      </c>
      <c r="J575" t="s">
        <v>1234</v>
      </c>
      <c r="K575" t="s">
        <v>1235</v>
      </c>
      <c r="M575" t="s">
        <v>487</v>
      </c>
      <c r="N575">
        <v>0</v>
      </c>
      <c r="O575" t="s">
        <v>1241</v>
      </c>
      <c r="P575">
        <v>1.03E-2</v>
      </c>
      <c r="Q575">
        <v>155.84034572864422</v>
      </c>
      <c r="R575" s="6"/>
    </row>
    <row r="576" spans="1:18" x14ac:dyDescent="0.15">
      <c r="C576" t="s">
        <v>14</v>
      </c>
      <c r="D576">
        <v>16.321608040201003</v>
      </c>
      <c r="E576">
        <v>1</v>
      </c>
      <c r="F576" t="s">
        <v>13</v>
      </c>
      <c r="G576">
        <v>3</v>
      </c>
      <c r="H576">
        <v>0</v>
      </c>
      <c r="I576" t="s">
        <v>488</v>
      </c>
      <c r="J576" t="s">
        <v>1234</v>
      </c>
      <c r="K576" t="s">
        <v>1235</v>
      </c>
      <c r="M576" t="s">
        <v>487</v>
      </c>
      <c r="N576">
        <v>0</v>
      </c>
      <c r="O576" t="s">
        <v>1241</v>
      </c>
      <c r="P576">
        <v>5.4900000000000001E-3</v>
      </c>
      <c r="Q576">
        <v>92.293796984924612</v>
      </c>
      <c r="R576" s="6"/>
    </row>
    <row r="577" spans="1:18" x14ac:dyDescent="0.15">
      <c r="C577" t="s">
        <v>15</v>
      </c>
      <c r="D577">
        <v>0.326432160804</v>
      </c>
      <c r="E577">
        <v>1</v>
      </c>
      <c r="F577" t="s">
        <v>13</v>
      </c>
      <c r="G577">
        <v>3</v>
      </c>
      <c r="H577">
        <v>0</v>
      </c>
      <c r="I577" t="s">
        <v>488</v>
      </c>
      <c r="J577" t="s">
        <v>1234</v>
      </c>
      <c r="K577" t="s">
        <v>1235</v>
      </c>
      <c r="M577" t="s">
        <v>487</v>
      </c>
      <c r="N577">
        <v>0</v>
      </c>
      <c r="O577" t="s">
        <v>1241</v>
      </c>
      <c r="P577">
        <v>7.9819999999999988E-2</v>
      </c>
      <c r="Q577">
        <v>26.837489527636535</v>
      </c>
      <c r="R577" s="6"/>
    </row>
    <row r="578" spans="1:18" x14ac:dyDescent="0.15">
      <c r="C578" t="s">
        <v>23</v>
      </c>
      <c r="D578">
        <v>0.81608040200999998</v>
      </c>
      <c r="E578">
        <v>1</v>
      </c>
      <c r="F578" t="s">
        <v>13</v>
      </c>
      <c r="G578">
        <v>3</v>
      </c>
      <c r="H578">
        <v>0</v>
      </c>
      <c r="I578" t="s">
        <v>488</v>
      </c>
      <c r="J578" t="s">
        <v>1234</v>
      </c>
      <c r="K578" t="s">
        <v>1235</v>
      </c>
      <c r="M578" t="s">
        <v>487</v>
      </c>
      <c r="N578">
        <v>0</v>
      </c>
      <c r="O578" t="s">
        <v>1241</v>
      </c>
      <c r="P578">
        <v>2.3609999999999999E-2</v>
      </c>
      <c r="Q578">
        <v>19.845688040199782</v>
      </c>
      <c r="R578" s="6"/>
    </row>
    <row r="579" spans="1:18" x14ac:dyDescent="0.15">
      <c r="C579" t="s">
        <v>24</v>
      </c>
      <c r="D579">
        <v>0.326432160804</v>
      </c>
      <c r="E579">
        <v>1</v>
      </c>
      <c r="F579" t="s">
        <v>13</v>
      </c>
      <c r="G579">
        <v>3</v>
      </c>
      <c r="H579">
        <v>0</v>
      </c>
      <c r="I579" t="s">
        <v>488</v>
      </c>
      <c r="J579" t="s">
        <v>1234</v>
      </c>
      <c r="K579" t="s">
        <v>1235</v>
      </c>
      <c r="M579" t="s">
        <v>487</v>
      </c>
      <c r="N579">
        <v>0</v>
      </c>
      <c r="O579" t="s">
        <v>1241</v>
      </c>
      <c r="P579">
        <v>2.8500000000000001E-2</v>
      </c>
      <c r="Q579">
        <v>9.5824160804014209</v>
      </c>
      <c r="R579" s="6"/>
    </row>
    <row r="580" spans="1:18" x14ac:dyDescent="0.15">
      <c r="C580" t="s">
        <v>17</v>
      </c>
      <c r="D580">
        <v>19.607843137255003</v>
      </c>
      <c r="E580">
        <v>1000</v>
      </c>
      <c r="F580" t="s">
        <v>18</v>
      </c>
      <c r="G580">
        <v>0</v>
      </c>
      <c r="H580">
        <v>0</v>
      </c>
      <c r="I580" t="s">
        <v>488</v>
      </c>
      <c r="J580" t="s">
        <v>1234</v>
      </c>
      <c r="K580" t="s">
        <v>1235</v>
      </c>
      <c r="M580" t="s">
        <v>487</v>
      </c>
      <c r="N580">
        <v>0</v>
      </c>
      <c r="O580" t="s">
        <v>1241</v>
      </c>
      <c r="P580">
        <v>53.85</v>
      </c>
      <c r="Q580">
        <v>1055.882352941182</v>
      </c>
      <c r="R580" s="6"/>
    </row>
    <row r="581" spans="1:18" x14ac:dyDescent="0.15">
      <c r="C581" t="s">
        <v>19</v>
      </c>
      <c r="D581">
        <v>5</v>
      </c>
      <c r="E581">
        <v>1</v>
      </c>
      <c r="F581" t="s">
        <v>18</v>
      </c>
      <c r="G581">
        <v>0</v>
      </c>
      <c r="H581">
        <v>0</v>
      </c>
      <c r="I581" t="s">
        <v>488</v>
      </c>
      <c r="J581" t="s">
        <v>1236</v>
      </c>
      <c r="K581" t="s">
        <v>1235</v>
      </c>
      <c r="M581" t="s">
        <v>487</v>
      </c>
      <c r="N581">
        <v>0</v>
      </c>
      <c r="O581" t="s">
        <v>1241</v>
      </c>
      <c r="P581">
        <v>34.65</v>
      </c>
      <c r="Q581">
        <v>173.25</v>
      </c>
      <c r="R581" s="6"/>
    </row>
    <row r="582" spans="1:18" x14ac:dyDescent="0.15">
      <c r="A582" t="s">
        <v>177</v>
      </c>
      <c r="B582" t="s">
        <v>479</v>
      </c>
      <c r="P582">
        <v>1.6647532512964831</v>
      </c>
      <c r="R582" s="6"/>
    </row>
    <row r="583" spans="1:18" x14ac:dyDescent="0.15">
      <c r="C583" t="s">
        <v>178</v>
      </c>
      <c r="D583">
        <v>1</v>
      </c>
      <c r="E583">
        <v>1</v>
      </c>
      <c r="F583" t="s">
        <v>9</v>
      </c>
      <c r="G583">
        <v>0</v>
      </c>
      <c r="H583">
        <v>0</v>
      </c>
      <c r="I583" t="s">
        <v>488</v>
      </c>
      <c r="J583" t="s">
        <v>1234</v>
      </c>
      <c r="K583" t="s">
        <v>1235</v>
      </c>
      <c r="M583" t="s">
        <v>487</v>
      </c>
      <c r="N583">
        <v>0</v>
      </c>
      <c r="O583" t="s">
        <v>1241</v>
      </c>
      <c r="P583">
        <v>1.6647532512964831</v>
      </c>
      <c r="Q583">
        <v>1.6647532512964831</v>
      </c>
      <c r="R583" s="6"/>
    </row>
    <row r="584" spans="1:18" x14ac:dyDescent="0.15">
      <c r="A584" t="s">
        <v>179</v>
      </c>
      <c r="B584" t="s">
        <v>479</v>
      </c>
      <c r="P584">
        <v>0.83237662564824155</v>
      </c>
      <c r="R584" s="6"/>
    </row>
    <row r="585" spans="1:18" x14ac:dyDescent="0.15">
      <c r="C585" t="s">
        <v>178</v>
      </c>
      <c r="D585">
        <v>500</v>
      </c>
      <c r="E585">
        <v>1000</v>
      </c>
      <c r="F585" t="s">
        <v>9</v>
      </c>
      <c r="G585">
        <v>0</v>
      </c>
      <c r="H585">
        <v>0</v>
      </c>
      <c r="I585" t="s">
        <v>488</v>
      </c>
      <c r="J585" t="s">
        <v>1234</v>
      </c>
      <c r="K585" t="s">
        <v>1235</v>
      </c>
      <c r="M585" t="s">
        <v>487</v>
      </c>
      <c r="N585">
        <v>0</v>
      </c>
      <c r="O585" t="s">
        <v>1241</v>
      </c>
      <c r="P585">
        <v>1.6647532512964831</v>
      </c>
      <c r="Q585">
        <v>832.37662564824154</v>
      </c>
      <c r="R585" s="6"/>
    </row>
    <row r="586" spans="1:18" x14ac:dyDescent="0.15">
      <c r="A586" t="s">
        <v>178</v>
      </c>
      <c r="B586" t="s">
        <v>9</v>
      </c>
      <c r="P586">
        <v>1.6647532512964831</v>
      </c>
      <c r="R586" s="6"/>
    </row>
    <row r="587" spans="1:18" x14ac:dyDescent="0.15">
      <c r="C587" t="s">
        <v>176</v>
      </c>
      <c r="D587">
        <v>34</v>
      </c>
      <c r="E587">
        <v>1</v>
      </c>
      <c r="F587" t="s">
        <v>9</v>
      </c>
      <c r="G587">
        <v>3</v>
      </c>
      <c r="H587">
        <v>0</v>
      </c>
      <c r="I587" t="s">
        <v>488</v>
      </c>
      <c r="J587" t="s">
        <v>1234</v>
      </c>
      <c r="K587" t="s">
        <v>1235</v>
      </c>
      <c r="M587" t="s">
        <v>487</v>
      </c>
      <c r="N587">
        <v>0</v>
      </c>
      <c r="O587" t="s">
        <v>1241</v>
      </c>
      <c r="P587">
        <v>0</v>
      </c>
      <c r="Q587">
        <v>0</v>
      </c>
      <c r="R587" s="9" t="s">
        <v>1246</v>
      </c>
    </row>
    <row r="588" spans="1:18" x14ac:dyDescent="0.15">
      <c r="C588" t="s">
        <v>12</v>
      </c>
      <c r="D588">
        <v>17.837185929648001</v>
      </c>
      <c r="E588">
        <v>1</v>
      </c>
      <c r="F588" t="s">
        <v>13</v>
      </c>
      <c r="G588">
        <v>3</v>
      </c>
      <c r="H588">
        <v>0</v>
      </c>
      <c r="I588" t="s">
        <v>488</v>
      </c>
      <c r="J588" t="s">
        <v>1234</v>
      </c>
      <c r="K588" t="s">
        <v>1235</v>
      </c>
      <c r="M588" t="s">
        <v>487</v>
      </c>
      <c r="N588">
        <v>0</v>
      </c>
      <c r="O588" t="s">
        <v>1241</v>
      </c>
      <c r="P588">
        <v>1.03E-2</v>
      </c>
      <c r="Q588">
        <v>189.23470552763567</v>
      </c>
      <c r="R588" s="6"/>
    </row>
    <row r="589" spans="1:18" x14ac:dyDescent="0.15">
      <c r="C589" t="s">
        <v>14</v>
      </c>
      <c r="D589">
        <v>19.819095477386998</v>
      </c>
      <c r="E589">
        <v>1</v>
      </c>
      <c r="F589" t="s">
        <v>13</v>
      </c>
      <c r="G589">
        <v>3</v>
      </c>
      <c r="H589">
        <v>0</v>
      </c>
      <c r="I589" t="s">
        <v>488</v>
      </c>
      <c r="J589" t="s">
        <v>1234</v>
      </c>
      <c r="K589" t="s">
        <v>1235</v>
      </c>
      <c r="M589" t="s">
        <v>487</v>
      </c>
      <c r="N589">
        <v>0</v>
      </c>
      <c r="O589" t="s">
        <v>1241</v>
      </c>
      <c r="P589">
        <v>5.4900000000000001E-3</v>
      </c>
      <c r="Q589">
        <v>112.07103919598026</v>
      </c>
      <c r="R589" s="6"/>
    </row>
    <row r="590" spans="1:18" x14ac:dyDescent="0.15">
      <c r="C590" t="s">
        <v>15</v>
      </c>
      <c r="D590">
        <v>0.39638190954800001</v>
      </c>
      <c r="E590">
        <v>1</v>
      </c>
      <c r="F590" t="s">
        <v>13</v>
      </c>
      <c r="G590">
        <v>3</v>
      </c>
      <c r="H590">
        <v>0</v>
      </c>
      <c r="I590" t="s">
        <v>488</v>
      </c>
      <c r="J590" t="s">
        <v>1234</v>
      </c>
      <c r="K590" t="s">
        <v>1235</v>
      </c>
      <c r="M590" t="s">
        <v>487</v>
      </c>
      <c r="N590">
        <v>0</v>
      </c>
      <c r="O590" t="s">
        <v>1241</v>
      </c>
      <c r="P590">
        <v>7.9819999999999988E-2</v>
      </c>
      <c r="Q590">
        <v>32.588380140725</v>
      </c>
      <c r="R590" s="6"/>
    </row>
    <row r="591" spans="1:18" x14ac:dyDescent="0.15">
      <c r="C591" t="s">
        <v>23</v>
      </c>
      <c r="D591">
        <v>0.99095477386899999</v>
      </c>
      <c r="E591">
        <v>1</v>
      </c>
      <c r="F591" t="s">
        <v>13</v>
      </c>
      <c r="G591">
        <v>3</v>
      </c>
      <c r="H591">
        <v>0</v>
      </c>
      <c r="I591" t="s">
        <v>488</v>
      </c>
      <c r="J591" t="s">
        <v>1234</v>
      </c>
      <c r="K591" t="s">
        <v>1235</v>
      </c>
      <c r="M591" t="s">
        <v>487</v>
      </c>
      <c r="N591">
        <v>0</v>
      </c>
      <c r="O591" t="s">
        <v>1241</v>
      </c>
      <c r="P591">
        <v>2.3609999999999999E-2</v>
      </c>
      <c r="Q591">
        <v>24.098335477378502</v>
      </c>
      <c r="R591" s="6"/>
    </row>
    <row r="592" spans="1:18" x14ac:dyDescent="0.15">
      <c r="C592" t="s">
        <v>24</v>
      </c>
      <c r="D592">
        <v>0.39638190954800001</v>
      </c>
      <c r="E592">
        <v>1</v>
      </c>
      <c r="F592" t="s">
        <v>13</v>
      </c>
      <c r="G592">
        <v>3</v>
      </c>
      <c r="H592">
        <v>0</v>
      </c>
      <c r="I592" t="s">
        <v>488</v>
      </c>
      <c r="J592" t="s">
        <v>1234</v>
      </c>
      <c r="K592" t="s">
        <v>1235</v>
      </c>
      <c r="M592" t="s">
        <v>487</v>
      </c>
      <c r="N592">
        <v>0</v>
      </c>
      <c r="O592" t="s">
        <v>1241</v>
      </c>
      <c r="P592">
        <v>2.8500000000000001E-2</v>
      </c>
      <c r="Q592">
        <v>11.635790954781541</v>
      </c>
      <c r="R592" s="6"/>
    </row>
    <row r="593" spans="1:18" x14ac:dyDescent="0.15">
      <c r="C593" t="s">
        <v>17</v>
      </c>
      <c r="D593">
        <v>20.833333333332998</v>
      </c>
      <c r="E593">
        <v>1000</v>
      </c>
      <c r="F593" t="s">
        <v>18</v>
      </c>
      <c r="G593">
        <v>0</v>
      </c>
      <c r="H593">
        <v>0</v>
      </c>
      <c r="I593" t="s">
        <v>488</v>
      </c>
      <c r="J593" t="s">
        <v>1234</v>
      </c>
      <c r="K593" t="s">
        <v>1235</v>
      </c>
      <c r="M593" t="s">
        <v>487</v>
      </c>
      <c r="N593">
        <v>0</v>
      </c>
      <c r="O593" t="s">
        <v>1241</v>
      </c>
      <c r="P593">
        <v>53.85</v>
      </c>
      <c r="Q593">
        <v>1121.874999999982</v>
      </c>
      <c r="R593" s="6"/>
    </row>
    <row r="594" spans="1:18" x14ac:dyDescent="0.15">
      <c r="C594" t="s">
        <v>19</v>
      </c>
      <c r="D594">
        <v>5</v>
      </c>
      <c r="E594">
        <v>1</v>
      </c>
      <c r="F594" t="s">
        <v>18</v>
      </c>
      <c r="G594">
        <v>0</v>
      </c>
      <c r="H594">
        <v>0</v>
      </c>
      <c r="I594" t="s">
        <v>488</v>
      </c>
      <c r="J594" t="s">
        <v>1236</v>
      </c>
      <c r="K594" t="s">
        <v>1235</v>
      </c>
      <c r="M594" t="s">
        <v>487</v>
      </c>
      <c r="N594">
        <v>0</v>
      </c>
      <c r="O594" t="s">
        <v>1241</v>
      </c>
      <c r="P594">
        <v>34.65</v>
      </c>
      <c r="Q594">
        <v>173.25</v>
      </c>
      <c r="R594" s="6"/>
    </row>
    <row r="595" spans="1:18" x14ac:dyDescent="0.15">
      <c r="A595" t="s">
        <v>180</v>
      </c>
      <c r="B595" t="s">
        <v>479</v>
      </c>
      <c r="P595">
        <v>1.7714264032034812</v>
      </c>
      <c r="R595" s="6"/>
    </row>
    <row r="596" spans="1:18" x14ac:dyDescent="0.15">
      <c r="C596" t="s">
        <v>181</v>
      </c>
      <c r="D596">
        <v>1</v>
      </c>
      <c r="E596">
        <v>1</v>
      </c>
      <c r="F596" t="s">
        <v>9</v>
      </c>
      <c r="G596">
        <v>0</v>
      </c>
      <c r="H596">
        <v>0</v>
      </c>
      <c r="I596" t="s">
        <v>488</v>
      </c>
      <c r="J596" t="s">
        <v>1234</v>
      </c>
      <c r="K596" t="s">
        <v>1235</v>
      </c>
      <c r="M596" t="s">
        <v>487</v>
      </c>
      <c r="N596">
        <v>0</v>
      </c>
      <c r="O596" t="s">
        <v>1241</v>
      </c>
      <c r="P596">
        <v>1.7714264032034812</v>
      </c>
      <c r="Q596">
        <v>1.7714264032034812</v>
      </c>
      <c r="R596" s="6"/>
    </row>
    <row r="597" spans="1:18" x14ac:dyDescent="0.15">
      <c r="A597" t="s">
        <v>182</v>
      </c>
      <c r="B597" t="s">
        <v>479</v>
      </c>
      <c r="P597">
        <v>3.5428528064069624</v>
      </c>
      <c r="R597" s="6"/>
    </row>
    <row r="598" spans="1:18" x14ac:dyDescent="0.15">
      <c r="C598" t="s">
        <v>181</v>
      </c>
      <c r="D598">
        <v>2</v>
      </c>
      <c r="E598">
        <v>1</v>
      </c>
      <c r="F598" t="s">
        <v>9</v>
      </c>
      <c r="G598">
        <v>0</v>
      </c>
      <c r="H598">
        <v>0</v>
      </c>
      <c r="I598" t="s">
        <v>488</v>
      </c>
      <c r="J598" t="s">
        <v>1234</v>
      </c>
      <c r="K598" t="s">
        <v>1235</v>
      </c>
      <c r="M598" t="s">
        <v>487</v>
      </c>
      <c r="N598">
        <v>0</v>
      </c>
      <c r="O598" t="s">
        <v>1241</v>
      </c>
      <c r="P598">
        <v>1.7714264032034812</v>
      </c>
      <c r="Q598">
        <v>3.5428528064069624</v>
      </c>
      <c r="R598" s="6"/>
    </row>
    <row r="599" spans="1:18" x14ac:dyDescent="0.15">
      <c r="A599" t="s">
        <v>183</v>
      </c>
      <c r="B599" t="s">
        <v>479</v>
      </c>
      <c r="P599">
        <v>8.8571320160174061</v>
      </c>
      <c r="R599" s="6"/>
    </row>
    <row r="600" spans="1:18" x14ac:dyDescent="0.15">
      <c r="C600" t="s">
        <v>181</v>
      </c>
      <c r="D600">
        <v>5</v>
      </c>
      <c r="E600">
        <v>1</v>
      </c>
      <c r="F600" t="s">
        <v>9</v>
      </c>
      <c r="G600">
        <v>0</v>
      </c>
      <c r="H600">
        <v>0</v>
      </c>
      <c r="I600" t="s">
        <v>488</v>
      </c>
      <c r="J600" t="s">
        <v>1234</v>
      </c>
      <c r="K600" t="s">
        <v>1235</v>
      </c>
      <c r="M600" t="s">
        <v>487</v>
      </c>
      <c r="N600">
        <v>0</v>
      </c>
      <c r="O600" t="s">
        <v>1241</v>
      </c>
      <c r="P600">
        <v>1.7714264032034812</v>
      </c>
      <c r="Q600">
        <v>8.8571320160174061</v>
      </c>
      <c r="R600" s="6"/>
    </row>
    <row r="601" spans="1:18" x14ac:dyDescent="0.15">
      <c r="A601" t="s">
        <v>184</v>
      </c>
      <c r="B601" t="s">
        <v>479</v>
      </c>
      <c r="P601">
        <v>0.88571320160174061</v>
      </c>
      <c r="R601" s="6"/>
    </row>
    <row r="602" spans="1:18" x14ac:dyDescent="0.15">
      <c r="C602" t="s">
        <v>181</v>
      </c>
      <c r="D602">
        <v>500</v>
      </c>
      <c r="E602">
        <v>1000</v>
      </c>
      <c r="F602" t="s">
        <v>9</v>
      </c>
      <c r="G602">
        <v>0</v>
      </c>
      <c r="H602">
        <v>0</v>
      </c>
      <c r="I602" t="s">
        <v>488</v>
      </c>
      <c r="J602" t="s">
        <v>1234</v>
      </c>
      <c r="K602" t="s">
        <v>1235</v>
      </c>
      <c r="M602" t="s">
        <v>487</v>
      </c>
      <c r="N602">
        <v>0</v>
      </c>
      <c r="O602" t="s">
        <v>1241</v>
      </c>
      <c r="P602">
        <v>1.7714264032034812</v>
      </c>
      <c r="Q602">
        <v>885.71320160174059</v>
      </c>
      <c r="R602" s="6"/>
    </row>
    <row r="603" spans="1:18" x14ac:dyDescent="0.15">
      <c r="A603" t="s">
        <v>181</v>
      </c>
      <c r="B603" t="s">
        <v>9</v>
      </c>
      <c r="P603">
        <v>1.7714264032034812</v>
      </c>
      <c r="R603" s="6"/>
    </row>
    <row r="604" spans="1:18" x14ac:dyDescent="0.15">
      <c r="C604" t="s">
        <v>176</v>
      </c>
      <c r="D604">
        <v>40</v>
      </c>
      <c r="E604">
        <v>1</v>
      </c>
      <c r="F604" t="s">
        <v>9</v>
      </c>
      <c r="G604">
        <v>3</v>
      </c>
      <c r="H604">
        <v>0</v>
      </c>
      <c r="I604" t="s">
        <v>488</v>
      </c>
      <c r="J604" t="s">
        <v>1234</v>
      </c>
      <c r="K604" t="s">
        <v>1235</v>
      </c>
      <c r="M604" t="s">
        <v>487</v>
      </c>
      <c r="N604">
        <v>0</v>
      </c>
      <c r="O604" t="s">
        <v>1241</v>
      </c>
      <c r="P604">
        <v>0</v>
      </c>
      <c r="Q604">
        <v>0</v>
      </c>
      <c r="R604" s="9" t="s">
        <v>1246</v>
      </c>
    </row>
    <row r="605" spans="1:18" x14ac:dyDescent="0.15">
      <c r="C605" t="s">
        <v>12</v>
      </c>
      <c r="D605">
        <v>21.312814070352001</v>
      </c>
      <c r="E605">
        <v>1</v>
      </c>
      <c r="F605" t="s">
        <v>13</v>
      </c>
      <c r="G605">
        <v>3</v>
      </c>
      <c r="H605">
        <v>0</v>
      </c>
      <c r="I605" t="s">
        <v>488</v>
      </c>
      <c r="J605" t="s">
        <v>1234</v>
      </c>
      <c r="K605" t="s">
        <v>1235</v>
      </c>
      <c r="M605" t="s">
        <v>487</v>
      </c>
      <c r="N605">
        <v>0</v>
      </c>
      <c r="O605" t="s">
        <v>1241</v>
      </c>
      <c r="P605">
        <v>1.03E-2</v>
      </c>
      <c r="Q605">
        <v>226.10764447236437</v>
      </c>
      <c r="R605" s="6"/>
    </row>
    <row r="606" spans="1:18" x14ac:dyDescent="0.15">
      <c r="C606" t="s">
        <v>14</v>
      </c>
      <c r="D606">
        <v>23.680904522613002</v>
      </c>
      <c r="E606">
        <v>1</v>
      </c>
      <c r="F606" t="s">
        <v>13</v>
      </c>
      <c r="G606">
        <v>3</v>
      </c>
      <c r="H606">
        <v>0</v>
      </c>
      <c r="I606" t="s">
        <v>488</v>
      </c>
      <c r="J606" t="s">
        <v>1234</v>
      </c>
      <c r="K606" t="s">
        <v>1235</v>
      </c>
      <c r="M606" t="s">
        <v>487</v>
      </c>
      <c r="N606">
        <v>0</v>
      </c>
      <c r="O606" t="s">
        <v>1241</v>
      </c>
      <c r="P606">
        <v>5.4900000000000001E-3</v>
      </c>
      <c r="Q606">
        <v>133.90841080401972</v>
      </c>
      <c r="R606" s="6"/>
    </row>
    <row r="607" spans="1:18" x14ac:dyDescent="0.15">
      <c r="C607" t="s">
        <v>15</v>
      </c>
      <c r="D607">
        <v>0.47361809045199998</v>
      </c>
      <c r="E607">
        <v>1</v>
      </c>
      <c r="F607" t="s">
        <v>13</v>
      </c>
      <c r="G607">
        <v>3</v>
      </c>
      <c r="H607">
        <v>0</v>
      </c>
      <c r="I607" t="s">
        <v>488</v>
      </c>
      <c r="J607" t="s">
        <v>1234</v>
      </c>
      <c r="K607" t="s">
        <v>1235</v>
      </c>
      <c r="M607" t="s">
        <v>487</v>
      </c>
      <c r="N607">
        <v>0</v>
      </c>
      <c r="O607" t="s">
        <v>1241</v>
      </c>
      <c r="P607">
        <v>7.9819999999999988E-2</v>
      </c>
      <c r="Q607">
        <v>38.938321859274993</v>
      </c>
      <c r="R607" s="6"/>
    </row>
    <row r="608" spans="1:18" x14ac:dyDescent="0.15">
      <c r="C608" t="s">
        <v>23</v>
      </c>
      <c r="D608">
        <v>1.1840452261309999</v>
      </c>
      <c r="E608">
        <v>1</v>
      </c>
      <c r="F608" t="s">
        <v>13</v>
      </c>
      <c r="G608">
        <v>3</v>
      </c>
      <c r="H608">
        <v>0</v>
      </c>
      <c r="I608" t="s">
        <v>488</v>
      </c>
      <c r="J608" t="s">
        <v>1234</v>
      </c>
      <c r="K608" t="s">
        <v>1235</v>
      </c>
      <c r="M608" t="s">
        <v>487</v>
      </c>
      <c r="N608">
        <v>0</v>
      </c>
      <c r="O608" t="s">
        <v>1241</v>
      </c>
      <c r="P608">
        <v>2.3609999999999999E-2</v>
      </c>
      <c r="Q608">
        <v>28.793967022621494</v>
      </c>
      <c r="R608" s="6"/>
    </row>
    <row r="609" spans="1:18" x14ac:dyDescent="0.15">
      <c r="C609" t="s">
        <v>24</v>
      </c>
      <c r="D609">
        <v>0.47361809045199998</v>
      </c>
      <c r="E609">
        <v>1</v>
      </c>
      <c r="F609" t="s">
        <v>13</v>
      </c>
      <c r="G609">
        <v>3</v>
      </c>
      <c r="H609">
        <v>0</v>
      </c>
      <c r="I609" t="s">
        <v>488</v>
      </c>
      <c r="J609" t="s">
        <v>1234</v>
      </c>
      <c r="K609" t="s">
        <v>1235</v>
      </c>
      <c r="M609" t="s">
        <v>487</v>
      </c>
      <c r="N609">
        <v>0</v>
      </c>
      <c r="O609" t="s">
        <v>1241</v>
      </c>
      <c r="P609">
        <v>2.8500000000000001E-2</v>
      </c>
      <c r="Q609">
        <v>13.903059045218461</v>
      </c>
      <c r="R609" s="6"/>
    </row>
    <row r="610" spans="1:18" x14ac:dyDescent="0.15">
      <c r="C610" t="s">
        <v>17</v>
      </c>
      <c r="D610">
        <v>20.833333333332998</v>
      </c>
      <c r="E610">
        <v>1000</v>
      </c>
      <c r="F610" t="s">
        <v>18</v>
      </c>
      <c r="G610">
        <v>0</v>
      </c>
      <c r="H610">
        <v>0</v>
      </c>
      <c r="I610" t="s">
        <v>488</v>
      </c>
      <c r="J610" t="s">
        <v>1234</v>
      </c>
      <c r="K610" t="s">
        <v>1235</v>
      </c>
      <c r="M610" t="s">
        <v>487</v>
      </c>
      <c r="N610">
        <v>0</v>
      </c>
      <c r="O610" t="s">
        <v>1241</v>
      </c>
      <c r="P610">
        <v>53.85</v>
      </c>
      <c r="Q610">
        <v>1121.874999999982</v>
      </c>
      <c r="R610" s="6"/>
    </row>
    <row r="611" spans="1:18" x14ac:dyDescent="0.15">
      <c r="C611" t="s">
        <v>19</v>
      </c>
      <c r="D611">
        <v>6</v>
      </c>
      <c r="E611">
        <v>1</v>
      </c>
      <c r="F611" t="s">
        <v>18</v>
      </c>
      <c r="G611">
        <v>0</v>
      </c>
      <c r="H611">
        <v>0</v>
      </c>
      <c r="I611" t="s">
        <v>488</v>
      </c>
      <c r="J611" t="s">
        <v>1236</v>
      </c>
      <c r="K611" t="s">
        <v>1235</v>
      </c>
      <c r="M611" t="s">
        <v>487</v>
      </c>
      <c r="N611">
        <v>0</v>
      </c>
      <c r="O611" t="s">
        <v>1241</v>
      </c>
      <c r="P611">
        <v>34.65</v>
      </c>
      <c r="Q611">
        <v>207.89999999999998</v>
      </c>
      <c r="R611" s="6"/>
    </row>
    <row r="612" spans="1:18" x14ac:dyDescent="0.15">
      <c r="A612" t="s">
        <v>185</v>
      </c>
      <c r="B612" t="s">
        <v>479</v>
      </c>
      <c r="P612">
        <v>1.7715004952771285</v>
      </c>
      <c r="R612" s="6"/>
    </row>
    <row r="613" spans="1:18" x14ac:dyDescent="0.15">
      <c r="C613" t="s">
        <v>186</v>
      </c>
      <c r="D613">
        <v>1</v>
      </c>
      <c r="E613">
        <v>1</v>
      </c>
      <c r="F613" t="s">
        <v>9</v>
      </c>
      <c r="G613">
        <v>0</v>
      </c>
      <c r="H613">
        <v>0</v>
      </c>
      <c r="I613" t="s">
        <v>488</v>
      </c>
      <c r="J613" t="s">
        <v>1234</v>
      </c>
      <c r="K613" t="s">
        <v>1235</v>
      </c>
      <c r="M613" t="s">
        <v>487</v>
      </c>
      <c r="N613">
        <v>0</v>
      </c>
      <c r="O613" t="s">
        <v>1241</v>
      </c>
      <c r="P613">
        <v>1.7715004952771285</v>
      </c>
      <c r="Q613">
        <v>1.7715004952771285</v>
      </c>
      <c r="R613" s="6"/>
    </row>
    <row r="614" spans="1:18" x14ac:dyDescent="0.15">
      <c r="A614" t="s">
        <v>187</v>
      </c>
      <c r="B614" t="s">
        <v>479</v>
      </c>
      <c r="P614">
        <v>3.543000990554257</v>
      </c>
      <c r="R614" s="6"/>
    </row>
    <row r="615" spans="1:18" x14ac:dyDescent="0.15">
      <c r="C615" t="s">
        <v>186</v>
      </c>
      <c r="D615">
        <v>2</v>
      </c>
      <c r="E615">
        <v>1</v>
      </c>
      <c r="F615" t="s">
        <v>9</v>
      </c>
      <c r="G615">
        <v>0</v>
      </c>
      <c r="H615">
        <v>0</v>
      </c>
      <c r="I615" t="s">
        <v>488</v>
      </c>
      <c r="J615" t="s">
        <v>1234</v>
      </c>
      <c r="K615" t="s">
        <v>1235</v>
      </c>
      <c r="M615" t="s">
        <v>487</v>
      </c>
      <c r="N615">
        <v>0</v>
      </c>
      <c r="O615" t="s">
        <v>1241</v>
      </c>
      <c r="P615">
        <v>1.7715004952771285</v>
      </c>
      <c r="Q615">
        <v>3.543000990554257</v>
      </c>
      <c r="R615" s="6"/>
    </row>
    <row r="616" spans="1:18" x14ac:dyDescent="0.15">
      <c r="A616" t="s">
        <v>188</v>
      </c>
      <c r="B616" t="s">
        <v>479</v>
      </c>
      <c r="P616">
        <v>10.629002971662771</v>
      </c>
      <c r="R616" s="6"/>
    </row>
    <row r="617" spans="1:18" x14ac:dyDescent="0.15">
      <c r="C617" t="s">
        <v>186</v>
      </c>
      <c r="D617">
        <v>6</v>
      </c>
      <c r="E617">
        <v>1</v>
      </c>
      <c r="F617" t="s">
        <v>9</v>
      </c>
      <c r="G617">
        <v>0</v>
      </c>
      <c r="H617">
        <v>0</v>
      </c>
      <c r="I617" t="s">
        <v>488</v>
      </c>
      <c r="J617" t="s">
        <v>1234</v>
      </c>
      <c r="K617" t="s">
        <v>1235</v>
      </c>
      <c r="M617" t="s">
        <v>487</v>
      </c>
      <c r="N617">
        <v>0</v>
      </c>
      <c r="O617" t="s">
        <v>1241</v>
      </c>
      <c r="P617">
        <v>1.7715004952771285</v>
      </c>
      <c r="Q617">
        <v>10.629002971662771</v>
      </c>
      <c r="R617" s="6"/>
    </row>
    <row r="618" spans="1:18" x14ac:dyDescent="0.15">
      <c r="A618" t="s">
        <v>186</v>
      </c>
      <c r="B618" t="s">
        <v>9</v>
      </c>
      <c r="P618">
        <v>1.7715004952771285</v>
      </c>
      <c r="R618" s="6"/>
    </row>
    <row r="619" spans="1:18" x14ac:dyDescent="0.15">
      <c r="C619" t="s">
        <v>176</v>
      </c>
      <c r="D619">
        <v>55</v>
      </c>
      <c r="E619">
        <v>1</v>
      </c>
      <c r="F619" t="s">
        <v>9</v>
      </c>
      <c r="G619">
        <v>3</v>
      </c>
      <c r="H619">
        <v>0</v>
      </c>
      <c r="I619" t="s">
        <v>488</v>
      </c>
      <c r="J619" t="s">
        <v>1234</v>
      </c>
      <c r="K619" t="s">
        <v>1235</v>
      </c>
      <c r="M619" t="s">
        <v>487</v>
      </c>
      <c r="N619">
        <v>0</v>
      </c>
      <c r="O619" t="s">
        <v>1241</v>
      </c>
      <c r="P619">
        <v>0</v>
      </c>
      <c r="Q619">
        <v>0</v>
      </c>
      <c r="R619" s="9" t="s">
        <v>1246</v>
      </c>
    </row>
    <row r="620" spans="1:18" x14ac:dyDescent="0.15">
      <c r="C620" t="s">
        <v>12</v>
      </c>
      <c r="D620">
        <v>28.799858668342004</v>
      </c>
      <c r="E620">
        <v>1</v>
      </c>
      <c r="F620" t="s">
        <v>13</v>
      </c>
      <c r="G620">
        <v>3</v>
      </c>
      <c r="H620">
        <v>0</v>
      </c>
      <c r="I620" t="s">
        <v>488</v>
      </c>
      <c r="J620" t="s">
        <v>1234</v>
      </c>
      <c r="K620" t="s">
        <v>1235</v>
      </c>
      <c r="M620" t="s">
        <v>487</v>
      </c>
      <c r="N620">
        <v>0</v>
      </c>
      <c r="O620" t="s">
        <v>1241</v>
      </c>
      <c r="P620">
        <v>1.03E-2</v>
      </c>
      <c r="Q620">
        <v>305.53770061244035</v>
      </c>
      <c r="R620" s="6"/>
    </row>
    <row r="621" spans="1:18" x14ac:dyDescent="0.15">
      <c r="C621" t="s">
        <v>14</v>
      </c>
      <c r="D621">
        <v>31.999842964823998</v>
      </c>
      <c r="E621">
        <v>1</v>
      </c>
      <c r="F621" t="s">
        <v>13</v>
      </c>
      <c r="G621">
        <v>3</v>
      </c>
      <c r="H621">
        <v>0</v>
      </c>
      <c r="I621" t="s">
        <v>488</v>
      </c>
      <c r="J621" t="s">
        <v>1234</v>
      </c>
      <c r="K621" t="s">
        <v>1235</v>
      </c>
      <c r="M621" t="s">
        <v>487</v>
      </c>
      <c r="N621">
        <v>0</v>
      </c>
      <c r="O621" t="s">
        <v>1241</v>
      </c>
      <c r="P621">
        <v>5.4900000000000001E-3</v>
      </c>
      <c r="Q621">
        <v>180.94951201319029</v>
      </c>
      <c r="R621" s="6"/>
    </row>
    <row r="622" spans="1:18" x14ac:dyDescent="0.15">
      <c r="C622" t="s">
        <v>15</v>
      </c>
      <c r="D622">
        <v>0.63999685929600003</v>
      </c>
      <c r="E622">
        <v>1</v>
      </c>
      <c r="F622" t="s">
        <v>13</v>
      </c>
      <c r="G622">
        <v>3</v>
      </c>
      <c r="H622">
        <v>0</v>
      </c>
      <c r="I622" t="s">
        <v>488</v>
      </c>
      <c r="J622" t="s">
        <v>1234</v>
      </c>
      <c r="K622" t="s">
        <v>1235</v>
      </c>
      <c r="M622" t="s">
        <v>487</v>
      </c>
      <c r="N622">
        <v>0</v>
      </c>
      <c r="O622" t="s">
        <v>1241</v>
      </c>
      <c r="P622">
        <v>7.9819999999999988E-2</v>
      </c>
      <c r="Q622">
        <v>52.61708578827691</v>
      </c>
      <c r="R622" s="6"/>
    </row>
    <row r="623" spans="1:18" x14ac:dyDescent="0.15">
      <c r="C623" t="s">
        <v>23</v>
      </c>
      <c r="D623">
        <v>1.599992148241</v>
      </c>
      <c r="E623">
        <v>1</v>
      </c>
      <c r="F623" t="s">
        <v>13</v>
      </c>
      <c r="G623">
        <v>3</v>
      </c>
      <c r="H623">
        <v>0</v>
      </c>
      <c r="I623" t="s">
        <v>488</v>
      </c>
      <c r="J623" t="s">
        <v>1234</v>
      </c>
      <c r="K623" t="s">
        <v>1235</v>
      </c>
      <c r="M623" t="s">
        <v>487</v>
      </c>
      <c r="N623">
        <v>0</v>
      </c>
      <c r="O623" t="s">
        <v>1241</v>
      </c>
      <c r="P623">
        <v>2.3609999999999999E-2</v>
      </c>
      <c r="Q623">
        <v>38.909089058569108</v>
      </c>
      <c r="R623" s="6"/>
    </row>
    <row r="624" spans="1:18" x14ac:dyDescent="0.15">
      <c r="C624" t="s">
        <v>24</v>
      </c>
      <c r="D624">
        <v>0.63999685929600003</v>
      </c>
      <c r="E624">
        <v>1</v>
      </c>
      <c r="F624" t="s">
        <v>13</v>
      </c>
      <c r="G624">
        <v>3</v>
      </c>
      <c r="H624">
        <v>0</v>
      </c>
      <c r="I624" t="s">
        <v>488</v>
      </c>
      <c r="J624" t="s">
        <v>1234</v>
      </c>
      <c r="K624" t="s">
        <v>1235</v>
      </c>
      <c r="M624" t="s">
        <v>487</v>
      </c>
      <c r="N624">
        <v>0</v>
      </c>
      <c r="O624" t="s">
        <v>1241</v>
      </c>
      <c r="P624">
        <v>2.8500000000000001E-2</v>
      </c>
      <c r="Q624">
        <v>18.787107804634079</v>
      </c>
      <c r="R624" s="6"/>
    </row>
    <row r="625" spans="1:18" x14ac:dyDescent="0.15">
      <c r="C625" t="s">
        <v>124</v>
      </c>
      <c r="D625">
        <v>1.9103906250000002</v>
      </c>
      <c r="E625">
        <v>1</v>
      </c>
      <c r="F625" t="s">
        <v>13</v>
      </c>
      <c r="G625">
        <v>3</v>
      </c>
      <c r="H625">
        <v>0</v>
      </c>
      <c r="I625" t="s">
        <v>488</v>
      </c>
      <c r="J625" t="s">
        <v>1234</v>
      </c>
      <c r="K625" t="s">
        <v>1235</v>
      </c>
      <c r="M625" t="s">
        <v>487</v>
      </c>
      <c r="N625">
        <v>0</v>
      </c>
      <c r="O625" t="s">
        <v>1241</v>
      </c>
      <c r="P625">
        <v>0</v>
      </c>
      <c r="Q625">
        <v>0</v>
      </c>
      <c r="R625" s="9" t="s">
        <v>1246</v>
      </c>
    </row>
    <row r="626" spans="1:18" x14ac:dyDescent="0.15">
      <c r="C626" t="s">
        <v>17</v>
      </c>
      <c r="D626">
        <v>16.666666666666998</v>
      </c>
      <c r="E626">
        <v>1000</v>
      </c>
      <c r="F626" t="s">
        <v>18</v>
      </c>
      <c r="G626">
        <v>0</v>
      </c>
      <c r="H626">
        <v>0</v>
      </c>
      <c r="I626" t="s">
        <v>488</v>
      </c>
      <c r="J626" t="s">
        <v>1234</v>
      </c>
      <c r="K626" t="s">
        <v>1235</v>
      </c>
      <c r="M626" t="s">
        <v>487</v>
      </c>
      <c r="N626">
        <v>0</v>
      </c>
      <c r="O626" t="s">
        <v>1241</v>
      </c>
      <c r="P626">
        <v>53.85</v>
      </c>
      <c r="Q626">
        <v>897.50000000001785</v>
      </c>
      <c r="R626" s="6"/>
    </row>
    <row r="627" spans="1:18" x14ac:dyDescent="0.15">
      <c r="C627" t="s">
        <v>19</v>
      </c>
      <c r="D627">
        <v>8</v>
      </c>
      <c r="E627">
        <v>1</v>
      </c>
      <c r="F627" t="s">
        <v>18</v>
      </c>
      <c r="G627">
        <v>0</v>
      </c>
      <c r="H627">
        <v>0</v>
      </c>
      <c r="I627" t="s">
        <v>488</v>
      </c>
      <c r="J627" t="s">
        <v>1236</v>
      </c>
      <c r="K627" t="s">
        <v>1235</v>
      </c>
      <c r="M627" t="s">
        <v>487</v>
      </c>
      <c r="N627">
        <v>0</v>
      </c>
      <c r="O627" t="s">
        <v>1241</v>
      </c>
      <c r="P627">
        <v>34.65</v>
      </c>
      <c r="Q627">
        <v>277.2</v>
      </c>
      <c r="R627" s="6"/>
    </row>
    <row r="628" spans="1:18" x14ac:dyDescent="0.15">
      <c r="A628" t="s">
        <v>189</v>
      </c>
      <c r="B628" t="s">
        <v>479</v>
      </c>
      <c r="P628">
        <v>0.26305471252879592</v>
      </c>
      <c r="R628" s="6"/>
    </row>
    <row r="629" spans="1:18" x14ac:dyDescent="0.15">
      <c r="C629" t="s">
        <v>190</v>
      </c>
      <c r="D629">
        <v>1</v>
      </c>
      <c r="E629">
        <v>1</v>
      </c>
      <c r="F629" t="s">
        <v>9</v>
      </c>
      <c r="G629">
        <v>0</v>
      </c>
      <c r="H629">
        <v>0</v>
      </c>
      <c r="I629" t="s">
        <v>488</v>
      </c>
      <c r="J629" t="s">
        <v>1234</v>
      </c>
      <c r="K629" t="s">
        <v>1235</v>
      </c>
      <c r="M629" t="s">
        <v>487</v>
      </c>
      <c r="N629">
        <v>0</v>
      </c>
      <c r="O629" t="s">
        <v>1241</v>
      </c>
      <c r="P629">
        <v>0.26305471252879592</v>
      </c>
      <c r="Q629">
        <v>0.26305471252879592</v>
      </c>
      <c r="R629" s="6"/>
    </row>
    <row r="630" spans="1:18" x14ac:dyDescent="0.15">
      <c r="A630" t="s">
        <v>191</v>
      </c>
      <c r="B630" t="s">
        <v>479</v>
      </c>
      <c r="P630">
        <v>0.52610942505759184</v>
      </c>
      <c r="R630" s="6"/>
    </row>
    <row r="631" spans="1:18" x14ac:dyDescent="0.15">
      <c r="C631" t="s">
        <v>190</v>
      </c>
      <c r="D631">
        <v>2</v>
      </c>
      <c r="E631">
        <v>1</v>
      </c>
      <c r="F631" t="s">
        <v>9</v>
      </c>
      <c r="G631">
        <v>0</v>
      </c>
      <c r="H631">
        <v>0</v>
      </c>
      <c r="I631" t="s">
        <v>488</v>
      </c>
      <c r="J631" t="s">
        <v>1234</v>
      </c>
      <c r="K631" t="s">
        <v>1235</v>
      </c>
      <c r="M631" t="s">
        <v>487</v>
      </c>
      <c r="N631">
        <v>0</v>
      </c>
      <c r="O631" t="s">
        <v>1241</v>
      </c>
      <c r="P631">
        <v>0.26305471252879592</v>
      </c>
      <c r="Q631">
        <v>0.52610942505759184</v>
      </c>
      <c r="R631" s="6"/>
    </row>
    <row r="632" spans="1:18" x14ac:dyDescent="0.15">
      <c r="A632" t="s">
        <v>192</v>
      </c>
      <c r="B632" t="s">
        <v>479</v>
      </c>
      <c r="P632">
        <v>0.13152735626439796</v>
      </c>
      <c r="R632" s="6"/>
    </row>
    <row r="633" spans="1:18" x14ac:dyDescent="0.15">
      <c r="C633" t="s">
        <v>190</v>
      </c>
      <c r="D633">
        <v>500</v>
      </c>
      <c r="E633">
        <v>1000</v>
      </c>
      <c r="F633" t="s">
        <v>9</v>
      </c>
      <c r="G633">
        <v>0</v>
      </c>
      <c r="H633">
        <v>0</v>
      </c>
      <c r="I633" t="s">
        <v>488</v>
      </c>
      <c r="J633" t="s">
        <v>1234</v>
      </c>
      <c r="K633" t="s">
        <v>1235</v>
      </c>
      <c r="M633" t="s">
        <v>487</v>
      </c>
      <c r="N633">
        <v>0</v>
      </c>
      <c r="O633" t="s">
        <v>1241</v>
      </c>
      <c r="P633">
        <v>0.26305471252879592</v>
      </c>
      <c r="Q633">
        <v>131.52735626439795</v>
      </c>
      <c r="R633" s="6"/>
    </row>
    <row r="634" spans="1:18" x14ac:dyDescent="0.15">
      <c r="A634" t="s">
        <v>193</v>
      </c>
      <c r="B634" t="s">
        <v>479</v>
      </c>
      <c r="P634">
        <v>131.52735626439795</v>
      </c>
      <c r="R634" s="6"/>
    </row>
    <row r="635" spans="1:18" x14ac:dyDescent="0.15">
      <c r="C635" t="s">
        <v>190</v>
      </c>
      <c r="D635">
        <v>500</v>
      </c>
      <c r="E635">
        <v>1</v>
      </c>
      <c r="F635" t="s">
        <v>9</v>
      </c>
      <c r="G635">
        <v>0</v>
      </c>
      <c r="H635">
        <v>0</v>
      </c>
      <c r="I635" t="s">
        <v>488</v>
      </c>
      <c r="J635" t="s">
        <v>1234</v>
      </c>
      <c r="K635" t="s">
        <v>1235</v>
      </c>
      <c r="M635" t="s">
        <v>487</v>
      </c>
      <c r="N635">
        <v>0</v>
      </c>
      <c r="O635" t="s">
        <v>1241</v>
      </c>
      <c r="P635">
        <v>0.26305471252879592</v>
      </c>
      <c r="Q635">
        <v>131.52735626439795</v>
      </c>
      <c r="R635" s="6"/>
    </row>
    <row r="636" spans="1:18" x14ac:dyDescent="0.15">
      <c r="A636" t="s">
        <v>535</v>
      </c>
      <c r="B636" t="s">
        <v>479</v>
      </c>
      <c r="P636">
        <v>-1</v>
      </c>
      <c r="R636" s="8" t="s">
        <v>1244</v>
      </c>
    </row>
    <row r="637" spans="1:18" x14ac:dyDescent="0.15">
      <c r="A637" t="s">
        <v>190</v>
      </c>
      <c r="B637" t="s">
        <v>9</v>
      </c>
      <c r="P637">
        <v>0.26305471252879592</v>
      </c>
      <c r="R637" s="6"/>
    </row>
    <row r="638" spans="1:18" x14ac:dyDescent="0.15">
      <c r="C638" t="s">
        <v>33</v>
      </c>
      <c r="D638">
        <v>1</v>
      </c>
      <c r="E638">
        <v>1</v>
      </c>
      <c r="F638" t="s">
        <v>9</v>
      </c>
      <c r="G638">
        <v>3</v>
      </c>
      <c r="H638">
        <v>0</v>
      </c>
      <c r="I638" t="s">
        <v>488</v>
      </c>
      <c r="J638" t="s">
        <v>1234</v>
      </c>
      <c r="K638" t="s">
        <v>1235</v>
      </c>
      <c r="M638" t="s">
        <v>487</v>
      </c>
      <c r="N638">
        <v>0</v>
      </c>
      <c r="O638" t="s">
        <v>1241</v>
      </c>
      <c r="P638">
        <v>0</v>
      </c>
      <c r="Q638">
        <v>0</v>
      </c>
      <c r="R638" s="9" t="s">
        <v>1246</v>
      </c>
    </row>
    <row r="639" spans="1:18" x14ac:dyDescent="0.15">
      <c r="C639" t="s">
        <v>12</v>
      </c>
      <c r="D639">
        <v>0.14562814070399999</v>
      </c>
      <c r="E639">
        <v>1</v>
      </c>
      <c r="F639" t="s">
        <v>13</v>
      </c>
      <c r="G639">
        <v>3</v>
      </c>
      <c r="H639">
        <v>0</v>
      </c>
      <c r="I639" t="s">
        <v>488</v>
      </c>
      <c r="J639" t="s">
        <v>1234</v>
      </c>
      <c r="K639" t="s">
        <v>1235</v>
      </c>
      <c r="M639" t="s">
        <v>487</v>
      </c>
      <c r="N639">
        <v>0</v>
      </c>
      <c r="O639" t="s">
        <v>1241</v>
      </c>
      <c r="P639">
        <v>1.03E-2</v>
      </c>
      <c r="Q639">
        <v>1.5449689447287358</v>
      </c>
      <c r="R639" s="6"/>
    </row>
    <row r="640" spans="1:18" x14ac:dyDescent="0.15">
      <c r="C640" t="s">
        <v>14</v>
      </c>
      <c r="D640">
        <v>0.16180904522600001</v>
      </c>
      <c r="E640">
        <v>1</v>
      </c>
      <c r="F640" t="s">
        <v>13</v>
      </c>
      <c r="G640">
        <v>3</v>
      </c>
      <c r="H640">
        <v>0</v>
      </c>
      <c r="I640" t="s">
        <v>488</v>
      </c>
      <c r="J640" t="s">
        <v>1234</v>
      </c>
      <c r="K640" t="s">
        <v>1235</v>
      </c>
      <c r="M640" t="s">
        <v>487</v>
      </c>
      <c r="N640">
        <v>0</v>
      </c>
      <c r="O640" t="s">
        <v>1241</v>
      </c>
      <c r="P640">
        <v>5.4900000000000001E-3</v>
      </c>
      <c r="Q640">
        <v>0.91498160803946216</v>
      </c>
      <c r="R640" s="6"/>
    </row>
    <row r="641" spans="1:18" x14ac:dyDescent="0.15">
      <c r="C641" t="s">
        <v>15</v>
      </c>
      <c r="D641">
        <v>3.2361809045230006</v>
      </c>
      <c r="E641">
        <v>1000</v>
      </c>
      <c r="F641" t="s">
        <v>13</v>
      </c>
      <c r="G641">
        <v>3</v>
      </c>
      <c r="H641">
        <v>0</v>
      </c>
      <c r="I641" t="s">
        <v>488</v>
      </c>
      <c r="J641" t="s">
        <v>1234</v>
      </c>
      <c r="K641" t="s">
        <v>1235</v>
      </c>
      <c r="M641" t="s">
        <v>487</v>
      </c>
      <c r="N641">
        <v>0</v>
      </c>
      <c r="O641" t="s">
        <v>1241</v>
      </c>
      <c r="P641">
        <v>7.9819999999999988E-2</v>
      </c>
      <c r="Q641">
        <v>0.26606131859299664</v>
      </c>
      <c r="R641" s="6"/>
    </row>
    <row r="642" spans="1:18" x14ac:dyDescent="0.15">
      <c r="C642" t="s">
        <v>23</v>
      </c>
      <c r="D642">
        <v>8.090452261307</v>
      </c>
      <c r="E642">
        <v>1000</v>
      </c>
      <c r="F642" t="s">
        <v>13</v>
      </c>
      <c r="G642">
        <v>3</v>
      </c>
      <c r="H642">
        <v>0</v>
      </c>
      <c r="I642" t="s">
        <v>488</v>
      </c>
      <c r="J642" t="s">
        <v>1234</v>
      </c>
      <c r="K642" t="s">
        <v>1235</v>
      </c>
      <c r="M642" t="s">
        <v>487</v>
      </c>
      <c r="N642">
        <v>0</v>
      </c>
      <c r="O642" t="s">
        <v>1241</v>
      </c>
      <c r="P642">
        <v>2.3609999999999999E-2</v>
      </c>
      <c r="Q642">
        <v>0.19674604522614203</v>
      </c>
      <c r="R642" s="6"/>
    </row>
    <row r="643" spans="1:18" x14ac:dyDescent="0.15">
      <c r="C643" t="s">
        <v>24</v>
      </c>
      <c r="D643">
        <v>3.2361809045230006</v>
      </c>
      <c r="E643">
        <v>1000</v>
      </c>
      <c r="F643" t="s">
        <v>13</v>
      </c>
      <c r="G643">
        <v>3</v>
      </c>
      <c r="H643">
        <v>0</v>
      </c>
      <c r="I643" t="s">
        <v>488</v>
      </c>
      <c r="J643" t="s">
        <v>1234</v>
      </c>
      <c r="K643" t="s">
        <v>1235</v>
      </c>
      <c r="M643" t="s">
        <v>487</v>
      </c>
      <c r="N643">
        <v>0</v>
      </c>
      <c r="O643" t="s">
        <v>1241</v>
      </c>
      <c r="P643">
        <v>2.8500000000000001E-2</v>
      </c>
      <c r="Q643">
        <v>9.4998090452272685E-2</v>
      </c>
      <c r="R643" s="6"/>
    </row>
    <row r="644" spans="1:18" x14ac:dyDescent="0.15">
      <c r="C644" t="s">
        <v>17</v>
      </c>
      <c r="D644">
        <v>2.8985507246380005</v>
      </c>
      <c r="E644">
        <v>1000</v>
      </c>
      <c r="F644" t="s">
        <v>18</v>
      </c>
      <c r="G644">
        <v>0</v>
      </c>
      <c r="H644">
        <v>0</v>
      </c>
      <c r="I644" t="s">
        <v>488</v>
      </c>
      <c r="J644" t="s">
        <v>1234</v>
      </c>
      <c r="K644" t="s">
        <v>1235</v>
      </c>
      <c r="M644" t="s">
        <v>487</v>
      </c>
      <c r="N644">
        <v>0</v>
      </c>
      <c r="O644" t="s">
        <v>1241</v>
      </c>
      <c r="P644">
        <v>53.85</v>
      </c>
      <c r="Q644">
        <v>156.08695652175632</v>
      </c>
      <c r="R644" s="6"/>
    </row>
    <row r="645" spans="1:18" x14ac:dyDescent="0.15">
      <c r="C645" t="s">
        <v>19</v>
      </c>
      <c r="D645">
        <v>3</v>
      </c>
      <c r="E645">
        <v>1</v>
      </c>
      <c r="F645" t="s">
        <v>18</v>
      </c>
      <c r="G645">
        <v>0</v>
      </c>
      <c r="H645">
        <v>0</v>
      </c>
      <c r="I645" t="s">
        <v>488</v>
      </c>
      <c r="J645" t="s">
        <v>1236</v>
      </c>
      <c r="K645" t="s">
        <v>1235</v>
      </c>
      <c r="M645" t="s">
        <v>487</v>
      </c>
      <c r="N645">
        <v>0</v>
      </c>
      <c r="O645" t="s">
        <v>1241</v>
      </c>
      <c r="P645">
        <v>34.65</v>
      </c>
      <c r="Q645">
        <v>103.94999999999999</v>
      </c>
      <c r="R645" s="6"/>
    </row>
    <row r="646" spans="1:18" x14ac:dyDescent="0.15">
      <c r="A646" t="s">
        <v>194</v>
      </c>
      <c r="B646" t="s">
        <v>479</v>
      </c>
      <c r="P646">
        <v>0.4483482325570784</v>
      </c>
      <c r="R646" s="6"/>
    </row>
    <row r="647" spans="1:18" x14ac:dyDescent="0.15">
      <c r="C647" t="s">
        <v>195</v>
      </c>
      <c r="D647">
        <v>1</v>
      </c>
      <c r="E647">
        <v>1</v>
      </c>
      <c r="F647" t="s">
        <v>9</v>
      </c>
      <c r="G647">
        <v>0</v>
      </c>
      <c r="H647">
        <v>0</v>
      </c>
      <c r="I647" t="s">
        <v>488</v>
      </c>
      <c r="J647" t="s">
        <v>1234</v>
      </c>
      <c r="K647" t="s">
        <v>1235</v>
      </c>
      <c r="M647" t="s">
        <v>487</v>
      </c>
      <c r="N647">
        <v>0</v>
      </c>
      <c r="O647" t="s">
        <v>1241</v>
      </c>
      <c r="P647">
        <v>0.4483482325570784</v>
      </c>
      <c r="Q647">
        <v>0.4483482325570784</v>
      </c>
      <c r="R647" s="6"/>
    </row>
    <row r="648" spans="1:18" x14ac:dyDescent="0.15">
      <c r="A648" t="s">
        <v>196</v>
      </c>
      <c r="B648" t="s">
        <v>479</v>
      </c>
      <c r="P648">
        <v>0.89669646511415679</v>
      </c>
      <c r="R648" s="6"/>
    </row>
    <row r="649" spans="1:18" x14ac:dyDescent="0.15">
      <c r="C649" t="s">
        <v>195</v>
      </c>
      <c r="D649">
        <v>2</v>
      </c>
      <c r="E649">
        <v>1</v>
      </c>
      <c r="F649" t="s">
        <v>9</v>
      </c>
      <c r="G649">
        <v>0</v>
      </c>
      <c r="H649">
        <v>0</v>
      </c>
      <c r="I649" t="s">
        <v>488</v>
      </c>
      <c r="J649" t="s">
        <v>1234</v>
      </c>
      <c r="K649" t="s">
        <v>1235</v>
      </c>
      <c r="M649" t="s">
        <v>487</v>
      </c>
      <c r="N649">
        <v>0</v>
      </c>
      <c r="O649" t="s">
        <v>1241</v>
      </c>
      <c r="P649">
        <v>0.4483482325570784</v>
      </c>
      <c r="Q649">
        <v>0.89669646511415679</v>
      </c>
      <c r="R649" s="6"/>
    </row>
    <row r="650" spans="1:18" x14ac:dyDescent="0.15">
      <c r="A650" t="s">
        <v>197</v>
      </c>
      <c r="B650" t="s">
        <v>479</v>
      </c>
      <c r="P650">
        <v>0.2241741162785392</v>
      </c>
      <c r="R650" s="6"/>
    </row>
    <row r="651" spans="1:18" x14ac:dyDescent="0.15">
      <c r="C651" t="s">
        <v>195</v>
      </c>
      <c r="D651">
        <v>500</v>
      </c>
      <c r="E651">
        <v>1000</v>
      </c>
      <c r="F651" t="s">
        <v>9</v>
      </c>
      <c r="G651">
        <v>0</v>
      </c>
      <c r="H651">
        <v>0</v>
      </c>
      <c r="I651" t="s">
        <v>488</v>
      </c>
      <c r="J651" t="s">
        <v>1234</v>
      </c>
      <c r="K651" t="s">
        <v>1235</v>
      </c>
      <c r="M651" t="s">
        <v>487</v>
      </c>
      <c r="N651">
        <v>0</v>
      </c>
      <c r="O651" t="s">
        <v>1241</v>
      </c>
      <c r="P651">
        <v>0.4483482325570784</v>
      </c>
      <c r="Q651">
        <v>224.1741162785392</v>
      </c>
      <c r="R651" s="6"/>
    </row>
    <row r="652" spans="1:18" x14ac:dyDescent="0.15">
      <c r="A652" t="s">
        <v>195</v>
      </c>
      <c r="B652" t="s">
        <v>9</v>
      </c>
      <c r="P652">
        <v>0.4483482325570784</v>
      </c>
      <c r="R652" s="6"/>
    </row>
    <row r="653" spans="1:18" x14ac:dyDescent="0.15">
      <c r="C653" t="s">
        <v>34</v>
      </c>
      <c r="D653">
        <v>2</v>
      </c>
      <c r="E653">
        <v>1</v>
      </c>
      <c r="F653" t="s">
        <v>9</v>
      </c>
      <c r="G653">
        <v>3</v>
      </c>
      <c r="H653">
        <v>0</v>
      </c>
      <c r="I653" t="s">
        <v>488</v>
      </c>
      <c r="J653" t="s">
        <v>1234</v>
      </c>
      <c r="K653" t="s">
        <v>1235</v>
      </c>
      <c r="M653" t="s">
        <v>487</v>
      </c>
      <c r="N653">
        <v>0</v>
      </c>
      <c r="O653" t="s">
        <v>1241</v>
      </c>
      <c r="P653">
        <v>9.4000000000000004E-3</v>
      </c>
      <c r="Q653">
        <v>19.364000000000001</v>
      </c>
      <c r="R653" s="6"/>
    </row>
    <row r="654" spans="1:18" x14ac:dyDescent="0.15">
      <c r="C654" t="s">
        <v>33</v>
      </c>
      <c r="D654">
        <v>1</v>
      </c>
      <c r="E654">
        <v>1</v>
      </c>
      <c r="F654" t="s">
        <v>9</v>
      </c>
      <c r="G654">
        <v>3</v>
      </c>
      <c r="H654">
        <v>0</v>
      </c>
      <c r="I654" t="s">
        <v>488</v>
      </c>
      <c r="J654" t="s">
        <v>1234</v>
      </c>
      <c r="K654" t="s">
        <v>1235</v>
      </c>
      <c r="M654" t="s">
        <v>487</v>
      </c>
      <c r="N654">
        <v>0</v>
      </c>
      <c r="O654" t="s">
        <v>1241</v>
      </c>
      <c r="P654">
        <v>0</v>
      </c>
      <c r="Q654">
        <v>0</v>
      </c>
      <c r="R654" s="9" t="s">
        <v>1246</v>
      </c>
    </row>
    <row r="655" spans="1:18" x14ac:dyDescent="0.15">
      <c r="C655" t="s">
        <v>12</v>
      </c>
      <c r="D655">
        <v>0.21708542713599999</v>
      </c>
      <c r="E655">
        <v>1</v>
      </c>
      <c r="F655" t="s">
        <v>13</v>
      </c>
      <c r="G655">
        <v>3</v>
      </c>
      <c r="H655">
        <v>0</v>
      </c>
      <c r="I655" t="s">
        <v>488</v>
      </c>
      <c r="J655" t="s">
        <v>1234</v>
      </c>
      <c r="K655" t="s">
        <v>1235</v>
      </c>
      <c r="M655" t="s">
        <v>487</v>
      </c>
      <c r="N655">
        <v>0</v>
      </c>
      <c r="O655" t="s">
        <v>1241</v>
      </c>
      <c r="P655">
        <v>1.03E-2</v>
      </c>
      <c r="Q655">
        <v>2.3030592964858236</v>
      </c>
      <c r="R655" s="6"/>
    </row>
    <row r="656" spans="1:18" x14ac:dyDescent="0.15">
      <c r="C656" t="s">
        <v>14</v>
      </c>
      <c r="D656">
        <v>0.24120603015100001</v>
      </c>
      <c r="E656">
        <v>1</v>
      </c>
      <c r="F656" t="s">
        <v>13</v>
      </c>
      <c r="G656">
        <v>3</v>
      </c>
      <c r="H656">
        <v>0</v>
      </c>
      <c r="I656" t="s">
        <v>488</v>
      </c>
      <c r="J656" t="s">
        <v>1234</v>
      </c>
      <c r="K656" t="s">
        <v>1235</v>
      </c>
      <c r="M656" t="s">
        <v>487</v>
      </c>
      <c r="N656">
        <v>0</v>
      </c>
      <c r="O656" t="s">
        <v>1241</v>
      </c>
      <c r="P656">
        <v>5.4900000000000001E-3</v>
      </c>
      <c r="Q656">
        <v>1.3639477386948597</v>
      </c>
      <c r="R656" s="6"/>
    </row>
    <row r="657" spans="1:18" x14ac:dyDescent="0.15">
      <c r="C657" t="s">
        <v>15</v>
      </c>
      <c r="D657">
        <v>4.8241206030149995</v>
      </c>
      <c r="E657">
        <v>1000</v>
      </c>
      <c r="F657" t="s">
        <v>13</v>
      </c>
      <c r="G657">
        <v>3</v>
      </c>
      <c r="H657">
        <v>0</v>
      </c>
      <c r="I657" t="s">
        <v>488</v>
      </c>
      <c r="J657" t="s">
        <v>1234</v>
      </c>
      <c r="K657" t="s">
        <v>1235</v>
      </c>
      <c r="M657" t="s">
        <v>487</v>
      </c>
      <c r="N657">
        <v>0</v>
      </c>
      <c r="O657" t="s">
        <v>1241</v>
      </c>
      <c r="P657">
        <v>7.9819999999999988E-2</v>
      </c>
      <c r="Q657">
        <v>0.39661314572863693</v>
      </c>
      <c r="R657" s="6"/>
    </row>
    <row r="658" spans="1:18" x14ac:dyDescent="0.15">
      <c r="C658" t="s">
        <v>23</v>
      </c>
      <c r="D658">
        <v>12.060301507538</v>
      </c>
      <c r="E658">
        <v>1000</v>
      </c>
      <c r="F658" t="s">
        <v>13</v>
      </c>
      <c r="G658">
        <v>3</v>
      </c>
      <c r="H658">
        <v>0</v>
      </c>
      <c r="I658" t="s">
        <v>488</v>
      </c>
      <c r="J658" t="s">
        <v>1234</v>
      </c>
      <c r="K658" t="s">
        <v>1235</v>
      </c>
      <c r="M658" t="s">
        <v>487</v>
      </c>
      <c r="N658">
        <v>0</v>
      </c>
      <c r="O658" t="s">
        <v>1241</v>
      </c>
      <c r="P658">
        <v>2.3609999999999999E-2</v>
      </c>
      <c r="Q658">
        <v>0.29328603015076132</v>
      </c>
      <c r="R658" s="6"/>
    </row>
    <row r="659" spans="1:18" x14ac:dyDescent="0.15">
      <c r="C659" t="s">
        <v>24</v>
      </c>
      <c r="D659">
        <v>4.8241206030149995</v>
      </c>
      <c r="E659">
        <v>1000</v>
      </c>
      <c r="F659" t="s">
        <v>13</v>
      </c>
      <c r="G659">
        <v>3</v>
      </c>
      <c r="H659">
        <v>0</v>
      </c>
      <c r="I659" t="s">
        <v>488</v>
      </c>
      <c r="J659" t="s">
        <v>1234</v>
      </c>
      <c r="K659" t="s">
        <v>1235</v>
      </c>
      <c r="M659" t="s">
        <v>487</v>
      </c>
      <c r="N659">
        <v>0</v>
      </c>
      <c r="O659" t="s">
        <v>1241</v>
      </c>
      <c r="P659">
        <v>2.8500000000000001E-2</v>
      </c>
      <c r="Q659">
        <v>0.1416120603015053</v>
      </c>
      <c r="R659" s="6"/>
    </row>
    <row r="660" spans="1:18" x14ac:dyDescent="0.15">
      <c r="C660" t="s">
        <v>17</v>
      </c>
      <c r="D660">
        <v>5.9523809523809996</v>
      </c>
      <c r="E660">
        <v>1000</v>
      </c>
      <c r="F660" t="s">
        <v>18</v>
      </c>
      <c r="G660">
        <v>0</v>
      </c>
      <c r="H660">
        <v>0</v>
      </c>
      <c r="I660" t="s">
        <v>488</v>
      </c>
      <c r="J660" t="s">
        <v>1234</v>
      </c>
      <c r="K660" t="s">
        <v>1235</v>
      </c>
      <c r="M660" t="s">
        <v>487</v>
      </c>
      <c r="N660">
        <v>0</v>
      </c>
      <c r="O660" t="s">
        <v>1241</v>
      </c>
      <c r="P660">
        <v>53.85</v>
      </c>
      <c r="Q660">
        <v>320.53571428571684</v>
      </c>
      <c r="R660" s="6"/>
    </row>
    <row r="661" spans="1:18" x14ac:dyDescent="0.15">
      <c r="C661" t="s">
        <v>19</v>
      </c>
      <c r="D661">
        <v>3</v>
      </c>
      <c r="E661">
        <v>1</v>
      </c>
      <c r="F661" t="s">
        <v>18</v>
      </c>
      <c r="G661">
        <v>0</v>
      </c>
      <c r="H661">
        <v>0</v>
      </c>
      <c r="I661" t="s">
        <v>488</v>
      </c>
      <c r="J661" t="s">
        <v>1236</v>
      </c>
      <c r="K661" t="s">
        <v>1235</v>
      </c>
      <c r="M661" t="s">
        <v>487</v>
      </c>
      <c r="N661">
        <v>0</v>
      </c>
      <c r="O661" t="s">
        <v>1241</v>
      </c>
      <c r="P661">
        <v>34.65</v>
      </c>
      <c r="Q661">
        <v>103.94999999999999</v>
      </c>
      <c r="R661" s="6"/>
    </row>
    <row r="662" spans="1:18" x14ac:dyDescent="0.15">
      <c r="A662" t="s">
        <v>198</v>
      </c>
      <c r="B662" t="s">
        <v>479</v>
      </c>
      <c r="P662">
        <v>0.45877998560229738</v>
      </c>
      <c r="R662" s="6"/>
    </row>
    <row r="663" spans="1:18" x14ac:dyDescent="0.15">
      <c r="C663" t="s">
        <v>199</v>
      </c>
      <c r="D663">
        <v>1</v>
      </c>
      <c r="E663">
        <v>1</v>
      </c>
      <c r="F663" t="s">
        <v>9</v>
      </c>
      <c r="G663">
        <v>0</v>
      </c>
      <c r="H663">
        <v>0</v>
      </c>
      <c r="I663" t="s">
        <v>488</v>
      </c>
      <c r="J663" t="s">
        <v>1234</v>
      </c>
      <c r="K663" t="s">
        <v>1235</v>
      </c>
      <c r="M663" t="s">
        <v>487</v>
      </c>
      <c r="N663">
        <v>0</v>
      </c>
      <c r="O663" t="s">
        <v>1241</v>
      </c>
      <c r="P663">
        <v>0.45877998560229738</v>
      </c>
      <c r="Q663">
        <v>0.45877998560229738</v>
      </c>
      <c r="R663" s="6"/>
    </row>
    <row r="664" spans="1:18" x14ac:dyDescent="0.15">
      <c r="A664" t="s">
        <v>200</v>
      </c>
      <c r="B664" t="s">
        <v>479</v>
      </c>
      <c r="P664">
        <v>0.91755997120459476</v>
      </c>
      <c r="R664" s="6"/>
    </row>
    <row r="665" spans="1:18" x14ac:dyDescent="0.15">
      <c r="C665" t="s">
        <v>199</v>
      </c>
      <c r="D665">
        <v>2</v>
      </c>
      <c r="E665">
        <v>1</v>
      </c>
      <c r="F665" t="s">
        <v>9</v>
      </c>
      <c r="G665">
        <v>0</v>
      </c>
      <c r="H665">
        <v>0</v>
      </c>
      <c r="I665" t="s">
        <v>488</v>
      </c>
      <c r="J665" t="s">
        <v>1234</v>
      </c>
      <c r="K665" t="s">
        <v>1235</v>
      </c>
      <c r="M665" t="s">
        <v>487</v>
      </c>
      <c r="N665">
        <v>0</v>
      </c>
      <c r="O665" t="s">
        <v>1241</v>
      </c>
      <c r="P665">
        <v>0.45877998560229738</v>
      </c>
      <c r="Q665">
        <v>0.91755997120459476</v>
      </c>
      <c r="R665" s="6"/>
    </row>
    <row r="666" spans="1:18" x14ac:dyDescent="0.15">
      <c r="A666" t="s">
        <v>201</v>
      </c>
      <c r="B666" t="s">
        <v>479</v>
      </c>
      <c r="P666">
        <v>0.22938999280114869</v>
      </c>
      <c r="R666" s="6"/>
    </row>
    <row r="667" spans="1:18" x14ac:dyDescent="0.15">
      <c r="C667" t="s">
        <v>199</v>
      </c>
      <c r="D667">
        <v>500</v>
      </c>
      <c r="E667">
        <v>1000</v>
      </c>
      <c r="F667" t="s">
        <v>9</v>
      </c>
      <c r="G667">
        <v>0</v>
      </c>
      <c r="H667">
        <v>0</v>
      </c>
      <c r="I667" t="s">
        <v>488</v>
      </c>
      <c r="J667" t="s">
        <v>1234</v>
      </c>
      <c r="K667" t="s">
        <v>1235</v>
      </c>
      <c r="M667" t="s">
        <v>487</v>
      </c>
      <c r="N667">
        <v>0</v>
      </c>
      <c r="O667" t="s">
        <v>1241</v>
      </c>
      <c r="P667">
        <v>0.45877998560229738</v>
      </c>
      <c r="Q667">
        <v>229.38999280114868</v>
      </c>
      <c r="R667" s="6"/>
    </row>
    <row r="668" spans="1:18" x14ac:dyDescent="0.15">
      <c r="A668" t="s">
        <v>199</v>
      </c>
      <c r="B668" t="s">
        <v>9</v>
      </c>
      <c r="P668">
        <v>0.45877998560229738</v>
      </c>
      <c r="R668" s="6"/>
    </row>
    <row r="669" spans="1:18" x14ac:dyDescent="0.15">
      <c r="C669" t="s">
        <v>34</v>
      </c>
      <c r="D669">
        <v>3</v>
      </c>
      <c r="E669">
        <v>1</v>
      </c>
      <c r="F669" t="s">
        <v>9</v>
      </c>
      <c r="G669">
        <v>3</v>
      </c>
      <c r="H669">
        <v>0</v>
      </c>
      <c r="I669" t="s">
        <v>488</v>
      </c>
      <c r="J669" t="s">
        <v>1234</v>
      </c>
      <c r="K669" t="s">
        <v>1235</v>
      </c>
      <c r="M669" t="s">
        <v>487</v>
      </c>
      <c r="N669">
        <v>0</v>
      </c>
      <c r="O669" t="s">
        <v>1241</v>
      </c>
      <c r="P669">
        <v>9.4000000000000004E-3</v>
      </c>
      <c r="Q669">
        <v>29.045999999999999</v>
      </c>
      <c r="R669" s="6"/>
    </row>
    <row r="670" spans="1:18" x14ac:dyDescent="0.15">
      <c r="C670" t="s">
        <v>33</v>
      </c>
      <c r="D670">
        <v>1</v>
      </c>
      <c r="E670">
        <v>1</v>
      </c>
      <c r="F670" t="s">
        <v>9</v>
      </c>
      <c r="G670">
        <v>3</v>
      </c>
      <c r="H670">
        <v>0</v>
      </c>
      <c r="I670" t="s">
        <v>488</v>
      </c>
      <c r="J670" t="s">
        <v>1234</v>
      </c>
      <c r="K670" t="s">
        <v>1235</v>
      </c>
      <c r="M670" t="s">
        <v>487</v>
      </c>
      <c r="N670">
        <v>0</v>
      </c>
      <c r="O670" t="s">
        <v>1241</v>
      </c>
      <c r="P670">
        <v>0</v>
      </c>
      <c r="Q670">
        <v>0</v>
      </c>
      <c r="R670" s="9" t="s">
        <v>1246</v>
      </c>
    </row>
    <row r="671" spans="1:18" x14ac:dyDescent="0.15">
      <c r="C671" t="s">
        <v>12</v>
      </c>
      <c r="D671">
        <v>0.253266331658</v>
      </c>
      <c r="E671">
        <v>1</v>
      </c>
      <c r="F671" t="s">
        <v>13</v>
      </c>
      <c r="G671">
        <v>3</v>
      </c>
      <c r="H671">
        <v>0</v>
      </c>
      <c r="I671" t="s">
        <v>488</v>
      </c>
      <c r="J671" t="s">
        <v>1234</v>
      </c>
      <c r="K671" t="s">
        <v>1235</v>
      </c>
      <c r="M671" t="s">
        <v>487</v>
      </c>
      <c r="N671">
        <v>0</v>
      </c>
      <c r="O671" t="s">
        <v>1241</v>
      </c>
      <c r="P671">
        <v>1.03E-2</v>
      </c>
      <c r="Q671">
        <v>2.6869025125597221</v>
      </c>
      <c r="R671" s="6"/>
    </row>
    <row r="672" spans="1:18" x14ac:dyDescent="0.15">
      <c r="C672" t="s">
        <v>14</v>
      </c>
      <c r="D672">
        <v>0.28140703517600002</v>
      </c>
      <c r="E672">
        <v>1</v>
      </c>
      <c r="F672" t="s">
        <v>13</v>
      </c>
      <c r="G672">
        <v>3</v>
      </c>
      <c r="H672">
        <v>0</v>
      </c>
      <c r="I672" t="s">
        <v>488</v>
      </c>
      <c r="J672" t="s">
        <v>1234</v>
      </c>
      <c r="K672" t="s">
        <v>1235</v>
      </c>
      <c r="M672" t="s">
        <v>487</v>
      </c>
      <c r="N672">
        <v>0</v>
      </c>
      <c r="O672" t="s">
        <v>1241</v>
      </c>
      <c r="P672">
        <v>5.4900000000000001E-3</v>
      </c>
      <c r="Q672">
        <v>1.5912723618097273</v>
      </c>
      <c r="R672" s="6"/>
    </row>
    <row r="673" spans="1:18" x14ac:dyDescent="0.15">
      <c r="C673" t="s">
        <v>15</v>
      </c>
      <c r="D673">
        <v>5.6281407035180004</v>
      </c>
      <c r="E673">
        <v>1000</v>
      </c>
      <c r="F673" t="s">
        <v>13</v>
      </c>
      <c r="G673">
        <v>3</v>
      </c>
      <c r="H673">
        <v>0</v>
      </c>
      <c r="I673" t="s">
        <v>488</v>
      </c>
      <c r="J673" t="s">
        <v>1234</v>
      </c>
      <c r="K673" t="s">
        <v>1235</v>
      </c>
      <c r="M673" t="s">
        <v>487</v>
      </c>
      <c r="N673">
        <v>0</v>
      </c>
      <c r="O673" t="s">
        <v>1241</v>
      </c>
      <c r="P673">
        <v>7.9819999999999988E-2</v>
      </c>
      <c r="Q673">
        <v>0.46271533668345094</v>
      </c>
      <c r="R673" s="6"/>
    </row>
    <row r="674" spans="1:18" x14ac:dyDescent="0.15">
      <c r="C674" t="s">
        <v>23</v>
      </c>
      <c r="D674">
        <v>14.070351758793999</v>
      </c>
      <c r="E674">
        <v>1000</v>
      </c>
      <c r="F674" t="s">
        <v>13</v>
      </c>
      <c r="G674">
        <v>3</v>
      </c>
      <c r="H674">
        <v>0</v>
      </c>
      <c r="I674" t="s">
        <v>488</v>
      </c>
      <c r="J674" t="s">
        <v>1234</v>
      </c>
      <c r="K674" t="s">
        <v>1235</v>
      </c>
      <c r="M674" t="s">
        <v>487</v>
      </c>
      <c r="N674">
        <v>0</v>
      </c>
      <c r="O674" t="s">
        <v>1241</v>
      </c>
      <c r="P674">
        <v>2.3609999999999999E-2</v>
      </c>
      <c r="Q674">
        <v>0.3421670351758801</v>
      </c>
      <c r="R674" s="6"/>
    </row>
    <row r="675" spans="1:18" x14ac:dyDescent="0.15">
      <c r="C675" t="s">
        <v>24</v>
      </c>
      <c r="D675">
        <v>5.6281407035180004</v>
      </c>
      <c r="E675">
        <v>1000</v>
      </c>
      <c r="F675" t="s">
        <v>13</v>
      </c>
      <c r="G675">
        <v>3</v>
      </c>
      <c r="H675">
        <v>0</v>
      </c>
      <c r="I675" t="s">
        <v>488</v>
      </c>
      <c r="J675" t="s">
        <v>1234</v>
      </c>
      <c r="K675" t="s">
        <v>1235</v>
      </c>
      <c r="M675" t="s">
        <v>487</v>
      </c>
      <c r="N675">
        <v>0</v>
      </c>
      <c r="O675" t="s">
        <v>1241</v>
      </c>
      <c r="P675">
        <v>2.8500000000000001E-2</v>
      </c>
      <c r="Q675">
        <v>0.16521407035177091</v>
      </c>
      <c r="R675" s="6"/>
    </row>
    <row r="676" spans="1:18" x14ac:dyDescent="0.15">
      <c r="C676" t="s">
        <v>17</v>
      </c>
      <c r="D676">
        <v>5.9523809523809996</v>
      </c>
      <c r="E676">
        <v>1000</v>
      </c>
      <c r="F676" t="s">
        <v>18</v>
      </c>
      <c r="G676">
        <v>0</v>
      </c>
      <c r="H676">
        <v>0</v>
      </c>
      <c r="I676" t="s">
        <v>488</v>
      </c>
      <c r="J676" t="s">
        <v>1234</v>
      </c>
      <c r="K676" t="s">
        <v>1235</v>
      </c>
      <c r="M676" t="s">
        <v>487</v>
      </c>
      <c r="N676">
        <v>0</v>
      </c>
      <c r="O676" t="s">
        <v>1241</v>
      </c>
      <c r="P676">
        <v>53.85</v>
      </c>
      <c r="Q676">
        <v>320.53571428571684</v>
      </c>
      <c r="R676" s="6"/>
    </row>
    <row r="677" spans="1:18" x14ac:dyDescent="0.15">
      <c r="C677" t="s">
        <v>19</v>
      </c>
      <c r="D677">
        <v>3</v>
      </c>
      <c r="E677">
        <v>1</v>
      </c>
      <c r="F677" t="s">
        <v>18</v>
      </c>
      <c r="G677">
        <v>0</v>
      </c>
      <c r="H677">
        <v>0</v>
      </c>
      <c r="I677" t="s">
        <v>488</v>
      </c>
      <c r="J677" t="s">
        <v>1236</v>
      </c>
      <c r="K677" t="s">
        <v>1235</v>
      </c>
      <c r="M677" t="s">
        <v>487</v>
      </c>
      <c r="N677">
        <v>0</v>
      </c>
      <c r="O677" t="s">
        <v>1241</v>
      </c>
      <c r="P677">
        <v>34.65</v>
      </c>
      <c r="Q677">
        <v>103.94999999999999</v>
      </c>
      <c r="R677" s="6"/>
    </row>
    <row r="678" spans="1:18" x14ac:dyDescent="0.15">
      <c r="A678" t="s">
        <v>202</v>
      </c>
      <c r="B678" t="s">
        <v>479</v>
      </c>
      <c r="P678">
        <v>0.29297593125318233</v>
      </c>
      <c r="R678" s="6"/>
    </row>
    <row r="679" spans="1:18" x14ac:dyDescent="0.15">
      <c r="C679" t="s">
        <v>203</v>
      </c>
      <c r="D679">
        <v>1</v>
      </c>
      <c r="E679">
        <v>1</v>
      </c>
      <c r="F679" t="s">
        <v>9</v>
      </c>
      <c r="G679">
        <v>0</v>
      </c>
      <c r="H679">
        <v>0</v>
      </c>
      <c r="I679" t="s">
        <v>488</v>
      </c>
      <c r="J679" t="s">
        <v>1234</v>
      </c>
      <c r="K679" t="s">
        <v>1235</v>
      </c>
      <c r="M679" t="s">
        <v>487</v>
      </c>
      <c r="N679">
        <v>0</v>
      </c>
      <c r="O679" t="s">
        <v>1241</v>
      </c>
      <c r="P679">
        <v>0.29297593125318233</v>
      </c>
      <c r="Q679">
        <v>0.29297593125318233</v>
      </c>
      <c r="R679" s="6"/>
    </row>
    <row r="680" spans="1:18" x14ac:dyDescent="0.15">
      <c r="A680" t="s">
        <v>204</v>
      </c>
      <c r="B680" t="s">
        <v>479</v>
      </c>
      <c r="P680">
        <v>0.58595186250636466</v>
      </c>
      <c r="R680" s="6"/>
    </row>
    <row r="681" spans="1:18" x14ac:dyDescent="0.15">
      <c r="C681" t="s">
        <v>203</v>
      </c>
      <c r="D681">
        <v>2</v>
      </c>
      <c r="E681">
        <v>1</v>
      </c>
      <c r="F681" t="s">
        <v>9</v>
      </c>
      <c r="G681">
        <v>0</v>
      </c>
      <c r="H681">
        <v>0</v>
      </c>
      <c r="I681" t="s">
        <v>488</v>
      </c>
      <c r="J681" t="s">
        <v>1234</v>
      </c>
      <c r="K681" t="s">
        <v>1235</v>
      </c>
      <c r="M681" t="s">
        <v>487</v>
      </c>
      <c r="N681">
        <v>0</v>
      </c>
      <c r="O681" t="s">
        <v>1241</v>
      </c>
      <c r="P681">
        <v>0.29297593125318233</v>
      </c>
      <c r="Q681">
        <v>0.58595186250636466</v>
      </c>
      <c r="R681" s="6"/>
    </row>
    <row r="682" spans="1:18" x14ac:dyDescent="0.15">
      <c r="A682" t="s">
        <v>205</v>
      </c>
      <c r="B682" t="s">
        <v>479</v>
      </c>
      <c r="P682">
        <v>0.14648796562659117</v>
      </c>
      <c r="R682" s="6"/>
    </row>
    <row r="683" spans="1:18" x14ac:dyDescent="0.15">
      <c r="C683" t="s">
        <v>203</v>
      </c>
      <c r="D683">
        <v>500</v>
      </c>
      <c r="E683">
        <v>1000</v>
      </c>
      <c r="F683" t="s">
        <v>9</v>
      </c>
      <c r="G683">
        <v>0</v>
      </c>
      <c r="H683">
        <v>0</v>
      </c>
      <c r="I683" t="s">
        <v>488</v>
      </c>
      <c r="J683" t="s">
        <v>1234</v>
      </c>
      <c r="K683" t="s">
        <v>1235</v>
      </c>
      <c r="M683" t="s">
        <v>487</v>
      </c>
      <c r="N683">
        <v>0</v>
      </c>
      <c r="O683" t="s">
        <v>1241</v>
      </c>
      <c r="P683">
        <v>0.29297593125318233</v>
      </c>
      <c r="Q683">
        <v>146.48796562659118</v>
      </c>
      <c r="R683" s="6"/>
    </row>
    <row r="684" spans="1:18" x14ac:dyDescent="0.15">
      <c r="A684" t="s">
        <v>539</v>
      </c>
      <c r="B684" t="s">
        <v>479</v>
      </c>
      <c r="P684">
        <v>-1</v>
      </c>
      <c r="R684" s="8" t="s">
        <v>1244</v>
      </c>
    </row>
    <row r="685" spans="1:18" x14ac:dyDescent="0.15">
      <c r="A685" t="s">
        <v>206</v>
      </c>
      <c r="B685" t="s">
        <v>479</v>
      </c>
      <c r="P685">
        <v>8.7892779375954696E-4</v>
      </c>
      <c r="R685" s="6"/>
    </row>
    <row r="686" spans="1:18" x14ac:dyDescent="0.15">
      <c r="C686" t="s">
        <v>203</v>
      </c>
      <c r="D686">
        <v>3</v>
      </c>
      <c r="E686">
        <v>1000</v>
      </c>
      <c r="F686" t="s">
        <v>9</v>
      </c>
      <c r="G686">
        <v>0</v>
      </c>
      <c r="H686">
        <v>0</v>
      </c>
      <c r="I686" t="s">
        <v>488</v>
      </c>
      <c r="J686" t="s">
        <v>1234</v>
      </c>
      <c r="K686" t="s">
        <v>1235</v>
      </c>
      <c r="M686" t="s">
        <v>487</v>
      </c>
      <c r="N686">
        <v>0</v>
      </c>
      <c r="O686" t="s">
        <v>1241</v>
      </c>
      <c r="P686">
        <v>0.29297593125318233</v>
      </c>
      <c r="Q686">
        <v>0.87892779375954699</v>
      </c>
      <c r="R686" s="6"/>
    </row>
    <row r="687" spans="1:18" x14ac:dyDescent="0.15">
      <c r="A687" t="s">
        <v>207</v>
      </c>
      <c r="B687" t="s">
        <v>479</v>
      </c>
      <c r="P687">
        <v>1.7578555875190939E-3</v>
      </c>
      <c r="R687" s="6"/>
    </row>
    <row r="688" spans="1:18" x14ac:dyDescent="0.15">
      <c r="C688" t="s">
        <v>203</v>
      </c>
      <c r="D688">
        <v>6</v>
      </c>
      <c r="E688">
        <v>1000</v>
      </c>
      <c r="F688" t="s">
        <v>9</v>
      </c>
      <c r="G688">
        <v>0</v>
      </c>
      <c r="H688">
        <v>0</v>
      </c>
      <c r="I688" t="s">
        <v>488</v>
      </c>
      <c r="J688" t="s">
        <v>1234</v>
      </c>
      <c r="K688" t="s">
        <v>1235</v>
      </c>
      <c r="M688" t="s">
        <v>487</v>
      </c>
      <c r="N688">
        <v>0</v>
      </c>
      <c r="O688" t="s">
        <v>1241</v>
      </c>
      <c r="P688">
        <v>0.29297593125318233</v>
      </c>
      <c r="Q688">
        <v>1.757855587519094</v>
      </c>
      <c r="R688" s="6"/>
    </row>
    <row r="689" spans="1:18" x14ac:dyDescent="0.15">
      <c r="A689" t="s">
        <v>208</v>
      </c>
      <c r="B689" t="s">
        <v>479</v>
      </c>
      <c r="P689">
        <v>2.0508315187722764E-3</v>
      </c>
      <c r="R689" s="6"/>
    </row>
    <row r="690" spans="1:18" x14ac:dyDescent="0.15">
      <c r="C690" t="s">
        <v>203</v>
      </c>
      <c r="D690">
        <v>7</v>
      </c>
      <c r="E690">
        <v>1000</v>
      </c>
      <c r="F690" t="s">
        <v>9</v>
      </c>
      <c r="G690">
        <v>0</v>
      </c>
      <c r="H690">
        <v>0</v>
      </c>
      <c r="I690" t="s">
        <v>488</v>
      </c>
      <c r="J690" t="s">
        <v>1234</v>
      </c>
      <c r="K690" t="s">
        <v>1235</v>
      </c>
      <c r="M690" t="s">
        <v>487</v>
      </c>
      <c r="N690">
        <v>0</v>
      </c>
      <c r="O690" t="s">
        <v>1241</v>
      </c>
      <c r="P690">
        <v>0.29297593125318233</v>
      </c>
      <c r="Q690">
        <v>2.0508315187722763</v>
      </c>
      <c r="R690" s="6"/>
    </row>
    <row r="691" spans="1:18" x14ac:dyDescent="0.15">
      <c r="A691" t="s">
        <v>209</v>
      </c>
      <c r="B691" t="s">
        <v>479</v>
      </c>
      <c r="P691">
        <v>2.4902954156520497E-3</v>
      </c>
      <c r="R691" s="6"/>
    </row>
    <row r="692" spans="1:18" x14ac:dyDescent="0.15">
      <c r="C692" t="s">
        <v>203</v>
      </c>
      <c r="D692">
        <v>8.5</v>
      </c>
      <c r="E692">
        <v>1000</v>
      </c>
      <c r="F692" t="s">
        <v>9</v>
      </c>
      <c r="G692">
        <v>0</v>
      </c>
      <c r="H692">
        <v>0</v>
      </c>
      <c r="I692" t="s">
        <v>488</v>
      </c>
      <c r="J692" t="s">
        <v>1234</v>
      </c>
      <c r="K692" t="s">
        <v>1235</v>
      </c>
      <c r="M692" t="s">
        <v>487</v>
      </c>
      <c r="N692">
        <v>0</v>
      </c>
      <c r="O692" t="s">
        <v>1241</v>
      </c>
      <c r="P692">
        <v>0.29297593125318233</v>
      </c>
      <c r="Q692">
        <v>2.4902954156520498</v>
      </c>
      <c r="R692" s="6"/>
    </row>
    <row r="693" spans="1:18" x14ac:dyDescent="0.15">
      <c r="A693" t="s">
        <v>203</v>
      </c>
      <c r="B693" t="s">
        <v>9</v>
      </c>
      <c r="P693">
        <v>0.29297593125318233</v>
      </c>
      <c r="R693" s="6"/>
    </row>
    <row r="694" spans="1:18" x14ac:dyDescent="0.15">
      <c r="C694" t="s">
        <v>34</v>
      </c>
      <c r="D694">
        <v>1</v>
      </c>
      <c r="E694">
        <v>1</v>
      </c>
      <c r="F694" t="s">
        <v>9</v>
      </c>
      <c r="G694">
        <v>3</v>
      </c>
      <c r="H694">
        <v>0</v>
      </c>
      <c r="I694" t="s">
        <v>488</v>
      </c>
      <c r="J694" t="s">
        <v>1234</v>
      </c>
      <c r="K694" t="s">
        <v>1235</v>
      </c>
      <c r="M694" t="s">
        <v>487</v>
      </c>
      <c r="N694">
        <v>0</v>
      </c>
      <c r="O694" t="s">
        <v>1241</v>
      </c>
      <c r="P694">
        <v>9.4000000000000004E-3</v>
      </c>
      <c r="Q694">
        <v>9.6820000000000004</v>
      </c>
      <c r="R694" s="6"/>
    </row>
    <row r="695" spans="1:18" x14ac:dyDescent="0.15">
      <c r="C695" t="s">
        <v>33</v>
      </c>
      <c r="D695">
        <v>2</v>
      </c>
      <c r="E695">
        <v>1</v>
      </c>
      <c r="F695" t="s">
        <v>9</v>
      </c>
      <c r="G695">
        <v>3</v>
      </c>
      <c r="H695">
        <v>0</v>
      </c>
      <c r="I695" t="s">
        <v>488</v>
      </c>
      <c r="J695" t="s">
        <v>1234</v>
      </c>
      <c r="K695" t="s">
        <v>1235</v>
      </c>
      <c r="M695" t="s">
        <v>487</v>
      </c>
      <c r="N695">
        <v>0</v>
      </c>
      <c r="O695" t="s">
        <v>1241</v>
      </c>
      <c r="P695">
        <v>0</v>
      </c>
      <c r="Q695">
        <v>0</v>
      </c>
      <c r="R695" s="9" t="s">
        <v>1246</v>
      </c>
    </row>
    <row r="696" spans="1:18" x14ac:dyDescent="0.15">
      <c r="C696" t="s">
        <v>12</v>
      </c>
      <c r="D696">
        <v>0.32562814070399998</v>
      </c>
      <c r="E696">
        <v>1</v>
      </c>
      <c r="F696" t="s">
        <v>13</v>
      </c>
      <c r="G696">
        <v>3</v>
      </c>
      <c r="H696">
        <v>0</v>
      </c>
      <c r="I696" t="s">
        <v>488</v>
      </c>
      <c r="J696" t="s">
        <v>1234</v>
      </c>
      <c r="K696" t="s">
        <v>1235</v>
      </c>
      <c r="M696" t="s">
        <v>487</v>
      </c>
      <c r="N696">
        <v>0</v>
      </c>
      <c r="O696" t="s">
        <v>1241</v>
      </c>
      <c r="P696">
        <v>1.03E-2</v>
      </c>
      <c r="Q696">
        <v>3.4545889447287359</v>
      </c>
      <c r="R696" s="6"/>
    </row>
    <row r="697" spans="1:18" x14ac:dyDescent="0.15">
      <c r="C697" t="s">
        <v>14</v>
      </c>
      <c r="D697">
        <v>0.36180904522599999</v>
      </c>
      <c r="E697">
        <v>1</v>
      </c>
      <c r="F697" t="s">
        <v>13</v>
      </c>
      <c r="G697">
        <v>3</v>
      </c>
      <c r="H697">
        <v>0</v>
      </c>
      <c r="I697" t="s">
        <v>488</v>
      </c>
      <c r="J697" t="s">
        <v>1234</v>
      </c>
      <c r="K697" t="s">
        <v>1235</v>
      </c>
      <c r="M697" t="s">
        <v>487</v>
      </c>
      <c r="N697">
        <v>0</v>
      </c>
      <c r="O697" t="s">
        <v>1241</v>
      </c>
      <c r="P697">
        <v>5.4900000000000001E-3</v>
      </c>
      <c r="Q697">
        <v>2.0459216080394622</v>
      </c>
      <c r="R697" s="6"/>
    </row>
    <row r="698" spans="1:18" x14ac:dyDescent="0.15">
      <c r="C698" t="s">
        <v>15</v>
      </c>
      <c r="D698">
        <v>7.2361809045230006</v>
      </c>
      <c r="E698">
        <v>1000</v>
      </c>
      <c r="F698" t="s">
        <v>13</v>
      </c>
      <c r="G698">
        <v>3</v>
      </c>
      <c r="H698">
        <v>0</v>
      </c>
      <c r="I698" t="s">
        <v>488</v>
      </c>
      <c r="J698" t="s">
        <v>1234</v>
      </c>
      <c r="K698" t="s">
        <v>1235</v>
      </c>
      <c r="M698" t="s">
        <v>487</v>
      </c>
      <c r="N698">
        <v>0</v>
      </c>
      <c r="O698" t="s">
        <v>1241</v>
      </c>
      <c r="P698">
        <v>7.9819999999999988E-2</v>
      </c>
      <c r="Q698">
        <v>0.59491971859299664</v>
      </c>
      <c r="R698" s="6"/>
    </row>
    <row r="699" spans="1:18" x14ac:dyDescent="0.15">
      <c r="C699" t="s">
        <v>23</v>
      </c>
      <c r="D699">
        <v>18.090452261307</v>
      </c>
      <c r="E699">
        <v>1000</v>
      </c>
      <c r="F699" t="s">
        <v>13</v>
      </c>
      <c r="G699">
        <v>3</v>
      </c>
      <c r="H699">
        <v>0</v>
      </c>
      <c r="I699" t="s">
        <v>488</v>
      </c>
      <c r="J699" t="s">
        <v>1234</v>
      </c>
      <c r="K699" t="s">
        <v>1235</v>
      </c>
      <c r="M699" t="s">
        <v>487</v>
      </c>
      <c r="N699">
        <v>0</v>
      </c>
      <c r="O699" t="s">
        <v>1241</v>
      </c>
      <c r="P699">
        <v>2.3609999999999999E-2</v>
      </c>
      <c r="Q699">
        <v>0.43992904522614201</v>
      </c>
      <c r="R699" s="6"/>
    </row>
    <row r="700" spans="1:18" x14ac:dyDescent="0.15">
      <c r="C700" t="s">
        <v>24</v>
      </c>
      <c r="D700">
        <v>7.2361809045230006</v>
      </c>
      <c r="E700">
        <v>1000</v>
      </c>
      <c r="F700" t="s">
        <v>13</v>
      </c>
      <c r="G700">
        <v>3</v>
      </c>
      <c r="H700">
        <v>0</v>
      </c>
      <c r="I700" t="s">
        <v>488</v>
      </c>
      <c r="J700" t="s">
        <v>1234</v>
      </c>
      <c r="K700" t="s">
        <v>1235</v>
      </c>
      <c r="M700" t="s">
        <v>487</v>
      </c>
      <c r="N700">
        <v>0</v>
      </c>
      <c r="O700" t="s">
        <v>1241</v>
      </c>
      <c r="P700">
        <v>2.8500000000000001E-2</v>
      </c>
      <c r="Q700">
        <v>0.2124180904522727</v>
      </c>
      <c r="R700" s="6"/>
    </row>
    <row r="701" spans="1:18" x14ac:dyDescent="0.15">
      <c r="C701" t="s">
        <v>17</v>
      </c>
      <c r="D701">
        <v>3.2051282051279997</v>
      </c>
      <c r="E701">
        <v>1000</v>
      </c>
      <c r="F701" t="s">
        <v>18</v>
      </c>
      <c r="G701">
        <v>0</v>
      </c>
      <c r="H701">
        <v>0</v>
      </c>
      <c r="I701" t="s">
        <v>488</v>
      </c>
      <c r="J701" t="s">
        <v>1234</v>
      </c>
      <c r="K701" t="s">
        <v>1235</v>
      </c>
      <c r="M701" t="s">
        <v>487</v>
      </c>
      <c r="N701">
        <v>0</v>
      </c>
      <c r="O701" t="s">
        <v>1241</v>
      </c>
      <c r="P701">
        <v>53.85</v>
      </c>
      <c r="Q701">
        <v>172.59615384614278</v>
      </c>
      <c r="R701" s="6"/>
    </row>
    <row r="702" spans="1:18" x14ac:dyDescent="0.15">
      <c r="C702" t="s">
        <v>19</v>
      </c>
      <c r="D702">
        <v>3</v>
      </c>
      <c r="E702">
        <v>1</v>
      </c>
      <c r="F702" t="s">
        <v>18</v>
      </c>
      <c r="G702">
        <v>0</v>
      </c>
      <c r="H702">
        <v>0</v>
      </c>
      <c r="I702" t="s">
        <v>488</v>
      </c>
      <c r="J702" t="s">
        <v>1236</v>
      </c>
      <c r="K702" t="s">
        <v>1235</v>
      </c>
      <c r="M702" t="s">
        <v>487</v>
      </c>
      <c r="N702">
        <v>0</v>
      </c>
      <c r="O702" t="s">
        <v>1241</v>
      </c>
      <c r="P702">
        <v>34.65</v>
      </c>
      <c r="Q702">
        <v>103.94999999999999</v>
      </c>
      <c r="R702" s="6"/>
    </row>
    <row r="703" spans="1:18" x14ac:dyDescent="0.15">
      <c r="A703" t="s">
        <v>210</v>
      </c>
      <c r="B703" t="s">
        <v>479</v>
      </c>
      <c r="P703">
        <v>0.45351350807701485</v>
      </c>
      <c r="R703" s="6"/>
    </row>
    <row r="704" spans="1:18" x14ac:dyDescent="0.15">
      <c r="C704" t="s">
        <v>211</v>
      </c>
      <c r="D704">
        <v>1</v>
      </c>
      <c r="E704">
        <v>1</v>
      </c>
      <c r="F704" t="s">
        <v>9</v>
      </c>
      <c r="G704">
        <v>0</v>
      </c>
      <c r="H704">
        <v>0</v>
      </c>
      <c r="I704" t="s">
        <v>488</v>
      </c>
      <c r="J704" t="s">
        <v>1234</v>
      </c>
      <c r="K704" t="s">
        <v>1235</v>
      </c>
      <c r="M704" t="s">
        <v>487</v>
      </c>
      <c r="N704">
        <v>0</v>
      </c>
      <c r="O704" t="s">
        <v>1241</v>
      </c>
      <c r="P704">
        <v>0.45351350807701485</v>
      </c>
      <c r="Q704">
        <v>0.45351350807701485</v>
      </c>
      <c r="R704" s="6"/>
    </row>
    <row r="705" spans="1:18" x14ac:dyDescent="0.15">
      <c r="A705" t="s">
        <v>212</v>
      </c>
      <c r="B705" t="s">
        <v>479</v>
      </c>
      <c r="P705">
        <v>0.9070270161540297</v>
      </c>
      <c r="R705" s="6"/>
    </row>
    <row r="706" spans="1:18" x14ac:dyDescent="0.15">
      <c r="C706" t="s">
        <v>211</v>
      </c>
      <c r="D706">
        <v>2</v>
      </c>
      <c r="E706">
        <v>1</v>
      </c>
      <c r="F706" t="s">
        <v>9</v>
      </c>
      <c r="G706">
        <v>0</v>
      </c>
      <c r="H706">
        <v>0</v>
      </c>
      <c r="I706" t="s">
        <v>488</v>
      </c>
      <c r="J706" t="s">
        <v>1234</v>
      </c>
      <c r="K706" t="s">
        <v>1235</v>
      </c>
      <c r="M706" t="s">
        <v>487</v>
      </c>
      <c r="N706">
        <v>0</v>
      </c>
      <c r="O706" t="s">
        <v>1241</v>
      </c>
      <c r="P706">
        <v>0.45351350807701485</v>
      </c>
      <c r="Q706">
        <v>0.9070270161540297</v>
      </c>
      <c r="R706" s="6"/>
    </row>
    <row r="707" spans="1:18" x14ac:dyDescent="0.15">
      <c r="A707" t="s">
        <v>213</v>
      </c>
      <c r="B707" t="s">
        <v>479</v>
      </c>
      <c r="P707">
        <v>0.22675675403850742</v>
      </c>
      <c r="R707" s="6"/>
    </row>
    <row r="708" spans="1:18" x14ac:dyDescent="0.15">
      <c r="C708" t="s">
        <v>211</v>
      </c>
      <c r="D708">
        <v>500</v>
      </c>
      <c r="E708">
        <v>1000</v>
      </c>
      <c r="F708" t="s">
        <v>9</v>
      </c>
      <c r="G708">
        <v>0</v>
      </c>
      <c r="H708">
        <v>0</v>
      </c>
      <c r="I708" t="s">
        <v>488</v>
      </c>
      <c r="J708" t="s">
        <v>1234</v>
      </c>
      <c r="K708" t="s">
        <v>1235</v>
      </c>
      <c r="M708" t="s">
        <v>487</v>
      </c>
      <c r="N708">
        <v>0</v>
      </c>
      <c r="O708" t="s">
        <v>1241</v>
      </c>
      <c r="P708">
        <v>0.45351350807701485</v>
      </c>
      <c r="Q708">
        <v>226.75675403850744</v>
      </c>
      <c r="R708" s="6"/>
    </row>
    <row r="709" spans="1:18" x14ac:dyDescent="0.15">
      <c r="A709" t="s">
        <v>211</v>
      </c>
      <c r="B709" t="s">
        <v>9</v>
      </c>
      <c r="P709">
        <v>0.45351350807701485</v>
      </c>
      <c r="R709" s="6"/>
    </row>
    <row r="710" spans="1:18" x14ac:dyDescent="0.15">
      <c r="C710" t="s">
        <v>34</v>
      </c>
      <c r="D710">
        <v>1</v>
      </c>
      <c r="E710">
        <v>1</v>
      </c>
      <c r="F710" t="s">
        <v>9</v>
      </c>
      <c r="G710">
        <v>3</v>
      </c>
      <c r="H710">
        <v>0</v>
      </c>
      <c r="I710" t="s">
        <v>488</v>
      </c>
      <c r="J710" t="s">
        <v>1234</v>
      </c>
      <c r="K710" t="s">
        <v>1235</v>
      </c>
      <c r="M710" t="s">
        <v>487</v>
      </c>
      <c r="N710">
        <v>0</v>
      </c>
      <c r="O710" t="s">
        <v>1241</v>
      </c>
      <c r="P710">
        <v>9.4000000000000004E-3</v>
      </c>
      <c r="Q710">
        <v>9.6820000000000004</v>
      </c>
      <c r="R710" s="6"/>
    </row>
    <row r="711" spans="1:18" x14ac:dyDescent="0.15">
      <c r="C711" t="s">
        <v>33</v>
      </c>
      <c r="D711">
        <v>2</v>
      </c>
      <c r="E711">
        <v>1</v>
      </c>
      <c r="F711" t="s">
        <v>9</v>
      </c>
      <c r="G711">
        <v>3</v>
      </c>
      <c r="H711">
        <v>0</v>
      </c>
      <c r="I711" t="s">
        <v>488</v>
      </c>
      <c r="J711" t="s">
        <v>1234</v>
      </c>
      <c r="K711" t="s">
        <v>1235</v>
      </c>
      <c r="M711" t="s">
        <v>487</v>
      </c>
      <c r="N711">
        <v>0</v>
      </c>
      <c r="O711" t="s">
        <v>1241</v>
      </c>
      <c r="P711">
        <v>0</v>
      </c>
      <c r="Q711">
        <v>0</v>
      </c>
      <c r="R711" s="9" t="s">
        <v>1246</v>
      </c>
    </row>
    <row r="712" spans="1:18" x14ac:dyDescent="0.15">
      <c r="C712" t="s">
        <v>39</v>
      </c>
      <c r="D712">
        <v>1</v>
      </c>
      <c r="E712">
        <v>1</v>
      </c>
      <c r="F712" t="s">
        <v>9</v>
      </c>
      <c r="G712">
        <v>3</v>
      </c>
      <c r="H712">
        <v>0</v>
      </c>
      <c r="I712" t="s">
        <v>488</v>
      </c>
      <c r="J712" t="s">
        <v>1234</v>
      </c>
      <c r="K712" t="s">
        <v>1235</v>
      </c>
      <c r="M712" t="s">
        <v>487</v>
      </c>
      <c r="N712">
        <v>0</v>
      </c>
      <c r="O712" t="s">
        <v>1241</v>
      </c>
      <c r="P712">
        <v>0</v>
      </c>
      <c r="Q712">
        <v>0</v>
      </c>
      <c r="R712" s="9" t="s">
        <v>1246</v>
      </c>
    </row>
    <row r="713" spans="1:18" x14ac:dyDescent="0.15">
      <c r="C713" t="s">
        <v>12</v>
      </c>
      <c r="D713">
        <v>0.36067839196000001</v>
      </c>
      <c r="E713">
        <v>1</v>
      </c>
      <c r="F713" t="s">
        <v>13</v>
      </c>
      <c r="G713">
        <v>3</v>
      </c>
      <c r="H713">
        <v>0</v>
      </c>
      <c r="I713" t="s">
        <v>488</v>
      </c>
      <c r="J713" t="s">
        <v>1234</v>
      </c>
      <c r="K713" t="s">
        <v>1235</v>
      </c>
      <c r="M713" t="s">
        <v>487</v>
      </c>
      <c r="N713">
        <v>0</v>
      </c>
      <c r="O713" t="s">
        <v>1241</v>
      </c>
      <c r="P713">
        <v>1.03E-2</v>
      </c>
      <c r="Q713">
        <v>3.8264370603036402</v>
      </c>
      <c r="R713" s="6"/>
    </row>
    <row r="714" spans="1:18" x14ac:dyDescent="0.15">
      <c r="C714" t="s">
        <v>14</v>
      </c>
      <c r="D714">
        <v>0.40075376884399999</v>
      </c>
      <c r="E714">
        <v>1</v>
      </c>
      <c r="F714" t="s">
        <v>13</v>
      </c>
      <c r="G714">
        <v>3</v>
      </c>
      <c r="H714">
        <v>0</v>
      </c>
      <c r="I714" t="s">
        <v>488</v>
      </c>
      <c r="J714" t="s">
        <v>1234</v>
      </c>
      <c r="K714" t="s">
        <v>1235</v>
      </c>
      <c r="M714" t="s">
        <v>487</v>
      </c>
      <c r="N714">
        <v>0</v>
      </c>
      <c r="O714" t="s">
        <v>1241</v>
      </c>
      <c r="P714">
        <v>5.4900000000000001E-3</v>
      </c>
      <c r="Q714">
        <v>2.2661423366821669</v>
      </c>
      <c r="R714" s="6"/>
    </row>
    <row r="715" spans="1:18" x14ac:dyDescent="0.15">
      <c r="C715" t="s">
        <v>15</v>
      </c>
      <c r="D715">
        <v>8.0150753768840008</v>
      </c>
      <c r="E715">
        <v>1000</v>
      </c>
      <c r="F715" t="s">
        <v>13</v>
      </c>
      <c r="G715">
        <v>3</v>
      </c>
      <c r="H715">
        <v>0</v>
      </c>
      <c r="I715" t="s">
        <v>488</v>
      </c>
      <c r="J715" t="s">
        <v>1234</v>
      </c>
      <c r="K715" t="s">
        <v>1235</v>
      </c>
      <c r="M715" t="s">
        <v>487</v>
      </c>
      <c r="N715">
        <v>0</v>
      </c>
      <c r="O715" t="s">
        <v>1241</v>
      </c>
      <c r="P715">
        <v>7.9819999999999988E-2</v>
      </c>
      <c r="Q715">
        <v>0.65895621608036736</v>
      </c>
      <c r="R715" s="6"/>
    </row>
    <row r="716" spans="1:18" x14ac:dyDescent="0.15">
      <c r="C716" t="s">
        <v>23</v>
      </c>
      <c r="D716">
        <v>20.037688442211</v>
      </c>
      <c r="E716">
        <v>1000</v>
      </c>
      <c r="F716" t="s">
        <v>13</v>
      </c>
      <c r="G716">
        <v>3</v>
      </c>
      <c r="H716">
        <v>0</v>
      </c>
      <c r="I716" t="s">
        <v>488</v>
      </c>
      <c r="J716" t="s">
        <v>1234</v>
      </c>
      <c r="K716" t="s">
        <v>1235</v>
      </c>
      <c r="M716" t="s">
        <v>487</v>
      </c>
      <c r="N716">
        <v>0</v>
      </c>
      <c r="O716" t="s">
        <v>1241</v>
      </c>
      <c r="P716">
        <v>2.3609999999999999E-2</v>
      </c>
      <c r="Q716">
        <v>0.48728251884421975</v>
      </c>
      <c r="R716" s="6"/>
    </row>
    <row r="717" spans="1:18" x14ac:dyDescent="0.15">
      <c r="C717" t="s">
        <v>24</v>
      </c>
      <c r="D717">
        <v>8.0150753768840008</v>
      </c>
      <c r="E717">
        <v>1000</v>
      </c>
      <c r="F717" t="s">
        <v>13</v>
      </c>
      <c r="G717">
        <v>3</v>
      </c>
      <c r="H717">
        <v>0</v>
      </c>
      <c r="I717" t="s">
        <v>488</v>
      </c>
      <c r="J717" t="s">
        <v>1234</v>
      </c>
      <c r="K717" t="s">
        <v>1235</v>
      </c>
      <c r="M717" t="s">
        <v>487</v>
      </c>
      <c r="N717">
        <v>0</v>
      </c>
      <c r="O717" t="s">
        <v>1241</v>
      </c>
      <c r="P717">
        <v>2.8500000000000001E-2</v>
      </c>
      <c r="Q717">
        <v>0.23528253768842988</v>
      </c>
      <c r="R717" s="6"/>
    </row>
    <row r="718" spans="1:18" x14ac:dyDescent="0.15">
      <c r="C718" t="s">
        <v>17</v>
      </c>
      <c r="D718">
        <v>6.1728395061730001</v>
      </c>
      <c r="E718">
        <v>1000</v>
      </c>
      <c r="F718" t="s">
        <v>18</v>
      </c>
      <c r="G718">
        <v>0</v>
      </c>
      <c r="H718">
        <v>0</v>
      </c>
      <c r="I718" t="s">
        <v>488</v>
      </c>
      <c r="J718" t="s">
        <v>1234</v>
      </c>
      <c r="K718" t="s">
        <v>1235</v>
      </c>
      <c r="M718" t="s">
        <v>487</v>
      </c>
      <c r="N718">
        <v>0</v>
      </c>
      <c r="O718" t="s">
        <v>1241</v>
      </c>
      <c r="P718">
        <v>53.85</v>
      </c>
      <c r="Q718">
        <v>332.40740740741609</v>
      </c>
      <c r="R718" s="6"/>
    </row>
    <row r="719" spans="1:18" x14ac:dyDescent="0.15">
      <c r="C719" t="s">
        <v>19</v>
      </c>
      <c r="D719">
        <v>3</v>
      </c>
      <c r="E719">
        <v>1</v>
      </c>
      <c r="F719" t="s">
        <v>18</v>
      </c>
      <c r="G719">
        <v>0</v>
      </c>
      <c r="H719">
        <v>0</v>
      </c>
      <c r="I719" t="s">
        <v>488</v>
      </c>
      <c r="J719" t="s">
        <v>1236</v>
      </c>
      <c r="K719" t="s">
        <v>1235</v>
      </c>
      <c r="M719" t="s">
        <v>487</v>
      </c>
      <c r="N719">
        <v>0</v>
      </c>
      <c r="O719" t="s">
        <v>1241</v>
      </c>
      <c r="P719">
        <v>34.65</v>
      </c>
      <c r="Q719">
        <v>103.94999999999999</v>
      </c>
      <c r="R719" s="6"/>
    </row>
    <row r="720" spans="1:18" x14ac:dyDescent="0.15">
      <c r="A720" t="s">
        <v>214</v>
      </c>
      <c r="B720" t="s">
        <v>479</v>
      </c>
      <c r="P720">
        <v>0.28605864560745148</v>
      </c>
      <c r="R720" s="6"/>
    </row>
    <row r="721" spans="1:18" x14ac:dyDescent="0.15">
      <c r="C721" t="s">
        <v>215</v>
      </c>
      <c r="D721">
        <v>1</v>
      </c>
      <c r="E721">
        <v>1</v>
      </c>
      <c r="F721" t="s">
        <v>9</v>
      </c>
      <c r="G721">
        <v>0</v>
      </c>
      <c r="H721">
        <v>0</v>
      </c>
      <c r="I721" t="s">
        <v>488</v>
      </c>
      <c r="J721" t="s">
        <v>1234</v>
      </c>
      <c r="K721" t="s">
        <v>1235</v>
      </c>
      <c r="M721" t="s">
        <v>487</v>
      </c>
      <c r="N721">
        <v>0</v>
      </c>
      <c r="O721" t="s">
        <v>1241</v>
      </c>
      <c r="P721">
        <v>0.28605864560745148</v>
      </c>
      <c r="Q721">
        <v>0.28605864560745148</v>
      </c>
      <c r="R721" s="6"/>
    </row>
    <row r="722" spans="1:18" x14ac:dyDescent="0.15">
      <c r="A722" t="s">
        <v>216</v>
      </c>
      <c r="B722" t="s">
        <v>479</v>
      </c>
      <c r="P722">
        <v>0.57211729121490296</v>
      </c>
      <c r="R722" s="6"/>
    </row>
    <row r="723" spans="1:18" x14ac:dyDescent="0.15">
      <c r="C723" t="s">
        <v>215</v>
      </c>
      <c r="D723">
        <v>2</v>
      </c>
      <c r="E723">
        <v>1</v>
      </c>
      <c r="F723" t="s">
        <v>9</v>
      </c>
      <c r="G723">
        <v>0</v>
      </c>
      <c r="H723">
        <v>0</v>
      </c>
      <c r="I723" t="s">
        <v>488</v>
      </c>
      <c r="J723" t="s">
        <v>1234</v>
      </c>
      <c r="K723" t="s">
        <v>1235</v>
      </c>
      <c r="M723" t="s">
        <v>487</v>
      </c>
      <c r="N723">
        <v>0</v>
      </c>
      <c r="O723" t="s">
        <v>1241</v>
      </c>
      <c r="P723">
        <v>0.28605864560745148</v>
      </c>
      <c r="Q723">
        <v>0.57211729121490296</v>
      </c>
      <c r="R723" s="6"/>
    </row>
    <row r="724" spans="1:18" x14ac:dyDescent="0.15">
      <c r="A724" t="s">
        <v>217</v>
      </c>
      <c r="B724" t="s">
        <v>479</v>
      </c>
      <c r="P724">
        <v>0.14302932280372574</v>
      </c>
      <c r="R724" s="6"/>
    </row>
    <row r="725" spans="1:18" x14ac:dyDescent="0.15">
      <c r="C725" t="s">
        <v>215</v>
      </c>
      <c r="D725">
        <v>500</v>
      </c>
      <c r="E725">
        <v>1000</v>
      </c>
      <c r="F725" t="s">
        <v>9</v>
      </c>
      <c r="G725">
        <v>0</v>
      </c>
      <c r="H725">
        <v>0</v>
      </c>
      <c r="I725" t="s">
        <v>488</v>
      </c>
      <c r="J725" t="s">
        <v>1234</v>
      </c>
      <c r="K725" t="s">
        <v>1235</v>
      </c>
      <c r="M725" t="s">
        <v>487</v>
      </c>
      <c r="N725">
        <v>0</v>
      </c>
      <c r="O725" t="s">
        <v>1241</v>
      </c>
      <c r="P725">
        <v>0.28605864560745148</v>
      </c>
      <c r="Q725">
        <v>143.02932280372573</v>
      </c>
      <c r="R725" s="6"/>
    </row>
    <row r="726" spans="1:18" x14ac:dyDescent="0.15">
      <c r="A726" t="s">
        <v>218</v>
      </c>
      <c r="B726" t="s">
        <v>479</v>
      </c>
      <c r="P726">
        <v>0.71514661401862867</v>
      </c>
      <c r="R726" s="6"/>
    </row>
    <row r="727" spans="1:18" x14ac:dyDescent="0.15">
      <c r="C727" t="s">
        <v>215</v>
      </c>
      <c r="D727">
        <v>2.5</v>
      </c>
      <c r="E727">
        <v>1</v>
      </c>
      <c r="F727" t="s">
        <v>9</v>
      </c>
      <c r="G727">
        <v>0</v>
      </c>
      <c r="H727">
        <v>0</v>
      </c>
      <c r="I727" t="s">
        <v>488</v>
      </c>
      <c r="J727" t="s">
        <v>1234</v>
      </c>
      <c r="K727" t="s">
        <v>1235</v>
      </c>
      <c r="M727" t="s">
        <v>487</v>
      </c>
      <c r="N727">
        <v>0</v>
      </c>
      <c r="O727" t="s">
        <v>1241</v>
      </c>
      <c r="P727">
        <v>0.28605864560745148</v>
      </c>
      <c r="Q727">
        <v>0.71514661401862867</v>
      </c>
      <c r="R727" s="6"/>
    </row>
    <row r="728" spans="1:18" x14ac:dyDescent="0.15">
      <c r="A728" t="s">
        <v>219</v>
      </c>
      <c r="B728" t="s">
        <v>479</v>
      </c>
      <c r="P728">
        <v>3.1609480339623387E-2</v>
      </c>
      <c r="R728" s="6"/>
    </row>
    <row r="729" spans="1:18" x14ac:dyDescent="0.15">
      <c r="C729" t="s">
        <v>215</v>
      </c>
      <c r="D729">
        <v>110.5</v>
      </c>
      <c r="E729">
        <v>1000</v>
      </c>
      <c r="F729" t="s">
        <v>9</v>
      </c>
      <c r="G729">
        <v>0</v>
      </c>
      <c r="H729">
        <v>0</v>
      </c>
      <c r="I729" t="s">
        <v>488</v>
      </c>
      <c r="J729" t="s">
        <v>1234</v>
      </c>
      <c r="K729" t="s">
        <v>1235</v>
      </c>
      <c r="M729" t="s">
        <v>487</v>
      </c>
      <c r="N729">
        <v>0</v>
      </c>
      <c r="O729" t="s">
        <v>1241</v>
      </c>
      <c r="P729">
        <v>0.28605864560745148</v>
      </c>
      <c r="Q729">
        <v>31.609480339623389</v>
      </c>
      <c r="R729" s="6"/>
    </row>
    <row r="730" spans="1:18" x14ac:dyDescent="0.15">
      <c r="A730" t="s">
        <v>220</v>
      </c>
      <c r="B730" t="s">
        <v>479</v>
      </c>
      <c r="P730">
        <v>2.7862112082165776E-2</v>
      </c>
      <c r="R730" s="6"/>
    </row>
    <row r="731" spans="1:18" x14ac:dyDescent="0.15">
      <c r="C731" t="s">
        <v>215</v>
      </c>
      <c r="D731">
        <v>97.4</v>
      </c>
      <c r="E731">
        <v>1000</v>
      </c>
      <c r="F731" t="s">
        <v>9</v>
      </c>
      <c r="G731">
        <v>0</v>
      </c>
      <c r="H731">
        <v>0</v>
      </c>
      <c r="I731" t="s">
        <v>488</v>
      </c>
      <c r="J731" t="s">
        <v>1234</v>
      </c>
      <c r="K731" t="s">
        <v>1235</v>
      </c>
      <c r="M731" t="s">
        <v>487</v>
      </c>
      <c r="N731">
        <v>0</v>
      </c>
      <c r="O731" t="s">
        <v>1241</v>
      </c>
      <c r="P731">
        <v>0.28605864560745148</v>
      </c>
      <c r="Q731">
        <v>27.862112082165776</v>
      </c>
      <c r="R731" s="6"/>
    </row>
    <row r="732" spans="1:18" x14ac:dyDescent="0.15">
      <c r="A732" t="s">
        <v>221</v>
      </c>
      <c r="B732" t="s">
        <v>479</v>
      </c>
      <c r="P732">
        <v>2.8176776592333971E-2</v>
      </c>
      <c r="R732" s="6"/>
    </row>
    <row r="733" spans="1:18" x14ac:dyDescent="0.15">
      <c r="C733" t="s">
        <v>215</v>
      </c>
      <c r="D733">
        <v>98.5</v>
      </c>
      <c r="E733">
        <v>1000</v>
      </c>
      <c r="F733" t="s">
        <v>9</v>
      </c>
      <c r="G733">
        <v>0</v>
      </c>
      <c r="H733">
        <v>0</v>
      </c>
      <c r="I733" t="s">
        <v>488</v>
      </c>
      <c r="J733" t="s">
        <v>1234</v>
      </c>
      <c r="K733" t="s">
        <v>1235</v>
      </c>
      <c r="M733" t="s">
        <v>487</v>
      </c>
      <c r="N733">
        <v>0</v>
      </c>
      <c r="O733" t="s">
        <v>1241</v>
      </c>
      <c r="P733">
        <v>0.28605864560745148</v>
      </c>
      <c r="Q733">
        <v>28.176776592333972</v>
      </c>
      <c r="R733" s="6"/>
    </row>
    <row r="734" spans="1:18" x14ac:dyDescent="0.15">
      <c r="A734" t="s">
        <v>215</v>
      </c>
      <c r="B734" t="s">
        <v>9</v>
      </c>
      <c r="P734">
        <v>0.28605864560745148</v>
      </c>
      <c r="R734" s="6"/>
    </row>
    <row r="735" spans="1:18" x14ac:dyDescent="0.15">
      <c r="C735" t="s">
        <v>29</v>
      </c>
      <c r="D735">
        <v>1</v>
      </c>
      <c r="E735">
        <v>1</v>
      </c>
      <c r="F735" t="s">
        <v>9</v>
      </c>
      <c r="G735">
        <v>3</v>
      </c>
      <c r="H735">
        <v>0</v>
      </c>
      <c r="I735" t="s">
        <v>488</v>
      </c>
      <c r="J735" t="s">
        <v>1234</v>
      </c>
      <c r="K735" t="s">
        <v>1235</v>
      </c>
      <c r="M735" t="s">
        <v>487</v>
      </c>
      <c r="N735">
        <v>0</v>
      </c>
      <c r="O735" t="s">
        <v>1241</v>
      </c>
      <c r="P735">
        <v>0</v>
      </c>
      <c r="Q735">
        <v>0</v>
      </c>
      <c r="R735" s="9" t="s">
        <v>1246</v>
      </c>
    </row>
    <row r="736" spans="1:18" x14ac:dyDescent="0.15">
      <c r="C736" t="s">
        <v>33</v>
      </c>
      <c r="D736">
        <v>3</v>
      </c>
      <c r="E736">
        <v>1</v>
      </c>
      <c r="F736" t="s">
        <v>9</v>
      </c>
      <c r="G736">
        <v>3</v>
      </c>
      <c r="H736">
        <v>0</v>
      </c>
      <c r="I736" t="s">
        <v>488</v>
      </c>
      <c r="J736" t="s">
        <v>1234</v>
      </c>
      <c r="K736" t="s">
        <v>1235</v>
      </c>
      <c r="M736" t="s">
        <v>487</v>
      </c>
      <c r="N736">
        <v>0</v>
      </c>
      <c r="O736" t="s">
        <v>1241</v>
      </c>
      <c r="P736">
        <v>0</v>
      </c>
      <c r="Q736">
        <v>0</v>
      </c>
      <c r="R736" s="9" t="s">
        <v>1246</v>
      </c>
    </row>
    <row r="737" spans="1:18" x14ac:dyDescent="0.15">
      <c r="C737" t="s">
        <v>12</v>
      </c>
      <c r="D737">
        <v>0.45904522613100002</v>
      </c>
      <c r="E737">
        <v>1</v>
      </c>
      <c r="F737" t="s">
        <v>13</v>
      </c>
      <c r="G737">
        <v>3</v>
      </c>
      <c r="H737">
        <v>0</v>
      </c>
      <c r="I737" t="s">
        <v>488</v>
      </c>
      <c r="J737" t="s">
        <v>1234</v>
      </c>
      <c r="K737" t="s">
        <v>1235</v>
      </c>
      <c r="M737" t="s">
        <v>487</v>
      </c>
      <c r="N737">
        <v>0</v>
      </c>
      <c r="O737" t="s">
        <v>1241</v>
      </c>
      <c r="P737">
        <v>1.03E-2</v>
      </c>
      <c r="Q737">
        <v>4.8700108040237788</v>
      </c>
      <c r="R737" s="6"/>
    </row>
    <row r="738" spans="1:18" x14ac:dyDescent="0.15">
      <c r="C738" t="s">
        <v>14</v>
      </c>
      <c r="D738">
        <v>0.51005025125600001</v>
      </c>
      <c r="E738">
        <v>1</v>
      </c>
      <c r="F738" t="s">
        <v>13</v>
      </c>
      <c r="G738">
        <v>3</v>
      </c>
      <c r="H738">
        <v>0</v>
      </c>
      <c r="I738" t="s">
        <v>488</v>
      </c>
      <c r="J738" t="s">
        <v>1234</v>
      </c>
      <c r="K738" t="s">
        <v>1235</v>
      </c>
      <c r="M738" t="s">
        <v>487</v>
      </c>
      <c r="N738">
        <v>0</v>
      </c>
      <c r="O738" t="s">
        <v>1241</v>
      </c>
      <c r="P738">
        <v>5.4900000000000001E-3</v>
      </c>
      <c r="Q738">
        <v>2.8841811557773034</v>
      </c>
      <c r="R738" s="6"/>
    </row>
    <row r="739" spans="1:18" x14ac:dyDescent="0.15">
      <c r="C739" t="s">
        <v>15</v>
      </c>
      <c r="D739">
        <v>10.201005025126001</v>
      </c>
      <c r="E739">
        <v>1000</v>
      </c>
      <c r="F739" t="s">
        <v>13</v>
      </c>
      <c r="G739">
        <v>3</v>
      </c>
      <c r="H739">
        <v>0</v>
      </c>
      <c r="I739" t="s">
        <v>488</v>
      </c>
      <c r="J739" t="s">
        <v>1234</v>
      </c>
      <c r="K739" t="s">
        <v>1235</v>
      </c>
      <c r="M739" t="s">
        <v>487</v>
      </c>
      <c r="N739">
        <v>0</v>
      </c>
      <c r="O739" t="s">
        <v>1241</v>
      </c>
      <c r="P739">
        <v>7.9819999999999988E-2</v>
      </c>
      <c r="Q739">
        <v>0.8386715477387241</v>
      </c>
      <c r="R739" s="6"/>
    </row>
    <row r="740" spans="1:18" x14ac:dyDescent="0.15">
      <c r="C740" t="s">
        <v>23</v>
      </c>
      <c r="D740">
        <v>25.502512562814001</v>
      </c>
      <c r="E740">
        <v>1000</v>
      </c>
      <c r="F740" t="s">
        <v>13</v>
      </c>
      <c r="G740">
        <v>3</v>
      </c>
      <c r="H740">
        <v>0</v>
      </c>
      <c r="I740" t="s">
        <v>488</v>
      </c>
      <c r="J740" t="s">
        <v>1234</v>
      </c>
      <c r="K740" t="s">
        <v>1235</v>
      </c>
      <c r="M740" t="s">
        <v>487</v>
      </c>
      <c r="N740">
        <v>0</v>
      </c>
      <c r="O740" t="s">
        <v>1241</v>
      </c>
      <c r="P740">
        <v>2.3609999999999999E-2</v>
      </c>
      <c r="Q740">
        <v>0.62017775125627961</v>
      </c>
      <c r="R740" s="6"/>
    </row>
    <row r="741" spans="1:18" x14ac:dyDescent="0.15">
      <c r="C741" t="s">
        <v>24</v>
      </c>
      <c r="D741">
        <v>10.201005025126001</v>
      </c>
      <c r="E741">
        <v>1000</v>
      </c>
      <c r="F741" t="s">
        <v>13</v>
      </c>
      <c r="G741">
        <v>3</v>
      </c>
      <c r="H741">
        <v>0</v>
      </c>
      <c r="I741" t="s">
        <v>488</v>
      </c>
      <c r="J741" t="s">
        <v>1234</v>
      </c>
      <c r="K741" t="s">
        <v>1235</v>
      </c>
      <c r="M741" t="s">
        <v>487</v>
      </c>
      <c r="N741">
        <v>0</v>
      </c>
      <c r="O741" t="s">
        <v>1241</v>
      </c>
      <c r="P741">
        <v>2.8500000000000001E-2</v>
      </c>
      <c r="Q741">
        <v>0.29945050251257382</v>
      </c>
      <c r="R741" s="6"/>
    </row>
    <row r="742" spans="1:18" x14ac:dyDescent="0.15">
      <c r="C742" t="s">
        <v>17</v>
      </c>
      <c r="D742">
        <v>3.2051282051279997</v>
      </c>
      <c r="E742">
        <v>1000</v>
      </c>
      <c r="F742" t="s">
        <v>18</v>
      </c>
      <c r="G742">
        <v>0</v>
      </c>
      <c r="H742">
        <v>0</v>
      </c>
      <c r="I742" t="s">
        <v>488</v>
      </c>
      <c r="J742" t="s">
        <v>1234</v>
      </c>
      <c r="K742" t="s">
        <v>1235</v>
      </c>
      <c r="M742" t="s">
        <v>487</v>
      </c>
      <c r="N742">
        <v>0</v>
      </c>
      <c r="O742" t="s">
        <v>1241</v>
      </c>
      <c r="P742">
        <v>53.85</v>
      </c>
      <c r="Q742">
        <v>172.59615384614278</v>
      </c>
      <c r="R742" s="6"/>
    </row>
    <row r="743" spans="1:18" x14ac:dyDescent="0.15">
      <c r="C743" t="s">
        <v>19</v>
      </c>
      <c r="D743">
        <v>3</v>
      </c>
      <c r="E743">
        <v>1</v>
      </c>
      <c r="F743" t="s">
        <v>18</v>
      </c>
      <c r="G743">
        <v>0</v>
      </c>
      <c r="H743">
        <v>0</v>
      </c>
      <c r="I743" t="s">
        <v>488</v>
      </c>
      <c r="J743" t="s">
        <v>1236</v>
      </c>
      <c r="K743" t="s">
        <v>1235</v>
      </c>
      <c r="M743" t="s">
        <v>487</v>
      </c>
      <c r="N743">
        <v>0</v>
      </c>
      <c r="O743" t="s">
        <v>1241</v>
      </c>
      <c r="P743">
        <v>34.65</v>
      </c>
      <c r="Q743">
        <v>103.94999999999999</v>
      </c>
      <c r="R743" s="6"/>
    </row>
    <row r="744" spans="1:18" x14ac:dyDescent="0.15">
      <c r="A744" t="s">
        <v>222</v>
      </c>
      <c r="B744" t="s">
        <v>479</v>
      </c>
      <c r="P744">
        <v>0.32326717787428549</v>
      </c>
      <c r="R744" s="6"/>
    </row>
    <row r="745" spans="1:18" x14ac:dyDescent="0.15">
      <c r="C745" t="s">
        <v>223</v>
      </c>
      <c r="D745">
        <v>1</v>
      </c>
      <c r="E745">
        <v>1</v>
      </c>
      <c r="F745" t="s">
        <v>9</v>
      </c>
      <c r="G745">
        <v>0</v>
      </c>
      <c r="H745">
        <v>0</v>
      </c>
      <c r="I745" t="s">
        <v>488</v>
      </c>
      <c r="J745" t="s">
        <v>1234</v>
      </c>
      <c r="K745" t="s">
        <v>1235</v>
      </c>
      <c r="M745" t="s">
        <v>487</v>
      </c>
      <c r="N745">
        <v>0</v>
      </c>
      <c r="O745" t="s">
        <v>1241</v>
      </c>
      <c r="P745">
        <v>0.32326717787428549</v>
      </c>
      <c r="Q745">
        <v>0.32326717787428549</v>
      </c>
      <c r="R745" s="6"/>
    </row>
    <row r="746" spans="1:18" x14ac:dyDescent="0.15">
      <c r="A746" t="s">
        <v>224</v>
      </c>
      <c r="B746" t="s">
        <v>479</v>
      </c>
      <c r="P746">
        <v>0.64653435574857099</v>
      </c>
      <c r="R746" s="6"/>
    </row>
    <row r="747" spans="1:18" x14ac:dyDescent="0.15">
      <c r="C747" t="s">
        <v>223</v>
      </c>
      <c r="D747">
        <v>2</v>
      </c>
      <c r="E747">
        <v>1</v>
      </c>
      <c r="F747" t="s">
        <v>9</v>
      </c>
      <c r="G747">
        <v>0</v>
      </c>
      <c r="H747">
        <v>0</v>
      </c>
      <c r="I747" t="s">
        <v>488</v>
      </c>
      <c r="J747" t="s">
        <v>1234</v>
      </c>
      <c r="K747" t="s">
        <v>1235</v>
      </c>
      <c r="M747" t="s">
        <v>487</v>
      </c>
      <c r="N747">
        <v>0</v>
      </c>
      <c r="O747" t="s">
        <v>1241</v>
      </c>
      <c r="P747">
        <v>0.32326717787428549</v>
      </c>
      <c r="Q747">
        <v>0.64653435574857099</v>
      </c>
      <c r="R747" s="6"/>
    </row>
    <row r="748" spans="1:18" x14ac:dyDescent="0.15">
      <c r="A748" t="s">
        <v>225</v>
      </c>
      <c r="B748" t="s">
        <v>479</v>
      </c>
      <c r="P748">
        <v>0.16163358893714275</v>
      </c>
      <c r="R748" s="6"/>
    </row>
    <row r="749" spans="1:18" x14ac:dyDescent="0.15">
      <c r="C749" t="s">
        <v>223</v>
      </c>
      <c r="D749">
        <v>500</v>
      </c>
      <c r="E749">
        <v>1000</v>
      </c>
      <c r="F749" t="s">
        <v>9</v>
      </c>
      <c r="G749">
        <v>0</v>
      </c>
      <c r="H749">
        <v>0</v>
      </c>
      <c r="I749" t="s">
        <v>488</v>
      </c>
      <c r="J749" t="s">
        <v>1234</v>
      </c>
      <c r="K749" t="s">
        <v>1235</v>
      </c>
      <c r="M749" t="s">
        <v>487</v>
      </c>
      <c r="N749">
        <v>0</v>
      </c>
      <c r="O749" t="s">
        <v>1241</v>
      </c>
      <c r="P749">
        <v>0.32326717787428549</v>
      </c>
      <c r="Q749">
        <v>161.63358893714275</v>
      </c>
      <c r="R749" s="6"/>
    </row>
    <row r="750" spans="1:18" x14ac:dyDescent="0.15">
      <c r="A750" t="s">
        <v>223</v>
      </c>
      <c r="B750" t="s">
        <v>9</v>
      </c>
      <c r="P750">
        <v>0.32326717787428549</v>
      </c>
      <c r="R750" s="6"/>
    </row>
    <row r="751" spans="1:18" x14ac:dyDescent="0.15">
      <c r="C751" t="s">
        <v>33</v>
      </c>
      <c r="D751">
        <v>4</v>
      </c>
      <c r="E751">
        <v>1</v>
      </c>
      <c r="F751" t="s">
        <v>9</v>
      </c>
      <c r="G751">
        <v>3</v>
      </c>
      <c r="H751">
        <v>0</v>
      </c>
      <c r="I751" t="s">
        <v>488</v>
      </c>
      <c r="J751" t="s">
        <v>1234</v>
      </c>
      <c r="K751" t="s">
        <v>1235</v>
      </c>
      <c r="M751" t="s">
        <v>487</v>
      </c>
      <c r="N751">
        <v>0</v>
      </c>
      <c r="O751" t="s">
        <v>1241</v>
      </c>
      <c r="P751">
        <v>0</v>
      </c>
      <c r="Q751">
        <v>0</v>
      </c>
      <c r="R751" s="9" t="s">
        <v>1246</v>
      </c>
    </row>
    <row r="752" spans="1:18" x14ac:dyDescent="0.15">
      <c r="C752" t="s">
        <v>12</v>
      </c>
      <c r="D752">
        <v>0.58251256281399999</v>
      </c>
      <c r="E752">
        <v>1</v>
      </c>
      <c r="F752" t="s">
        <v>13</v>
      </c>
      <c r="G752">
        <v>3</v>
      </c>
      <c r="H752">
        <v>0</v>
      </c>
      <c r="I752" t="s">
        <v>488</v>
      </c>
      <c r="J752" t="s">
        <v>1234</v>
      </c>
      <c r="K752" t="s">
        <v>1235</v>
      </c>
      <c r="M752" t="s">
        <v>487</v>
      </c>
      <c r="N752">
        <v>0</v>
      </c>
      <c r="O752" t="s">
        <v>1241</v>
      </c>
      <c r="P752">
        <v>1.03E-2</v>
      </c>
      <c r="Q752">
        <v>6.1798757788937255</v>
      </c>
      <c r="R752" s="6"/>
    </row>
    <row r="753" spans="1:18" x14ac:dyDescent="0.15">
      <c r="C753" t="s">
        <v>14</v>
      </c>
      <c r="D753">
        <v>0.64723618090500001</v>
      </c>
      <c r="E753">
        <v>1</v>
      </c>
      <c r="F753" t="s">
        <v>13</v>
      </c>
      <c r="G753">
        <v>3</v>
      </c>
      <c r="H753">
        <v>0</v>
      </c>
      <c r="I753" t="s">
        <v>488</v>
      </c>
      <c r="J753" t="s">
        <v>1234</v>
      </c>
      <c r="K753" t="s">
        <v>1235</v>
      </c>
      <c r="M753" t="s">
        <v>487</v>
      </c>
      <c r="N753">
        <v>0</v>
      </c>
      <c r="O753" t="s">
        <v>1241</v>
      </c>
      <c r="P753">
        <v>5.4900000000000001E-3</v>
      </c>
      <c r="Q753">
        <v>3.6599264321635037</v>
      </c>
      <c r="R753" s="6"/>
    </row>
    <row r="754" spans="1:18" x14ac:dyDescent="0.15">
      <c r="C754" t="s">
        <v>15</v>
      </c>
      <c r="D754">
        <v>12.944723618091</v>
      </c>
      <c r="E754">
        <v>1000</v>
      </c>
      <c r="F754" t="s">
        <v>13</v>
      </c>
      <c r="G754">
        <v>3</v>
      </c>
      <c r="H754">
        <v>0</v>
      </c>
      <c r="I754" t="s">
        <v>488</v>
      </c>
      <c r="J754" t="s">
        <v>1234</v>
      </c>
      <c r="K754" t="s">
        <v>1235</v>
      </c>
      <c r="M754" t="s">
        <v>487</v>
      </c>
      <c r="N754">
        <v>0</v>
      </c>
      <c r="O754" t="s">
        <v>1241</v>
      </c>
      <c r="P754">
        <v>7.9819999999999988E-2</v>
      </c>
      <c r="Q754">
        <v>1.0642452743719042</v>
      </c>
      <c r="R754" s="6"/>
    </row>
    <row r="755" spans="1:18" x14ac:dyDescent="0.15">
      <c r="C755" t="s">
        <v>23</v>
      </c>
      <c r="D755">
        <v>32.361809045226003</v>
      </c>
      <c r="E755">
        <v>1000</v>
      </c>
      <c r="F755" t="s">
        <v>13</v>
      </c>
      <c r="G755">
        <v>3</v>
      </c>
      <c r="H755">
        <v>0</v>
      </c>
      <c r="I755" t="s">
        <v>488</v>
      </c>
      <c r="J755" t="s">
        <v>1234</v>
      </c>
      <c r="K755" t="s">
        <v>1235</v>
      </c>
      <c r="M755" t="s">
        <v>487</v>
      </c>
      <c r="N755">
        <v>0</v>
      </c>
      <c r="O755" t="s">
        <v>1241</v>
      </c>
      <c r="P755">
        <v>2.3609999999999999E-2</v>
      </c>
      <c r="Q755">
        <v>0.78698418090451949</v>
      </c>
      <c r="R755" s="6"/>
    </row>
    <row r="756" spans="1:18" x14ac:dyDescent="0.15">
      <c r="C756" t="s">
        <v>24</v>
      </c>
      <c r="D756">
        <v>12.944723618091</v>
      </c>
      <c r="E756">
        <v>1000</v>
      </c>
      <c r="F756" t="s">
        <v>13</v>
      </c>
      <c r="G756">
        <v>3</v>
      </c>
      <c r="H756">
        <v>0</v>
      </c>
      <c r="I756" t="s">
        <v>488</v>
      </c>
      <c r="J756" t="s">
        <v>1234</v>
      </c>
      <c r="K756" t="s">
        <v>1235</v>
      </c>
      <c r="M756" t="s">
        <v>487</v>
      </c>
      <c r="N756">
        <v>0</v>
      </c>
      <c r="O756" t="s">
        <v>1241</v>
      </c>
      <c r="P756">
        <v>2.8500000000000001E-2</v>
      </c>
      <c r="Q756">
        <v>0.37999236180906137</v>
      </c>
      <c r="R756" s="6"/>
    </row>
    <row r="757" spans="1:18" x14ac:dyDescent="0.15">
      <c r="C757" t="s">
        <v>17</v>
      </c>
      <c r="D757">
        <v>3.2051282051279997</v>
      </c>
      <c r="E757">
        <v>1000</v>
      </c>
      <c r="F757" t="s">
        <v>18</v>
      </c>
      <c r="G757">
        <v>0</v>
      </c>
      <c r="H757">
        <v>0</v>
      </c>
      <c r="I757" t="s">
        <v>488</v>
      </c>
      <c r="J757" t="s">
        <v>1234</v>
      </c>
      <c r="K757" t="s">
        <v>1235</v>
      </c>
      <c r="M757" t="s">
        <v>487</v>
      </c>
      <c r="N757">
        <v>0</v>
      </c>
      <c r="O757" t="s">
        <v>1241</v>
      </c>
      <c r="P757">
        <v>53.85</v>
      </c>
      <c r="Q757">
        <v>172.59615384614278</v>
      </c>
      <c r="R757" s="6"/>
    </row>
    <row r="758" spans="1:18" x14ac:dyDescent="0.15">
      <c r="C758" t="s">
        <v>19</v>
      </c>
      <c r="D758">
        <v>4</v>
      </c>
      <c r="E758">
        <v>1</v>
      </c>
      <c r="F758" t="s">
        <v>18</v>
      </c>
      <c r="G758">
        <v>0</v>
      </c>
      <c r="H758">
        <v>0</v>
      </c>
      <c r="I758" t="s">
        <v>488</v>
      </c>
      <c r="J758" t="s">
        <v>1236</v>
      </c>
      <c r="K758" t="s">
        <v>1235</v>
      </c>
      <c r="M758" t="s">
        <v>487</v>
      </c>
      <c r="N758">
        <v>0</v>
      </c>
      <c r="O758" t="s">
        <v>1241</v>
      </c>
      <c r="P758">
        <v>34.65</v>
      </c>
      <c r="Q758">
        <v>138.6</v>
      </c>
      <c r="R758" s="6"/>
    </row>
    <row r="759" spans="1:18" x14ac:dyDescent="0.15">
      <c r="A759" t="s">
        <v>226</v>
      </c>
      <c r="B759" t="s">
        <v>479</v>
      </c>
      <c r="P759">
        <v>0.33190808172051212</v>
      </c>
      <c r="R759" s="6"/>
    </row>
    <row r="760" spans="1:18" x14ac:dyDescent="0.15">
      <c r="C760" t="s">
        <v>227</v>
      </c>
      <c r="D760">
        <v>1</v>
      </c>
      <c r="E760">
        <v>1</v>
      </c>
      <c r="F760" t="s">
        <v>9</v>
      </c>
      <c r="G760">
        <v>0</v>
      </c>
      <c r="H760">
        <v>0</v>
      </c>
      <c r="I760" t="s">
        <v>488</v>
      </c>
      <c r="J760" t="s">
        <v>1234</v>
      </c>
      <c r="K760" t="s">
        <v>1235</v>
      </c>
      <c r="M760" t="s">
        <v>487</v>
      </c>
      <c r="N760">
        <v>0</v>
      </c>
      <c r="O760" t="s">
        <v>1241</v>
      </c>
      <c r="P760">
        <v>0.33190808172051212</v>
      </c>
      <c r="Q760">
        <v>0.33190808172051212</v>
      </c>
      <c r="R760" s="6"/>
    </row>
    <row r="761" spans="1:18" x14ac:dyDescent="0.15">
      <c r="A761" t="s">
        <v>228</v>
      </c>
      <c r="B761" t="s">
        <v>479</v>
      </c>
      <c r="P761">
        <v>0.66381616344102423</v>
      </c>
      <c r="R761" s="6"/>
    </row>
    <row r="762" spans="1:18" x14ac:dyDescent="0.15">
      <c r="C762" t="s">
        <v>227</v>
      </c>
      <c r="D762">
        <v>2</v>
      </c>
      <c r="E762">
        <v>1</v>
      </c>
      <c r="F762" t="s">
        <v>9</v>
      </c>
      <c r="G762">
        <v>0</v>
      </c>
      <c r="H762">
        <v>0</v>
      </c>
      <c r="I762" t="s">
        <v>488</v>
      </c>
      <c r="J762" t="s">
        <v>1234</v>
      </c>
      <c r="K762" t="s">
        <v>1235</v>
      </c>
      <c r="M762" t="s">
        <v>487</v>
      </c>
      <c r="N762">
        <v>0</v>
      </c>
      <c r="O762" t="s">
        <v>1241</v>
      </c>
      <c r="P762">
        <v>0.33190808172051212</v>
      </c>
      <c r="Q762">
        <v>0.66381616344102423</v>
      </c>
      <c r="R762" s="6"/>
    </row>
    <row r="763" spans="1:18" x14ac:dyDescent="0.15">
      <c r="A763" t="s">
        <v>229</v>
      </c>
      <c r="B763" t="s">
        <v>479</v>
      </c>
      <c r="P763">
        <v>0.16595404086025606</v>
      </c>
      <c r="R763" s="6"/>
    </row>
    <row r="764" spans="1:18" x14ac:dyDescent="0.15">
      <c r="C764" t="s">
        <v>227</v>
      </c>
      <c r="D764">
        <v>500</v>
      </c>
      <c r="E764">
        <v>1000</v>
      </c>
      <c r="F764" t="s">
        <v>9</v>
      </c>
      <c r="G764">
        <v>0</v>
      </c>
      <c r="H764">
        <v>0</v>
      </c>
      <c r="I764" t="s">
        <v>488</v>
      </c>
      <c r="J764" t="s">
        <v>1234</v>
      </c>
      <c r="K764" t="s">
        <v>1235</v>
      </c>
      <c r="M764" t="s">
        <v>487</v>
      </c>
      <c r="N764">
        <v>0</v>
      </c>
      <c r="O764" t="s">
        <v>1241</v>
      </c>
      <c r="P764">
        <v>0.33190808172051212</v>
      </c>
      <c r="Q764">
        <v>165.95404086025607</v>
      </c>
      <c r="R764" s="6"/>
    </row>
    <row r="765" spans="1:18" x14ac:dyDescent="0.15">
      <c r="A765" t="s">
        <v>230</v>
      </c>
      <c r="B765" t="s">
        <v>479</v>
      </c>
      <c r="P765">
        <v>2.7050508660221736E-2</v>
      </c>
      <c r="R765" s="6"/>
    </row>
    <row r="766" spans="1:18" x14ac:dyDescent="0.15">
      <c r="C766" t="s">
        <v>227</v>
      </c>
      <c r="D766">
        <v>81.5</v>
      </c>
      <c r="E766">
        <v>1000</v>
      </c>
      <c r="F766" t="s">
        <v>9</v>
      </c>
      <c r="G766">
        <v>0</v>
      </c>
      <c r="H766">
        <v>0</v>
      </c>
      <c r="I766" t="s">
        <v>488</v>
      </c>
      <c r="J766" t="s">
        <v>1234</v>
      </c>
      <c r="K766" t="s">
        <v>1235</v>
      </c>
      <c r="M766" t="s">
        <v>487</v>
      </c>
      <c r="N766">
        <v>0</v>
      </c>
      <c r="O766" t="s">
        <v>1241</v>
      </c>
      <c r="P766">
        <v>0.33190808172051212</v>
      </c>
      <c r="Q766">
        <v>27.050508660221738</v>
      </c>
      <c r="R766" s="6"/>
    </row>
    <row r="767" spans="1:18" x14ac:dyDescent="0.15">
      <c r="A767" t="s">
        <v>231</v>
      </c>
      <c r="B767" t="s">
        <v>479</v>
      </c>
      <c r="P767">
        <v>3.4850348580653771E-2</v>
      </c>
      <c r="R767" s="6"/>
    </row>
    <row r="768" spans="1:18" x14ac:dyDescent="0.15">
      <c r="C768" t="s">
        <v>227</v>
      </c>
      <c r="D768">
        <v>105</v>
      </c>
      <c r="E768">
        <v>1000</v>
      </c>
      <c r="F768" t="s">
        <v>9</v>
      </c>
      <c r="G768">
        <v>0</v>
      </c>
      <c r="H768">
        <v>0</v>
      </c>
      <c r="I768" t="s">
        <v>488</v>
      </c>
      <c r="J768" t="s">
        <v>1234</v>
      </c>
      <c r="K768" t="s">
        <v>1235</v>
      </c>
      <c r="M768" t="s">
        <v>487</v>
      </c>
      <c r="N768">
        <v>0</v>
      </c>
      <c r="O768" t="s">
        <v>1241</v>
      </c>
      <c r="P768">
        <v>0.33190808172051212</v>
      </c>
      <c r="Q768">
        <v>34.850348580653773</v>
      </c>
      <c r="R768" s="6"/>
    </row>
    <row r="769" spans="1:18" x14ac:dyDescent="0.15">
      <c r="A769" t="s">
        <v>232</v>
      </c>
      <c r="B769" t="s">
        <v>479</v>
      </c>
      <c r="P769">
        <v>8.5300377002171621E-2</v>
      </c>
      <c r="R769" s="6"/>
    </row>
    <row r="770" spans="1:18" x14ac:dyDescent="0.15">
      <c r="C770" t="s">
        <v>227</v>
      </c>
      <c r="D770">
        <v>257</v>
      </c>
      <c r="E770">
        <v>1000</v>
      </c>
      <c r="F770" t="s">
        <v>9</v>
      </c>
      <c r="G770">
        <v>0</v>
      </c>
      <c r="H770">
        <v>0</v>
      </c>
      <c r="I770" t="s">
        <v>488</v>
      </c>
      <c r="J770" t="s">
        <v>1234</v>
      </c>
      <c r="K770" t="s">
        <v>1235</v>
      </c>
      <c r="M770" t="s">
        <v>487</v>
      </c>
      <c r="N770">
        <v>0</v>
      </c>
      <c r="O770" t="s">
        <v>1241</v>
      </c>
      <c r="P770">
        <v>0.33190808172051212</v>
      </c>
      <c r="Q770">
        <v>85.300377002171615</v>
      </c>
      <c r="R770" s="6"/>
    </row>
    <row r="771" spans="1:18" x14ac:dyDescent="0.15">
      <c r="A771" t="s">
        <v>233</v>
      </c>
      <c r="B771" t="s">
        <v>479</v>
      </c>
      <c r="P771">
        <v>8.6628009329053665E-2</v>
      </c>
      <c r="R771" s="6"/>
    </row>
    <row r="772" spans="1:18" x14ac:dyDescent="0.15">
      <c r="C772" t="s">
        <v>227</v>
      </c>
      <c r="D772">
        <v>261</v>
      </c>
      <c r="E772">
        <v>1000</v>
      </c>
      <c r="F772" t="s">
        <v>9</v>
      </c>
      <c r="G772">
        <v>0</v>
      </c>
      <c r="H772">
        <v>0</v>
      </c>
      <c r="I772" t="s">
        <v>488</v>
      </c>
      <c r="J772" t="s">
        <v>1234</v>
      </c>
      <c r="K772" t="s">
        <v>1235</v>
      </c>
      <c r="M772" t="s">
        <v>487</v>
      </c>
      <c r="N772">
        <v>0</v>
      </c>
      <c r="O772" t="s">
        <v>1241</v>
      </c>
      <c r="P772">
        <v>0.33190808172051212</v>
      </c>
      <c r="Q772">
        <v>86.628009329053668</v>
      </c>
      <c r="R772" s="6"/>
    </row>
    <row r="773" spans="1:18" x14ac:dyDescent="0.15">
      <c r="A773" t="s">
        <v>227</v>
      </c>
      <c r="B773" t="s">
        <v>9</v>
      </c>
      <c r="P773">
        <v>0.33190808172051212</v>
      </c>
      <c r="R773" s="6"/>
    </row>
    <row r="774" spans="1:18" x14ac:dyDescent="0.15">
      <c r="C774" t="s">
        <v>29</v>
      </c>
      <c r="D774">
        <v>1</v>
      </c>
      <c r="E774">
        <v>1</v>
      </c>
      <c r="F774" t="s">
        <v>9</v>
      </c>
      <c r="G774">
        <v>3</v>
      </c>
      <c r="H774">
        <v>0</v>
      </c>
      <c r="I774" t="s">
        <v>488</v>
      </c>
      <c r="J774" t="s">
        <v>1234</v>
      </c>
      <c r="K774" t="s">
        <v>1235</v>
      </c>
      <c r="M774" t="s">
        <v>487</v>
      </c>
      <c r="N774">
        <v>0</v>
      </c>
      <c r="O774" t="s">
        <v>1241</v>
      </c>
      <c r="P774">
        <v>0</v>
      </c>
      <c r="Q774">
        <v>0</v>
      </c>
      <c r="R774" s="9" t="s">
        <v>1246</v>
      </c>
    </row>
    <row r="775" spans="1:18" x14ac:dyDescent="0.15">
      <c r="C775" t="s">
        <v>33</v>
      </c>
      <c r="D775">
        <v>6</v>
      </c>
      <c r="E775">
        <v>1</v>
      </c>
      <c r="F775" t="s">
        <v>9</v>
      </c>
      <c r="G775">
        <v>3</v>
      </c>
      <c r="H775">
        <v>0</v>
      </c>
      <c r="I775" t="s">
        <v>488</v>
      </c>
      <c r="J775" t="s">
        <v>1234</v>
      </c>
      <c r="K775" t="s">
        <v>1235</v>
      </c>
      <c r="M775" t="s">
        <v>487</v>
      </c>
      <c r="N775">
        <v>0</v>
      </c>
      <c r="O775" t="s">
        <v>1241</v>
      </c>
      <c r="P775">
        <v>0</v>
      </c>
      <c r="Q775">
        <v>0</v>
      </c>
      <c r="R775" s="9" t="s">
        <v>1246</v>
      </c>
    </row>
    <row r="776" spans="1:18" x14ac:dyDescent="0.15">
      <c r="C776" t="s">
        <v>12</v>
      </c>
      <c r="D776">
        <v>0.99949748743699995</v>
      </c>
      <c r="E776">
        <v>1</v>
      </c>
      <c r="F776" t="s">
        <v>13</v>
      </c>
      <c r="G776">
        <v>3</v>
      </c>
      <c r="H776">
        <v>0</v>
      </c>
      <c r="I776" t="s">
        <v>488</v>
      </c>
      <c r="J776" t="s">
        <v>1234</v>
      </c>
      <c r="K776" t="s">
        <v>1235</v>
      </c>
      <c r="M776" t="s">
        <v>487</v>
      </c>
      <c r="N776">
        <v>0</v>
      </c>
      <c r="O776" t="s">
        <v>1241</v>
      </c>
      <c r="P776">
        <v>1.03E-2</v>
      </c>
      <c r="Q776">
        <v>10.603668844219133</v>
      </c>
      <c r="R776" s="6"/>
    </row>
    <row r="777" spans="1:18" x14ac:dyDescent="0.15">
      <c r="C777" t="s">
        <v>14</v>
      </c>
      <c r="D777">
        <v>1.1105527638189998</v>
      </c>
      <c r="E777">
        <v>1</v>
      </c>
      <c r="F777" t="s">
        <v>13</v>
      </c>
      <c r="G777">
        <v>3</v>
      </c>
      <c r="H777">
        <v>0</v>
      </c>
      <c r="I777" t="s">
        <v>488</v>
      </c>
      <c r="J777" t="s">
        <v>1234</v>
      </c>
      <c r="K777" t="s">
        <v>1235</v>
      </c>
      <c r="M777" t="s">
        <v>487</v>
      </c>
      <c r="N777">
        <v>0</v>
      </c>
      <c r="O777" t="s">
        <v>1241</v>
      </c>
      <c r="P777">
        <v>5.4900000000000001E-3</v>
      </c>
      <c r="Q777">
        <v>6.2798427135672981</v>
      </c>
      <c r="R777" s="6"/>
    </row>
    <row r="778" spans="1:18" x14ac:dyDescent="0.15">
      <c r="C778" t="s">
        <v>15</v>
      </c>
      <c r="D778">
        <v>22.211055276381998</v>
      </c>
      <c r="E778">
        <v>1000</v>
      </c>
      <c r="F778" t="s">
        <v>13</v>
      </c>
      <c r="G778">
        <v>3</v>
      </c>
      <c r="H778">
        <v>0</v>
      </c>
      <c r="I778" t="s">
        <v>488</v>
      </c>
      <c r="J778" t="s">
        <v>1234</v>
      </c>
      <c r="K778" t="s">
        <v>1235</v>
      </c>
      <c r="M778" t="s">
        <v>487</v>
      </c>
      <c r="N778">
        <v>0</v>
      </c>
      <c r="O778" t="s">
        <v>1241</v>
      </c>
      <c r="P778">
        <v>7.9819999999999988E-2</v>
      </c>
      <c r="Q778">
        <v>1.826073025125635</v>
      </c>
      <c r="R778" s="6"/>
    </row>
    <row r="779" spans="1:18" x14ac:dyDescent="0.15">
      <c r="C779" t="s">
        <v>23</v>
      </c>
      <c r="D779">
        <v>55.527638190954995</v>
      </c>
      <c r="E779">
        <v>1000</v>
      </c>
      <c r="F779" t="s">
        <v>13</v>
      </c>
      <c r="G779">
        <v>3</v>
      </c>
      <c r="H779">
        <v>0</v>
      </c>
      <c r="I779" t="s">
        <v>488</v>
      </c>
      <c r="J779" t="s">
        <v>1234</v>
      </c>
      <c r="K779" t="s">
        <v>1235</v>
      </c>
      <c r="M779" t="s">
        <v>487</v>
      </c>
      <c r="N779">
        <v>0</v>
      </c>
      <c r="O779" t="s">
        <v>1241</v>
      </c>
      <c r="P779">
        <v>2.3609999999999999E-2</v>
      </c>
      <c r="Q779">
        <v>1.3503377638191008</v>
      </c>
      <c r="R779" s="6"/>
    </row>
    <row r="780" spans="1:18" x14ac:dyDescent="0.15">
      <c r="C780" t="s">
        <v>24</v>
      </c>
      <c r="D780">
        <v>22.211055276381998</v>
      </c>
      <c r="E780">
        <v>1000</v>
      </c>
      <c r="F780" t="s">
        <v>13</v>
      </c>
      <c r="G780">
        <v>3</v>
      </c>
      <c r="H780">
        <v>0</v>
      </c>
      <c r="I780" t="s">
        <v>488</v>
      </c>
      <c r="J780" t="s">
        <v>1234</v>
      </c>
      <c r="K780" t="s">
        <v>1235</v>
      </c>
      <c r="M780" t="s">
        <v>487</v>
      </c>
      <c r="N780">
        <v>0</v>
      </c>
      <c r="O780" t="s">
        <v>1241</v>
      </c>
      <c r="P780">
        <v>2.8500000000000001E-2</v>
      </c>
      <c r="Q780">
        <v>0.65200552763819353</v>
      </c>
      <c r="R780" s="6"/>
    </row>
    <row r="781" spans="1:18" x14ac:dyDescent="0.15">
      <c r="C781" t="s">
        <v>17</v>
      </c>
      <c r="D781">
        <v>3.2051282051279997</v>
      </c>
      <c r="E781">
        <v>1000</v>
      </c>
      <c r="F781" t="s">
        <v>18</v>
      </c>
      <c r="G781">
        <v>0</v>
      </c>
      <c r="H781">
        <v>0</v>
      </c>
      <c r="I781" t="s">
        <v>488</v>
      </c>
      <c r="J781" t="s">
        <v>1234</v>
      </c>
      <c r="K781" t="s">
        <v>1235</v>
      </c>
      <c r="M781" t="s">
        <v>487</v>
      </c>
      <c r="N781">
        <v>0</v>
      </c>
      <c r="O781" t="s">
        <v>1241</v>
      </c>
      <c r="P781">
        <v>53.85</v>
      </c>
      <c r="Q781">
        <v>172.59615384614278</v>
      </c>
      <c r="R781" s="6"/>
    </row>
    <row r="782" spans="1:18" x14ac:dyDescent="0.15">
      <c r="C782" t="s">
        <v>19</v>
      </c>
      <c r="D782">
        <v>4</v>
      </c>
      <c r="E782">
        <v>1</v>
      </c>
      <c r="F782" t="s">
        <v>18</v>
      </c>
      <c r="G782">
        <v>0</v>
      </c>
      <c r="H782">
        <v>0</v>
      </c>
      <c r="I782" t="s">
        <v>488</v>
      </c>
      <c r="J782" t="s">
        <v>1236</v>
      </c>
      <c r="K782" t="s">
        <v>1235</v>
      </c>
      <c r="M782" t="s">
        <v>487</v>
      </c>
      <c r="N782">
        <v>0</v>
      </c>
      <c r="O782" t="s">
        <v>1241</v>
      </c>
      <c r="P782">
        <v>34.65</v>
      </c>
      <c r="Q782">
        <v>138.6</v>
      </c>
      <c r="R782" s="6"/>
    </row>
    <row r="783" spans="1:18" x14ac:dyDescent="0.15">
      <c r="A783" t="s">
        <v>234</v>
      </c>
      <c r="B783" t="s">
        <v>479</v>
      </c>
      <c r="P783">
        <v>-0.29299999999999998</v>
      </c>
      <c r="R783" s="6"/>
    </row>
    <row r="784" spans="1:18" x14ac:dyDescent="0.15">
      <c r="C784" t="s">
        <v>235</v>
      </c>
      <c r="D784">
        <v>293</v>
      </c>
      <c r="E784">
        <v>1000</v>
      </c>
      <c r="F784" t="s">
        <v>9</v>
      </c>
      <c r="G784">
        <v>0</v>
      </c>
      <c r="H784">
        <v>0</v>
      </c>
      <c r="I784" t="s">
        <v>488</v>
      </c>
      <c r="J784" t="s">
        <v>1234</v>
      </c>
      <c r="K784" t="s">
        <v>1235</v>
      </c>
      <c r="M784" t="s">
        <v>487</v>
      </c>
      <c r="N784">
        <v>0</v>
      </c>
      <c r="O784" t="s">
        <v>1241</v>
      </c>
      <c r="P784">
        <v>-1</v>
      </c>
      <c r="Q784">
        <v>-293</v>
      </c>
      <c r="R784" s="8" t="s">
        <v>1244</v>
      </c>
    </row>
    <row r="785" spans="1:18" x14ac:dyDescent="0.15">
      <c r="A785" t="s">
        <v>235</v>
      </c>
      <c r="B785" t="s">
        <v>9</v>
      </c>
      <c r="P785">
        <v>-1</v>
      </c>
      <c r="R785" s="8" t="s">
        <v>1244</v>
      </c>
    </row>
    <row r="786" spans="1:18" x14ac:dyDescent="0.15">
      <c r="A786" t="s">
        <v>236</v>
      </c>
      <c r="B786" t="s">
        <v>479</v>
      </c>
      <c r="P786">
        <v>0.33848672714026584</v>
      </c>
      <c r="R786" s="6"/>
    </row>
    <row r="787" spans="1:18" x14ac:dyDescent="0.15">
      <c r="C787" t="s">
        <v>237</v>
      </c>
      <c r="D787">
        <v>1</v>
      </c>
      <c r="E787">
        <v>1</v>
      </c>
      <c r="F787" t="s">
        <v>9</v>
      </c>
      <c r="G787">
        <v>0</v>
      </c>
      <c r="H787">
        <v>0</v>
      </c>
      <c r="I787" t="s">
        <v>488</v>
      </c>
      <c r="J787" t="s">
        <v>1234</v>
      </c>
      <c r="K787" t="s">
        <v>1235</v>
      </c>
      <c r="M787" t="s">
        <v>487</v>
      </c>
      <c r="N787">
        <v>0</v>
      </c>
      <c r="O787" t="s">
        <v>1241</v>
      </c>
      <c r="P787">
        <v>0.33848672714026584</v>
      </c>
      <c r="Q787">
        <v>0.33848672714026584</v>
      </c>
      <c r="R787" s="6"/>
    </row>
    <row r="788" spans="1:18" x14ac:dyDescent="0.15">
      <c r="A788" t="s">
        <v>238</v>
      </c>
      <c r="B788" t="s">
        <v>479</v>
      </c>
      <c r="P788">
        <v>0.67697345428053168</v>
      </c>
      <c r="R788" s="6"/>
    </row>
    <row r="789" spans="1:18" x14ac:dyDescent="0.15">
      <c r="C789" t="s">
        <v>237</v>
      </c>
      <c r="D789">
        <v>2</v>
      </c>
      <c r="E789">
        <v>1</v>
      </c>
      <c r="F789" t="s">
        <v>9</v>
      </c>
      <c r="G789">
        <v>0</v>
      </c>
      <c r="H789">
        <v>0</v>
      </c>
      <c r="I789" t="s">
        <v>488</v>
      </c>
      <c r="J789" t="s">
        <v>1234</v>
      </c>
      <c r="K789" t="s">
        <v>1235</v>
      </c>
      <c r="M789" t="s">
        <v>487</v>
      </c>
      <c r="N789">
        <v>0</v>
      </c>
      <c r="O789" t="s">
        <v>1241</v>
      </c>
      <c r="P789">
        <v>0.33848672714026584</v>
      </c>
      <c r="Q789">
        <v>0.67697345428053168</v>
      </c>
      <c r="R789" s="6"/>
    </row>
    <row r="790" spans="1:18" x14ac:dyDescent="0.15">
      <c r="A790" t="s">
        <v>239</v>
      </c>
      <c r="B790" t="s">
        <v>479</v>
      </c>
      <c r="P790">
        <v>0.16924336357013292</v>
      </c>
      <c r="R790" s="6"/>
    </row>
    <row r="791" spans="1:18" x14ac:dyDescent="0.15">
      <c r="C791" t="s">
        <v>237</v>
      </c>
      <c r="D791">
        <v>500</v>
      </c>
      <c r="E791">
        <v>1000</v>
      </c>
      <c r="F791" t="s">
        <v>9</v>
      </c>
      <c r="G791">
        <v>0</v>
      </c>
      <c r="H791">
        <v>0</v>
      </c>
      <c r="I791" t="s">
        <v>488</v>
      </c>
      <c r="J791" t="s">
        <v>1234</v>
      </c>
      <c r="K791" t="s">
        <v>1235</v>
      </c>
      <c r="M791" t="s">
        <v>487</v>
      </c>
      <c r="N791">
        <v>0</v>
      </c>
      <c r="O791" t="s">
        <v>1241</v>
      </c>
      <c r="P791">
        <v>0.33848672714026584</v>
      </c>
      <c r="Q791">
        <v>169.24336357013291</v>
      </c>
      <c r="R791" s="6"/>
    </row>
    <row r="792" spans="1:18" x14ac:dyDescent="0.15">
      <c r="A792" t="s">
        <v>237</v>
      </c>
      <c r="B792" t="s">
        <v>9</v>
      </c>
      <c r="P792">
        <v>0.33848672714026584</v>
      </c>
      <c r="R792" s="6"/>
    </row>
    <row r="793" spans="1:18" x14ac:dyDescent="0.15">
      <c r="C793" t="s">
        <v>33</v>
      </c>
      <c r="D793">
        <v>9</v>
      </c>
      <c r="E793">
        <v>1</v>
      </c>
      <c r="F793" t="s">
        <v>9</v>
      </c>
      <c r="G793">
        <v>3</v>
      </c>
      <c r="H793">
        <v>0</v>
      </c>
      <c r="I793" t="s">
        <v>488</v>
      </c>
      <c r="J793" t="s">
        <v>1234</v>
      </c>
      <c r="K793" t="s">
        <v>1235</v>
      </c>
      <c r="M793" t="s">
        <v>487</v>
      </c>
      <c r="N793">
        <v>0</v>
      </c>
      <c r="O793" t="s">
        <v>1241</v>
      </c>
      <c r="P793">
        <v>0</v>
      </c>
      <c r="Q793">
        <v>0</v>
      </c>
      <c r="R793" s="9" t="s">
        <v>1246</v>
      </c>
    </row>
    <row r="794" spans="1:18" x14ac:dyDescent="0.15">
      <c r="C794" t="s">
        <v>12</v>
      </c>
      <c r="D794">
        <v>1.3106532663319999</v>
      </c>
      <c r="E794">
        <v>1</v>
      </c>
      <c r="F794" t="s">
        <v>13</v>
      </c>
      <c r="G794">
        <v>3</v>
      </c>
      <c r="H794">
        <v>0</v>
      </c>
      <c r="I794" t="s">
        <v>488</v>
      </c>
      <c r="J794" t="s">
        <v>1234</v>
      </c>
      <c r="K794" t="s">
        <v>1235</v>
      </c>
      <c r="M794" t="s">
        <v>487</v>
      </c>
      <c r="N794">
        <v>0</v>
      </c>
      <c r="O794" t="s">
        <v>1241</v>
      </c>
      <c r="P794">
        <v>1.03E-2</v>
      </c>
      <c r="Q794">
        <v>13.904720502516186</v>
      </c>
      <c r="R794" s="6"/>
    </row>
    <row r="795" spans="1:18" x14ac:dyDescent="0.15">
      <c r="C795" t="s">
        <v>14</v>
      </c>
      <c r="D795">
        <v>1.4562814070350001</v>
      </c>
      <c r="E795">
        <v>1</v>
      </c>
      <c r="F795" t="s">
        <v>13</v>
      </c>
      <c r="G795">
        <v>3</v>
      </c>
      <c r="H795">
        <v>0</v>
      </c>
      <c r="I795" t="s">
        <v>488</v>
      </c>
      <c r="J795" t="s">
        <v>1234</v>
      </c>
      <c r="K795" t="s">
        <v>1235</v>
      </c>
      <c r="M795" t="s">
        <v>487</v>
      </c>
      <c r="N795">
        <v>0</v>
      </c>
      <c r="O795" t="s">
        <v>1241</v>
      </c>
      <c r="P795">
        <v>5.4900000000000001E-3</v>
      </c>
      <c r="Q795">
        <v>8.2348344723608147</v>
      </c>
      <c r="R795" s="6"/>
    </row>
    <row r="796" spans="1:18" x14ac:dyDescent="0.15">
      <c r="C796" t="s">
        <v>15</v>
      </c>
      <c r="D796">
        <v>29.125628140703999</v>
      </c>
      <c r="E796">
        <v>1000</v>
      </c>
      <c r="F796" t="s">
        <v>13</v>
      </c>
      <c r="G796">
        <v>3</v>
      </c>
      <c r="H796">
        <v>0</v>
      </c>
      <c r="I796" t="s">
        <v>488</v>
      </c>
      <c r="J796" t="s">
        <v>1234</v>
      </c>
      <c r="K796" t="s">
        <v>1235</v>
      </c>
      <c r="M796" t="s">
        <v>487</v>
      </c>
      <c r="N796">
        <v>0</v>
      </c>
      <c r="O796" t="s">
        <v>1241</v>
      </c>
      <c r="P796">
        <v>7.9819999999999988E-2</v>
      </c>
      <c r="Q796">
        <v>2.3945518673367228</v>
      </c>
      <c r="R796" s="6"/>
    </row>
    <row r="797" spans="1:18" x14ac:dyDescent="0.15">
      <c r="C797" t="s">
        <v>23</v>
      </c>
      <c r="D797">
        <v>72.814070351759</v>
      </c>
      <c r="E797">
        <v>1000</v>
      </c>
      <c r="F797" t="s">
        <v>13</v>
      </c>
      <c r="G797">
        <v>3</v>
      </c>
      <c r="H797">
        <v>0</v>
      </c>
      <c r="I797" t="s">
        <v>488</v>
      </c>
      <c r="J797" t="s">
        <v>1234</v>
      </c>
      <c r="K797" t="s">
        <v>1235</v>
      </c>
      <c r="M797" t="s">
        <v>487</v>
      </c>
      <c r="N797">
        <v>0</v>
      </c>
      <c r="O797" t="s">
        <v>1241</v>
      </c>
      <c r="P797">
        <v>2.3609999999999999E-2</v>
      </c>
      <c r="Q797">
        <v>1.7707144070351808</v>
      </c>
      <c r="R797" s="6"/>
    </row>
    <row r="798" spans="1:18" x14ac:dyDescent="0.15">
      <c r="C798" t="s">
        <v>24</v>
      </c>
      <c r="D798">
        <v>29.125628140703999</v>
      </c>
      <c r="E798">
        <v>1000</v>
      </c>
      <c r="F798" t="s">
        <v>13</v>
      </c>
      <c r="G798">
        <v>3</v>
      </c>
      <c r="H798">
        <v>0</v>
      </c>
      <c r="I798" t="s">
        <v>488</v>
      </c>
      <c r="J798" t="s">
        <v>1234</v>
      </c>
      <c r="K798" t="s">
        <v>1235</v>
      </c>
      <c r="M798" t="s">
        <v>487</v>
      </c>
      <c r="N798">
        <v>0</v>
      </c>
      <c r="O798" t="s">
        <v>1241</v>
      </c>
      <c r="P798">
        <v>2.8500000000000001E-2</v>
      </c>
      <c r="Q798">
        <v>0.85498281407036592</v>
      </c>
      <c r="R798" s="6"/>
    </row>
    <row r="799" spans="1:18" x14ac:dyDescent="0.15">
      <c r="C799" t="s">
        <v>17</v>
      </c>
      <c r="D799">
        <v>2.564102564103</v>
      </c>
      <c r="E799">
        <v>1000</v>
      </c>
      <c r="F799" t="s">
        <v>18</v>
      </c>
      <c r="G799">
        <v>0</v>
      </c>
      <c r="H799">
        <v>0</v>
      </c>
      <c r="I799" t="s">
        <v>488</v>
      </c>
      <c r="J799" t="s">
        <v>1234</v>
      </c>
      <c r="K799" t="s">
        <v>1235</v>
      </c>
      <c r="M799" t="s">
        <v>487</v>
      </c>
      <c r="N799">
        <v>0</v>
      </c>
      <c r="O799" t="s">
        <v>1241</v>
      </c>
      <c r="P799">
        <v>53.85</v>
      </c>
      <c r="Q799">
        <v>138.07692307694654</v>
      </c>
      <c r="R799" s="6"/>
    </row>
    <row r="800" spans="1:18" x14ac:dyDescent="0.15">
      <c r="C800" t="s">
        <v>19</v>
      </c>
      <c r="D800">
        <v>5</v>
      </c>
      <c r="E800">
        <v>1</v>
      </c>
      <c r="F800" t="s">
        <v>18</v>
      </c>
      <c r="G800">
        <v>0</v>
      </c>
      <c r="H800">
        <v>0</v>
      </c>
      <c r="I800" t="s">
        <v>488</v>
      </c>
      <c r="J800" t="s">
        <v>1236</v>
      </c>
      <c r="K800" t="s">
        <v>1235</v>
      </c>
      <c r="M800" t="s">
        <v>487</v>
      </c>
      <c r="N800">
        <v>0</v>
      </c>
      <c r="O800" t="s">
        <v>1241</v>
      </c>
      <c r="P800">
        <v>34.65</v>
      </c>
      <c r="Q800">
        <v>173.25</v>
      </c>
      <c r="R800" s="6"/>
    </row>
    <row r="801" spans="1:18" x14ac:dyDescent="0.15">
      <c r="A801" t="s">
        <v>240</v>
      </c>
      <c r="B801" t="s">
        <v>479</v>
      </c>
      <c r="P801">
        <v>0.58011924342393062</v>
      </c>
      <c r="R801" s="6"/>
    </row>
    <row r="802" spans="1:18" x14ac:dyDescent="0.15">
      <c r="C802" t="s">
        <v>241</v>
      </c>
      <c r="D802">
        <v>1</v>
      </c>
      <c r="E802">
        <v>1</v>
      </c>
      <c r="F802" t="s">
        <v>9</v>
      </c>
      <c r="G802">
        <v>0</v>
      </c>
      <c r="H802">
        <v>0</v>
      </c>
      <c r="I802" t="s">
        <v>488</v>
      </c>
      <c r="J802" t="s">
        <v>1234</v>
      </c>
      <c r="K802" t="s">
        <v>1235</v>
      </c>
      <c r="M802" t="s">
        <v>487</v>
      </c>
      <c r="N802">
        <v>0</v>
      </c>
      <c r="O802" t="s">
        <v>1241</v>
      </c>
      <c r="P802">
        <v>0.58011924342393062</v>
      </c>
      <c r="Q802">
        <v>0.58011924342393062</v>
      </c>
      <c r="R802" s="6"/>
    </row>
    <row r="803" spans="1:18" x14ac:dyDescent="0.15">
      <c r="A803" t="s">
        <v>242</v>
      </c>
      <c r="B803" t="s">
        <v>479</v>
      </c>
      <c r="P803">
        <v>1.1602384868478612</v>
      </c>
      <c r="R803" s="6"/>
    </row>
    <row r="804" spans="1:18" x14ac:dyDescent="0.15">
      <c r="C804" t="s">
        <v>241</v>
      </c>
      <c r="D804">
        <v>2</v>
      </c>
      <c r="E804">
        <v>1</v>
      </c>
      <c r="F804" t="s">
        <v>9</v>
      </c>
      <c r="G804">
        <v>0</v>
      </c>
      <c r="H804">
        <v>0</v>
      </c>
      <c r="I804" t="s">
        <v>488</v>
      </c>
      <c r="J804" t="s">
        <v>1234</v>
      </c>
      <c r="K804" t="s">
        <v>1235</v>
      </c>
      <c r="M804" t="s">
        <v>487</v>
      </c>
      <c r="N804">
        <v>0</v>
      </c>
      <c r="O804" t="s">
        <v>1241</v>
      </c>
      <c r="P804">
        <v>0.58011924342393062</v>
      </c>
      <c r="Q804">
        <v>1.1602384868478612</v>
      </c>
      <c r="R804" s="6"/>
    </row>
    <row r="805" spans="1:18" x14ac:dyDescent="0.15">
      <c r="A805" t="s">
        <v>243</v>
      </c>
      <c r="B805" t="s">
        <v>479</v>
      </c>
      <c r="P805">
        <v>0.29005962171196531</v>
      </c>
      <c r="R805" s="6"/>
    </row>
    <row r="806" spans="1:18" x14ac:dyDescent="0.15">
      <c r="C806" t="s">
        <v>241</v>
      </c>
      <c r="D806">
        <v>500</v>
      </c>
      <c r="E806">
        <v>1000</v>
      </c>
      <c r="F806" t="s">
        <v>9</v>
      </c>
      <c r="G806">
        <v>0</v>
      </c>
      <c r="H806">
        <v>0</v>
      </c>
      <c r="I806" t="s">
        <v>488</v>
      </c>
      <c r="J806" t="s">
        <v>1234</v>
      </c>
      <c r="K806" t="s">
        <v>1235</v>
      </c>
      <c r="M806" t="s">
        <v>487</v>
      </c>
      <c r="N806">
        <v>0</v>
      </c>
      <c r="O806" t="s">
        <v>1241</v>
      </c>
      <c r="P806">
        <v>0.58011924342393062</v>
      </c>
      <c r="Q806">
        <v>290.05962171196529</v>
      </c>
      <c r="R806" s="6"/>
    </row>
    <row r="807" spans="1:18" x14ac:dyDescent="0.15">
      <c r="A807" t="s">
        <v>241</v>
      </c>
      <c r="B807" t="s">
        <v>9</v>
      </c>
      <c r="P807">
        <v>0.58011924342393062</v>
      </c>
      <c r="R807" s="6"/>
    </row>
    <row r="808" spans="1:18" x14ac:dyDescent="0.15">
      <c r="C808" t="s">
        <v>22</v>
      </c>
      <c r="D808">
        <v>8</v>
      </c>
      <c r="E808">
        <v>1</v>
      </c>
      <c r="F808" t="s">
        <v>9</v>
      </c>
      <c r="G808">
        <v>3</v>
      </c>
      <c r="H808">
        <v>0</v>
      </c>
      <c r="I808" t="s">
        <v>488</v>
      </c>
      <c r="J808" t="s">
        <v>1234</v>
      </c>
      <c r="K808" t="s">
        <v>1235</v>
      </c>
      <c r="M808" t="s">
        <v>487</v>
      </c>
      <c r="N808">
        <v>0</v>
      </c>
      <c r="O808" t="s">
        <v>1241</v>
      </c>
      <c r="P808">
        <v>0</v>
      </c>
      <c r="Q808">
        <v>0</v>
      </c>
      <c r="R808" s="9" t="s">
        <v>1246</v>
      </c>
    </row>
    <row r="809" spans="1:18" x14ac:dyDescent="0.15">
      <c r="C809" t="s">
        <v>33</v>
      </c>
      <c r="D809">
        <v>1</v>
      </c>
      <c r="E809">
        <v>1</v>
      </c>
      <c r="F809" t="s">
        <v>9</v>
      </c>
      <c r="G809">
        <v>3</v>
      </c>
      <c r="H809">
        <v>0</v>
      </c>
      <c r="I809" t="s">
        <v>488</v>
      </c>
      <c r="J809" t="s">
        <v>1234</v>
      </c>
      <c r="K809" t="s">
        <v>1235</v>
      </c>
      <c r="M809" t="s">
        <v>487</v>
      </c>
      <c r="N809">
        <v>0</v>
      </c>
      <c r="O809" t="s">
        <v>1241</v>
      </c>
      <c r="P809">
        <v>0</v>
      </c>
      <c r="Q809">
        <v>0</v>
      </c>
      <c r="R809" s="9" t="s">
        <v>1246</v>
      </c>
    </row>
    <row r="810" spans="1:18" x14ac:dyDescent="0.15">
      <c r="C810" t="s">
        <v>12</v>
      </c>
      <c r="D810">
        <v>2.4756783919599998</v>
      </c>
      <c r="E810">
        <v>1</v>
      </c>
      <c r="F810" t="s">
        <v>13</v>
      </c>
      <c r="G810">
        <v>3</v>
      </c>
      <c r="H810">
        <v>0</v>
      </c>
      <c r="I810" t="s">
        <v>488</v>
      </c>
      <c r="J810" t="s">
        <v>1234</v>
      </c>
      <c r="K810" t="s">
        <v>1235</v>
      </c>
      <c r="M810" t="s">
        <v>487</v>
      </c>
      <c r="N810">
        <v>0</v>
      </c>
      <c r="O810" t="s">
        <v>1241</v>
      </c>
      <c r="P810">
        <v>1.03E-2</v>
      </c>
      <c r="Q810">
        <v>26.264472060303639</v>
      </c>
      <c r="R810" s="6"/>
    </row>
    <row r="811" spans="1:18" x14ac:dyDescent="0.15">
      <c r="C811" t="s">
        <v>14</v>
      </c>
      <c r="D811">
        <v>2.7507537688439996</v>
      </c>
      <c r="E811">
        <v>1</v>
      </c>
      <c r="F811" t="s">
        <v>13</v>
      </c>
      <c r="G811">
        <v>3</v>
      </c>
      <c r="H811">
        <v>0</v>
      </c>
      <c r="I811" t="s">
        <v>488</v>
      </c>
      <c r="J811" t="s">
        <v>1234</v>
      </c>
      <c r="K811" t="s">
        <v>1235</v>
      </c>
      <c r="M811" t="s">
        <v>487</v>
      </c>
      <c r="N811">
        <v>0</v>
      </c>
      <c r="O811" t="s">
        <v>1241</v>
      </c>
      <c r="P811">
        <v>5.4900000000000001E-3</v>
      </c>
      <c r="Q811">
        <v>15.554687336682166</v>
      </c>
      <c r="R811" s="6"/>
    </row>
    <row r="812" spans="1:18" x14ac:dyDescent="0.15">
      <c r="C812" t="s">
        <v>15</v>
      </c>
      <c r="D812">
        <v>55.015075376883999</v>
      </c>
      <c r="E812">
        <v>1000</v>
      </c>
      <c r="F812" t="s">
        <v>13</v>
      </c>
      <c r="G812">
        <v>3</v>
      </c>
      <c r="H812">
        <v>0</v>
      </c>
      <c r="I812" t="s">
        <v>488</v>
      </c>
      <c r="J812" t="s">
        <v>1234</v>
      </c>
      <c r="K812" t="s">
        <v>1235</v>
      </c>
      <c r="M812" t="s">
        <v>487</v>
      </c>
      <c r="N812">
        <v>0</v>
      </c>
      <c r="O812" t="s">
        <v>1241</v>
      </c>
      <c r="P812">
        <v>7.9819999999999988E-2</v>
      </c>
      <c r="Q812">
        <v>4.5230424160803668</v>
      </c>
      <c r="R812" s="6"/>
    </row>
    <row r="813" spans="1:18" x14ac:dyDescent="0.15">
      <c r="C813" t="s">
        <v>23</v>
      </c>
      <c r="D813">
        <v>0.13753768844200001</v>
      </c>
      <c r="E813">
        <v>1</v>
      </c>
      <c r="F813" t="s">
        <v>13</v>
      </c>
      <c r="G813">
        <v>3</v>
      </c>
      <c r="H813">
        <v>0</v>
      </c>
      <c r="I813" t="s">
        <v>488</v>
      </c>
      <c r="J813" t="s">
        <v>1234</v>
      </c>
      <c r="K813" t="s">
        <v>1235</v>
      </c>
      <c r="M813" t="s">
        <v>487</v>
      </c>
      <c r="N813">
        <v>0</v>
      </c>
      <c r="O813" t="s">
        <v>1241</v>
      </c>
      <c r="P813">
        <v>2.3609999999999999E-2</v>
      </c>
      <c r="Q813">
        <v>3.3446827688390885</v>
      </c>
      <c r="R813" s="6"/>
    </row>
    <row r="814" spans="1:18" x14ac:dyDescent="0.15">
      <c r="C814" t="s">
        <v>24</v>
      </c>
      <c r="D814">
        <v>55.015075376883999</v>
      </c>
      <c r="E814">
        <v>1000</v>
      </c>
      <c r="F814" t="s">
        <v>13</v>
      </c>
      <c r="G814">
        <v>3</v>
      </c>
      <c r="H814">
        <v>0</v>
      </c>
      <c r="I814" t="s">
        <v>488</v>
      </c>
      <c r="J814" t="s">
        <v>1234</v>
      </c>
      <c r="K814" t="s">
        <v>1235</v>
      </c>
      <c r="M814" t="s">
        <v>487</v>
      </c>
      <c r="N814">
        <v>0</v>
      </c>
      <c r="O814" t="s">
        <v>1241</v>
      </c>
      <c r="P814">
        <v>2.8500000000000001E-2</v>
      </c>
      <c r="Q814">
        <v>1.6149675376884298</v>
      </c>
      <c r="R814" s="6"/>
    </row>
    <row r="815" spans="1:18" x14ac:dyDescent="0.15">
      <c r="C815" t="s">
        <v>17</v>
      </c>
      <c r="D815">
        <v>7.2463768115939997</v>
      </c>
      <c r="E815">
        <v>1000</v>
      </c>
      <c r="F815" t="s">
        <v>18</v>
      </c>
      <c r="G815">
        <v>0</v>
      </c>
      <c r="H815">
        <v>0</v>
      </c>
      <c r="I815" t="s">
        <v>488</v>
      </c>
      <c r="J815" t="s">
        <v>1234</v>
      </c>
      <c r="K815" t="s">
        <v>1235</v>
      </c>
      <c r="M815" t="s">
        <v>487</v>
      </c>
      <c r="N815">
        <v>0</v>
      </c>
      <c r="O815" t="s">
        <v>1241</v>
      </c>
      <c r="P815">
        <v>53.85</v>
      </c>
      <c r="Q815">
        <v>390.2173913043369</v>
      </c>
      <c r="R815" s="6"/>
    </row>
    <row r="816" spans="1:18" x14ac:dyDescent="0.15">
      <c r="C816" t="s">
        <v>19</v>
      </c>
      <c r="D816">
        <v>4</v>
      </c>
      <c r="E816">
        <v>1</v>
      </c>
      <c r="F816" t="s">
        <v>18</v>
      </c>
      <c r="G816">
        <v>0</v>
      </c>
      <c r="H816">
        <v>0</v>
      </c>
      <c r="I816" t="s">
        <v>488</v>
      </c>
      <c r="J816" t="s">
        <v>1236</v>
      </c>
      <c r="K816" t="s">
        <v>1235</v>
      </c>
      <c r="M816" t="s">
        <v>487</v>
      </c>
      <c r="N816">
        <v>0</v>
      </c>
      <c r="O816" t="s">
        <v>1241</v>
      </c>
      <c r="P816">
        <v>34.65</v>
      </c>
      <c r="Q816">
        <v>138.6</v>
      </c>
      <c r="R816" s="6"/>
    </row>
    <row r="817" spans="1:18" x14ac:dyDescent="0.15">
      <c r="A817" t="s">
        <v>244</v>
      </c>
      <c r="B817" t="s">
        <v>479</v>
      </c>
      <c r="P817">
        <v>0.66826358293860744</v>
      </c>
      <c r="R817" s="6"/>
    </row>
    <row r="818" spans="1:18" x14ac:dyDescent="0.15">
      <c r="C818" t="s">
        <v>245</v>
      </c>
      <c r="D818">
        <v>1</v>
      </c>
      <c r="E818">
        <v>1</v>
      </c>
      <c r="F818" t="s">
        <v>9</v>
      </c>
      <c r="G818">
        <v>0</v>
      </c>
      <c r="H818">
        <v>0</v>
      </c>
      <c r="I818" t="s">
        <v>488</v>
      </c>
      <c r="J818" t="s">
        <v>1234</v>
      </c>
      <c r="K818" t="s">
        <v>1235</v>
      </c>
      <c r="M818" t="s">
        <v>487</v>
      </c>
      <c r="N818">
        <v>0</v>
      </c>
      <c r="O818" t="s">
        <v>1241</v>
      </c>
      <c r="P818">
        <v>0.66826358293860744</v>
      </c>
      <c r="Q818">
        <v>0.66826358293860744</v>
      </c>
      <c r="R818" s="6"/>
    </row>
    <row r="819" spans="1:18" x14ac:dyDescent="0.15">
      <c r="A819" t="s">
        <v>246</v>
      </c>
      <c r="B819" t="s">
        <v>479</v>
      </c>
      <c r="P819">
        <v>1.3365271658772149</v>
      </c>
      <c r="R819" s="6"/>
    </row>
    <row r="820" spans="1:18" x14ac:dyDescent="0.15">
      <c r="C820" t="s">
        <v>245</v>
      </c>
      <c r="D820">
        <v>2</v>
      </c>
      <c r="E820">
        <v>1</v>
      </c>
      <c r="F820" t="s">
        <v>9</v>
      </c>
      <c r="G820">
        <v>0</v>
      </c>
      <c r="H820">
        <v>0</v>
      </c>
      <c r="I820" t="s">
        <v>488</v>
      </c>
      <c r="J820" t="s">
        <v>1234</v>
      </c>
      <c r="K820" t="s">
        <v>1235</v>
      </c>
      <c r="M820" t="s">
        <v>487</v>
      </c>
      <c r="N820">
        <v>0</v>
      </c>
      <c r="O820" t="s">
        <v>1241</v>
      </c>
      <c r="P820">
        <v>0.66826358293860744</v>
      </c>
      <c r="Q820">
        <v>1.3365271658772149</v>
      </c>
      <c r="R820" s="6"/>
    </row>
    <row r="821" spans="1:18" x14ac:dyDescent="0.15">
      <c r="A821" t="s">
        <v>247</v>
      </c>
      <c r="B821" t="s">
        <v>479</v>
      </c>
      <c r="P821">
        <v>0.33413179146930372</v>
      </c>
      <c r="R821" s="6"/>
    </row>
    <row r="822" spans="1:18" x14ac:dyDescent="0.15">
      <c r="C822" t="s">
        <v>245</v>
      </c>
      <c r="D822">
        <v>500</v>
      </c>
      <c r="E822">
        <v>1000</v>
      </c>
      <c r="F822" t="s">
        <v>9</v>
      </c>
      <c r="G822">
        <v>0</v>
      </c>
      <c r="H822">
        <v>0</v>
      </c>
      <c r="I822" t="s">
        <v>488</v>
      </c>
      <c r="J822" t="s">
        <v>1234</v>
      </c>
      <c r="K822" t="s">
        <v>1235</v>
      </c>
      <c r="M822" t="s">
        <v>487</v>
      </c>
      <c r="N822">
        <v>0</v>
      </c>
      <c r="O822" t="s">
        <v>1241</v>
      </c>
      <c r="P822">
        <v>0.66826358293860744</v>
      </c>
      <c r="Q822">
        <v>334.13179146930372</v>
      </c>
      <c r="R822" s="6"/>
    </row>
    <row r="823" spans="1:18" x14ac:dyDescent="0.15">
      <c r="A823" t="s">
        <v>245</v>
      </c>
      <c r="B823" t="s">
        <v>9</v>
      </c>
      <c r="P823">
        <v>0.66826358293860744</v>
      </c>
      <c r="R823" s="6"/>
    </row>
    <row r="824" spans="1:18" x14ac:dyDescent="0.15">
      <c r="C824" t="s">
        <v>22</v>
      </c>
      <c r="D824">
        <v>13</v>
      </c>
      <c r="E824">
        <v>1</v>
      </c>
      <c r="F824" t="s">
        <v>9</v>
      </c>
      <c r="G824">
        <v>3</v>
      </c>
      <c r="H824">
        <v>0</v>
      </c>
      <c r="I824" t="s">
        <v>488</v>
      </c>
      <c r="J824" t="s">
        <v>1234</v>
      </c>
      <c r="K824" t="s">
        <v>1235</v>
      </c>
      <c r="M824" t="s">
        <v>487</v>
      </c>
      <c r="N824">
        <v>0</v>
      </c>
      <c r="O824" t="s">
        <v>1241</v>
      </c>
      <c r="P824">
        <v>0</v>
      </c>
      <c r="Q824">
        <v>0</v>
      </c>
      <c r="R824" s="9" t="s">
        <v>1246</v>
      </c>
    </row>
    <row r="825" spans="1:18" x14ac:dyDescent="0.15">
      <c r="C825" t="s">
        <v>12</v>
      </c>
      <c r="D825">
        <v>3.9046545226129998</v>
      </c>
      <c r="E825">
        <v>1</v>
      </c>
      <c r="F825" t="s">
        <v>13</v>
      </c>
      <c r="G825">
        <v>3</v>
      </c>
      <c r="H825">
        <v>0</v>
      </c>
      <c r="I825" t="s">
        <v>488</v>
      </c>
      <c r="J825" t="s">
        <v>1234</v>
      </c>
      <c r="K825" t="s">
        <v>1235</v>
      </c>
      <c r="M825" t="s">
        <v>487</v>
      </c>
      <c r="N825">
        <v>0</v>
      </c>
      <c r="O825" t="s">
        <v>1241</v>
      </c>
      <c r="P825">
        <v>1.03E-2</v>
      </c>
      <c r="Q825">
        <v>41.424479830401317</v>
      </c>
      <c r="R825" s="6"/>
    </row>
    <row r="826" spans="1:18" x14ac:dyDescent="0.15">
      <c r="C826" t="s">
        <v>14</v>
      </c>
      <c r="D826">
        <v>4.3385050251259996</v>
      </c>
      <c r="E826">
        <v>1</v>
      </c>
      <c r="F826" t="s">
        <v>13</v>
      </c>
      <c r="G826">
        <v>3</v>
      </c>
      <c r="H826">
        <v>0</v>
      </c>
      <c r="I826" t="s">
        <v>488</v>
      </c>
      <c r="J826" t="s">
        <v>1234</v>
      </c>
      <c r="K826" t="s">
        <v>1235</v>
      </c>
      <c r="M826" t="s">
        <v>487</v>
      </c>
      <c r="N826">
        <v>0</v>
      </c>
      <c r="O826" t="s">
        <v>1241</v>
      </c>
      <c r="P826">
        <v>5.4900000000000001E-3</v>
      </c>
      <c r="Q826">
        <v>24.53294436557999</v>
      </c>
      <c r="R826" s="6"/>
    </row>
    <row r="827" spans="1:18" x14ac:dyDescent="0.15">
      <c r="C827" t="s">
        <v>15</v>
      </c>
      <c r="D827">
        <v>86.770100502513017</v>
      </c>
      <c r="E827">
        <v>1000</v>
      </c>
      <c r="F827" t="s">
        <v>13</v>
      </c>
      <c r="G827">
        <v>3</v>
      </c>
      <c r="H827">
        <v>0</v>
      </c>
      <c r="I827" t="s">
        <v>488</v>
      </c>
      <c r="J827" t="s">
        <v>1234</v>
      </c>
      <c r="K827" t="s">
        <v>1235</v>
      </c>
      <c r="M827" t="s">
        <v>487</v>
      </c>
      <c r="N827">
        <v>0</v>
      </c>
      <c r="O827" t="s">
        <v>1241</v>
      </c>
      <c r="P827">
        <v>7.9819999999999988E-2</v>
      </c>
      <c r="Q827">
        <v>7.133769104773906</v>
      </c>
      <c r="R827" s="6"/>
    </row>
    <row r="828" spans="1:18" x14ac:dyDescent="0.15">
      <c r="C828" t="s">
        <v>23</v>
      </c>
      <c r="D828">
        <v>0.21692525125600001</v>
      </c>
      <c r="E828">
        <v>1</v>
      </c>
      <c r="F828" t="s">
        <v>13</v>
      </c>
      <c r="G828">
        <v>3</v>
      </c>
      <c r="H828">
        <v>0</v>
      </c>
      <c r="I828" t="s">
        <v>488</v>
      </c>
      <c r="J828" t="s">
        <v>1234</v>
      </c>
      <c r="K828" t="s">
        <v>1235</v>
      </c>
      <c r="M828" t="s">
        <v>487</v>
      </c>
      <c r="N828">
        <v>0</v>
      </c>
      <c r="O828" t="s">
        <v>1241</v>
      </c>
      <c r="P828">
        <v>2.3609999999999999E-2</v>
      </c>
      <c r="Q828">
        <v>5.2752533376187847</v>
      </c>
      <c r="R828" s="6"/>
    </row>
    <row r="829" spans="1:18" x14ac:dyDescent="0.15">
      <c r="C829" t="s">
        <v>24</v>
      </c>
      <c r="D829">
        <v>86.770100502513017</v>
      </c>
      <c r="E829">
        <v>1000</v>
      </c>
      <c r="F829" t="s">
        <v>13</v>
      </c>
      <c r="G829">
        <v>3</v>
      </c>
      <c r="H829">
        <v>0</v>
      </c>
      <c r="I829" t="s">
        <v>488</v>
      </c>
      <c r="J829" t="s">
        <v>1234</v>
      </c>
      <c r="K829" t="s">
        <v>1235</v>
      </c>
      <c r="M829" t="s">
        <v>487</v>
      </c>
      <c r="N829">
        <v>0</v>
      </c>
      <c r="O829" t="s">
        <v>1241</v>
      </c>
      <c r="P829">
        <v>2.8500000000000001E-2</v>
      </c>
      <c r="Q829">
        <v>2.5471363002512697</v>
      </c>
      <c r="R829" s="6"/>
    </row>
    <row r="830" spans="1:18" x14ac:dyDescent="0.15">
      <c r="C830" t="s">
        <v>17</v>
      </c>
      <c r="D830">
        <v>8.3333333333330017</v>
      </c>
      <c r="E830">
        <v>1000</v>
      </c>
      <c r="F830" t="s">
        <v>18</v>
      </c>
      <c r="G830">
        <v>0</v>
      </c>
      <c r="H830">
        <v>0</v>
      </c>
      <c r="I830" t="s">
        <v>488</v>
      </c>
      <c r="J830" t="s">
        <v>1234</v>
      </c>
      <c r="K830" t="s">
        <v>1235</v>
      </c>
      <c r="M830" t="s">
        <v>487</v>
      </c>
      <c r="N830">
        <v>0</v>
      </c>
      <c r="O830" t="s">
        <v>1241</v>
      </c>
      <c r="P830">
        <v>53.85</v>
      </c>
      <c r="Q830">
        <v>448.74999999998215</v>
      </c>
      <c r="R830" s="6"/>
    </row>
    <row r="831" spans="1:18" x14ac:dyDescent="0.15">
      <c r="C831" t="s">
        <v>19</v>
      </c>
      <c r="D831">
        <v>4</v>
      </c>
      <c r="E831">
        <v>1</v>
      </c>
      <c r="F831" t="s">
        <v>18</v>
      </c>
      <c r="G831">
        <v>0</v>
      </c>
      <c r="H831">
        <v>0</v>
      </c>
      <c r="I831" t="s">
        <v>488</v>
      </c>
      <c r="J831" t="s">
        <v>1236</v>
      </c>
      <c r="K831" t="s">
        <v>1235</v>
      </c>
      <c r="M831" t="s">
        <v>487</v>
      </c>
      <c r="N831">
        <v>0</v>
      </c>
      <c r="O831" t="s">
        <v>1241</v>
      </c>
      <c r="P831">
        <v>34.65</v>
      </c>
      <c r="Q831">
        <v>138.6</v>
      </c>
      <c r="R831" s="6"/>
    </row>
    <row r="832" spans="1:18" x14ac:dyDescent="0.15">
      <c r="A832" t="s">
        <v>248</v>
      </c>
      <c r="B832" t="s">
        <v>479</v>
      </c>
      <c r="P832">
        <v>0.63704076862356196</v>
      </c>
      <c r="R832" s="6"/>
    </row>
    <row r="833" spans="1:18" x14ac:dyDescent="0.15">
      <c r="C833" t="s">
        <v>249</v>
      </c>
      <c r="D833">
        <v>1</v>
      </c>
      <c r="E833">
        <v>1</v>
      </c>
      <c r="F833" t="s">
        <v>9</v>
      </c>
      <c r="G833">
        <v>0</v>
      </c>
      <c r="H833">
        <v>0</v>
      </c>
      <c r="I833" t="s">
        <v>488</v>
      </c>
      <c r="J833" t="s">
        <v>1234</v>
      </c>
      <c r="K833" t="s">
        <v>1235</v>
      </c>
      <c r="M833" t="s">
        <v>487</v>
      </c>
      <c r="N833">
        <v>0</v>
      </c>
      <c r="O833" t="s">
        <v>1241</v>
      </c>
      <c r="P833">
        <v>0.63704076862356196</v>
      </c>
      <c r="Q833">
        <v>0.63704076862356196</v>
      </c>
      <c r="R833" s="6"/>
    </row>
    <row r="834" spans="1:18" x14ac:dyDescent="0.15">
      <c r="A834" t="s">
        <v>250</v>
      </c>
      <c r="B834" t="s">
        <v>479</v>
      </c>
      <c r="P834">
        <v>1.2740815372471239</v>
      </c>
      <c r="R834" s="6"/>
    </row>
    <row r="835" spans="1:18" x14ac:dyDescent="0.15">
      <c r="C835" t="s">
        <v>249</v>
      </c>
      <c r="D835">
        <v>2</v>
      </c>
      <c r="E835">
        <v>1</v>
      </c>
      <c r="F835" t="s">
        <v>9</v>
      </c>
      <c r="G835">
        <v>0</v>
      </c>
      <c r="H835">
        <v>0</v>
      </c>
      <c r="I835" t="s">
        <v>488</v>
      </c>
      <c r="J835" t="s">
        <v>1234</v>
      </c>
      <c r="K835" t="s">
        <v>1235</v>
      </c>
      <c r="M835" t="s">
        <v>487</v>
      </c>
      <c r="N835">
        <v>0</v>
      </c>
      <c r="O835" t="s">
        <v>1241</v>
      </c>
      <c r="P835">
        <v>0.63704076862356196</v>
      </c>
      <c r="Q835">
        <v>1.2740815372471239</v>
      </c>
      <c r="R835" s="6"/>
    </row>
    <row r="836" spans="1:18" x14ac:dyDescent="0.15">
      <c r="A836" t="s">
        <v>251</v>
      </c>
      <c r="B836" t="s">
        <v>479</v>
      </c>
      <c r="P836">
        <v>0.31852038431178098</v>
      </c>
      <c r="R836" s="6"/>
    </row>
    <row r="837" spans="1:18" x14ac:dyDescent="0.15">
      <c r="C837" t="s">
        <v>249</v>
      </c>
      <c r="D837">
        <v>500</v>
      </c>
      <c r="E837">
        <v>1000</v>
      </c>
      <c r="F837" t="s">
        <v>9</v>
      </c>
      <c r="G837">
        <v>0</v>
      </c>
      <c r="H837">
        <v>0</v>
      </c>
      <c r="I837" t="s">
        <v>488</v>
      </c>
      <c r="J837" t="s">
        <v>1234</v>
      </c>
      <c r="K837" t="s">
        <v>1235</v>
      </c>
      <c r="M837" t="s">
        <v>487</v>
      </c>
      <c r="N837">
        <v>0</v>
      </c>
      <c r="O837" t="s">
        <v>1241</v>
      </c>
      <c r="P837">
        <v>0.63704076862356196</v>
      </c>
      <c r="Q837">
        <v>318.52038431178096</v>
      </c>
      <c r="R837" s="6"/>
    </row>
    <row r="838" spans="1:18" x14ac:dyDescent="0.15">
      <c r="A838" t="s">
        <v>249</v>
      </c>
      <c r="B838" t="s">
        <v>9</v>
      </c>
      <c r="P838">
        <v>0.63704076862356196</v>
      </c>
      <c r="R838" s="6"/>
    </row>
    <row r="839" spans="1:18" x14ac:dyDescent="0.15">
      <c r="C839" t="s">
        <v>22</v>
      </c>
      <c r="D839">
        <v>20</v>
      </c>
      <c r="E839">
        <v>1</v>
      </c>
      <c r="F839" t="s">
        <v>9</v>
      </c>
      <c r="G839">
        <v>3</v>
      </c>
      <c r="H839">
        <v>0</v>
      </c>
      <c r="I839" t="s">
        <v>488</v>
      </c>
      <c r="J839" t="s">
        <v>1234</v>
      </c>
      <c r="K839" t="s">
        <v>1235</v>
      </c>
      <c r="M839" t="s">
        <v>487</v>
      </c>
      <c r="N839">
        <v>0</v>
      </c>
      <c r="O839" t="s">
        <v>1241</v>
      </c>
      <c r="P839">
        <v>0</v>
      </c>
      <c r="Q839">
        <v>0</v>
      </c>
      <c r="R839" s="9" t="s">
        <v>1246</v>
      </c>
    </row>
    <row r="840" spans="1:18" x14ac:dyDescent="0.15">
      <c r="C840" t="s">
        <v>12</v>
      </c>
      <c r="D840">
        <v>6.0071608040199997</v>
      </c>
      <c r="E840">
        <v>1</v>
      </c>
      <c r="F840" t="s">
        <v>13</v>
      </c>
      <c r="G840">
        <v>3</v>
      </c>
      <c r="H840">
        <v>0</v>
      </c>
      <c r="I840" t="s">
        <v>488</v>
      </c>
      <c r="J840" t="s">
        <v>1234</v>
      </c>
      <c r="K840" t="s">
        <v>1235</v>
      </c>
      <c r="M840" t="s">
        <v>487</v>
      </c>
      <c r="N840">
        <v>0</v>
      </c>
      <c r="O840" t="s">
        <v>1241</v>
      </c>
      <c r="P840">
        <v>1.03E-2</v>
      </c>
      <c r="Q840">
        <v>63.729968969848173</v>
      </c>
      <c r="R840" s="6"/>
    </row>
    <row r="841" spans="1:18" x14ac:dyDescent="0.15">
      <c r="C841" t="s">
        <v>14</v>
      </c>
      <c r="D841">
        <v>6.6746231155780009</v>
      </c>
      <c r="E841">
        <v>1</v>
      </c>
      <c r="F841" t="s">
        <v>13</v>
      </c>
      <c r="G841">
        <v>3</v>
      </c>
      <c r="H841">
        <v>0</v>
      </c>
      <c r="I841" t="s">
        <v>488</v>
      </c>
      <c r="J841" t="s">
        <v>1234</v>
      </c>
      <c r="K841" t="s">
        <v>1235</v>
      </c>
      <c r="M841" t="s">
        <v>487</v>
      </c>
      <c r="N841">
        <v>0</v>
      </c>
      <c r="O841" t="s">
        <v>1241</v>
      </c>
      <c r="P841">
        <v>5.4900000000000001E-3</v>
      </c>
      <c r="Q841">
        <v>37.742991331658921</v>
      </c>
      <c r="R841" s="6"/>
    </row>
    <row r="842" spans="1:18" x14ac:dyDescent="0.15">
      <c r="C842" t="s">
        <v>15</v>
      </c>
      <c r="D842">
        <v>0.13349246231199999</v>
      </c>
      <c r="E842">
        <v>1</v>
      </c>
      <c r="F842" t="s">
        <v>13</v>
      </c>
      <c r="G842">
        <v>3</v>
      </c>
      <c r="H842">
        <v>0</v>
      </c>
      <c r="I842" t="s">
        <v>488</v>
      </c>
      <c r="J842" t="s">
        <v>1234</v>
      </c>
      <c r="K842" t="s">
        <v>1235</v>
      </c>
      <c r="M842" t="s">
        <v>487</v>
      </c>
      <c r="N842">
        <v>0</v>
      </c>
      <c r="O842" t="s">
        <v>1241</v>
      </c>
      <c r="P842">
        <v>7.9819999999999988E-2</v>
      </c>
      <c r="Q842">
        <v>10.975029391996154</v>
      </c>
      <c r="R842" s="6"/>
    </row>
    <row r="843" spans="1:18" x14ac:dyDescent="0.15">
      <c r="C843" t="s">
        <v>23</v>
      </c>
      <c r="D843">
        <v>0.33373115577899998</v>
      </c>
      <c r="E843">
        <v>1</v>
      </c>
      <c r="F843" t="s">
        <v>13</v>
      </c>
      <c r="G843">
        <v>3</v>
      </c>
      <c r="H843">
        <v>0</v>
      </c>
      <c r="I843" t="s">
        <v>488</v>
      </c>
      <c r="J843" t="s">
        <v>1234</v>
      </c>
      <c r="K843" t="s">
        <v>1235</v>
      </c>
      <c r="M843" t="s">
        <v>487</v>
      </c>
      <c r="N843">
        <v>0</v>
      </c>
      <c r="O843" t="s">
        <v>1241</v>
      </c>
      <c r="P843">
        <v>2.3609999999999999E-2</v>
      </c>
      <c r="Q843">
        <v>8.1157743655804548</v>
      </c>
      <c r="R843" s="6"/>
    </row>
    <row r="844" spans="1:18" x14ac:dyDescent="0.15">
      <c r="C844" t="s">
        <v>24</v>
      </c>
      <c r="D844">
        <v>0.13349246231199999</v>
      </c>
      <c r="E844">
        <v>1</v>
      </c>
      <c r="F844" t="s">
        <v>13</v>
      </c>
      <c r="G844">
        <v>3</v>
      </c>
      <c r="H844">
        <v>0</v>
      </c>
      <c r="I844" t="s">
        <v>488</v>
      </c>
      <c r="J844" t="s">
        <v>1234</v>
      </c>
      <c r="K844" t="s">
        <v>1235</v>
      </c>
      <c r="M844" t="s">
        <v>487</v>
      </c>
      <c r="N844">
        <v>0</v>
      </c>
      <c r="O844" t="s">
        <v>1241</v>
      </c>
      <c r="P844">
        <v>2.8500000000000001E-2</v>
      </c>
      <c r="Q844">
        <v>3.9186712311687599</v>
      </c>
      <c r="R844" s="6"/>
    </row>
    <row r="845" spans="1:18" x14ac:dyDescent="0.15">
      <c r="C845" t="s">
        <v>17</v>
      </c>
      <c r="D845">
        <v>6.9444444444440006</v>
      </c>
      <c r="E845">
        <v>1000</v>
      </c>
      <c r="F845" t="s">
        <v>18</v>
      </c>
      <c r="G845">
        <v>0</v>
      </c>
      <c r="H845">
        <v>0</v>
      </c>
      <c r="I845" t="s">
        <v>488</v>
      </c>
      <c r="J845" t="s">
        <v>1234</v>
      </c>
      <c r="K845" t="s">
        <v>1235</v>
      </c>
      <c r="M845" t="s">
        <v>487</v>
      </c>
      <c r="N845">
        <v>0</v>
      </c>
      <c r="O845" t="s">
        <v>1241</v>
      </c>
      <c r="P845">
        <v>53.85</v>
      </c>
      <c r="Q845">
        <v>373.95833333330944</v>
      </c>
      <c r="R845" s="6"/>
    </row>
    <row r="846" spans="1:18" x14ac:dyDescent="0.15">
      <c r="C846" t="s">
        <v>19</v>
      </c>
      <c r="D846">
        <v>4</v>
      </c>
      <c r="E846">
        <v>1</v>
      </c>
      <c r="F846" t="s">
        <v>18</v>
      </c>
      <c r="G846">
        <v>0</v>
      </c>
      <c r="H846">
        <v>0</v>
      </c>
      <c r="I846" t="s">
        <v>488</v>
      </c>
      <c r="J846" t="s">
        <v>1236</v>
      </c>
      <c r="K846" t="s">
        <v>1235</v>
      </c>
      <c r="M846" t="s">
        <v>487</v>
      </c>
      <c r="N846">
        <v>0</v>
      </c>
      <c r="O846" t="s">
        <v>1241</v>
      </c>
      <c r="P846">
        <v>34.65</v>
      </c>
      <c r="Q846">
        <v>138.6</v>
      </c>
      <c r="R846" s="6"/>
    </row>
    <row r="847" spans="1:18" x14ac:dyDescent="0.15">
      <c r="A847" t="s">
        <v>252</v>
      </c>
      <c r="B847" t="s">
        <v>479</v>
      </c>
      <c r="P847">
        <v>1.1576409973948976</v>
      </c>
      <c r="R847" s="6"/>
    </row>
    <row r="848" spans="1:18" x14ac:dyDescent="0.15">
      <c r="C848" t="s">
        <v>253</v>
      </c>
      <c r="D848">
        <v>1</v>
      </c>
      <c r="E848">
        <v>1</v>
      </c>
      <c r="F848" t="s">
        <v>9</v>
      </c>
      <c r="G848">
        <v>0</v>
      </c>
      <c r="H848">
        <v>0</v>
      </c>
      <c r="I848" t="s">
        <v>488</v>
      </c>
      <c r="J848" t="s">
        <v>1234</v>
      </c>
      <c r="K848" t="s">
        <v>1235</v>
      </c>
      <c r="M848" t="s">
        <v>487</v>
      </c>
      <c r="N848">
        <v>0</v>
      </c>
      <c r="O848" t="s">
        <v>1241</v>
      </c>
      <c r="P848">
        <v>1.1576409973948976</v>
      </c>
      <c r="Q848">
        <v>1.1576409973948976</v>
      </c>
      <c r="R848" s="6"/>
    </row>
    <row r="849" spans="1:18" x14ac:dyDescent="0.15">
      <c r="A849" t="s">
        <v>254</v>
      </c>
      <c r="B849" t="s">
        <v>479</v>
      </c>
      <c r="P849">
        <v>2.3152819947897951</v>
      </c>
      <c r="R849" s="6"/>
    </row>
    <row r="850" spans="1:18" x14ac:dyDescent="0.15">
      <c r="C850" t="s">
        <v>253</v>
      </c>
      <c r="D850">
        <v>2</v>
      </c>
      <c r="E850">
        <v>1</v>
      </c>
      <c r="F850" t="s">
        <v>9</v>
      </c>
      <c r="G850">
        <v>0</v>
      </c>
      <c r="H850">
        <v>0</v>
      </c>
      <c r="I850" t="s">
        <v>488</v>
      </c>
      <c r="J850" t="s">
        <v>1234</v>
      </c>
      <c r="K850" t="s">
        <v>1235</v>
      </c>
      <c r="M850" t="s">
        <v>487</v>
      </c>
      <c r="N850">
        <v>0</v>
      </c>
      <c r="O850" t="s">
        <v>1241</v>
      </c>
      <c r="P850">
        <v>1.1576409973948976</v>
      </c>
      <c r="Q850">
        <v>2.3152819947897951</v>
      </c>
      <c r="R850" s="6"/>
    </row>
    <row r="851" spans="1:18" x14ac:dyDescent="0.15">
      <c r="A851" t="s">
        <v>255</v>
      </c>
      <c r="B851" t="s">
        <v>479</v>
      </c>
      <c r="P851">
        <v>0.57882049869744878</v>
      </c>
      <c r="R851" s="6"/>
    </row>
    <row r="852" spans="1:18" x14ac:dyDescent="0.15">
      <c r="C852" t="s">
        <v>253</v>
      </c>
      <c r="D852">
        <v>500</v>
      </c>
      <c r="E852">
        <v>1000</v>
      </c>
      <c r="F852" t="s">
        <v>9</v>
      </c>
      <c r="G852">
        <v>0</v>
      </c>
      <c r="H852">
        <v>0</v>
      </c>
      <c r="I852" t="s">
        <v>488</v>
      </c>
      <c r="J852" t="s">
        <v>1234</v>
      </c>
      <c r="K852" t="s">
        <v>1235</v>
      </c>
      <c r="M852" t="s">
        <v>487</v>
      </c>
      <c r="N852">
        <v>0</v>
      </c>
      <c r="O852" t="s">
        <v>1241</v>
      </c>
      <c r="P852">
        <v>1.1576409973948976</v>
      </c>
      <c r="Q852">
        <v>578.82049869744878</v>
      </c>
      <c r="R852" s="6"/>
    </row>
    <row r="853" spans="1:18" x14ac:dyDescent="0.15">
      <c r="A853" t="s">
        <v>253</v>
      </c>
      <c r="B853" t="s">
        <v>9</v>
      </c>
      <c r="P853">
        <v>1.1576409973948976</v>
      </c>
      <c r="R853" s="6"/>
    </row>
    <row r="854" spans="1:18" x14ac:dyDescent="0.15">
      <c r="C854" t="s">
        <v>123</v>
      </c>
      <c r="D854">
        <v>26</v>
      </c>
      <c r="E854">
        <v>1</v>
      </c>
      <c r="F854" t="s">
        <v>9</v>
      </c>
      <c r="G854">
        <v>3</v>
      </c>
      <c r="H854">
        <v>0</v>
      </c>
      <c r="I854" t="s">
        <v>488</v>
      </c>
      <c r="J854" t="s">
        <v>1234</v>
      </c>
      <c r="K854" t="s">
        <v>1235</v>
      </c>
      <c r="M854" t="s">
        <v>487</v>
      </c>
      <c r="N854">
        <v>0</v>
      </c>
      <c r="O854" t="s">
        <v>1241</v>
      </c>
      <c r="P854">
        <v>0</v>
      </c>
      <c r="Q854">
        <v>0</v>
      </c>
      <c r="R854" s="9" t="s">
        <v>1246</v>
      </c>
    </row>
    <row r="855" spans="1:18" x14ac:dyDescent="0.15">
      <c r="C855" t="s">
        <v>12</v>
      </c>
      <c r="D855">
        <v>7.9276319095479995</v>
      </c>
      <c r="E855">
        <v>1</v>
      </c>
      <c r="F855" t="s">
        <v>13</v>
      </c>
      <c r="G855">
        <v>3</v>
      </c>
      <c r="H855">
        <v>0</v>
      </c>
      <c r="I855" t="s">
        <v>488</v>
      </c>
      <c r="J855" t="s">
        <v>1234</v>
      </c>
      <c r="K855" t="s">
        <v>1235</v>
      </c>
      <c r="M855" t="s">
        <v>487</v>
      </c>
      <c r="N855">
        <v>0</v>
      </c>
      <c r="O855" t="s">
        <v>1241</v>
      </c>
      <c r="P855">
        <v>1.03E-2</v>
      </c>
      <c r="Q855">
        <v>84.10424692839473</v>
      </c>
      <c r="R855" s="6"/>
    </row>
    <row r="856" spans="1:18" x14ac:dyDescent="0.15">
      <c r="C856" t="s">
        <v>14</v>
      </c>
      <c r="D856">
        <v>8.8084798994969979</v>
      </c>
      <c r="E856">
        <v>1</v>
      </c>
      <c r="F856" t="s">
        <v>13</v>
      </c>
      <c r="G856">
        <v>3</v>
      </c>
      <c r="H856">
        <v>0</v>
      </c>
      <c r="I856" t="s">
        <v>488</v>
      </c>
      <c r="J856" t="s">
        <v>1234</v>
      </c>
      <c r="K856" t="s">
        <v>1235</v>
      </c>
      <c r="M856" t="s">
        <v>487</v>
      </c>
      <c r="N856">
        <v>0</v>
      </c>
      <c r="O856" t="s">
        <v>1241</v>
      </c>
      <c r="P856">
        <v>5.4900000000000001E-3</v>
      </c>
      <c r="Q856">
        <v>49.809311287685674</v>
      </c>
      <c r="R856" s="6"/>
    </row>
    <row r="857" spans="1:18" x14ac:dyDescent="0.15">
      <c r="C857" t="s">
        <v>15</v>
      </c>
      <c r="D857">
        <v>0.17616959799000001</v>
      </c>
      <c r="E857">
        <v>1</v>
      </c>
      <c r="F857" t="s">
        <v>13</v>
      </c>
      <c r="G857">
        <v>3</v>
      </c>
      <c r="H857">
        <v>0</v>
      </c>
      <c r="I857" t="s">
        <v>488</v>
      </c>
      <c r="J857" t="s">
        <v>1234</v>
      </c>
      <c r="K857" t="s">
        <v>1235</v>
      </c>
      <c r="M857" t="s">
        <v>487</v>
      </c>
      <c r="N857">
        <v>0</v>
      </c>
      <c r="O857" t="s">
        <v>1241</v>
      </c>
      <c r="P857">
        <v>7.9819999999999988E-2</v>
      </c>
      <c r="Q857">
        <v>14.483713030908653</v>
      </c>
      <c r="R857" s="6"/>
    </row>
    <row r="858" spans="1:18" x14ac:dyDescent="0.15">
      <c r="C858" t="s">
        <v>23</v>
      </c>
      <c r="D858">
        <v>0.44042399497500001</v>
      </c>
      <c r="E858">
        <v>1</v>
      </c>
      <c r="F858" t="s">
        <v>13</v>
      </c>
      <c r="G858">
        <v>3</v>
      </c>
      <c r="H858">
        <v>0</v>
      </c>
      <c r="I858" t="s">
        <v>488</v>
      </c>
      <c r="J858" t="s">
        <v>1234</v>
      </c>
      <c r="K858" t="s">
        <v>1235</v>
      </c>
      <c r="M858" t="s">
        <v>487</v>
      </c>
      <c r="N858">
        <v>0</v>
      </c>
      <c r="O858" t="s">
        <v>1241</v>
      </c>
      <c r="P858">
        <v>2.3609999999999999E-2</v>
      </c>
      <c r="Q858">
        <v>10.710362837000542</v>
      </c>
      <c r="R858" s="6"/>
    </row>
    <row r="859" spans="1:18" x14ac:dyDescent="0.15">
      <c r="C859" t="s">
        <v>24</v>
      </c>
      <c r="D859">
        <v>0.17616959799000001</v>
      </c>
      <c r="E859">
        <v>1</v>
      </c>
      <c r="F859" t="s">
        <v>13</v>
      </c>
      <c r="G859">
        <v>3</v>
      </c>
      <c r="H859">
        <v>0</v>
      </c>
      <c r="I859" t="s">
        <v>488</v>
      </c>
      <c r="J859" t="s">
        <v>1234</v>
      </c>
      <c r="K859" t="s">
        <v>1235</v>
      </c>
      <c r="M859" t="s">
        <v>487</v>
      </c>
      <c r="N859">
        <v>0</v>
      </c>
      <c r="O859" t="s">
        <v>1241</v>
      </c>
      <c r="P859">
        <v>2.8500000000000001E-2</v>
      </c>
      <c r="Q859">
        <v>5.1714585489964504</v>
      </c>
      <c r="R859" s="6"/>
    </row>
    <row r="860" spans="1:18" x14ac:dyDescent="0.15">
      <c r="C860" t="s">
        <v>17</v>
      </c>
      <c r="D860">
        <v>15.873015873016</v>
      </c>
      <c r="E860">
        <v>1000</v>
      </c>
      <c r="F860" t="s">
        <v>18</v>
      </c>
      <c r="G860">
        <v>0</v>
      </c>
      <c r="H860">
        <v>0</v>
      </c>
      <c r="I860" t="s">
        <v>488</v>
      </c>
      <c r="J860" t="s">
        <v>1234</v>
      </c>
      <c r="K860" t="s">
        <v>1235</v>
      </c>
      <c r="M860" t="s">
        <v>487</v>
      </c>
      <c r="N860">
        <v>0</v>
      </c>
      <c r="O860" t="s">
        <v>1241</v>
      </c>
      <c r="P860">
        <v>53.85</v>
      </c>
      <c r="Q860">
        <v>854.76190476191164</v>
      </c>
      <c r="R860" s="6"/>
    </row>
    <row r="861" spans="1:18" x14ac:dyDescent="0.15">
      <c r="C861" t="s">
        <v>19</v>
      </c>
      <c r="D861">
        <v>4</v>
      </c>
      <c r="E861">
        <v>1</v>
      </c>
      <c r="F861" t="s">
        <v>18</v>
      </c>
      <c r="G861">
        <v>0</v>
      </c>
      <c r="H861">
        <v>0</v>
      </c>
      <c r="I861" t="s">
        <v>488</v>
      </c>
      <c r="J861" t="s">
        <v>1236</v>
      </c>
      <c r="K861" t="s">
        <v>1235</v>
      </c>
      <c r="M861" t="s">
        <v>487</v>
      </c>
      <c r="N861">
        <v>0</v>
      </c>
      <c r="O861" t="s">
        <v>1241</v>
      </c>
      <c r="P861">
        <v>34.65</v>
      </c>
      <c r="Q861">
        <v>138.6</v>
      </c>
      <c r="R861" s="6"/>
    </row>
    <row r="862" spans="1:18" x14ac:dyDescent="0.15">
      <c r="A862" t="s">
        <v>256</v>
      </c>
      <c r="B862" t="s">
        <v>479</v>
      </c>
      <c r="P862">
        <v>0.90415166879155739</v>
      </c>
      <c r="R862" s="6"/>
    </row>
    <row r="863" spans="1:18" x14ac:dyDescent="0.15">
      <c r="C863" t="s">
        <v>257</v>
      </c>
      <c r="D863">
        <v>1</v>
      </c>
      <c r="E863">
        <v>1</v>
      </c>
      <c r="F863" t="s">
        <v>9</v>
      </c>
      <c r="G863">
        <v>0</v>
      </c>
      <c r="H863">
        <v>0</v>
      </c>
      <c r="I863" t="s">
        <v>488</v>
      </c>
      <c r="J863" t="s">
        <v>1234</v>
      </c>
      <c r="K863" t="s">
        <v>1235</v>
      </c>
      <c r="M863" t="s">
        <v>487</v>
      </c>
      <c r="N863">
        <v>0</v>
      </c>
      <c r="O863" t="s">
        <v>1241</v>
      </c>
      <c r="P863">
        <v>0.90415166879155739</v>
      </c>
      <c r="Q863">
        <v>0.90415166879155739</v>
      </c>
      <c r="R863" s="6"/>
    </row>
    <row r="864" spans="1:18" x14ac:dyDescent="0.15">
      <c r="A864" t="s">
        <v>258</v>
      </c>
      <c r="B864" t="s">
        <v>479</v>
      </c>
      <c r="P864">
        <v>1.8083033375831148</v>
      </c>
      <c r="R864" s="6"/>
    </row>
    <row r="865" spans="1:18" x14ac:dyDescent="0.15">
      <c r="C865" t="s">
        <v>257</v>
      </c>
      <c r="D865">
        <v>2</v>
      </c>
      <c r="E865">
        <v>1</v>
      </c>
      <c r="F865" t="s">
        <v>9</v>
      </c>
      <c r="G865">
        <v>0</v>
      </c>
      <c r="H865">
        <v>0</v>
      </c>
      <c r="I865" t="s">
        <v>488</v>
      </c>
      <c r="J865" t="s">
        <v>1234</v>
      </c>
      <c r="K865" t="s">
        <v>1235</v>
      </c>
      <c r="M865" t="s">
        <v>487</v>
      </c>
      <c r="N865">
        <v>0</v>
      </c>
      <c r="O865" t="s">
        <v>1241</v>
      </c>
      <c r="P865">
        <v>0.90415166879155739</v>
      </c>
      <c r="Q865">
        <v>1.8083033375831148</v>
      </c>
      <c r="R865" s="6"/>
    </row>
    <row r="866" spans="1:18" x14ac:dyDescent="0.15">
      <c r="A866" t="s">
        <v>259</v>
      </c>
      <c r="B866" t="s">
        <v>479</v>
      </c>
      <c r="P866">
        <v>0.4520758343957787</v>
      </c>
      <c r="R866" s="6"/>
    </row>
    <row r="867" spans="1:18" x14ac:dyDescent="0.15">
      <c r="C867" t="s">
        <v>257</v>
      </c>
      <c r="D867">
        <v>500</v>
      </c>
      <c r="E867">
        <v>1000</v>
      </c>
      <c r="F867" t="s">
        <v>9</v>
      </c>
      <c r="G867">
        <v>0</v>
      </c>
      <c r="H867">
        <v>0</v>
      </c>
      <c r="I867" t="s">
        <v>488</v>
      </c>
      <c r="J867" t="s">
        <v>1234</v>
      </c>
      <c r="K867" t="s">
        <v>1235</v>
      </c>
      <c r="M867" t="s">
        <v>487</v>
      </c>
      <c r="N867">
        <v>0</v>
      </c>
      <c r="O867" t="s">
        <v>1241</v>
      </c>
      <c r="P867">
        <v>0.90415166879155739</v>
      </c>
      <c r="Q867">
        <v>452.07583439577871</v>
      </c>
      <c r="R867" s="6"/>
    </row>
    <row r="868" spans="1:18" x14ac:dyDescent="0.15">
      <c r="A868" t="s">
        <v>257</v>
      </c>
      <c r="B868" t="s">
        <v>9</v>
      </c>
      <c r="P868">
        <v>0.90415166879155739</v>
      </c>
      <c r="R868" s="6"/>
    </row>
    <row r="869" spans="1:18" x14ac:dyDescent="0.15">
      <c r="C869" t="s">
        <v>123</v>
      </c>
      <c r="D869">
        <v>35</v>
      </c>
      <c r="E869">
        <v>1</v>
      </c>
      <c r="F869" t="s">
        <v>9</v>
      </c>
      <c r="G869">
        <v>3</v>
      </c>
      <c r="H869">
        <v>0</v>
      </c>
      <c r="I869" t="s">
        <v>488</v>
      </c>
      <c r="J869" t="s">
        <v>1234</v>
      </c>
      <c r="K869" t="s">
        <v>1235</v>
      </c>
      <c r="M869" t="s">
        <v>487</v>
      </c>
      <c r="N869">
        <v>0</v>
      </c>
      <c r="O869" t="s">
        <v>1241</v>
      </c>
      <c r="P869">
        <v>0</v>
      </c>
      <c r="Q869">
        <v>0</v>
      </c>
      <c r="R869" s="9" t="s">
        <v>1246</v>
      </c>
    </row>
    <row r="870" spans="1:18" x14ac:dyDescent="0.15">
      <c r="C870" t="s">
        <v>12</v>
      </c>
      <c r="D870">
        <v>9.7942839195979996</v>
      </c>
      <c r="E870">
        <v>1</v>
      </c>
      <c r="F870" t="s">
        <v>13</v>
      </c>
      <c r="G870">
        <v>3</v>
      </c>
      <c r="H870">
        <v>0</v>
      </c>
      <c r="I870" t="s">
        <v>488</v>
      </c>
      <c r="J870" t="s">
        <v>1234</v>
      </c>
      <c r="K870" t="s">
        <v>1235</v>
      </c>
      <c r="M870" t="s">
        <v>487</v>
      </c>
      <c r="N870">
        <v>0</v>
      </c>
      <c r="O870" t="s">
        <v>1241</v>
      </c>
      <c r="P870">
        <v>1.03E-2</v>
      </c>
      <c r="Q870">
        <v>103.90755810301518</v>
      </c>
      <c r="R870" s="6"/>
    </row>
    <row r="871" spans="1:18" x14ac:dyDescent="0.15">
      <c r="C871" t="s">
        <v>14</v>
      </c>
      <c r="D871">
        <v>10.882537688441998</v>
      </c>
      <c r="E871">
        <v>1</v>
      </c>
      <c r="F871" t="s">
        <v>13</v>
      </c>
      <c r="G871">
        <v>3</v>
      </c>
      <c r="H871">
        <v>0</v>
      </c>
      <c r="I871" t="s">
        <v>488</v>
      </c>
      <c r="J871" t="s">
        <v>1234</v>
      </c>
      <c r="K871" t="s">
        <v>1235</v>
      </c>
      <c r="M871" t="s">
        <v>487</v>
      </c>
      <c r="N871">
        <v>0</v>
      </c>
      <c r="O871" t="s">
        <v>1241</v>
      </c>
      <c r="P871">
        <v>5.4900000000000001E-3</v>
      </c>
      <c r="Q871">
        <v>61.537485866832967</v>
      </c>
      <c r="R871" s="6"/>
    </row>
    <row r="872" spans="1:18" x14ac:dyDescent="0.15">
      <c r="C872" t="s">
        <v>15</v>
      </c>
      <c r="D872">
        <v>0.217650753769</v>
      </c>
      <c r="E872">
        <v>1</v>
      </c>
      <c r="F872" t="s">
        <v>13</v>
      </c>
      <c r="G872">
        <v>3</v>
      </c>
      <c r="H872">
        <v>0</v>
      </c>
      <c r="I872" t="s">
        <v>488</v>
      </c>
      <c r="J872" t="s">
        <v>1234</v>
      </c>
      <c r="K872" t="s">
        <v>1235</v>
      </c>
      <c r="M872" t="s">
        <v>487</v>
      </c>
      <c r="N872">
        <v>0</v>
      </c>
      <c r="O872" t="s">
        <v>1241</v>
      </c>
      <c r="P872">
        <v>7.9819999999999988E-2</v>
      </c>
      <c r="Q872">
        <v>17.894069660816825</v>
      </c>
      <c r="R872" s="6"/>
    </row>
    <row r="873" spans="1:18" x14ac:dyDescent="0.15">
      <c r="C873" t="s">
        <v>23</v>
      </c>
      <c r="D873">
        <v>0.54412688442199997</v>
      </c>
      <c r="E873">
        <v>1</v>
      </c>
      <c r="F873" t="s">
        <v>13</v>
      </c>
      <c r="G873">
        <v>3</v>
      </c>
      <c r="H873">
        <v>0</v>
      </c>
      <c r="I873" t="s">
        <v>488</v>
      </c>
      <c r="J873" t="s">
        <v>1234</v>
      </c>
      <c r="K873" t="s">
        <v>1235</v>
      </c>
      <c r="M873" t="s">
        <v>487</v>
      </c>
      <c r="N873">
        <v>0</v>
      </c>
      <c r="O873" t="s">
        <v>1241</v>
      </c>
      <c r="P873">
        <v>2.3609999999999999E-2</v>
      </c>
      <c r="Q873">
        <v>13.232240813439521</v>
      </c>
      <c r="R873" s="6"/>
    </row>
    <row r="874" spans="1:18" x14ac:dyDescent="0.15">
      <c r="C874" t="s">
        <v>24</v>
      </c>
      <c r="D874">
        <v>0.217650753769</v>
      </c>
      <c r="E874">
        <v>1</v>
      </c>
      <c r="F874" t="s">
        <v>13</v>
      </c>
      <c r="G874">
        <v>3</v>
      </c>
      <c r="H874">
        <v>0</v>
      </c>
      <c r="I874" t="s">
        <v>488</v>
      </c>
      <c r="J874" t="s">
        <v>1234</v>
      </c>
      <c r="K874" t="s">
        <v>1235</v>
      </c>
      <c r="M874" t="s">
        <v>487</v>
      </c>
      <c r="N874">
        <v>0</v>
      </c>
      <c r="O874" t="s">
        <v>1241</v>
      </c>
      <c r="P874">
        <v>2.8500000000000001E-2</v>
      </c>
      <c r="Q874">
        <v>6.3891378768889959</v>
      </c>
      <c r="R874" s="6"/>
    </row>
    <row r="875" spans="1:18" x14ac:dyDescent="0.15">
      <c r="C875" t="s">
        <v>17</v>
      </c>
      <c r="D875">
        <v>9.8039215686270005</v>
      </c>
      <c r="E875">
        <v>1000</v>
      </c>
      <c r="F875" t="s">
        <v>18</v>
      </c>
      <c r="G875">
        <v>0</v>
      </c>
      <c r="H875">
        <v>0</v>
      </c>
      <c r="I875" t="s">
        <v>488</v>
      </c>
      <c r="J875" t="s">
        <v>1234</v>
      </c>
      <c r="K875" t="s">
        <v>1235</v>
      </c>
      <c r="M875" t="s">
        <v>487</v>
      </c>
      <c r="N875">
        <v>0</v>
      </c>
      <c r="O875" t="s">
        <v>1241</v>
      </c>
      <c r="P875">
        <v>53.85</v>
      </c>
      <c r="Q875">
        <v>527.94117647056396</v>
      </c>
      <c r="R875" s="6"/>
    </row>
    <row r="876" spans="1:18" x14ac:dyDescent="0.15">
      <c r="C876" t="s">
        <v>19</v>
      </c>
      <c r="D876">
        <v>5</v>
      </c>
      <c r="E876">
        <v>1</v>
      </c>
      <c r="F876" t="s">
        <v>18</v>
      </c>
      <c r="G876">
        <v>0</v>
      </c>
      <c r="H876">
        <v>0</v>
      </c>
      <c r="I876" t="s">
        <v>488</v>
      </c>
      <c r="J876" t="s">
        <v>1236</v>
      </c>
      <c r="K876" t="s">
        <v>1235</v>
      </c>
      <c r="M876" t="s">
        <v>487</v>
      </c>
      <c r="N876">
        <v>0</v>
      </c>
      <c r="O876" t="s">
        <v>1241</v>
      </c>
      <c r="P876">
        <v>34.65</v>
      </c>
      <c r="Q876">
        <v>173.25</v>
      </c>
      <c r="R876" s="6"/>
    </row>
    <row r="877" spans="1:18" x14ac:dyDescent="0.15">
      <c r="A877" t="s">
        <v>260</v>
      </c>
      <c r="B877" t="s">
        <v>479</v>
      </c>
      <c r="P877">
        <v>0.40471831809760206</v>
      </c>
      <c r="R877" s="6"/>
    </row>
    <row r="878" spans="1:18" x14ac:dyDescent="0.15">
      <c r="C878" t="s">
        <v>261</v>
      </c>
      <c r="D878">
        <v>1</v>
      </c>
      <c r="E878">
        <v>1</v>
      </c>
      <c r="F878" t="s">
        <v>9</v>
      </c>
      <c r="G878">
        <v>0</v>
      </c>
      <c r="H878">
        <v>0</v>
      </c>
      <c r="I878" t="s">
        <v>488</v>
      </c>
      <c r="J878" t="s">
        <v>1234</v>
      </c>
      <c r="K878" t="s">
        <v>1235</v>
      </c>
      <c r="M878" t="s">
        <v>487</v>
      </c>
      <c r="N878">
        <v>0</v>
      </c>
      <c r="O878" t="s">
        <v>1241</v>
      </c>
      <c r="P878">
        <v>0.40471831809760206</v>
      </c>
      <c r="Q878">
        <v>0.40471831809760206</v>
      </c>
      <c r="R878" s="6"/>
    </row>
    <row r="879" spans="1:18" x14ac:dyDescent="0.15">
      <c r="A879" t="s">
        <v>261</v>
      </c>
      <c r="B879" t="s">
        <v>9</v>
      </c>
      <c r="P879">
        <v>0.40471831809760206</v>
      </c>
      <c r="R879" s="6"/>
    </row>
    <row r="880" spans="1:18" x14ac:dyDescent="0.15">
      <c r="C880" t="s">
        <v>33</v>
      </c>
      <c r="D880">
        <v>13</v>
      </c>
      <c r="E880">
        <v>1</v>
      </c>
      <c r="F880" t="s">
        <v>9</v>
      </c>
      <c r="G880">
        <v>3</v>
      </c>
      <c r="H880">
        <v>0</v>
      </c>
      <c r="I880" t="s">
        <v>488</v>
      </c>
      <c r="J880" t="s">
        <v>1234</v>
      </c>
      <c r="K880" t="s">
        <v>1235</v>
      </c>
      <c r="M880" t="s">
        <v>487</v>
      </c>
      <c r="N880">
        <v>0</v>
      </c>
      <c r="O880" t="s">
        <v>1241</v>
      </c>
      <c r="P880">
        <v>0</v>
      </c>
      <c r="Q880">
        <v>0</v>
      </c>
      <c r="R880" s="9" t="s">
        <v>1246</v>
      </c>
    </row>
    <row r="881" spans="1:18" x14ac:dyDescent="0.15">
      <c r="C881" t="s">
        <v>12</v>
      </c>
      <c r="D881">
        <v>1.7638190954769997</v>
      </c>
      <c r="E881">
        <v>1</v>
      </c>
      <c r="F881" t="s">
        <v>13</v>
      </c>
      <c r="G881">
        <v>3</v>
      </c>
      <c r="H881">
        <v>0</v>
      </c>
      <c r="I881" t="s">
        <v>488</v>
      </c>
      <c r="J881" t="s">
        <v>1234</v>
      </c>
      <c r="K881" t="s">
        <v>1235</v>
      </c>
      <c r="M881" t="s">
        <v>487</v>
      </c>
      <c r="N881">
        <v>0</v>
      </c>
      <c r="O881" t="s">
        <v>1241</v>
      </c>
      <c r="P881">
        <v>1.03E-2</v>
      </c>
      <c r="Q881">
        <v>18.712356783915489</v>
      </c>
      <c r="R881" s="6"/>
    </row>
    <row r="882" spans="1:18" x14ac:dyDescent="0.15">
      <c r="C882" t="s">
        <v>14</v>
      </c>
      <c r="D882">
        <v>1.9597989949749999</v>
      </c>
      <c r="E882">
        <v>1</v>
      </c>
      <c r="F882" t="s">
        <v>13</v>
      </c>
      <c r="G882">
        <v>3</v>
      </c>
      <c r="H882">
        <v>0</v>
      </c>
      <c r="I882" t="s">
        <v>488</v>
      </c>
      <c r="J882" t="s">
        <v>1234</v>
      </c>
      <c r="K882" t="s">
        <v>1235</v>
      </c>
      <c r="M882" t="s">
        <v>487</v>
      </c>
      <c r="N882">
        <v>0</v>
      </c>
      <c r="O882" t="s">
        <v>1241</v>
      </c>
      <c r="P882">
        <v>5.4900000000000001E-3</v>
      </c>
      <c r="Q882">
        <v>11.082075376885133</v>
      </c>
      <c r="R882" s="6"/>
    </row>
    <row r="883" spans="1:18" x14ac:dyDescent="0.15">
      <c r="C883" t="s">
        <v>15</v>
      </c>
      <c r="D883">
        <v>39.195979899497999</v>
      </c>
      <c r="E883">
        <v>1000</v>
      </c>
      <c r="F883" t="s">
        <v>13</v>
      </c>
      <c r="G883">
        <v>3</v>
      </c>
      <c r="H883">
        <v>0</v>
      </c>
      <c r="I883" t="s">
        <v>488</v>
      </c>
      <c r="J883" t="s">
        <v>1234</v>
      </c>
      <c r="K883" t="s">
        <v>1235</v>
      </c>
      <c r="M883" t="s">
        <v>487</v>
      </c>
      <c r="N883">
        <v>0</v>
      </c>
      <c r="O883" t="s">
        <v>1241</v>
      </c>
      <c r="P883">
        <v>7.9819999999999988E-2</v>
      </c>
      <c r="Q883">
        <v>3.2224818090452678</v>
      </c>
      <c r="R883" s="6"/>
    </row>
    <row r="884" spans="1:18" x14ac:dyDescent="0.15">
      <c r="C884" t="s">
        <v>23</v>
      </c>
      <c r="D884">
        <v>97.989949748743996</v>
      </c>
      <c r="E884">
        <v>1000</v>
      </c>
      <c r="F884" t="s">
        <v>13</v>
      </c>
      <c r="G884">
        <v>3</v>
      </c>
      <c r="H884">
        <v>0</v>
      </c>
      <c r="I884" t="s">
        <v>488</v>
      </c>
      <c r="J884" t="s">
        <v>1234</v>
      </c>
      <c r="K884" t="s">
        <v>1235</v>
      </c>
      <c r="M884" t="s">
        <v>487</v>
      </c>
      <c r="N884">
        <v>0</v>
      </c>
      <c r="O884" t="s">
        <v>1241</v>
      </c>
      <c r="P884">
        <v>2.3609999999999999E-2</v>
      </c>
      <c r="Q884">
        <v>2.382948994974881</v>
      </c>
      <c r="R884" s="6"/>
    </row>
    <row r="885" spans="1:18" x14ac:dyDescent="0.15">
      <c r="C885" t="s">
        <v>24</v>
      </c>
      <c r="D885">
        <v>39.195979899497999</v>
      </c>
      <c r="E885">
        <v>1000</v>
      </c>
      <c r="F885" t="s">
        <v>13</v>
      </c>
      <c r="G885">
        <v>3</v>
      </c>
      <c r="H885">
        <v>0</v>
      </c>
      <c r="I885" t="s">
        <v>488</v>
      </c>
      <c r="J885" t="s">
        <v>1234</v>
      </c>
      <c r="K885" t="s">
        <v>1235</v>
      </c>
      <c r="M885" t="s">
        <v>487</v>
      </c>
      <c r="N885">
        <v>0</v>
      </c>
      <c r="O885" t="s">
        <v>1241</v>
      </c>
      <c r="P885">
        <v>2.8500000000000001E-2</v>
      </c>
      <c r="Q885">
        <v>1.1505979899497638</v>
      </c>
      <c r="R885" s="6"/>
    </row>
    <row r="886" spans="1:18" x14ac:dyDescent="0.15">
      <c r="C886" t="s">
        <v>17</v>
      </c>
      <c r="D886">
        <v>2.9761904761899998</v>
      </c>
      <c r="E886">
        <v>1000</v>
      </c>
      <c r="F886" t="s">
        <v>18</v>
      </c>
      <c r="G886">
        <v>0</v>
      </c>
      <c r="H886">
        <v>0</v>
      </c>
      <c r="I886" t="s">
        <v>488</v>
      </c>
      <c r="J886" t="s">
        <v>1234</v>
      </c>
      <c r="K886" t="s">
        <v>1235</v>
      </c>
      <c r="M886" t="s">
        <v>487</v>
      </c>
      <c r="N886">
        <v>0</v>
      </c>
      <c r="O886" t="s">
        <v>1241</v>
      </c>
      <c r="P886">
        <v>53.85</v>
      </c>
      <c r="Q886">
        <v>160.2678571428315</v>
      </c>
      <c r="R886" s="6"/>
    </row>
    <row r="887" spans="1:18" x14ac:dyDescent="0.15">
      <c r="C887" t="s">
        <v>19</v>
      </c>
      <c r="D887">
        <v>6</v>
      </c>
      <c r="E887">
        <v>1</v>
      </c>
      <c r="F887" t="s">
        <v>18</v>
      </c>
      <c r="G887">
        <v>0</v>
      </c>
      <c r="H887">
        <v>0</v>
      </c>
      <c r="I887" t="s">
        <v>488</v>
      </c>
      <c r="J887" t="s">
        <v>1236</v>
      </c>
      <c r="K887" t="s">
        <v>1235</v>
      </c>
      <c r="M887" t="s">
        <v>487</v>
      </c>
      <c r="N887">
        <v>0</v>
      </c>
      <c r="O887" t="s">
        <v>1241</v>
      </c>
      <c r="P887">
        <v>34.65</v>
      </c>
      <c r="Q887">
        <v>207.89999999999998</v>
      </c>
      <c r="R887" s="6"/>
    </row>
    <row r="888" spans="1:18" x14ac:dyDescent="0.15">
      <c r="A888" t="s">
        <v>262</v>
      </c>
      <c r="B888" t="s">
        <v>479</v>
      </c>
      <c r="P888">
        <v>0.92162332747634468</v>
      </c>
      <c r="R888" s="6"/>
    </row>
    <row r="889" spans="1:18" x14ac:dyDescent="0.15">
      <c r="C889" t="s">
        <v>263</v>
      </c>
      <c r="D889">
        <v>1</v>
      </c>
      <c r="E889">
        <v>1</v>
      </c>
      <c r="F889" t="s">
        <v>9</v>
      </c>
      <c r="G889">
        <v>0</v>
      </c>
      <c r="H889">
        <v>0</v>
      </c>
      <c r="I889" t="s">
        <v>488</v>
      </c>
      <c r="J889" t="s">
        <v>1234</v>
      </c>
      <c r="K889" t="s">
        <v>1235</v>
      </c>
      <c r="M889" t="s">
        <v>487</v>
      </c>
      <c r="N889">
        <v>0</v>
      </c>
      <c r="O889" t="s">
        <v>1241</v>
      </c>
      <c r="P889">
        <v>0.92162332747634468</v>
      </c>
      <c r="Q889">
        <v>0.92162332747634468</v>
      </c>
      <c r="R889" s="6"/>
    </row>
    <row r="890" spans="1:18" x14ac:dyDescent="0.15">
      <c r="A890" t="s">
        <v>264</v>
      </c>
      <c r="B890" t="s">
        <v>479</v>
      </c>
      <c r="P890">
        <v>1.8432466549526894</v>
      </c>
      <c r="R890" s="6"/>
    </row>
    <row r="891" spans="1:18" x14ac:dyDescent="0.15">
      <c r="C891" t="s">
        <v>263</v>
      </c>
      <c r="D891">
        <v>2</v>
      </c>
      <c r="E891">
        <v>1</v>
      </c>
      <c r="F891" t="s">
        <v>9</v>
      </c>
      <c r="G891">
        <v>0</v>
      </c>
      <c r="H891">
        <v>0</v>
      </c>
      <c r="I891" t="s">
        <v>488</v>
      </c>
      <c r="J891" t="s">
        <v>1234</v>
      </c>
      <c r="K891" t="s">
        <v>1235</v>
      </c>
      <c r="M891" t="s">
        <v>487</v>
      </c>
      <c r="N891">
        <v>0</v>
      </c>
      <c r="O891" t="s">
        <v>1241</v>
      </c>
      <c r="P891">
        <v>0.92162332747634468</v>
      </c>
      <c r="Q891">
        <v>1.8432466549526894</v>
      </c>
      <c r="R891" s="6"/>
    </row>
    <row r="892" spans="1:18" x14ac:dyDescent="0.15">
      <c r="A892" t="s">
        <v>265</v>
      </c>
      <c r="B892" t="s">
        <v>479</v>
      </c>
      <c r="P892">
        <v>0.46081166373817234</v>
      </c>
      <c r="R892" s="6"/>
    </row>
    <row r="893" spans="1:18" x14ac:dyDescent="0.15">
      <c r="C893" t="s">
        <v>263</v>
      </c>
      <c r="D893">
        <v>500</v>
      </c>
      <c r="E893">
        <v>1000</v>
      </c>
      <c r="F893" t="s">
        <v>9</v>
      </c>
      <c r="G893">
        <v>0</v>
      </c>
      <c r="H893">
        <v>0</v>
      </c>
      <c r="I893" t="s">
        <v>488</v>
      </c>
      <c r="J893" t="s">
        <v>1234</v>
      </c>
      <c r="K893" t="s">
        <v>1235</v>
      </c>
      <c r="M893" t="s">
        <v>487</v>
      </c>
      <c r="N893">
        <v>0</v>
      </c>
      <c r="O893" t="s">
        <v>1241</v>
      </c>
      <c r="P893">
        <v>0.92162332747634468</v>
      </c>
      <c r="Q893">
        <v>460.81166373817234</v>
      </c>
      <c r="R893" s="6"/>
    </row>
    <row r="894" spans="1:18" x14ac:dyDescent="0.15">
      <c r="A894" t="s">
        <v>263</v>
      </c>
      <c r="B894" t="s">
        <v>9</v>
      </c>
      <c r="P894">
        <v>0.92162332747634468</v>
      </c>
      <c r="R894" s="6"/>
    </row>
    <row r="895" spans="1:18" x14ac:dyDescent="0.15">
      <c r="C895" t="s">
        <v>22</v>
      </c>
      <c r="D895">
        <v>10</v>
      </c>
      <c r="E895">
        <v>1</v>
      </c>
      <c r="F895" t="s">
        <v>9</v>
      </c>
      <c r="G895">
        <v>3</v>
      </c>
      <c r="H895">
        <v>0</v>
      </c>
      <c r="I895" t="s">
        <v>488</v>
      </c>
      <c r="J895" t="s">
        <v>1234</v>
      </c>
      <c r="K895" t="s">
        <v>1235</v>
      </c>
      <c r="M895" t="s">
        <v>487</v>
      </c>
      <c r="N895">
        <v>0</v>
      </c>
      <c r="O895" t="s">
        <v>1241</v>
      </c>
      <c r="P895">
        <v>0</v>
      </c>
      <c r="Q895">
        <v>0</v>
      </c>
      <c r="R895" s="9" t="s">
        <v>1246</v>
      </c>
    </row>
    <row r="896" spans="1:18" x14ac:dyDescent="0.15">
      <c r="C896" t="s">
        <v>12</v>
      </c>
      <c r="D896">
        <v>2.798366834171</v>
      </c>
      <c r="E896">
        <v>1</v>
      </c>
      <c r="F896" t="s">
        <v>13</v>
      </c>
      <c r="G896">
        <v>3</v>
      </c>
      <c r="H896">
        <v>0</v>
      </c>
      <c r="I896" t="s">
        <v>488</v>
      </c>
      <c r="J896" t="s">
        <v>1234</v>
      </c>
      <c r="K896" t="s">
        <v>1235</v>
      </c>
      <c r="M896" t="s">
        <v>487</v>
      </c>
      <c r="N896">
        <v>0</v>
      </c>
      <c r="O896" t="s">
        <v>1241</v>
      </c>
      <c r="P896">
        <v>1.03E-2</v>
      </c>
      <c r="Q896">
        <v>29.687873743720139</v>
      </c>
      <c r="R896" s="6"/>
    </row>
    <row r="897" spans="1:18" x14ac:dyDescent="0.15">
      <c r="C897" t="s">
        <v>14</v>
      </c>
      <c r="D897">
        <v>3.1092964824119997</v>
      </c>
      <c r="E897">
        <v>1</v>
      </c>
      <c r="F897" t="s">
        <v>13</v>
      </c>
      <c r="G897">
        <v>3</v>
      </c>
      <c r="H897">
        <v>0</v>
      </c>
      <c r="I897" t="s">
        <v>488</v>
      </c>
      <c r="J897" t="s">
        <v>1234</v>
      </c>
      <c r="K897" t="s">
        <v>1235</v>
      </c>
      <c r="M897" t="s">
        <v>487</v>
      </c>
      <c r="N897">
        <v>0</v>
      </c>
      <c r="O897" t="s">
        <v>1241</v>
      </c>
      <c r="P897">
        <v>5.4900000000000001E-3</v>
      </c>
      <c r="Q897">
        <v>17.582138819095135</v>
      </c>
      <c r="R897" s="6"/>
    </row>
    <row r="898" spans="1:18" x14ac:dyDescent="0.15">
      <c r="C898" t="s">
        <v>15</v>
      </c>
      <c r="D898">
        <v>62.185929648241</v>
      </c>
      <c r="E898">
        <v>1000</v>
      </c>
      <c r="F898" t="s">
        <v>13</v>
      </c>
      <c r="G898">
        <v>3</v>
      </c>
      <c r="H898">
        <v>0</v>
      </c>
      <c r="I898" t="s">
        <v>488</v>
      </c>
      <c r="J898" t="s">
        <v>1234</v>
      </c>
      <c r="K898" t="s">
        <v>1235</v>
      </c>
      <c r="M898" t="s">
        <v>487</v>
      </c>
      <c r="N898">
        <v>0</v>
      </c>
      <c r="O898" t="s">
        <v>1241</v>
      </c>
      <c r="P898">
        <v>7.9819999999999988E-2</v>
      </c>
      <c r="Q898">
        <v>5.1125913316582734</v>
      </c>
      <c r="R898" s="6"/>
    </row>
    <row r="899" spans="1:18" x14ac:dyDescent="0.15">
      <c r="C899" t="s">
        <v>23</v>
      </c>
      <c r="D899">
        <v>0.15546482412099999</v>
      </c>
      <c r="E899">
        <v>1</v>
      </c>
      <c r="F899" t="s">
        <v>13</v>
      </c>
      <c r="G899">
        <v>3</v>
      </c>
      <c r="H899">
        <v>0</v>
      </c>
      <c r="I899" t="s">
        <v>488</v>
      </c>
      <c r="J899" t="s">
        <v>1234</v>
      </c>
      <c r="K899" t="s">
        <v>1235</v>
      </c>
      <c r="M899" t="s">
        <v>487</v>
      </c>
      <c r="N899">
        <v>0</v>
      </c>
      <c r="O899" t="s">
        <v>1241</v>
      </c>
      <c r="P899">
        <v>2.3609999999999999E-2</v>
      </c>
      <c r="Q899">
        <v>3.7806402324217143</v>
      </c>
      <c r="R899" s="6"/>
    </row>
    <row r="900" spans="1:18" x14ac:dyDescent="0.15">
      <c r="C900" t="s">
        <v>24</v>
      </c>
      <c r="D900">
        <v>62.185929648241</v>
      </c>
      <c r="E900">
        <v>1000</v>
      </c>
      <c r="F900" t="s">
        <v>13</v>
      </c>
      <c r="G900">
        <v>3</v>
      </c>
      <c r="H900">
        <v>0</v>
      </c>
      <c r="I900" t="s">
        <v>488</v>
      </c>
      <c r="J900" t="s">
        <v>1234</v>
      </c>
      <c r="K900" t="s">
        <v>1235</v>
      </c>
      <c r="M900" t="s">
        <v>487</v>
      </c>
      <c r="N900">
        <v>0</v>
      </c>
      <c r="O900" t="s">
        <v>1241</v>
      </c>
      <c r="P900">
        <v>2.8500000000000001E-2</v>
      </c>
      <c r="Q900">
        <v>1.8254679648241143</v>
      </c>
      <c r="R900" s="6"/>
    </row>
    <row r="901" spans="1:18" x14ac:dyDescent="0.15">
      <c r="C901" t="s">
        <v>17</v>
      </c>
      <c r="D901">
        <v>12.820512820513002</v>
      </c>
      <c r="E901">
        <v>1000</v>
      </c>
      <c r="F901" t="s">
        <v>18</v>
      </c>
      <c r="G901">
        <v>0</v>
      </c>
      <c r="H901">
        <v>0</v>
      </c>
      <c r="I901" t="s">
        <v>488</v>
      </c>
      <c r="J901" t="s">
        <v>1234</v>
      </c>
      <c r="K901" t="s">
        <v>1235</v>
      </c>
      <c r="M901" t="s">
        <v>487</v>
      </c>
      <c r="N901">
        <v>0</v>
      </c>
      <c r="O901" t="s">
        <v>1241</v>
      </c>
      <c r="P901">
        <v>53.85</v>
      </c>
      <c r="Q901">
        <v>690.38461538462525</v>
      </c>
      <c r="R901" s="6"/>
    </row>
    <row r="902" spans="1:18" x14ac:dyDescent="0.15">
      <c r="C902" t="s">
        <v>19</v>
      </c>
      <c r="D902">
        <v>5</v>
      </c>
      <c r="E902">
        <v>1</v>
      </c>
      <c r="F902" t="s">
        <v>18</v>
      </c>
      <c r="G902">
        <v>0</v>
      </c>
      <c r="H902">
        <v>0</v>
      </c>
      <c r="I902" t="s">
        <v>488</v>
      </c>
      <c r="J902" t="s">
        <v>1236</v>
      </c>
      <c r="K902" t="s">
        <v>1235</v>
      </c>
      <c r="M902" t="s">
        <v>487</v>
      </c>
      <c r="N902">
        <v>0</v>
      </c>
      <c r="O902" t="s">
        <v>1241</v>
      </c>
      <c r="P902">
        <v>34.65</v>
      </c>
      <c r="Q902">
        <v>173.25</v>
      </c>
      <c r="R902" s="6"/>
    </row>
    <row r="903" spans="1:18" x14ac:dyDescent="0.15">
      <c r="A903" t="s">
        <v>266</v>
      </c>
      <c r="B903" t="s">
        <v>479</v>
      </c>
      <c r="P903">
        <v>1.209922909020132</v>
      </c>
      <c r="R903" s="6"/>
    </row>
    <row r="904" spans="1:18" x14ac:dyDescent="0.15">
      <c r="C904" t="s">
        <v>267</v>
      </c>
      <c r="D904">
        <v>1</v>
      </c>
      <c r="E904">
        <v>1</v>
      </c>
      <c r="F904" t="s">
        <v>9</v>
      </c>
      <c r="G904">
        <v>0</v>
      </c>
      <c r="H904">
        <v>0</v>
      </c>
      <c r="I904" t="s">
        <v>488</v>
      </c>
      <c r="J904" t="s">
        <v>1234</v>
      </c>
      <c r="K904" t="s">
        <v>1235</v>
      </c>
      <c r="M904" t="s">
        <v>487</v>
      </c>
      <c r="N904">
        <v>0</v>
      </c>
      <c r="O904" t="s">
        <v>1241</v>
      </c>
      <c r="P904">
        <v>1.209922909020132</v>
      </c>
      <c r="Q904">
        <v>1.209922909020132</v>
      </c>
      <c r="R904" s="6"/>
    </row>
    <row r="905" spans="1:18" x14ac:dyDescent="0.15">
      <c r="A905" t="s">
        <v>268</v>
      </c>
      <c r="B905" t="s">
        <v>479</v>
      </c>
      <c r="P905">
        <v>2.419845818040264</v>
      </c>
      <c r="R905" s="6"/>
    </row>
    <row r="906" spans="1:18" x14ac:dyDescent="0.15">
      <c r="C906" t="s">
        <v>267</v>
      </c>
      <c r="D906">
        <v>2</v>
      </c>
      <c r="E906">
        <v>1</v>
      </c>
      <c r="F906" t="s">
        <v>9</v>
      </c>
      <c r="G906">
        <v>0</v>
      </c>
      <c r="H906">
        <v>0</v>
      </c>
      <c r="I906" t="s">
        <v>488</v>
      </c>
      <c r="J906" t="s">
        <v>1234</v>
      </c>
      <c r="K906" t="s">
        <v>1235</v>
      </c>
      <c r="M906" t="s">
        <v>487</v>
      </c>
      <c r="N906">
        <v>0</v>
      </c>
      <c r="O906" t="s">
        <v>1241</v>
      </c>
      <c r="P906">
        <v>1.209922909020132</v>
      </c>
      <c r="Q906">
        <v>2.419845818040264</v>
      </c>
      <c r="R906" s="6"/>
    </row>
    <row r="907" spans="1:18" x14ac:dyDescent="0.15">
      <c r="A907" t="s">
        <v>269</v>
      </c>
      <c r="B907" t="s">
        <v>479</v>
      </c>
      <c r="P907">
        <v>0.604961454510066</v>
      </c>
      <c r="R907" s="6"/>
    </row>
    <row r="908" spans="1:18" x14ac:dyDescent="0.15">
      <c r="C908" t="s">
        <v>267</v>
      </c>
      <c r="D908">
        <v>500</v>
      </c>
      <c r="E908">
        <v>1000</v>
      </c>
      <c r="F908" t="s">
        <v>9</v>
      </c>
      <c r="G908">
        <v>0</v>
      </c>
      <c r="H908">
        <v>0</v>
      </c>
      <c r="I908" t="s">
        <v>488</v>
      </c>
      <c r="J908" t="s">
        <v>1234</v>
      </c>
      <c r="K908" t="s">
        <v>1235</v>
      </c>
      <c r="M908" t="s">
        <v>487</v>
      </c>
      <c r="N908">
        <v>0</v>
      </c>
      <c r="O908" t="s">
        <v>1241</v>
      </c>
      <c r="P908">
        <v>1.209922909020132</v>
      </c>
      <c r="Q908">
        <v>604.96145451006601</v>
      </c>
      <c r="R908" s="6"/>
    </row>
    <row r="909" spans="1:18" x14ac:dyDescent="0.15">
      <c r="A909" t="s">
        <v>267</v>
      </c>
      <c r="B909" t="s">
        <v>9</v>
      </c>
      <c r="P909">
        <v>1.209922909020132</v>
      </c>
      <c r="R909" s="6"/>
    </row>
    <row r="910" spans="1:18" x14ac:dyDescent="0.15">
      <c r="C910" t="s">
        <v>22</v>
      </c>
      <c r="D910">
        <v>24</v>
      </c>
      <c r="E910">
        <v>1</v>
      </c>
      <c r="F910" t="s">
        <v>9</v>
      </c>
      <c r="G910">
        <v>3</v>
      </c>
      <c r="H910">
        <v>0</v>
      </c>
      <c r="I910" t="s">
        <v>488</v>
      </c>
      <c r="J910" t="s">
        <v>1234</v>
      </c>
      <c r="K910" t="s">
        <v>1235</v>
      </c>
      <c r="M910" t="s">
        <v>487</v>
      </c>
      <c r="N910">
        <v>0</v>
      </c>
      <c r="O910" t="s">
        <v>1241</v>
      </c>
      <c r="P910">
        <v>0</v>
      </c>
      <c r="Q910">
        <v>0</v>
      </c>
      <c r="R910" s="9" t="s">
        <v>1246</v>
      </c>
    </row>
    <row r="911" spans="1:18" x14ac:dyDescent="0.15">
      <c r="C911" t="s">
        <v>12</v>
      </c>
      <c r="D911">
        <v>6.7160804020099985</v>
      </c>
      <c r="E911">
        <v>1</v>
      </c>
      <c r="F911" t="s">
        <v>13</v>
      </c>
      <c r="G911">
        <v>3</v>
      </c>
      <c r="H911">
        <v>0</v>
      </c>
      <c r="I911" t="s">
        <v>488</v>
      </c>
      <c r="J911" t="s">
        <v>1234</v>
      </c>
      <c r="K911" t="s">
        <v>1235</v>
      </c>
      <c r="M911" t="s">
        <v>487</v>
      </c>
      <c r="N911">
        <v>0</v>
      </c>
      <c r="O911" t="s">
        <v>1241</v>
      </c>
      <c r="P911">
        <v>1.03E-2</v>
      </c>
      <c r="Q911">
        <v>71.250896984924069</v>
      </c>
      <c r="R911" s="6"/>
    </row>
    <row r="912" spans="1:18" x14ac:dyDescent="0.15">
      <c r="C912" t="s">
        <v>14</v>
      </c>
      <c r="D912">
        <v>7.4623115577889987</v>
      </c>
      <c r="E912">
        <v>1</v>
      </c>
      <c r="F912" t="s">
        <v>13</v>
      </c>
      <c r="G912">
        <v>3</v>
      </c>
      <c r="H912">
        <v>0</v>
      </c>
      <c r="I912" t="s">
        <v>488</v>
      </c>
      <c r="J912" t="s">
        <v>1234</v>
      </c>
      <c r="K912" t="s">
        <v>1235</v>
      </c>
      <c r="M912" t="s">
        <v>487</v>
      </c>
      <c r="N912">
        <v>0</v>
      </c>
      <c r="O912" t="s">
        <v>1241</v>
      </c>
      <c r="P912">
        <v>5.4900000000000001E-3</v>
      </c>
      <c r="Q912">
        <v>42.197133165829449</v>
      </c>
      <c r="R912" s="6"/>
    </row>
    <row r="913" spans="1:18" x14ac:dyDescent="0.15">
      <c r="C913" t="s">
        <v>15</v>
      </c>
      <c r="D913">
        <v>0.149246231156</v>
      </c>
      <c r="E913">
        <v>1</v>
      </c>
      <c r="F913" t="s">
        <v>13</v>
      </c>
      <c r="G913">
        <v>3</v>
      </c>
      <c r="H913">
        <v>0</v>
      </c>
      <c r="I913" t="s">
        <v>488</v>
      </c>
      <c r="J913" t="s">
        <v>1234</v>
      </c>
      <c r="K913" t="s">
        <v>1235</v>
      </c>
      <c r="M913" t="s">
        <v>487</v>
      </c>
      <c r="N913">
        <v>0</v>
      </c>
      <c r="O913" t="s">
        <v>1241</v>
      </c>
      <c r="P913">
        <v>7.9819999999999988E-2</v>
      </c>
      <c r="Q913">
        <v>12.270219195998076</v>
      </c>
      <c r="R913" s="6"/>
    </row>
    <row r="914" spans="1:18" x14ac:dyDescent="0.15">
      <c r="C914" t="s">
        <v>23</v>
      </c>
      <c r="D914">
        <v>0.37311557788900002</v>
      </c>
      <c r="E914">
        <v>1</v>
      </c>
      <c r="F914" t="s">
        <v>13</v>
      </c>
      <c r="G914">
        <v>3</v>
      </c>
      <c r="H914">
        <v>0</v>
      </c>
      <c r="I914" t="s">
        <v>488</v>
      </c>
      <c r="J914" t="s">
        <v>1234</v>
      </c>
      <c r="K914" t="s">
        <v>1235</v>
      </c>
      <c r="M914" t="s">
        <v>487</v>
      </c>
      <c r="N914">
        <v>0</v>
      </c>
      <c r="O914" t="s">
        <v>1241</v>
      </c>
      <c r="P914">
        <v>2.3609999999999999E-2</v>
      </c>
      <c r="Q914">
        <v>9.073536557778068</v>
      </c>
      <c r="R914" s="6"/>
    </row>
    <row r="915" spans="1:18" x14ac:dyDescent="0.15">
      <c r="C915" t="s">
        <v>24</v>
      </c>
      <c r="D915">
        <v>0.149246231156</v>
      </c>
      <c r="E915">
        <v>1</v>
      </c>
      <c r="F915" t="s">
        <v>13</v>
      </c>
      <c r="G915">
        <v>3</v>
      </c>
      <c r="H915">
        <v>0</v>
      </c>
      <c r="I915" t="s">
        <v>488</v>
      </c>
      <c r="J915" t="s">
        <v>1234</v>
      </c>
      <c r="K915" t="s">
        <v>1235</v>
      </c>
      <c r="M915" t="s">
        <v>487</v>
      </c>
      <c r="N915">
        <v>0</v>
      </c>
      <c r="O915" t="s">
        <v>1241</v>
      </c>
      <c r="P915">
        <v>2.8500000000000001E-2</v>
      </c>
      <c r="Q915">
        <v>4.3811231155843799</v>
      </c>
      <c r="R915" s="6"/>
    </row>
    <row r="916" spans="1:18" x14ac:dyDescent="0.15">
      <c r="C916" t="s">
        <v>17</v>
      </c>
      <c r="D916">
        <v>16.666666666666998</v>
      </c>
      <c r="E916">
        <v>1000</v>
      </c>
      <c r="F916" t="s">
        <v>18</v>
      </c>
      <c r="G916">
        <v>0</v>
      </c>
      <c r="H916">
        <v>0</v>
      </c>
      <c r="I916" t="s">
        <v>488</v>
      </c>
      <c r="J916" t="s">
        <v>1234</v>
      </c>
      <c r="K916" t="s">
        <v>1235</v>
      </c>
      <c r="M916" t="s">
        <v>487</v>
      </c>
      <c r="N916">
        <v>0</v>
      </c>
      <c r="O916" t="s">
        <v>1241</v>
      </c>
      <c r="P916">
        <v>53.85</v>
      </c>
      <c r="Q916">
        <v>897.50000000001785</v>
      </c>
      <c r="R916" s="6"/>
    </row>
    <row r="917" spans="1:18" x14ac:dyDescent="0.15">
      <c r="C917" t="s">
        <v>19</v>
      </c>
      <c r="D917">
        <v>5</v>
      </c>
      <c r="E917">
        <v>1</v>
      </c>
      <c r="F917" t="s">
        <v>18</v>
      </c>
      <c r="G917">
        <v>0</v>
      </c>
      <c r="H917">
        <v>0</v>
      </c>
      <c r="I917" t="s">
        <v>488</v>
      </c>
      <c r="J917" t="s">
        <v>1236</v>
      </c>
      <c r="K917" t="s">
        <v>1235</v>
      </c>
      <c r="M917" t="s">
        <v>487</v>
      </c>
      <c r="N917">
        <v>0</v>
      </c>
      <c r="O917" t="s">
        <v>1241</v>
      </c>
      <c r="P917">
        <v>34.65</v>
      </c>
      <c r="Q917">
        <v>173.25</v>
      </c>
      <c r="R917" s="6"/>
    </row>
    <row r="918" spans="1:18" x14ac:dyDescent="0.15">
      <c r="A918" t="s">
        <v>270</v>
      </c>
      <c r="B918" t="s">
        <v>479</v>
      </c>
      <c r="P918">
        <v>1.3259003332035171</v>
      </c>
      <c r="R918" s="6"/>
    </row>
    <row r="919" spans="1:18" x14ac:dyDescent="0.15">
      <c r="C919" t="s">
        <v>271</v>
      </c>
      <c r="D919">
        <v>1</v>
      </c>
      <c r="E919">
        <v>1</v>
      </c>
      <c r="F919" t="s">
        <v>9</v>
      </c>
      <c r="G919">
        <v>0</v>
      </c>
      <c r="H919">
        <v>0</v>
      </c>
      <c r="I919" t="s">
        <v>488</v>
      </c>
      <c r="J919" t="s">
        <v>1234</v>
      </c>
      <c r="K919" t="s">
        <v>1235</v>
      </c>
      <c r="M919" t="s">
        <v>487</v>
      </c>
      <c r="N919">
        <v>0</v>
      </c>
      <c r="O919" t="s">
        <v>1241</v>
      </c>
      <c r="P919">
        <v>1.3259003332035171</v>
      </c>
      <c r="Q919">
        <v>1.3259003332035171</v>
      </c>
      <c r="R919" s="6"/>
    </row>
    <row r="920" spans="1:18" x14ac:dyDescent="0.15">
      <c r="A920" t="s">
        <v>272</v>
      </c>
      <c r="B920" t="s">
        <v>479</v>
      </c>
      <c r="P920">
        <v>2.6518006664070342</v>
      </c>
      <c r="R920" s="6"/>
    </row>
    <row r="921" spans="1:18" x14ac:dyDescent="0.15">
      <c r="C921" t="s">
        <v>271</v>
      </c>
      <c r="D921">
        <v>2</v>
      </c>
      <c r="E921">
        <v>1</v>
      </c>
      <c r="F921" t="s">
        <v>9</v>
      </c>
      <c r="G921">
        <v>0</v>
      </c>
      <c r="H921">
        <v>0</v>
      </c>
      <c r="I921" t="s">
        <v>488</v>
      </c>
      <c r="J921" t="s">
        <v>1234</v>
      </c>
      <c r="K921" t="s">
        <v>1235</v>
      </c>
      <c r="M921" t="s">
        <v>487</v>
      </c>
      <c r="N921">
        <v>0</v>
      </c>
      <c r="O921" t="s">
        <v>1241</v>
      </c>
      <c r="P921">
        <v>1.3259003332035171</v>
      </c>
      <c r="Q921">
        <v>2.6518006664070342</v>
      </c>
      <c r="R921" s="6"/>
    </row>
    <row r="922" spans="1:18" x14ac:dyDescent="0.15">
      <c r="A922" t="s">
        <v>273</v>
      </c>
      <c r="B922" t="s">
        <v>479</v>
      </c>
      <c r="P922">
        <v>0.66295016660175854</v>
      </c>
      <c r="R922" s="6"/>
    </row>
    <row r="923" spans="1:18" x14ac:dyDescent="0.15">
      <c r="C923" t="s">
        <v>271</v>
      </c>
      <c r="D923">
        <v>500</v>
      </c>
      <c r="E923">
        <v>1000</v>
      </c>
      <c r="F923" t="s">
        <v>9</v>
      </c>
      <c r="G923">
        <v>0</v>
      </c>
      <c r="H923">
        <v>0</v>
      </c>
      <c r="I923" t="s">
        <v>488</v>
      </c>
      <c r="J923" t="s">
        <v>1234</v>
      </c>
      <c r="K923" t="s">
        <v>1235</v>
      </c>
      <c r="M923" t="s">
        <v>487</v>
      </c>
      <c r="N923">
        <v>0</v>
      </c>
      <c r="O923" t="s">
        <v>1241</v>
      </c>
      <c r="P923">
        <v>1.3259003332035171</v>
      </c>
      <c r="Q923">
        <v>662.9501666017585</v>
      </c>
      <c r="R923" s="6"/>
    </row>
    <row r="924" spans="1:18" x14ac:dyDescent="0.15">
      <c r="A924" t="s">
        <v>271</v>
      </c>
      <c r="B924" t="s">
        <v>9</v>
      </c>
      <c r="P924">
        <v>1.3259003332035171</v>
      </c>
      <c r="R924" s="6"/>
    </row>
    <row r="925" spans="1:18" x14ac:dyDescent="0.15">
      <c r="C925" t="s">
        <v>22</v>
      </c>
      <c r="D925">
        <v>44</v>
      </c>
      <c r="E925">
        <v>1</v>
      </c>
      <c r="F925" t="s">
        <v>9</v>
      </c>
      <c r="G925">
        <v>3</v>
      </c>
      <c r="H925">
        <v>0</v>
      </c>
      <c r="I925" t="s">
        <v>488</v>
      </c>
      <c r="J925" t="s">
        <v>1234</v>
      </c>
      <c r="K925" t="s">
        <v>1235</v>
      </c>
      <c r="M925" t="s">
        <v>487</v>
      </c>
      <c r="N925">
        <v>0</v>
      </c>
      <c r="O925" t="s">
        <v>1241</v>
      </c>
      <c r="P925">
        <v>0</v>
      </c>
      <c r="Q925">
        <v>0</v>
      </c>
      <c r="R925" s="9" t="s">
        <v>1246</v>
      </c>
    </row>
    <row r="926" spans="1:18" x14ac:dyDescent="0.15">
      <c r="C926" t="s">
        <v>12</v>
      </c>
      <c r="D926">
        <v>12.312814070351999</v>
      </c>
      <c r="E926">
        <v>1</v>
      </c>
      <c r="F926" t="s">
        <v>13</v>
      </c>
      <c r="G926">
        <v>3</v>
      </c>
      <c r="H926">
        <v>0</v>
      </c>
      <c r="I926" t="s">
        <v>488</v>
      </c>
      <c r="J926" t="s">
        <v>1234</v>
      </c>
      <c r="K926" t="s">
        <v>1235</v>
      </c>
      <c r="M926" t="s">
        <v>487</v>
      </c>
      <c r="N926">
        <v>0</v>
      </c>
      <c r="O926" t="s">
        <v>1241</v>
      </c>
      <c r="P926">
        <v>1.03E-2</v>
      </c>
      <c r="Q926">
        <v>130.62664447236438</v>
      </c>
      <c r="R926" s="6"/>
    </row>
    <row r="927" spans="1:18" x14ac:dyDescent="0.15">
      <c r="C927" t="s">
        <v>14</v>
      </c>
      <c r="D927">
        <v>13.680904522613</v>
      </c>
      <c r="E927">
        <v>1</v>
      </c>
      <c r="F927" t="s">
        <v>13</v>
      </c>
      <c r="G927">
        <v>3</v>
      </c>
      <c r="H927">
        <v>0</v>
      </c>
      <c r="I927" t="s">
        <v>488</v>
      </c>
      <c r="J927" t="s">
        <v>1234</v>
      </c>
      <c r="K927" t="s">
        <v>1235</v>
      </c>
      <c r="M927" t="s">
        <v>487</v>
      </c>
      <c r="N927">
        <v>0</v>
      </c>
      <c r="O927" t="s">
        <v>1241</v>
      </c>
      <c r="P927">
        <v>5.4900000000000001E-3</v>
      </c>
      <c r="Q927">
        <v>77.361410804019741</v>
      </c>
      <c r="R927" s="6"/>
    </row>
    <row r="928" spans="1:18" x14ac:dyDescent="0.15">
      <c r="C928" t="s">
        <v>15</v>
      </c>
      <c r="D928">
        <v>0.27361809045199997</v>
      </c>
      <c r="E928">
        <v>1</v>
      </c>
      <c r="F928" t="s">
        <v>13</v>
      </c>
      <c r="G928">
        <v>3</v>
      </c>
      <c r="H928">
        <v>0</v>
      </c>
      <c r="I928" t="s">
        <v>488</v>
      </c>
      <c r="J928" t="s">
        <v>1234</v>
      </c>
      <c r="K928" t="s">
        <v>1235</v>
      </c>
      <c r="M928" t="s">
        <v>487</v>
      </c>
      <c r="N928">
        <v>0</v>
      </c>
      <c r="O928" t="s">
        <v>1241</v>
      </c>
      <c r="P928">
        <v>7.9819999999999988E-2</v>
      </c>
      <c r="Q928">
        <v>22.495401859274995</v>
      </c>
      <c r="R928" s="6"/>
    </row>
    <row r="929" spans="1:18" x14ac:dyDescent="0.15">
      <c r="C929" t="s">
        <v>23</v>
      </c>
      <c r="D929">
        <v>0.68404522613100005</v>
      </c>
      <c r="E929">
        <v>1</v>
      </c>
      <c r="F929" t="s">
        <v>13</v>
      </c>
      <c r="G929">
        <v>3</v>
      </c>
      <c r="H929">
        <v>0</v>
      </c>
      <c r="I929" t="s">
        <v>488</v>
      </c>
      <c r="J929" t="s">
        <v>1234</v>
      </c>
      <c r="K929" t="s">
        <v>1235</v>
      </c>
      <c r="M929" t="s">
        <v>487</v>
      </c>
      <c r="N929">
        <v>0</v>
      </c>
      <c r="O929" t="s">
        <v>1241</v>
      </c>
      <c r="P929">
        <v>2.3609999999999999E-2</v>
      </c>
      <c r="Q929">
        <v>16.634817022621498</v>
      </c>
      <c r="R929" s="6"/>
    </row>
    <row r="930" spans="1:18" x14ac:dyDescent="0.15">
      <c r="C930" t="s">
        <v>24</v>
      </c>
      <c r="D930">
        <v>0.27361809045199997</v>
      </c>
      <c r="E930">
        <v>1</v>
      </c>
      <c r="F930" t="s">
        <v>13</v>
      </c>
      <c r="G930">
        <v>3</v>
      </c>
      <c r="H930">
        <v>0</v>
      </c>
      <c r="I930" t="s">
        <v>488</v>
      </c>
      <c r="J930" t="s">
        <v>1234</v>
      </c>
      <c r="K930" t="s">
        <v>1235</v>
      </c>
      <c r="M930" t="s">
        <v>487</v>
      </c>
      <c r="N930">
        <v>0</v>
      </c>
      <c r="O930" t="s">
        <v>1241</v>
      </c>
      <c r="P930">
        <v>2.8500000000000001E-2</v>
      </c>
      <c r="Q930">
        <v>8.0320590452184604</v>
      </c>
      <c r="R930" s="6"/>
    </row>
    <row r="931" spans="1:18" x14ac:dyDescent="0.15">
      <c r="C931" t="s">
        <v>17</v>
      </c>
      <c r="D931">
        <v>16.666666666666998</v>
      </c>
      <c r="E931">
        <v>1000</v>
      </c>
      <c r="F931" t="s">
        <v>18</v>
      </c>
      <c r="G931">
        <v>0</v>
      </c>
      <c r="H931">
        <v>0</v>
      </c>
      <c r="I931" t="s">
        <v>488</v>
      </c>
      <c r="J931" t="s">
        <v>1234</v>
      </c>
      <c r="K931" t="s">
        <v>1235</v>
      </c>
      <c r="M931" t="s">
        <v>487</v>
      </c>
      <c r="N931">
        <v>0</v>
      </c>
      <c r="O931" t="s">
        <v>1241</v>
      </c>
      <c r="P931">
        <v>53.85</v>
      </c>
      <c r="Q931">
        <v>897.50000000001785</v>
      </c>
      <c r="R931" s="6"/>
    </row>
    <row r="932" spans="1:18" x14ac:dyDescent="0.15">
      <c r="C932" t="s">
        <v>19</v>
      </c>
      <c r="D932">
        <v>5</v>
      </c>
      <c r="E932">
        <v>1</v>
      </c>
      <c r="F932" t="s">
        <v>18</v>
      </c>
      <c r="G932">
        <v>0</v>
      </c>
      <c r="H932">
        <v>0</v>
      </c>
      <c r="I932" t="s">
        <v>488</v>
      </c>
      <c r="J932" t="s">
        <v>1236</v>
      </c>
      <c r="K932" t="s">
        <v>1235</v>
      </c>
      <c r="M932" t="s">
        <v>487</v>
      </c>
      <c r="N932">
        <v>0</v>
      </c>
      <c r="O932" t="s">
        <v>1241</v>
      </c>
      <c r="P932">
        <v>34.65</v>
      </c>
      <c r="Q932">
        <v>173.25</v>
      </c>
      <c r="R932" s="6"/>
    </row>
    <row r="933" spans="1:18" x14ac:dyDescent="0.15">
      <c r="A933" t="s">
        <v>274</v>
      </c>
      <c r="B933" t="s">
        <v>479</v>
      </c>
      <c r="P933">
        <v>0.367569032785935</v>
      </c>
      <c r="R933" s="6"/>
    </row>
    <row r="934" spans="1:18" x14ac:dyDescent="0.15">
      <c r="C934" t="s">
        <v>275</v>
      </c>
      <c r="D934">
        <v>1</v>
      </c>
      <c r="E934">
        <v>1</v>
      </c>
      <c r="F934" t="s">
        <v>9</v>
      </c>
      <c r="G934">
        <v>0</v>
      </c>
      <c r="H934">
        <v>0</v>
      </c>
      <c r="I934" t="s">
        <v>488</v>
      </c>
      <c r="J934" t="s">
        <v>1234</v>
      </c>
      <c r="K934" t="s">
        <v>1235</v>
      </c>
      <c r="M934" t="s">
        <v>487</v>
      </c>
      <c r="N934">
        <v>0</v>
      </c>
      <c r="O934" t="s">
        <v>1241</v>
      </c>
      <c r="P934">
        <v>0.367569032785935</v>
      </c>
      <c r="Q934">
        <v>0.367569032785935</v>
      </c>
      <c r="R934" s="6"/>
    </row>
    <row r="935" spans="1:18" x14ac:dyDescent="0.15">
      <c r="A935" t="s">
        <v>276</v>
      </c>
      <c r="B935" t="s">
        <v>479</v>
      </c>
      <c r="P935">
        <v>91.892258196483752</v>
      </c>
      <c r="R935" s="6"/>
    </row>
    <row r="936" spans="1:18" x14ac:dyDescent="0.15">
      <c r="C936" t="s">
        <v>275</v>
      </c>
      <c r="D936">
        <v>250</v>
      </c>
      <c r="E936">
        <v>1</v>
      </c>
      <c r="F936" t="s">
        <v>9</v>
      </c>
      <c r="G936">
        <v>0</v>
      </c>
      <c r="H936">
        <v>0</v>
      </c>
      <c r="I936" t="s">
        <v>488</v>
      </c>
      <c r="J936" t="s">
        <v>1234</v>
      </c>
      <c r="K936" t="s">
        <v>1235</v>
      </c>
      <c r="M936" t="s">
        <v>487</v>
      </c>
      <c r="N936">
        <v>0</v>
      </c>
      <c r="O936" t="s">
        <v>1241</v>
      </c>
      <c r="P936">
        <v>0.367569032785935</v>
      </c>
      <c r="Q936">
        <v>91.892258196483752</v>
      </c>
      <c r="R936" s="6"/>
    </row>
    <row r="937" spans="1:18" x14ac:dyDescent="0.15">
      <c r="A937" t="s">
        <v>275</v>
      </c>
      <c r="B937" t="s">
        <v>9</v>
      </c>
      <c r="P937">
        <v>0.367569032785935</v>
      </c>
      <c r="R937" s="6"/>
    </row>
    <row r="938" spans="1:18" x14ac:dyDescent="0.15">
      <c r="C938" t="s">
        <v>28</v>
      </c>
      <c r="D938">
        <v>2</v>
      </c>
      <c r="E938">
        <v>1</v>
      </c>
      <c r="F938" t="s">
        <v>9</v>
      </c>
      <c r="G938">
        <v>3</v>
      </c>
      <c r="H938">
        <v>0</v>
      </c>
      <c r="I938" t="s">
        <v>488</v>
      </c>
      <c r="J938" t="s">
        <v>1234</v>
      </c>
      <c r="K938" t="s">
        <v>1235</v>
      </c>
      <c r="M938" t="s">
        <v>487</v>
      </c>
      <c r="N938">
        <v>0</v>
      </c>
      <c r="O938" t="s">
        <v>1241</v>
      </c>
      <c r="P938">
        <v>1.8814270000000001E-2</v>
      </c>
      <c r="Q938">
        <v>38.757396200000002</v>
      </c>
      <c r="R938" s="6"/>
    </row>
    <row r="939" spans="1:18" x14ac:dyDescent="0.15">
      <c r="C939" t="s">
        <v>12</v>
      </c>
      <c r="D939">
        <v>23.483668341708999</v>
      </c>
      <c r="E939">
        <v>1000</v>
      </c>
      <c r="F939" t="s">
        <v>13</v>
      </c>
      <c r="G939">
        <v>3</v>
      </c>
      <c r="H939">
        <v>0</v>
      </c>
      <c r="I939" t="s">
        <v>488</v>
      </c>
      <c r="J939" t="s">
        <v>1234</v>
      </c>
      <c r="K939" t="s">
        <v>1235</v>
      </c>
      <c r="M939" t="s">
        <v>487</v>
      </c>
      <c r="N939">
        <v>0</v>
      </c>
      <c r="O939" t="s">
        <v>1241</v>
      </c>
      <c r="P939">
        <v>1.03E-2</v>
      </c>
      <c r="Q939">
        <v>0.24913823743719077</v>
      </c>
      <c r="R939" s="6"/>
    </row>
    <row r="940" spans="1:18" x14ac:dyDescent="0.15">
      <c r="C940" t="s">
        <v>14</v>
      </c>
      <c r="D940">
        <v>26.092964824121001</v>
      </c>
      <c r="E940">
        <v>1000</v>
      </c>
      <c r="F940" t="s">
        <v>13</v>
      </c>
      <c r="G940">
        <v>3</v>
      </c>
      <c r="H940">
        <v>0</v>
      </c>
      <c r="I940" t="s">
        <v>488</v>
      </c>
      <c r="J940" t="s">
        <v>1234</v>
      </c>
      <c r="K940" t="s">
        <v>1235</v>
      </c>
      <c r="M940" t="s">
        <v>487</v>
      </c>
      <c r="N940">
        <v>0</v>
      </c>
      <c r="O940" t="s">
        <v>1241</v>
      </c>
      <c r="P940">
        <v>5.4900000000000001E-3</v>
      </c>
      <c r="Q940">
        <v>0.14754788819095704</v>
      </c>
      <c r="R940" s="6"/>
    </row>
    <row r="941" spans="1:18" x14ac:dyDescent="0.15">
      <c r="C941" t="s">
        <v>15</v>
      </c>
      <c r="D941">
        <v>0.52185929648200002</v>
      </c>
      <c r="E941">
        <v>1000</v>
      </c>
      <c r="F941" t="s">
        <v>13</v>
      </c>
      <c r="G941">
        <v>3</v>
      </c>
      <c r="H941">
        <v>0</v>
      </c>
      <c r="I941" t="s">
        <v>488</v>
      </c>
      <c r="J941" t="s">
        <v>1234</v>
      </c>
      <c r="K941" t="s">
        <v>1235</v>
      </c>
      <c r="M941" t="s">
        <v>487</v>
      </c>
      <c r="N941">
        <v>0</v>
      </c>
      <c r="O941" t="s">
        <v>1241</v>
      </c>
      <c r="P941">
        <v>7.9819999999999988E-2</v>
      </c>
      <c r="Q941">
        <v>4.2904453316549032E-2</v>
      </c>
      <c r="R941" s="6"/>
    </row>
    <row r="942" spans="1:18" x14ac:dyDescent="0.15">
      <c r="C942" t="s">
        <v>23</v>
      </c>
      <c r="D942">
        <v>1.3046482412059999</v>
      </c>
      <c r="E942">
        <v>1000</v>
      </c>
      <c r="F942" t="s">
        <v>13</v>
      </c>
      <c r="G942">
        <v>3</v>
      </c>
      <c r="H942">
        <v>0</v>
      </c>
      <c r="I942" t="s">
        <v>488</v>
      </c>
      <c r="J942" t="s">
        <v>1234</v>
      </c>
      <c r="K942" t="s">
        <v>1235</v>
      </c>
      <c r="M942" t="s">
        <v>487</v>
      </c>
      <c r="N942">
        <v>0</v>
      </c>
      <c r="O942" t="s">
        <v>1241</v>
      </c>
      <c r="P942">
        <v>2.3609999999999999E-2</v>
      </c>
      <c r="Q942">
        <v>3.1726827324119862E-2</v>
      </c>
      <c r="R942" s="6"/>
    </row>
    <row r="943" spans="1:18" x14ac:dyDescent="0.15">
      <c r="C943" t="s">
        <v>24</v>
      </c>
      <c r="D943">
        <v>0.52185929648200002</v>
      </c>
      <c r="E943">
        <v>1000</v>
      </c>
      <c r="F943" t="s">
        <v>13</v>
      </c>
      <c r="G943">
        <v>3</v>
      </c>
      <c r="H943">
        <v>0</v>
      </c>
      <c r="I943" t="s">
        <v>488</v>
      </c>
      <c r="J943" t="s">
        <v>1234</v>
      </c>
      <c r="K943" t="s">
        <v>1235</v>
      </c>
      <c r="M943" t="s">
        <v>487</v>
      </c>
      <c r="N943">
        <v>0</v>
      </c>
      <c r="O943" t="s">
        <v>1241</v>
      </c>
      <c r="P943">
        <v>2.8500000000000001E-2</v>
      </c>
      <c r="Q943">
        <v>1.5319179648229111E-2</v>
      </c>
      <c r="R943" s="6"/>
    </row>
    <row r="944" spans="1:18" x14ac:dyDescent="0.15">
      <c r="C944" t="s">
        <v>17</v>
      </c>
      <c r="D944">
        <v>4.166666666667</v>
      </c>
      <c r="E944">
        <v>1000</v>
      </c>
      <c r="F944" t="s">
        <v>18</v>
      </c>
      <c r="G944">
        <v>0</v>
      </c>
      <c r="H944">
        <v>0</v>
      </c>
      <c r="I944" t="s">
        <v>488</v>
      </c>
      <c r="J944" t="s">
        <v>1234</v>
      </c>
      <c r="K944" t="s">
        <v>1235</v>
      </c>
      <c r="M944" t="s">
        <v>487</v>
      </c>
      <c r="N944">
        <v>0</v>
      </c>
      <c r="O944" t="s">
        <v>1241</v>
      </c>
      <c r="P944">
        <v>53.85</v>
      </c>
      <c r="Q944">
        <v>224.37500000001796</v>
      </c>
      <c r="R944" s="6"/>
    </row>
    <row r="945" spans="1:18" x14ac:dyDescent="0.15">
      <c r="C945" t="s">
        <v>19</v>
      </c>
      <c r="D945">
        <v>3</v>
      </c>
      <c r="E945">
        <v>1</v>
      </c>
      <c r="F945" t="s">
        <v>18</v>
      </c>
      <c r="G945">
        <v>0</v>
      </c>
      <c r="H945">
        <v>0</v>
      </c>
      <c r="I945" t="s">
        <v>488</v>
      </c>
      <c r="J945" t="s">
        <v>1236</v>
      </c>
      <c r="K945" t="s">
        <v>1235</v>
      </c>
      <c r="M945" t="s">
        <v>487</v>
      </c>
      <c r="N945">
        <v>0</v>
      </c>
      <c r="O945" t="s">
        <v>1241</v>
      </c>
      <c r="P945">
        <v>34.65</v>
      </c>
      <c r="Q945">
        <v>103.94999999999999</v>
      </c>
      <c r="R945" s="6"/>
    </row>
    <row r="946" spans="1:18" x14ac:dyDescent="0.15">
      <c r="A946" t="s">
        <v>277</v>
      </c>
      <c r="B946" t="s">
        <v>479</v>
      </c>
      <c r="P946">
        <v>0.33873332326258082</v>
      </c>
      <c r="R946" s="6"/>
    </row>
    <row r="947" spans="1:18" x14ac:dyDescent="0.15">
      <c r="C947" t="s">
        <v>278</v>
      </c>
      <c r="D947">
        <v>1</v>
      </c>
      <c r="E947">
        <v>1</v>
      </c>
      <c r="F947" t="s">
        <v>9</v>
      </c>
      <c r="G947">
        <v>0</v>
      </c>
      <c r="H947">
        <v>0</v>
      </c>
      <c r="I947" t="s">
        <v>488</v>
      </c>
      <c r="J947" t="s">
        <v>1234</v>
      </c>
      <c r="K947" t="s">
        <v>1235</v>
      </c>
      <c r="M947" t="s">
        <v>487</v>
      </c>
      <c r="N947">
        <v>0</v>
      </c>
      <c r="O947" t="s">
        <v>1241</v>
      </c>
      <c r="P947">
        <v>0.33873332326258082</v>
      </c>
      <c r="Q947">
        <v>0.33873332326258082</v>
      </c>
      <c r="R947" s="6"/>
    </row>
    <row r="948" spans="1:18" x14ac:dyDescent="0.15">
      <c r="A948" t="s">
        <v>279</v>
      </c>
      <c r="B948" t="s">
        <v>479</v>
      </c>
      <c r="P948">
        <v>84.683330815645206</v>
      </c>
      <c r="R948" s="6"/>
    </row>
    <row r="949" spans="1:18" x14ac:dyDescent="0.15">
      <c r="C949" t="s">
        <v>278</v>
      </c>
      <c r="D949">
        <v>250</v>
      </c>
      <c r="E949">
        <v>1</v>
      </c>
      <c r="F949" t="s">
        <v>9</v>
      </c>
      <c r="G949">
        <v>0</v>
      </c>
      <c r="H949">
        <v>0</v>
      </c>
      <c r="I949" t="s">
        <v>488</v>
      </c>
      <c r="J949" t="s">
        <v>1234</v>
      </c>
      <c r="K949" t="s">
        <v>1235</v>
      </c>
      <c r="M949" t="s">
        <v>487</v>
      </c>
      <c r="N949">
        <v>0</v>
      </c>
      <c r="O949" t="s">
        <v>1241</v>
      </c>
      <c r="P949">
        <v>0.33873332326258082</v>
      </c>
      <c r="Q949">
        <v>84.683330815645206</v>
      </c>
      <c r="R949" s="6"/>
    </row>
    <row r="950" spans="1:18" x14ac:dyDescent="0.15">
      <c r="A950" t="s">
        <v>278</v>
      </c>
      <c r="B950" t="s">
        <v>9</v>
      </c>
      <c r="P950">
        <v>0.33873332326258082</v>
      </c>
      <c r="R950" s="6"/>
    </row>
    <row r="951" spans="1:18" x14ac:dyDescent="0.15">
      <c r="C951" t="s">
        <v>34</v>
      </c>
      <c r="D951">
        <v>1</v>
      </c>
      <c r="E951">
        <v>1</v>
      </c>
      <c r="F951" t="s">
        <v>9</v>
      </c>
      <c r="G951">
        <v>3</v>
      </c>
      <c r="H951">
        <v>0</v>
      </c>
      <c r="I951" t="s">
        <v>488</v>
      </c>
      <c r="J951" t="s">
        <v>1234</v>
      </c>
      <c r="K951" t="s">
        <v>1235</v>
      </c>
      <c r="M951" t="s">
        <v>487</v>
      </c>
      <c r="N951">
        <v>0</v>
      </c>
      <c r="O951" t="s">
        <v>1241</v>
      </c>
      <c r="P951">
        <v>9.4000000000000004E-3</v>
      </c>
      <c r="Q951">
        <v>9.6820000000000004</v>
      </c>
      <c r="R951" s="6"/>
    </row>
    <row r="952" spans="1:18" x14ac:dyDescent="0.15">
      <c r="C952" t="s">
        <v>12</v>
      </c>
      <c r="D952">
        <v>35.050251256281001</v>
      </c>
      <c r="E952">
        <v>1000</v>
      </c>
      <c r="F952" t="s">
        <v>13</v>
      </c>
      <c r="G952">
        <v>3</v>
      </c>
      <c r="H952">
        <v>0</v>
      </c>
      <c r="I952" t="s">
        <v>488</v>
      </c>
      <c r="J952" t="s">
        <v>1234</v>
      </c>
      <c r="K952" t="s">
        <v>1235</v>
      </c>
      <c r="M952" t="s">
        <v>487</v>
      </c>
      <c r="N952">
        <v>0</v>
      </c>
      <c r="O952" t="s">
        <v>1241</v>
      </c>
      <c r="P952">
        <v>1.03E-2</v>
      </c>
      <c r="Q952">
        <v>0.37184811557788516</v>
      </c>
      <c r="R952" s="6"/>
    </row>
    <row r="953" spans="1:18" x14ac:dyDescent="0.15">
      <c r="C953" t="s">
        <v>14</v>
      </c>
      <c r="D953">
        <v>38.944723618091004</v>
      </c>
      <c r="E953">
        <v>1000</v>
      </c>
      <c r="F953" t="s">
        <v>13</v>
      </c>
      <c r="G953">
        <v>3</v>
      </c>
      <c r="H953">
        <v>0</v>
      </c>
      <c r="I953" t="s">
        <v>488</v>
      </c>
      <c r="J953" t="s">
        <v>1234</v>
      </c>
      <c r="K953" t="s">
        <v>1235</v>
      </c>
      <c r="M953" t="s">
        <v>487</v>
      </c>
      <c r="N953">
        <v>0</v>
      </c>
      <c r="O953" t="s">
        <v>1241</v>
      </c>
      <c r="P953">
        <v>5.4900000000000001E-3</v>
      </c>
      <c r="Q953">
        <v>0.22022072864321918</v>
      </c>
      <c r="R953" s="6"/>
    </row>
    <row r="954" spans="1:18" x14ac:dyDescent="0.15">
      <c r="C954" t="s">
        <v>15</v>
      </c>
      <c r="D954">
        <v>0.77889447236200005</v>
      </c>
      <c r="E954">
        <v>1000</v>
      </c>
      <c r="F954" t="s">
        <v>13</v>
      </c>
      <c r="G954">
        <v>3</v>
      </c>
      <c r="H954">
        <v>0</v>
      </c>
      <c r="I954" t="s">
        <v>488</v>
      </c>
      <c r="J954" t="s">
        <v>1234</v>
      </c>
      <c r="K954" t="s">
        <v>1235</v>
      </c>
      <c r="M954" t="s">
        <v>487</v>
      </c>
      <c r="N954">
        <v>0</v>
      </c>
      <c r="O954" t="s">
        <v>1241</v>
      </c>
      <c r="P954">
        <v>7.9819999999999988E-2</v>
      </c>
      <c r="Q954">
        <v>6.4036497487452881E-2</v>
      </c>
      <c r="R954" s="6"/>
    </row>
    <row r="955" spans="1:18" x14ac:dyDescent="0.15">
      <c r="C955" t="s">
        <v>23</v>
      </c>
      <c r="D955">
        <v>1.9472361809050001</v>
      </c>
      <c r="E955">
        <v>1000</v>
      </c>
      <c r="F955" t="s">
        <v>13</v>
      </c>
      <c r="G955">
        <v>3</v>
      </c>
      <c r="H955">
        <v>0</v>
      </c>
      <c r="I955" t="s">
        <v>488</v>
      </c>
      <c r="J955" t="s">
        <v>1234</v>
      </c>
      <c r="K955" t="s">
        <v>1235</v>
      </c>
      <c r="M955" t="s">
        <v>487</v>
      </c>
      <c r="N955">
        <v>0</v>
      </c>
      <c r="O955" t="s">
        <v>1241</v>
      </c>
      <c r="P955">
        <v>2.3609999999999999E-2</v>
      </c>
      <c r="Q955">
        <v>4.7353473618102063E-2</v>
      </c>
      <c r="R955" s="6"/>
    </row>
    <row r="956" spans="1:18" x14ac:dyDescent="0.15">
      <c r="C956" t="s">
        <v>24</v>
      </c>
      <c r="D956">
        <v>0.77889447236200005</v>
      </c>
      <c r="E956">
        <v>1000</v>
      </c>
      <c r="F956" t="s">
        <v>13</v>
      </c>
      <c r="G956">
        <v>3</v>
      </c>
      <c r="H956">
        <v>0</v>
      </c>
      <c r="I956" t="s">
        <v>488</v>
      </c>
      <c r="J956" t="s">
        <v>1234</v>
      </c>
      <c r="K956" t="s">
        <v>1235</v>
      </c>
      <c r="M956" t="s">
        <v>487</v>
      </c>
      <c r="N956">
        <v>0</v>
      </c>
      <c r="O956" t="s">
        <v>1241</v>
      </c>
      <c r="P956">
        <v>2.8500000000000001E-2</v>
      </c>
      <c r="Q956">
        <v>2.2864447236186514E-2</v>
      </c>
      <c r="R956" s="6"/>
    </row>
    <row r="957" spans="1:18" x14ac:dyDescent="0.15">
      <c r="C957" t="s">
        <v>17</v>
      </c>
      <c r="D957">
        <v>4.166666666667</v>
      </c>
      <c r="E957">
        <v>1000</v>
      </c>
      <c r="F957" t="s">
        <v>18</v>
      </c>
      <c r="G957">
        <v>0</v>
      </c>
      <c r="H957">
        <v>0</v>
      </c>
      <c r="I957" t="s">
        <v>488</v>
      </c>
      <c r="J957" t="s">
        <v>1234</v>
      </c>
      <c r="K957" t="s">
        <v>1235</v>
      </c>
      <c r="M957" t="s">
        <v>487</v>
      </c>
      <c r="N957">
        <v>0</v>
      </c>
      <c r="O957" t="s">
        <v>1241</v>
      </c>
      <c r="P957">
        <v>53.85</v>
      </c>
      <c r="Q957">
        <v>224.37500000001796</v>
      </c>
      <c r="R957" s="6"/>
    </row>
    <row r="958" spans="1:18" x14ac:dyDescent="0.15">
      <c r="C958" t="s">
        <v>19</v>
      </c>
      <c r="D958">
        <v>3</v>
      </c>
      <c r="E958">
        <v>1</v>
      </c>
      <c r="F958" t="s">
        <v>18</v>
      </c>
      <c r="G958">
        <v>0</v>
      </c>
      <c r="H958">
        <v>0</v>
      </c>
      <c r="I958" t="s">
        <v>488</v>
      </c>
      <c r="J958" t="s">
        <v>1236</v>
      </c>
      <c r="K958" t="s">
        <v>1235</v>
      </c>
      <c r="M958" t="s">
        <v>487</v>
      </c>
      <c r="N958">
        <v>0</v>
      </c>
      <c r="O958" t="s">
        <v>1241</v>
      </c>
      <c r="P958">
        <v>34.65</v>
      </c>
      <c r="Q958">
        <v>103.94999999999999</v>
      </c>
      <c r="R958" s="6"/>
    </row>
    <row r="959" spans="1:18" x14ac:dyDescent="0.15">
      <c r="A959" t="s">
        <v>280</v>
      </c>
      <c r="B959" t="s">
        <v>479</v>
      </c>
      <c r="P959">
        <v>0.35839287416736593</v>
      </c>
      <c r="R959" s="6"/>
    </row>
    <row r="960" spans="1:18" x14ac:dyDescent="0.15">
      <c r="C960" t="s">
        <v>281</v>
      </c>
      <c r="D960">
        <v>1</v>
      </c>
      <c r="E960">
        <v>1</v>
      </c>
      <c r="F960" t="s">
        <v>9</v>
      </c>
      <c r="G960">
        <v>0</v>
      </c>
      <c r="H960">
        <v>0</v>
      </c>
      <c r="I960" t="s">
        <v>488</v>
      </c>
      <c r="J960" t="s">
        <v>1234</v>
      </c>
      <c r="K960" t="s">
        <v>1235</v>
      </c>
      <c r="M960" t="s">
        <v>487</v>
      </c>
      <c r="N960">
        <v>0</v>
      </c>
      <c r="O960" t="s">
        <v>1241</v>
      </c>
      <c r="P960">
        <v>0.35839287416736593</v>
      </c>
      <c r="Q960">
        <v>0.35839287416736593</v>
      </c>
      <c r="R960" s="6"/>
    </row>
    <row r="961" spans="1:18" x14ac:dyDescent="0.15">
      <c r="A961" t="s">
        <v>282</v>
      </c>
      <c r="B961" t="s">
        <v>479</v>
      </c>
      <c r="P961">
        <v>0.17919643708368296</v>
      </c>
      <c r="R961" s="6"/>
    </row>
    <row r="962" spans="1:18" x14ac:dyDescent="0.15">
      <c r="C962" t="s">
        <v>281</v>
      </c>
      <c r="D962">
        <v>500</v>
      </c>
      <c r="E962">
        <v>1000</v>
      </c>
      <c r="F962" t="s">
        <v>9</v>
      </c>
      <c r="G962">
        <v>0</v>
      </c>
      <c r="H962">
        <v>0</v>
      </c>
      <c r="I962" t="s">
        <v>488</v>
      </c>
      <c r="J962" t="s">
        <v>1234</v>
      </c>
      <c r="K962" t="s">
        <v>1235</v>
      </c>
      <c r="M962" t="s">
        <v>487</v>
      </c>
      <c r="N962">
        <v>0</v>
      </c>
      <c r="O962" t="s">
        <v>1241</v>
      </c>
      <c r="P962">
        <v>0.35839287416736593</v>
      </c>
      <c r="Q962">
        <v>179.19643708368295</v>
      </c>
      <c r="R962" s="6"/>
    </row>
    <row r="963" spans="1:18" x14ac:dyDescent="0.15">
      <c r="A963" t="s">
        <v>283</v>
      </c>
      <c r="B963" t="s">
        <v>479</v>
      </c>
      <c r="P963">
        <v>89.598218541841476</v>
      </c>
      <c r="R963" s="6"/>
    </row>
    <row r="964" spans="1:18" x14ac:dyDescent="0.15">
      <c r="C964" t="s">
        <v>281</v>
      </c>
      <c r="D964">
        <v>250</v>
      </c>
      <c r="E964">
        <v>1</v>
      </c>
      <c r="F964" t="s">
        <v>9</v>
      </c>
      <c r="G964">
        <v>0</v>
      </c>
      <c r="H964">
        <v>0</v>
      </c>
      <c r="I964" t="s">
        <v>488</v>
      </c>
      <c r="J964" t="s">
        <v>1234</v>
      </c>
      <c r="K964" t="s">
        <v>1235</v>
      </c>
      <c r="M964" t="s">
        <v>487</v>
      </c>
      <c r="N964">
        <v>0</v>
      </c>
      <c r="O964" t="s">
        <v>1241</v>
      </c>
      <c r="P964">
        <v>0.35839287416736593</v>
      </c>
      <c r="Q964">
        <v>89.598218541841476</v>
      </c>
      <c r="R964" s="6"/>
    </row>
    <row r="965" spans="1:18" x14ac:dyDescent="0.15">
      <c r="A965" t="s">
        <v>281</v>
      </c>
      <c r="B965" t="s">
        <v>9</v>
      </c>
      <c r="P965">
        <v>0.35839287416736593</v>
      </c>
      <c r="R965" s="6"/>
    </row>
    <row r="966" spans="1:18" x14ac:dyDescent="0.15">
      <c r="C966" t="s">
        <v>34</v>
      </c>
      <c r="D966">
        <v>1</v>
      </c>
      <c r="E966">
        <v>1</v>
      </c>
      <c r="F966" t="s">
        <v>9</v>
      </c>
      <c r="G966">
        <v>3</v>
      </c>
      <c r="H966">
        <v>0</v>
      </c>
      <c r="I966" t="s">
        <v>488</v>
      </c>
      <c r="J966" t="s">
        <v>1234</v>
      </c>
      <c r="K966" t="s">
        <v>1235</v>
      </c>
      <c r="M966" t="s">
        <v>487</v>
      </c>
      <c r="N966">
        <v>0</v>
      </c>
      <c r="O966" t="s">
        <v>1241</v>
      </c>
      <c r="P966">
        <v>9.4000000000000004E-3</v>
      </c>
      <c r="Q966">
        <v>9.6820000000000004</v>
      </c>
      <c r="R966" s="6"/>
    </row>
    <row r="967" spans="1:18" x14ac:dyDescent="0.15">
      <c r="C967" t="s">
        <v>28</v>
      </c>
      <c r="D967">
        <v>1</v>
      </c>
      <c r="E967">
        <v>1</v>
      </c>
      <c r="F967" t="s">
        <v>9</v>
      </c>
      <c r="G967">
        <v>3</v>
      </c>
      <c r="H967">
        <v>0</v>
      </c>
      <c r="I967" t="s">
        <v>488</v>
      </c>
      <c r="J967" t="s">
        <v>1234</v>
      </c>
      <c r="K967" t="s">
        <v>1235</v>
      </c>
      <c r="M967" t="s">
        <v>487</v>
      </c>
      <c r="N967">
        <v>0</v>
      </c>
      <c r="O967" t="s">
        <v>1241</v>
      </c>
      <c r="P967">
        <v>1.8814270000000001E-2</v>
      </c>
      <c r="Q967">
        <v>19.378698100000001</v>
      </c>
      <c r="R967" s="6"/>
    </row>
    <row r="968" spans="1:18" x14ac:dyDescent="0.15">
      <c r="C968" t="s">
        <v>12</v>
      </c>
      <c r="D968">
        <v>48.603391959798998</v>
      </c>
      <c r="E968">
        <v>1000</v>
      </c>
      <c r="F968" t="s">
        <v>13</v>
      </c>
      <c r="G968">
        <v>3</v>
      </c>
      <c r="H968">
        <v>0</v>
      </c>
      <c r="I968" t="s">
        <v>488</v>
      </c>
      <c r="J968" t="s">
        <v>1234</v>
      </c>
      <c r="K968" t="s">
        <v>1235</v>
      </c>
      <c r="M968" t="s">
        <v>487</v>
      </c>
      <c r="N968">
        <v>0</v>
      </c>
      <c r="O968" t="s">
        <v>1241</v>
      </c>
      <c r="P968">
        <v>1.03E-2</v>
      </c>
      <c r="Q968">
        <v>0.5156333853015076</v>
      </c>
      <c r="R968" s="6"/>
    </row>
    <row r="969" spans="1:18" x14ac:dyDescent="0.15">
      <c r="C969" t="s">
        <v>14</v>
      </c>
      <c r="D969">
        <v>54.003768844221007</v>
      </c>
      <c r="E969">
        <v>1000</v>
      </c>
      <c r="F969" t="s">
        <v>13</v>
      </c>
      <c r="G969">
        <v>3</v>
      </c>
      <c r="H969">
        <v>0</v>
      </c>
      <c r="I969" t="s">
        <v>488</v>
      </c>
      <c r="J969" t="s">
        <v>1234</v>
      </c>
      <c r="K969" t="s">
        <v>1235</v>
      </c>
      <c r="M969" t="s">
        <v>487</v>
      </c>
      <c r="N969">
        <v>0</v>
      </c>
      <c r="O969" t="s">
        <v>1241</v>
      </c>
      <c r="P969">
        <v>5.4900000000000001E-3</v>
      </c>
      <c r="Q969">
        <v>0.30537511168341652</v>
      </c>
      <c r="R969" s="6"/>
    </row>
    <row r="970" spans="1:18" x14ac:dyDescent="0.15">
      <c r="C970" t="s">
        <v>15</v>
      </c>
      <c r="D970">
        <v>1.0800753768839999</v>
      </c>
      <c r="E970">
        <v>1000</v>
      </c>
      <c r="F970" t="s">
        <v>13</v>
      </c>
      <c r="G970">
        <v>3</v>
      </c>
      <c r="H970">
        <v>0</v>
      </c>
      <c r="I970" t="s">
        <v>488</v>
      </c>
      <c r="J970" t="s">
        <v>1234</v>
      </c>
      <c r="K970" t="s">
        <v>1235</v>
      </c>
      <c r="M970" t="s">
        <v>487</v>
      </c>
      <c r="N970">
        <v>0</v>
      </c>
      <c r="O970" t="s">
        <v>1241</v>
      </c>
      <c r="P970">
        <v>7.9819999999999988E-2</v>
      </c>
      <c r="Q970">
        <v>8.8797965080367289E-2</v>
      </c>
      <c r="R970" s="6"/>
    </row>
    <row r="971" spans="1:18" x14ac:dyDescent="0.15">
      <c r="C971" t="s">
        <v>23</v>
      </c>
      <c r="D971">
        <v>2.7001884422109996</v>
      </c>
      <c r="E971">
        <v>1000</v>
      </c>
      <c r="F971" t="s">
        <v>13</v>
      </c>
      <c r="G971">
        <v>3</v>
      </c>
      <c r="H971">
        <v>0</v>
      </c>
      <c r="I971" t="s">
        <v>488</v>
      </c>
      <c r="J971" t="s">
        <v>1234</v>
      </c>
      <c r="K971" t="s">
        <v>1235</v>
      </c>
      <c r="M971" t="s">
        <v>487</v>
      </c>
      <c r="N971">
        <v>0</v>
      </c>
      <c r="O971" t="s">
        <v>1241</v>
      </c>
      <c r="P971">
        <v>2.3609999999999999E-2</v>
      </c>
      <c r="Q971">
        <v>6.5663992594219747E-2</v>
      </c>
      <c r="R971" s="6"/>
    </row>
    <row r="972" spans="1:18" x14ac:dyDescent="0.15">
      <c r="C972" t="s">
        <v>24</v>
      </c>
      <c r="D972">
        <v>1.0800753768839999</v>
      </c>
      <c r="E972">
        <v>1000</v>
      </c>
      <c r="F972" t="s">
        <v>13</v>
      </c>
      <c r="G972">
        <v>3</v>
      </c>
      <c r="H972">
        <v>0</v>
      </c>
      <c r="I972" t="s">
        <v>488</v>
      </c>
      <c r="J972" t="s">
        <v>1234</v>
      </c>
      <c r="K972" t="s">
        <v>1235</v>
      </c>
      <c r="M972" t="s">
        <v>487</v>
      </c>
      <c r="N972">
        <v>0</v>
      </c>
      <c r="O972" t="s">
        <v>1241</v>
      </c>
      <c r="P972">
        <v>2.8500000000000001E-2</v>
      </c>
      <c r="Q972">
        <v>3.1705612688429821E-2</v>
      </c>
      <c r="R972" s="6"/>
    </row>
    <row r="973" spans="1:18" x14ac:dyDescent="0.15">
      <c r="C973" t="s">
        <v>17</v>
      </c>
      <c r="D973">
        <v>4.166666666667</v>
      </c>
      <c r="E973">
        <v>1000</v>
      </c>
      <c r="F973" t="s">
        <v>18</v>
      </c>
      <c r="G973">
        <v>0</v>
      </c>
      <c r="H973">
        <v>0</v>
      </c>
      <c r="I973" t="s">
        <v>488</v>
      </c>
      <c r="J973" t="s">
        <v>1234</v>
      </c>
      <c r="K973" t="s">
        <v>1235</v>
      </c>
      <c r="M973" t="s">
        <v>487</v>
      </c>
      <c r="N973">
        <v>0</v>
      </c>
      <c r="O973" t="s">
        <v>1241</v>
      </c>
      <c r="P973">
        <v>53.85</v>
      </c>
      <c r="Q973">
        <v>224.37500000001796</v>
      </c>
      <c r="R973" s="6"/>
    </row>
    <row r="974" spans="1:18" x14ac:dyDescent="0.15">
      <c r="C974" t="s">
        <v>19</v>
      </c>
      <c r="D974">
        <v>3</v>
      </c>
      <c r="E974">
        <v>1</v>
      </c>
      <c r="F974" t="s">
        <v>18</v>
      </c>
      <c r="G974">
        <v>0</v>
      </c>
      <c r="H974">
        <v>0</v>
      </c>
      <c r="I974" t="s">
        <v>488</v>
      </c>
      <c r="J974" t="s">
        <v>1236</v>
      </c>
      <c r="K974" t="s">
        <v>1235</v>
      </c>
      <c r="M974" t="s">
        <v>487</v>
      </c>
      <c r="N974">
        <v>0</v>
      </c>
      <c r="O974" t="s">
        <v>1241</v>
      </c>
      <c r="P974">
        <v>34.65</v>
      </c>
      <c r="Q974">
        <v>103.94999999999999</v>
      </c>
      <c r="R974" s="6"/>
    </row>
    <row r="975" spans="1:18" x14ac:dyDescent="0.15">
      <c r="A975" t="s">
        <v>284</v>
      </c>
      <c r="B975" t="s">
        <v>479</v>
      </c>
      <c r="P975">
        <v>0.34904792739449031</v>
      </c>
      <c r="R975" s="6"/>
    </row>
    <row r="976" spans="1:18" x14ac:dyDescent="0.15">
      <c r="C976" t="s">
        <v>285</v>
      </c>
      <c r="D976">
        <v>1</v>
      </c>
      <c r="E976">
        <v>1</v>
      </c>
      <c r="F976" t="s">
        <v>9</v>
      </c>
      <c r="G976">
        <v>0</v>
      </c>
      <c r="H976">
        <v>0</v>
      </c>
      <c r="I976" t="s">
        <v>488</v>
      </c>
      <c r="J976" t="s">
        <v>1234</v>
      </c>
      <c r="K976" t="s">
        <v>1235</v>
      </c>
      <c r="M976" t="s">
        <v>487</v>
      </c>
      <c r="N976">
        <v>0</v>
      </c>
      <c r="O976" t="s">
        <v>1241</v>
      </c>
      <c r="P976">
        <v>0.34904792739449031</v>
      </c>
      <c r="Q976">
        <v>0.34904792739449031</v>
      </c>
      <c r="R976" s="6"/>
    </row>
    <row r="977" spans="1:18" x14ac:dyDescent="0.15">
      <c r="A977" t="s">
        <v>286</v>
      </c>
      <c r="B977" t="s">
        <v>479</v>
      </c>
      <c r="P977">
        <v>0.17452396369724515</v>
      </c>
      <c r="R977" s="6"/>
    </row>
    <row r="978" spans="1:18" x14ac:dyDescent="0.15">
      <c r="C978" t="s">
        <v>285</v>
      </c>
      <c r="D978">
        <v>500</v>
      </c>
      <c r="E978">
        <v>1000</v>
      </c>
      <c r="F978" t="s">
        <v>9</v>
      </c>
      <c r="G978">
        <v>0</v>
      </c>
      <c r="H978">
        <v>0</v>
      </c>
      <c r="I978" t="s">
        <v>488</v>
      </c>
      <c r="J978" t="s">
        <v>1234</v>
      </c>
      <c r="K978" t="s">
        <v>1235</v>
      </c>
      <c r="M978" t="s">
        <v>487</v>
      </c>
      <c r="N978">
        <v>0</v>
      </c>
      <c r="O978" t="s">
        <v>1241</v>
      </c>
      <c r="P978">
        <v>0.34904792739449031</v>
      </c>
      <c r="Q978">
        <v>174.52396369724516</v>
      </c>
      <c r="R978" s="6"/>
    </row>
    <row r="979" spans="1:18" x14ac:dyDescent="0.15">
      <c r="A979" t="s">
        <v>287</v>
      </c>
      <c r="B979" t="s">
        <v>479</v>
      </c>
      <c r="P979">
        <v>87.261981848622582</v>
      </c>
      <c r="R979" s="6"/>
    </row>
    <row r="980" spans="1:18" x14ac:dyDescent="0.15">
      <c r="C980" t="s">
        <v>285</v>
      </c>
      <c r="D980">
        <v>250</v>
      </c>
      <c r="E980">
        <v>1</v>
      </c>
      <c r="F980" t="s">
        <v>9</v>
      </c>
      <c r="G980">
        <v>0</v>
      </c>
      <c r="H980">
        <v>0</v>
      </c>
      <c r="I980" t="s">
        <v>488</v>
      </c>
      <c r="J980" t="s">
        <v>1234</v>
      </c>
      <c r="K980" t="s">
        <v>1235</v>
      </c>
      <c r="M980" t="s">
        <v>487</v>
      </c>
      <c r="N980">
        <v>0</v>
      </c>
      <c r="O980" t="s">
        <v>1241</v>
      </c>
      <c r="P980">
        <v>0.34904792739449031</v>
      </c>
      <c r="Q980">
        <v>87.261981848622582</v>
      </c>
      <c r="R980" s="6"/>
    </row>
    <row r="981" spans="1:18" x14ac:dyDescent="0.15">
      <c r="A981" t="s">
        <v>285</v>
      </c>
      <c r="B981" t="s">
        <v>9</v>
      </c>
      <c r="P981">
        <v>0.34904792739449031</v>
      </c>
      <c r="R981" s="6"/>
    </row>
    <row r="982" spans="1:18" x14ac:dyDescent="0.15">
      <c r="C982" t="s">
        <v>34</v>
      </c>
      <c r="D982">
        <v>2</v>
      </c>
      <c r="E982">
        <v>1</v>
      </c>
      <c r="F982" t="s">
        <v>9</v>
      </c>
      <c r="G982">
        <v>3</v>
      </c>
      <c r="H982">
        <v>0</v>
      </c>
      <c r="I982" t="s">
        <v>488</v>
      </c>
      <c r="J982" t="s">
        <v>1234</v>
      </c>
      <c r="K982" t="s">
        <v>1235</v>
      </c>
      <c r="M982" t="s">
        <v>487</v>
      </c>
      <c r="N982">
        <v>0</v>
      </c>
      <c r="O982" t="s">
        <v>1241</v>
      </c>
      <c r="P982">
        <v>9.4000000000000004E-3</v>
      </c>
      <c r="Q982">
        <v>19.364000000000001</v>
      </c>
      <c r="R982" s="6"/>
    </row>
    <row r="983" spans="1:18" x14ac:dyDescent="0.15">
      <c r="C983" t="s">
        <v>12</v>
      </c>
      <c r="D983">
        <v>65.577889447236004</v>
      </c>
      <c r="E983">
        <v>1000</v>
      </c>
      <c r="F983" t="s">
        <v>13</v>
      </c>
      <c r="G983">
        <v>3</v>
      </c>
      <c r="H983">
        <v>0</v>
      </c>
      <c r="I983" t="s">
        <v>488</v>
      </c>
      <c r="J983" t="s">
        <v>1234</v>
      </c>
      <c r="K983" t="s">
        <v>1235</v>
      </c>
      <c r="M983" t="s">
        <v>487</v>
      </c>
      <c r="N983">
        <v>0</v>
      </c>
      <c r="O983" t="s">
        <v>1241</v>
      </c>
      <c r="P983">
        <v>1.03E-2</v>
      </c>
      <c r="Q983">
        <v>0.69571582914572672</v>
      </c>
      <c r="R983" s="6"/>
    </row>
    <row r="984" spans="1:18" x14ac:dyDescent="0.15">
      <c r="C984" t="s">
        <v>14</v>
      </c>
      <c r="D984">
        <v>72.864321608040015</v>
      </c>
      <c r="E984">
        <v>1000</v>
      </c>
      <c r="F984" t="s">
        <v>13</v>
      </c>
      <c r="G984">
        <v>3</v>
      </c>
      <c r="H984">
        <v>0</v>
      </c>
      <c r="I984" t="s">
        <v>488</v>
      </c>
      <c r="J984" t="s">
        <v>1234</v>
      </c>
      <c r="K984" t="s">
        <v>1235</v>
      </c>
      <c r="M984" t="s">
        <v>487</v>
      </c>
      <c r="N984">
        <v>0</v>
      </c>
      <c r="O984" t="s">
        <v>1241</v>
      </c>
      <c r="P984">
        <v>5.4900000000000001E-3</v>
      </c>
      <c r="Q984">
        <v>0.41202587939698387</v>
      </c>
      <c r="R984" s="6"/>
    </row>
    <row r="985" spans="1:18" x14ac:dyDescent="0.15">
      <c r="C985" t="s">
        <v>15</v>
      </c>
      <c r="D985">
        <v>1.457286432161</v>
      </c>
      <c r="E985">
        <v>1000</v>
      </c>
      <c r="F985" t="s">
        <v>13</v>
      </c>
      <c r="G985">
        <v>3</v>
      </c>
      <c r="H985">
        <v>0</v>
      </c>
      <c r="I985" t="s">
        <v>488</v>
      </c>
      <c r="J985" t="s">
        <v>1234</v>
      </c>
      <c r="K985" t="s">
        <v>1235</v>
      </c>
      <c r="M985" t="s">
        <v>487</v>
      </c>
      <c r="N985">
        <v>0</v>
      </c>
      <c r="O985" t="s">
        <v>1241</v>
      </c>
      <c r="P985">
        <v>7.9819999999999988E-2</v>
      </c>
      <c r="Q985">
        <v>0.11981022110554373</v>
      </c>
      <c r="R985" s="6"/>
    </row>
    <row r="986" spans="1:18" x14ac:dyDescent="0.15">
      <c r="C986" t="s">
        <v>23</v>
      </c>
      <c r="D986">
        <v>3.6432160804020008</v>
      </c>
      <c r="E986">
        <v>1000</v>
      </c>
      <c r="F986" t="s">
        <v>13</v>
      </c>
      <c r="G986">
        <v>3</v>
      </c>
      <c r="H986">
        <v>0</v>
      </c>
      <c r="I986" t="s">
        <v>488</v>
      </c>
      <c r="J986" t="s">
        <v>1234</v>
      </c>
      <c r="K986" t="s">
        <v>1235</v>
      </c>
      <c r="M986" t="s">
        <v>487</v>
      </c>
      <c r="N986">
        <v>0</v>
      </c>
      <c r="O986" t="s">
        <v>1241</v>
      </c>
      <c r="P986">
        <v>2.3609999999999999E-2</v>
      </c>
      <c r="Q986">
        <v>8.8596821608039972E-2</v>
      </c>
      <c r="R986" s="6"/>
    </row>
    <row r="987" spans="1:18" x14ac:dyDescent="0.15">
      <c r="C987" t="s">
        <v>24</v>
      </c>
      <c r="D987">
        <v>1.457286432161</v>
      </c>
      <c r="E987">
        <v>1000</v>
      </c>
      <c r="F987" t="s">
        <v>13</v>
      </c>
      <c r="G987">
        <v>3</v>
      </c>
      <c r="H987">
        <v>0</v>
      </c>
      <c r="I987" t="s">
        <v>488</v>
      </c>
      <c r="J987" t="s">
        <v>1234</v>
      </c>
      <c r="K987" t="s">
        <v>1235</v>
      </c>
      <c r="M987" t="s">
        <v>487</v>
      </c>
      <c r="N987">
        <v>0</v>
      </c>
      <c r="O987" t="s">
        <v>1241</v>
      </c>
      <c r="P987">
        <v>2.8500000000000001E-2</v>
      </c>
      <c r="Q987">
        <v>4.2778643216086154E-2</v>
      </c>
      <c r="R987" s="6"/>
    </row>
    <row r="988" spans="1:18" x14ac:dyDescent="0.15">
      <c r="C988" t="s">
        <v>17</v>
      </c>
      <c r="D988">
        <v>4.166666666667</v>
      </c>
      <c r="E988">
        <v>1000</v>
      </c>
      <c r="F988" t="s">
        <v>18</v>
      </c>
      <c r="G988">
        <v>0</v>
      </c>
      <c r="H988">
        <v>0</v>
      </c>
      <c r="I988" t="s">
        <v>488</v>
      </c>
      <c r="J988" t="s">
        <v>1234</v>
      </c>
      <c r="K988" t="s">
        <v>1235</v>
      </c>
      <c r="M988" t="s">
        <v>487</v>
      </c>
      <c r="N988">
        <v>0</v>
      </c>
      <c r="O988" t="s">
        <v>1241</v>
      </c>
      <c r="P988">
        <v>53.85</v>
      </c>
      <c r="Q988">
        <v>224.37500000001796</v>
      </c>
      <c r="R988" s="6"/>
    </row>
    <row r="989" spans="1:18" x14ac:dyDescent="0.15">
      <c r="C989" t="s">
        <v>19</v>
      </c>
      <c r="D989">
        <v>3</v>
      </c>
      <c r="E989">
        <v>1</v>
      </c>
      <c r="F989" t="s">
        <v>18</v>
      </c>
      <c r="G989">
        <v>0</v>
      </c>
      <c r="H989">
        <v>0</v>
      </c>
      <c r="I989" t="s">
        <v>488</v>
      </c>
      <c r="J989" t="s">
        <v>1236</v>
      </c>
      <c r="K989" t="s">
        <v>1235</v>
      </c>
      <c r="M989" t="s">
        <v>487</v>
      </c>
      <c r="N989">
        <v>0</v>
      </c>
      <c r="O989" t="s">
        <v>1241</v>
      </c>
      <c r="P989">
        <v>34.65</v>
      </c>
      <c r="Q989">
        <v>103.94999999999999</v>
      </c>
      <c r="R989" s="6"/>
    </row>
    <row r="990" spans="1:18" x14ac:dyDescent="0.15">
      <c r="A990" t="s">
        <v>288</v>
      </c>
      <c r="B990" t="s">
        <v>479</v>
      </c>
      <c r="P990">
        <v>0.85488442267371234</v>
      </c>
      <c r="R990" s="6"/>
    </row>
    <row r="991" spans="1:18" x14ac:dyDescent="0.15">
      <c r="C991" t="s">
        <v>289</v>
      </c>
      <c r="D991">
        <v>1</v>
      </c>
      <c r="E991">
        <v>1</v>
      </c>
      <c r="F991" t="s">
        <v>9</v>
      </c>
      <c r="G991">
        <v>0</v>
      </c>
      <c r="H991">
        <v>0</v>
      </c>
      <c r="I991" t="s">
        <v>488</v>
      </c>
      <c r="J991" t="s">
        <v>1234</v>
      </c>
      <c r="K991" t="s">
        <v>1235</v>
      </c>
      <c r="M991" t="s">
        <v>487</v>
      </c>
      <c r="N991">
        <v>0</v>
      </c>
      <c r="O991" t="s">
        <v>1241</v>
      </c>
      <c r="P991">
        <v>0.85488442267371234</v>
      </c>
      <c r="Q991">
        <v>0.85488442267371234</v>
      </c>
      <c r="R991" s="6"/>
    </row>
    <row r="992" spans="1:18" x14ac:dyDescent="0.15">
      <c r="A992" t="s">
        <v>290</v>
      </c>
      <c r="B992" t="s">
        <v>479</v>
      </c>
      <c r="P992">
        <v>1.7097688453474247</v>
      </c>
      <c r="R992" s="6"/>
    </row>
    <row r="993" spans="1:18" x14ac:dyDescent="0.15">
      <c r="C993" t="s">
        <v>289</v>
      </c>
      <c r="D993">
        <v>2</v>
      </c>
      <c r="E993">
        <v>1</v>
      </c>
      <c r="F993" t="s">
        <v>9</v>
      </c>
      <c r="G993">
        <v>0</v>
      </c>
      <c r="H993">
        <v>0</v>
      </c>
      <c r="I993" t="s">
        <v>488</v>
      </c>
      <c r="J993" t="s">
        <v>1234</v>
      </c>
      <c r="K993" t="s">
        <v>1235</v>
      </c>
      <c r="M993" t="s">
        <v>487</v>
      </c>
      <c r="N993">
        <v>0</v>
      </c>
      <c r="O993" t="s">
        <v>1241</v>
      </c>
      <c r="P993">
        <v>0.85488442267371234</v>
      </c>
      <c r="Q993">
        <v>1.7097688453474247</v>
      </c>
      <c r="R993" s="6"/>
    </row>
    <row r="994" spans="1:18" x14ac:dyDescent="0.15">
      <c r="A994" t="s">
        <v>291</v>
      </c>
      <c r="B994" t="s">
        <v>479</v>
      </c>
      <c r="P994">
        <v>0.42744221133685617</v>
      </c>
      <c r="R994" s="6"/>
    </row>
    <row r="995" spans="1:18" x14ac:dyDescent="0.15">
      <c r="C995" t="s">
        <v>289</v>
      </c>
      <c r="D995">
        <v>500</v>
      </c>
      <c r="E995">
        <v>1000</v>
      </c>
      <c r="F995" t="s">
        <v>9</v>
      </c>
      <c r="G995">
        <v>0</v>
      </c>
      <c r="H995">
        <v>0</v>
      </c>
      <c r="I995" t="s">
        <v>488</v>
      </c>
      <c r="J995" t="s">
        <v>1234</v>
      </c>
      <c r="K995" t="s">
        <v>1235</v>
      </c>
      <c r="M995" t="s">
        <v>487</v>
      </c>
      <c r="N995">
        <v>0</v>
      </c>
      <c r="O995" t="s">
        <v>1241</v>
      </c>
      <c r="P995">
        <v>0.85488442267371234</v>
      </c>
      <c r="Q995">
        <v>427.44221133685619</v>
      </c>
      <c r="R995" s="6"/>
    </row>
    <row r="996" spans="1:18" x14ac:dyDescent="0.15">
      <c r="A996" t="s">
        <v>289</v>
      </c>
      <c r="B996" t="s">
        <v>9</v>
      </c>
      <c r="P996">
        <v>0.85488442267371234</v>
      </c>
      <c r="R996" s="6"/>
    </row>
    <row r="997" spans="1:18" x14ac:dyDescent="0.15">
      <c r="C997" t="s">
        <v>29</v>
      </c>
      <c r="D997">
        <v>2</v>
      </c>
      <c r="E997">
        <v>1</v>
      </c>
      <c r="F997" t="s">
        <v>9</v>
      </c>
      <c r="G997">
        <v>3</v>
      </c>
      <c r="H997">
        <v>0</v>
      </c>
      <c r="I997" t="s">
        <v>488</v>
      </c>
      <c r="J997" t="s">
        <v>1234</v>
      </c>
      <c r="K997" t="s">
        <v>1235</v>
      </c>
      <c r="M997" t="s">
        <v>487</v>
      </c>
      <c r="N997">
        <v>0</v>
      </c>
      <c r="O997" t="s">
        <v>1241</v>
      </c>
      <c r="P997">
        <v>0</v>
      </c>
      <c r="Q997">
        <v>0</v>
      </c>
      <c r="R997" s="9" t="s">
        <v>1246</v>
      </c>
    </row>
    <row r="998" spans="1:18" x14ac:dyDescent="0.15">
      <c r="C998" t="s">
        <v>12</v>
      </c>
      <c r="D998">
        <v>0.14562814070399999</v>
      </c>
      <c r="E998">
        <v>1</v>
      </c>
      <c r="F998" t="s">
        <v>13</v>
      </c>
      <c r="G998">
        <v>3</v>
      </c>
      <c r="H998">
        <v>0</v>
      </c>
      <c r="I998" t="s">
        <v>488</v>
      </c>
      <c r="J998" t="s">
        <v>1234</v>
      </c>
      <c r="K998" t="s">
        <v>1235</v>
      </c>
      <c r="M998" t="s">
        <v>487</v>
      </c>
      <c r="N998">
        <v>0</v>
      </c>
      <c r="O998" t="s">
        <v>1241</v>
      </c>
      <c r="P998">
        <v>1.03E-2</v>
      </c>
      <c r="Q998">
        <v>1.5449689447287358</v>
      </c>
      <c r="R998" s="6"/>
    </row>
    <row r="999" spans="1:18" x14ac:dyDescent="0.15">
      <c r="C999" t="s">
        <v>14</v>
      </c>
      <c r="D999">
        <v>0.16180904522600001</v>
      </c>
      <c r="E999">
        <v>1</v>
      </c>
      <c r="F999" t="s">
        <v>13</v>
      </c>
      <c r="G999">
        <v>3</v>
      </c>
      <c r="H999">
        <v>0</v>
      </c>
      <c r="I999" t="s">
        <v>488</v>
      </c>
      <c r="J999" t="s">
        <v>1234</v>
      </c>
      <c r="K999" t="s">
        <v>1235</v>
      </c>
      <c r="M999" t="s">
        <v>487</v>
      </c>
      <c r="N999">
        <v>0</v>
      </c>
      <c r="O999" t="s">
        <v>1241</v>
      </c>
      <c r="P999">
        <v>5.4900000000000001E-3</v>
      </c>
      <c r="Q999">
        <v>0.91498160803946216</v>
      </c>
      <c r="R999" s="6"/>
    </row>
    <row r="1000" spans="1:18" x14ac:dyDescent="0.15">
      <c r="C1000" t="s">
        <v>15</v>
      </c>
      <c r="D1000">
        <v>3.2361809045230006</v>
      </c>
      <c r="E1000">
        <v>1000</v>
      </c>
      <c r="F1000" t="s">
        <v>13</v>
      </c>
      <c r="G1000">
        <v>3</v>
      </c>
      <c r="H1000">
        <v>0</v>
      </c>
      <c r="I1000" t="s">
        <v>488</v>
      </c>
      <c r="J1000" t="s">
        <v>1234</v>
      </c>
      <c r="K1000" t="s">
        <v>1235</v>
      </c>
      <c r="M1000" t="s">
        <v>487</v>
      </c>
      <c r="N1000">
        <v>0</v>
      </c>
      <c r="O1000" t="s">
        <v>1241</v>
      </c>
      <c r="P1000">
        <v>7.9819999999999988E-2</v>
      </c>
      <c r="Q1000">
        <v>0.26606131859299664</v>
      </c>
      <c r="R1000" s="6"/>
    </row>
    <row r="1001" spans="1:18" x14ac:dyDescent="0.15">
      <c r="C1001" t="s">
        <v>23</v>
      </c>
      <c r="D1001">
        <v>8.090452261307</v>
      </c>
      <c r="E1001">
        <v>1000</v>
      </c>
      <c r="F1001" t="s">
        <v>13</v>
      </c>
      <c r="G1001">
        <v>3</v>
      </c>
      <c r="H1001">
        <v>0</v>
      </c>
      <c r="I1001" t="s">
        <v>488</v>
      </c>
      <c r="J1001" t="s">
        <v>1234</v>
      </c>
      <c r="K1001" t="s">
        <v>1235</v>
      </c>
      <c r="M1001" t="s">
        <v>487</v>
      </c>
      <c r="N1001">
        <v>0</v>
      </c>
      <c r="O1001" t="s">
        <v>1241</v>
      </c>
      <c r="P1001">
        <v>2.3609999999999999E-2</v>
      </c>
      <c r="Q1001">
        <v>0.19674604522614203</v>
      </c>
      <c r="R1001" s="6"/>
    </row>
    <row r="1002" spans="1:18" x14ac:dyDescent="0.15">
      <c r="C1002" t="s">
        <v>24</v>
      </c>
      <c r="D1002">
        <v>3.2361809045230006</v>
      </c>
      <c r="E1002">
        <v>1000</v>
      </c>
      <c r="F1002" t="s">
        <v>13</v>
      </c>
      <c r="G1002">
        <v>3</v>
      </c>
      <c r="H1002">
        <v>0</v>
      </c>
      <c r="I1002" t="s">
        <v>488</v>
      </c>
      <c r="J1002" t="s">
        <v>1234</v>
      </c>
      <c r="K1002" t="s">
        <v>1235</v>
      </c>
      <c r="M1002" t="s">
        <v>487</v>
      </c>
      <c r="N1002">
        <v>0</v>
      </c>
      <c r="O1002" t="s">
        <v>1241</v>
      </c>
      <c r="P1002">
        <v>2.8500000000000001E-2</v>
      </c>
      <c r="Q1002">
        <v>9.4998090452272685E-2</v>
      </c>
      <c r="R1002" s="6"/>
    </row>
    <row r="1003" spans="1:18" x14ac:dyDescent="0.15">
      <c r="C1003" t="s">
        <v>17</v>
      </c>
      <c r="D1003">
        <v>13.888888888889001</v>
      </c>
      <c r="E1003">
        <v>1000</v>
      </c>
      <c r="F1003" t="s">
        <v>18</v>
      </c>
      <c r="G1003">
        <v>0</v>
      </c>
      <c r="H1003">
        <v>0</v>
      </c>
      <c r="I1003" t="s">
        <v>488</v>
      </c>
      <c r="J1003" t="s">
        <v>1234</v>
      </c>
      <c r="K1003" t="s">
        <v>1235</v>
      </c>
      <c r="M1003" t="s">
        <v>487</v>
      </c>
      <c r="N1003">
        <v>0</v>
      </c>
      <c r="O1003" t="s">
        <v>1241</v>
      </c>
      <c r="P1003">
        <v>53.85</v>
      </c>
      <c r="Q1003">
        <v>747.91666666667277</v>
      </c>
      <c r="R1003" s="6"/>
    </row>
    <row r="1004" spans="1:18" x14ac:dyDescent="0.15">
      <c r="C1004" t="s">
        <v>19</v>
      </c>
      <c r="D1004">
        <v>3</v>
      </c>
      <c r="E1004">
        <v>1</v>
      </c>
      <c r="F1004" t="s">
        <v>18</v>
      </c>
      <c r="G1004">
        <v>0</v>
      </c>
      <c r="H1004">
        <v>0</v>
      </c>
      <c r="I1004" t="s">
        <v>488</v>
      </c>
      <c r="J1004" t="s">
        <v>1236</v>
      </c>
      <c r="K1004" t="s">
        <v>1235</v>
      </c>
      <c r="M1004" t="s">
        <v>487</v>
      </c>
      <c r="N1004">
        <v>0</v>
      </c>
      <c r="O1004" t="s">
        <v>1241</v>
      </c>
      <c r="P1004">
        <v>34.65</v>
      </c>
      <c r="Q1004">
        <v>103.94999999999999</v>
      </c>
      <c r="R1004" s="6"/>
    </row>
    <row r="1005" spans="1:18" x14ac:dyDescent="0.15">
      <c r="A1005" t="s">
        <v>292</v>
      </c>
      <c r="B1005" t="s">
        <v>479</v>
      </c>
      <c r="P1005">
        <v>0.80183214583688367</v>
      </c>
      <c r="R1005" s="6"/>
    </row>
    <row r="1006" spans="1:18" x14ac:dyDescent="0.15">
      <c r="C1006" t="s">
        <v>293</v>
      </c>
      <c r="D1006">
        <v>1</v>
      </c>
      <c r="E1006">
        <v>1</v>
      </c>
      <c r="F1006" t="s">
        <v>9</v>
      </c>
      <c r="G1006">
        <v>0</v>
      </c>
      <c r="H1006">
        <v>0</v>
      </c>
      <c r="I1006" t="s">
        <v>488</v>
      </c>
      <c r="J1006" t="s">
        <v>1234</v>
      </c>
      <c r="K1006" t="s">
        <v>1235</v>
      </c>
      <c r="M1006" t="s">
        <v>487</v>
      </c>
      <c r="N1006">
        <v>0</v>
      </c>
      <c r="O1006" t="s">
        <v>1241</v>
      </c>
      <c r="P1006">
        <v>0.80183214583688367</v>
      </c>
      <c r="Q1006">
        <v>0.80183214583688367</v>
      </c>
      <c r="R1006" s="6"/>
    </row>
    <row r="1007" spans="1:18" x14ac:dyDescent="0.15">
      <c r="A1007" t="s">
        <v>294</v>
      </c>
      <c r="B1007" t="s">
        <v>479</v>
      </c>
      <c r="P1007">
        <v>1.6036642916737673</v>
      </c>
      <c r="R1007" s="6"/>
    </row>
    <row r="1008" spans="1:18" x14ac:dyDescent="0.15">
      <c r="C1008" t="s">
        <v>293</v>
      </c>
      <c r="D1008">
        <v>2</v>
      </c>
      <c r="E1008">
        <v>1</v>
      </c>
      <c r="F1008" t="s">
        <v>9</v>
      </c>
      <c r="G1008">
        <v>0</v>
      </c>
      <c r="H1008">
        <v>0</v>
      </c>
      <c r="I1008" t="s">
        <v>488</v>
      </c>
      <c r="J1008" t="s">
        <v>1234</v>
      </c>
      <c r="K1008" t="s">
        <v>1235</v>
      </c>
      <c r="M1008" t="s">
        <v>487</v>
      </c>
      <c r="N1008">
        <v>0</v>
      </c>
      <c r="O1008" t="s">
        <v>1241</v>
      </c>
      <c r="P1008">
        <v>0.80183214583688367</v>
      </c>
      <c r="Q1008">
        <v>1.6036642916737673</v>
      </c>
      <c r="R1008" s="6"/>
    </row>
    <row r="1009" spans="1:18" x14ac:dyDescent="0.15">
      <c r="A1009" t="s">
        <v>295</v>
      </c>
      <c r="B1009" t="s">
        <v>479</v>
      </c>
      <c r="P1009">
        <v>0.40091607291844183</v>
      </c>
      <c r="R1009" s="6"/>
    </row>
    <row r="1010" spans="1:18" x14ac:dyDescent="0.15">
      <c r="C1010" t="s">
        <v>293</v>
      </c>
      <c r="D1010">
        <v>500</v>
      </c>
      <c r="E1010">
        <v>1000</v>
      </c>
      <c r="F1010" t="s">
        <v>9</v>
      </c>
      <c r="G1010">
        <v>0</v>
      </c>
      <c r="H1010">
        <v>0</v>
      </c>
      <c r="I1010" t="s">
        <v>488</v>
      </c>
      <c r="J1010" t="s">
        <v>1234</v>
      </c>
      <c r="K1010" t="s">
        <v>1235</v>
      </c>
      <c r="M1010" t="s">
        <v>487</v>
      </c>
      <c r="N1010">
        <v>0</v>
      </c>
      <c r="O1010" t="s">
        <v>1241</v>
      </c>
      <c r="P1010">
        <v>0.80183214583688367</v>
      </c>
      <c r="Q1010">
        <v>400.91607291844184</v>
      </c>
      <c r="R1010" s="6"/>
    </row>
    <row r="1011" spans="1:18" x14ac:dyDescent="0.15">
      <c r="A1011" t="s">
        <v>293</v>
      </c>
      <c r="B1011" t="s">
        <v>9</v>
      </c>
      <c r="P1011">
        <v>0.80183214583688367</v>
      </c>
      <c r="R1011" s="6"/>
    </row>
    <row r="1012" spans="1:18" x14ac:dyDescent="0.15">
      <c r="C1012" t="s">
        <v>33</v>
      </c>
      <c r="D1012">
        <v>2</v>
      </c>
      <c r="E1012">
        <v>1</v>
      </c>
      <c r="F1012" t="s">
        <v>9</v>
      </c>
      <c r="G1012">
        <v>3</v>
      </c>
      <c r="H1012">
        <v>0</v>
      </c>
      <c r="I1012" t="s">
        <v>488</v>
      </c>
      <c r="J1012" t="s">
        <v>1234</v>
      </c>
      <c r="K1012" t="s">
        <v>1235</v>
      </c>
      <c r="M1012" t="s">
        <v>487</v>
      </c>
      <c r="N1012">
        <v>0</v>
      </c>
      <c r="O1012" t="s">
        <v>1241</v>
      </c>
      <c r="P1012">
        <v>0</v>
      </c>
      <c r="Q1012">
        <v>0</v>
      </c>
      <c r="R1012" s="9" t="s">
        <v>1246</v>
      </c>
    </row>
    <row r="1013" spans="1:18" x14ac:dyDescent="0.15">
      <c r="C1013" t="s">
        <v>29</v>
      </c>
      <c r="D1013">
        <v>1</v>
      </c>
      <c r="E1013">
        <v>1</v>
      </c>
      <c r="F1013" t="s">
        <v>9</v>
      </c>
      <c r="G1013">
        <v>3</v>
      </c>
      <c r="H1013">
        <v>0</v>
      </c>
      <c r="I1013" t="s">
        <v>488</v>
      </c>
      <c r="J1013" t="s">
        <v>1234</v>
      </c>
      <c r="K1013" t="s">
        <v>1235</v>
      </c>
      <c r="M1013" t="s">
        <v>487</v>
      </c>
      <c r="N1013">
        <v>0</v>
      </c>
      <c r="O1013" t="s">
        <v>1241</v>
      </c>
      <c r="P1013">
        <v>0</v>
      </c>
      <c r="Q1013">
        <v>0</v>
      </c>
      <c r="R1013" s="9" t="s">
        <v>1246</v>
      </c>
    </row>
    <row r="1014" spans="1:18" x14ac:dyDescent="0.15">
      <c r="C1014" t="s">
        <v>12</v>
      </c>
      <c r="D1014">
        <v>0.36180904522599999</v>
      </c>
      <c r="E1014">
        <v>1</v>
      </c>
      <c r="F1014" t="s">
        <v>13</v>
      </c>
      <c r="G1014">
        <v>3</v>
      </c>
      <c r="H1014">
        <v>0</v>
      </c>
      <c r="I1014" t="s">
        <v>488</v>
      </c>
      <c r="J1014" t="s">
        <v>1234</v>
      </c>
      <c r="K1014" t="s">
        <v>1235</v>
      </c>
      <c r="M1014" t="s">
        <v>487</v>
      </c>
      <c r="N1014">
        <v>0</v>
      </c>
      <c r="O1014" t="s">
        <v>1241</v>
      </c>
      <c r="P1014">
        <v>1.03E-2</v>
      </c>
      <c r="Q1014">
        <v>3.8384321608026339</v>
      </c>
      <c r="R1014" s="6"/>
    </row>
    <row r="1015" spans="1:18" x14ac:dyDescent="0.15">
      <c r="C1015" t="s">
        <v>14</v>
      </c>
      <c r="D1015">
        <v>0.40201005025100001</v>
      </c>
      <c r="E1015">
        <v>1</v>
      </c>
      <c r="F1015" t="s">
        <v>13</v>
      </c>
      <c r="G1015">
        <v>3</v>
      </c>
      <c r="H1015">
        <v>0</v>
      </c>
      <c r="I1015" t="s">
        <v>488</v>
      </c>
      <c r="J1015" t="s">
        <v>1234</v>
      </c>
      <c r="K1015" t="s">
        <v>1235</v>
      </c>
      <c r="M1015" t="s">
        <v>487</v>
      </c>
      <c r="N1015">
        <v>0</v>
      </c>
      <c r="O1015" t="s">
        <v>1241</v>
      </c>
      <c r="P1015">
        <v>5.4900000000000001E-3</v>
      </c>
      <c r="Q1015">
        <v>2.2732462311543298</v>
      </c>
      <c r="R1015" s="6"/>
    </row>
    <row r="1016" spans="1:18" x14ac:dyDescent="0.15">
      <c r="C1016" t="s">
        <v>15</v>
      </c>
      <c r="D1016">
        <v>8.0402010050250006</v>
      </c>
      <c r="E1016">
        <v>1000</v>
      </c>
      <c r="F1016" t="s">
        <v>13</v>
      </c>
      <c r="G1016">
        <v>3</v>
      </c>
      <c r="H1016">
        <v>0</v>
      </c>
      <c r="I1016" t="s">
        <v>488</v>
      </c>
      <c r="J1016" t="s">
        <v>1234</v>
      </c>
      <c r="K1016" t="s">
        <v>1235</v>
      </c>
      <c r="M1016" t="s">
        <v>487</v>
      </c>
      <c r="N1016">
        <v>0</v>
      </c>
      <c r="O1016" t="s">
        <v>1241</v>
      </c>
      <c r="P1016">
        <v>7.9819999999999988E-2</v>
      </c>
      <c r="Q1016">
        <v>0.66102190954772833</v>
      </c>
      <c r="R1016" s="6"/>
    </row>
    <row r="1017" spans="1:18" x14ac:dyDescent="0.15">
      <c r="C1017" t="s">
        <v>23</v>
      </c>
      <c r="D1017">
        <v>20.100502512563001</v>
      </c>
      <c r="E1017">
        <v>1000</v>
      </c>
      <c r="F1017" t="s">
        <v>13</v>
      </c>
      <c r="G1017">
        <v>3</v>
      </c>
      <c r="H1017">
        <v>0</v>
      </c>
      <c r="I1017" t="s">
        <v>488</v>
      </c>
      <c r="J1017" t="s">
        <v>1234</v>
      </c>
      <c r="K1017" t="s">
        <v>1235</v>
      </c>
      <c r="M1017" t="s">
        <v>487</v>
      </c>
      <c r="N1017">
        <v>0</v>
      </c>
      <c r="O1017" t="s">
        <v>1241</v>
      </c>
      <c r="P1017">
        <v>2.3609999999999999E-2</v>
      </c>
      <c r="Q1017">
        <v>0.48881005025126084</v>
      </c>
      <c r="R1017" s="6"/>
    </row>
    <row r="1018" spans="1:18" x14ac:dyDescent="0.15">
      <c r="C1018" t="s">
        <v>24</v>
      </c>
      <c r="D1018">
        <v>8.0402010050250006</v>
      </c>
      <c r="E1018">
        <v>1000</v>
      </c>
      <c r="F1018" t="s">
        <v>13</v>
      </c>
      <c r="G1018">
        <v>3</v>
      </c>
      <c r="H1018">
        <v>0</v>
      </c>
      <c r="I1018" t="s">
        <v>488</v>
      </c>
      <c r="J1018" t="s">
        <v>1234</v>
      </c>
      <c r="K1018" t="s">
        <v>1235</v>
      </c>
      <c r="M1018" t="s">
        <v>487</v>
      </c>
      <c r="N1018">
        <v>0</v>
      </c>
      <c r="O1018" t="s">
        <v>1241</v>
      </c>
      <c r="P1018">
        <v>2.8500000000000001E-2</v>
      </c>
      <c r="Q1018">
        <v>0.23602010050250888</v>
      </c>
      <c r="R1018" s="6"/>
    </row>
    <row r="1019" spans="1:18" x14ac:dyDescent="0.15">
      <c r="C1019" t="s">
        <v>17</v>
      </c>
      <c r="D1019">
        <v>12.820512820513002</v>
      </c>
      <c r="E1019">
        <v>1000</v>
      </c>
      <c r="F1019" t="s">
        <v>18</v>
      </c>
      <c r="G1019">
        <v>0</v>
      </c>
      <c r="H1019">
        <v>0</v>
      </c>
      <c r="I1019" t="s">
        <v>488</v>
      </c>
      <c r="J1019" t="s">
        <v>1234</v>
      </c>
      <c r="K1019" t="s">
        <v>1235</v>
      </c>
      <c r="M1019" t="s">
        <v>487</v>
      </c>
      <c r="N1019">
        <v>0</v>
      </c>
      <c r="O1019" t="s">
        <v>1241</v>
      </c>
      <c r="P1019">
        <v>53.85</v>
      </c>
      <c r="Q1019">
        <v>690.38461538462525</v>
      </c>
      <c r="R1019" s="6"/>
    </row>
    <row r="1020" spans="1:18" x14ac:dyDescent="0.15">
      <c r="C1020" t="s">
        <v>19</v>
      </c>
      <c r="D1020">
        <v>3</v>
      </c>
      <c r="E1020">
        <v>1</v>
      </c>
      <c r="F1020" t="s">
        <v>18</v>
      </c>
      <c r="G1020">
        <v>0</v>
      </c>
      <c r="H1020">
        <v>0</v>
      </c>
      <c r="I1020" t="s">
        <v>488</v>
      </c>
      <c r="J1020" t="s">
        <v>1236</v>
      </c>
      <c r="K1020" t="s">
        <v>1235</v>
      </c>
      <c r="M1020" t="s">
        <v>487</v>
      </c>
      <c r="N1020">
        <v>0</v>
      </c>
      <c r="O1020" t="s">
        <v>1241</v>
      </c>
      <c r="P1020">
        <v>34.65</v>
      </c>
      <c r="Q1020">
        <v>103.94999999999999</v>
      </c>
      <c r="R1020" s="6"/>
    </row>
    <row r="1021" spans="1:18" x14ac:dyDescent="0.15">
      <c r="A1021" t="s">
        <v>296</v>
      </c>
      <c r="B1021" t="s">
        <v>479</v>
      </c>
      <c r="P1021">
        <v>0.90531307828706442</v>
      </c>
      <c r="R1021" s="6"/>
    </row>
    <row r="1022" spans="1:18" x14ac:dyDescent="0.15">
      <c r="C1022" t="s">
        <v>297</v>
      </c>
      <c r="D1022">
        <v>1</v>
      </c>
      <c r="E1022">
        <v>1</v>
      </c>
      <c r="F1022" t="s">
        <v>9</v>
      </c>
      <c r="G1022">
        <v>0</v>
      </c>
      <c r="H1022">
        <v>0</v>
      </c>
      <c r="I1022" t="s">
        <v>488</v>
      </c>
      <c r="J1022" t="s">
        <v>1234</v>
      </c>
      <c r="K1022" t="s">
        <v>1235</v>
      </c>
      <c r="M1022" t="s">
        <v>487</v>
      </c>
      <c r="N1022">
        <v>0</v>
      </c>
      <c r="O1022" t="s">
        <v>1241</v>
      </c>
      <c r="P1022">
        <v>0.90531307828706442</v>
      </c>
      <c r="Q1022">
        <v>0.90531307828706442</v>
      </c>
      <c r="R1022" s="6"/>
    </row>
    <row r="1023" spans="1:18" x14ac:dyDescent="0.15">
      <c r="A1023" t="s">
        <v>298</v>
      </c>
      <c r="B1023" t="s">
        <v>479</v>
      </c>
      <c r="P1023">
        <v>1.8106261565741288</v>
      </c>
      <c r="R1023" s="6"/>
    </row>
    <row r="1024" spans="1:18" x14ac:dyDescent="0.15">
      <c r="C1024" t="s">
        <v>297</v>
      </c>
      <c r="D1024">
        <v>2</v>
      </c>
      <c r="E1024">
        <v>1</v>
      </c>
      <c r="F1024" t="s">
        <v>9</v>
      </c>
      <c r="G1024">
        <v>0</v>
      </c>
      <c r="H1024">
        <v>0</v>
      </c>
      <c r="I1024" t="s">
        <v>488</v>
      </c>
      <c r="J1024" t="s">
        <v>1234</v>
      </c>
      <c r="K1024" t="s">
        <v>1235</v>
      </c>
      <c r="M1024" t="s">
        <v>487</v>
      </c>
      <c r="N1024">
        <v>0</v>
      </c>
      <c r="O1024" t="s">
        <v>1241</v>
      </c>
      <c r="P1024">
        <v>0.90531307828706442</v>
      </c>
      <c r="Q1024">
        <v>1.8106261565741288</v>
      </c>
      <c r="R1024" s="6"/>
    </row>
    <row r="1025" spans="1:18" x14ac:dyDescent="0.15">
      <c r="A1025" t="s">
        <v>299</v>
      </c>
      <c r="B1025" t="s">
        <v>479</v>
      </c>
      <c r="P1025">
        <v>0.45265653914353221</v>
      </c>
      <c r="R1025" s="6"/>
    </row>
    <row r="1026" spans="1:18" x14ac:dyDescent="0.15">
      <c r="C1026" t="s">
        <v>297</v>
      </c>
      <c r="D1026">
        <v>500</v>
      </c>
      <c r="E1026">
        <v>1000</v>
      </c>
      <c r="F1026" t="s">
        <v>9</v>
      </c>
      <c r="G1026">
        <v>0</v>
      </c>
      <c r="H1026">
        <v>0</v>
      </c>
      <c r="I1026" t="s">
        <v>488</v>
      </c>
      <c r="J1026" t="s">
        <v>1234</v>
      </c>
      <c r="K1026" t="s">
        <v>1235</v>
      </c>
      <c r="M1026" t="s">
        <v>487</v>
      </c>
      <c r="N1026">
        <v>0</v>
      </c>
      <c r="O1026" t="s">
        <v>1241</v>
      </c>
      <c r="P1026">
        <v>0.90531307828706442</v>
      </c>
      <c r="Q1026">
        <v>452.6565391435322</v>
      </c>
      <c r="R1026" s="6"/>
    </row>
    <row r="1027" spans="1:18" x14ac:dyDescent="0.15">
      <c r="A1027" t="s">
        <v>297</v>
      </c>
      <c r="B1027" t="s">
        <v>9</v>
      </c>
      <c r="P1027">
        <v>0.90531307828706442</v>
      </c>
      <c r="R1027" s="6"/>
    </row>
    <row r="1028" spans="1:18" x14ac:dyDescent="0.15">
      <c r="C1028" t="s">
        <v>34</v>
      </c>
      <c r="D1028">
        <v>1</v>
      </c>
      <c r="E1028">
        <v>1</v>
      </c>
      <c r="F1028" t="s">
        <v>9</v>
      </c>
      <c r="G1028">
        <v>3</v>
      </c>
      <c r="H1028">
        <v>0</v>
      </c>
      <c r="I1028" t="s">
        <v>488</v>
      </c>
      <c r="J1028" t="s">
        <v>1234</v>
      </c>
      <c r="K1028" t="s">
        <v>1235</v>
      </c>
      <c r="M1028" t="s">
        <v>487</v>
      </c>
      <c r="N1028">
        <v>0</v>
      </c>
      <c r="O1028" t="s">
        <v>1241</v>
      </c>
      <c r="P1028">
        <v>9.4000000000000004E-3</v>
      </c>
      <c r="Q1028">
        <v>9.6820000000000004</v>
      </c>
      <c r="R1028" s="6"/>
    </row>
    <row r="1029" spans="1:18" x14ac:dyDescent="0.15">
      <c r="C1029" t="s">
        <v>33</v>
      </c>
      <c r="D1029">
        <v>3</v>
      </c>
      <c r="E1029">
        <v>1</v>
      </c>
      <c r="F1029" t="s">
        <v>9</v>
      </c>
      <c r="G1029">
        <v>3</v>
      </c>
      <c r="H1029">
        <v>0</v>
      </c>
      <c r="I1029" t="s">
        <v>488</v>
      </c>
      <c r="J1029" t="s">
        <v>1234</v>
      </c>
      <c r="K1029" t="s">
        <v>1235</v>
      </c>
      <c r="M1029" t="s">
        <v>487</v>
      </c>
      <c r="N1029">
        <v>0</v>
      </c>
      <c r="O1029" t="s">
        <v>1241</v>
      </c>
      <c r="P1029">
        <v>0</v>
      </c>
      <c r="Q1029">
        <v>0</v>
      </c>
      <c r="R1029" s="9" t="s">
        <v>1246</v>
      </c>
    </row>
    <row r="1030" spans="1:18" x14ac:dyDescent="0.15">
      <c r="C1030" t="s">
        <v>29</v>
      </c>
      <c r="D1030">
        <v>1</v>
      </c>
      <c r="E1030">
        <v>1</v>
      </c>
      <c r="F1030" t="s">
        <v>9</v>
      </c>
      <c r="G1030">
        <v>3</v>
      </c>
      <c r="H1030">
        <v>0</v>
      </c>
      <c r="I1030" t="s">
        <v>488</v>
      </c>
      <c r="J1030" t="s">
        <v>1234</v>
      </c>
      <c r="K1030" t="s">
        <v>1235</v>
      </c>
      <c r="M1030" t="s">
        <v>487</v>
      </c>
      <c r="N1030">
        <v>0</v>
      </c>
      <c r="O1030" t="s">
        <v>1241</v>
      </c>
      <c r="P1030">
        <v>0</v>
      </c>
      <c r="Q1030">
        <v>0</v>
      </c>
      <c r="R1030" s="9" t="s">
        <v>1246</v>
      </c>
    </row>
    <row r="1031" spans="1:18" x14ac:dyDescent="0.15">
      <c r="C1031" t="s">
        <v>12</v>
      </c>
      <c r="D1031">
        <v>0.54271356783900004</v>
      </c>
      <c r="E1031">
        <v>1</v>
      </c>
      <c r="F1031" t="s">
        <v>13</v>
      </c>
      <c r="G1031">
        <v>3</v>
      </c>
      <c r="H1031">
        <v>0</v>
      </c>
      <c r="I1031" t="s">
        <v>488</v>
      </c>
      <c r="J1031" t="s">
        <v>1234</v>
      </c>
      <c r="K1031" t="s">
        <v>1235</v>
      </c>
      <c r="M1031" t="s">
        <v>487</v>
      </c>
      <c r="N1031">
        <v>0</v>
      </c>
      <c r="O1031" t="s">
        <v>1241</v>
      </c>
      <c r="P1031">
        <v>1.03E-2</v>
      </c>
      <c r="Q1031">
        <v>5.7576482412039507</v>
      </c>
      <c r="R1031" s="6"/>
    </row>
    <row r="1032" spans="1:18" x14ac:dyDescent="0.15">
      <c r="C1032" t="s">
        <v>14</v>
      </c>
      <c r="D1032">
        <v>0.60301507537700005</v>
      </c>
      <c r="E1032">
        <v>1</v>
      </c>
      <c r="F1032" t="s">
        <v>13</v>
      </c>
      <c r="G1032">
        <v>3</v>
      </c>
      <c r="H1032">
        <v>0</v>
      </c>
      <c r="I1032" t="s">
        <v>488</v>
      </c>
      <c r="J1032" t="s">
        <v>1234</v>
      </c>
      <c r="K1032" t="s">
        <v>1235</v>
      </c>
      <c r="M1032" t="s">
        <v>487</v>
      </c>
      <c r="N1032">
        <v>0</v>
      </c>
      <c r="O1032" t="s">
        <v>1241</v>
      </c>
      <c r="P1032">
        <v>5.4900000000000001E-3</v>
      </c>
      <c r="Q1032">
        <v>3.4098693467343222</v>
      </c>
      <c r="R1032" s="6"/>
    </row>
    <row r="1033" spans="1:18" x14ac:dyDescent="0.15">
      <c r="C1033" t="s">
        <v>15</v>
      </c>
      <c r="D1033">
        <v>12.060301507538</v>
      </c>
      <c r="E1033">
        <v>1000</v>
      </c>
      <c r="F1033" t="s">
        <v>13</v>
      </c>
      <c r="G1033">
        <v>3</v>
      </c>
      <c r="H1033">
        <v>0</v>
      </c>
      <c r="I1033" t="s">
        <v>488</v>
      </c>
      <c r="J1033" t="s">
        <v>1234</v>
      </c>
      <c r="K1033" t="s">
        <v>1235</v>
      </c>
      <c r="M1033" t="s">
        <v>487</v>
      </c>
      <c r="N1033">
        <v>0</v>
      </c>
      <c r="O1033" t="s">
        <v>1241</v>
      </c>
      <c r="P1033">
        <v>7.9819999999999988E-2</v>
      </c>
      <c r="Q1033">
        <v>0.99153286432163357</v>
      </c>
      <c r="R1033" s="6"/>
    </row>
    <row r="1034" spans="1:18" x14ac:dyDescent="0.15">
      <c r="C1034" t="s">
        <v>23</v>
      </c>
      <c r="D1034">
        <v>30.150753768844002</v>
      </c>
      <c r="E1034">
        <v>1000</v>
      </c>
      <c r="F1034" t="s">
        <v>13</v>
      </c>
      <c r="G1034">
        <v>3</v>
      </c>
      <c r="H1034">
        <v>0</v>
      </c>
      <c r="I1034" t="s">
        <v>488</v>
      </c>
      <c r="J1034" t="s">
        <v>1234</v>
      </c>
      <c r="K1034" t="s">
        <v>1235</v>
      </c>
      <c r="M1034" t="s">
        <v>487</v>
      </c>
      <c r="N1034">
        <v>0</v>
      </c>
      <c r="O1034" t="s">
        <v>1241</v>
      </c>
      <c r="P1034">
        <v>2.3609999999999999E-2</v>
      </c>
      <c r="Q1034">
        <v>0.73321507537687913</v>
      </c>
      <c r="R1034" s="6"/>
    </row>
    <row r="1035" spans="1:18" x14ac:dyDescent="0.15">
      <c r="C1035" t="s">
        <v>24</v>
      </c>
      <c r="D1035">
        <v>12.060301507538</v>
      </c>
      <c r="E1035">
        <v>1000</v>
      </c>
      <c r="F1035" t="s">
        <v>13</v>
      </c>
      <c r="G1035">
        <v>3</v>
      </c>
      <c r="H1035">
        <v>0</v>
      </c>
      <c r="I1035" t="s">
        <v>488</v>
      </c>
      <c r="J1035" t="s">
        <v>1234</v>
      </c>
      <c r="K1035" t="s">
        <v>1235</v>
      </c>
      <c r="M1035" t="s">
        <v>487</v>
      </c>
      <c r="N1035">
        <v>0</v>
      </c>
      <c r="O1035" t="s">
        <v>1241</v>
      </c>
      <c r="P1035">
        <v>2.8500000000000001E-2</v>
      </c>
      <c r="Q1035">
        <v>0.35403015075377803</v>
      </c>
      <c r="R1035" s="6"/>
    </row>
    <row r="1036" spans="1:18" x14ac:dyDescent="0.15">
      <c r="C1036" t="s">
        <v>17</v>
      </c>
      <c r="D1036">
        <v>14.492753623188001</v>
      </c>
      <c r="E1036">
        <v>1000</v>
      </c>
      <c r="F1036" t="s">
        <v>18</v>
      </c>
      <c r="G1036">
        <v>0</v>
      </c>
      <c r="H1036">
        <v>0</v>
      </c>
      <c r="I1036" t="s">
        <v>488</v>
      </c>
      <c r="J1036" t="s">
        <v>1234</v>
      </c>
      <c r="K1036" t="s">
        <v>1235</v>
      </c>
      <c r="M1036" t="s">
        <v>487</v>
      </c>
      <c r="N1036">
        <v>0</v>
      </c>
      <c r="O1036" t="s">
        <v>1241</v>
      </c>
      <c r="P1036">
        <v>53.85</v>
      </c>
      <c r="Q1036">
        <v>780.43478260867391</v>
      </c>
      <c r="R1036" s="6"/>
    </row>
    <row r="1037" spans="1:18" x14ac:dyDescent="0.15">
      <c r="C1037" t="s">
        <v>19</v>
      </c>
      <c r="D1037">
        <v>3</v>
      </c>
      <c r="E1037">
        <v>1</v>
      </c>
      <c r="F1037" t="s">
        <v>18</v>
      </c>
      <c r="G1037">
        <v>0</v>
      </c>
      <c r="H1037">
        <v>0</v>
      </c>
      <c r="I1037" t="s">
        <v>488</v>
      </c>
      <c r="J1037" t="s">
        <v>1236</v>
      </c>
      <c r="K1037" t="s">
        <v>1235</v>
      </c>
      <c r="M1037" t="s">
        <v>487</v>
      </c>
      <c r="N1037">
        <v>0</v>
      </c>
      <c r="O1037" t="s">
        <v>1241</v>
      </c>
      <c r="P1037">
        <v>34.65</v>
      </c>
      <c r="Q1037">
        <v>103.94999999999999</v>
      </c>
      <c r="R1037" s="6"/>
    </row>
    <row r="1038" spans="1:18" x14ac:dyDescent="0.15">
      <c r="A1038" t="s">
        <v>300</v>
      </c>
      <c r="B1038" t="s">
        <v>479</v>
      </c>
      <c r="P1038">
        <v>0.83054768746904761</v>
      </c>
      <c r="R1038" s="6"/>
    </row>
    <row r="1039" spans="1:18" x14ac:dyDescent="0.15">
      <c r="C1039" t="s">
        <v>301</v>
      </c>
      <c r="D1039">
        <v>1</v>
      </c>
      <c r="E1039">
        <v>1</v>
      </c>
      <c r="F1039" t="s">
        <v>9</v>
      </c>
      <c r="G1039">
        <v>0</v>
      </c>
      <c r="H1039">
        <v>0</v>
      </c>
      <c r="I1039" t="s">
        <v>488</v>
      </c>
      <c r="J1039" t="s">
        <v>1234</v>
      </c>
      <c r="K1039" t="s">
        <v>1235</v>
      </c>
      <c r="M1039" t="s">
        <v>487</v>
      </c>
      <c r="N1039">
        <v>0</v>
      </c>
      <c r="O1039" t="s">
        <v>1241</v>
      </c>
      <c r="P1039">
        <v>0.83054768746904761</v>
      </c>
      <c r="Q1039">
        <v>0.83054768746904761</v>
      </c>
      <c r="R1039" s="6"/>
    </row>
    <row r="1040" spans="1:18" x14ac:dyDescent="0.15">
      <c r="A1040" t="s">
        <v>302</v>
      </c>
      <c r="B1040" t="s">
        <v>479</v>
      </c>
      <c r="P1040">
        <v>1.6610953749380952</v>
      </c>
      <c r="R1040" s="6"/>
    </row>
    <row r="1041" spans="1:18" x14ac:dyDescent="0.15">
      <c r="C1041" t="s">
        <v>301</v>
      </c>
      <c r="D1041">
        <v>2</v>
      </c>
      <c r="E1041">
        <v>1</v>
      </c>
      <c r="F1041" t="s">
        <v>9</v>
      </c>
      <c r="G1041">
        <v>0</v>
      </c>
      <c r="H1041">
        <v>0</v>
      </c>
      <c r="I1041" t="s">
        <v>488</v>
      </c>
      <c r="J1041" t="s">
        <v>1234</v>
      </c>
      <c r="K1041" t="s">
        <v>1235</v>
      </c>
      <c r="M1041" t="s">
        <v>487</v>
      </c>
      <c r="N1041">
        <v>0</v>
      </c>
      <c r="O1041" t="s">
        <v>1241</v>
      </c>
      <c r="P1041">
        <v>0.83054768746904761</v>
      </c>
      <c r="Q1041">
        <v>1.6610953749380952</v>
      </c>
      <c r="R1041" s="6"/>
    </row>
    <row r="1042" spans="1:18" x14ac:dyDescent="0.15">
      <c r="A1042" t="s">
        <v>303</v>
      </c>
      <c r="B1042" t="s">
        <v>479</v>
      </c>
      <c r="P1042">
        <v>0.41527384373452381</v>
      </c>
      <c r="R1042" s="6"/>
    </row>
    <row r="1043" spans="1:18" x14ac:dyDescent="0.15">
      <c r="C1043" t="s">
        <v>301</v>
      </c>
      <c r="D1043">
        <v>500</v>
      </c>
      <c r="E1043">
        <v>1000</v>
      </c>
      <c r="F1043" t="s">
        <v>9</v>
      </c>
      <c r="G1043">
        <v>0</v>
      </c>
      <c r="H1043">
        <v>0</v>
      </c>
      <c r="I1043" t="s">
        <v>488</v>
      </c>
      <c r="J1043" t="s">
        <v>1234</v>
      </c>
      <c r="K1043" t="s">
        <v>1235</v>
      </c>
      <c r="M1043" t="s">
        <v>487</v>
      </c>
      <c r="N1043">
        <v>0</v>
      </c>
      <c r="O1043" t="s">
        <v>1241</v>
      </c>
      <c r="P1043">
        <v>0.83054768746904761</v>
      </c>
      <c r="Q1043">
        <v>415.27384373452378</v>
      </c>
      <c r="R1043" s="6"/>
    </row>
    <row r="1044" spans="1:18" x14ac:dyDescent="0.15">
      <c r="A1044" t="s">
        <v>301</v>
      </c>
      <c r="B1044" t="s">
        <v>9</v>
      </c>
      <c r="P1044">
        <v>0.83054768746904761</v>
      </c>
      <c r="R1044" s="6"/>
    </row>
    <row r="1045" spans="1:18" x14ac:dyDescent="0.15">
      <c r="C1045" t="s">
        <v>33</v>
      </c>
      <c r="D1045">
        <v>12</v>
      </c>
      <c r="E1045">
        <v>1</v>
      </c>
      <c r="F1045" t="s">
        <v>9</v>
      </c>
      <c r="G1045">
        <v>3</v>
      </c>
      <c r="H1045">
        <v>0</v>
      </c>
      <c r="I1045" t="s">
        <v>488</v>
      </c>
      <c r="J1045" t="s">
        <v>1234</v>
      </c>
      <c r="K1045" t="s">
        <v>1235</v>
      </c>
      <c r="M1045" t="s">
        <v>487</v>
      </c>
      <c r="N1045">
        <v>0</v>
      </c>
      <c r="O1045" t="s">
        <v>1241</v>
      </c>
      <c r="P1045">
        <v>0</v>
      </c>
      <c r="Q1045">
        <v>0</v>
      </c>
      <c r="R1045" s="9" t="s">
        <v>1246</v>
      </c>
    </row>
    <row r="1046" spans="1:18" x14ac:dyDescent="0.15">
      <c r="C1046" t="s">
        <v>12</v>
      </c>
      <c r="D1046">
        <v>1.7475376884420002</v>
      </c>
      <c r="E1046">
        <v>1</v>
      </c>
      <c r="F1046" t="s">
        <v>13</v>
      </c>
      <c r="G1046">
        <v>3</v>
      </c>
      <c r="H1046">
        <v>0</v>
      </c>
      <c r="I1046" t="s">
        <v>488</v>
      </c>
      <c r="J1046" t="s">
        <v>1234</v>
      </c>
      <c r="K1046" t="s">
        <v>1235</v>
      </c>
      <c r="M1046" t="s">
        <v>487</v>
      </c>
      <c r="N1046">
        <v>0</v>
      </c>
      <c r="O1046" t="s">
        <v>1241</v>
      </c>
      <c r="P1046">
        <v>1.03E-2</v>
      </c>
      <c r="Q1046">
        <v>18.539627336681182</v>
      </c>
      <c r="R1046" s="6"/>
    </row>
    <row r="1047" spans="1:18" x14ac:dyDescent="0.15">
      <c r="C1047" t="s">
        <v>14</v>
      </c>
      <c r="D1047">
        <v>1.9417085427140002</v>
      </c>
      <c r="E1047">
        <v>1</v>
      </c>
      <c r="F1047" t="s">
        <v>13</v>
      </c>
      <c r="G1047">
        <v>3</v>
      </c>
      <c r="H1047">
        <v>0</v>
      </c>
      <c r="I1047" t="s">
        <v>488</v>
      </c>
      <c r="J1047" t="s">
        <v>1234</v>
      </c>
      <c r="K1047" t="s">
        <v>1235</v>
      </c>
      <c r="M1047" t="s">
        <v>487</v>
      </c>
      <c r="N1047">
        <v>0</v>
      </c>
      <c r="O1047" t="s">
        <v>1241</v>
      </c>
      <c r="P1047">
        <v>5.4900000000000001E-3</v>
      </c>
      <c r="Q1047">
        <v>10.979779296484857</v>
      </c>
      <c r="R1047" s="6"/>
    </row>
    <row r="1048" spans="1:18" x14ac:dyDescent="0.15">
      <c r="C1048" t="s">
        <v>15</v>
      </c>
      <c r="D1048">
        <v>38.834170854271001</v>
      </c>
      <c r="E1048">
        <v>1000</v>
      </c>
      <c r="F1048" t="s">
        <v>13</v>
      </c>
      <c r="G1048">
        <v>3</v>
      </c>
      <c r="H1048">
        <v>0</v>
      </c>
      <c r="I1048" t="s">
        <v>488</v>
      </c>
      <c r="J1048" t="s">
        <v>1234</v>
      </c>
      <c r="K1048" t="s">
        <v>1235</v>
      </c>
      <c r="M1048" t="s">
        <v>487</v>
      </c>
      <c r="N1048">
        <v>0</v>
      </c>
      <c r="O1048" t="s">
        <v>1241</v>
      </c>
      <c r="P1048">
        <v>7.9819999999999988E-2</v>
      </c>
      <c r="Q1048">
        <v>3.192735823115548</v>
      </c>
      <c r="R1048" s="6"/>
    </row>
    <row r="1049" spans="1:18" x14ac:dyDescent="0.15">
      <c r="C1049" t="s">
        <v>23</v>
      </c>
      <c r="D1049">
        <v>97.085427135678003</v>
      </c>
      <c r="E1049">
        <v>1000</v>
      </c>
      <c r="F1049" t="s">
        <v>13</v>
      </c>
      <c r="G1049">
        <v>3</v>
      </c>
      <c r="H1049">
        <v>0</v>
      </c>
      <c r="I1049" t="s">
        <v>488</v>
      </c>
      <c r="J1049" t="s">
        <v>1234</v>
      </c>
      <c r="K1049" t="s">
        <v>1235</v>
      </c>
      <c r="M1049" t="s">
        <v>487</v>
      </c>
      <c r="N1049">
        <v>0</v>
      </c>
      <c r="O1049" t="s">
        <v>1241</v>
      </c>
      <c r="P1049">
        <v>2.3609999999999999E-2</v>
      </c>
      <c r="Q1049">
        <v>2.3609525427135583</v>
      </c>
      <c r="R1049" s="6"/>
    </row>
    <row r="1050" spans="1:18" x14ac:dyDescent="0.15">
      <c r="C1050" t="s">
        <v>24</v>
      </c>
      <c r="D1050">
        <v>38.834170854271001</v>
      </c>
      <c r="E1050">
        <v>1000</v>
      </c>
      <c r="F1050" t="s">
        <v>13</v>
      </c>
      <c r="G1050">
        <v>3</v>
      </c>
      <c r="H1050">
        <v>0</v>
      </c>
      <c r="I1050" t="s">
        <v>488</v>
      </c>
      <c r="J1050" t="s">
        <v>1234</v>
      </c>
      <c r="K1050" t="s">
        <v>1235</v>
      </c>
      <c r="M1050" t="s">
        <v>487</v>
      </c>
      <c r="N1050">
        <v>0</v>
      </c>
      <c r="O1050" t="s">
        <v>1241</v>
      </c>
      <c r="P1050">
        <v>2.8500000000000001E-2</v>
      </c>
      <c r="Q1050">
        <v>1.1399770854271252</v>
      </c>
      <c r="R1050" s="6"/>
    </row>
    <row r="1051" spans="1:18" x14ac:dyDescent="0.15">
      <c r="C1051" t="s">
        <v>17</v>
      </c>
      <c r="D1051">
        <v>12.820512820513002</v>
      </c>
      <c r="E1051">
        <v>1000</v>
      </c>
      <c r="F1051" t="s">
        <v>18</v>
      </c>
      <c r="G1051">
        <v>0</v>
      </c>
      <c r="H1051">
        <v>0</v>
      </c>
      <c r="I1051" t="s">
        <v>488</v>
      </c>
      <c r="J1051" t="s">
        <v>1234</v>
      </c>
      <c r="K1051" t="s">
        <v>1235</v>
      </c>
      <c r="M1051" t="s">
        <v>487</v>
      </c>
      <c r="N1051">
        <v>0</v>
      </c>
      <c r="O1051" t="s">
        <v>1241</v>
      </c>
      <c r="P1051">
        <v>53.85</v>
      </c>
      <c r="Q1051">
        <v>690.38461538462525</v>
      </c>
      <c r="R1051" s="6"/>
    </row>
    <row r="1052" spans="1:18" x14ac:dyDescent="0.15">
      <c r="C1052" t="s">
        <v>19</v>
      </c>
      <c r="D1052">
        <v>3</v>
      </c>
      <c r="E1052">
        <v>1</v>
      </c>
      <c r="F1052" t="s">
        <v>18</v>
      </c>
      <c r="G1052">
        <v>0</v>
      </c>
      <c r="H1052">
        <v>0</v>
      </c>
      <c r="I1052" t="s">
        <v>488</v>
      </c>
      <c r="J1052" t="s">
        <v>1236</v>
      </c>
      <c r="K1052" t="s">
        <v>1235</v>
      </c>
      <c r="M1052" t="s">
        <v>487</v>
      </c>
      <c r="N1052">
        <v>0</v>
      </c>
      <c r="O1052" t="s">
        <v>1241</v>
      </c>
      <c r="P1052">
        <v>34.65</v>
      </c>
      <c r="Q1052">
        <v>103.94999999999999</v>
      </c>
      <c r="R1052" s="6"/>
    </row>
    <row r="1053" spans="1:18" x14ac:dyDescent="0.15">
      <c r="A1053" t="s">
        <v>304</v>
      </c>
      <c r="B1053" t="s">
        <v>479</v>
      </c>
      <c r="P1053">
        <v>0.96120612784078607</v>
      </c>
      <c r="R1053" s="6"/>
    </row>
    <row r="1054" spans="1:18" x14ac:dyDescent="0.15">
      <c r="C1054" t="s">
        <v>305</v>
      </c>
      <c r="D1054">
        <v>1</v>
      </c>
      <c r="E1054">
        <v>1</v>
      </c>
      <c r="F1054" t="s">
        <v>9</v>
      </c>
      <c r="G1054">
        <v>0</v>
      </c>
      <c r="H1054">
        <v>0</v>
      </c>
      <c r="I1054" t="s">
        <v>488</v>
      </c>
      <c r="J1054" t="s">
        <v>1234</v>
      </c>
      <c r="K1054" t="s">
        <v>1235</v>
      </c>
      <c r="M1054" t="s">
        <v>487</v>
      </c>
      <c r="N1054">
        <v>0</v>
      </c>
      <c r="O1054" t="s">
        <v>1241</v>
      </c>
      <c r="P1054">
        <v>0.96120612784078607</v>
      </c>
      <c r="Q1054">
        <v>0.96120612784078607</v>
      </c>
      <c r="R1054" s="6"/>
    </row>
    <row r="1055" spans="1:18" x14ac:dyDescent="0.15">
      <c r="A1055" t="s">
        <v>306</v>
      </c>
      <c r="B1055" t="s">
        <v>479</v>
      </c>
      <c r="P1055">
        <v>1.9224122556815721</v>
      </c>
      <c r="R1055" s="6"/>
    </row>
    <row r="1056" spans="1:18" x14ac:dyDescent="0.15">
      <c r="C1056" t="s">
        <v>305</v>
      </c>
      <c r="D1056">
        <v>2</v>
      </c>
      <c r="E1056">
        <v>1</v>
      </c>
      <c r="F1056" t="s">
        <v>9</v>
      </c>
      <c r="G1056">
        <v>0</v>
      </c>
      <c r="H1056">
        <v>0</v>
      </c>
      <c r="I1056" t="s">
        <v>488</v>
      </c>
      <c r="J1056" t="s">
        <v>1234</v>
      </c>
      <c r="K1056" t="s">
        <v>1235</v>
      </c>
      <c r="M1056" t="s">
        <v>487</v>
      </c>
      <c r="N1056">
        <v>0</v>
      </c>
      <c r="O1056" t="s">
        <v>1241</v>
      </c>
      <c r="P1056">
        <v>0.96120612784078607</v>
      </c>
      <c r="Q1056">
        <v>1.9224122556815721</v>
      </c>
      <c r="R1056" s="6"/>
    </row>
    <row r="1057" spans="1:18" x14ac:dyDescent="0.15">
      <c r="A1057" t="s">
        <v>307</v>
      </c>
      <c r="B1057" t="s">
        <v>479</v>
      </c>
      <c r="P1057">
        <v>0.48060306392039304</v>
      </c>
      <c r="R1057" s="6"/>
    </row>
    <row r="1058" spans="1:18" x14ac:dyDescent="0.15">
      <c r="C1058" t="s">
        <v>305</v>
      </c>
      <c r="D1058">
        <v>500</v>
      </c>
      <c r="E1058">
        <v>1000</v>
      </c>
      <c r="F1058" t="s">
        <v>9</v>
      </c>
      <c r="G1058">
        <v>0</v>
      </c>
      <c r="H1058">
        <v>0</v>
      </c>
      <c r="I1058" t="s">
        <v>488</v>
      </c>
      <c r="J1058" t="s">
        <v>1234</v>
      </c>
      <c r="K1058" t="s">
        <v>1235</v>
      </c>
      <c r="M1058" t="s">
        <v>487</v>
      </c>
      <c r="N1058">
        <v>0</v>
      </c>
      <c r="O1058" t="s">
        <v>1241</v>
      </c>
      <c r="P1058">
        <v>0.96120612784078607</v>
      </c>
      <c r="Q1058">
        <v>480.60306392039303</v>
      </c>
      <c r="R1058" s="6"/>
    </row>
    <row r="1059" spans="1:18" x14ac:dyDescent="0.15">
      <c r="A1059" t="s">
        <v>305</v>
      </c>
      <c r="B1059" t="s">
        <v>9</v>
      </c>
      <c r="P1059">
        <v>0.96120612784078607</v>
      </c>
      <c r="R1059" s="6"/>
    </row>
    <row r="1060" spans="1:18" x14ac:dyDescent="0.15">
      <c r="C1060" t="s">
        <v>22</v>
      </c>
      <c r="D1060">
        <v>12</v>
      </c>
      <c r="E1060">
        <v>1</v>
      </c>
      <c r="F1060" t="s">
        <v>9</v>
      </c>
      <c r="G1060">
        <v>3</v>
      </c>
      <c r="H1060">
        <v>0</v>
      </c>
      <c r="I1060" t="s">
        <v>488</v>
      </c>
      <c r="J1060" t="s">
        <v>1234</v>
      </c>
      <c r="K1060" t="s">
        <v>1235</v>
      </c>
      <c r="M1060" t="s">
        <v>487</v>
      </c>
      <c r="N1060">
        <v>0</v>
      </c>
      <c r="O1060" t="s">
        <v>1241</v>
      </c>
      <c r="P1060">
        <v>0</v>
      </c>
      <c r="Q1060">
        <v>0</v>
      </c>
      <c r="R1060" s="9" t="s">
        <v>1246</v>
      </c>
    </row>
    <row r="1061" spans="1:18" x14ac:dyDescent="0.15">
      <c r="C1061" t="s">
        <v>12</v>
      </c>
      <c r="D1061">
        <v>3.6042964824119998</v>
      </c>
      <c r="E1061">
        <v>1</v>
      </c>
      <c r="F1061" t="s">
        <v>13</v>
      </c>
      <c r="G1061">
        <v>3</v>
      </c>
      <c r="H1061">
        <v>0</v>
      </c>
      <c r="I1061" t="s">
        <v>488</v>
      </c>
      <c r="J1061" t="s">
        <v>1234</v>
      </c>
      <c r="K1061" t="s">
        <v>1235</v>
      </c>
      <c r="M1061" t="s">
        <v>487</v>
      </c>
      <c r="N1061">
        <v>0</v>
      </c>
      <c r="O1061" t="s">
        <v>1241</v>
      </c>
      <c r="P1061">
        <v>1.03E-2</v>
      </c>
      <c r="Q1061">
        <v>38.237981381908909</v>
      </c>
      <c r="R1061" s="6"/>
    </row>
    <row r="1062" spans="1:18" x14ac:dyDescent="0.15">
      <c r="C1062" t="s">
        <v>14</v>
      </c>
      <c r="D1062">
        <v>4.0047738693469999</v>
      </c>
      <c r="E1062">
        <v>1</v>
      </c>
      <c r="F1062" t="s">
        <v>13</v>
      </c>
      <c r="G1062">
        <v>3</v>
      </c>
      <c r="H1062">
        <v>0</v>
      </c>
      <c r="I1062" t="s">
        <v>488</v>
      </c>
      <c r="J1062" t="s">
        <v>1234</v>
      </c>
      <c r="K1062" t="s">
        <v>1235</v>
      </c>
      <c r="M1062" t="s">
        <v>487</v>
      </c>
      <c r="N1062">
        <v>0</v>
      </c>
      <c r="O1062" t="s">
        <v>1241</v>
      </c>
      <c r="P1062">
        <v>5.4900000000000001E-3</v>
      </c>
      <c r="Q1062">
        <v>22.64579479899648</v>
      </c>
      <c r="R1062" s="6"/>
    </row>
    <row r="1063" spans="1:18" x14ac:dyDescent="0.15">
      <c r="C1063" t="s">
        <v>15</v>
      </c>
      <c r="D1063">
        <v>80.095477386935002</v>
      </c>
      <c r="E1063">
        <v>1000</v>
      </c>
      <c r="F1063" t="s">
        <v>13</v>
      </c>
      <c r="G1063">
        <v>3</v>
      </c>
      <c r="H1063">
        <v>0</v>
      </c>
      <c r="I1063" t="s">
        <v>488</v>
      </c>
      <c r="J1063" t="s">
        <v>1234</v>
      </c>
      <c r="K1063" t="s">
        <v>1235</v>
      </c>
      <c r="M1063" t="s">
        <v>487</v>
      </c>
      <c r="N1063">
        <v>0</v>
      </c>
      <c r="O1063" t="s">
        <v>1241</v>
      </c>
      <c r="P1063">
        <v>7.9819999999999988E-2</v>
      </c>
      <c r="Q1063">
        <v>6.5850176351759053</v>
      </c>
      <c r="R1063" s="6"/>
    </row>
    <row r="1064" spans="1:18" x14ac:dyDescent="0.15">
      <c r="C1064" t="s">
        <v>23</v>
      </c>
      <c r="D1064">
        <v>0.20023869346699999</v>
      </c>
      <c r="E1064">
        <v>1</v>
      </c>
      <c r="F1064" t="s">
        <v>13</v>
      </c>
      <c r="G1064">
        <v>3</v>
      </c>
      <c r="H1064">
        <v>0</v>
      </c>
      <c r="I1064" t="s">
        <v>488</v>
      </c>
      <c r="J1064" t="s">
        <v>1234</v>
      </c>
      <c r="K1064" t="s">
        <v>1235</v>
      </c>
      <c r="M1064" t="s">
        <v>487</v>
      </c>
      <c r="N1064">
        <v>0</v>
      </c>
      <c r="O1064" t="s">
        <v>1241</v>
      </c>
      <c r="P1064">
        <v>2.3609999999999999E-2</v>
      </c>
      <c r="Q1064">
        <v>4.8694646193385456</v>
      </c>
      <c r="R1064" s="6"/>
    </row>
    <row r="1065" spans="1:18" x14ac:dyDescent="0.15">
      <c r="C1065" t="s">
        <v>24</v>
      </c>
      <c r="D1065">
        <v>80.095477386935002</v>
      </c>
      <c r="E1065">
        <v>1000</v>
      </c>
      <c r="F1065" t="s">
        <v>13</v>
      </c>
      <c r="G1065">
        <v>3</v>
      </c>
      <c r="H1065">
        <v>0</v>
      </c>
      <c r="I1065" t="s">
        <v>488</v>
      </c>
      <c r="J1065" t="s">
        <v>1234</v>
      </c>
      <c r="K1065" t="s">
        <v>1235</v>
      </c>
      <c r="M1065" t="s">
        <v>487</v>
      </c>
      <c r="N1065">
        <v>0</v>
      </c>
      <c r="O1065" t="s">
        <v>1241</v>
      </c>
      <c r="P1065">
        <v>2.8500000000000001E-2</v>
      </c>
      <c r="Q1065">
        <v>2.3512027386934768</v>
      </c>
      <c r="R1065" s="6"/>
    </row>
    <row r="1066" spans="1:18" x14ac:dyDescent="0.15">
      <c r="C1066" t="s">
        <v>17</v>
      </c>
      <c r="D1066">
        <v>13.888888888889001</v>
      </c>
      <c r="E1066">
        <v>1000</v>
      </c>
      <c r="F1066" t="s">
        <v>18</v>
      </c>
      <c r="G1066">
        <v>0</v>
      </c>
      <c r="H1066">
        <v>0</v>
      </c>
      <c r="I1066" t="s">
        <v>488</v>
      </c>
      <c r="J1066" t="s">
        <v>1234</v>
      </c>
      <c r="K1066" t="s">
        <v>1235</v>
      </c>
      <c r="M1066" t="s">
        <v>487</v>
      </c>
      <c r="N1066">
        <v>0</v>
      </c>
      <c r="O1066" t="s">
        <v>1241</v>
      </c>
      <c r="P1066">
        <v>53.85</v>
      </c>
      <c r="Q1066">
        <v>747.91666666667277</v>
      </c>
      <c r="R1066" s="6"/>
    </row>
    <row r="1067" spans="1:18" x14ac:dyDescent="0.15">
      <c r="C1067" t="s">
        <v>19</v>
      </c>
      <c r="D1067">
        <v>4</v>
      </c>
      <c r="E1067">
        <v>1</v>
      </c>
      <c r="F1067" t="s">
        <v>18</v>
      </c>
      <c r="G1067">
        <v>0</v>
      </c>
      <c r="H1067">
        <v>0</v>
      </c>
      <c r="I1067" t="s">
        <v>488</v>
      </c>
      <c r="J1067" t="s">
        <v>1236</v>
      </c>
      <c r="K1067" t="s">
        <v>1235</v>
      </c>
      <c r="M1067" t="s">
        <v>487</v>
      </c>
      <c r="N1067">
        <v>0</v>
      </c>
      <c r="O1067" t="s">
        <v>1241</v>
      </c>
      <c r="P1067">
        <v>34.65</v>
      </c>
      <c r="Q1067">
        <v>138.6</v>
      </c>
      <c r="R1067" s="6"/>
    </row>
    <row r="1068" spans="1:18" x14ac:dyDescent="0.15">
      <c r="A1068" t="s">
        <v>308</v>
      </c>
      <c r="B1068" t="s">
        <v>479</v>
      </c>
      <c r="P1068">
        <v>0.97929860601340168</v>
      </c>
      <c r="R1068" s="6"/>
    </row>
    <row r="1069" spans="1:18" x14ac:dyDescent="0.15">
      <c r="C1069" t="s">
        <v>309</v>
      </c>
      <c r="D1069">
        <v>1</v>
      </c>
      <c r="E1069">
        <v>1</v>
      </c>
      <c r="F1069" t="s">
        <v>9</v>
      </c>
      <c r="G1069">
        <v>0</v>
      </c>
      <c r="H1069">
        <v>0</v>
      </c>
      <c r="I1069" t="s">
        <v>488</v>
      </c>
      <c r="J1069" t="s">
        <v>1234</v>
      </c>
      <c r="K1069" t="s">
        <v>1235</v>
      </c>
      <c r="M1069" t="s">
        <v>487</v>
      </c>
      <c r="N1069">
        <v>0</v>
      </c>
      <c r="O1069" t="s">
        <v>1241</v>
      </c>
      <c r="P1069">
        <v>0.97929860601340168</v>
      </c>
      <c r="Q1069">
        <v>0.97929860601340168</v>
      </c>
      <c r="R1069" s="6"/>
    </row>
    <row r="1070" spans="1:18" x14ac:dyDescent="0.15">
      <c r="A1070" t="s">
        <v>310</v>
      </c>
      <c r="B1070" t="s">
        <v>479</v>
      </c>
      <c r="P1070">
        <v>1.9585972120268034</v>
      </c>
      <c r="R1070" s="6"/>
    </row>
    <row r="1071" spans="1:18" x14ac:dyDescent="0.15">
      <c r="C1071" t="s">
        <v>309</v>
      </c>
      <c r="D1071">
        <v>2</v>
      </c>
      <c r="E1071">
        <v>1</v>
      </c>
      <c r="F1071" t="s">
        <v>9</v>
      </c>
      <c r="G1071">
        <v>0</v>
      </c>
      <c r="H1071">
        <v>0</v>
      </c>
      <c r="I1071" t="s">
        <v>488</v>
      </c>
      <c r="J1071" t="s">
        <v>1234</v>
      </c>
      <c r="K1071" t="s">
        <v>1235</v>
      </c>
      <c r="M1071" t="s">
        <v>487</v>
      </c>
      <c r="N1071">
        <v>0</v>
      </c>
      <c r="O1071" t="s">
        <v>1241</v>
      </c>
      <c r="P1071">
        <v>0.97929860601340168</v>
      </c>
      <c r="Q1071">
        <v>1.9585972120268034</v>
      </c>
      <c r="R1071" s="6"/>
    </row>
    <row r="1072" spans="1:18" x14ac:dyDescent="0.15">
      <c r="A1072" t="s">
        <v>311</v>
      </c>
      <c r="B1072" t="s">
        <v>479</v>
      </c>
      <c r="P1072">
        <v>0.48964930300670084</v>
      </c>
      <c r="R1072" s="6"/>
    </row>
    <row r="1073" spans="1:18" x14ac:dyDescent="0.15">
      <c r="C1073" t="s">
        <v>309</v>
      </c>
      <c r="D1073">
        <v>500</v>
      </c>
      <c r="E1073">
        <v>1000</v>
      </c>
      <c r="F1073" t="s">
        <v>9</v>
      </c>
      <c r="G1073">
        <v>0</v>
      </c>
      <c r="H1073">
        <v>0</v>
      </c>
      <c r="I1073" t="s">
        <v>488</v>
      </c>
      <c r="J1073" t="s">
        <v>1234</v>
      </c>
      <c r="K1073" t="s">
        <v>1235</v>
      </c>
      <c r="M1073" t="s">
        <v>487</v>
      </c>
      <c r="N1073">
        <v>0</v>
      </c>
      <c r="O1073" t="s">
        <v>1241</v>
      </c>
      <c r="P1073">
        <v>0.97929860601340168</v>
      </c>
      <c r="Q1073">
        <v>489.64930300670085</v>
      </c>
      <c r="R1073" s="6"/>
    </row>
    <row r="1074" spans="1:18" x14ac:dyDescent="0.15">
      <c r="A1074" t="s">
        <v>309</v>
      </c>
      <c r="B1074" t="s">
        <v>9</v>
      </c>
      <c r="P1074">
        <v>0.97929860601340168</v>
      </c>
      <c r="R1074" s="6"/>
    </row>
    <row r="1075" spans="1:18" x14ac:dyDescent="0.15">
      <c r="C1075" t="s">
        <v>22</v>
      </c>
      <c r="D1075">
        <v>16</v>
      </c>
      <c r="E1075">
        <v>1</v>
      </c>
      <c r="F1075" t="s">
        <v>9</v>
      </c>
      <c r="G1075">
        <v>3</v>
      </c>
      <c r="H1075">
        <v>0</v>
      </c>
      <c r="I1075" t="s">
        <v>488</v>
      </c>
      <c r="J1075" t="s">
        <v>1234</v>
      </c>
      <c r="K1075" t="s">
        <v>1235</v>
      </c>
      <c r="M1075" t="s">
        <v>487</v>
      </c>
      <c r="N1075">
        <v>0</v>
      </c>
      <c r="O1075" t="s">
        <v>1241</v>
      </c>
      <c r="P1075">
        <v>0</v>
      </c>
      <c r="Q1075">
        <v>0</v>
      </c>
      <c r="R1075" s="9" t="s">
        <v>1246</v>
      </c>
    </row>
    <row r="1076" spans="1:18" x14ac:dyDescent="0.15">
      <c r="C1076" t="s">
        <v>12</v>
      </c>
      <c r="D1076">
        <v>4.4773869346729995</v>
      </c>
      <c r="E1076">
        <v>1</v>
      </c>
      <c r="F1076" t="s">
        <v>13</v>
      </c>
      <c r="G1076">
        <v>3</v>
      </c>
      <c r="H1076">
        <v>0</v>
      </c>
      <c r="I1076" t="s">
        <v>488</v>
      </c>
      <c r="J1076" t="s">
        <v>1234</v>
      </c>
      <c r="K1076" t="s">
        <v>1235</v>
      </c>
      <c r="M1076" t="s">
        <v>487</v>
      </c>
      <c r="N1076">
        <v>0</v>
      </c>
      <c r="O1076" t="s">
        <v>1241</v>
      </c>
      <c r="P1076">
        <v>1.03E-2</v>
      </c>
      <c r="Q1076">
        <v>47.500597989945852</v>
      </c>
      <c r="R1076" s="6"/>
    </row>
    <row r="1077" spans="1:18" x14ac:dyDescent="0.15">
      <c r="C1077" t="s">
        <v>14</v>
      </c>
      <c r="D1077">
        <v>4.9748743718589994</v>
      </c>
      <c r="E1077">
        <v>1</v>
      </c>
      <c r="F1077" t="s">
        <v>13</v>
      </c>
      <c r="G1077">
        <v>3</v>
      </c>
      <c r="H1077">
        <v>0</v>
      </c>
      <c r="I1077" t="s">
        <v>488</v>
      </c>
      <c r="J1077" t="s">
        <v>1234</v>
      </c>
      <c r="K1077" t="s">
        <v>1235</v>
      </c>
      <c r="M1077" t="s">
        <v>487</v>
      </c>
      <c r="N1077">
        <v>0</v>
      </c>
      <c r="O1077" t="s">
        <v>1241</v>
      </c>
      <c r="P1077">
        <v>5.4900000000000001E-3</v>
      </c>
      <c r="Q1077">
        <v>28.131422110551085</v>
      </c>
      <c r="R1077" s="6"/>
    </row>
    <row r="1078" spans="1:18" x14ac:dyDescent="0.15">
      <c r="C1078" t="s">
        <v>15</v>
      </c>
      <c r="D1078">
        <v>99.49748743718601</v>
      </c>
      <c r="E1078">
        <v>1000</v>
      </c>
      <c r="F1078" t="s">
        <v>13</v>
      </c>
      <c r="G1078">
        <v>3</v>
      </c>
      <c r="H1078">
        <v>0</v>
      </c>
      <c r="I1078" t="s">
        <v>488</v>
      </c>
      <c r="J1078" t="s">
        <v>1234</v>
      </c>
      <c r="K1078" t="s">
        <v>1235</v>
      </c>
      <c r="M1078" t="s">
        <v>487</v>
      </c>
      <c r="N1078">
        <v>0</v>
      </c>
      <c r="O1078" t="s">
        <v>1241</v>
      </c>
      <c r="P1078">
        <v>7.9819999999999988E-2</v>
      </c>
      <c r="Q1078">
        <v>8.1801461306532719</v>
      </c>
      <c r="R1078" s="6"/>
    </row>
    <row r="1079" spans="1:18" x14ac:dyDescent="0.15">
      <c r="C1079" t="s">
        <v>23</v>
      </c>
      <c r="D1079">
        <v>0.24874371859300001</v>
      </c>
      <c r="E1079">
        <v>1</v>
      </c>
      <c r="F1079" t="s">
        <v>13</v>
      </c>
      <c r="G1079">
        <v>3</v>
      </c>
      <c r="H1079">
        <v>0</v>
      </c>
      <c r="I1079" t="s">
        <v>488</v>
      </c>
      <c r="J1079" t="s">
        <v>1234</v>
      </c>
      <c r="K1079" t="s">
        <v>1235</v>
      </c>
      <c r="M1079" t="s">
        <v>487</v>
      </c>
      <c r="N1079">
        <v>0</v>
      </c>
      <c r="O1079" t="s">
        <v>1241</v>
      </c>
      <c r="P1079">
        <v>2.3609999999999999E-2</v>
      </c>
      <c r="Q1079">
        <v>6.0490243718601517</v>
      </c>
      <c r="R1079" s="6"/>
    </row>
    <row r="1080" spans="1:18" x14ac:dyDescent="0.15">
      <c r="C1080" t="s">
        <v>24</v>
      </c>
      <c r="D1080">
        <v>99.49748743718601</v>
      </c>
      <c r="E1080">
        <v>1000</v>
      </c>
      <c r="F1080" t="s">
        <v>13</v>
      </c>
      <c r="G1080">
        <v>3</v>
      </c>
      <c r="H1080">
        <v>0</v>
      </c>
      <c r="I1080" t="s">
        <v>488</v>
      </c>
      <c r="J1080" t="s">
        <v>1234</v>
      </c>
      <c r="K1080" t="s">
        <v>1235</v>
      </c>
      <c r="M1080" t="s">
        <v>487</v>
      </c>
      <c r="N1080">
        <v>0</v>
      </c>
      <c r="O1080" t="s">
        <v>1241</v>
      </c>
      <c r="P1080">
        <v>2.8500000000000001E-2</v>
      </c>
      <c r="Q1080">
        <v>2.9207487437185953</v>
      </c>
      <c r="R1080" s="6"/>
    </row>
    <row r="1081" spans="1:18" x14ac:dyDescent="0.15">
      <c r="C1081" t="s">
        <v>17</v>
      </c>
      <c r="D1081">
        <v>13.888888888889001</v>
      </c>
      <c r="E1081">
        <v>1000</v>
      </c>
      <c r="F1081" t="s">
        <v>18</v>
      </c>
      <c r="G1081">
        <v>0</v>
      </c>
      <c r="H1081">
        <v>0</v>
      </c>
      <c r="I1081" t="s">
        <v>488</v>
      </c>
      <c r="J1081" t="s">
        <v>1234</v>
      </c>
      <c r="K1081" t="s">
        <v>1235</v>
      </c>
      <c r="M1081" t="s">
        <v>487</v>
      </c>
      <c r="N1081">
        <v>0</v>
      </c>
      <c r="O1081" t="s">
        <v>1241</v>
      </c>
      <c r="P1081">
        <v>53.85</v>
      </c>
      <c r="Q1081">
        <v>747.91666666667277</v>
      </c>
      <c r="R1081" s="6"/>
    </row>
    <row r="1082" spans="1:18" x14ac:dyDescent="0.15">
      <c r="C1082" t="s">
        <v>19</v>
      </c>
      <c r="D1082">
        <v>4</v>
      </c>
      <c r="E1082">
        <v>1</v>
      </c>
      <c r="F1082" t="s">
        <v>18</v>
      </c>
      <c r="G1082">
        <v>0</v>
      </c>
      <c r="H1082">
        <v>0</v>
      </c>
      <c r="I1082" t="s">
        <v>488</v>
      </c>
      <c r="J1082" t="s">
        <v>1236</v>
      </c>
      <c r="K1082" t="s">
        <v>1235</v>
      </c>
      <c r="M1082" t="s">
        <v>487</v>
      </c>
      <c r="N1082">
        <v>0</v>
      </c>
      <c r="O1082" t="s">
        <v>1241</v>
      </c>
      <c r="P1082">
        <v>34.65</v>
      </c>
      <c r="Q1082">
        <v>138.6</v>
      </c>
      <c r="R1082" s="6"/>
    </row>
    <row r="1083" spans="1:18" x14ac:dyDescent="0.15">
      <c r="A1083" t="s">
        <v>312</v>
      </c>
      <c r="B1083" t="s">
        <v>479</v>
      </c>
      <c r="P1083">
        <v>0.62940178945978753</v>
      </c>
      <c r="R1083" s="6"/>
    </row>
    <row r="1084" spans="1:18" x14ac:dyDescent="0.15">
      <c r="C1084" t="s">
        <v>313</v>
      </c>
      <c r="D1084">
        <v>1</v>
      </c>
      <c r="E1084">
        <v>1</v>
      </c>
      <c r="F1084" t="s">
        <v>9</v>
      </c>
      <c r="G1084">
        <v>0</v>
      </c>
      <c r="H1084">
        <v>0</v>
      </c>
      <c r="I1084" t="s">
        <v>488</v>
      </c>
      <c r="J1084" t="s">
        <v>1234</v>
      </c>
      <c r="K1084" t="s">
        <v>1235</v>
      </c>
      <c r="M1084" t="s">
        <v>487</v>
      </c>
      <c r="N1084">
        <v>0</v>
      </c>
      <c r="O1084" t="s">
        <v>1241</v>
      </c>
      <c r="P1084">
        <v>0.62940178945978753</v>
      </c>
      <c r="Q1084">
        <v>0.62940178945978753</v>
      </c>
      <c r="R1084" s="6"/>
    </row>
    <row r="1085" spans="1:18" x14ac:dyDescent="0.15">
      <c r="A1085" t="s">
        <v>314</v>
      </c>
      <c r="B1085" t="s">
        <v>479</v>
      </c>
      <c r="P1085">
        <v>1.2588035789195751</v>
      </c>
      <c r="R1085" s="6"/>
    </row>
    <row r="1086" spans="1:18" x14ac:dyDescent="0.15">
      <c r="C1086" t="s">
        <v>313</v>
      </c>
      <c r="D1086">
        <v>2</v>
      </c>
      <c r="E1086">
        <v>1</v>
      </c>
      <c r="F1086" t="s">
        <v>9</v>
      </c>
      <c r="G1086">
        <v>0</v>
      </c>
      <c r="H1086">
        <v>0</v>
      </c>
      <c r="I1086" t="s">
        <v>488</v>
      </c>
      <c r="J1086" t="s">
        <v>1234</v>
      </c>
      <c r="K1086" t="s">
        <v>1235</v>
      </c>
      <c r="M1086" t="s">
        <v>487</v>
      </c>
      <c r="N1086">
        <v>0</v>
      </c>
      <c r="O1086" t="s">
        <v>1241</v>
      </c>
      <c r="P1086">
        <v>0.62940178945978753</v>
      </c>
      <c r="Q1086">
        <v>1.2588035789195751</v>
      </c>
      <c r="R1086" s="6"/>
    </row>
    <row r="1087" spans="1:18" x14ac:dyDescent="0.15">
      <c r="A1087" t="s">
        <v>315</v>
      </c>
      <c r="B1087" t="s">
        <v>479</v>
      </c>
      <c r="P1087">
        <v>0.31470089472989377</v>
      </c>
      <c r="R1087" s="6"/>
    </row>
    <row r="1088" spans="1:18" x14ac:dyDescent="0.15">
      <c r="C1088" t="s">
        <v>313</v>
      </c>
      <c r="D1088">
        <v>500</v>
      </c>
      <c r="E1088">
        <v>1000</v>
      </c>
      <c r="F1088" t="s">
        <v>9</v>
      </c>
      <c r="G1088">
        <v>0</v>
      </c>
      <c r="H1088">
        <v>0</v>
      </c>
      <c r="I1088" t="s">
        <v>488</v>
      </c>
      <c r="J1088" t="s">
        <v>1234</v>
      </c>
      <c r="K1088" t="s">
        <v>1235</v>
      </c>
      <c r="M1088" t="s">
        <v>487</v>
      </c>
      <c r="N1088">
        <v>0</v>
      </c>
      <c r="O1088" t="s">
        <v>1241</v>
      </c>
      <c r="P1088">
        <v>0.62940178945978753</v>
      </c>
      <c r="Q1088">
        <v>314.70089472989378</v>
      </c>
      <c r="R1088" s="6"/>
    </row>
    <row r="1089" spans="1:18" x14ac:dyDescent="0.15">
      <c r="A1089" t="s">
        <v>313</v>
      </c>
      <c r="B1089" t="s">
        <v>9</v>
      </c>
      <c r="P1089">
        <v>0.62940178945978753</v>
      </c>
      <c r="R1089" s="6"/>
    </row>
    <row r="1090" spans="1:18" x14ac:dyDescent="0.15">
      <c r="C1090" t="s">
        <v>28</v>
      </c>
      <c r="D1090">
        <v>5</v>
      </c>
      <c r="E1090">
        <v>1</v>
      </c>
      <c r="F1090" t="s">
        <v>9</v>
      </c>
      <c r="G1090">
        <v>3</v>
      </c>
      <c r="H1090">
        <v>0</v>
      </c>
      <c r="I1090" t="s">
        <v>488</v>
      </c>
      <c r="J1090" t="s">
        <v>1234</v>
      </c>
      <c r="K1090" t="s">
        <v>1235</v>
      </c>
      <c r="M1090" t="s">
        <v>487</v>
      </c>
      <c r="N1090">
        <v>0</v>
      </c>
      <c r="O1090" t="s">
        <v>1241</v>
      </c>
      <c r="P1090">
        <v>1.8814270000000001E-2</v>
      </c>
      <c r="Q1090">
        <v>96.893490499999999</v>
      </c>
      <c r="R1090" s="6"/>
    </row>
    <row r="1091" spans="1:18" x14ac:dyDescent="0.15">
      <c r="C1091" t="s">
        <v>12</v>
      </c>
      <c r="D1091">
        <v>56.815326633165995</v>
      </c>
      <c r="E1091">
        <v>1000</v>
      </c>
      <c r="F1091" t="s">
        <v>13</v>
      </c>
      <c r="G1091">
        <v>3</v>
      </c>
      <c r="H1091">
        <v>0</v>
      </c>
      <c r="I1091" t="s">
        <v>488</v>
      </c>
      <c r="J1091" t="s">
        <v>1234</v>
      </c>
      <c r="K1091" t="s">
        <v>1235</v>
      </c>
      <c r="M1091" t="s">
        <v>487</v>
      </c>
      <c r="N1091">
        <v>0</v>
      </c>
      <c r="O1091" t="s">
        <v>1241</v>
      </c>
      <c r="P1091">
        <v>1.03E-2</v>
      </c>
      <c r="Q1091">
        <v>0.60275380025125802</v>
      </c>
      <c r="R1091" s="6"/>
    </row>
    <row r="1092" spans="1:18" x14ac:dyDescent="0.15">
      <c r="C1092" t="s">
        <v>14</v>
      </c>
      <c r="D1092">
        <v>63.128140703518</v>
      </c>
      <c r="E1092">
        <v>1000</v>
      </c>
      <c r="F1092" t="s">
        <v>13</v>
      </c>
      <c r="G1092">
        <v>3</v>
      </c>
      <c r="H1092">
        <v>0</v>
      </c>
      <c r="I1092" t="s">
        <v>488</v>
      </c>
      <c r="J1092" t="s">
        <v>1234</v>
      </c>
      <c r="K1092" t="s">
        <v>1235</v>
      </c>
      <c r="M1092" t="s">
        <v>487</v>
      </c>
      <c r="N1092">
        <v>0</v>
      </c>
      <c r="O1092" t="s">
        <v>1241</v>
      </c>
      <c r="P1092">
        <v>5.4900000000000001E-3</v>
      </c>
      <c r="Q1092">
        <v>0.35697069723618324</v>
      </c>
      <c r="R1092" s="6"/>
    </row>
    <row r="1093" spans="1:18" x14ac:dyDescent="0.15">
      <c r="C1093" t="s">
        <v>15</v>
      </c>
      <c r="D1093">
        <v>1.2625628140699998</v>
      </c>
      <c r="E1093">
        <v>1000</v>
      </c>
      <c r="F1093" t="s">
        <v>13</v>
      </c>
      <c r="G1093">
        <v>3</v>
      </c>
      <c r="H1093">
        <v>0</v>
      </c>
      <c r="I1093" t="s">
        <v>488</v>
      </c>
      <c r="J1093" t="s">
        <v>1234</v>
      </c>
      <c r="K1093" t="s">
        <v>1235</v>
      </c>
      <c r="M1093" t="s">
        <v>487</v>
      </c>
      <c r="N1093">
        <v>0</v>
      </c>
      <c r="O1093" t="s">
        <v>1241</v>
      </c>
      <c r="P1093">
        <v>7.9819999999999988E-2</v>
      </c>
      <c r="Q1093">
        <v>0.10380109673363939</v>
      </c>
      <c r="R1093" s="6"/>
    </row>
    <row r="1094" spans="1:18" x14ac:dyDescent="0.15">
      <c r="C1094" t="s">
        <v>23</v>
      </c>
      <c r="D1094">
        <v>3.1564070351760001</v>
      </c>
      <c r="E1094">
        <v>1000</v>
      </c>
      <c r="F1094" t="s">
        <v>13</v>
      </c>
      <c r="G1094">
        <v>3</v>
      </c>
      <c r="H1094">
        <v>0</v>
      </c>
      <c r="I1094" t="s">
        <v>488</v>
      </c>
      <c r="J1094" t="s">
        <v>1234</v>
      </c>
      <c r="K1094" t="s">
        <v>1235</v>
      </c>
      <c r="M1094" t="s">
        <v>487</v>
      </c>
      <c r="N1094">
        <v>0</v>
      </c>
      <c r="O1094" t="s">
        <v>1241</v>
      </c>
      <c r="P1094">
        <v>2.3609999999999999E-2</v>
      </c>
      <c r="Q1094">
        <v>7.6758453203520524E-2</v>
      </c>
      <c r="R1094" s="6"/>
    </row>
    <row r="1095" spans="1:18" x14ac:dyDescent="0.15">
      <c r="C1095" t="s">
        <v>24</v>
      </c>
      <c r="D1095">
        <v>1.2625628140699998</v>
      </c>
      <c r="E1095">
        <v>1000</v>
      </c>
      <c r="F1095" t="s">
        <v>13</v>
      </c>
      <c r="G1095">
        <v>3</v>
      </c>
      <c r="H1095">
        <v>0</v>
      </c>
      <c r="I1095" t="s">
        <v>488</v>
      </c>
      <c r="J1095" t="s">
        <v>1234</v>
      </c>
      <c r="K1095" t="s">
        <v>1235</v>
      </c>
      <c r="M1095" t="s">
        <v>487</v>
      </c>
      <c r="N1095">
        <v>0</v>
      </c>
      <c r="O1095" t="s">
        <v>1241</v>
      </c>
      <c r="P1095">
        <v>2.8500000000000001E-2</v>
      </c>
      <c r="Q1095">
        <v>3.7062531407024847E-2</v>
      </c>
      <c r="R1095" s="6"/>
    </row>
    <row r="1096" spans="1:18" x14ac:dyDescent="0.15">
      <c r="C1096" t="s">
        <v>17</v>
      </c>
      <c r="D1096">
        <v>7.9365079365080007</v>
      </c>
      <c r="E1096">
        <v>1000</v>
      </c>
      <c r="F1096" t="s">
        <v>18</v>
      </c>
      <c r="G1096">
        <v>0</v>
      </c>
      <c r="H1096">
        <v>0</v>
      </c>
      <c r="I1096" t="s">
        <v>488</v>
      </c>
      <c r="J1096" t="s">
        <v>1234</v>
      </c>
      <c r="K1096" t="s">
        <v>1235</v>
      </c>
      <c r="M1096" t="s">
        <v>487</v>
      </c>
      <c r="N1096">
        <v>0</v>
      </c>
      <c r="O1096" t="s">
        <v>1241</v>
      </c>
      <c r="P1096">
        <v>53.85</v>
      </c>
      <c r="Q1096">
        <v>427.38095238095588</v>
      </c>
      <c r="R1096" s="6"/>
    </row>
    <row r="1097" spans="1:18" x14ac:dyDescent="0.15">
      <c r="C1097" t="s">
        <v>19</v>
      </c>
      <c r="D1097">
        <v>3</v>
      </c>
      <c r="E1097">
        <v>1</v>
      </c>
      <c r="F1097" t="s">
        <v>18</v>
      </c>
      <c r="G1097">
        <v>0</v>
      </c>
      <c r="H1097">
        <v>0</v>
      </c>
      <c r="I1097" t="s">
        <v>488</v>
      </c>
      <c r="J1097" t="s">
        <v>1236</v>
      </c>
      <c r="K1097" t="s">
        <v>1235</v>
      </c>
      <c r="M1097" t="s">
        <v>487</v>
      </c>
      <c r="N1097">
        <v>0</v>
      </c>
      <c r="O1097" t="s">
        <v>1241</v>
      </c>
      <c r="P1097">
        <v>34.65</v>
      </c>
      <c r="Q1097">
        <v>103.94999999999999</v>
      </c>
      <c r="R1097" s="6"/>
    </row>
    <row r="1098" spans="1:18" x14ac:dyDescent="0.15">
      <c r="A1098" t="s">
        <v>316</v>
      </c>
      <c r="B1098" t="s">
        <v>479</v>
      </c>
      <c r="P1098">
        <v>1.2436812267128481</v>
      </c>
      <c r="R1098" s="6"/>
    </row>
    <row r="1099" spans="1:18" x14ac:dyDescent="0.15">
      <c r="C1099" t="s">
        <v>317</v>
      </c>
      <c r="D1099">
        <v>1</v>
      </c>
      <c r="E1099">
        <v>1</v>
      </c>
      <c r="F1099" t="s">
        <v>9</v>
      </c>
      <c r="G1099">
        <v>0</v>
      </c>
      <c r="H1099">
        <v>0</v>
      </c>
      <c r="I1099" t="s">
        <v>488</v>
      </c>
      <c r="J1099" t="s">
        <v>1234</v>
      </c>
      <c r="K1099" t="s">
        <v>1235</v>
      </c>
      <c r="M1099" t="s">
        <v>487</v>
      </c>
      <c r="N1099">
        <v>0</v>
      </c>
      <c r="O1099" t="s">
        <v>1241</v>
      </c>
      <c r="P1099">
        <v>1.2436812267128481</v>
      </c>
      <c r="Q1099">
        <v>1.2436812267128481</v>
      </c>
      <c r="R1099" s="6"/>
    </row>
    <row r="1100" spans="1:18" x14ac:dyDescent="0.15">
      <c r="A1100" t="s">
        <v>318</v>
      </c>
      <c r="B1100" t="s">
        <v>479</v>
      </c>
      <c r="P1100">
        <v>2.4873624534256962</v>
      </c>
      <c r="R1100" s="6"/>
    </row>
    <row r="1101" spans="1:18" x14ac:dyDescent="0.15">
      <c r="C1101" t="s">
        <v>317</v>
      </c>
      <c r="D1101">
        <v>2</v>
      </c>
      <c r="E1101">
        <v>1</v>
      </c>
      <c r="F1101" t="s">
        <v>9</v>
      </c>
      <c r="G1101">
        <v>0</v>
      </c>
      <c r="H1101">
        <v>0</v>
      </c>
      <c r="I1101" t="s">
        <v>488</v>
      </c>
      <c r="J1101" t="s">
        <v>1234</v>
      </c>
      <c r="K1101" t="s">
        <v>1235</v>
      </c>
      <c r="M1101" t="s">
        <v>487</v>
      </c>
      <c r="N1101">
        <v>0</v>
      </c>
      <c r="O1101" t="s">
        <v>1241</v>
      </c>
      <c r="P1101">
        <v>1.2436812267128481</v>
      </c>
      <c r="Q1101">
        <v>2.4873624534256962</v>
      </c>
      <c r="R1101" s="6"/>
    </row>
    <row r="1102" spans="1:18" x14ac:dyDescent="0.15">
      <c r="A1102" t="s">
        <v>319</v>
      </c>
      <c r="B1102" t="s">
        <v>479</v>
      </c>
      <c r="P1102">
        <v>0.62184061335642404</v>
      </c>
      <c r="R1102" s="6"/>
    </row>
    <row r="1103" spans="1:18" x14ac:dyDescent="0.15">
      <c r="C1103" t="s">
        <v>317</v>
      </c>
      <c r="D1103">
        <v>500</v>
      </c>
      <c r="E1103">
        <v>1000</v>
      </c>
      <c r="F1103" t="s">
        <v>9</v>
      </c>
      <c r="G1103">
        <v>0</v>
      </c>
      <c r="H1103">
        <v>0</v>
      </c>
      <c r="I1103" t="s">
        <v>488</v>
      </c>
      <c r="J1103" t="s">
        <v>1234</v>
      </c>
      <c r="K1103" t="s">
        <v>1235</v>
      </c>
      <c r="M1103" t="s">
        <v>487</v>
      </c>
      <c r="N1103">
        <v>0</v>
      </c>
      <c r="O1103" t="s">
        <v>1241</v>
      </c>
      <c r="P1103">
        <v>1.2436812267128481</v>
      </c>
      <c r="Q1103">
        <v>621.840613356424</v>
      </c>
      <c r="R1103" s="6"/>
    </row>
    <row r="1104" spans="1:18" x14ac:dyDescent="0.15">
      <c r="A1104" t="s">
        <v>317</v>
      </c>
      <c r="B1104" t="s">
        <v>9</v>
      </c>
      <c r="P1104">
        <v>1.2436812267128481</v>
      </c>
      <c r="R1104" s="6"/>
    </row>
    <row r="1105" spans="1:18" x14ac:dyDescent="0.15">
      <c r="C1105" t="s">
        <v>22</v>
      </c>
      <c r="D1105">
        <v>18</v>
      </c>
      <c r="E1105">
        <v>1</v>
      </c>
      <c r="F1105" t="s">
        <v>9</v>
      </c>
      <c r="G1105">
        <v>3</v>
      </c>
      <c r="H1105">
        <v>0</v>
      </c>
      <c r="I1105" t="s">
        <v>488</v>
      </c>
      <c r="J1105" t="s">
        <v>1234</v>
      </c>
      <c r="K1105" t="s">
        <v>1235</v>
      </c>
      <c r="M1105" t="s">
        <v>487</v>
      </c>
      <c r="N1105">
        <v>0</v>
      </c>
      <c r="O1105" t="s">
        <v>1241</v>
      </c>
      <c r="P1105">
        <v>0</v>
      </c>
      <c r="Q1105">
        <v>0</v>
      </c>
      <c r="R1105" s="9" t="s">
        <v>1246</v>
      </c>
    </row>
    <row r="1106" spans="1:18" x14ac:dyDescent="0.15">
      <c r="C1106" t="s">
        <v>12</v>
      </c>
      <c r="D1106">
        <v>5.2049623115579999</v>
      </c>
      <c r="E1106">
        <v>1</v>
      </c>
      <c r="F1106" t="s">
        <v>13</v>
      </c>
      <c r="G1106">
        <v>3</v>
      </c>
      <c r="H1106">
        <v>0</v>
      </c>
      <c r="I1106" t="s">
        <v>488</v>
      </c>
      <c r="J1106" t="s">
        <v>1234</v>
      </c>
      <c r="K1106" t="s">
        <v>1235</v>
      </c>
      <c r="M1106" t="s">
        <v>487</v>
      </c>
      <c r="N1106">
        <v>0</v>
      </c>
      <c r="O1106" t="s">
        <v>1241</v>
      </c>
      <c r="P1106">
        <v>1.03E-2</v>
      </c>
      <c r="Q1106">
        <v>55.219445163318817</v>
      </c>
      <c r="R1106" s="6"/>
    </row>
    <row r="1107" spans="1:18" x14ac:dyDescent="0.15">
      <c r="C1107" t="s">
        <v>14</v>
      </c>
      <c r="D1107">
        <v>5.7832914572859995</v>
      </c>
      <c r="E1107">
        <v>1</v>
      </c>
      <c r="F1107" t="s">
        <v>13</v>
      </c>
      <c r="G1107">
        <v>3</v>
      </c>
      <c r="H1107">
        <v>0</v>
      </c>
      <c r="I1107" t="s">
        <v>488</v>
      </c>
      <c r="J1107" t="s">
        <v>1234</v>
      </c>
      <c r="K1107" t="s">
        <v>1235</v>
      </c>
      <c r="M1107" t="s">
        <v>487</v>
      </c>
      <c r="N1107">
        <v>0</v>
      </c>
      <c r="O1107" t="s">
        <v>1241</v>
      </c>
      <c r="P1107">
        <v>5.4900000000000001E-3</v>
      </c>
      <c r="Q1107">
        <v>32.702778203515138</v>
      </c>
      <c r="R1107" s="6"/>
    </row>
    <row r="1108" spans="1:18" x14ac:dyDescent="0.15">
      <c r="C1108" t="s">
        <v>15</v>
      </c>
      <c r="D1108">
        <v>0.115665829146</v>
      </c>
      <c r="E1108">
        <v>1</v>
      </c>
      <c r="F1108" t="s">
        <v>13</v>
      </c>
      <c r="G1108">
        <v>3</v>
      </c>
      <c r="H1108">
        <v>0</v>
      </c>
      <c r="I1108" t="s">
        <v>488</v>
      </c>
      <c r="J1108" t="s">
        <v>1234</v>
      </c>
      <c r="K1108" t="s">
        <v>1235</v>
      </c>
      <c r="M1108" t="s">
        <v>487</v>
      </c>
      <c r="N1108">
        <v>0</v>
      </c>
      <c r="O1108" t="s">
        <v>1241</v>
      </c>
      <c r="P1108">
        <v>7.9819999999999988E-2</v>
      </c>
      <c r="Q1108">
        <v>9.5094198769067315</v>
      </c>
      <c r="R1108" s="6"/>
    </row>
    <row r="1109" spans="1:18" x14ac:dyDescent="0.15">
      <c r="C1109" t="s">
        <v>23</v>
      </c>
      <c r="D1109">
        <v>0.28916457286399999</v>
      </c>
      <c r="E1109">
        <v>1</v>
      </c>
      <c r="F1109" t="s">
        <v>13</v>
      </c>
      <c r="G1109">
        <v>3</v>
      </c>
      <c r="H1109">
        <v>0</v>
      </c>
      <c r="I1109" t="s">
        <v>488</v>
      </c>
      <c r="J1109" t="s">
        <v>1234</v>
      </c>
      <c r="K1109" t="s">
        <v>1235</v>
      </c>
      <c r="M1109" t="s">
        <v>487</v>
      </c>
      <c r="N1109">
        <v>0</v>
      </c>
      <c r="O1109" t="s">
        <v>1241</v>
      </c>
      <c r="P1109">
        <v>2.3609999999999999E-2</v>
      </c>
      <c r="Q1109">
        <v>7.03199083227861</v>
      </c>
      <c r="R1109" s="6"/>
    </row>
    <row r="1110" spans="1:18" x14ac:dyDescent="0.15">
      <c r="C1110" t="s">
        <v>24</v>
      </c>
      <c r="D1110">
        <v>0.115665829146</v>
      </c>
      <c r="E1110">
        <v>1</v>
      </c>
      <c r="F1110" t="s">
        <v>13</v>
      </c>
      <c r="G1110">
        <v>3</v>
      </c>
      <c r="H1110">
        <v>0</v>
      </c>
      <c r="I1110" t="s">
        <v>488</v>
      </c>
      <c r="J1110" t="s">
        <v>1234</v>
      </c>
      <c r="K1110" t="s">
        <v>1235</v>
      </c>
      <c r="M1110" t="s">
        <v>487</v>
      </c>
      <c r="N1110">
        <v>0</v>
      </c>
      <c r="O1110" t="s">
        <v>1241</v>
      </c>
      <c r="P1110">
        <v>2.8500000000000001E-2</v>
      </c>
      <c r="Q1110">
        <v>3.3953704145808303</v>
      </c>
      <c r="R1110" s="6"/>
    </row>
    <row r="1111" spans="1:18" x14ac:dyDescent="0.15">
      <c r="C1111" t="s">
        <v>17</v>
      </c>
      <c r="D1111">
        <v>18.518518518518999</v>
      </c>
      <c r="E1111">
        <v>1000</v>
      </c>
      <c r="F1111" t="s">
        <v>18</v>
      </c>
      <c r="G1111">
        <v>0</v>
      </c>
      <c r="H1111">
        <v>0</v>
      </c>
      <c r="I1111" t="s">
        <v>488</v>
      </c>
      <c r="J1111" t="s">
        <v>1234</v>
      </c>
      <c r="K1111" t="s">
        <v>1235</v>
      </c>
      <c r="M1111" t="s">
        <v>487</v>
      </c>
      <c r="N1111">
        <v>0</v>
      </c>
      <c r="O1111" t="s">
        <v>1241</v>
      </c>
      <c r="P1111">
        <v>53.85</v>
      </c>
      <c r="Q1111">
        <v>997.22222222224809</v>
      </c>
      <c r="R1111" s="6"/>
    </row>
    <row r="1112" spans="1:18" x14ac:dyDescent="0.15">
      <c r="C1112" t="s">
        <v>19</v>
      </c>
      <c r="D1112">
        <v>4</v>
      </c>
      <c r="E1112">
        <v>1</v>
      </c>
      <c r="F1112" t="s">
        <v>18</v>
      </c>
      <c r="G1112">
        <v>0</v>
      </c>
      <c r="H1112">
        <v>0</v>
      </c>
      <c r="I1112" t="s">
        <v>488</v>
      </c>
      <c r="J1112" t="s">
        <v>1236</v>
      </c>
      <c r="K1112" t="s">
        <v>1235</v>
      </c>
      <c r="M1112" t="s">
        <v>487</v>
      </c>
      <c r="N1112">
        <v>0</v>
      </c>
      <c r="O1112" t="s">
        <v>1241</v>
      </c>
      <c r="P1112">
        <v>34.65</v>
      </c>
      <c r="Q1112">
        <v>138.6</v>
      </c>
      <c r="R1112" s="6"/>
    </row>
    <row r="1113" spans="1:18" x14ac:dyDescent="0.15">
      <c r="A1113" t="s">
        <v>320</v>
      </c>
      <c r="B1113" t="s">
        <v>479</v>
      </c>
      <c r="P1113">
        <v>1.2025776721551984</v>
      </c>
      <c r="R1113" s="6"/>
    </row>
    <row r="1114" spans="1:18" x14ac:dyDescent="0.15">
      <c r="C1114" t="s">
        <v>321</v>
      </c>
      <c r="D1114">
        <v>1</v>
      </c>
      <c r="E1114">
        <v>1</v>
      </c>
      <c r="F1114" t="s">
        <v>9</v>
      </c>
      <c r="G1114">
        <v>0</v>
      </c>
      <c r="H1114">
        <v>0</v>
      </c>
      <c r="I1114" t="s">
        <v>488</v>
      </c>
      <c r="J1114" t="s">
        <v>1234</v>
      </c>
      <c r="K1114" t="s">
        <v>1235</v>
      </c>
      <c r="M1114" t="s">
        <v>487</v>
      </c>
      <c r="N1114">
        <v>0</v>
      </c>
      <c r="O1114" t="s">
        <v>1241</v>
      </c>
      <c r="P1114">
        <v>1.2025776721551984</v>
      </c>
      <c r="Q1114">
        <v>1.2025776721551984</v>
      </c>
      <c r="R1114" s="6"/>
    </row>
    <row r="1115" spans="1:18" x14ac:dyDescent="0.15">
      <c r="A1115" t="s">
        <v>322</v>
      </c>
      <c r="B1115" t="s">
        <v>479</v>
      </c>
      <c r="P1115">
        <v>2.4051553443103968</v>
      </c>
      <c r="R1115" s="6"/>
    </row>
    <row r="1116" spans="1:18" x14ac:dyDescent="0.15">
      <c r="C1116" t="s">
        <v>321</v>
      </c>
      <c r="D1116">
        <v>2</v>
      </c>
      <c r="E1116">
        <v>1</v>
      </c>
      <c r="F1116" t="s">
        <v>9</v>
      </c>
      <c r="G1116">
        <v>0</v>
      </c>
      <c r="H1116">
        <v>0</v>
      </c>
      <c r="I1116" t="s">
        <v>488</v>
      </c>
      <c r="J1116" t="s">
        <v>1234</v>
      </c>
      <c r="K1116" t="s">
        <v>1235</v>
      </c>
      <c r="M1116" t="s">
        <v>487</v>
      </c>
      <c r="N1116">
        <v>0</v>
      </c>
      <c r="O1116" t="s">
        <v>1241</v>
      </c>
      <c r="P1116">
        <v>1.2025776721551984</v>
      </c>
      <c r="Q1116">
        <v>2.4051553443103968</v>
      </c>
      <c r="R1116" s="6"/>
    </row>
    <row r="1117" spans="1:18" x14ac:dyDescent="0.15">
      <c r="A1117" t="s">
        <v>323</v>
      </c>
      <c r="B1117" t="s">
        <v>479</v>
      </c>
      <c r="P1117">
        <v>0.6012888360775992</v>
      </c>
      <c r="R1117" s="6"/>
    </row>
    <row r="1118" spans="1:18" x14ac:dyDescent="0.15">
      <c r="C1118" t="s">
        <v>321</v>
      </c>
      <c r="D1118">
        <v>500</v>
      </c>
      <c r="E1118">
        <v>1000</v>
      </c>
      <c r="F1118" t="s">
        <v>9</v>
      </c>
      <c r="G1118">
        <v>0</v>
      </c>
      <c r="H1118">
        <v>0</v>
      </c>
      <c r="I1118" t="s">
        <v>488</v>
      </c>
      <c r="J1118" t="s">
        <v>1234</v>
      </c>
      <c r="K1118" t="s">
        <v>1235</v>
      </c>
      <c r="M1118" t="s">
        <v>487</v>
      </c>
      <c r="N1118">
        <v>0</v>
      </c>
      <c r="O1118" t="s">
        <v>1241</v>
      </c>
      <c r="P1118">
        <v>1.2025776721551984</v>
      </c>
      <c r="Q1118">
        <v>601.28883607759917</v>
      </c>
      <c r="R1118" s="6"/>
    </row>
    <row r="1119" spans="1:18" x14ac:dyDescent="0.15">
      <c r="A1119" t="s">
        <v>321</v>
      </c>
      <c r="B1119" t="s">
        <v>9</v>
      </c>
      <c r="P1119">
        <v>1.2025776721551984</v>
      </c>
      <c r="R1119" s="6"/>
    </row>
    <row r="1120" spans="1:18" x14ac:dyDescent="0.15">
      <c r="C1120" t="s">
        <v>22</v>
      </c>
      <c r="D1120">
        <v>22</v>
      </c>
      <c r="E1120">
        <v>1</v>
      </c>
      <c r="F1120" t="s">
        <v>9</v>
      </c>
      <c r="G1120">
        <v>3</v>
      </c>
      <c r="H1120">
        <v>0</v>
      </c>
      <c r="I1120" t="s">
        <v>488</v>
      </c>
      <c r="J1120" t="s">
        <v>1234</v>
      </c>
      <c r="K1120" t="s">
        <v>1235</v>
      </c>
      <c r="M1120" t="s">
        <v>487</v>
      </c>
      <c r="N1120">
        <v>0</v>
      </c>
      <c r="O1120" t="s">
        <v>1241</v>
      </c>
      <c r="P1120">
        <v>0</v>
      </c>
      <c r="Q1120">
        <v>0</v>
      </c>
      <c r="R1120" s="9" t="s">
        <v>1246</v>
      </c>
    </row>
    <row r="1121" spans="1:18" x14ac:dyDescent="0.15">
      <c r="C1121" t="s">
        <v>12</v>
      </c>
      <c r="D1121">
        <v>6.361620603015</v>
      </c>
      <c r="E1121">
        <v>1</v>
      </c>
      <c r="F1121" t="s">
        <v>13</v>
      </c>
      <c r="G1121">
        <v>3</v>
      </c>
      <c r="H1121">
        <v>0</v>
      </c>
      <c r="I1121" t="s">
        <v>488</v>
      </c>
      <c r="J1121" t="s">
        <v>1234</v>
      </c>
      <c r="K1121" t="s">
        <v>1235</v>
      </c>
      <c r="M1121" t="s">
        <v>487</v>
      </c>
      <c r="N1121">
        <v>0</v>
      </c>
      <c r="O1121" t="s">
        <v>1241</v>
      </c>
      <c r="P1121">
        <v>1.03E-2</v>
      </c>
      <c r="Q1121">
        <v>67.490432977386135</v>
      </c>
      <c r="R1121" s="6"/>
    </row>
    <row r="1122" spans="1:18" x14ac:dyDescent="0.15">
      <c r="C1122" t="s">
        <v>14</v>
      </c>
      <c r="D1122">
        <v>7.0684673366829998</v>
      </c>
      <c r="E1122">
        <v>1</v>
      </c>
      <c r="F1122" t="s">
        <v>13</v>
      </c>
      <c r="G1122">
        <v>3</v>
      </c>
      <c r="H1122">
        <v>0</v>
      </c>
      <c r="I1122" t="s">
        <v>488</v>
      </c>
      <c r="J1122" t="s">
        <v>1234</v>
      </c>
      <c r="K1122" t="s">
        <v>1235</v>
      </c>
      <c r="M1122" t="s">
        <v>487</v>
      </c>
      <c r="N1122">
        <v>0</v>
      </c>
      <c r="O1122" t="s">
        <v>1241</v>
      </c>
      <c r="P1122">
        <v>5.4900000000000001E-3</v>
      </c>
      <c r="Q1122">
        <v>39.970062248741357</v>
      </c>
      <c r="R1122" s="6"/>
    </row>
    <row r="1123" spans="1:18" x14ac:dyDescent="0.15">
      <c r="C1123" t="s">
        <v>15</v>
      </c>
      <c r="D1123">
        <v>0.14136934673400001</v>
      </c>
      <c r="E1123">
        <v>1</v>
      </c>
      <c r="F1123" t="s">
        <v>13</v>
      </c>
      <c r="G1123">
        <v>3</v>
      </c>
      <c r="H1123">
        <v>0</v>
      </c>
      <c r="I1123" t="s">
        <v>488</v>
      </c>
      <c r="J1123" t="s">
        <v>1234</v>
      </c>
      <c r="K1123" t="s">
        <v>1235</v>
      </c>
      <c r="M1123" t="s">
        <v>487</v>
      </c>
      <c r="N1123">
        <v>0</v>
      </c>
      <c r="O1123" t="s">
        <v>1241</v>
      </c>
      <c r="P1123">
        <v>7.9819999999999988E-2</v>
      </c>
      <c r="Q1123">
        <v>11.622624293997115</v>
      </c>
      <c r="R1123" s="6"/>
    </row>
    <row r="1124" spans="1:18" x14ac:dyDescent="0.15">
      <c r="C1124" t="s">
        <v>23</v>
      </c>
      <c r="D1124">
        <v>0.353423366834</v>
      </c>
      <c r="E1124">
        <v>1</v>
      </c>
      <c r="F1124" t="s">
        <v>13</v>
      </c>
      <c r="G1124">
        <v>3</v>
      </c>
      <c r="H1124">
        <v>0</v>
      </c>
      <c r="I1124" t="s">
        <v>488</v>
      </c>
      <c r="J1124" t="s">
        <v>1234</v>
      </c>
      <c r="K1124" t="s">
        <v>1235</v>
      </c>
      <c r="M1124" t="s">
        <v>487</v>
      </c>
      <c r="N1124">
        <v>0</v>
      </c>
      <c r="O1124" t="s">
        <v>1241</v>
      </c>
      <c r="P1124">
        <v>2.3609999999999999E-2</v>
      </c>
      <c r="Q1124">
        <v>8.5946554616792614</v>
      </c>
      <c r="R1124" s="6"/>
    </row>
    <row r="1125" spans="1:18" x14ac:dyDescent="0.15">
      <c r="C1125" t="s">
        <v>24</v>
      </c>
      <c r="D1125">
        <v>0.14136934673400001</v>
      </c>
      <c r="E1125">
        <v>1</v>
      </c>
      <c r="F1125" t="s">
        <v>13</v>
      </c>
      <c r="G1125">
        <v>3</v>
      </c>
      <c r="H1125">
        <v>0</v>
      </c>
      <c r="I1125" t="s">
        <v>488</v>
      </c>
      <c r="J1125" t="s">
        <v>1234</v>
      </c>
      <c r="K1125" t="s">
        <v>1235</v>
      </c>
      <c r="M1125" t="s">
        <v>487</v>
      </c>
      <c r="N1125">
        <v>0</v>
      </c>
      <c r="O1125" t="s">
        <v>1241</v>
      </c>
      <c r="P1125">
        <v>2.8500000000000001E-2</v>
      </c>
      <c r="Q1125">
        <v>4.1498971733765702</v>
      </c>
      <c r="R1125" s="6"/>
    </row>
    <row r="1126" spans="1:18" x14ac:dyDescent="0.15">
      <c r="C1126" t="s">
        <v>17</v>
      </c>
      <c r="D1126">
        <v>16.666666666666998</v>
      </c>
      <c r="E1126">
        <v>1000</v>
      </c>
      <c r="F1126" t="s">
        <v>18</v>
      </c>
      <c r="G1126">
        <v>0</v>
      </c>
      <c r="H1126">
        <v>0</v>
      </c>
      <c r="I1126" t="s">
        <v>488</v>
      </c>
      <c r="J1126" t="s">
        <v>1234</v>
      </c>
      <c r="K1126" t="s">
        <v>1235</v>
      </c>
      <c r="M1126" t="s">
        <v>487</v>
      </c>
      <c r="N1126">
        <v>0</v>
      </c>
      <c r="O1126" t="s">
        <v>1241</v>
      </c>
      <c r="P1126">
        <v>53.85</v>
      </c>
      <c r="Q1126">
        <v>897.50000000001785</v>
      </c>
      <c r="R1126" s="6"/>
    </row>
    <row r="1127" spans="1:18" x14ac:dyDescent="0.15">
      <c r="C1127" t="s">
        <v>19</v>
      </c>
      <c r="D1127">
        <v>5</v>
      </c>
      <c r="E1127">
        <v>1</v>
      </c>
      <c r="F1127" t="s">
        <v>18</v>
      </c>
      <c r="G1127">
        <v>0</v>
      </c>
      <c r="H1127">
        <v>0</v>
      </c>
      <c r="I1127" t="s">
        <v>488</v>
      </c>
      <c r="J1127" t="s">
        <v>1236</v>
      </c>
      <c r="K1127" t="s">
        <v>1235</v>
      </c>
      <c r="M1127" t="s">
        <v>487</v>
      </c>
      <c r="N1127">
        <v>0</v>
      </c>
      <c r="O1127" t="s">
        <v>1241</v>
      </c>
      <c r="P1127">
        <v>34.65</v>
      </c>
      <c r="Q1127">
        <v>173.25</v>
      </c>
      <c r="R1127" s="6"/>
    </row>
    <row r="1128" spans="1:18" x14ac:dyDescent="0.15">
      <c r="A1128" t="s">
        <v>324</v>
      </c>
      <c r="B1128" t="s">
        <v>479</v>
      </c>
      <c r="P1128">
        <v>0.56248563282065489</v>
      </c>
      <c r="R1128" s="6"/>
    </row>
    <row r="1129" spans="1:18" x14ac:dyDescent="0.15">
      <c r="C1129" t="s">
        <v>325</v>
      </c>
      <c r="D1129">
        <v>1</v>
      </c>
      <c r="E1129">
        <v>1</v>
      </c>
      <c r="F1129" t="s">
        <v>9</v>
      </c>
      <c r="G1129">
        <v>0</v>
      </c>
      <c r="H1129">
        <v>0</v>
      </c>
      <c r="I1129" t="s">
        <v>488</v>
      </c>
      <c r="J1129" t="s">
        <v>1234</v>
      </c>
      <c r="K1129" t="s">
        <v>1235</v>
      </c>
      <c r="M1129" t="s">
        <v>487</v>
      </c>
      <c r="N1129">
        <v>0</v>
      </c>
      <c r="O1129" t="s">
        <v>1241</v>
      </c>
      <c r="P1129">
        <v>0.56248563282065489</v>
      </c>
      <c r="Q1129">
        <v>0.56248563282065489</v>
      </c>
      <c r="R1129" s="6"/>
    </row>
    <row r="1130" spans="1:18" x14ac:dyDescent="0.15">
      <c r="A1130" t="s">
        <v>326</v>
      </c>
      <c r="B1130" t="s">
        <v>479</v>
      </c>
      <c r="P1130">
        <v>1.1249712656413098</v>
      </c>
      <c r="R1130" s="6"/>
    </row>
    <row r="1131" spans="1:18" x14ac:dyDescent="0.15">
      <c r="C1131" t="s">
        <v>325</v>
      </c>
      <c r="D1131">
        <v>2</v>
      </c>
      <c r="E1131">
        <v>1</v>
      </c>
      <c r="F1131" t="s">
        <v>9</v>
      </c>
      <c r="G1131">
        <v>0</v>
      </c>
      <c r="H1131">
        <v>0</v>
      </c>
      <c r="I1131" t="s">
        <v>488</v>
      </c>
      <c r="J1131" t="s">
        <v>1234</v>
      </c>
      <c r="K1131" t="s">
        <v>1235</v>
      </c>
      <c r="M1131" t="s">
        <v>487</v>
      </c>
      <c r="N1131">
        <v>0</v>
      </c>
      <c r="O1131" t="s">
        <v>1241</v>
      </c>
      <c r="P1131">
        <v>0.56248563282065489</v>
      </c>
      <c r="Q1131">
        <v>1.1249712656413098</v>
      </c>
      <c r="R1131" s="6"/>
    </row>
    <row r="1132" spans="1:18" x14ac:dyDescent="0.15">
      <c r="A1132" t="s">
        <v>327</v>
      </c>
      <c r="B1132" t="s">
        <v>479</v>
      </c>
      <c r="P1132">
        <v>0.28124281641032745</v>
      </c>
      <c r="R1132" s="6"/>
    </row>
    <row r="1133" spans="1:18" x14ac:dyDescent="0.15">
      <c r="C1133" t="s">
        <v>325</v>
      </c>
      <c r="D1133">
        <v>500</v>
      </c>
      <c r="E1133">
        <v>1000</v>
      </c>
      <c r="F1133" t="s">
        <v>9</v>
      </c>
      <c r="G1133">
        <v>0</v>
      </c>
      <c r="H1133">
        <v>0</v>
      </c>
      <c r="I1133" t="s">
        <v>488</v>
      </c>
      <c r="J1133" t="s">
        <v>1234</v>
      </c>
      <c r="K1133" t="s">
        <v>1235</v>
      </c>
      <c r="M1133" t="s">
        <v>487</v>
      </c>
      <c r="N1133">
        <v>0</v>
      </c>
      <c r="O1133" t="s">
        <v>1241</v>
      </c>
      <c r="P1133">
        <v>0.56248563282065489</v>
      </c>
      <c r="Q1133">
        <v>281.24281641032746</v>
      </c>
      <c r="R1133" s="6"/>
    </row>
    <row r="1134" spans="1:18" x14ac:dyDescent="0.15">
      <c r="A1134" t="s">
        <v>325</v>
      </c>
      <c r="B1134" t="s">
        <v>9</v>
      </c>
      <c r="P1134">
        <v>0.56248563282065489</v>
      </c>
      <c r="R1134" s="6"/>
    </row>
    <row r="1135" spans="1:18" x14ac:dyDescent="0.15">
      <c r="C1135" t="s">
        <v>34</v>
      </c>
      <c r="D1135">
        <v>3</v>
      </c>
      <c r="E1135">
        <v>1</v>
      </c>
      <c r="F1135" t="s">
        <v>9</v>
      </c>
      <c r="G1135">
        <v>3</v>
      </c>
      <c r="H1135">
        <v>0</v>
      </c>
      <c r="I1135" t="s">
        <v>488</v>
      </c>
      <c r="J1135" t="s">
        <v>1234</v>
      </c>
      <c r="K1135" t="s">
        <v>1235</v>
      </c>
      <c r="M1135" t="s">
        <v>487</v>
      </c>
      <c r="N1135">
        <v>0</v>
      </c>
      <c r="O1135" t="s">
        <v>1241</v>
      </c>
      <c r="P1135">
        <v>9.4000000000000004E-3</v>
      </c>
      <c r="Q1135">
        <v>29.045999999999999</v>
      </c>
      <c r="R1135" s="6"/>
    </row>
    <row r="1136" spans="1:18" x14ac:dyDescent="0.15">
      <c r="C1136" t="s">
        <v>12</v>
      </c>
      <c r="D1136">
        <v>0.10175879397</v>
      </c>
      <c r="E1136">
        <v>1</v>
      </c>
      <c r="F1136" t="s">
        <v>13</v>
      </c>
      <c r="G1136">
        <v>3</v>
      </c>
      <c r="H1136">
        <v>0</v>
      </c>
      <c r="I1136" t="s">
        <v>488</v>
      </c>
      <c r="J1136" t="s">
        <v>1234</v>
      </c>
      <c r="K1136" t="s">
        <v>1235</v>
      </c>
      <c r="M1136" t="s">
        <v>487</v>
      </c>
      <c r="N1136">
        <v>0</v>
      </c>
      <c r="O1136" t="s">
        <v>1241</v>
      </c>
      <c r="P1136">
        <v>1.03E-2</v>
      </c>
      <c r="Q1136">
        <v>1.0795590452277299</v>
      </c>
      <c r="R1136" s="6"/>
    </row>
    <row r="1137" spans="1:18" x14ac:dyDescent="0.15">
      <c r="C1137" t="s">
        <v>14</v>
      </c>
      <c r="D1137">
        <v>0.11306532663299999</v>
      </c>
      <c r="E1137">
        <v>1</v>
      </c>
      <c r="F1137" t="s">
        <v>13</v>
      </c>
      <c r="G1137">
        <v>3</v>
      </c>
      <c r="H1137">
        <v>0</v>
      </c>
      <c r="I1137" t="s">
        <v>488</v>
      </c>
      <c r="J1137" t="s">
        <v>1234</v>
      </c>
      <c r="K1137" t="s">
        <v>1235</v>
      </c>
      <c r="M1137" t="s">
        <v>487</v>
      </c>
      <c r="N1137">
        <v>0</v>
      </c>
      <c r="O1137" t="s">
        <v>1241</v>
      </c>
      <c r="P1137">
        <v>5.4900000000000001E-3</v>
      </c>
      <c r="Q1137">
        <v>0.63935050251162506</v>
      </c>
      <c r="R1137" s="6"/>
    </row>
    <row r="1138" spans="1:18" x14ac:dyDescent="0.15">
      <c r="C1138" t="s">
        <v>15</v>
      </c>
      <c r="D1138">
        <v>2.2613065326630002</v>
      </c>
      <c r="E1138">
        <v>1000</v>
      </c>
      <c r="F1138" t="s">
        <v>13</v>
      </c>
      <c r="G1138">
        <v>3</v>
      </c>
      <c r="H1138">
        <v>0</v>
      </c>
      <c r="I1138" t="s">
        <v>488</v>
      </c>
      <c r="J1138" t="s">
        <v>1234</v>
      </c>
      <c r="K1138" t="s">
        <v>1235</v>
      </c>
      <c r="M1138" t="s">
        <v>487</v>
      </c>
      <c r="N1138">
        <v>0</v>
      </c>
      <c r="O1138" t="s">
        <v>1241</v>
      </c>
      <c r="P1138">
        <v>7.9819999999999988E-2</v>
      </c>
      <c r="Q1138">
        <v>0.18591241206027545</v>
      </c>
      <c r="R1138" s="6"/>
    </row>
    <row r="1139" spans="1:18" x14ac:dyDescent="0.15">
      <c r="C1139" t="s">
        <v>23</v>
      </c>
      <c r="D1139">
        <v>5.6532663316580001</v>
      </c>
      <c r="E1139">
        <v>1000</v>
      </c>
      <c r="F1139" t="s">
        <v>13</v>
      </c>
      <c r="G1139">
        <v>3</v>
      </c>
      <c r="H1139">
        <v>0</v>
      </c>
      <c r="I1139" t="s">
        <v>488</v>
      </c>
      <c r="J1139" t="s">
        <v>1234</v>
      </c>
      <c r="K1139" t="s">
        <v>1235</v>
      </c>
      <c r="M1139" t="s">
        <v>487</v>
      </c>
      <c r="N1139">
        <v>0</v>
      </c>
      <c r="O1139" t="s">
        <v>1241</v>
      </c>
      <c r="P1139">
        <v>2.3609999999999999E-2</v>
      </c>
      <c r="Q1139">
        <v>0.13747782663315875</v>
      </c>
      <c r="R1139" s="6"/>
    </row>
    <row r="1140" spans="1:18" x14ac:dyDescent="0.15">
      <c r="C1140" t="s">
        <v>24</v>
      </c>
      <c r="D1140">
        <v>2.2613065326630002</v>
      </c>
      <c r="E1140">
        <v>1000</v>
      </c>
      <c r="F1140" t="s">
        <v>13</v>
      </c>
      <c r="G1140">
        <v>3</v>
      </c>
      <c r="H1140">
        <v>0</v>
      </c>
      <c r="I1140" t="s">
        <v>488</v>
      </c>
      <c r="J1140" t="s">
        <v>1234</v>
      </c>
      <c r="K1140" t="s">
        <v>1235</v>
      </c>
      <c r="M1140" t="s">
        <v>487</v>
      </c>
      <c r="N1140">
        <v>0</v>
      </c>
      <c r="O1140" t="s">
        <v>1241</v>
      </c>
      <c r="P1140">
        <v>2.8500000000000001E-2</v>
      </c>
      <c r="Q1140">
        <v>6.6380653266322365E-2</v>
      </c>
      <c r="R1140" s="6"/>
    </row>
    <row r="1141" spans="1:18" x14ac:dyDescent="0.15">
      <c r="C1141" t="s">
        <v>17</v>
      </c>
      <c r="D1141">
        <v>7.9365079365080007</v>
      </c>
      <c r="E1141">
        <v>1000</v>
      </c>
      <c r="F1141" t="s">
        <v>18</v>
      </c>
      <c r="G1141">
        <v>0</v>
      </c>
      <c r="H1141">
        <v>0</v>
      </c>
      <c r="I1141" t="s">
        <v>488</v>
      </c>
      <c r="J1141" t="s">
        <v>1234</v>
      </c>
      <c r="K1141" t="s">
        <v>1235</v>
      </c>
      <c r="M1141" t="s">
        <v>487</v>
      </c>
      <c r="N1141">
        <v>0</v>
      </c>
      <c r="O1141" t="s">
        <v>1241</v>
      </c>
      <c r="P1141">
        <v>53.85</v>
      </c>
      <c r="Q1141">
        <v>427.38095238095588</v>
      </c>
      <c r="R1141" s="6"/>
    </row>
    <row r="1142" spans="1:18" x14ac:dyDescent="0.15">
      <c r="C1142" t="s">
        <v>19</v>
      </c>
      <c r="D1142">
        <v>3</v>
      </c>
      <c r="E1142">
        <v>1</v>
      </c>
      <c r="F1142" t="s">
        <v>18</v>
      </c>
      <c r="G1142">
        <v>0</v>
      </c>
      <c r="H1142">
        <v>0</v>
      </c>
      <c r="I1142" t="s">
        <v>488</v>
      </c>
      <c r="J1142" t="s">
        <v>1236</v>
      </c>
      <c r="K1142" t="s">
        <v>1235</v>
      </c>
      <c r="M1142" t="s">
        <v>487</v>
      </c>
      <c r="N1142">
        <v>0</v>
      </c>
      <c r="O1142" t="s">
        <v>1241</v>
      </c>
      <c r="P1142">
        <v>34.65</v>
      </c>
      <c r="Q1142">
        <v>103.94999999999999</v>
      </c>
      <c r="R1142" s="6"/>
    </row>
    <row r="1143" spans="1:18" x14ac:dyDescent="0.15">
      <c r="A1143" t="s">
        <v>328</v>
      </c>
      <c r="B1143" t="s">
        <v>479</v>
      </c>
      <c r="P1143">
        <v>0.54619881677114879</v>
      </c>
      <c r="R1143" s="6"/>
    </row>
    <row r="1144" spans="1:18" x14ac:dyDescent="0.15">
      <c r="C1144" t="s">
        <v>329</v>
      </c>
      <c r="D1144">
        <v>1</v>
      </c>
      <c r="E1144">
        <v>1</v>
      </c>
      <c r="F1144" t="s">
        <v>9</v>
      </c>
      <c r="G1144">
        <v>0</v>
      </c>
      <c r="H1144">
        <v>0</v>
      </c>
      <c r="I1144" t="s">
        <v>488</v>
      </c>
      <c r="J1144" t="s">
        <v>1234</v>
      </c>
      <c r="K1144" t="s">
        <v>1235</v>
      </c>
      <c r="M1144" t="s">
        <v>487</v>
      </c>
      <c r="N1144">
        <v>0</v>
      </c>
      <c r="O1144" t="s">
        <v>1241</v>
      </c>
      <c r="P1144">
        <v>0.54619881677114879</v>
      </c>
      <c r="Q1144">
        <v>0.54619881677114879</v>
      </c>
      <c r="R1144" s="6"/>
    </row>
    <row r="1145" spans="1:18" x14ac:dyDescent="0.15">
      <c r="A1145" t="s">
        <v>330</v>
      </c>
      <c r="B1145" t="s">
        <v>479</v>
      </c>
      <c r="P1145">
        <v>1.0923976335422976</v>
      </c>
      <c r="R1145" s="6"/>
    </row>
    <row r="1146" spans="1:18" x14ac:dyDescent="0.15">
      <c r="C1146" t="s">
        <v>329</v>
      </c>
      <c r="D1146">
        <v>2</v>
      </c>
      <c r="E1146">
        <v>1</v>
      </c>
      <c r="F1146" t="s">
        <v>9</v>
      </c>
      <c r="G1146">
        <v>0</v>
      </c>
      <c r="H1146">
        <v>0</v>
      </c>
      <c r="I1146" t="s">
        <v>488</v>
      </c>
      <c r="J1146" t="s">
        <v>1234</v>
      </c>
      <c r="K1146" t="s">
        <v>1235</v>
      </c>
      <c r="M1146" t="s">
        <v>487</v>
      </c>
      <c r="N1146">
        <v>0</v>
      </c>
      <c r="O1146" t="s">
        <v>1241</v>
      </c>
      <c r="P1146">
        <v>0.54619881677114879</v>
      </c>
      <c r="Q1146">
        <v>1.0923976335422976</v>
      </c>
      <c r="R1146" s="6"/>
    </row>
    <row r="1147" spans="1:18" x14ac:dyDescent="0.15">
      <c r="A1147" t="s">
        <v>331</v>
      </c>
      <c r="B1147" t="s">
        <v>479</v>
      </c>
      <c r="P1147">
        <v>0.27309940838557439</v>
      </c>
      <c r="R1147" s="6"/>
    </row>
    <row r="1148" spans="1:18" x14ac:dyDescent="0.15">
      <c r="C1148" t="s">
        <v>329</v>
      </c>
      <c r="D1148">
        <v>500</v>
      </c>
      <c r="E1148">
        <v>1000</v>
      </c>
      <c r="F1148" t="s">
        <v>9</v>
      </c>
      <c r="G1148">
        <v>0</v>
      </c>
      <c r="H1148">
        <v>0</v>
      </c>
      <c r="I1148" t="s">
        <v>488</v>
      </c>
      <c r="J1148" t="s">
        <v>1234</v>
      </c>
      <c r="K1148" t="s">
        <v>1235</v>
      </c>
      <c r="M1148" t="s">
        <v>487</v>
      </c>
      <c r="N1148">
        <v>0</v>
      </c>
      <c r="O1148" t="s">
        <v>1241</v>
      </c>
      <c r="P1148">
        <v>0.54619881677114879</v>
      </c>
      <c r="Q1148">
        <v>273.09940838557441</v>
      </c>
      <c r="R1148" s="6"/>
    </row>
    <row r="1149" spans="1:18" x14ac:dyDescent="0.15">
      <c r="A1149" t="s">
        <v>332</v>
      </c>
      <c r="B1149" t="s">
        <v>479</v>
      </c>
      <c r="P1149">
        <v>1.6385964503134462E-3</v>
      </c>
      <c r="R1149" s="6"/>
    </row>
    <row r="1150" spans="1:18" x14ac:dyDescent="0.15">
      <c r="C1150" t="s">
        <v>329</v>
      </c>
      <c r="D1150">
        <v>3</v>
      </c>
      <c r="E1150">
        <v>1000</v>
      </c>
      <c r="F1150" t="s">
        <v>9</v>
      </c>
      <c r="G1150">
        <v>0</v>
      </c>
      <c r="H1150">
        <v>0</v>
      </c>
      <c r="I1150" t="s">
        <v>488</v>
      </c>
      <c r="J1150" t="s">
        <v>1234</v>
      </c>
      <c r="K1150" t="s">
        <v>1235</v>
      </c>
      <c r="M1150" t="s">
        <v>487</v>
      </c>
      <c r="N1150">
        <v>0</v>
      </c>
      <c r="O1150" t="s">
        <v>1241</v>
      </c>
      <c r="P1150">
        <v>0.54619881677114879</v>
      </c>
      <c r="Q1150">
        <v>1.6385964503134463</v>
      </c>
      <c r="R1150" s="6"/>
    </row>
    <row r="1151" spans="1:18" x14ac:dyDescent="0.15">
      <c r="A1151" t="s">
        <v>333</v>
      </c>
      <c r="B1151" t="s">
        <v>479</v>
      </c>
      <c r="P1151">
        <v>3.2771929006268925E-3</v>
      </c>
      <c r="R1151" s="6"/>
    </row>
    <row r="1152" spans="1:18" x14ac:dyDescent="0.15">
      <c r="C1152" t="s">
        <v>329</v>
      </c>
      <c r="D1152">
        <v>6</v>
      </c>
      <c r="E1152">
        <v>1000</v>
      </c>
      <c r="F1152" t="s">
        <v>9</v>
      </c>
      <c r="G1152">
        <v>0</v>
      </c>
      <c r="H1152">
        <v>0</v>
      </c>
      <c r="I1152" t="s">
        <v>488</v>
      </c>
      <c r="J1152" t="s">
        <v>1234</v>
      </c>
      <c r="K1152" t="s">
        <v>1235</v>
      </c>
      <c r="M1152" t="s">
        <v>487</v>
      </c>
      <c r="N1152">
        <v>0</v>
      </c>
      <c r="O1152" t="s">
        <v>1241</v>
      </c>
      <c r="P1152">
        <v>0.54619881677114879</v>
      </c>
      <c r="Q1152">
        <v>3.2771929006268925</v>
      </c>
      <c r="R1152" s="6"/>
    </row>
    <row r="1153" spans="1:18" x14ac:dyDescent="0.15">
      <c r="A1153" t="s">
        <v>334</v>
      </c>
      <c r="B1153" t="s">
        <v>479</v>
      </c>
      <c r="P1153">
        <v>3.8233917173980413E-3</v>
      </c>
      <c r="R1153" s="6"/>
    </row>
    <row r="1154" spans="1:18" x14ac:dyDescent="0.15">
      <c r="C1154" t="s">
        <v>329</v>
      </c>
      <c r="D1154">
        <v>7</v>
      </c>
      <c r="E1154">
        <v>1000</v>
      </c>
      <c r="F1154" t="s">
        <v>9</v>
      </c>
      <c r="G1154">
        <v>0</v>
      </c>
      <c r="H1154">
        <v>0</v>
      </c>
      <c r="I1154" t="s">
        <v>488</v>
      </c>
      <c r="J1154" t="s">
        <v>1234</v>
      </c>
      <c r="K1154" t="s">
        <v>1235</v>
      </c>
      <c r="M1154" t="s">
        <v>487</v>
      </c>
      <c r="N1154">
        <v>0</v>
      </c>
      <c r="O1154" t="s">
        <v>1241</v>
      </c>
      <c r="P1154">
        <v>0.54619881677114879</v>
      </c>
      <c r="Q1154">
        <v>3.8233917173980414</v>
      </c>
      <c r="R1154" s="6"/>
    </row>
    <row r="1155" spans="1:18" x14ac:dyDescent="0.15">
      <c r="A1155" t="s">
        <v>567</v>
      </c>
      <c r="B1155" t="s">
        <v>479</v>
      </c>
      <c r="P1155">
        <v>-1</v>
      </c>
      <c r="R1155" s="8" t="s">
        <v>1244</v>
      </c>
    </row>
    <row r="1156" spans="1:18" x14ac:dyDescent="0.15">
      <c r="A1156" t="s">
        <v>329</v>
      </c>
      <c r="B1156" t="s">
        <v>9</v>
      </c>
      <c r="P1156">
        <v>0.54619881677114879</v>
      </c>
      <c r="R1156" s="6"/>
    </row>
    <row r="1157" spans="1:18" x14ac:dyDescent="0.15">
      <c r="C1157" t="s">
        <v>34</v>
      </c>
      <c r="D1157">
        <v>3</v>
      </c>
      <c r="E1157">
        <v>1</v>
      </c>
      <c r="F1157" t="s">
        <v>9</v>
      </c>
      <c r="G1157">
        <v>3</v>
      </c>
      <c r="H1157">
        <v>0</v>
      </c>
      <c r="I1157" t="s">
        <v>488</v>
      </c>
      <c r="J1157" t="s">
        <v>1234</v>
      </c>
      <c r="K1157" t="s">
        <v>1235</v>
      </c>
      <c r="M1157" t="s">
        <v>487</v>
      </c>
      <c r="N1157">
        <v>0</v>
      </c>
      <c r="O1157" t="s">
        <v>1241</v>
      </c>
      <c r="P1157">
        <v>9.4000000000000004E-3</v>
      </c>
      <c r="Q1157">
        <v>29.045999999999999</v>
      </c>
      <c r="R1157" s="6"/>
    </row>
    <row r="1158" spans="1:18" x14ac:dyDescent="0.15">
      <c r="C1158" t="s">
        <v>39</v>
      </c>
      <c r="D1158">
        <v>2</v>
      </c>
      <c r="E1158">
        <v>1</v>
      </c>
      <c r="F1158" t="s">
        <v>9</v>
      </c>
      <c r="G1158">
        <v>3</v>
      </c>
      <c r="H1158">
        <v>0</v>
      </c>
      <c r="I1158" t="s">
        <v>488</v>
      </c>
      <c r="J1158" t="s">
        <v>1234</v>
      </c>
      <c r="K1158" t="s">
        <v>1235</v>
      </c>
      <c r="M1158" t="s">
        <v>487</v>
      </c>
      <c r="N1158">
        <v>0</v>
      </c>
      <c r="O1158" t="s">
        <v>1241</v>
      </c>
      <c r="P1158">
        <v>0</v>
      </c>
      <c r="Q1158">
        <v>0</v>
      </c>
      <c r="R1158" s="9" t="s">
        <v>1246</v>
      </c>
    </row>
    <row r="1159" spans="1:18" x14ac:dyDescent="0.15">
      <c r="C1159" t="s">
        <v>12</v>
      </c>
      <c r="D1159">
        <v>0.253266331658</v>
      </c>
      <c r="E1159">
        <v>1</v>
      </c>
      <c r="F1159" t="s">
        <v>13</v>
      </c>
      <c r="G1159">
        <v>3</v>
      </c>
      <c r="H1159">
        <v>0</v>
      </c>
      <c r="I1159" t="s">
        <v>488</v>
      </c>
      <c r="J1159" t="s">
        <v>1234</v>
      </c>
      <c r="K1159" t="s">
        <v>1235</v>
      </c>
      <c r="M1159" t="s">
        <v>487</v>
      </c>
      <c r="N1159">
        <v>0</v>
      </c>
      <c r="O1159" t="s">
        <v>1241</v>
      </c>
      <c r="P1159">
        <v>1.03E-2</v>
      </c>
      <c r="Q1159">
        <v>2.6869025125597221</v>
      </c>
      <c r="R1159" s="6"/>
    </row>
    <row r="1160" spans="1:18" x14ac:dyDescent="0.15">
      <c r="C1160" t="s">
        <v>14</v>
      </c>
      <c r="D1160">
        <v>0.28140703517600002</v>
      </c>
      <c r="E1160">
        <v>1</v>
      </c>
      <c r="F1160" t="s">
        <v>13</v>
      </c>
      <c r="G1160">
        <v>3</v>
      </c>
      <c r="H1160">
        <v>0</v>
      </c>
      <c r="I1160" t="s">
        <v>488</v>
      </c>
      <c r="J1160" t="s">
        <v>1234</v>
      </c>
      <c r="K1160" t="s">
        <v>1235</v>
      </c>
      <c r="M1160" t="s">
        <v>487</v>
      </c>
      <c r="N1160">
        <v>0</v>
      </c>
      <c r="O1160" t="s">
        <v>1241</v>
      </c>
      <c r="P1160">
        <v>5.4900000000000001E-3</v>
      </c>
      <c r="Q1160">
        <v>1.5912723618097273</v>
      </c>
      <c r="R1160" s="6"/>
    </row>
    <row r="1161" spans="1:18" x14ac:dyDescent="0.15">
      <c r="C1161" t="s">
        <v>15</v>
      </c>
      <c r="D1161">
        <v>5.6281407035180004</v>
      </c>
      <c r="E1161">
        <v>1000</v>
      </c>
      <c r="F1161" t="s">
        <v>13</v>
      </c>
      <c r="G1161">
        <v>3</v>
      </c>
      <c r="H1161">
        <v>0</v>
      </c>
      <c r="I1161" t="s">
        <v>488</v>
      </c>
      <c r="J1161" t="s">
        <v>1234</v>
      </c>
      <c r="K1161" t="s">
        <v>1235</v>
      </c>
      <c r="M1161" t="s">
        <v>487</v>
      </c>
      <c r="N1161">
        <v>0</v>
      </c>
      <c r="O1161" t="s">
        <v>1241</v>
      </c>
      <c r="P1161">
        <v>7.9819999999999988E-2</v>
      </c>
      <c r="Q1161">
        <v>0.46271533668345094</v>
      </c>
      <c r="R1161" s="6"/>
    </row>
    <row r="1162" spans="1:18" x14ac:dyDescent="0.15">
      <c r="C1162" t="s">
        <v>23</v>
      </c>
      <c r="D1162">
        <v>14.070351758793999</v>
      </c>
      <c r="E1162">
        <v>1000</v>
      </c>
      <c r="F1162" t="s">
        <v>13</v>
      </c>
      <c r="G1162">
        <v>3</v>
      </c>
      <c r="H1162">
        <v>0</v>
      </c>
      <c r="I1162" t="s">
        <v>488</v>
      </c>
      <c r="J1162" t="s">
        <v>1234</v>
      </c>
      <c r="K1162" t="s">
        <v>1235</v>
      </c>
      <c r="M1162" t="s">
        <v>487</v>
      </c>
      <c r="N1162">
        <v>0</v>
      </c>
      <c r="O1162" t="s">
        <v>1241</v>
      </c>
      <c r="P1162">
        <v>2.3609999999999999E-2</v>
      </c>
      <c r="Q1162">
        <v>0.3421670351758801</v>
      </c>
      <c r="R1162" s="6"/>
    </row>
    <row r="1163" spans="1:18" x14ac:dyDescent="0.15">
      <c r="C1163" t="s">
        <v>24</v>
      </c>
      <c r="D1163">
        <v>5.6281407035180004</v>
      </c>
      <c r="E1163">
        <v>1000</v>
      </c>
      <c r="F1163" t="s">
        <v>13</v>
      </c>
      <c r="G1163">
        <v>3</v>
      </c>
      <c r="H1163">
        <v>0</v>
      </c>
      <c r="I1163" t="s">
        <v>488</v>
      </c>
      <c r="J1163" t="s">
        <v>1234</v>
      </c>
      <c r="K1163" t="s">
        <v>1235</v>
      </c>
      <c r="M1163" t="s">
        <v>487</v>
      </c>
      <c r="N1163">
        <v>0</v>
      </c>
      <c r="O1163" t="s">
        <v>1241</v>
      </c>
      <c r="P1163">
        <v>2.8500000000000001E-2</v>
      </c>
      <c r="Q1163">
        <v>0.16521407035177091</v>
      </c>
      <c r="R1163" s="6"/>
    </row>
    <row r="1164" spans="1:18" x14ac:dyDescent="0.15">
      <c r="C1164" t="s">
        <v>17</v>
      </c>
      <c r="D1164">
        <v>7.5757575757579998</v>
      </c>
      <c r="E1164">
        <v>1000</v>
      </c>
      <c r="F1164" t="s">
        <v>18</v>
      </c>
      <c r="G1164">
        <v>0</v>
      </c>
      <c r="H1164">
        <v>0</v>
      </c>
      <c r="I1164" t="s">
        <v>488</v>
      </c>
      <c r="J1164" t="s">
        <v>1234</v>
      </c>
      <c r="K1164" t="s">
        <v>1235</v>
      </c>
      <c r="M1164" t="s">
        <v>487</v>
      </c>
      <c r="N1164">
        <v>0</v>
      </c>
      <c r="O1164" t="s">
        <v>1241</v>
      </c>
      <c r="P1164">
        <v>53.85</v>
      </c>
      <c r="Q1164">
        <v>407.95454545456829</v>
      </c>
      <c r="R1164" s="6"/>
    </row>
    <row r="1165" spans="1:18" x14ac:dyDescent="0.15">
      <c r="C1165" t="s">
        <v>19</v>
      </c>
      <c r="D1165">
        <v>3</v>
      </c>
      <c r="E1165">
        <v>1</v>
      </c>
      <c r="F1165" t="s">
        <v>18</v>
      </c>
      <c r="G1165">
        <v>0</v>
      </c>
      <c r="H1165">
        <v>0</v>
      </c>
      <c r="I1165" t="s">
        <v>488</v>
      </c>
      <c r="J1165" t="s">
        <v>1236</v>
      </c>
      <c r="K1165" t="s">
        <v>1235</v>
      </c>
      <c r="M1165" t="s">
        <v>487</v>
      </c>
      <c r="N1165">
        <v>0</v>
      </c>
      <c r="O1165" t="s">
        <v>1241</v>
      </c>
      <c r="P1165">
        <v>34.65</v>
      </c>
      <c r="Q1165">
        <v>103.94999999999999</v>
      </c>
      <c r="R1165" s="6"/>
    </row>
    <row r="1166" spans="1:18" x14ac:dyDescent="0.15">
      <c r="A1166" t="s">
        <v>568</v>
      </c>
      <c r="B1166" t="s">
        <v>479</v>
      </c>
      <c r="P1166">
        <v>-1</v>
      </c>
      <c r="R1166" s="8" t="s">
        <v>1244</v>
      </c>
    </row>
    <row r="1167" spans="1:18" x14ac:dyDescent="0.15">
      <c r="A1167" t="s">
        <v>569</v>
      </c>
      <c r="B1167" t="s">
        <v>479</v>
      </c>
      <c r="P1167">
        <v>-1</v>
      </c>
      <c r="R1167" s="8" t="s">
        <v>1244</v>
      </c>
    </row>
    <row r="1168" spans="1:18" x14ac:dyDescent="0.15">
      <c r="A1168" t="s">
        <v>570</v>
      </c>
      <c r="B1168" t="s">
        <v>479</v>
      </c>
      <c r="P1168">
        <v>-1</v>
      </c>
      <c r="R1168" s="8" t="s">
        <v>1244</v>
      </c>
    </row>
    <row r="1169" spans="1:18" x14ac:dyDescent="0.15">
      <c r="A1169" t="s">
        <v>571</v>
      </c>
      <c r="B1169" t="s">
        <v>479</v>
      </c>
      <c r="P1169">
        <v>-1</v>
      </c>
      <c r="R1169" s="8" t="s">
        <v>1244</v>
      </c>
    </row>
    <row r="1170" spans="1:18" x14ac:dyDescent="0.15">
      <c r="A1170" t="s">
        <v>335</v>
      </c>
      <c r="B1170" t="s">
        <v>479</v>
      </c>
      <c r="P1170">
        <v>0.48696160135441752</v>
      </c>
      <c r="R1170" s="6"/>
    </row>
    <row r="1171" spans="1:18" x14ac:dyDescent="0.15">
      <c r="C1171" t="s">
        <v>336</v>
      </c>
      <c r="D1171">
        <v>1</v>
      </c>
      <c r="E1171">
        <v>1</v>
      </c>
      <c r="F1171" t="s">
        <v>9</v>
      </c>
      <c r="G1171">
        <v>0</v>
      </c>
      <c r="H1171">
        <v>0</v>
      </c>
      <c r="I1171" t="s">
        <v>488</v>
      </c>
      <c r="J1171" t="s">
        <v>1234</v>
      </c>
      <c r="K1171" t="s">
        <v>1235</v>
      </c>
      <c r="M1171" t="s">
        <v>487</v>
      </c>
      <c r="N1171">
        <v>0</v>
      </c>
      <c r="O1171" t="s">
        <v>1241</v>
      </c>
      <c r="P1171">
        <v>0.48696160135441752</v>
      </c>
      <c r="Q1171">
        <v>0.48696160135441752</v>
      </c>
      <c r="R1171" s="6"/>
    </row>
    <row r="1172" spans="1:18" x14ac:dyDescent="0.15">
      <c r="A1172" t="s">
        <v>337</v>
      </c>
      <c r="B1172" t="s">
        <v>479</v>
      </c>
      <c r="P1172">
        <v>0.97392320270883503</v>
      </c>
      <c r="R1172" s="6"/>
    </row>
    <row r="1173" spans="1:18" x14ac:dyDescent="0.15">
      <c r="C1173" t="s">
        <v>336</v>
      </c>
      <c r="D1173">
        <v>2</v>
      </c>
      <c r="E1173">
        <v>1</v>
      </c>
      <c r="F1173" t="s">
        <v>9</v>
      </c>
      <c r="G1173">
        <v>0</v>
      </c>
      <c r="H1173">
        <v>0</v>
      </c>
      <c r="I1173" t="s">
        <v>488</v>
      </c>
      <c r="J1173" t="s">
        <v>1234</v>
      </c>
      <c r="K1173" t="s">
        <v>1235</v>
      </c>
      <c r="M1173" t="s">
        <v>487</v>
      </c>
      <c r="N1173">
        <v>0</v>
      </c>
      <c r="O1173" t="s">
        <v>1241</v>
      </c>
      <c r="P1173">
        <v>0.48696160135441752</v>
      </c>
      <c r="Q1173">
        <v>0.97392320270883503</v>
      </c>
      <c r="R1173" s="6"/>
    </row>
    <row r="1174" spans="1:18" x14ac:dyDescent="0.15">
      <c r="A1174" t="s">
        <v>338</v>
      </c>
      <c r="B1174" t="s">
        <v>479</v>
      </c>
      <c r="P1174">
        <v>0.24348080067720876</v>
      </c>
      <c r="R1174" s="6"/>
    </row>
    <row r="1175" spans="1:18" x14ac:dyDescent="0.15">
      <c r="C1175" t="s">
        <v>336</v>
      </c>
      <c r="D1175">
        <v>500</v>
      </c>
      <c r="E1175">
        <v>1000</v>
      </c>
      <c r="F1175" t="s">
        <v>9</v>
      </c>
      <c r="G1175">
        <v>0</v>
      </c>
      <c r="H1175">
        <v>0</v>
      </c>
      <c r="I1175" t="s">
        <v>488</v>
      </c>
      <c r="J1175" t="s">
        <v>1234</v>
      </c>
      <c r="K1175" t="s">
        <v>1235</v>
      </c>
      <c r="M1175" t="s">
        <v>487</v>
      </c>
      <c r="N1175">
        <v>0</v>
      </c>
      <c r="O1175" t="s">
        <v>1241</v>
      </c>
      <c r="P1175">
        <v>0.48696160135441752</v>
      </c>
      <c r="Q1175">
        <v>243.48080067720875</v>
      </c>
      <c r="R1175" s="6"/>
    </row>
    <row r="1176" spans="1:18" x14ac:dyDescent="0.15">
      <c r="A1176" t="s">
        <v>336</v>
      </c>
      <c r="B1176" t="s">
        <v>9</v>
      </c>
      <c r="P1176">
        <v>0.48696160135441752</v>
      </c>
      <c r="R1176" s="6"/>
    </row>
    <row r="1177" spans="1:18" x14ac:dyDescent="0.15">
      <c r="C1177" t="s">
        <v>33</v>
      </c>
      <c r="D1177">
        <v>3</v>
      </c>
      <c r="E1177">
        <v>1</v>
      </c>
      <c r="F1177" t="s">
        <v>9</v>
      </c>
      <c r="G1177">
        <v>3</v>
      </c>
      <c r="H1177">
        <v>0</v>
      </c>
      <c r="I1177" t="s">
        <v>488</v>
      </c>
      <c r="J1177" t="s">
        <v>1234</v>
      </c>
      <c r="K1177" t="s">
        <v>1235</v>
      </c>
      <c r="M1177" t="s">
        <v>487</v>
      </c>
      <c r="N1177">
        <v>0</v>
      </c>
      <c r="O1177" t="s">
        <v>1241</v>
      </c>
      <c r="P1177">
        <v>0</v>
      </c>
      <c r="Q1177">
        <v>0</v>
      </c>
      <c r="R1177" s="9" t="s">
        <v>1246</v>
      </c>
    </row>
    <row r="1178" spans="1:18" x14ac:dyDescent="0.15">
      <c r="C1178" t="s">
        <v>12</v>
      </c>
      <c r="D1178">
        <v>0.43688442211099998</v>
      </c>
      <c r="E1178">
        <v>1</v>
      </c>
      <c r="F1178" t="s">
        <v>13</v>
      </c>
      <c r="G1178">
        <v>3</v>
      </c>
      <c r="H1178">
        <v>0</v>
      </c>
      <c r="I1178" t="s">
        <v>488</v>
      </c>
      <c r="J1178" t="s">
        <v>1234</v>
      </c>
      <c r="K1178" t="s">
        <v>1235</v>
      </c>
      <c r="M1178" t="s">
        <v>487</v>
      </c>
      <c r="N1178">
        <v>0</v>
      </c>
      <c r="O1178" t="s">
        <v>1241</v>
      </c>
      <c r="P1178">
        <v>1.03E-2</v>
      </c>
      <c r="Q1178">
        <v>4.6349068341755988</v>
      </c>
      <c r="R1178" s="6"/>
    </row>
    <row r="1179" spans="1:18" x14ac:dyDescent="0.15">
      <c r="C1179" t="s">
        <v>14</v>
      </c>
      <c r="D1179">
        <v>0.485427135678</v>
      </c>
      <c r="E1179">
        <v>1</v>
      </c>
      <c r="F1179" t="s">
        <v>13</v>
      </c>
      <c r="G1179">
        <v>3</v>
      </c>
      <c r="H1179">
        <v>0</v>
      </c>
      <c r="I1179" t="s">
        <v>488</v>
      </c>
      <c r="J1179" t="s">
        <v>1234</v>
      </c>
      <c r="K1179" t="s">
        <v>1235</v>
      </c>
      <c r="M1179" t="s">
        <v>487</v>
      </c>
      <c r="N1179">
        <v>0</v>
      </c>
      <c r="O1179" t="s">
        <v>1241</v>
      </c>
      <c r="P1179">
        <v>5.4900000000000001E-3</v>
      </c>
      <c r="Q1179">
        <v>2.7449448241183867</v>
      </c>
      <c r="R1179" s="6"/>
    </row>
    <row r="1180" spans="1:18" x14ac:dyDescent="0.15">
      <c r="C1180" t="s">
        <v>15</v>
      </c>
      <c r="D1180">
        <v>9.7085427135680007</v>
      </c>
      <c r="E1180">
        <v>1000</v>
      </c>
      <c r="F1180" t="s">
        <v>13</v>
      </c>
      <c r="G1180">
        <v>3</v>
      </c>
      <c r="H1180">
        <v>0</v>
      </c>
      <c r="I1180" t="s">
        <v>488</v>
      </c>
      <c r="J1180" t="s">
        <v>1234</v>
      </c>
      <c r="K1180" t="s">
        <v>1235</v>
      </c>
      <c r="M1180" t="s">
        <v>487</v>
      </c>
      <c r="N1180">
        <v>0</v>
      </c>
      <c r="O1180" t="s">
        <v>1241</v>
      </c>
      <c r="P1180">
        <v>7.9819999999999988E-2</v>
      </c>
      <c r="Q1180">
        <v>0.79818395577890766</v>
      </c>
      <c r="R1180" s="6"/>
    </row>
    <row r="1181" spans="1:18" x14ac:dyDescent="0.15">
      <c r="C1181" t="s">
        <v>23</v>
      </c>
      <c r="D1181">
        <v>24.271356783920002</v>
      </c>
      <c r="E1181">
        <v>1000</v>
      </c>
      <c r="F1181" t="s">
        <v>13</v>
      </c>
      <c r="G1181">
        <v>3</v>
      </c>
      <c r="H1181">
        <v>0</v>
      </c>
      <c r="I1181" t="s">
        <v>488</v>
      </c>
      <c r="J1181" t="s">
        <v>1234</v>
      </c>
      <c r="K1181" t="s">
        <v>1235</v>
      </c>
      <c r="M1181" t="s">
        <v>487</v>
      </c>
      <c r="N1181">
        <v>0</v>
      </c>
      <c r="O1181" t="s">
        <v>1241</v>
      </c>
      <c r="P1181">
        <v>2.3609999999999999E-2</v>
      </c>
      <c r="Q1181">
        <v>0.59023813567840178</v>
      </c>
      <c r="R1181" s="6"/>
    </row>
    <row r="1182" spans="1:18" x14ac:dyDescent="0.15">
      <c r="C1182" t="s">
        <v>24</v>
      </c>
      <c r="D1182">
        <v>9.7085427135680007</v>
      </c>
      <c r="E1182">
        <v>1000</v>
      </c>
      <c r="F1182" t="s">
        <v>13</v>
      </c>
      <c r="G1182">
        <v>3</v>
      </c>
      <c r="H1182">
        <v>0</v>
      </c>
      <c r="I1182" t="s">
        <v>488</v>
      </c>
      <c r="J1182" t="s">
        <v>1234</v>
      </c>
      <c r="K1182" t="s">
        <v>1235</v>
      </c>
      <c r="M1182" t="s">
        <v>487</v>
      </c>
      <c r="N1182">
        <v>0</v>
      </c>
      <c r="O1182" t="s">
        <v>1241</v>
      </c>
      <c r="P1182">
        <v>2.8500000000000001E-2</v>
      </c>
      <c r="Q1182">
        <v>0.28499427135678868</v>
      </c>
      <c r="R1182" s="6"/>
    </row>
    <row r="1183" spans="1:18" x14ac:dyDescent="0.15">
      <c r="C1183" t="s">
        <v>17</v>
      </c>
      <c r="D1183">
        <v>6.9444444444440006</v>
      </c>
      <c r="E1183">
        <v>1000</v>
      </c>
      <c r="F1183" t="s">
        <v>18</v>
      </c>
      <c r="G1183">
        <v>0</v>
      </c>
      <c r="H1183">
        <v>0</v>
      </c>
      <c r="I1183" t="s">
        <v>488</v>
      </c>
      <c r="J1183" t="s">
        <v>1234</v>
      </c>
      <c r="K1183" t="s">
        <v>1235</v>
      </c>
      <c r="M1183" t="s">
        <v>487</v>
      </c>
      <c r="N1183">
        <v>0</v>
      </c>
      <c r="O1183" t="s">
        <v>1241</v>
      </c>
      <c r="P1183">
        <v>53.85</v>
      </c>
      <c r="Q1183">
        <v>373.95833333330944</v>
      </c>
      <c r="R1183" s="6"/>
    </row>
    <row r="1184" spans="1:18" x14ac:dyDescent="0.15">
      <c r="C1184" t="s">
        <v>19</v>
      </c>
      <c r="D1184">
        <v>3</v>
      </c>
      <c r="E1184">
        <v>1</v>
      </c>
      <c r="F1184" t="s">
        <v>18</v>
      </c>
      <c r="G1184">
        <v>0</v>
      </c>
      <c r="H1184">
        <v>0</v>
      </c>
      <c r="I1184" t="s">
        <v>488</v>
      </c>
      <c r="J1184" t="s">
        <v>1236</v>
      </c>
      <c r="K1184" t="s">
        <v>1235</v>
      </c>
      <c r="M1184" t="s">
        <v>487</v>
      </c>
      <c r="N1184">
        <v>0</v>
      </c>
      <c r="O1184" t="s">
        <v>1241</v>
      </c>
      <c r="P1184">
        <v>34.65</v>
      </c>
      <c r="Q1184">
        <v>103.94999999999999</v>
      </c>
      <c r="R1184" s="6"/>
    </row>
    <row r="1185" spans="1:18" x14ac:dyDescent="0.15">
      <c r="A1185" t="s">
        <v>339</v>
      </c>
      <c r="B1185" t="s">
        <v>479</v>
      </c>
      <c r="P1185">
        <v>0.52397556948271096</v>
      </c>
      <c r="R1185" s="6"/>
    </row>
    <row r="1186" spans="1:18" x14ac:dyDescent="0.15">
      <c r="C1186" t="s">
        <v>340</v>
      </c>
      <c r="D1186">
        <v>1</v>
      </c>
      <c r="E1186">
        <v>1</v>
      </c>
      <c r="F1186" t="s">
        <v>9</v>
      </c>
      <c r="G1186">
        <v>0</v>
      </c>
      <c r="H1186">
        <v>0</v>
      </c>
      <c r="I1186" t="s">
        <v>488</v>
      </c>
      <c r="J1186" t="s">
        <v>1234</v>
      </c>
      <c r="K1186" t="s">
        <v>1235</v>
      </c>
      <c r="M1186" t="s">
        <v>487</v>
      </c>
      <c r="N1186">
        <v>0</v>
      </c>
      <c r="O1186" t="s">
        <v>1241</v>
      </c>
      <c r="P1186">
        <v>0.52397556948271096</v>
      </c>
      <c r="Q1186">
        <v>0.52397556948271096</v>
      </c>
      <c r="R1186" s="6"/>
    </row>
    <row r="1187" spans="1:18" x14ac:dyDescent="0.15">
      <c r="A1187" t="s">
        <v>341</v>
      </c>
      <c r="B1187" t="s">
        <v>479</v>
      </c>
      <c r="P1187">
        <v>1.0479511389654219</v>
      </c>
      <c r="R1187" s="6"/>
    </row>
    <row r="1188" spans="1:18" x14ac:dyDescent="0.15">
      <c r="C1188" t="s">
        <v>340</v>
      </c>
      <c r="D1188">
        <v>2</v>
      </c>
      <c r="E1188">
        <v>1</v>
      </c>
      <c r="F1188" t="s">
        <v>9</v>
      </c>
      <c r="G1188">
        <v>0</v>
      </c>
      <c r="H1188">
        <v>0</v>
      </c>
      <c r="I1188" t="s">
        <v>488</v>
      </c>
      <c r="J1188" t="s">
        <v>1234</v>
      </c>
      <c r="K1188" t="s">
        <v>1235</v>
      </c>
      <c r="M1188" t="s">
        <v>487</v>
      </c>
      <c r="N1188">
        <v>0</v>
      </c>
      <c r="O1188" t="s">
        <v>1241</v>
      </c>
      <c r="P1188">
        <v>0.52397556948271096</v>
      </c>
      <c r="Q1188">
        <v>1.0479511389654219</v>
      </c>
      <c r="R1188" s="6"/>
    </row>
    <row r="1189" spans="1:18" x14ac:dyDescent="0.15">
      <c r="A1189" t="s">
        <v>342</v>
      </c>
      <c r="B1189" t="s">
        <v>479</v>
      </c>
      <c r="P1189">
        <v>0.26198778474135548</v>
      </c>
      <c r="R1189" s="6"/>
    </row>
    <row r="1190" spans="1:18" x14ac:dyDescent="0.15">
      <c r="C1190" t="s">
        <v>340</v>
      </c>
      <c r="D1190">
        <v>500</v>
      </c>
      <c r="E1190">
        <v>1000</v>
      </c>
      <c r="F1190" t="s">
        <v>9</v>
      </c>
      <c r="G1190">
        <v>0</v>
      </c>
      <c r="H1190">
        <v>0</v>
      </c>
      <c r="I1190" t="s">
        <v>488</v>
      </c>
      <c r="J1190" t="s">
        <v>1234</v>
      </c>
      <c r="K1190" t="s">
        <v>1235</v>
      </c>
      <c r="M1190" t="s">
        <v>487</v>
      </c>
      <c r="N1190">
        <v>0</v>
      </c>
      <c r="O1190" t="s">
        <v>1241</v>
      </c>
      <c r="P1190">
        <v>0.52397556948271096</v>
      </c>
      <c r="Q1190">
        <v>261.98778474135548</v>
      </c>
      <c r="R1190" s="6"/>
    </row>
    <row r="1191" spans="1:18" x14ac:dyDescent="0.15">
      <c r="A1191" t="s">
        <v>340</v>
      </c>
      <c r="B1191" t="s">
        <v>9</v>
      </c>
      <c r="P1191">
        <v>0.52397556948271096</v>
      </c>
      <c r="R1191" s="6"/>
    </row>
    <row r="1192" spans="1:18" x14ac:dyDescent="0.15">
      <c r="C1192" t="s">
        <v>33</v>
      </c>
      <c r="D1192">
        <v>4</v>
      </c>
      <c r="E1192">
        <v>1</v>
      </c>
      <c r="F1192" t="s">
        <v>9</v>
      </c>
      <c r="G1192">
        <v>3</v>
      </c>
      <c r="H1192">
        <v>0</v>
      </c>
      <c r="I1192" t="s">
        <v>488</v>
      </c>
      <c r="J1192" t="s">
        <v>1234</v>
      </c>
      <c r="K1192" t="s">
        <v>1235</v>
      </c>
      <c r="M1192" t="s">
        <v>487</v>
      </c>
      <c r="N1192">
        <v>0</v>
      </c>
      <c r="O1192" t="s">
        <v>1241</v>
      </c>
      <c r="P1192">
        <v>0</v>
      </c>
      <c r="Q1192">
        <v>0</v>
      </c>
      <c r="R1192" s="9" t="s">
        <v>1246</v>
      </c>
    </row>
    <row r="1193" spans="1:18" x14ac:dyDescent="0.15">
      <c r="C1193" t="s">
        <v>12</v>
      </c>
      <c r="D1193">
        <v>0.58251256281399999</v>
      </c>
      <c r="E1193">
        <v>1</v>
      </c>
      <c r="F1193" t="s">
        <v>13</v>
      </c>
      <c r="G1193">
        <v>3</v>
      </c>
      <c r="H1193">
        <v>0</v>
      </c>
      <c r="I1193" t="s">
        <v>488</v>
      </c>
      <c r="J1193" t="s">
        <v>1234</v>
      </c>
      <c r="K1193" t="s">
        <v>1235</v>
      </c>
      <c r="M1193" t="s">
        <v>487</v>
      </c>
      <c r="N1193">
        <v>0</v>
      </c>
      <c r="O1193" t="s">
        <v>1241</v>
      </c>
      <c r="P1193">
        <v>1.03E-2</v>
      </c>
      <c r="Q1193">
        <v>6.1798757788937255</v>
      </c>
      <c r="R1193" s="6"/>
    </row>
    <row r="1194" spans="1:18" x14ac:dyDescent="0.15">
      <c r="C1194" t="s">
        <v>14</v>
      </c>
      <c r="D1194">
        <v>0.64723618090500001</v>
      </c>
      <c r="E1194">
        <v>1</v>
      </c>
      <c r="F1194" t="s">
        <v>13</v>
      </c>
      <c r="G1194">
        <v>3</v>
      </c>
      <c r="H1194">
        <v>0</v>
      </c>
      <c r="I1194" t="s">
        <v>488</v>
      </c>
      <c r="J1194" t="s">
        <v>1234</v>
      </c>
      <c r="K1194" t="s">
        <v>1235</v>
      </c>
      <c r="M1194" t="s">
        <v>487</v>
      </c>
      <c r="N1194">
        <v>0</v>
      </c>
      <c r="O1194" t="s">
        <v>1241</v>
      </c>
      <c r="P1194">
        <v>5.4900000000000001E-3</v>
      </c>
      <c r="Q1194">
        <v>3.6599264321635037</v>
      </c>
      <c r="R1194" s="6"/>
    </row>
    <row r="1195" spans="1:18" x14ac:dyDescent="0.15">
      <c r="C1195" t="s">
        <v>15</v>
      </c>
      <c r="D1195">
        <v>12.944723618091</v>
      </c>
      <c r="E1195">
        <v>1000</v>
      </c>
      <c r="F1195" t="s">
        <v>13</v>
      </c>
      <c r="G1195">
        <v>3</v>
      </c>
      <c r="H1195">
        <v>0</v>
      </c>
      <c r="I1195" t="s">
        <v>488</v>
      </c>
      <c r="J1195" t="s">
        <v>1234</v>
      </c>
      <c r="K1195" t="s">
        <v>1235</v>
      </c>
      <c r="M1195" t="s">
        <v>487</v>
      </c>
      <c r="N1195">
        <v>0</v>
      </c>
      <c r="O1195" t="s">
        <v>1241</v>
      </c>
      <c r="P1195">
        <v>7.9819999999999988E-2</v>
      </c>
      <c r="Q1195">
        <v>1.0642452743719042</v>
      </c>
      <c r="R1195" s="6"/>
    </row>
    <row r="1196" spans="1:18" x14ac:dyDescent="0.15">
      <c r="C1196" t="s">
        <v>23</v>
      </c>
      <c r="D1196">
        <v>32.361809045226003</v>
      </c>
      <c r="E1196">
        <v>1000</v>
      </c>
      <c r="F1196" t="s">
        <v>13</v>
      </c>
      <c r="G1196">
        <v>3</v>
      </c>
      <c r="H1196">
        <v>0</v>
      </c>
      <c r="I1196" t="s">
        <v>488</v>
      </c>
      <c r="J1196" t="s">
        <v>1234</v>
      </c>
      <c r="K1196" t="s">
        <v>1235</v>
      </c>
      <c r="M1196" t="s">
        <v>487</v>
      </c>
      <c r="N1196">
        <v>0</v>
      </c>
      <c r="O1196" t="s">
        <v>1241</v>
      </c>
      <c r="P1196">
        <v>2.3609999999999999E-2</v>
      </c>
      <c r="Q1196">
        <v>0.78698418090451949</v>
      </c>
      <c r="R1196" s="6"/>
    </row>
    <row r="1197" spans="1:18" x14ac:dyDescent="0.15">
      <c r="C1197" t="s">
        <v>24</v>
      </c>
      <c r="D1197">
        <v>12.944723618091</v>
      </c>
      <c r="E1197">
        <v>1000</v>
      </c>
      <c r="F1197" t="s">
        <v>13</v>
      </c>
      <c r="G1197">
        <v>3</v>
      </c>
      <c r="H1197">
        <v>0</v>
      </c>
      <c r="I1197" t="s">
        <v>488</v>
      </c>
      <c r="J1197" t="s">
        <v>1234</v>
      </c>
      <c r="K1197" t="s">
        <v>1235</v>
      </c>
      <c r="M1197" t="s">
        <v>487</v>
      </c>
      <c r="N1197">
        <v>0</v>
      </c>
      <c r="O1197" t="s">
        <v>1241</v>
      </c>
      <c r="P1197">
        <v>2.8500000000000001E-2</v>
      </c>
      <c r="Q1197">
        <v>0.37999236180906137</v>
      </c>
      <c r="R1197" s="6"/>
    </row>
    <row r="1198" spans="1:18" x14ac:dyDescent="0.15">
      <c r="C1198" t="s">
        <v>17</v>
      </c>
      <c r="D1198">
        <v>7.5757575757579998</v>
      </c>
      <c r="E1198">
        <v>1000</v>
      </c>
      <c r="F1198" t="s">
        <v>18</v>
      </c>
      <c r="G1198">
        <v>0</v>
      </c>
      <c r="H1198">
        <v>0</v>
      </c>
      <c r="I1198" t="s">
        <v>488</v>
      </c>
      <c r="J1198" t="s">
        <v>1234</v>
      </c>
      <c r="K1198" t="s">
        <v>1235</v>
      </c>
      <c r="M1198" t="s">
        <v>487</v>
      </c>
      <c r="N1198">
        <v>0</v>
      </c>
      <c r="O1198" t="s">
        <v>1241</v>
      </c>
      <c r="P1198">
        <v>53.85</v>
      </c>
      <c r="Q1198">
        <v>407.95454545456829</v>
      </c>
      <c r="R1198" s="6"/>
    </row>
    <row r="1199" spans="1:18" x14ac:dyDescent="0.15">
      <c r="C1199" t="s">
        <v>19</v>
      </c>
      <c r="D1199">
        <v>3</v>
      </c>
      <c r="E1199">
        <v>1</v>
      </c>
      <c r="F1199" t="s">
        <v>18</v>
      </c>
      <c r="G1199">
        <v>0</v>
      </c>
      <c r="H1199">
        <v>0</v>
      </c>
      <c r="I1199" t="s">
        <v>488</v>
      </c>
      <c r="J1199" t="s">
        <v>1236</v>
      </c>
      <c r="K1199" t="s">
        <v>1235</v>
      </c>
      <c r="M1199" t="s">
        <v>487</v>
      </c>
      <c r="N1199">
        <v>0</v>
      </c>
      <c r="O1199" t="s">
        <v>1241</v>
      </c>
      <c r="P1199">
        <v>34.65</v>
      </c>
      <c r="Q1199">
        <v>103.94999999999999</v>
      </c>
      <c r="R1199" s="6"/>
    </row>
    <row r="1200" spans="1:18" x14ac:dyDescent="0.15">
      <c r="A1200" t="s">
        <v>343</v>
      </c>
      <c r="B1200" t="s">
        <v>479</v>
      </c>
      <c r="P1200">
        <v>0.46423108772746774</v>
      </c>
      <c r="R1200" s="6"/>
    </row>
    <row r="1201" spans="1:18" x14ac:dyDescent="0.15">
      <c r="C1201" t="s">
        <v>344</v>
      </c>
      <c r="D1201">
        <v>1</v>
      </c>
      <c r="E1201">
        <v>1</v>
      </c>
      <c r="F1201" t="s">
        <v>9</v>
      </c>
      <c r="G1201">
        <v>0</v>
      </c>
      <c r="H1201">
        <v>0</v>
      </c>
      <c r="I1201" t="s">
        <v>488</v>
      </c>
      <c r="J1201" t="s">
        <v>1234</v>
      </c>
      <c r="K1201" t="s">
        <v>1235</v>
      </c>
      <c r="M1201" t="s">
        <v>487</v>
      </c>
      <c r="N1201">
        <v>0</v>
      </c>
      <c r="O1201" t="s">
        <v>1241</v>
      </c>
      <c r="P1201">
        <v>0.46423108772746774</v>
      </c>
      <c r="Q1201">
        <v>0.46423108772746774</v>
      </c>
      <c r="R1201" s="6"/>
    </row>
    <row r="1202" spans="1:18" x14ac:dyDescent="0.15">
      <c r="A1202" t="s">
        <v>345</v>
      </c>
      <c r="B1202" t="s">
        <v>479</v>
      </c>
      <c r="P1202">
        <v>0.92846217545493548</v>
      </c>
      <c r="R1202" s="6"/>
    </row>
    <row r="1203" spans="1:18" x14ac:dyDescent="0.15">
      <c r="C1203" t="s">
        <v>344</v>
      </c>
      <c r="D1203">
        <v>2</v>
      </c>
      <c r="E1203">
        <v>1</v>
      </c>
      <c r="F1203" t="s">
        <v>9</v>
      </c>
      <c r="G1203">
        <v>0</v>
      </c>
      <c r="H1203">
        <v>0</v>
      </c>
      <c r="I1203" t="s">
        <v>488</v>
      </c>
      <c r="J1203" t="s">
        <v>1234</v>
      </c>
      <c r="K1203" t="s">
        <v>1235</v>
      </c>
      <c r="M1203" t="s">
        <v>487</v>
      </c>
      <c r="N1203">
        <v>0</v>
      </c>
      <c r="O1203" t="s">
        <v>1241</v>
      </c>
      <c r="P1203">
        <v>0.46423108772746774</v>
      </c>
      <c r="Q1203">
        <v>0.92846217545493548</v>
      </c>
      <c r="R1203" s="6"/>
    </row>
    <row r="1204" spans="1:18" x14ac:dyDescent="0.15">
      <c r="A1204" t="s">
        <v>346</v>
      </c>
      <c r="B1204" t="s">
        <v>479</v>
      </c>
      <c r="P1204">
        <v>0.23211554386373387</v>
      </c>
      <c r="R1204" s="6"/>
    </row>
    <row r="1205" spans="1:18" x14ac:dyDescent="0.15">
      <c r="C1205" t="s">
        <v>344</v>
      </c>
      <c r="D1205">
        <v>500</v>
      </c>
      <c r="E1205">
        <v>1000</v>
      </c>
      <c r="F1205" t="s">
        <v>9</v>
      </c>
      <c r="G1205">
        <v>0</v>
      </c>
      <c r="H1205">
        <v>0</v>
      </c>
      <c r="I1205" t="s">
        <v>488</v>
      </c>
      <c r="J1205" t="s">
        <v>1234</v>
      </c>
      <c r="K1205" t="s">
        <v>1235</v>
      </c>
      <c r="M1205" t="s">
        <v>487</v>
      </c>
      <c r="N1205">
        <v>0</v>
      </c>
      <c r="O1205" t="s">
        <v>1241</v>
      </c>
      <c r="P1205">
        <v>0.46423108772746774</v>
      </c>
      <c r="Q1205">
        <v>232.11554386373388</v>
      </c>
      <c r="R1205" s="6"/>
    </row>
    <row r="1206" spans="1:18" x14ac:dyDescent="0.15">
      <c r="A1206" t="s">
        <v>344</v>
      </c>
      <c r="B1206" t="s">
        <v>9</v>
      </c>
      <c r="P1206">
        <v>0.46423108772746774</v>
      </c>
      <c r="R1206" s="6"/>
    </row>
    <row r="1207" spans="1:18" x14ac:dyDescent="0.15">
      <c r="C1207" t="s">
        <v>33</v>
      </c>
      <c r="D1207">
        <v>5</v>
      </c>
      <c r="E1207">
        <v>1</v>
      </c>
      <c r="F1207" t="s">
        <v>9</v>
      </c>
      <c r="G1207">
        <v>3</v>
      </c>
      <c r="H1207">
        <v>0</v>
      </c>
      <c r="I1207" t="s">
        <v>488</v>
      </c>
      <c r="J1207" t="s">
        <v>1234</v>
      </c>
      <c r="K1207" t="s">
        <v>1235</v>
      </c>
      <c r="M1207" t="s">
        <v>487</v>
      </c>
      <c r="N1207">
        <v>0</v>
      </c>
      <c r="O1207" t="s">
        <v>1241</v>
      </c>
      <c r="P1207">
        <v>0</v>
      </c>
      <c r="Q1207">
        <v>0</v>
      </c>
      <c r="R1207" s="9" t="s">
        <v>1246</v>
      </c>
    </row>
    <row r="1208" spans="1:18" x14ac:dyDescent="0.15">
      <c r="C1208" t="s">
        <v>12</v>
      </c>
      <c r="D1208">
        <v>0.72814070351799998</v>
      </c>
      <c r="E1208">
        <v>1</v>
      </c>
      <c r="F1208" t="s">
        <v>13</v>
      </c>
      <c r="G1208">
        <v>3</v>
      </c>
      <c r="H1208">
        <v>0</v>
      </c>
      <c r="I1208" t="s">
        <v>488</v>
      </c>
      <c r="J1208" t="s">
        <v>1234</v>
      </c>
      <c r="K1208" t="s">
        <v>1235</v>
      </c>
      <c r="M1208" t="s">
        <v>487</v>
      </c>
      <c r="N1208">
        <v>0</v>
      </c>
      <c r="O1208" t="s">
        <v>1241</v>
      </c>
      <c r="P1208">
        <v>1.03E-2</v>
      </c>
      <c r="Q1208">
        <v>7.7248447236224624</v>
      </c>
      <c r="R1208" s="6"/>
    </row>
    <row r="1209" spans="1:18" x14ac:dyDescent="0.15">
      <c r="C1209" t="s">
        <v>14</v>
      </c>
      <c r="D1209">
        <v>0.80904522613100005</v>
      </c>
      <c r="E1209">
        <v>1</v>
      </c>
      <c r="F1209" t="s">
        <v>13</v>
      </c>
      <c r="G1209">
        <v>3</v>
      </c>
      <c r="H1209">
        <v>0</v>
      </c>
      <c r="I1209" t="s">
        <v>488</v>
      </c>
      <c r="J1209" t="s">
        <v>1234</v>
      </c>
      <c r="K1209" t="s">
        <v>1235</v>
      </c>
      <c r="M1209" t="s">
        <v>487</v>
      </c>
      <c r="N1209">
        <v>0</v>
      </c>
      <c r="O1209" t="s">
        <v>1241</v>
      </c>
      <c r="P1209">
        <v>5.4900000000000001E-3</v>
      </c>
      <c r="Q1209">
        <v>4.574908040202966</v>
      </c>
      <c r="R1209" s="6"/>
    </row>
    <row r="1210" spans="1:18" x14ac:dyDescent="0.15">
      <c r="C1210" t="s">
        <v>15</v>
      </c>
      <c r="D1210">
        <v>16.180904522613002</v>
      </c>
      <c r="E1210">
        <v>1000</v>
      </c>
      <c r="F1210" t="s">
        <v>13</v>
      </c>
      <c r="G1210">
        <v>3</v>
      </c>
      <c r="H1210">
        <v>0</v>
      </c>
      <c r="I1210" t="s">
        <v>488</v>
      </c>
      <c r="J1210" t="s">
        <v>1234</v>
      </c>
      <c r="K1210" t="s">
        <v>1235</v>
      </c>
      <c r="M1210" t="s">
        <v>487</v>
      </c>
      <c r="N1210">
        <v>0</v>
      </c>
      <c r="O1210" t="s">
        <v>1241</v>
      </c>
      <c r="P1210">
        <v>7.9819999999999988E-2</v>
      </c>
      <c r="Q1210">
        <v>1.3303065929648186</v>
      </c>
      <c r="R1210" s="6"/>
    </row>
    <row r="1211" spans="1:18" x14ac:dyDescent="0.15">
      <c r="C1211" t="s">
        <v>23</v>
      </c>
      <c r="D1211">
        <v>40.452261306533003</v>
      </c>
      <c r="E1211">
        <v>1000</v>
      </c>
      <c r="F1211" t="s">
        <v>13</v>
      </c>
      <c r="G1211">
        <v>3</v>
      </c>
      <c r="H1211">
        <v>0</v>
      </c>
      <c r="I1211" t="s">
        <v>488</v>
      </c>
      <c r="J1211" t="s">
        <v>1234</v>
      </c>
      <c r="K1211" t="s">
        <v>1235</v>
      </c>
      <c r="M1211" t="s">
        <v>487</v>
      </c>
      <c r="N1211">
        <v>0</v>
      </c>
      <c r="O1211" t="s">
        <v>1241</v>
      </c>
      <c r="P1211">
        <v>2.3609999999999999E-2</v>
      </c>
      <c r="Q1211">
        <v>0.98373022613066141</v>
      </c>
      <c r="R1211" s="6"/>
    </row>
    <row r="1212" spans="1:18" x14ac:dyDescent="0.15">
      <c r="C1212" t="s">
        <v>24</v>
      </c>
      <c r="D1212">
        <v>16.180904522613002</v>
      </c>
      <c r="E1212">
        <v>1000</v>
      </c>
      <c r="F1212" t="s">
        <v>13</v>
      </c>
      <c r="G1212">
        <v>3</v>
      </c>
      <c r="H1212">
        <v>0</v>
      </c>
      <c r="I1212" t="s">
        <v>488</v>
      </c>
      <c r="J1212" t="s">
        <v>1234</v>
      </c>
      <c r="K1212" t="s">
        <v>1235</v>
      </c>
      <c r="M1212" t="s">
        <v>487</v>
      </c>
      <c r="N1212">
        <v>0</v>
      </c>
      <c r="O1212" t="s">
        <v>1241</v>
      </c>
      <c r="P1212">
        <v>2.8500000000000001E-2</v>
      </c>
      <c r="Q1212">
        <v>0.47499045226130465</v>
      </c>
      <c r="R1212" s="6"/>
    </row>
    <row r="1213" spans="1:18" x14ac:dyDescent="0.15">
      <c r="C1213" t="s">
        <v>17</v>
      </c>
      <c r="D1213">
        <v>6.4102564102559993</v>
      </c>
      <c r="E1213">
        <v>1000</v>
      </c>
      <c r="F1213" t="s">
        <v>18</v>
      </c>
      <c r="G1213">
        <v>0</v>
      </c>
      <c r="H1213">
        <v>0</v>
      </c>
      <c r="I1213" t="s">
        <v>488</v>
      </c>
      <c r="J1213" t="s">
        <v>1234</v>
      </c>
      <c r="K1213" t="s">
        <v>1235</v>
      </c>
      <c r="M1213" t="s">
        <v>487</v>
      </c>
      <c r="N1213">
        <v>0</v>
      </c>
      <c r="O1213" t="s">
        <v>1241</v>
      </c>
      <c r="P1213">
        <v>53.85</v>
      </c>
      <c r="Q1213">
        <v>345.19230769228557</v>
      </c>
      <c r="R1213" s="6"/>
    </row>
    <row r="1214" spans="1:18" x14ac:dyDescent="0.15">
      <c r="C1214" t="s">
        <v>19</v>
      </c>
      <c r="D1214">
        <v>3</v>
      </c>
      <c r="E1214">
        <v>1</v>
      </c>
      <c r="F1214" t="s">
        <v>18</v>
      </c>
      <c r="G1214">
        <v>0</v>
      </c>
      <c r="H1214">
        <v>0</v>
      </c>
      <c r="I1214" t="s">
        <v>488</v>
      </c>
      <c r="J1214" t="s">
        <v>1236</v>
      </c>
      <c r="K1214" t="s">
        <v>1235</v>
      </c>
      <c r="M1214" t="s">
        <v>487</v>
      </c>
      <c r="N1214">
        <v>0</v>
      </c>
      <c r="O1214" t="s">
        <v>1241</v>
      </c>
      <c r="P1214">
        <v>34.65</v>
      </c>
      <c r="Q1214">
        <v>103.94999999999999</v>
      </c>
      <c r="R1214" s="6"/>
    </row>
    <row r="1215" spans="1:18" x14ac:dyDescent="0.15">
      <c r="A1215" t="s">
        <v>347</v>
      </c>
      <c r="B1215" t="s">
        <v>479</v>
      </c>
      <c r="P1215">
        <v>0.51396986776263376</v>
      </c>
      <c r="R1215" s="6"/>
    </row>
    <row r="1216" spans="1:18" x14ac:dyDescent="0.15">
      <c r="C1216" t="s">
        <v>348</v>
      </c>
      <c r="D1216">
        <v>1</v>
      </c>
      <c r="E1216">
        <v>1</v>
      </c>
      <c r="F1216" t="s">
        <v>9</v>
      </c>
      <c r="G1216">
        <v>0</v>
      </c>
      <c r="H1216">
        <v>0</v>
      </c>
      <c r="I1216" t="s">
        <v>488</v>
      </c>
      <c r="J1216" t="s">
        <v>1234</v>
      </c>
      <c r="K1216" t="s">
        <v>1235</v>
      </c>
      <c r="M1216" t="s">
        <v>487</v>
      </c>
      <c r="N1216">
        <v>0</v>
      </c>
      <c r="O1216" t="s">
        <v>1241</v>
      </c>
      <c r="P1216">
        <v>0.51396986776263376</v>
      </c>
      <c r="Q1216">
        <v>0.51396986776263376</v>
      </c>
      <c r="R1216" s="6"/>
    </row>
    <row r="1217" spans="1:18" x14ac:dyDescent="0.15">
      <c r="A1217" t="s">
        <v>349</v>
      </c>
      <c r="B1217" t="s">
        <v>479</v>
      </c>
      <c r="P1217">
        <v>1.0279397355252675</v>
      </c>
      <c r="R1217" s="6"/>
    </row>
    <row r="1218" spans="1:18" x14ac:dyDescent="0.15">
      <c r="C1218" t="s">
        <v>348</v>
      </c>
      <c r="D1218">
        <v>2</v>
      </c>
      <c r="E1218">
        <v>1</v>
      </c>
      <c r="F1218" t="s">
        <v>9</v>
      </c>
      <c r="G1218">
        <v>0</v>
      </c>
      <c r="H1218">
        <v>0</v>
      </c>
      <c r="I1218" t="s">
        <v>488</v>
      </c>
      <c r="J1218" t="s">
        <v>1234</v>
      </c>
      <c r="K1218" t="s">
        <v>1235</v>
      </c>
      <c r="M1218" t="s">
        <v>487</v>
      </c>
      <c r="N1218">
        <v>0</v>
      </c>
      <c r="O1218" t="s">
        <v>1241</v>
      </c>
      <c r="P1218">
        <v>0.51396986776263376</v>
      </c>
      <c r="Q1218">
        <v>1.0279397355252675</v>
      </c>
      <c r="R1218" s="6"/>
    </row>
    <row r="1219" spans="1:18" x14ac:dyDescent="0.15">
      <c r="A1219" t="s">
        <v>350</v>
      </c>
      <c r="B1219" t="s">
        <v>479</v>
      </c>
      <c r="P1219">
        <v>0.25698493388131688</v>
      </c>
      <c r="R1219" s="6"/>
    </row>
    <row r="1220" spans="1:18" x14ac:dyDescent="0.15">
      <c r="C1220" t="s">
        <v>348</v>
      </c>
      <c r="D1220">
        <v>500</v>
      </c>
      <c r="E1220">
        <v>1000</v>
      </c>
      <c r="F1220" t="s">
        <v>9</v>
      </c>
      <c r="G1220">
        <v>0</v>
      </c>
      <c r="H1220">
        <v>0</v>
      </c>
      <c r="I1220" t="s">
        <v>488</v>
      </c>
      <c r="J1220" t="s">
        <v>1234</v>
      </c>
      <c r="K1220" t="s">
        <v>1235</v>
      </c>
      <c r="M1220" t="s">
        <v>487</v>
      </c>
      <c r="N1220">
        <v>0</v>
      </c>
      <c r="O1220" t="s">
        <v>1241</v>
      </c>
      <c r="P1220">
        <v>0.51396986776263376</v>
      </c>
      <c r="Q1220">
        <v>256.98493388131686</v>
      </c>
      <c r="R1220" s="6"/>
    </row>
    <row r="1221" spans="1:18" x14ac:dyDescent="0.15">
      <c r="A1221" t="s">
        <v>351</v>
      </c>
      <c r="B1221" t="s">
        <v>479</v>
      </c>
      <c r="P1221">
        <v>5.396683611507655E-2</v>
      </c>
      <c r="R1221" s="6"/>
    </row>
    <row r="1222" spans="1:18" x14ac:dyDescent="0.15">
      <c r="C1222" t="s">
        <v>348</v>
      </c>
      <c r="D1222">
        <v>105</v>
      </c>
      <c r="E1222">
        <v>1000</v>
      </c>
      <c r="F1222" t="s">
        <v>9</v>
      </c>
      <c r="G1222">
        <v>0</v>
      </c>
      <c r="H1222">
        <v>0</v>
      </c>
      <c r="I1222" t="s">
        <v>488</v>
      </c>
      <c r="J1222" t="s">
        <v>1234</v>
      </c>
      <c r="K1222" t="s">
        <v>1235</v>
      </c>
      <c r="M1222" t="s">
        <v>487</v>
      </c>
      <c r="N1222">
        <v>0</v>
      </c>
      <c r="O1222" t="s">
        <v>1241</v>
      </c>
      <c r="P1222">
        <v>0.51396986776263376</v>
      </c>
      <c r="Q1222">
        <v>53.966836115076546</v>
      </c>
      <c r="R1222" s="6"/>
    </row>
    <row r="1223" spans="1:18" x14ac:dyDescent="0.15">
      <c r="A1223" t="s">
        <v>348</v>
      </c>
      <c r="B1223" t="s">
        <v>9</v>
      </c>
      <c r="P1223">
        <v>0.51396986776263376</v>
      </c>
      <c r="R1223" s="6"/>
    </row>
    <row r="1224" spans="1:18" x14ac:dyDescent="0.15">
      <c r="C1224" t="s">
        <v>33</v>
      </c>
      <c r="D1224">
        <v>10</v>
      </c>
      <c r="E1224">
        <v>1</v>
      </c>
      <c r="F1224" t="s">
        <v>9</v>
      </c>
      <c r="G1224">
        <v>3</v>
      </c>
      <c r="H1224">
        <v>0</v>
      </c>
      <c r="I1224" t="s">
        <v>488</v>
      </c>
      <c r="J1224" t="s">
        <v>1234</v>
      </c>
      <c r="K1224" t="s">
        <v>1235</v>
      </c>
      <c r="M1224" t="s">
        <v>487</v>
      </c>
      <c r="N1224">
        <v>0</v>
      </c>
      <c r="O1224" t="s">
        <v>1241</v>
      </c>
      <c r="P1224">
        <v>0</v>
      </c>
      <c r="Q1224">
        <v>0</v>
      </c>
      <c r="R1224" s="9" t="s">
        <v>1246</v>
      </c>
    </row>
    <row r="1225" spans="1:18" x14ac:dyDescent="0.15">
      <c r="C1225" t="s">
        <v>12</v>
      </c>
      <c r="D1225">
        <v>1.4562814070350001</v>
      </c>
      <c r="E1225">
        <v>1</v>
      </c>
      <c r="F1225" t="s">
        <v>13</v>
      </c>
      <c r="G1225">
        <v>3</v>
      </c>
      <c r="H1225">
        <v>0</v>
      </c>
      <c r="I1225" t="s">
        <v>488</v>
      </c>
      <c r="J1225" t="s">
        <v>1234</v>
      </c>
      <c r="K1225" t="s">
        <v>1235</v>
      </c>
      <c r="M1225" t="s">
        <v>487</v>
      </c>
      <c r="N1225">
        <v>0</v>
      </c>
      <c r="O1225" t="s">
        <v>1241</v>
      </c>
      <c r="P1225">
        <v>1.03E-2</v>
      </c>
      <c r="Q1225">
        <v>15.449689447234315</v>
      </c>
      <c r="R1225" s="6"/>
    </row>
    <row r="1226" spans="1:18" x14ac:dyDescent="0.15">
      <c r="C1226" t="s">
        <v>14</v>
      </c>
      <c r="D1226">
        <v>1.618090452261</v>
      </c>
      <c r="E1226">
        <v>1</v>
      </c>
      <c r="F1226" t="s">
        <v>13</v>
      </c>
      <c r="G1226">
        <v>3</v>
      </c>
      <c r="H1226">
        <v>0</v>
      </c>
      <c r="I1226" t="s">
        <v>488</v>
      </c>
      <c r="J1226" t="s">
        <v>1234</v>
      </c>
      <c r="K1226" t="s">
        <v>1235</v>
      </c>
      <c r="M1226" t="s">
        <v>487</v>
      </c>
      <c r="N1226">
        <v>0</v>
      </c>
      <c r="O1226" t="s">
        <v>1241</v>
      </c>
      <c r="P1226">
        <v>5.4900000000000001E-3</v>
      </c>
      <c r="Q1226">
        <v>9.1498160804002762</v>
      </c>
      <c r="R1226" s="6"/>
    </row>
    <row r="1227" spans="1:18" x14ac:dyDescent="0.15">
      <c r="C1227" t="s">
        <v>15</v>
      </c>
      <c r="D1227">
        <v>32.361809045226003</v>
      </c>
      <c r="E1227">
        <v>1000</v>
      </c>
      <c r="F1227" t="s">
        <v>13</v>
      </c>
      <c r="G1227">
        <v>3</v>
      </c>
      <c r="H1227">
        <v>0</v>
      </c>
      <c r="I1227" t="s">
        <v>488</v>
      </c>
      <c r="J1227" t="s">
        <v>1234</v>
      </c>
      <c r="K1227" t="s">
        <v>1235</v>
      </c>
      <c r="M1227" t="s">
        <v>487</v>
      </c>
      <c r="N1227">
        <v>0</v>
      </c>
      <c r="O1227" t="s">
        <v>1241</v>
      </c>
      <c r="P1227">
        <v>7.9819999999999988E-2</v>
      </c>
      <c r="Q1227">
        <v>2.6606131859296371</v>
      </c>
      <c r="R1227" s="6"/>
    </row>
    <row r="1228" spans="1:18" x14ac:dyDescent="0.15">
      <c r="C1228" t="s">
        <v>23</v>
      </c>
      <c r="D1228">
        <v>80.904522613064998</v>
      </c>
      <c r="E1228">
        <v>1000</v>
      </c>
      <c r="F1228" t="s">
        <v>13</v>
      </c>
      <c r="G1228">
        <v>3</v>
      </c>
      <c r="H1228">
        <v>0</v>
      </c>
      <c r="I1228" t="s">
        <v>488</v>
      </c>
      <c r="J1228" t="s">
        <v>1234</v>
      </c>
      <c r="K1228" t="s">
        <v>1235</v>
      </c>
      <c r="M1228" t="s">
        <v>487</v>
      </c>
      <c r="N1228">
        <v>0</v>
      </c>
      <c r="O1228" t="s">
        <v>1241</v>
      </c>
      <c r="P1228">
        <v>2.3609999999999999E-2</v>
      </c>
      <c r="Q1228">
        <v>1.9674604522612984</v>
      </c>
      <c r="R1228" s="6"/>
    </row>
    <row r="1229" spans="1:18" x14ac:dyDescent="0.15">
      <c r="C1229" t="s">
        <v>24</v>
      </c>
      <c r="D1229">
        <v>32.361809045226003</v>
      </c>
      <c r="E1229">
        <v>1000</v>
      </c>
      <c r="F1229" t="s">
        <v>13</v>
      </c>
      <c r="G1229">
        <v>3</v>
      </c>
      <c r="H1229">
        <v>0</v>
      </c>
      <c r="I1229" t="s">
        <v>488</v>
      </c>
      <c r="J1229" t="s">
        <v>1234</v>
      </c>
      <c r="K1229" t="s">
        <v>1235</v>
      </c>
      <c r="M1229" t="s">
        <v>487</v>
      </c>
      <c r="N1229">
        <v>0</v>
      </c>
      <c r="O1229" t="s">
        <v>1241</v>
      </c>
      <c r="P1229">
        <v>2.8500000000000001E-2</v>
      </c>
      <c r="Q1229">
        <v>0.9499809045226093</v>
      </c>
      <c r="R1229" s="6"/>
    </row>
    <row r="1230" spans="1:18" x14ac:dyDescent="0.15">
      <c r="C1230" t="s">
        <v>17</v>
      </c>
      <c r="D1230">
        <v>6.4102564102559993</v>
      </c>
      <c r="E1230">
        <v>1000</v>
      </c>
      <c r="F1230" t="s">
        <v>18</v>
      </c>
      <c r="G1230">
        <v>0</v>
      </c>
      <c r="H1230">
        <v>0</v>
      </c>
      <c r="I1230" t="s">
        <v>488</v>
      </c>
      <c r="J1230" t="s">
        <v>1234</v>
      </c>
      <c r="K1230" t="s">
        <v>1235</v>
      </c>
      <c r="M1230" t="s">
        <v>487</v>
      </c>
      <c r="N1230">
        <v>0</v>
      </c>
      <c r="O1230" t="s">
        <v>1241</v>
      </c>
      <c r="P1230">
        <v>53.85</v>
      </c>
      <c r="Q1230">
        <v>345.19230769228557</v>
      </c>
      <c r="R1230" s="6"/>
    </row>
    <row r="1231" spans="1:18" x14ac:dyDescent="0.15">
      <c r="C1231" t="s">
        <v>19</v>
      </c>
      <c r="D1231">
        <v>4</v>
      </c>
      <c r="E1231">
        <v>1</v>
      </c>
      <c r="F1231" t="s">
        <v>18</v>
      </c>
      <c r="G1231">
        <v>0</v>
      </c>
      <c r="H1231">
        <v>0</v>
      </c>
      <c r="I1231" t="s">
        <v>488</v>
      </c>
      <c r="J1231" t="s">
        <v>1236</v>
      </c>
      <c r="K1231" t="s">
        <v>1235</v>
      </c>
      <c r="M1231" t="s">
        <v>487</v>
      </c>
      <c r="N1231">
        <v>0</v>
      </c>
      <c r="O1231" t="s">
        <v>1241</v>
      </c>
      <c r="P1231">
        <v>34.65</v>
      </c>
      <c r="Q1231">
        <v>138.6</v>
      </c>
      <c r="R1231" s="6"/>
    </row>
    <row r="1232" spans="1:18" x14ac:dyDescent="0.15">
      <c r="A1232" t="s">
        <v>352</v>
      </c>
      <c r="B1232" t="s">
        <v>479</v>
      </c>
      <c r="P1232">
        <v>0.53368262538256006</v>
      </c>
      <c r="R1232" s="6"/>
    </row>
    <row r="1233" spans="1:18" x14ac:dyDescent="0.15">
      <c r="C1233" t="s">
        <v>353</v>
      </c>
      <c r="D1233">
        <v>1</v>
      </c>
      <c r="E1233">
        <v>1</v>
      </c>
      <c r="F1233" t="s">
        <v>9</v>
      </c>
      <c r="G1233">
        <v>0</v>
      </c>
      <c r="H1233">
        <v>0</v>
      </c>
      <c r="I1233" t="s">
        <v>488</v>
      </c>
      <c r="J1233" t="s">
        <v>1234</v>
      </c>
      <c r="K1233" t="s">
        <v>1235</v>
      </c>
      <c r="M1233" t="s">
        <v>487</v>
      </c>
      <c r="N1233">
        <v>0</v>
      </c>
      <c r="O1233" t="s">
        <v>1241</v>
      </c>
      <c r="P1233">
        <v>0.53368262538256006</v>
      </c>
      <c r="Q1233">
        <v>0.53368262538256006</v>
      </c>
      <c r="R1233" s="6"/>
    </row>
    <row r="1234" spans="1:18" x14ac:dyDescent="0.15">
      <c r="A1234" t="s">
        <v>354</v>
      </c>
      <c r="B1234" t="s">
        <v>479</v>
      </c>
      <c r="P1234">
        <v>1.0673652507651201</v>
      </c>
      <c r="R1234" s="6"/>
    </row>
    <row r="1235" spans="1:18" x14ac:dyDescent="0.15">
      <c r="C1235" t="s">
        <v>353</v>
      </c>
      <c r="D1235">
        <v>2</v>
      </c>
      <c r="E1235">
        <v>1</v>
      </c>
      <c r="F1235" t="s">
        <v>9</v>
      </c>
      <c r="G1235">
        <v>0</v>
      </c>
      <c r="H1235">
        <v>0</v>
      </c>
      <c r="I1235" t="s">
        <v>488</v>
      </c>
      <c r="J1235" t="s">
        <v>1234</v>
      </c>
      <c r="K1235" t="s">
        <v>1235</v>
      </c>
      <c r="M1235" t="s">
        <v>487</v>
      </c>
      <c r="N1235">
        <v>0</v>
      </c>
      <c r="O1235" t="s">
        <v>1241</v>
      </c>
      <c r="P1235">
        <v>0.53368262538256006</v>
      </c>
      <c r="Q1235">
        <v>1.0673652507651201</v>
      </c>
      <c r="R1235" s="6"/>
    </row>
    <row r="1236" spans="1:18" x14ac:dyDescent="0.15">
      <c r="A1236" t="s">
        <v>355</v>
      </c>
      <c r="B1236" t="s">
        <v>479</v>
      </c>
      <c r="P1236">
        <v>0.26684131269128003</v>
      </c>
      <c r="R1236" s="6"/>
    </row>
    <row r="1237" spans="1:18" x14ac:dyDescent="0.15">
      <c r="C1237" t="s">
        <v>353</v>
      </c>
      <c r="D1237">
        <v>500</v>
      </c>
      <c r="E1237">
        <v>1000</v>
      </c>
      <c r="F1237" t="s">
        <v>9</v>
      </c>
      <c r="G1237">
        <v>0</v>
      </c>
      <c r="H1237">
        <v>0</v>
      </c>
      <c r="I1237" t="s">
        <v>488</v>
      </c>
      <c r="J1237" t="s">
        <v>1234</v>
      </c>
      <c r="K1237" t="s">
        <v>1235</v>
      </c>
      <c r="M1237" t="s">
        <v>487</v>
      </c>
      <c r="N1237">
        <v>0</v>
      </c>
      <c r="O1237" t="s">
        <v>1241</v>
      </c>
      <c r="P1237">
        <v>0.53368262538256006</v>
      </c>
      <c r="Q1237">
        <v>266.84131269128005</v>
      </c>
      <c r="R1237" s="6"/>
    </row>
    <row r="1238" spans="1:18" x14ac:dyDescent="0.15">
      <c r="A1238" t="s">
        <v>353</v>
      </c>
      <c r="B1238" t="s">
        <v>9</v>
      </c>
      <c r="P1238">
        <v>0.53368262538256006</v>
      </c>
      <c r="R1238" s="6"/>
    </row>
    <row r="1239" spans="1:18" x14ac:dyDescent="0.15">
      <c r="C1239" t="s">
        <v>33</v>
      </c>
      <c r="D1239">
        <v>7</v>
      </c>
      <c r="E1239">
        <v>1</v>
      </c>
      <c r="F1239" t="s">
        <v>9</v>
      </c>
      <c r="G1239">
        <v>3</v>
      </c>
      <c r="H1239">
        <v>0</v>
      </c>
      <c r="I1239" t="s">
        <v>488</v>
      </c>
      <c r="J1239" t="s">
        <v>1234</v>
      </c>
      <c r="K1239" t="s">
        <v>1235</v>
      </c>
      <c r="M1239" t="s">
        <v>487</v>
      </c>
      <c r="N1239">
        <v>0</v>
      </c>
      <c r="O1239" t="s">
        <v>1241</v>
      </c>
      <c r="P1239">
        <v>0</v>
      </c>
      <c r="Q1239">
        <v>0</v>
      </c>
      <c r="R1239" s="9" t="s">
        <v>1246</v>
      </c>
    </row>
    <row r="1240" spans="1:18" x14ac:dyDescent="0.15">
      <c r="C1240" t="s">
        <v>12</v>
      </c>
      <c r="D1240">
        <v>1.019396984925</v>
      </c>
      <c r="E1240">
        <v>1</v>
      </c>
      <c r="F1240" t="s">
        <v>13</v>
      </c>
      <c r="G1240">
        <v>3</v>
      </c>
      <c r="H1240">
        <v>0</v>
      </c>
      <c r="I1240" t="s">
        <v>488</v>
      </c>
      <c r="J1240" t="s">
        <v>1234</v>
      </c>
      <c r="K1240" t="s">
        <v>1235</v>
      </c>
      <c r="M1240" t="s">
        <v>487</v>
      </c>
      <c r="N1240">
        <v>0</v>
      </c>
      <c r="O1240" t="s">
        <v>1241</v>
      </c>
      <c r="P1240">
        <v>1.03E-2</v>
      </c>
      <c r="Q1240">
        <v>10.814782613069324</v>
      </c>
      <c r="R1240" s="6"/>
    </row>
    <row r="1241" spans="1:18" x14ac:dyDescent="0.15">
      <c r="C1241" t="s">
        <v>14</v>
      </c>
      <c r="D1241">
        <v>1.1326633165829998</v>
      </c>
      <c r="E1241">
        <v>1</v>
      </c>
      <c r="F1241" t="s">
        <v>13</v>
      </c>
      <c r="G1241">
        <v>3</v>
      </c>
      <c r="H1241">
        <v>0</v>
      </c>
      <c r="I1241" t="s">
        <v>488</v>
      </c>
      <c r="J1241" t="s">
        <v>1234</v>
      </c>
      <c r="K1241" t="s">
        <v>1235</v>
      </c>
      <c r="M1241" t="s">
        <v>487</v>
      </c>
      <c r="N1241">
        <v>0</v>
      </c>
      <c r="O1241" t="s">
        <v>1241</v>
      </c>
      <c r="P1241">
        <v>5.4900000000000001E-3</v>
      </c>
      <c r="Q1241">
        <v>6.404871256281889</v>
      </c>
      <c r="R1241" s="6"/>
    </row>
    <row r="1242" spans="1:18" x14ac:dyDescent="0.15">
      <c r="C1242" t="s">
        <v>15</v>
      </c>
      <c r="D1242">
        <v>22.653266331657996</v>
      </c>
      <c r="E1242">
        <v>1000</v>
      </c>
      <c r="F1242" t="s">
        <v>13</v>
      </c>
      <c r="G1242">
        <v>3</v>
      </c>
      <c r="H1242">
        <v>0</v>
      </c>
      <c r="I1242" t="s">
        <v>488</v>
      </c>
      <c r="J1242" t="s">
        <v>1234</v>
      </c>
      <c r="K1242" t="s">
        <v>1235</v>
      </c>
      <c r="M1242" t="s">
        <v>487</v>
      </c>
      <c r="N1242">
        <v>0</v>
      </c>
      <c r="O1242" t="s">
        <v>1241</v>
      </c>
      <c r="P1242">
        <v>7.9819999999999988E-2</v>
      </c>
      <c r="Q1242">
        <v>1.8624292301507293</v>
      </c>
      <c r="R1242" s="6"/>
    </row>
    <row r="1243" spans="1:18" x14ac:dyDescent="0.15">
      <c r="C1243" t="s">
        <v>23</v>
      </c>
      <c r="D1243">
        <v>56.633165829146002</v>
      </c>
      <c r="E1243">
        <v>1000</v>
      </c>
      <c r="F1243" t="s">
        <v>13</v>
      </c>
      <c r="G1243">
        <v>3</v>
      </c>
      <c r="H1243">
        <v>0</v>
      </c>
      <c r="I1243" t="s">
        <v>488</v>
      </c>
      <c r="J1243" t="s">
        <v>1234</v>
      </c>
      <c r="K1243" t="s">
        <v>1235</v>
      </c>
      <c r="M1243" t="s">
        <v>487</v>
      </c>
      <c r="N1243">
        <v>0</v>
      </c>
      <c r="O1243" t="s">
        <v>1241</v>
      </c>
      <c r="P1243">
        <v>2.3609999999999999E-2</v>
      </c>
      <c r="Q1243">
        <v>1.3772223165829212</v>
      </c>
      <c r="R1243" s="6"/>
    </row>
    <row r="1244" spans="1:18" x14ac:dyDescent="0.15">
      <c r="C1244" t="s">
        <v>24</v>
      </c>
      <c r="D1244">
        <v>22.653266331657996</v>
      </c>
      <c r="E1244">
        <v>1000</v>
      </c>
      <c r="F1244" t="s">
        <v>13</v>
      </c>
      <c r="G1244">
        <v>3</v>
      </c>
      <c r="H1244">
        <v>0</v>
      </c>
      <c r="I1244" t="s">
        <v>488</v>
      </c>
      <c r="J1244" t="s">
        <v>1234</v>
      </c>
      <c r="K1244" t="s">
        <v>1235</v>
      </c>
      <c r="M1244" t="s">
        <v>487</v>
      </c>
      <c r="N1244">
        <v>0</v>
      </c>
      <c r="O1244" t="s">
        <v>1241</v>
      </c>
      <c r="P1244">
        <v>2.8500000000000001E-2</v>
      </c>
      <c r="Q1244">
        <v>0.66498663316582052</v>
      </c>
      <c r="R1244" s="6"/>
    </row>
    <row r="1245" spans="1:18" x14ac:dyDescent="0.15">
      <c r="C1245" t="s">
        <v>17</v>
      </c>
      <c r="D1245">
        <v>6.9444444444440006</v>
      </c>
      <c r="E1245">
        <v>1000</v>
      </c>
      <c r="F1245" t="s">
        <v>18</v>
      </c>
      <c r="G1245">
        <v>0</v>
      </c>
      <c r="H1245">
        <v>0</v>
      </c>
      <c r="I1245" t="s">
        <v>488</v>
      </c>
      <c r="J1245" t="s">
        <v>1234</v>
      </c>
      <c r="K1245" t="s">
        <v>1235</v>
      </c>
      <c r="M1245" t="s">
        <v>487</v>
      </c>
      <c r="N1245">
        <v>0</v>
      </c>
      <c r="O1245" t="s">
        <v>1241</v>
      </c>
      <c r="P1245">
        <v>53.85</v>
      </c>
      <c r="Q1245">
        <v>373.95833333330944</v>
      </c>
      <c r="R1245" s="6"/>
    </row>
    <row r="1246" spans="1:18" x14ac:dyDescent="0.15">
      <c r="C1246" t="s">
        <v>19</v>
      </c>
      <c r="D1246">
        <v>4</v>
      </c>
      <c r="E1246">
        <v>1</v>
      </c>
      <c r="F1246" t="s">
        <v>18</v>
      </c>
      <c r="G1246">
        <v>0</v>
      </c>
      <c r="H1246">
        <v>0</v>
      </c>
      <c r="I1246" t="s">
        <v>488</v>
      </c>
      <c r="J1246" t="s">
        <v>1236</v>
      </c>
      <c r="K1246" t="s">
        <v>1235</v>
      </c>
      <c r="M1246" t="s">
        <v>487</v>
      </c>
      <c r="N1246">
        <v>0</v>
      </c>
      <c r="O1246" t="s">
        <v>1241</v>
      </c>
      <c r="P1246">
        <v>34.65</v>
      </c>
      <c r="Q1246">
        <v>138.6</v>
      </c>
      <c r="R1246" s="6"/>
    </row>
    <row r="1247" spans="1:18" x14ac:dyDescent="0.15">
      <c r="A1247" t="s">
        <v>356</v>
      </c>
      <c r="B1247" t="s">
        <v>479</v>
      </c>
      <c r="P1247">
        <v>0.57673210552491638</v>
      </c>
      <c r="R1247" s="6"/>
    </row>
    <row r="1248" spans="1:18" x14ac:dyDescent="0.15">
      <c r="C1248" t="s">
        <v>357</v>
      </c>
      <c r="D1248">
        <v>1</v>
      </c>
      <c r="E1248">
        <v>1</v>
      </c>
      <c r="F1248" t="s">
        <v>9</v>
      </c>
      <c r="G1248">
        <v>0</v>
      </c>
      <c r="H1248">
        <v>0</v>
      </c>
      <c r="I1248" t="s">
        <v>488</v>
      </c>
      <c r="J1248" t="s">
        <v>1234</v>
      </c>
      <c r="K1248" t="s">
        <v>1235</v>
      </c>
      <c r="M1248" t="s">
        <v>487</v>
      </c>
      <c r="N1248">
        <v>0</v>
      </c>
      <c r="O1248" t="s">
        <v>1241</v>
      </c>
      <c r="P1248">
        <v>0.57673210552491638</v>
      </c>
      <c r="Q1248">
        <v>0.57673210552491638</v>
      </c>
      <c r="R1248" s="6"/>
    </row>
    <row r="1249" spans="1:18" x14ac:dyDescent="0.15">
      <c r="A1249" t="s">
        <v>358</v>
      </c>
      <c r="B1249" t="s">
        <v>479</v>
      </c>
      <c r="P1249">
        <v>1.1534642110498328</v>
      </c>
      <c r="R1249" s="6"/>
    </row>
    <row r="1250" spans="1:18" x14ac:dyDescent="0.15">
      <c r="C1250" t="s">
        <v>357</v>
      </c>
      <c r="D1250">
        <v>2</v>
      </c>
      <c r="E1250">
        <v>1</v>
      </c>
      <c r="F1250" t="s">
        <v>9</v>
      </c>
      <c r="G1250">
        <v>0</v>
      </c>
      <c r="H1250">
        <v>0</v>
      </c>
      <c r="I1250" t="s">
        <v>488</v>
      </c>
      <c r="J1250" t="s">
        <v>1234</v>
      </c>
      <c r="K1250" t="s">
        <v>1235</v>
      </c>
      <c r="M1250" t="s">
        <v>487</v>
      </c>
      <c r="N1250">
        <v>0</v>
      </c>
      <c r="O1250" t="s">
        <v>1241</v>
      </c>
      <c r="P1250">
        <v>0.57673210552491638</v>
      </c>
      <c r="Q1250">
        <v>1.1534642110498328</v>
      </c>
      <c r="R1250" s="6"/>
    </row>
    <row r="1251" spans="1:18" x14ac:dyDescent="0.15">
      <c r="A1251" t="s">
        <v>359</v>
      </c>
      <c r="B1251" t="s">
        <v>479</v>
      </c>
      <c r="P1251">
        <v>0.28836605276245819</v>
      </c>
      <c r="R1251" s="6"/>
    </row>
    <row r="1252" spans="1:18" x14ac:dyDescent="0.15">
      <c r="C1252" t="s">
        <v>357</v>
      </c>
      <c r="D1252">
        <v>500</v>
      </c>
      <c r="E1252">
        <v>1000</v>
      </c>
      <c r="F1252" t="s">
        <v>9</v>
      </c>
      <c r="G1252">
        <v>0</v>
      </c>
      <c r="H1252">
        <v>0</v>
      </c>
      <c r="I1252" t="s">
        <v>488</v>
      </c>
      <c r="J1252" t="s">
        <v>1234</v>
      </c>
      <c r="K1252" t="s">
        <v>1235</v>
      </c>
      <c r="M1252" t="s">
        <v>487</v>
      </c>
      <c r="N1252">
        <v>0</v>
      </c>
      <c r="O1252" t="s">
        <v>1241</v>
      </c>
      <c r="P1252">
        <v>0.57673210552491638</v>
      </c>
      <c r="Q1252">
        <v>288.3660527624582</v>
      </c>
      <c r="R1252" s="6"/>
    </row>
    <row r="1253" spans="1:18" x14ac:dyDescent="0.15">
      <c r="A1253" t="s">
        <v>357</v>
      </c>
      <c r="B1253" t="s">
        <v>9</v>
      </c>
      <c r="P1253">
        <v>0.57673210552491638</v>
      </c>
      <c r="R1253" s="6"/>
    </row>
    <row r="1254" spans="1:18" x14ac:dyDescent="0.15">
      <c r="C1254" t="s">
        <v>33</v>
      </c>
      <c r="D1254">
        <v>10</v>
      </c>
      <c r="E1254">
        <v>1</v>
      </c>
      <c r="F1254" t="s">
        <v>9</v>
      </c>
      <c r="G1254">
        <v>3</v>
      </c>
      <c r="H1254">
        <v>0</v>
      </c>
      <c r="I1254" t="s">
        <v>488</v>
      </c>
      <c r="J1254" t="s">
        <v>1234</v>
      </c>
      <c r="K1254" t="s">
        <v>1235</v>
      </c>
      <c r="M1254" t="s">
        <v>487</v>
      </c>
      <c r="N1254">
        <v>0</v>
      </c>
      <c r="O1254" t="s">
        <v>1241</v>
      </c>
      <c r="P1254">
        <v>0</v>
      </c>
      <c r="Q1254">
        <v>0</v>
      </c>
      <c r="R1254" s="9" t="s">
        <v>1246</v>
      </c>
    </row>
    <row r="1255" spans="1:18" x14ac:dyDescent="0.15">
      <c r="C1255" t="s">
        <v>12</v>
      </c>
      <c r="D1255">
        <v>1.4562814070350001</v>
      </c>
      <c r="E1255">
        <v>1</v>
      </c>
      <c r="F1255" t="s">
        <v>13</v>
      </c>
      <c r="G1255">
        <v>3</v>
      </c>
      <c r="H1255">
        <v>0</v>
      </c>
      <c r="I1255" t="s">
        <v>488</v>
      </c>
      <c r="J1255" t="s">
        <v>1234</v>
      </c>
      <c r="K1255" t="s">
        <v>1235</v>
      </c>
      <c r="M1255" t="s">
        <v>487</v>
      </c>
      <c r="N1255">
        <v>0</v>
      </c>
      <c r="O1255" t="s">
        <v>1241</v>
      </c>
      <c r="P1255">
        <v>1.03E-2</v>
      </c>
      <c r="Q1255">
        <v>15.449689447234315</v>
      </c>
      <c r="R1255" s="6"/>
    </row>
    <row r="1256" spans="1:18" x14ac:dyDescent="0.15">
      <c r="C1256" t="s">
        <v>14</v>
      </c>
      <c r="D1256">
        <v>1.618090452261</v>
      </c>
      <c r="E1256">
        <v>1</v>
      </c>
      <c r="F1256" t="s">
        <v>13</v>
      </c>
      <c r="G1256">
        <v>3</v>
      </c>
      <c r="H1256">
        <v>0</v>
      </c>
      <c r="I1256" t="s">
        <v>488</v>
      </c>
      <c r="J1256" t="s">
        <v>1234</v>
      </c>
      <c r="K1256" t="s">
        <v>1235</v>
      </c>
      <c r="M1256" t="s">
        <v>487</v>
      </c>
      <c r="N1256">
        <v>0</v>
      </c>
      <c r="O1256" t="s">
        <v>1241</v>
      </c>
      <c r="P1256">
        <v>5.4900000000000001E-3</v>
      </c>
      <c r="Q1256">
        <v>9.1498160804002762</v>
      </c>
      <c r="R1256" s="6"/>
    </row>
    <row r="1257" spans="1:18" x14ac:dyDescent="0.15">
      <c r="C1257" t="s">
        <v>15</v>
      </c>
      <c r="D1257">
        <v>32.361809045226003</v>
      </c>
      <c r="E1257">
        <v>1000</v>
      </c>
      <c r="F1257" t="s">
        <v>13</v>
      </c>
      <c r="G1257">
        <v>3</v>
      </c>
      <c r="H1257">
        <v>0</v>
      </c>
      <c r="I1257" t="s">
        <v>488</v>
      </c>
      <c r="J1257" t="s">
        <v>1234</v>
      </c>
      <c r="K1257" t="s">
        <v>1235</v>
      </c>
      <c r="M1257" t="s">
        <v>487</v>
      </c>
      <c r="N1257">
        <v>0</v>
      </c>
      <c r="O1257" t="s">
        <v>1241</v>
      </c>
      <c r="P1257">
        <v>7.9819999999999988E-2</v>
      </c>
      <c r="Q1257">
        <v>2.6606131859296371</v>
      </c>
      <c r="R1257" s="6"/>
    </row>
    <row r="1258" spans="1:18" x14ac:dyDescent="0.15">
      <c r="C1258" t="s">
        <v>23</v>
      </c>
      <c r="D1258">
        <v>80.904522613064998</v>
      </c>
      <c r="E1258">
        <v>1000</v>
      </c>
      <c r="F1258" t="s">
        <v>13</v>
      </c>
      <c r="G1258">
        <v>3</v>
      </c>
      <c r="H1258">
        <v>0</v>
      </c>
      <c r="I1258" t="s">
        <v>488</v>
      </c>
      <c r="J1258" t="s">
        <v>1234</v>
      </c>
      <c r="K1258" t="s">
        <v>1235</v>
      </c>
      <c r="M1258" t="s">
        <v>487</v>
      </c>
      <c r="N1258">
        <v>0</v>
      </c>
      <c r="O1258" t="s">
        <v>1241</v>
      </c>
      <c r="P1258">
        <v>2.3609999999999999E-2</v>
      </c>
      <c r="Q1258">
        <v>1.9674604522612984</v>
      </c>
      <c r="R1258" s="6"/>
    </row>
    <row r="1259" spans="1:18" x14ac:dyDescent="0.15">
      <c r="C1259" t="s">
        <v>24</v>
      </c>
      <c r="D1259">
        <v>32.361809045226003</v>
      </c>
      <c r="E1259">
        <v>1000</v>
      </c>
      <c r="F1259" t="s">
        <v>13</v>
      </c>
      <c r="G1259">
        <v>3</v>
      </c>
      <c r="H1259">
        <v>0</v>
      </c>
      <c r="I1259" t="s">
        <v>488</v>
      </c>
      <c r="J1259" t="s">
        <v>1234</v>
      </c>
      <c r="K1259" t="s">
        <v>1235</v>
      </c>
      <c r="M1259" t="s">
        <v>487</v>
      </c>
      <c r="N1259">
        <v>0</v>
      </c>
      <c r="O1259" t="s">
        <v>1241</v>
      </c>
      <c r="P1259">
        <v>2.8500000000000001E-2</v>
      </c>
      <c r="Q1259">
        <v>0.9499809045226093</v>
      </c>
      <c r="R1259" s="6"/>
    </row>
    <row r="1260" spans="1:18" x14ac:dyDescent="0.15">
      <c r="C1260" t="s">
        <v>17</v>
      </c>
      <c r="D1260">
        <v>7.5757575757579998</v>
      </c>
      <c r="E1260">
        <v>1000</v>
      </c>
      <c r="F1260" t="s">
        <v>18</v>
      </c>
      <c r="G1260">
        <v>0</v>
      </c>
      <c r="H1260">
        <v>0</v>
      </c>
      <c r="I1260" t="s">
        <v>488</v>
      </c>
      <c r="J1260" t="s">
        <v>1234</v>
      </c>
      <c r="K1260" t="s">
        <v>1235</v>
      </c>
      <c r="M1260" t="s">
        <v>487</v>
      </c>
      <c r="N1260">
        <v>0</v>
      </c>
      <c r="O1260" t="s">
        <v>1241</v>
      </c>
      <c r="P1260">
        <v>53.85</v>
      </c>
      <c r="Q1260">
        <v>407.95454545456829</v>
      </c>
      <c r="R1260" s="6"/>
    </row>
    <row r="1261" spans="1:18" x14ac:dyDescent="0.15">
      <c r="C1261" t="s">
        <v>19</v>
      </c>
      <c r="D1261">
        <v>4</v>
      </c>
      <c r="E1261">
        <v>1</v>
      </c>
      <c r="F1261" t="s">
        <v>18</v>
      </c>
      <c r="G1261">
        <v>0</v>
      </c>
      <c r="H1261">
        <v>0</v>
      </c>
      <c r="I1261" t="s">
        <v>488</v>
      </c>
      <c r="J1261" t="s">
        <v>1236</v>
      </c>
      <c r="K1261" t="s">
        <v>1235</v>
      </c>
      <c r="M1261" t="s">
        <v>487</v>
      </c>
      <c r="N1261">
        <v>0</v>
      </c>
      <c r="O1261" t="s">
        <v>1241</v>
      </c>
      <c r="P1261">
        <v>34.65</v>
      </c>
      <c r="Q1261">
        <v>138.6</v>
      </c>
      <c r="R1261" s="6"/>
    </row>
    <row r="1262" spans="1:18" x14ac:dyDescent="0.15">
      <c r="A1262" t="s">
        <v>360</v>
      </c>
      <c r="B1262" t="s">
        <v>479</v>
      </c>
      <c r="P1262">
        <v>0.55965219648658049</v>
      </c>
      <c r="R1262" s="6"/>
    </row>
    <row r="1263" spans="1:18" x14ac:dyDescent="0.15">
      <c r="C1263" t="s">
        <v>361</v>
      </c>
      <c r="D1263">
        <v>1</v>
      </c>
      <c r="E1263">
        <v>1</v>
      </c>
      <c r="F1263" t="s">
        <v>9</v>
      </c>
      <c r="G1263">
        <v>0</v>
      </c>
      <c r="H1263">
        <v>0</v>
      </c>
      <c r="I1263" t="s">
        <v>488</v>
      </c>
      <c r="J1263" t="s">
        <v>1234</v>
      </c>
      <c r="K1263" t="s">
        <v>1235</v>
      </c>
      <c r="M1263" t="s">
        <v>487</v>
      </c>
      <c r="N1263">
        <v>0</v>
      </c>
      <c r="O1263" t="s">
        <v>1241</v>
      </c>
      <c r="P1263">
        <v>0.55965219648658049</v>
      </c>
      <c r="Q1263">
        <v>0.55965219648658049</v>
      </c>
      <c r="R1263" s="6"/>
    </row>
    <row r="1264" spans="1:18" x14ac:dyDescent="0.15">
      <c r="A1264" t="s">
        <v>362</v>
      </c>
      <c r="B1264" t="s">
        <v>479</v>
      </c>
      <c r="P1264">
        <v>1.119304392973161</v>
      </c>
      <c r="R1264" s="6"/>
    </row>
    <row r="1265" spans="1:18" x14ac:dyDescent="0.15">
      <c r="C1265" t="s">
        <v>361</v>
      </c>
      <c r="D1265">
        <v>2</v>
      </c>
      <c r="E1265">
        <v>1</v>
      </c>
      <c r="F1265" t="s">
        <v>9</v>
      </c>
      <c r="G1265">
        <v>0</v>
      </c>
      <c r="H1265">
        <v>0</v>
      </c>
      <c r="I1265" t="s">
        <v>488</v>
      </c>
      <c r="J1265" t="s">
        <v>1234</v>
      </c>
      <c r="K1265" t="s">
        <v>1235</v>
      </c>
      <c r="M1265" t="s">
        <v>487</v>
      </c>
      <c r="N1265">
        <v>0</v>
      </c>
      <c r="O1265" t="s">
        <v>1241</v>
      </c>
      <c r="P1265">
        <v>0.55965219648658049</v>
      </c>
      <c r="Q1265">
        <v>1.119304392973161</v>
      </c>
      <c r="R1265" s="6"/>
    </row>
    <row r="1266" spans="1:18" x14ac:dyDescent="0.15">
      <c r="A1266" t="s">
        <v>363</v>
      </c>
      <c r="B1266" t="s">
        <v>479</v>
      </c>
      <c r="P1266">
        <v>0.27982609824329024</v>
      </c>
      <c r="R1266" s="6"/>
    </row>
    <row r="1267" spans="1:18" x14ac:dyDescent="0.15">
      <c r="C1267" t="s">
        <v>361</v>
      </c>
      <c r="D1267">
        <v>500</v>
      </c>
      <c r="E1267">
        <v>1000</v>
      </c>
      <c r="F1267" t="s">
        <v>9</v>
      </c>
      <c r="G1267">
        <v>0</v>
      </c>
      <c r="H1267">
        <v>0</v>
      </c>
      <c r="I1267" t="s">
        <v>488</v>
      </c>
      <c r="J1267" t="s">
        <v>1234</v>
      </c>
      <c r="K1267" t="s">
        <v>1235</v>
      </c>
      <c r="M1267" t="s">
        <v>487</v>
      </c>
      <c r="N1267">
        <v>0</v>
      </c>
      <c r="O1267" t="s">
        <v>1241</v>
      </c>
      <c r="P1267">
        <v>0.55965219648658049</v>
      </c>
      <c r="Q1267">
        <v>279.82609824329023</v>
      </c>
      <c r="R1267" s="6"/>
    </row>
    <row r="1268" spans="1:18" x14ac:dyDescent="0.15">
      <c r="A1268" t="s">
        <v>364</v>
      </c>
      <c r="B1268" t="s">
        <v>479</v>
      </c>
      <c r="P1268">
        <v>0.39175653754060635</v>
      </c>
      <c r="R1268" s="6"/>
    </row>
    <row r="1269" spans="1:18" x14ac:dyDescent="0.15">
      <c r="C1269" t="s">
        <v>361</v>
      </c>
      <c r="D1269">
        <v>700</v>
      </c>
      <c r="E1269">
        <v>1000</v>
      </c>
      <c r="F1269" t="s">
        <v>9</v>
      </c>
      <c r="G1269">
        <v>0</v>
      </c>
      <c r="H1269">
        <v>0</v>
      </c>
      <c r="I1269" t="s">
        <v>488</v>
      </c>
      <c r="J1269" t="s">
        <v>1234</v>
      </c>
      <c r="K1269" t="s">
        <v>1235</v>
      </c>
      <c r="M1269" t="s">
        <v>487</v>
      </c>
      <c r="N1269">
        <v>0</v>
      </c>
      <c r="O1269" t="s">
        <v>1241</v>
      </c>
      <c r="P1269">
        <v>0.55965219648658049</v>
      </c>
      <c r="Q1269">
        <v>391.75653754060636</v>
      </c>
      <c r="R1269" s="6"/>
    </row>
    <row r="1270" spans="1:18" x14ac:dyDescent="0.15">
      <c r="A1270" t="s">
        <v>365</v>
      </c>
      <c r="B1270" t="s">
        <v>479</v>
      </c>
      <c r="P1270">
        <v>0.44772175718926438</v>
      </c>
      <c r="R1270" s="6"/>
    </row>
    <row r="1271" spans="1:18" x14ac:dyDescent="0.15">
      <c r="C1271" t="s">
        <v>361</v>
      </c>
      <c r="D1271">
        <v>800</v>
      </c>
      <c r="E1271">
        <v>1000</v>
      </c>
      <c r="F1271" t="s">
        <v>9</v>
      </c>
      <c r="G1271">
        <v>0</v>
      </c>
      <c r="H1271">
        <v>0</v>
      </c>
      <c r="I1271" t="s">
        <v>488</v>
      </c>
      <c r="J1271" t="s">
        <v>1234</v>
      </c>
      <c r="K1271" t="s">
        <v>1235</v>
      </c>
      <c r="M1271" t="s">
        <v>487</v>
      </c>
      <c r="N1271">
        <v>0</v>
      </c>
      <c r="O1271" t="s">
        <v>1241</v>
      </c>
      <c r="P1271">
        <v>0.55965219648658049</v>
      </c>
      <c r="Q1271">
        <v>447.72175718926439</v>
      </c>
      <c r="R1271" s="6"/>
    </row>
    <row r="1272" spans="1:18" x14ac:dyDescent="0.15">
      <c r="A1272" t="s">
        <v>366</v>
      </c>
      <c r="B1272" t="s">
        <v>479</v>
      </c>
      <c r="P1272">
        <v>0.50368697683792241</v>
      </c>
      <c r="R1272" s="6"/>
    </row>
    <row r="1273" spans="1:18" x14ac:dyDescent="0.15">
      <c r="C1273" t="s">
        <v>361</v>
      </c>
      <c r="D1273">
        <v>900</v>
      </c>
      <c r="E1273">
        <v>1000</v>
      </c>
      <c r="F1273" t="s">
        <v>9</v>
      </c>
      <c r="G1273">
        <v>0</v>
      </c>
      <c r="H1273">
        <v>0</v>
      </c>
      <c r="I1273" t="s">
        <v>488</v>
      </c>
      <c r="J1273" t="s">
        <v>1234</v>
      </c>
      <c r="K1273" t="s">
        <v>1235</v>
      </c>
      <c r="M1273" t="s">
        <v>487</v>
      </c>
      <c r="N1273">
        <v>0</v>
      </c>
      <c r="O1273" t="s">
        <v>1241</v>
      </c>
      <c r="P1273">
        <v>0.55965219648658049</v>
      </c>
      <c r="Q1273">
        <v>503.68697683792243</v>
      </c>
      <c r="R1273" s="6"/>
    </row>
    <row r="1274" spans="1:18" x14ac:dyDescent="0.15">
      <c r="A1274" t="s">
        <v>367</v>
      </c>
      <c r="B1274" t="s">
        <v>479</v>
      </c>
      <c r="P1274">
        <v>0.55965219648658049</v>
      </c>
      <c r="R1274" s="6"/>
    </row>
    <row r="1275" spans="1:18" x14ac:dyDescent="0.15">
      <c r="C1275" t="s">
        <v>361</v>
      </c>
      <c r="D1275">
        <v>1</v>
      </c>
      <c r="E1275">
        <v>1</v>
      </c>
      <c r="F1275" t="s">
        <v>9</v>
      </c>
      <c r="G1275">
        <v>0</v>
      </c>
      <c r="H1275">
        <v>0</v>
      </c>
      <c r="I1275" t="s">
        <v>488</v>
      </c>
      <c r="J1275" t="s">
        <v>1234</v>
      </c>
      <c r="K1275" t="s">
        <v>1235</v>
      </c>
      <c r="M1275" t="s">
        <v>487</v>
      </c>
      <c r="N1275">
        <v>0</v>
      </c>
      <c r="O1275" t="s">
        <v>1241</v>
      </c>
      <c r="P1275">
        <v>0.55965219648658049</v>
      </c>
      <c r="Q1275">
        <v>0.55965219648658049</v>
      </c>
      <c r="R1275" s="6"/>
    </row>
    <row r="1276" spans="1:18" x14ac:dyDescent="0.15">
      <c r="A1276" t="s">
        <v>361</v>
      </c>
      <c r="B1276" t="s">
        <v>9</v>
      </c>
      <c r="P1276">
        <v>0.55965219648658049</v>
      </c>
      <c r="R1276" s="6"/>
    </row>
    <row r="1277" spans="1:18" x14ac:dyDescent="0.15">
      <c r="C1277" t="s">
        <v>123</v>
      </c>
      <c r="D1277">
        <v>8</v>
      </c>
      <c r="E1277">
        <v>1</v>
      </c>
      <c r="F1277" t="s">
        <v>9</v>
      </c>
      <c r="G1277">
        <v>3</v>
      </c>
      <c r="H1277">
        <v>0</v>
      </c>
      <c r="I1277" t="s">
        <v>488</v>
      </c>
      <c r="J1277" t="s">
        <v>1234</v>
      </c>
      <c r="K1277" t="s">
        <v>1235</v>
      </c>
      <c r="M1277" t="s">
        <v>487</v>
      </c>
      <c r="N1277">
        <v>0</v>
      </c>
      <c r="O1277" t="s">
        <v>1241</v>
      </c>
      <c r="P1277">
        <v>0</v>
      </c>
      <c r="Q1277">
        <v>0</v>
      </c>
      <c r="R1277" s="9" t="s">
        <v>1246</v>
      </c>
    </row>
    <row r="1278" spans="1:18" x14ac:dyDescent="0.15">
      <c r="C1278" t="s">
        <v>12</v>
      </c>
      <c r="D1278">
        <v>2.2726130653269996</v>
      </c>
      <c r="E1278">
        <v>1</v>
      </c>
      <c r="F1278" t="s">
        <v>13</v>
      </c>
      <c r="G1278">
        <v>3</v>
      </c>
      <c r="H1278">
        <v>0</v>
      </c>
      <c r="I1278" t="s">
        <v>488</v>
      </c>
      <c r="J1278" t="s">
        <v>1234</v>
      </c>
      <c r="K1278" t="s">
        <v>1235</v>
      </c>
      <c r="M1278" t="s">
        <v>487</v>
      </c>
      <c r="N1278">
        <v>0</v>
      </c>
      <c r="O1278" t="s">
        <v>1241</v>
      </c>
      <c r="P1278">
        <v>1.03E-2</v>
      </c>
      <c r="Q1278">
        <v>24.110152010054136</v>
      </c>
      <c r="R1278" s="6"/>
    </row>
    <row r="1279" spans="1:18" x14ac:dyDescent="0.15">
      <c r="C1279" t="s">
        <v>14</v>
      </c>
      <c r="D1279">
        <v>2.5251256281410002</v>
      </c>
      <c r="E1279">
        <v>1</v>
      </c>
      <c r="F1279" t="s">
        <v>13</v>
      </c>
      <c r="G1279">
        <v>3</v>
      </c>
      <c r="H1279">
        <v>0</v>
      </c>
      <c r="I1279" t="s">
        <v>488</v>
      </c>
      <c r="J1279" t="s">
        <v>1234</v>
      </c>
      <c r="K1279" t="s">
        <v>1235</v>
      </c>
      <c r="M1279" t="s">
        <v>487</v>
      </c>
      <c r="N1279">
        <v>0</v>
      </c>
      <c r="O1279" t="s">
        <v>1241</v>
      </c>
      <c r="P1279">
        <v>5.4900000000000001E-3</v>
      </c>
      <c r="Q1279">
        <v>14.278827889448912</v>
      </c>
      <c r="R1279" s="6"/>
    </row>
    <row r="1280" spans="1:18" x14ac:dyDescent="0.15">
      <c r="C1280" t="s">
        <v>15</v>
      </c>
      <c r="D1280">
        <v>50.502512562813997</v>
      </c>
      <c r="E1280">
        <v>1000</v>
      </c>
      <c r="F1280" t="s">
        <v>13</v>
      </c>
      <c r="G1280">
        <v>3</v>
      </c>
      <c r="H1280">
        <v>0</v>
      </c>
      <c r="I1280" t="s">
        <v>488</v>
      </c>
      <c r="J1280" t="s">
        <v>1234</v>
      </c>
      <c r="K1280" t="s">
        <v>1235</v>
      </c>
      <c r="M1280" t="s">
        <v>487</v>
      </c>
      <c r="N1280">
        <v>0</v>
      </c>
      <c r="O1280" t="s">
        <v>1241</v>
      </c>
      <c r="P1280">
        <v>7.9819999999999988E-2</v>
      </c>
      <c r="Q1280">
        <v>4.152043869346727</v>
      </c>
      <c r="R1280" s="6"/>
    </row>
    <row r="1281" spans="1:18" x14ac:dyDescent="0.15">
      <c r="C1281" t="s">
        <v>23</v>
      </c>
      <c r="D1281">
        <v>0.12625628140699999</v>
      </c>
      <c r="E1281">
        <v>1</v>
      </c>
      <c r="F1281" t="s">
        <v>13</v>
      </c>
      <c r="G1281">
        <v>3</v>
      </c>
      <c r="H1281">
        <v>0</v>
      </c>
      <c r="I1281" t="s">
        <v>488</v>
      </c>
      <c r="J1281" t="s">
        <v>1234</v>
      </c>
      <c r="K1281" t="s">
        <v>1235</v>
      </c>
      <c r="M1281" t="s">
        <v>487</v>
      </c>
      <c r="N1281">
        <v>0</v>
      </c>
      <c r="O1281" t="s">
        <v>1241</v>
      </c>
      <c r="P1281">
        <v>2.3609999999999999E-2</v>
      </c>
      <c r="Q1281">
        <v>3.0703381281398476</v>
      </c>
      <c r="R1281" s="6"/>
    </row>
    <row r="1282" spans="1:18" x14ac:dyDescent="0.15">
      <c r="C1282" t="s">
        <v>24</v>
      </c>
      <c r="D1282">
        <v>50.502512562813997</v>
      </c>
      <c r="E1282">
        <v>1000</v>
      </c>
      <c r="F1282" t="s">
        <v>13</v>
      </c>
      <c r="G1282">
        <v>3</v>
      </c>
      <c r="H1282">
        <v>0</v>
      </c>
      <c r="I1282" t="s">
        <v>488</v>
      </c>
      <c r="J1282" t="s">
        <v>1234</v>
      </c>
      <c r="K1282" t="s">
        <v>1235</v>
      </c>
      <c r="M1282" t="s">
        <v>487</v>
      </c>
      <c r="N1282">
        <v>0</v>
      </c>
      <c r="O1282" t="s">
        <v>1241</v>
      </c>
      <c r="P1282">
        <v>2.8500000000000001E-2</v>
      </c>
      <c r="Q1282">
        <v>1.4825012562814048</v>
      </c>
      <c r="R1282" s="6"/>
    </row>
    <row r="1283" spans="1:18" x14ac:dyDescent="0.15">
      <c r="C1283" t="s">
        <v>17</v>
      </c>
      <c r="D1283">
        <v>6.9444444444440006</v>
      </c>
      <c r="E1283">
        <v>1000</v>
      </c>
      <c r="F1283" t="s">
        <v>18</v>
      </c>
      <c r="G1283">
        <v>0</v>
      </c>
      <c r="H1283">
        <v>0</v>
      </c>
      <c r="I1283" t="s">
        <v>488</v>
      </c>
      <c r="J1283" t="s">
        <v>1234</v>
      </c>
      <c r="K1283" t="s">
        <v>1235</v>
      </c>
      <c r="M1283" t="s">
        <v>487</v>
      </c>
      <c r="N1283">
        <v>0</v>
      </c>
      <c r="O1283" t="s">
        <v>1241</v>
      </c>
      <c r="P1283">
        <v>53.85</v>
      </c>
      <c r="Q1283">
        <v>373.95833333330944</v>
      </c>
      <c r="R1283" s="6"/>
    </row>
    <row r="1284" spans="1:18" x14ac:dyDescent="0.15">
      <c r="C1284" t="s">
        <v>19</v>
      </c>
      <c r="D1284">
        <v>4</v>
      </c>
      <c r="E1284">
        <v>1</v>
      </c>
      <c r="F1284" t="s">
        <v>18</v>
      </c>
      <c r="G1284">
        <v>0</v>
      </c>
      <c r="H1284">
        <v>0</v>
      </c>
      <c r="I1284" t="s">
        <v>488</v>
      </c>
      <c r="J1284" t="s">
        <v>1236</v>
      </c>
      <c r="K1284" t="s">
        <v>1235</v>
      </c>
      <c r="M1284" t="s">
        <v>487</v>
      </c>
      <c r="N1284">
        <v>0</v>
      </c>
      <c r="O1284" t="s">
        <v>1241</v>
      </c>
      <c r="P1284">
        <v>34.65</v>
      </c>
      <c r="Q1284">
        <v>138.6</v>
      </c>
      <c r="R1284" s="6"/>
    </row>
    <row r="1285" spans="1:18" x14ac:dyDescent="0.15">
      <c r="A1285" t="s">
        <v>368</v>
      </c>
      <c r="B1285" t="s">
        <v>479</v>
      </c>
      <c r="P1285">
        <v>0.95502292877952355</v>
      </c>
      <c r="R1285" s="6"/>
    </row>
    <row r="1286" spans="1:18" x14ac:dyDescent="0.15">
      <c r="C1286" t="s">
        <v>369</v>
      </c>
      <c r="D1286">
        <v>1</v>
      </c>
      <c r="E1286">
        <v>1</v>
      </c>
      <c r="F1286" t="s">
        <v>9</v>
      </c>
      <c r="G1286">
        <v>0</v>
      </c>
      <c r="H1286">
        <v>0</v>
      </c>
      <c r="I1286" t="s">
        <v>488</v>
      </c>
      <c r="J1286" t="s">
        <v>1234</v>
      </c>
      <c r="K1286" t="s">
        <v>1235</v>
      </c>
      <c r="M1286" t="s">
        <v>487</v>
      </c>
      <c r="N1286">
        <v>0</v>
      </c>
      <c r="O1286" t="s">
        <v>1241</v>
      </c>
      <c r="P1286">
        <v>0.95502292877952355</v>
      </c>
      <c r="Q1286">
        <v>0.95502292877952355</v>
      </c>
      <c r="R1286" s="6"/>
    </row>
    <row r="1287" spans="1:18" x14ac:dyDescent="0.15">
      <c r="A1287" t="s">
        <v>370</v>
      </c>
      <c r="B1287" t="s">
        <v>479</v>
      </c>
      <c r="P1287">
        <v>1.9100458575590471</v>
      </c>
      <c r="R1287" s="6"/>
    </row>
    <row r="1288" spans="1:18" x14ac:dyDescent="0.15">
      <c r="C1288" t="s">
        <v>369</v>
      </c>
      <c r="D1288">
        <v>2</v>
      </c>
      <c r="E1288">
        <v>1</v>
      </c>
      <c r="F1288" t="s">
        <v>9</v>
      </c>
      <c r="G1288">
        <v>0</v>
      </c>
      <c r="H1288">
        <v>0</v>
      </c>
      <c r="I1288" t="s">
        <v>488</v>
      </c>
      <c r="J1288" t="s">
        <v>1234</v>
      </c>
      <c r="K1288" t="s">
        <v>1235</v>
      </c>
      <c r="M1288" t="s">
        <v>487</v>
      </c>
      <c r="N1288">
        <v>0</v>
      </c>
      <c r="O1288" t="s">
        <v>1241</v>
      </c>
      <c r="P1288">
        <v>0.95502292877952355</v>
      </c>
      <c r="Q1288">
        <v>1.9100458575590471</v>
      </c>
      <c r="R1288" s="6"/>
    </row>
    <row r="1289" spans="1:18" x14ac:dyDescent="0.15">
      <c r="A1289" t="s">
        <v>371</v>
      </c>
      <c r="B1289" t="s">
        <v>479</v>
      </c>
      <c r="P1289">
        <v>0.47751146438976177</v>
      </c>
      <c r="R1289" s="6"/>
    </row>
    <row r="1290" spans="1:18" x14ac:dyDescent="0.15">
      <c r="C1290" t="s">
        <v>369</v>
      </c>
      <c r="D1290">
        <v>500</v>
      </c>
      <c r="E1290">
        <v>1000</v>
      </c>
      <c r="F1290" t="s">
        <v>9</v>
      </c>
      <c r="G1290">
        <v>0</v>
      </c>
      <c r="H1290">
        <v>0</v>
      </c>
      <c r="I1290" t="s">
        <v>488</v>
      </c>
      <c r="J1290" t="s">
        <v>1234</v>
      </c>
      <c r="K1290" t="s">
        <v>1235</v>
      </c>
      <c r="M1290" t="s">
        <v>487</v>
      </c>
      <c r="N1290">
        <v>0</v>
      </c>
      <c r="O1290" t="s">
        <v>1241</v>
      </c>
      <c r="P1290">
        <v>0.95502292877952355</v>
      </c>
      <c r="Q1290">
        <v>477.51146438976178</v>
      </c>
      <c r="R1290" s="6"/>
    </row>
    <row r="1291" spans="1:18" x14ac:dyDescent="0.15">
      <c r="A1291" t="s">
        <v>372</v>
      </c>
      <c r="B1291" t="s">
        <v>479</v>
      </c>
      <c r="P1291">
        <v>9.5502292877952352E-2</v>
      </c>
      <c r="R1291" s="6"/>
    </row>
    <row r="1292" spans="1:18" x14ac:dyDescent="0.15">
      <c r="C1292" t="s">
        <v>369</v>
      </c>
      <c r="D1292">
        <v>100</v>
      </c>
      <c r="E1292">
        <v>1000</v>
      </c>
      <c r="F1292" t="s">
        <v>9</v>
      </c>
      <c r="G1292">
        <v>0</v>
      </c>
      <c r="H1292">
        <v>0</v>
      </c>
      <c r="I1292" t="s">
        <v>488</v>
      </c>
      <c r="J1292" t="s">
        <v>1234</v>
      </c>
      <c r="K1292" t="s">
        <v>1235</v>
      </c>
      <c r="M1292" t="s">
        <v>487</v>
      </c>
      <c r="N1292">
        <v>0</v>
      </c>
      <c r="O1292" t="s">
        <v>1241</v>
      </c>
      <c r="P1292">
        <v>0.95502292877952355</v>
      </c>
      <c r="Q1292">
        <v>95.502292877952357</v>
      </c>
      <c r="R1292" s="6"/>
    </row>
    <row r="1293" spans="1:18" x14ac:dyDescent="0.15">
      <c r="A1293" t="s">
        <v>373</v>
      </c>
      <c r="B1293" t="s">
        <v>479</v>
      </c>
      <c r="P1293">
        <v>3.0560733720944755E-2</v>
      </c>
      <c r="R1293" s="6"/>
    </row>
    <row r="1294" spans="1:18" x14ac:dyDescent="0.15">
      <c r="C1294" t="s">
        <v>369</v>
      </c>
      <c r="D1294">
        <v>32</v>
      </c>
      <c r="E1294">
        <v>1000</v>
      </c>
      <c r="F1294" t="s">
        <v>9</v>
      </c>
      <c r="G1294">
        <v>0</v>
      </c>
      <c r="H1294">
        <v>0</v>
      </c>
      <c r="I1294" t="s">
        <v>488</v>
      </c>
      <c r="J1294" t="s">
        <v>1234</v>
      </c>
      <c r="K1294" t="s">
        <v>1235</v>
      </c>
      <c r="M1294" t="s">
        <v>487</v>
      </c>
      <c r="N1294">
        <v>0</v>
      </c>
      <c r="O1294" t="s">
        <v>1241</v>
      </c>
      <c r="P1294">
        <v>0.95502292877952355</v>
      </c>
      <c r="Q1294">
        <v>30.560733720944754</v>
      </c>
      <c r="R1294" s="6"/>
    </row>
    <row r="1295" spans="1:18" x14ac:dyDescent="0.15">
      <c r="A1295" t="s">
        <v>369</v>
      </c>
      <c r="B1295" t="s">
        <v>9</v>
      </c>
      <c r="P1295">
        <v>0.95502292877952355</v>
      </c>
      <c r="R1295" s="6"/>
    </row>
    <row r="1296" spans="1:18" x14ac:dyDescent="0.15">
      <c r="C1296" t="s">
        <v>29</v>
      </c>
      <c r="D1296">
        <v>8</v>
      </c>
      <c r="E1296">
        <v>1</v>
      </c>
      <c r="F1296" t="s">
        <v>9</v>
      </c>
      <c r="G1296">
        <v>3</v>
      </c>
      <c r="H1296">
        <v>0</v>
      </c>
      <c r="I1296" t="s">
        <v>488</v>
      </c>
      <c r="J1296" t="s">
        <v>1234</v>
      </c>
      <c r="K1296" t="s">
        <v>1235</v>
      </c>
      <c r="M1296" t="s">
        <v>487</v>
      </c>
      <c r="N1296">
        <v>0</v>
      </c>
      <c r="O1296" t="s">
        <v>1241</v>
      </c>
      <c r="P1296">
        <v>0</v>
      </c>
      <c r="Q1296">
        <v>0</v>
      </c>
      <c r="R1296" s="9" t="s">
        <v>1246</v>
      </c>
    </row>
    <row r="1297" spans="1:18" x14ac:dyDescent="0.15">
      <c r="C1297" t="s">
        <v>33</v>
      </c>
      <c r="D1297">
        <v>8</v>
      </c>
      <c r="E1297">
        <v>1</v>
      </c>
      <c r="F1297" t="s">
        <v>9</v>
      </c>
      <c r="G1297">
        <v>3</v>
      </c>
      <c r="H1297">
        <v>0</v>
      </c>
      <c r="I1297" t="s">
        <v>488</v>
      </c>
      <c r="J1297" t="s">
        <v>1234</v>
      </c>
      <c r="K1297" t="s">
        <v>1235</v>
      </c>
      <c r="M1297" t="s">
        <v>487</v>
      </c>
      <c r="N1297">
        <v>0</v>
      </c>
      <c r="O1297" t="s">
        <v>1241</v>
      </c>
      <c r="P1297">
        <v>0</v>
      </c>
      <c r="Q1297">
        <v>0</v>
      </c>
      <c r="R1297" s="9" t="s">
        <v>1246</v>
      </c>
    </row>
    <row r="1298" spans="1:18" x14ac:dyDescent="0.15">
      <c r="C1298" t="s">
        <v>12</v>
      </c>
      <c r="D1298">
        <v>1.7366834170850001</v>
      </c>
      <c r="E1298">
        <v>1</v>
      </c>
      <c r="F1298" t="s">
        <v>13</v>
      </c>
      <c r="G1298">
        <v>3</v>
      </c>
      <c r="H1298">
        <v>0</v>
      </c>
      <c r="I1298" t="s">
        <v>488</v>
      </c>
      <c r="J1298" t="s">
        <v>1234</v>
      </c>
      <c r="K1298" t="s">
        <v>1235</v>
      </c>
      <c r="M1298" t="s">
        <v>487</v>
      </c>
      <c r="N1298">
        <v>0</v>
      </c>
      <c r="O1298" t="s">
        <v>1241</v>
      </c>
      <c r="P1298">
        <v>1.03E-2</v>
      </c>
      <c r="Q1298">
        <v>18.424474371854764</v>
      </c>
      <c r="R1298" s="6"/>
    </row>
    <row r="1299" spans="1:18" x14ac:dyDescent="0.15">
      <c r="C1299" t="s">
        <v>14</v>
      </c>
      <c r="D1299">
        <v>1.9296482412060001</v>
      </c>
      <c r="E1299">
        <v>1</v>
      </c>
      <c r="F1299" t="s">
        <v>13</v>
      </c>
      <c r="G1299">
        <v>3</v>
      </c>
      <c r="H1299">
        <v>0</v>
      </c>
      <c r="I1299" t="s">
        <v>488</v>
      </c>
      <c r="J1299" t="s">
        <v>1234</v>
      </c>
      <c r="K1299" t="s">
        <v>1235</v>
      </c>
      <c r="M1299" t="s">
        <v>487</v>
      </c>
      <c r="N1299">
        <v>0</v>
      </c>
      <c r="O1299" t="s">
        <v>1241</v>
      </c>
      <c r="P1299">
        <v>5.4900000000000001E-3</v>
      </c>
      <c r="Q1299">
        <v>10.911581909547568</v>
      </c>
      <c r="R1299" s="6"/>
    </row>
    <row r="1300" spans="1:18" x14ac:dyDescent="0.15">
      <c r="C1300" t="s">
        <v>15</v>
      </c>
      <c r="D1300">
        <v>38.592964824120997</v>
      </c>
      <c r="E1300">
        <v>1000</v>
      </c>
      <c r="F1300" t="s">
        <v>13</v>
      </c>
      <c r="G1300">
        <v>3</v>
      </c>
      <c r="H1300">
        <v>0</v>
      </c>
      <c r="I1300" t="s">
        <v>488</v>
      </c>
      <c r="J1300" t="s">
        <v>1234</v>
      </c>
      <c r="K1300" t="s">
        <v>1235</v>
      </c>
      <c r="M1300" t="s">
        <v>487</v>
      </c>
      <c r="N1300">
        <v>0</v>
      </c>
      <c r="O1300" t="s">
        <v>1241</v>
      </c>
      <c r="P1300">
        <v>7.9819999999999988E-2</v>
      </c>
      <c r="Q1300">
        <v>3.1729051658291776</v>
      </c>
      <c r="R1300" s="6"/>
    </row>
    <row r="1301" spans="1:18" x14ac:dyDescent="0.15">
      <c r="C1301" t="s">
        <v>23</v>
      </c>
      <c r="D1301">
        <v>96.482412060302011</v>
      </c>
      <c r="E1301">
        <v>1000</v>
      </c>
      <c r="F1301" t="s">
        <v>13</v>
      </c>
      <c r="G1301">
        <v>3</v>
      </c>
      <c r="H1301">
        <v>0</v>
      </c>
      <c r="I1301" t="s">
        <v>488</v>
      </c>
      <c r="J1301" t="s">
        <v>1234</v>
      </c>
      <c r="K1301" t="s">
        <v>1235</v>
      </c>
      <c r="M1301" t="s">
        <v>487</v>
      </c>
      <c r="N1301">
        <v>0</v>
      </c>
      <c r="O1301" t="s">
        <v>1241</v>
      </c>
      <c r="P1301">
        <v>2.3609999999999999E-2</v>
      </c>
      <c r="Q1301">
        <v>2.3462882412060422</v>
      </c>
      <c r="R1301" s="6"/>
    </row>
    <row r="1302" spans="1:18" x14ac:dyDescent="0.15">
      <c r="C1302" t="s">
        <v>24</v>
      </c>
      <c r="D1302">
        <v>38.592964824120997</v>
      </c>
      <c r="E1302">
        <v>1000</v>
      </c>
      <c r="F1302" t="s">
        <v>13</v>
      </c>
      <c r="G1302">
        <v>3</v>
      </c>
      <c r="H1302">
        <v>0</v>
      </c>
      <c r="I1302" t="s">
        <v>488</v>
      </c>
      <c r="J1302" t="s">
        <v>1234</v>
      </c>
      <c r="K1302" t="s">
        <v>1235</v>
      </c>
      <c r="M1302" t="s">
        <v>487</v>
      </c>
      <c r="N1302">
        <v>0</v>
      </c>
      <c r="O1302" t="s">
        <v>1241</v>
      </c>
      <c r="P1302">
        <v>2.8500000000000001E-2</v>
      </c>
      <c r="Q1302">
        <v>1.1328964824120717</v>
      </c>
      <c r="R1302" s="6"/>
    </row>
    <row r="1303" spans="1:18" x14ac:dyDescent="0.15">
      <c r="C1303" t="s">
        <v>17</v>
      </c>
      <c r="D1303">
        <v>14.492753623188001</v>
      </c>
      <c r="E1303">
        <v>1000</v>
      </c>
      <c r="F1303" t="s">
        <v>18</v>
      </c>
      <c r="G1303">
        <v>0</v>
      </c>
      <c r="H1303">
        <v>0</v>
      </c>
      <c r="I1303" t="s">
        <v>488</v>
      </c>
      <c r="J1303" t="s">
        <v>1234</v>
      </c>
      <c r="K1303" t="s">
        <v>1235</v>
      </c>
      <c r="M1303" t="s">
        <v>487</v>
      </c>
      <c r="N1303">
        <v>0</v>
      </c>
      <c r="O1303" t="s">
        <v>1241</v>
      </c>
      <c r="P1303">
        <v>53.85</v>
      </c>
      <c r="Q1303">
        <v>780.43478260867391</v>
      </c>
      <c r="R1303" s="6"/>
    </row>
    <row r="1304" spans="1:18" x14ac:dyDescent="0.15">
      <c r="C1304" t="s">
        <v>19</v>
      </c>
      <c r="D1304">
        <v>4</v>
      </c>
      <c r="E1304">
        <v>1</v>
      </c>
      <c r="F1304" t="s">
        <v>18</v>
      </c>
      <c r="G1304">
        <v>0</v>
      </c>
      <c r="H1304">
        <v>0</v>
      </c>
      <c r="I1304" t="s">
        <v>488</v>
      </c>
      <c r="J1304" t="s">
        <v>1236</v>
      </c>
      <c r="K1304" t="s">
        <v>1235</v>
      </c>
      <c r="M1304" t="s">
        <v>487</v>
      </c>
      <c r="N1304">
        <v>0</v>
      </c>
      <c r="O1304" t="s">
        <v>1241</v>
      </c>
      <c r="P1304">
        <v>34.65</v>
      </c>
      <c r="Q1304">
        <v>138.6</v>
      </c>
      <c r="R1304" s="6"/>
    </row>
    <row r="1305" spans="1:18" x14ac:dyDescent="0.15">
      <c r="A1305" t="s">
        <v>374</v>
      </c>
      <c r="B1305" t="s">
        <v>479</v>
      </c>
      <c r="P1305">
        <v>0.94450537875839213</v>
      </c>
      <c r="R1305" s="6"/>
    </row>
    <row r="1306" spans="1:18" x14ac:dyDescent="0.15">
      <c r="C1306" t="s">
        <v>375</v>
      </c>
      <c r="D1306">
        <v>1</v>
      </c>
      <c r="E1306">
        <v>1</v>
      </c>
      <c r="F1306" t="s">
        <v>9</v>
      </c>
      <c r="G1306">
        <v>0</v>
      </c>
      <c r="H1306">
        <v>0</v>
      </c>
      <c r="I1306" t="s">
        <v>488</v>
      </c>
      <c r="J1306" t="s">
        <v>1234</v>
      </c>
      <c r="K1306" t="s">
        <v>1235</v>
      </c>
      <c r="M1306" t="s">
        <v>487</v>
      </c>
      <c r="N1306">
        <v>0</v>
      </c>
      <c r="O1306" t="s">
        <v>1241</v>
      </c>
      <c r="P1306">
        <v>0.94450537875839213</v>
      </c>
      <c r="Q1306">
        <v>0.94450537875839213</v>
      </c>
      <c r="R1306" s="6"/>
    </row>
    <row r="1307" spans="1:18" x14ac:dyDescent="0.15">
      <c r="A1307" t="s">
        <v>376</v>
      </c>
      <c r="B1307" t="s">
        <v>479</v>
      </c>
      <c r="P1307">
        <v>1.8890107575167843</v>
      </c>
      <c r="R1307" s="6"/>
    </row>
    <row r="1308" spans="1:18" x14ac:dyDescent="0.15">
      <c r="C1308" t="s">
        <v>375</v>
      </c>
      <c r="D1308">
        <v>2</v>
      </c>
      <c r="E1308">
        <v>1</v>
      </c>
      <c r="F1308" t="s">
        <v>9</v>
      </c>
      <c r="G1308">
        <v>0</v>
      </c>
      <c r="H1308">
        <v>0</v>
      </c>
      <c r="I1308" t="s">
        <v>488</v>
      </c>
      <c r="J1308" t="s">
        <v>1234</v>
      </c>
      <c r="K1308" t="s">
        <v>1235</v>
      </c>
      <c r="M1308" t="s">
        <v>487</v>
      </c>
      <c r="N1308">
        <v>0</v>
      </c>
      <c r="O1308" t="s">
        <v>1241</v>
      </c>
      <c r="P1308">
        <v>0.94450537875839213</v>
      </c>
      <c r="Q1308">
        <v>1.8890107575167843</v>
      </c>
      <c r="R1308" s="6"/>
    </row>
    <row r="1309" spans="1:18" x14ac:dyDescent="0.15">
      <c r="A1309" t="s">
        <v>377</v>
      </c>
      <c r="B1309" t="s">
        <v>479</v>
      </c>
      <c r="P1309">
        <v>0.47225268937919607</v>
      </c>
      <c r="R1309" s="6"/>
    </row>
    <row r="1310" spans="1:18" x14ac:dyDescent="0.15">
      <c r="C1310" t="s">
        <v>375</v>
      </c>
      <c r="D1310">
        <v>500</v>
      </c>
      <c r="E1310">
        <v>1000</v>
      </c>
      <c r="F1310" t="s">
        <v>9</v>
      </c>
      <c r="G1310">
        <v>0</v>
      </c>
      <c r="H1310">
        <v>0</v>
      </c>
      <c r="I1310" t="s">
        <v>488</v>
      </c>
      <c r="J1310" t="s">
        <v>1234</v>
      </c>
      <c r="K1310" t="s">
        <v>1235</v>
      </c>
      <c r="M1310" t="s">
        <v>487</v>
      </c>
      <c r="N1310">
        <v>0</v>
      </c>
      <c r="O1310" t="s">
        <v>1241</v>
      </c>
      <c r="P1310">
        <v>0.94450537875839213</v>
      </c>
      <c r="Q1310">
        <v>472.25268937919606</v>
      </c>
      <c r="R1310" s="6"/>
    </row>
    <row r="1311" spans="1:18" x14ac:dyDescent="0.15">
      <c r="A1311" t="s">
        <v>375</v>
      </c>
      <c r="B1311" t="s">
        <v>9</v>
      </c>
      <c r="P1311">
        <v>0.94450537875839213</v>
      </c>
      <c r="R1311" s="6"/>
    </row>
    <row r="1312" spans="1:18" x14ac:dyDescent="0.15">
      <c r="C1312" t="s">
        <v>22</v>
      </c>
      <c r="D1312">
        <v>10</v>
      </c>
      <c r="E1312">
        <v>1</v>
      </c>
      <c r="F1312" t="s">
        <v>9</v>
      </c>
      <c r="G1312">
        <v>3</v>
      </c>
      <c r="H1312">
        <v>0</v>
      </c>
      <c r="I1312" t="s">
        <v>488</v>
      </c>
      <c r="J1312" t="s">
        <v>1234</v>
      </c>
      <c r="K1312" t="s">
        <v>1235</v>
      </c>
      <c r="M1312" t="s">
        <v>487</v>
      </c>
      <c r="N1312">
        <v>0</v>
      </c>
      <c r="O1312" t="s">
        <v>1241</v>
      </c>
      <c r="P1312">
        <v>0</v>
      </c>
      <c r="Q1312">
        <v>0</v>
      </c>
      <c r="R1312" s="9" t="s">
        <v>1246</v>
      </c>
    </row>
    <row r="1313" spans="1:18" x14ac:dyDescent="0.15">
      <c r="C1313" t="s">
        <v>12</v>
      </c>
      <c r="D1313">
        <v>2.798366834171</v>
      </c>
      <c r="E1313">
        <v>1</v>
      </c>
      <c r="F1313" t="s">
        <v>13</v>
      </c>
      <c r="G1313">
        <v>3</v>
      </c>
      <c r="H1313">
        <v>0</v>
      </c>
      <c r="I1313" t="s">
        <v>488</v>
      </c>
      <c r="J1313" t="s">
        <v>1234</v>
      </c>
      <c r="K1313" t="s">
        <v>1235</v>
      </c>
      <c r="M1313" t="s">
        <v>487</v>
      </c>
      <c r="N1313">
        <v>0</v>
      </c>
      <c r="O1313" t="s">
        <v>1241</v>
      </c>
      <c r="P1313">
        <v>1.03E-2</v>
      </c>
      <c r="Q1313">
        <v>29.687873743720139</v>
      </c>
      <c r="R1313" s="6"/>
    </row>
    <row r="1314" spans="1:18" x14ac:dyDescent="0.15">
      <c r="C1314" t="s">
        <v>14</v>
      </c>
      <c r="D1314">
        <v>3.1092964824119997</v>
      </c>
      <c r="E1314">
        <v>1</v>
      </c>
      <c r="F1314" t="s">
        <v>13</v>
      </c>
      <c r="G1314">
        <v>3</v>
      </c>
      <c r="H1314">
        <v>0</v>
      </c>
      <c r="I1314" t="s">
        <v>488</v>
      </c>
      <c r="J1314" t="s">
        <v>1234</v>
      </c>
      <c r="K1314" t="s">
        <v>1235</v>
      </c>
      <c r="M1314" t="s">
        <v>487</v>
      </c>
      <c r="N1314">
        <v>0</v>
      </c>
      <c r="O1314" t="s">
        <v>1241</v>
      </c>
      <c r="P1314">
        <v>5.4900000000000001E-3</v>
      </c>
      <c r="Q1314">
        <v>17.582138819095135</v>
      </c>
      <c r="R1314" s="6"/>
    </row>
    <row r="1315" spans="1:18" x14ac:dyDescent="0.15">
      <c r="C1315" t="s">
        <v>15</v>
      </c>
      <c r="D1315">
        <v>62.185929648241</v>
      </c>
      <c r="E1315">
        <v>1000</v>
      </c>
      <c r="F1315" t="s">
        <v>13</v>
      </c>
      <c r="G1315">
        <v>3</v>
      </c>
      <c r="H1315">
        <v>0</v>
      </c>
      <c r="I1315" t="s">
        <v>488</v>
      </c>
      <c r="J1315" t="s">
        <v>1234</v>
      </c>
      <c r="K1315" t="s">
        <v>1235</v>
      </c>
      <c r="M1315" t="s">
        <v>487</v>
      </c>
      <c r="N1315">
        <v>0</v>
      </c>
      <c r="O1315" t="s">
        <v>1241</v>
      </c>
      <c r="P1315">
        <v>7.9819999999999988E-2</v>
      </c>
      <c r="Q1315">
        <v>5.1125913316582734</v>
      </c>
      <c r="R1315" s="6"/>
    </row>
    <row r="1316" spans="1:18" x14ac:dyDescent="0.15">
      <c r="C1316" t="s">
        <v>23</v>
      </c>
      <c r="D1316">
        <v>0.15546482412099999</v>
      </c>
      <c r="E1316">
        <v>1</v>
      </c>
      <c r="F1316" t="s">
        <v>13</v>
      </c>
      <c r="G1316">
        <v>3</v>
      </c>
      <c r="H1316">
        <v>0</v>
      </c>
      <c r="I1316" t="s">
        <v>488</v>
      </c>
      <c r="J1316" t="s">
        <v>1234</v>
      </c>
      <c r="K1316" t="s">
        <v>1235</v>
      </c>
      <c r="M1316" t="s">
        <v>487</v>
      </c>
      <c r="N1316">
        <v>0</v>
      </c>
      <c r="O1316" t="s">
        <v>1241</v>
      </c>
      <c r="P1316">
        <v>2.3609999999999999E-2</v>
      </c>
      <c r="Q1316">
        <v>3.7806402324217143</v>
      </c>
      <c r="R1316" s="6"/>
    </row>
    <row r="1317" spans="1:18" x14ac:dyDescent="0.15">
      <c r="C1317" t="s">
        <v>24</v>
      </c>
      <c r="D1317">
        <v>62.185929648241</v>
      </c>
      <c r="E1317">
        <v>1000</v>
      </c>
      <c r="F1317" t="s">
        <v>13</v>
      </c>
      <c r="G1317">
        <v>3</v>
      </c>
      <c r="H1317">
        <v>0</v>
      </c>
      <c r="I1317" t="s">
        <v>488</v>
      </c>
      <c r="J1317" t="s">
        <v>1234</v>
      </c>
      <c r="K1317" t="s">
        <v>1235</v>
      </c>
      <c r="M1317" t="s">
        <v>487</v>
      </c>
      <c r="N1317">
        <v>0</v>
      </c>
      <c r="O1317" t="s">
        <v>1241</v>
      </c>
      <c r="P1317">
        <v>2.8500000000000001E-2</v>
      </c>
      <c r="Q1317">
        <v>1.8254679648241143</v>
      </c>
      <c r="R1317" s="6"/>
    </row>
    <row r="1318" spans="1:18" x14ac:dyDescent="0.15">
      <c r="C1318" t="s">
        <v>17</v>
      </c>
      <c r="D1318">
        <v>13.888888888889001</v>
      </c>
      <c r="E1318">
        <v>1000</v>
      </c>
      <c r="F1318" t="s">
        <v>18</v>
      </c>
      <c r="G1318">
        <v>0</v>
      </c>
      <c r="H1318">
        <v>0</v>
      </c>
      <c r="I1318" t="s">
        <v>488</v>
      </c>
      <c r="J1318" t="s">
        <v>1234</v>
      </c>
      <c r="K1318" t="s">
        <v>1235</v>
      </c>
      <c r="M1318" t="s">
        <v>487</v>
      </c>
      <c r="N1318">
        <v>0</v>
      </c>
      <c r="O1318" t="s">
        <v>1241</v>
      </c>
      <c r="P1318">
        <v>53.85</v>
      </c>
      <c r="Q1318">
        <v>747.91666666667277</v>
      </c>
      <c r="R1318" s="6"/>
    </row>
    <row r="1319" spans="1:18" x14ac:dyDescent="0.15">
      <c r="C1319" t="s">
        <v>19</v>
      </c>
      <c r="D1319">
        <v>4</v>
      </c>
      <c r="E1319">
        <v>1</v>
      </c>
      <c r="F1319" t="s">
        <v>18</v>
      </c>
      <c r="G1319">
        <v>0</v>
      </c>
      <c r="H1319">
        <v>0</v>
      </c>
      <c r="I1319" t="s">
        <v>488</v>
      </c>
      <c r="J1319" t="s">
        <v>1236</v>
      </c>
      <c r="K1319" t="s">
        <v>1235</v>
      </c>
      <c r="M1319" t="s">
        <v>487</v>
      </c>
      <c r="N1319">
        <v>0</v>
      </c>
      <c r="O1319" t="s">
        <v>1241</v>
      </c>
      <c r="P1319">
        <v>34.65</v>
      </c>
      <c r="Q1319">
        <v>138.6</v>
      </c>
      <c r="R1319" s="6"/>
    </row>
    <row r="1320" spans="1:18" x14ac:dyDescent="0.15">
      <c r="A1320" t="s">
        <v>378</v>
      </c>
      <c r="B1320" t="s">
        <v>479</v>
      </c>
      <c r="P1320">
        <v>1.0298944166283097</v>
      </c>
      <c r="R1320" s="6"/>
    </row>
    <row r="1321" spans="1:18" x14ac:dyDescent="0.15">
      <c r="C1321" t="s">
        <v>379</v>
      </c>
      <c r="D1321">
        <v>1</v>
      </c>
      <c r="E1321">
        <v>1</v>
      </c>
      <c r="F1321" t="s">
        <v>9</v>
      </c>
      <c r="G1321">
        <v>0</v>
      </c>
      <c r="H1321">
        <v>0</v>
      </c>
      <c r="I1321" t="s">
        <v>488</v>
      </c>
      <c r="J1321" t="s">
        <v>1234</v>
      </c>
      <c r="K1321" t="s">
        <v>1235</v>
      </c>
      <c r="M1321" t="s">
        <v>487</v>
      </c>
      <c r="N1321">
        <v>0</v>
      </c>
      <c r="O1321" t="s">
        <v>1241</v>
      </c>
      <c r="P1321">
        <v>1.0298944166283097</v>
      </c>
      <c r="Q1321">
        <v>1.0298944166283097</v>
      </c>
      <c r="R1321" s="6"/>
    </row>
    <row r="1322" spans="1:18" x14ac:dyDescent="0.15">
      <c r="A1322" t="s">
        <v>380</v>
      </c>
      <c r="B1322" t="s">
        <v>479</v>
      </c>
      <c r="P1322">
        <v>2.0597888332566194</v>
      </c>
      <c r="R1322" s="6"/>
    </row>
    <row r="1323" spans="1:18" x14ac:dyDescent="0.15">
      <c r="C1323" t="s">
        <v>379</v>
      </c>
      <c r="D1323">
        <v>2</v>
      </c>
      <c r="E1323">
        <v>1</v>
      </c>
      <c r="F1323" t="s">
        <v>9</v>
      </c>
      <c r="G1323">
        <v>0</v>
      </c>
      <c r="H1323">
        <v>0</v>
      </c>
      <c r="I1323" t="s">
        <v>488</v>
      </c>
      <c r="J1323" t="s">
        <v>1234</v>
      </c>
      <c r="K1323" t="s">
        <v>1235</v>
      </c>
      <c r="M1323" t="s">
        <v>487</v>
      </c>
      <c r="N1323">
        <v>0</v>
      </c>
      <c r="O1323" t="s">
        <v>1241</v>
      </c>
      <c r="P1323">
        <v>1.0298944166283097</v>
      </c>
      <c r="Q1323">
        <v>2.0597888332566194</v>
      </c>
      <c r="R1323" s="6"/>
    </row>
    <row r="1324" spans="1:18" x14ac:dyDescent="0.15">
      <c r="A1324" t="s">
        <v>381</v>
      </c>
      <c r="B1324" t="s">
        <v>479</v>
      </c>
      <c r="P1324">
        <v>0.51494720831415486</v>
      </c>
      <c r="R1324" s="6"/>
    </row>
    <row r="1325" spans="1:18" x14ac:dyDescent="0.15">
      <c r="C1325" t="s">
        <v>379</v>
      </c>
      <c r="D1325">
        <v>500</v>
      </c>
      <c r="E1325">
        <v>1000</v>
      </c>
      <c r="F1325" t="s">
        <v>9</v>
      </c>
      <c r="G1325">
        <v>0</v>
      </c>
      <c r="H1325">
        <v>0</v>
      </c>
      <c r="I1325" t="s">
        <v>488</v>
      </c>
      <c r="J1325" t="s">
        <v>1234</v>
      </c>
      <c r="K1325" t="s">
        <v>1235</v>
      </c>
      <c r="M1325" t="s">
        <v>487</v>
      </c>
      <c r="N1325">
        <v>0</v>
      </c>
      <c r="O1325" t="s">
        <v>1241</v>
      </c>
      <c r="P1325">
        <v>1.0298944166283097</v>
      </c>
      <c r="Q1325">
        <v>514.94720831415486</v>
      </c>
      <c r="R1325" s="6"/>
    </row>
    <row r="1326" spans="1:18" x14ac:dyDescent="0.15">
      <c r="A1326" t="s">
        <v>379</v>
      </c>
      <c r="B1326" t="s">
        <v>9</v>
      </c>
      <c r="P1326">
        <v>1.0298944166283097</v>
      </c>
      <c r="R1326" s="6"/>
    </row>
    <row r="1327" spans="1:18" x14ac:dyDescent="0.15">
      <c r="C1327" t="s">
        <v>22</v>
      </c>
      <c r="D1327">
        <v>13</v>
      </c>
      <c r="E1327">
        <v>1</v>
      </c>
      <c r="F1327" t="s">
        <v>9</v>
      </c>
      <c r="G1327">
        <v>3</v>
      </c>
      <c r="H1327">
        <v>0</v>
      </c>
      <c r="I1327" t="s">
        <v>488</v>
      </c>
      <c r="J1327" t="s">
        <v>1234</v>
      </c>
      <c r="K1327" t="s">
        <v>1235</v>
      </c>
      <c r="M1327" t="s">
        <v>487</v>
      </c>
      <c r="N1327">
        <v>0</v>
      </c>
      <c r="O1327" t="s">
        <v>1241</v>
      </c>
      <c r="P1327">
        <v>0</v>
      </c>
      <c r="Q1327">
        <v>0</v>
      </c>
      <c r="R1327" s="9" t="s">
        <v>1246</v>
      </c>
    </row>
    <row r="1328" spans="1:18" x14ac:dyDescent="0.15">
      <c r="C1328" t="s">
        <v>12</v>
      </c>
      <c r="D1328">
        <v>3.637876884422</v>
      </c>
      <c r="E1328">
        <v>1</v>
      </c>
      <c r="F1328" t="s">
        <v>13</v>
      </c>
      <c r="G1328">
        <v>3</v>
      </c>
      <c r="H1328">
        <v>0</v>
      </c>
      <c r="I1328" t="s">
        <v>488</v>
      </c>
      <c r="J1328" t="s">
        <v>1234</v>
      </c>
      <c r="K1328" t="s">
        <v>1235</v>
      </c>
      <c r="M1328" t="s">
        <v>487</v>
      </c>
      <c r="N1328">
        <v>0</v>
      </c>
      <c r="O1328" t="s">
        <v>1241</v>
      </c>
      <c r="P1328">
        <v>1.03E-2</v>
      </c>
      <c r="Q1328">
        <v>38.594235866832996</v>
      </c>
      <c r="R1328" s="6"/>
    </row>
    <row r="1329" spans="1:18" x14ac:dyDescent="0.15">
      <c r="C1329" t="s">
        <v>14</v>
      </c>
      <c r="D1329">
        <v>4.0420854271360005</v>
      </c>
      <c r="E1329">
        <v>1</v>
      </c>
      <c r="F1329" t="s">
        <v>13</v>
      </c>
      <c r="G1329">
        <v>3</v>
      </c>
      <c r="H1329">
        <v>0</v>
      </c>
      <c r="I1329" t="s">
        <v>488</v>
      </c>
      <c r="J1329" t="s">
        <v>1234</v>
      </c>
      <c r="K1329" t="s">
        <v>1235</v>
      </c>
      <c r="M1329" t="s">
        <v>487</v>
      </c>
      <c r="N1329">
        <v>0</v>
      </c>
      <c r="O1329" t="s">
        <v>1241</v>
      </c>
      <c r="P1329">
        <v>5.4900000000000001E-3</v>
      </c>
      <c r="Q1329">
        <v>22.856780464825945</v>
      </c>
      <c r="R1329" s="6"/>
    </row>
    <row r="1330" spans="1:18" x14ac:dyDescent="0.15">
      <c r="C1330" t="s">
        <v>15</v>
      </c>
      <c r="D1330">
        <v>80.841708542714002</v>
      </c>
      <c r="E1330">
        <v>1000</v>
      </c>
      <c r="F1330" t="s">
        <v>13</v>
      </c>
      <c r="G1330">
        <v>3</v>
      </c>
      <c r="H1330">
        <v>0</v>
      </c>
      <c r="I1330" t="s">
        <v>488</v>
      </c>
      <c r="J1330" t="s">
        <v>1234</v>
      </c>
      <c r="K1330" t="s">
        <v>1235</v>
      </c>
      <c r="M1330" t="s">
        <v>487</v>
      </c>
      <c r="N1330">
        <v>0</v>
      </c>
      <c r="O1330" t="s">
        <v>1241</v>
      </c>
      <c r="P1330">
        <v>7.9819999999999988E-2</v>
      </c>
      <c r="Q1330">
        <v>6.6463687311558131</v>
      </c>
      <c r="R1330" s="6"/>
    </row>
    <row r="1331" spans="1:18" x14ac:dyDescent="0.15">
      <c r="C1331" t="s">
        <v>23</v>
      </c>
      <c r="D1331">
        <v>0.20210427135699999</v>
      </c>
      <c r="E1331">
        <v>1</v>
      </c>
      <c r="F1331" t="s">
        <v>13</v>
      </c>
      <c r="G1331">
        <v>3</v>
      </c>
      <c r="H1331">
        <v>0</v>
      </c>
      <c r="I1331" t="s">
        <v>488</v>
      </c>
      <c r="J1331" t="s">
        <v>1234</v>
      </c>
      <c r="K1331" t="s">
        <v>1235</v>
      </c>
      <c r="M1331" t="s">
        <v>487</v>
      </c>
      <c r="N1331">
        <v>0</v>
      </c>
      <c r="O1331" t="s">
        <v>1241</v>
      </c>
      <c r="P1331">
        <v>2.3609999999999999E-2</v>
      </c>
      <c r="Q1331">
        <v>4.9148323021409324</v>
      </c>
      <c r="R1331" s="6"/>
    </row>
    <row r="1332" spans="1:18" x14ac:dyDescent="0.15">
      <c r="C1332" t="s">
        <v>24</v>
      </c>
      <c r="D1332">
        <v>80.841708542714002</v>
      </c>
      <c r="E1332">
        <v>1000</v>
      </c>
      <c r="F1332" t="s">
        <v>13</v>
      </c>
      <c r="G1332">
        <v>3</v>
      </c>
      <c r="H1332">
        <v>0</v>
      </c>
      <c r="I1332" t="s">
        <v>488</v>
      </c>
      <c r="J1332" t="s">
        <v>1234</v>
      </c>
      <c r="K1332" t="s">
        <v>1235</v>
      </c>
      <c r="M1332" t="s">
        <v>487</v>
      </c>
      <c r="N1332">
        <v>0</v>
      </c>
      <c r="O1332" t="s">
        <v>1241</v>
      </c>
      <c r="P1332">
        <v>2.8500000000000001E-2</v>
      </c>
      <c r="Q1332">
        <v>2.3731083542713693</v>
      </c>
      <c r="R1332" s="6"/>
    </row>
    <row r="1333" spans="1:18" x14ac:dyDescent="0.15">
      <c r="C1333" t="s">
        <v>17</v>
      </c>
      <c r="D1333">
        <v>15.151515151515</v>
      </c>
      <c r="E1333">
        <v>1000</v>
      </c>
      <c r="F1333" t="s">
        <v>18</v>
      </c>
      <c r="G1333">
        <v>0</v>
      </c>
      <c r="H1333">
        <v>0</v>
      </c>
      <c r="I1333" t="s">
        <v>488</v>
      </c>
      <c r="J1333" t="s">
        <v>1234</v>
      </c>
      <c r="K1333" t="s">
        <v>1235</v>
      </c>
      <c r="M1333" t="s">
        <v>487</v>
      </c>
      <c r="N1333">
        <v>0</v>
      </c>
      <c r="O1333" t="s">
        <v>1241</v>
      </c>
      <c r="P1333">
        <v>53.85</v>
      </c>
      <c r="Q1333">
        <v>815.90909090908269</v>
      </c>
      <c r="R1333" s="6"/>
    </row>
    <row r="1334" spans="1:18" x14ac:dyDescent="0.15">
      <c r="C1334" t="s">
        <v>19</v>
      </c>
      <c r="D1334">
        <v>4</v>
      </c>
      <c r="E1334">
        <v>1</v>
      </c>
      <c r="F1334" t="s">
        <v>18</v>
      </c>
      <c r="G1334">
        <v>0</v>
      </c>
      <c r="H1334">
        <v>0</v>
      </c>
      <c r="I1334" t="s">
        <v>488</v>
      </c>
      <c r="J1334" t="s">
        <v>1236</v>
      </c>
      <c r="K1334" t="s">
        <v>1235</v>
      </c>
      <c r="M1334" t="s">
        <v>487</v>
      </c>
      <c r="N1334">
        <v>0</v>
      </c>
      <c r="O1334" t="s">
        <v>1241</v>
      </c>
      <c r="P1334">
        <v>34.65</v>
      </c>
      <c r="Q1334">
        <v>138.6</v>
      </c>
      <c r="R1334" s="6"/>
    </row>
    <row r="1335" spans="1:18" x14ac:dyDescent="0.15">
      <c r="A1335" t="s">
        <v>382</v>
      </c>
      <c r="B1335" t="s">
        <v>479</v>
      </c>
      <c r="P1335">
        <v>0.93450086156113266</v>
      </c>
      <c r="R1335" s="6"/>
    </row>
    <row r="1336" spans="1:18" x14ac:dyDescent="0.15">
      <c r="C1336" t="s">
        <v>383</v>
      </c>
      <c r="D1336">
        <v>1</v>
      </c>
      <c r="E1336">
        <v>1</v>
      </c>
      <c r="F1336" t="s">
        <v>9</v>
      </c>
      <c r="G1336">
        <v>0</v>
      </c>
      <c r="H1336">
        <v>0</v>
      </c>
      <c r="I1336" t="s">
        <v>488</v>
      </c>
      <c r="J1336" t="s">
        <v>1234</v>
      </c>
      <c r="K1336" t="s">
        <v>1235</v>
      </c>
      <c r="M1336" t="s">
        <v>487</v>
      </c>
      <c r="N1336">
        <v>0</v>
      </c>
      <c r="O1336" t="s">
        <v>1241</v>
      </c>
      <c r="P1336">
        <v>0.93450086156113266</v>
      </c>
      <c r="Q1336">
        <v>0.93450086156113266</v>
      </c>
      <c r="R1336" s="6"/>
    </row>
    <row r="1337" spans="1:18" x14ac:dyDescent="0.15">
      <c r="A1337" t="s">
        <v>384</v>
      </c>
      <c r="B1337" t="s">
        <v>479</v>
      </c>
      <c r="P1337">
        <v>1.8690017231222653</v>
      </c>
      <c r="R1337" s="6"/>
    </row>
    <row r="1338" spans="1:18" x14ac:dyDescent="0.15">
      <c r="C1338" t="s">
        <v>383</v>
      </c>
      <c r="D1338">
        <v>2</v>
      </c>
      <c r="E1338">
        <v>1</v>
      </c>
      <c r="F1338" t="s">
        <v>9</v>
      </c>
      <c r="G1338">
        <v>0</v>
      </c>
      <c r="H1338">
        <v>0</v>
      </c>
      <c r="I1338" t="s">
        <v>488</v>
      </c>
      <c r="J1338" t="s">
        <v>1234</v>
      </c>
      <c r="K1338" t="s">
        <v>1235</v>
      </c>
      <c r="M1338" t="s">
        <v>487</v>
      </c>
      <c r="N1338">
        <v>0</v>
      </c>
      <c r="O1338" t="s">
        <v>1241</v>
      </c>
      <c r="P1338">
        <v>0.93450086156113266</v>
      </c>
      <c r="Q1338">
        <v>1.8690017231222653</v>
      </c>
      <c r="R1338" s="6"/>
    </row>
    <row r="1339" spans="1:18" x14ac:dyDescent="0.15">
      <c r="A1339" t="s">
        <v>385</v>
      </c>
      <c r="B1339" t="s">
        <v>479</v>
      </c>
      <c r="P1339">
        <v>0.46725043078056633</v>
      </c>
      <c r="R1339" s="6"/>
    </row>
    <row r="1340" spans="1:18" x14ac:dyDescent="0.15">
      <c r="C1340" t="s">
        <v>383</v>
      </c>
      <c r="D1340">
        <v>500</v>
      </c>
      <c r="E1340">
        <v>1000</v>
      </c>
      <c r="F1340" t="s">
        <v>9</v>
      </c>
      <c r="G1340">
        <v>0</v>
      </c>
      <c r="H1340">
        <v>0</v>
      </c>
      <c r="I1340" t="s">
        <v>488</v>
      </c>
      <c r="J1340" t="s">
        <v>1234</v>
      </c>
      <c r="K1340" t="s">
        <v>1235</v>
      </c>
      <c r="M1340" t="s">
        <v>487</v>
      </c>
      <c r="N1340">
        <v>0</v>
      </c>
      <c r="O1340" t="s">
        <v>1241</v>
      </c>
      <c r="P1340">
        <v>0.93450086156113266</v>
      </c>
      <c r="Q1340">
        <v>467.25043078056632</v>
      </c>
      <c r="R1340" s="6"/>
    </row>
    <row r="1341" spans="1:18" x14ac:dyDescent="0.15">
      <c r="A1341" t="s">
        <v>383</v>
      </c>
      <c r="B1341" t="s">
        <v>9</v>
      </c>
      <c r="P1341">
        <v>0.93450086156113266</v>
      </c>
      <c r="R1341" s="6"/>
    </row>
    <row r="1342" spans="1:18" x14ac:dyDescent="0.15">
      <c r="C1342" t="s">
        <v>33</v>
      </c>
      <c r="D1342">
        <v>16</v>
      </c>
      <c r="E1342">
        <v>1</v>
      </c>
      <c r="F1342" t="s">
        <v>9</v>
      </c>
      <c r="G1342">
        <v>3</v>
      </c>
      <c r="H1342">
        <v>0</v>
      </c>
      <c r="I1342" t="s">
        <v>488</v>
      </c>
      <c r="J1342" t="s">
        <v>1234</v>
      </c>
      <c r="K1342" t="s">
        <v>1235</v>
      </c>
      <c r="M1342" t="s">
        <v>487</v>
      </c>
      <c r="N1342">
        <v>0</v>
      </c>
      <c r="O1342" t="s">
        <v>1241</v>
      </c>
      <c r="P1342">
        <v>0</v>
      </c>
      <c r="Q1342">
        <v>0</v>
      </c>
      <c r="R1342" s="9" t="s">
        <v>1246</v>
      </c>
    </row>
    <row r="1343" spans="1:18" x14ac:dyDescent="0.15">
      <c r="C1343" t="s">
        <v>12</v>
      </c>
      <c r="D1343">
        <v>2.3155778894469998</v>
      </c>
      <c r="E1343">
        <v>1</v>
      </c>
      <c r="F1343" t="s">
        <v>13</v>
      </c>
      <c r="G1343">
        <v>3</v>
      </c>
      <c r="H1343">
        <v>0</v>
      </c>
      <c r="I1343" t="s">
        <v>488</v>
      </c>
      <c r="J1343" t="s">
        <v>1234</v>
      </c>
      <c r="K1343" t="s">
        <v>1235</v>
      </c>
      <c r="M1343" t="s">
        <v>487</v>
      </c>
      <c r="N1343">
        <v>0</v>
      </c>
      <c r="O1343" t="s">
        <v>1241</v>
      </c>
      <c r="P1343">
        <v>1.03E-2</v>
      </c>
      <c r="Q1343">
        <v>24.565965829143224</v>
      </c>
      <c r="R1343" s="6"/>
    </row>
    <row r="1344" spans="1:18" x14ac:dyDescent="0.15">
      <c r="C1344" t="s">
        <v>14</v>
      </c>
      <c r="D1344">
        <v>2.5728643216079998</v>
      </c>
      <c r="E1344">
        <v>1</v>
      </c>
      <c r="F1344" t="s">
        <v>13</v>
      </c>
      <c r="G1344">
        <v>3</v>
      </c>
      <c r="H1344">
        <v>0</v>
      </c>
      <c r="I1344" t="s">
        <v>488</v>
      </c>
      <c r="J1344" t="s">
        <v>1234</v>
      </c>
      <c r="K1344" t="s">
        <v>1235</v>
      </c>
      <c r="M1344" t="s">
        <v>487</v>
      </c>
      <c r="N1344">
        <v>0</v>
      </c>
      <c r="O1344" t="s">
        <v>1241</v>
      </c>
      <c r="P1344">
        <v>5.4900000000000001E-3</v>
      </c>
      <c r="Q1344">
        <v>14.548775879396757</v>
      </c>
      <c r="R1344" s="6"/>
    </row>
    <row r="1345" spans="1:18" x14ac:dyDescent="0.15">
      <c r="C1345" t="s">
        <v>15</v>
      </c>
      <c r="D1345">
        <v>51.457286432160998</v>
      </c>
      <c r="E1345">
        <v>1000</v>
      </c>
      <c r="F1345" t="s">
        <v>13</v>
      </c>
      <c r="G1345">
        <v>3</v>
      </c>
      <c r="H1345">
        <v>0</v>
      </c>
      <c r="I1345" t="s">
        <v>488</v>
      </c>
      <c r="J1345" t="s">
        <v>1234</v>
      </c>
      <c r="K1345" t="s">
        <v>1235</v>
      </c>
      <c r="M1345" t="s">
        <v>487</v>
      </c>
      <c r="N1345">
        <v>0</v>
      </c>
      <c r="O1345" t="s">
        <v>1241</v>
      </c>
      <c r="P1345">
        <v>7.9819999999999988E-2</v>
      </c>
      <c r="Q1345">
        <v>4.2305402211055432</v>
      </c>
      <c r="R1345" s="6"/>
    </row>
    <row r="1346" spans="1:18" x14ac:dyDescent="0.15">
      <c r="C1346" t="s">
        <v>23</v>
      </c>
      <c r="D1346">
        <v>0.12864321608000001</v>
      </c>
      <c r="E1346">
        <v>1</v>
      </c>
      <c r="F1346" t="s">
        <v>13</v>
      </c>
      <c r="G1346">
        <v>3</v>
      </c>
      <c r="H1346">
        <v>0</v>
      </c>
      <c r="I1346" t="s">
        <v>488</v>
      </c>
      <c r="J1346" t="s">
        <v>1234</v>
      </c>
      <c r="K1346" t="s">
        <v>1235</v>
      </c>
      <c r="M1346" t="s">
        <v>487</v>
      </c>
      <c r="N1346">
        <v>0</v>
      </c>
      <c r="O1346" t="s">
        <v>1241</v>
      </c>
      <c r="P1346">
        <v>2.3609999999999999E-2</v>
      </c>
      <c r="Q1346">
        <v>3.1283843215982641</v>
      </c>
      <c r="R1346" s="6"/>
    </row>
    <row r="1347" spans="1:18" x14ac:dyDescent="0.15">
      <c r="C1347" t="s">
        <v>24</v>
      </c>
      <c r="D1347">
        <v>51.457286432160998</v>
      </c>
      <c r="E1347">
        <v>1000</v>
      </c>
      <c r="F1347" t="s">
        <v>13</v>
      </c>
      <c r="G1347">
        <v>3</v>
      </c>
      <c r="H1347">
        <v>0</v>
      </c>
      <c r="I1347" t="s">
        <v>488</v>
      </c>
      <c r="J1347" t="s">
        <v>1234</v>
      </c>
      <c r="K1347" t="s">
        <v>1235</v>
      </c>
      <c r="M1347" t="s">
        <v>487</v>
      </c>
      <c r="N1347">
        <v>0</v>
      </c>
      <c r="O1347" t="s">
        <v>1241</v>
      </c>
      <c r="P1347">
        <v>2.8500000000000001E-2</v>
      </c>
      <c r="Q1347">
        <v>1.510528643216086</v>
      </c>
      <c r="R1347" s="6"/>
    </row>
    <row r="1348" spans="1:18" x14ac:dyDescent="0.15">
      <c r="C1348" t="s">
        <v>17</v>
      </c>
      <c r="D1348">
        <v>13.888888888889001</v>
      </c>
      <c r="E1348">
        <v>1000</v>
      </c>
      <c r="F1348" t="s">
        <v>18</v>
      </c>
      <c r="G1348">
        <v>0</v>
      </c>
      <c r="H1348">
        <v>0</v>
      </c>
      <c r="I1348" t="s">
        <v>488</v>
      </c>
      <c r="J1348" t="s">
        <v>1234</v>
      </c>
      <c r="K1348" t="s">
        <v>1235</v>
      </c>
      <c r="M1348" t="s">
        <v>487</v>
      </c>
      <c r="N1348">
        <v>0</v>
      </c>
      <c r="O1348" t="s">
        <v>1241</v>
      </c>
      <c r="P1348">
        <v>53.85</v>
      </c>
      <c r="Q1348">
        <v>747.91666666667277</v>
      </c>
      <c r="R1348" s="6"/>
    </row>
    <row r="1349" spans="1:18" x14ac:dyDescent="0.15">
      <c r="C1349" t="s">
        <v>19</v>
      </c>
      <c r="D1349">
        <v>4</v>
      </c>
      <c r="E1349">
        <v>1</v>
      </c>
      <c r="F1349" t="s">
        <v>18</v>
      </c>
      <c r="G1349">
        <v>0</v>
      </c>
      <c r="H1349">
        <v>0</v>
      </c>
      <c r="I1349" t="s">
        <v>488</v>
      </c>
      <c r="J1349" t="s">
        <v>1236</v>
      </c>
      <c r="K1349" t="s">
        <v>1235</v>
      </c>
      <c r="M1349" t="s">
        <v>487</v>
      </c>
      <c r="N1349">
        <v>0</v>
      </c>
      <c r="O1349" t="s">
        <v>1241</v>
      </c>
      <c r="P1349">
        <v>34.65</v>
      </c>
      <c r="Q1349">
        <v>138.6</v>
      </c>
      <c r="R1349" s="6"/>
    </row>
    <row r="1350" spans="1:18" x14ac:dyDescent="0.15">
      <c r="A1350" t="s">
        <v>386</v>
      </c>
      <c r="B1350" t="s">
        <v>479</v>
      </c>
      <c r="P1350">
        <v>1.0414804441553218</v>
      </c>
      <c r="R1350" s="6"/>
    </row>
    <row r="1351" spans="1:18" x14ac:dyDescent="0.15">
      <c r="C1351" t="s">
        <v>387</v>
      </c>
      <c r="D1351">
        <v>1</v>
      </c>
      <c r="E1351">
        <v>1</v>
      </c>
      <c r="F1351" t="s">
        <v>9</v>
      </c>
      <c r="G1351">
        <v>0</v>
      </c>
      <c r="H1351">
        <v>0</v>
      </c>
      <c r="I1351" t="s">
        <v>488</v>
      </c>
      <c r="J1351" t="s">
        <v>1234</v>
      </c>
      <c r="K1351" t="s">
        <v>1235</v>
      </c>
      <c r="M1351" t="s">
        <v>487</v>
      </c>
      <c r="N1351">
        <v>0</v>
      </c>
      <c r="O1351" t="s">
        <v>1241</v>
      </c>
      <c r="P1351">
        <v>1.0414804441553218</v>
      </c>
      <c r="Q1351">
        <v>1.0414804441553218</v>
      </c>
      <c r="R1351" s="6"/>
    </row>
    <row r="1352" spans="1:18" x14ac:dyDescent="0.15">
      <c r="A1352" t="s">
        <v>388</v>
      </c>
      <c r="B1352" t="s">
        <v>479</v>
      </c>
      <c r="P1352">
        <v>2.0829608883106436</v>
      </c>
      <c r="R1352" s="6"/>
    </row>
    <row r="1353" spans="1:18" x14ac:dyDescent="0.15">
      <c r="C1353" t="s">
        <v>387</v>
      </c>
      <c r="D1353">
        <v>2</v>
      </c>
      <c r="E1353">
        <v>1</v>
      </c>
      <c r="F1353" t="s">
        <v>9</v>
      </c>
      <c r="G1353">
        <v>0</v>
      </c>
      <c r="H1353">
        <v>0</v>
      </c>
      <c r="I1353" t="s">
        <v>488</v>
      </c>
      <c r="J1353" t="s">
        <v>1234</v>
      </c>
      <c r="K1353" t="s">
        <v>1235</v>
      </c>
      <c r="M1353" t="s">
        <v>487</v>
      </c>
      <c r="N1353">
        <v>0</v>
      </c>
      <c r="O1353" t="s">
        <v>1241</v>
      </c>
      <c r="P1353">
        <v>1.0414804441553218</v>
      </c>
      <c r="Q1353">
        <v>2.0829608883106436</v>
      </c>
      <c r="R1353" s="6"/>
    </row>
    <row r="1354" spans="1:18" x14ac:dyDescent="0.15">
      <c r="A1354" t="s">
        <v>389</v>
      </c>
      <c r="B1354" t="s">
        <v>479</v>
      </c>
      <c r="P1354">
        <v>0.52074022207766091</v>
      </c>
      <c r="R1354" s="6"/>
    </row>
    <row r="1355" spans="1:18" x14ac:dyDescent="0.15">
      <c r="C1355" t="s">
        <v>387</v>
      </c>
      <c r="D1355">
        <v>500</v>
      </c>
      <c r="E1355">
        <v>1000</v>
      </c>
      <c r="F1355" t="s">
        <v>9</v>
      </c>
      <c r="G1355">
        <v>0</v>
      </c>
      <c r="H1355">
        <v>0</v>
      </c>
      <c r="I1355" t="s">
        <v>488</v>
      </c>
      <c r="J1355" t="s">
        <v>1234</v>
      </c>
      <c r="K1355" t="s">
        <v>1235</v>
      </c>
      <c r="M1355" t="s">
        <v>487</v>
      </c>
      <c r="N1355">
        <v>0</v>
      </c>
      <c r="O1355" t="s">
        <v>1241</v>
      </c>
      <c r="P1355">
        <v>1.0414804441553218</v>
      </c>
      <c r="Q1355">
        <v>520.74022207766086</v>
      </c>
      <c r="R1355" s="6"/>
    </row>
    <row r="1356" spans="1:18" x14ac:dyDescent="0.15">
      <c r="A1356" t="s">
        <v>387</v>
      </c>
      <c r="B1356" t="s">
        <v>9</v>
      </c>
      <c r="P1356">
        <v>1.0414804441553218</v>
      </c>
      <c r="R1356" s="6"/>
    </row>
    <row r="1357" spans="1:18" x14ac:dyDescent="0.15">
      <c r="C1357" t="s">
        <v>22</v>
      </c>
      <c r="D1357">
        <v>13</v>
      </c>
      <c r="E1357">
        <v>1</v>
      </c>
      <c r="F1357" t="s">
        <v>9</v>
      </c>
      <c r="G1357">
        <v>3</v>
      </c>
      <c r="H1357">
        <v>0</v>
      </c>
      <c r="I1357" t="s">
        <v>488</v>
      </c>
      <c r="J1357" t="s">
        <v>1234</v>
      </c>
      <c r="K1357" t="s">
        <v>1235</v>
      </c>
      <c r="M1357" t="s">
        <v>487</v>
      </c>
      <c r="N1357">
        <v>0</v>
      </c>
      <c r="O1357" t="s">
        <v>1241</v>
      </c>
      <c r="P1357">
        <v>0</v>
      </c>
      <c r="Q1357">
        <v>0</v>
      </c>
      <c r="R1357" s="9" t="s">
        <v>1246</v>
      </c>
    </row>
    <row r="1358" spans="1:18" x14ac:dyDescent="0.15">
      <c r="C1358" t="s">
        <v>33</v>
      </c>
      <c r="D1358">
        <v>3</v>
      </c>
      <c r="E1358">
        <v>1</v>
      </c>
      <c r="F1358" t="s">
        <v>9</v>
      </c>
      <c r="G1358">
        <v>3</v>
      </c>
      <c r="H1358">
        <v>0</v>
      </c>
      <c r="I1358" t="s">
        <v>488</v>
      </c>
      <c r="J1358" t="s">
        <v>1234</v>
      </c>
      <c r="K1358" t="s">
        <v>1235</v>
      </c>
      <c r="M1358" t="s">
        <v>487</v>
      </c>
      <c r="N1358">
        <v>0</v>
      </c>
      <c r="O1358" t="s">
        <v>1241</v>
      </c>
      <c r="P1358">
        <v>0</v>
      </c>
      <c r="Q1358">
        <v>0</v>
      </c>
      <c r="R1358" s="9" t="s">
        <v>1246</v>
      </c>
    </row>
    <row r="1359" spans="1:18" x14ac:dyDescent="0.15">
      <c r="C1359" t="s">
        <v>12</v>
      </c>
      <c r="D1359">
        <v>4.196984924623</v>
      </c>
      <c r="E1359">
        <v>1</v>
      </c>
      <c r="F1359" t="s">
        <v>13</v>
      </c>
      <c r="G1359">
        <v>3</v>
      </c>
      <c r="H1359">
        <v>0</v>
      </c>
      <c r="I1359" t="s">
        <v>488</v>
      </c>
      <c r="J1359" t="s">
        <v>1234</v>
      </c>
      <c r="K1359" t="s">
        <v>1235</v>
      </c>
      <c r="M1359" t="s">
        <v>487</v>
      </c>
      <c r="N1359">
        <v>0</v>
      </c>
      <c r="O1359" t="s">
        <v>1241</v>
      </c>
      <c r="P1359">
        <v>1.03E-2</v>
      </c>
      <c r="Q1359">
        <v>44.525813065325401</v>
      </c>
      <c r="R1359" s="6"/>
    </row>
    <row r="1360" spans="1:18" x14ac:dyDescent="0.15">
      <c r="C1360" t="s">
        <v>14</v>
      </c>
      <c r="D1360">
        <v>4.6633165829149998</v>
      </c>
      <c r="E1360">
        <v>1</v>
      </c>
      <c r="F1360" t="s">
        <v>13</v>
      </c>
      <c r="G1360">
        <v>3</v>
      </c>
      <c r="H1360">
        <v>0</v>
      </c>
      <c r="I1360" t="s">
        <v>488</v>
      </c>
      <c r="J1360" t="s">
        <v>1234</v>
      </c>
      <c r="K1360" t="s">
        <v>1235</v>
      </c>
      <c r="M1360" t="s">
        <v>487</v>
      </c>
      <c r="N1360">
        <v>0</v>
      </c>
      <c r="O1360" t="s">
        <v>1241</v>
      </c>
      <c r="P1360">
        <v>5.4900000000000001E-3</v>
      </c>
      <c r="Q1360">
        <v>26.369656281409448</v>
      </c>
      <c r="R1360" s="6"/>
    </row>
    <row r="1361" spans="1:18" x14ac:dyDescent="0.15">
      <c r="C1361" t="s">
        <v>15</v>
      </c>
      <c r="D1361">
        <v>93.266331658292003</v>
      </c>
      <c r="E1361">
        <v>1000</v>
      </c>
      <c r="F1361" t="s">
        <v>13</v>
      </c>
      <c r="G1361">
        <v>3</v>
      </c>
      <c r="H1361">
        <v>0</v>
      </c>
      <c r="I1361" t="s">
        <v>488</v>
      </c>
      <c r="J1361" t="s">
        <v>1234</v>
      </c>
      <c r="K1361" t="s">
        <v>1235</v>
      </c>
      <c r="M1361" t="s">
        <v>487</v>
      </c>
      <c r="N1361">
        <v>0</v>
      </c>
      <c r="O1361" t="s">
        <v>1241</v>
      </c>
      <c r="P1361">
        <v>7.9819999999999988E-2</v>
      </c>
      <c r="Q1361">
        <v>7.6678541507538123</v>
      </c>
      <c r="R1361" s="6"/>
    </row>
    <row r="1362" spans="1:18" x14ac:dyDescent="0.15">
      <c r="C1362" t="s">
        <v>23</v>
      </c>
      <c r="D1362">
        <v>0.23316582914600001</v>
      </c>
      <c r="E1362">
        <v>1</v>
      </c>
      <c r="F1362" t="s">
        <v>13</v>
      </c>
      <c r="G1362">
        <v>3</v>
      </c>
      <c r="H1362">
        <v>0</v>
      </c>
      <c r="I1362" t="s">
        <v>488</v>
      </c>
      <c r="J1362" t="s">
        <v>1234</v>
      </c>
      <c r="K1362" t="s">
        <v>1235</v>
      </c>
      <c r="M1362" t="s">
        <v>487</v>
      </c>
      <c r="N1362">
        <v>0</v>
      </c>
      <c r="O1362" t="s">
        <v>1241</v>
      </c>
      <c r="P1362">
        <v>2.3609999999999999E-2</v>
      </c>
      <c r="Q1362">
        <v>5.6701965829211716</v>
      </c>
      <c r="R1362" s="6"/>
    </row>
    <row r="1363" spans="1:18" x14ac:dyDescent="0.15">
      <c r="C1363" t="s">
        <v>24</v>
      </c>
      <c r="D1363">
        <v>93.266331658292003</v>
      </c>
      <c r="E1363">
        <v>1000</v>
      </c>
      <c r="F1363" t="s">
        <v>13</v>
      </c>
      <c r="G1363">
        <v>3</v>
      </c>
      <c r="H1363">
        <v>0</v>
      </c>
      <c r="I1363" t="s">
        <v>488</v>
      </c>
      <c r="J1363" t="s">
        <v>1234</v>
      </c>
      <c r="K1363" t="s">
        <v>1235</v>
      </c>
      <c r="M1363" t="s">
        <v>487</v>
      </c>
      <c r="N1363">
        <v>0</v>
      </c>
      <c r="O1363" t="s">
        <v>1241</v>
      </c>
      <c r="P1363">
        <v>2.8500000000000001E-2</v>
      </c>
      <c r="Q1363">
        <v>2.7378331658291617</v>
      </c>
      <c r="R1363" s="6"/>
    </row>
    <row r="1364" spans="1:18" x14ac:dyDescent="0.15">
      <c r="C1364" t="s">
        <v>17</v>
      </c>
      <c r="D1364">
        <v>15.151515151515</v>
      </c>
      <c r="E1364">
        <v>1000</v>
      </c>
      <c r="F1364" t="s">
        <v>18</v>
      </c>
      <c r="G1364">
        <v>0</v>
      </c>
      <c r="H1364">
        <v>0</v>
      </c>
      <c r="I1364" t="s">
        <v>488</v>
      </c>
      <c r="J1364" t="s">
        <v>1234</v>
      </c>
      <c r="K1364" t="s">
        <v>1235</v>
      </c>
      <c r="M1364" t="s">
        <v>487</v>
      </c>
      <c r="N1364">
        <v>0</v>
      </c>
      <c r="O1364" t="s">
        <v>1241</v>
      </c>
      <c r="P1364">
        <v>53.85</v>
      </c>
      <c r="Q1364">
        <v>815.90909090908269</v>
      </c>
      <c r="R1364" s="6"/>
    </row>
    <row r="1365" spans="1:18" x14ac:dyDescent="0.15">
      <c r="C1365" t="s">
        <v>19</v>
      </c>
      <c r="D1365">
        <v>4</v>
      </c>
      <c r="E1365">
        <v>1</v>
      </c>
      <c r="F1365" t="s">
        <v>18</v>
      </c>
      <c r="G1365">
        <v>0</v>
      </c>
      <c r="H1365">
        <v>0</v>
      </c>
      <c r="I1365" t="s">
        <v>488</v>
      </c>
      <c r="J1365" t="s">
        <v>1236</v>
      </c>
      <c r="K1365" t="s">
        <v>1235</v>
      </c>
      <c r="M1365" t="s">
        <v>487</v>
      </c>
      <c r="N1365">
        <v>0</v>
      </c>
      <c r="O1365" t="s">
        <v>1241</v>
      </c>
      <c r="P1365">
        <v>34.65</v>
      </c>
      <c r="Q1365">
        <v>138.6</v>
      </c>
      <c r="R1365" s="6"/>
    </row>
    <row r="1366" spans="1:18" x14ac:dyDescent="0.15">
      <c r="A1366" t="s">
        <v>390</v>
      </c>
      <c r="B1366" t="s">
        <v>479</v>
      </c>
      <c r="P1366">
        <v>0.44408421052633185</v>
      </c>
      <c r="R1366" s="6"/>
    </row>
    <row r="1367" spans="1:18" x14ac:dyDescent="0.15">
      <c r="C1367" t="s">
        <v>391</v>
      </c>
      <c r="D1367">
        <v>1</v>
      </c>
      <c r="E1367">
        <v>1</v>
      </c>
      <c r="F1367" t="s">
        <v>9</v>
      </c>
      <c r="G1367">
        <v>0</v>
      </c>
      <c r="H1367">
        <v>0</v>
      </c>
      <c r="I1367" t="s">
        <v>488</v>
      </c>
      <c r="J1367" t="s">
        <v>1234</v>
      </c>
      <c r="K1367" t="s">
        <v>1235</v>
      </c>
      <c r="M1367" t="s">
        <v>487</v>
      </c>
      <c r="N1367">
        <v>0</v>
      </c>
      <c r="O1367" t="s">
        <v>1241</v>
      </c>
      <c r="P1367">
        <v>0.44408421052633185</v>
      </c>
      <c r="Q1367">
        <v>0.44408421052633185</v>
      </c>
      <c r="R1367" s="6"/>
    </row>
    <row r="1368" spans="1:18" x14ac:dyDescent="0.15">
      <c r="A1368" t="s">
        <v>391</v>
      </c>
      <c r="B1368" t="s">
        <v>9</v>
      </c>
      <c r="P1368">
        <v>0.44408421052633185</v>
      </c>
      <c r="R1368" s="6"/>
    </row>
    <row r="1369" spans="1:18" x14ac:dyDescent="0.15">
      <c r="C1369" t="s">
        <v>392</v>
      </c>
      <c r="D1369">
        <v>1</v>
      </c>
      <c r="E1369">
        <v>1</v>
      </c>
      <c r="F1369" t="s">
        <v>9</v>
      </c>
      <c r="G1369">
        <v>3</v>
      </c>
      <c r="H1369">
        <v>0</v>
      </c>
      <c r="I1369" t="s">
        <v>488</v>
      </c>
      <c r="J1369" t="s">
        <v>1234</v>
      </c>
      <c r="K1369" t="s">
        <v>1235</v>
      </c>
      <c r="M1369" t="s">
        <v>487</v>
      </c>
      <c r="N1369">
        <v>0</v>
      </c>
      <c r="O1369" t="s">
        <v>1241</v>
      </c>
      <c r="P1369">
        <v>0</v>
      </c>
      <c r="Q1369">
        <v>0</v>
      </c>
      <c r="R1369" s="9" t="s">
        <v>1246</v>
      </c>
    </row>
    <row r="1370" spans="1:18" x14ac:dyDescent="0.15">
      <c r="C1370" t="s">
        <v>393</v>
      </c>
      <c r="D1370">
        <v>22.333333333332998</v>
      </c>
      <c r="E1370">
        <v>1000</v>
      </c>
      <c r="F1370" t="s">
        <v>13</v>
      </c>
      <c r="G1370">
        <v>3</v>
      </c>
      <c r="H1370">
        <v>0</v>
      </c>
      <c r="I1370" t="s">
        <v>488</v>
      </c>
      <c r="J1370" t="s">
        <v>1234</v>
      </c>
      <c r="K1370" t="s">
        <v>1235</v>
      </c>
      <c r="M1370" t="s">
        <v>487</v>
      </c>
      <c r="N1370">
        <v>0</v>
      </c>
      <c r="O1370" t="s">
        <v>1241</v>
      </c>
      <c r="P1370">
        <v>0</v>
      </c>
      <c r="Q1370">
        <v>0</v>
      </c>
      <c r="R1370" s="9" t="s">
        <v>1246</v>
      </c>
    </row>
    <row r="1371" spans="1:18" x14ac:dyDescent="0.15">
      <c r="C1371" t="s">
        <v>17</v>
      </c>
      <c r="D1371">
        <v>4.3859649122809996</v>
      </c>
      <c r="E1371">
        <v>1000</v>
      </c>
      <c r="F1371" t="s">
        <v>18</v>
      </c>
      <c r="G1371">
        <v>0</v>
      </c>
      <c r="H1371">
        <v>0</v>
      </c>
      <c r="I1371" t="s">
        <v>488</v>
      </c>
      <c r="J1371" t="s">
        <v>1234</v>
      </c>
      <c r="K1371" t="s">
        <v>1235</v>
      </c>
      <c r="M1371" t="s">
        <v>487</v>
      </c>
      <c r="N1371">
        <v>0</v>
      </c>
      <c r="O1371" t="s">
        <v>1241</v>
      </c>
      <c r="P1371">
        <v>53.85</v>
      </c>
      <c r="Q1371">
        <v>236.18421052633184</v>
      </c>
      <c r="R1371" s="6"/>
    </row>
    <row r="1372" spans="1:18" x14ac:dyDescent="0.15">
      <c r="C1372" t="s">
        <v>19</v>
      </c>
      <c r="D1372">
        <v>6</v>
      </c>
      <c r="E1372">
        <v>1</v>
      </c>
      <c r="F1372" t="s">
        <v>18</v>
      </c>
      <c r="G1372">
        <v>0</v>
      </c>
      <c r="H1372">
        <v>0</v>
      </c>
      <c r="I1372" t="s">
        <v>488</v>
      </c>
      <c r="J1372" t="s">
        <v>1236</v>
      </c>
      <c r="K1372" t="s">
        <v>1235</v>
      </c>
      <c r="M1372" t="s">
        <v>487</v>
      </c>
      <c r="N1372">
        <v>0</v>
      </c>
      <c r="O1372" t="s">
        <v>1241</v>
      </c>
      <c r="P1372">
        <v>34.65</v>
      </c>
      <c r="Q1372">
        <v>207.89999999999998</v>
      </c>
      <c r="R1372" s="6"/>
    </row>
    <row r="1373" spans="1:18" x14ac:dyDescent="0.15">
      <c r="A1373" t="s">
        <v>394</v>
      </c>
      <c r="B1373" t="s">
        <v>479</v>
      </c>
      <c r="P1373">
        <v>2.5787159278824179</v>
      </c>
      <c r="R1373" s="6"/>
    </row>
    <row r="1374" spans="1:18" x14ac:dyDescent="0.15">
      <c r="C1374" t="s">
        <v>395</v>
      </c>
      <c r="D1374">
        <v>1.54</v>
      </c>
      <c r="E1374">
        <v>1</v>
      </c>
      <c r="F1374" t="s">
        <v>9</v>
      </c>
      <c r="G1374">
        <v>0</v>
      </c>
      <c r="H1374">
        <v>0</v>
      </c>
      <c r="I1374" t="s">
        <v>488</v>
      </c>
      <c r="J1374" t="s">
        <v>1234</v>
      </c>
      <c r="K1374" t="s">
        <v>1235</v>
      </c>
      <c r="M1374" t="s">
        <v>487</v>
      </c>
      <c r="N1374">
        <v>0</v>
      </c>
      <c r="O1374" t="s">
        <v>1241</v>
      </c>
      <c r="P1374">
        <v>1.6744908622613102</v>
      </c>
      <c r="Q1374">
        <v>2.5787159278824179</v>
      </c>
      <c r="R1374" s="6"/>
    </row>
    <row r="1375" spans="1:18" x14ac:dyDescent="0.15">
      <c r="A1375" t="s">
        <v>396</v>
      </c>
      <c r="B1375" t="s">
        <v>479</v>
      </c>
      <c r="P1375">
        <v>2.6373231080615636</v>
      </c>
      <c r="R1375" s="6"/>
    </row>
    <row r="1376" spans="1:18" x14ac:dyDescent="0.15">
      <c r="C1376" t="s">
        <v>395</v>
      </c>
      <c r="D1376">
        <v>1.575</v>
      </c>
      <c r="E1376">
        <v>1</v>
      </c>
      <c r="F1376" t="s">
        <v>9</v>
      </c>
      <c r="G1376">
        <v>0</v>
      </c>
      <c r="H1376">
        <v>0</v>
      </c>
      <c r="I1376" t="s">
        <v>488</v>
      </c>
      <c r="J1376" t="s">
        <v>1234</v>
      </c>
      <c r="K1376" t="s">
        <v>1235</v>
      </c>
      <c r="M1376" t="s">
        <v>487</v>
      </c>
      <c r="N1376">
        <v>0</v>
      </c>
      <c r="O1376" t="s">
        <v>1241</v>
      </c>
      <c r="P1376">
        <v>1.6744908622613102</v>
      </c>
      <c r="Q1376">
        <v>2.6373231080615636</v>
      </c>
      <c r="R1376" s="6"/>
    </row>
    <row r="1377" spans="1:18" x14ac:dyDescent="0.15">
      <c r="A1377" t="s">
        <v>397</v>
      </c>
      <c r="B1377" t="s">
        <v>479</v>
      </c>
      <c r="P1377">
        <v>2.788027285665081</v>
      </c>
      <c r="R1377" s="6"/>
    </row>
    <row r="1378" spans="1:18" x14ac:dyDescent="0.15">
      <c r="C1378" t="s">
        <v>395</v>
      </c>
      <c r="D1378">
        <v>1.6649999999999998</v>
      </c>
      <c r="E1378">
        <v>1</v>
      </c>
      <c r="F1378" t="s">
        <v>9</v>
      </c>
      <c r="G1378">
        <v>0</v>
      </c>
      <c r="H1378">
        <v>0</v>
      </c>
      <c r="I1378" t="s">
        <v>488</v>
      </c>
      <c r="J1378" t="s">
        <v>1234</v>
      </c>
      <c r="K1378" t="s">
        <v>1235</v>
      </c>
      <c r="M1378" t="s">
        <v>487</v>
      </c>
      <c r="N1378">
        <v>0</v>
      </c>
      <c r="O1378" t="s">
        <v>1241</v>
      </c>
      <c r="P1378">
        <v>1.6744908622613102</v>
      </c>
      <c r="Q1378">
        <v>2.788027285665081</v>
      </c>
      <c r="R1378" s="6"/>
    </row>
    <row r="1379" spans="1:18" x14ac:dyDescent="0.15">
      <c r="A1379" t="s">
        <v>398</v>
      </c>
      <c r="B1379" t="s">
        <v>479</v>
      </c>
      <c r="P1379">
        <v>2.9554763718912125</v>
      </c>
      <c r="R1379" s="6"/>
    </row>
    <row r="1380" spans="1:18" x14ac:dyDescent="0.15">
      <c r="C1380" t="s">
        <v>395</v>
      </c>
      <c r="D1380">
        <v>1.7649999999999999</v>
      </c>
      <c r="E1380">
        <v>1</v>
      </c>
      <c r="F1380" t="s">
        <v>9</v>
      </c>
      <c r="G1380">
        <v>0</v>
      </c>
      <c r="H1380">
        <v>0</v>
      </c>
      <c r="I1380" t="s">
        <v>488</v>
      </c>
      <c r="J1380" t="s">
        <v>1234</v>
      </c>
      <c r="K1380" t="s">
        <v>1235</v>
      </c>
      <c r="M1380" t="s">
        <v>487</v>
      </c>
      <c r="N1380">
        <v>0</v>
      </c>
      <c r="O1380" t="s">
        <v>1241</v>
      </c>
      <c r="P1380">
        <v>1.6744908622613102</v>
      </c>
      <c r="Q1380">
        <v>2.9554763718912125</v>
      </c>
      <c r="R1380" s="6"/>
    </row>
    <row r="1381" spans="1:18" x14ac:dyDescent="0.15">
      <c r="A1381" t="s">
        <v>399</v>
      </c>
      <c r="B1381" t="s">
        <v>479</v>
      </c>
      <c r="P1381">
        <v>3.5197797924732739</v>
      </c>
      <c r="R1381" s="6"/>
    </row>
    <row r="1382" spans="1:18" x14ac:dyDescent="0.15">
      <c r="C1382" t="s">
        <v>395</v>
      </c>
      <c r="D1382">
        <v>2.1019999999999999</v>
      </c>
      <c r="E1382">
        <v>1</v>
      </c>
      <c r="F1382" t="s">
        <v>9</v>
      </c>
      <c r="G1382">
        <v>0</v>
      </c>
      <c r="H1382">
        <v>0</v>
      </c>
      <c r="I1382" t="s">
        <v>488</v>
      </c>
      <c r="J1382" t="s">
        <v>1234</v>
      </c>
      <c r="K1382" t="s">
        <v>1235</v>
      </c>
      <c r="M1382" t="s">
        <v>487</v>
      </c>
      <c r="N1382">
        <v>0</v>
      </c>
      <c r="O1382" t="s">
        <v>1241</v>
      </c>
      <c r="P1382">
        <v>1.6744908622613102</v>
      </c>
      <c r="Q1382">
        <v>3.5197797924732739</v>
      </c>
      <c r="R1382" s="6"/>
    </row>
    <row r="1383" spans="1:18" x14ac:dyDescent="0.15">
      <c r="A1383" t="s">
        <v>400</v>
      </c>
      <c r="B1383" t="s">
        <v>479</v>
      </c>
      <c r="P1383">
        <v>9.3101691941728859</v>
      </c>
      <c r="R1383" s="6"/>
    </row>
    <row r="1384" spans="1:18" x14ac:dyDescent="0.15">
      <c r="C1384" t="s">
        <v>395</v>
      </c>
      <c r="D1384">
        <v>5.5600000000000005</v>
      </c>
      <c r="E1384">
        <v>1</v>
      </c>
      <c r="F1384" t="s">
        <v>9</v>
      </c>
      <c r="G1384">
        <v>0</v>
      </c>
      <c r="H1384">
        <v>0</v>
      </c>
      <c r="I1384" t="s">
        <v>488</v>
      </c>
      <c r="J1384" t="s">
        <v>1234</v>
      </c>
      <c r="K1384" t="s">
        <v>1235</v>
      </c>
      <c r="M1384" t="s">
        <v>487</v>
      </c>
      <c r="N1384">
        <v>0</v>
      </c>
      <c r="O1384" t="s">
        <v>1241</v>
      </c>
      <c r="P1384">
        <v>1.6744908622613102</v>
      </c>
      <c r="Q1384">
        <v>9.3101691941728859</v>
      </c>
      <c r="R1384" s="6"/>
    </row>
    <row r="1385" spans="1:18" x14ac:dyDescent="0.15">
      <c r="A1385" t="s">
        <v>401</v>
      </c>
      <c r="B1385" t="s">
        <v>479</v>
      </c>
      <c r="P1385">
        <v>1.0180904442548766</v>
      </c>
      <c r="R1385" s="6"/>
    </row>
    <row r="1386" spans="1:18" x14ac:dyDescent="0.15">
      <c r="C1386" t="s">
        <v>395</v>
      </c>
      <c r="D1386">
        <v>608</v>
      </c>
      <c r="E1386">
        <v>1000</v>
      </c>
      <c r="F1386" t="s">
        <v>9</v>
      </c>
      <c r="G1386">
        <v>0</v>
      </c>
      <c r="H1386">
        <v>0</v>
      </c>
      <c r="I1386" t="s">
        <v>488</v>
      </c>
      <c r="J1386" t="s">
        <v>1234</v>
      </c>
      <c r="K1386" t="s">
        <v>1235</v>
      </c>
      <c r="M1386" t="s">
        <v>487</v>
      </c>
      <c r="N1386">
        <v>0</v>
      </c>
      <c r="O1386" t="s">
        <v>1241</v>
      </c>
      <c r="P1386">
        <v>1.6744908622613102</v>
      </c>
      <c r="Q1386">
        <v>1018.0904442548766</v>
      </c>
      <c r="R1386" s="6"/>
    </row>
    <row r="1387" spans="1:18" x14ac:dyDescent="0.15">
      <c r="A1387" t="s">
        <v>402</v>
      </c>
      <c r="B1387" t="s">
        <v>479</v>
      </c>
      <c r="P1387">
        <v>1.3948508882636714</v>
      </c>
      <c r="R1387" s="6"/>
    </row>
    <row r="1388" spans="1:18" x14ac:dyDescent="0.15">
      <c r="C1388" t="s">
        <v>395</v>
      </c>
      <c r="D1388">
        <v>833</v>
      </c>
      <c r="E1388">
        <v>1000</v>
      </c>
      <c r="F1388" t="s">
        <v>9</v>
      </c>
      <c r="G1388">
        <v>0</v>
      </c>
      <c r="H1388">
        <v>0</v>
      </c>
      <c r="I1388" t="s">
        <v>488</v>
      </c>
      <c r="J1388" t="s">
        <v>1234</v>
      </c>
      <c r="K1388" t="s">
        <v>1235</v>
      </c>
      <c r="M1388" t="s">
        <v>487</v>
      </c>
      <c r="N1388">
        <v>0</v>
      </c>
      <c r="O1388" t="s">
        <v>1241</v>
      </c>
      <c r="P1388">
        <v>1.6744908622613102</v>
      </c>
      <c r="Q1388">
        <v>1394.8508882636713</v>
      </c>
      <c r="R1388" s="6"/>
    </row>
    <row r="1389" spans="1:18" x14ac:dyDescent="0.15">
      <c r="A1389" t="s">
        <v>395</v>
      </c>
      <c r="B1389" t="s">
        <v>9</v>
      </c>
      <c r="P1389">
        <v>1.6744908622613102</v>
      </c>
      <c r="R1389" s="6"/>
    </row>
    <row r="1390" spans="1:18" x14ac:dyDescent="0.15">
      <c r="C1390" t="s">
        <v>176</v>
      </c>
      <c r="D1390">
        <v>49</v>
      </c>
      <c r="E1390">
        <v>1</v>
      </c>
      <c r="F1390" t="s">
        <v>9</v>
      </c>
      <c r="G1390">
        <v>3</v>
      </c>
      <c r="H1390">
        <v>0</v>
      </c>
      <c r="I1390" t="s">
        <v>488</v>
      </c>
      <c r="J1390" t="s">
        <v>1234</v>
      </c>
      <c r="K1390" t="s">
        <v>1235</v>
      </c>
      <c r="M1390" t="s">
        <v>487</v>
      </c>
      <c r="N1390">
        <v>0</v>
      </c>
      <c r="O1390" t="s">
        <v>1241</v>
      </c>
      <c r="P1390">
        <v>0</v>
      </c>
      <c r="Q1390">
        <v>0</v>
      </c>
      <c r="R1390" s="9" t="s">
        <v>1246</v>
      </c>
    </row>
    <row r="1391" spans="1:18" x14ac:dyDescent="0.15">
      <c r="C1391" t="s">
        <v>12</v>
      </c>
      <c r="D1391">
        <v>28.809045226130998</v>
      </c>
      <c r="E1391">
        <v>1</v>
      </c>
      <c r="F1391" t="s">
        <v>13</v>
      </c>
      <c r="G1391">
        <v>3</v>
      </c>
      <c r="H1391">
        <v>0</v>
      </c>
      <c r="I1391" t="s">
        <v>488</v>
      </c>
      <c r="J1391" t="s">
        <v>1234</v>
      </c>
      <c r="K1391" t="s">
        <v>1235</v>
      </c>
      <c r="M1391" t="s">
        <v>487</v>
      </c>
      <c r="N1391">
        <v>0</v>
      </c>
      <c r="O1391" t="s">
        <v>1241</v>
      </c>
      <c r="P1391">
        <v>1.03E-2</v>
      </c>
      <c r="Q1391">
        <v>305.63516080402377</v>
      </c>
      <c r="R1391" s="6"/>
    </row>
    <row r="1392" spans="1:18" x14ac:dyDescent="0.15">
      <c r="C1392" t="s">
        <v>14</v>
      </c>
      <c r="D1392">
        <v>32.010050251256004</v>
      </c>
      <c r="E1392">
        <v>1</v>
      </c>
      <c r="F1392" t="s">
        <v>13</v>
      </c>
      <c r="G1392">
        <v>3</v>
      </c>
      <c r="H1392">
        <v>0</v>
      </c>
      <c r="I1392" t="s">
        <v>488</v>
      </c>
      <c r="J1392" t="s">
        <v>1234</v>
      </c>
      <c r="K1392" t="s">
        <v>1235</v>
      </c>
      <c r="M1392" t="s">
        <v>487</v>
      </c>
      <c r="N1392">
        <v>0</v>
      </c>
      <c r="O1392" t="s">
        <v>1241</v>
      </c>
      <c r="P1392">
        <v>5.4900000000000001E-3</v>
      </c>
      <c r="Q1392">
        <v>181.00723115577736</v>
      </c>
      <c r="R1392" s="6"/>
    </row>
    <row r="1393" spans="1:18" x14ac:dyDescent="0.15">
      <c r="C1393" t="s">
        <v>15</v>
      </c>
      <c r="D1393">
        <v>0.64020100502499999</v>
      </c>
      <c r="E1393">
        <v>1</v>
      </c>
      <c r="F1393" t="s">
        <v>13</v>
      </c>
      <c r="G1393">
        <v>3</v>
      </c>
      <c r="H1393">
        <v>0</v>
      </c>
      <c r="I1393" t="s">
        <v>488</v>
      </c>
      <c r="J1393" t="s">
        <v>1234</v>
      </c>
      <c r="K1393" t="s">
        <v>1235</v>
      </c>
      <c r="M1393" t="s">
        <v>487</v>
      </c>
      <c r="N1393">
        <v>0</v>
      </c>
      <c r="O1393" t="s">
        <v>1241</v>
      </c>
      <c r="P1393">
        <v>7.9819999999999988E-2</v>
      </c>
      <c r="Q1393">
        <v>52.633869547728359</v>
      </c>
      <c r="R1393" s="6"/>
    </row>
    <row r="1394" spans="1:18" x14ac:dyDescent="0.15">
      <c r="C1394" t="s">
        <v>23</v>
      </c>
      <c r="D1394">
        <v>1.6005025125629999</v>
      </c>
      <c r="E1394">
        <v>1</v>
      </c>
      <c r="F1394" t="s">
        <v>13</v>
      </c>
      <c r="G1394">
        <v>3</v>
      </c>
      <c r="H1394">
        <v>0</v>
      </c>
      <c r="I1394" t="s">
        <v>488</v>
      </c>
      <c r="J1394" t="s">
        <v>1234</v>
      </c>
      <c r="K1394" t="s">
        <v>1235</v>
      </c>
      <c r="M1394" t="s">
        <v>487</v>
      </c>
      <c r="N1394">
        <v>0</v>
      </c>
      <c r="O1394" t="s">
        <v>1241</v>
      </c>
      <c r="P1394">
        <v>2.3609999999999999E-2</v>
      </c>
      <c r="Q1394">
        <v>38.921500251260795</v>
      </c>
      <c r="R1394" s="6"/>
    </row>
    <row r="1395" spans="1:18" x14ac:dyDescent="0.15">
      <c r="C1395" t="s">
        <v>24</v>
      </c>
      <c r="D1395">
        <v>0.64020100502499999</v>
      </c>
      <c r="E1395">
        <v>1</v>
      </c>
      <c r="F1395" t="s">
        <v>13</v>
      </c>
      <c r="G1395">
        <v>3</v>
      </c>
      <c r="H1395">
        <v>0</v>
      </c>
      <c r="I1395" t="s">
        <v>488</v>
      </c>
      <c r="J1395" t="s">
        <v>1234</v>
      </c>
      <c r="K1395" t="s">
        <v>1235</v>
      </c>
      <c r="M1395" t="s">
        <v>487</v>
      </c>
      <c r="N1395">
        <v>0</v>
      </c>
      <c r="O1395" t="s">
        <v>1241</v>
      </c>
      <c r="P1395">
        <v>2.8500000000000001E-2</v>
      </c>
      <c r="Q1395">
        <v>18.793100502508878</v>
      </c>
      <c r="R1395" s="6"/>
    </row>
    <row r="1396" spans="1:18" x14ac:dyDescent="0.15">
      <c r="C1396" t="s">
        <v>124</v>
      </c>
      <c r="D1396">
        <v>1.911</v>
      </c>
      <c r="E1396">
        <v>1</v>
      </c>
      <c r="F1396" t="s">
        <v>13</v>
      </c>
      <c r="G1396">
        <v>3</v>
      </c>
      <c r="H1396">
        <v>0</v>
      </c>
      <c r="I1396" t="s">
        <v>488</v>
      </c>
      <c r="J1396" t="s">
        <v>1234</v>
      </c>
      <c r="K1396" t="s">
        <v>1235</v>
      </c>
      <c r="M1396" t="s">
        <v>487</v>
      </c>
      <c r="N1396">
        <v>0</v>
      </c>
      <c r="O1396" t="s">
        <v>1241</v>
      </c>
      <c r="P1396">
        <v>0</v>
      </c>
      <c r="Q1396">
        <v>0</v>
      </c>
      <c r="R1396" s="9" t="s">
        <v>1246</v>
      </c>
    </row>
    <row r="1397" spans="1:18" x14ac:dyDescent="0.15">
      <c r="C1397" t="s">
        <v>17</v>
      </c>
      <c r="D1397">
        <v>16.666666666666998</v>
      </c>
      <c r="E1397">
        <v>1000</v>
      </c>
      <c r="F1397" t="s">
        <v>18</v>
      </c>
      <c r="G1397">
        <v>0</v>
      </c>
      <c r="H1397">
        <v>0</v>
      </c>
      <c r="I1397" t="s">
        <v>488</v>
      </c>
      <c r="J1397" t="s">
        <v>1234</v>
      </c>
      <c r="K1397" t="s">
        <v>1235</v>
      </c>
      <c r="M1397" t="s">
        <v>487</v>
      </c>
      <c r="N1397">
        <v>0</v>
      </c>
      <c r="O1397" t="s">
        <v>1241</v>
      </c>
      <c r="P1397">
        <v>53.85</v>
      </c>
      <c r="Q1397">
        <v>897.50000000001785</v>
      </c>
      <c r="R1397" s="6"/>
    </row>
    <row r="1398" spans="1:18" x14ac:dyDescent="0.15">
      <c r="C1398" t="s">
        <v>19</v>
      </c>
      <c r="D1398">
        <v>5.1948051948049994</v>
      </c>
      <c r="E1398">
        <v>1</v>
      </c>
      <c r="F1398" t="s">
        <v>18</v>
      </c>
      <c r="G1398">
        <v>0</v>
      </c>
      <c r="H1398">
        <v>0</v>
      </c>
      <c r="I1398" t="s">
        <v>488</v>
      </c>
      <c r="J1398" t="s">
        <v>1236</v>
      </c>
      <c r="K1398" t="s">
        <v>1235</v>
      </c>
      <c r="M1398" t="s">
        <v>487</v>
      </c>
      <c r="N1398">
        <v>0</v>
      </c>
      <c r="O1398" t="s">
        <v>1241</v>
      </c>
      <c r="P1398">
        <v>34.65</v>
      </c>
      <c r="Q1398">
        <v>179.99999999999321</v>
      </c>
      <c r="R1398" s="6"/>
    </row>
    <row r="1399" spans="1:18" x14ac:dyDescent="0.15">
      <c r="A1399" t="s">
        <v>403</v>
      </c>
      <c r="B1399" t="s">
        <v>479</v>
      </c>
      <c r="P1399">
        <v>2.7730965986819993</v>
      </c>
      <c r="R1399" s="6"/>
    </row>
    <row r="1400" spans="1:18" x14ac:dyDescent="0.15">
      <c r="C1400" t="s">
        <v>404</v>
      </c>
      <c r="D1400">
        <v>2</v>
      </c>
      <c r="E1400">
        <v>1</v>
      </c>
      <c r="F1400" t="s">
        <v>9</v>
      </c>
      <c r="G1400">
        <v>0</v>
      </c>
      <c r="H1400">
        <v>0</v>
      </c>
      <c r="I1400" t="s">
        <v>488</v>
      </c>
      <c r="J1400" t="s">
        <v>1234</v>
      </c>
      <c r="K1400" t="s">
        <v>1235</v>
      </c>
      <c r="M1400" t="s">
        <v>487</v>
      </c>
      <c r="N1400">
        <v>0</v>
      </c>
      <c r="O1400" t="s">
        <v>1241</v>
      </c>
      <c r="P1400">
        <v>1.3865482993409997</v>
      </c>
      <c r="Q1400">
        <v>2.7730965986819993</v>
      </c>
      <c r="R1400" s="6"/>
    </row>
    <row r="1401" spans="1:18" x14ac:dyDescent="0.15">
      <c r="A1401" t="s">
        <v>404</v>
      </c>
      <c r="B1401" t="s">
        <v>9</v>
      </c>
      <c r="P1401">
        <v>1.3865482993409997</v>
      </c>
      <c r="R1401" s="6"/>
    </row>
    <row r="1402" spans="1:18" x14ac:dyDescent="0.15">
      <c r="C1402" t="s">
        <v>22</v>
      </c>
      <c r="D1402">
        <v>54</v>
      </c>
      <c r="E1402">
        <v>1</v>
      </c>
      <c r="F1402" t="s">
        <v>9</v>
      </c>
      <c r="G1402">
        <v>3</v>
      </c>
      <c r="H1402">
        <v>0</v>
      </c>
      <c r="I1402" t="s">
        <v>488</v>
      </c>
      <c r="J1402" t="s">
        <v>1234</v>
      </c>
      <c r="K1402" t="s">
        <v>1235</v>
      </c>
      <c r="M1402" t="s">
        <v>487</v>
      </c>
      <c r="N1402">
        <v>0</v>
      </c>
      <c r="O1402" t="s">
        <v>1241</v>
      </c>
      <c r="P1402">
        <v>0</v>
      </c>
      <c r="Q1402">
        <v>0</v>
      </c>
      <c r="R1402" s="9" t="s">
        <v>1246</v>
      </c>
    </row>
    <row r="1403" spans="1:18" x14ac:dyDescent="0.15">
      <c r="C1403" t="s">
        <v>12</v>
      </c>
      <c r="D1403">
        <v>14.607474874371999</v>
      </c>
      <c r="E1403">
        <v>1</v>
      </c>
      <c r="F1403" t="s">
        <v>13</v>
      </c>
      <c r="G1403">
        <v>3</v>
      </c>
      <c r="H1403">
        <v>0</v>
      </c>
      <c r="I1403" t="s">
        <v>488</v>
      </c>
      <c r="J1403" t="s">
        <v>1234</v>
      </c>
      <c r="K1403" t="s">
        <v>1235</v>
      </c>
      <c r="M1403" t="s">
        <v>487</v>
      </c>
      <c r="N1403">
        <v>0</v>
      </c>
      <c r="O1403" t="s">
        <v>1241</v>
      </c>
      <c r="P1403">
        <v>1.03E-2</v>
      </c>
      <c r="Q1403">
        <v>154.97070094221252</v>
      </c>
      <c r="R1403" s="6"/>
    </row>
    <row r="1404" spans="1:18" x14ac:dyDescent="0.15">
      <c r="C1404" t="s">
        <v>14</v>
      </c>
      <c r="D1404">
        <v>16.230527638190999</v>
      </c>
      <c r="E1404">
        <v>1</v>
      </c>
      <c r="F1404" t="s">
        <v>13</v>
      </c>
      <c r="G1404">
        <v>3</v>
      </c>
      <c r="H1404">
        <v>0</v>
      </c>
      <c r="I1404" t="s">
        <v>488</v>
      </c>
      <c r="J1404" t="s">
        <v>1234</v>
      </c>
      <c r="K1404" t="s">
        <v>1235</v>
      </c>
      <c r="M1404" t="s">
        <v>487</v>
      </c>
      <c r="N1404">
        <v>0</v>
      </c>
      <c r="O1404" t="s">
        <v>1241</v>
      </c>
      <c r="P1404">
        <v>5.4900000000000001E-3</v>
      </c>
      <c r="Q1404">
        <v>91.778764635678641</v>
      </c>
      <c r="R1404" s="6"/>
    </row>
    <row r="1405" spans="1:18" x14ac:dyDescent="0.15">
      <c r="C1405" t="s">
        <v>15</v>
      </c>
      <c r="D1405">
        <v>0.32461055276400003</v>
      </c>
      <c r="E1405">
        <v>1</v>
      </c>
      <c r="F1405" t="s">
        <v>13</v>
      </c>
      <c r="G1405">
        <v>3</v>
      </c>
      <c r="H1405">
        <v>0</v>
      </c>
      <c r="I1405" t="s">
        <v>488</v>
      </c>
      <c r="J1405" t="s">
        <v>1234</v>
      </c>
      <c r="K1405" t="s">
        <v>1235</v>
      </c>
      <c r="M1405" t="s">
        <v>487</v>
      </c>
      <c r="N1405">
        <v>0</v>
      </c>
      <c r="O1405" t="s">
        <v>1241</v>
      </c>
      <c r="P1405">
        <v>7.9819999999999988E-2</v>
      </c>
      <c r="Q1405">
        <v>26.687726751271153</v>
      </c>
      <c r="R1405" s="6"/>
    </row>
    <row r="1406" spans="1:18" x14ac:dyDescent="0.15">
      <c r="C1406" t="s">
        <v>23</v>
      </c>
      <c r="D1406">
        <v>0.81152638191000004</v>
      </c>
      <c r="E1406">
        <v>1</v>
      </c>
      <c r="F1406" t="s">
        <v>13</v>
      </c>
      <c r="G1406">
        <v>3</v>
      </c>
      <c r="H1406">
        <v>0</v>
      </c>
      <c r="I1406" t="s">
        <v>488</v>
      </c>
      <c r="J1406" t="s">
        <v>1234</v>
      </c>
      <c r="K1406" t="s">
        <v>1235</v>
      </c>
      <c r="M1406" t="s">
        <v>487</v>
      </c>
      <c r="N1406">
        <v>0</v>
      </c>
      <c r="O1406" t="s">
        <v>1241</v>
      </c>
      <c r="P1406">
        <v>2.3609999999999999E-2</v>
      </c>
      <c r="Q1406">
        <v>19.734942013201955</v>
      </c>
      <c r="R1406" s="6"/>
    </row>
    <row r="1407" spans="1:18" x14ac:dyDescent="0.15">
      <c r="C1407" t="s">
        <v>24</v>
      </c>
      <c r="D1407">
        <v>0.32461055276400003</v>
      </c>
      <c r="E1407">
        <v>1</v>
      </c>
      <c r="F1407" t="s">
        <v>13</v>
      </c>
      <c r="G1407">
        <v>3</v>
      </c>
      <c r="H1407">
        <v>0</v>
      </c>
      <c r="I1407" t="s">
        <v>488</v>
      </c>
      <c r="J1407" t="s">
        <v>1234</v>
      </c>
      <c r="K1407" t="s">
        <v>1235</v>
      </c>
      <c r="M1407" t="s">
        <v>487</v>
      </c>
      <c r="N1407">
        <v>0</v>
      </c>
      <c r="O1407" t="s">
        <v>1241</v>
      </c>
      <c r="P1407">
        <v>2.8500000000000001E-2</v>
      </c>
      <c r="Q1407">
        <v>9.5289427763872219</v>
      </c>
      <c r="R1407" s="6"/>
    </row>
    <row r="1408" spans="1:18" x14ac:dyDescent="0.15">
      <c r="C1408" t="s">
        <v>17</v>
      </c>
      <c r="D1408">
        <v>18.518518518518999</v>
      </c>
      <c r="E1408">
        <v>1000</v>
      </c>
      <c r="F1408" t="s">
        <v>18</v>
      </c>
      <c r="G1408">
        <v>0</v>
      </c>
      <c r="H1408">
        <v>0</v>
      </c>
      <c r="I1408" t="s">
        <v>488</v>
      </c>
      <c r="J1408" t="s">
        <v>1234</v>
      </c>
      <c r="K1408" t="s">
        <v>1235</v>
      </c>
      <c r="M1408" t="s">
        <v>487</v>
      </c>
      <c r="N1408">
        <v>0</v>
      </c>
      <c r="O1408" t="s">
        <v>1241</v>
      </c>
      <c r="P1408">
        <v>53.85</v>
      </c>
      <c r="Q1408">
        <v>997.22222222224809</v>
      </c>
      <c r="R1408" s="6"/>
    </row>
    <row r="1409" spans="1:18" x14ac:dyDescent="0.15">
      <c r="C1409" t="s">
        <v>19</v>
      </c>
      <c r="D1409">
        <v>2.5</v>
      </c>
      <c r="E1409">
        <v>1</v>
      </c>
      <c r="F1409" t="s">
        <v>18</v>
      </c>
      <c r="G1409">
        <v>0</v>
      </c>
      <c r="H1409">
        <v>0</v>
      </c>
      <c r="I1409" t="s">
        <v>488</v>
      </c>
      <c r="J1409" t="s">
        <v>1236</v>
      </c>
      <c r="K1409" t="s">
        <v>1235</v>
      </c>
      <c r="M1409" t="s">
        <v>487</v>
      </c>
      <c r="N1409">
        <v>0</v>
      </c>
      <c r="O1409" t="s">
        <v>1241</v>
      </c>
      <c r="P1409">
        <v>34.65</v>
      </c>
      <c r="Q1409">
        <v>86.625</v>
      </c>
      <c r="R1409" s="6"/>
    </row>
    <row r="1410" spans="1:18" x14ac:dyDescent="0.15">
      <c r="A1410" t="s">
        <v>405</v>
      </c>
      <c r="B1410" t="s">
        <v>479</v>
      </c>
      <c r="P1410">
        <v>3.2053456352296328</v>
      </c>
      <c r="R1410" s="6"/>
    </row>
    <row r="1411" spans="1:18" x14ac:dyDescent="0.15">
      <c r="C1411" t="s">
        <v>406</v>
      </c>
      <c r="D1411">
        <v>2</v>
      </c>
      <c r="E1411">
        <v>1</v>
      </c>
      <c r="F1411" t="s">
        <v>9</v>
      </c>
      <c r="G1411">
        <v>0</v>
      </c>
      <c r="H1411">
        <v>0</v>
      </c>
      <c r="I1411" t="s">
        <v>488</v>
      </c>
      <c r="J1411" t="s">
        <v>1234</v>
      </c>
      <c r="K1411" t="s">
        <v>1235</v>
      </c>
      <c r="M1411" t="s">
        <v>487</v>
      </c>
      <c r="N1411">
        <v>0</v>
      </c>
      <c r="O1411" t="s">
        <v>1241</v>
      </c>
      <c r="P1411">
        <v>1.6026728176148164</v>
      </c>
      <c r="Q1411">
        <v>3.2053456352296328</v>
      </c>
      <c r="R1411" s="6"/>
    </row>
    <row r="1412" spans="1:18" x14ac:dyDescent="0.15">
      <c r="A1412" t="s">
        <v>406</v>
      </c>
      <c r="B1412" t="s">
        <v>9</v>
      </c>
      <c r="P1412">
        <v>1.6026728176148164</v>
      </c>
      <c r="R1412" s="6"/>
    </row>
    <row r="1413" spans="1:18" x14ac:dyDescent="0.15">
      <c r="C1413" t="s">
        <v>22</v>
      </c>
      <c r="D1413">
        <v>79</v>
      </c>
      <c r="E1413">
        <v>1</v>
      </c>
      <c r="F1413" t="s">
        <v>9</v>
      </c>
      <c r="G1413">
        <v>3</v>
      </c>
      <c r="H1413">
        <v>0</v>
      </c>
      <c r="I1413" t="s">
        <v>488</v>
      </c>
      <c r="J1413" t="s">
        <v>1234</v>
      </c>
      <c r="K1413" t="s">
        <v>1235</v>
      </c>
      <c r="M1413" t="s">
        <v>487</v>
      </c>
      <c r="N1413">
        <v>0</v>
      </c>
      <c r="O1413" t="s">
        <v>1241</v>
      </c>
      <c r="P1413">
        <v>0</v>
      </c>
      <c r="Q1413">
        <v>0</v>
      </c>
      <c r="R1413" s="9" t="s">
        <v>1246</v>
      </c>
    </row>
    <row r="1414" spans="1:18" x14ac:dyDescent="0.15">
      <c r="C1414" t="s">
        <v>12</v>
      </c>
      <c r="D1414">
        <v>21.370194723618003</v>
      </c>
      <c r="E1414">
        <v>1</v>
      </c>
      <c r="F1414" t="s">
        <v>13</v>
      </c>
      <c r="G1414">
        <v>3</v>
      </c>
      <c r="H1414">
        <v>0</v>
      </c>
      <c r="I1414" t="s">
        <v>488</v>
      </c>
      <c r="J1414" t="s">
        <v>1234</v>
      </c>
      <c r="K1414" t="s">
        <v>1235</v>
      </c>
      <c r="M1414" t="s">
        <v>487</v>
      </c>
      <c r="N1414">
        <v>0</v>
      </c>
      <c r="O1414" t="s">
        <v>1241</v>
      </c>
      <c r="P1414">
        <v>1.03E-2</v>
      </c>
      <c r="Q1414">
        <v>226.7163958228634</v>
      </c>
      <c r="R1414" s="6"/>
    </row>
    <row r="1415" spans="1:18" x14ac:dyDescent="0.15">
      <c r="C1415" t="s">
        <v>14</v>
      </c>
      <c r="D1415">
        <v>23.74466080402</v>
      </c>
      <c r="E1415">
        <v>1</v>
      </c>
      <c r="F1415" t="s">
        <v>13</v>
      </c>
      <c r="G1415">
        <v>3</v>
      </c>
      <c r="H1415">
        <v>0</v>
      </c>
      <c r="I1415" t="s">
        <v>488</v>
      </c>
      <c r="J1415" t="s">
        <v>1234</v>
      </c>
      <c r="K1415" t="s">
        <v>1235</v>
      </c>
      <c r="M1415" t="s">
        <v>487</v>
      </c>
      <c r="N1415">
        <v>0</v>
      </c>
      <c r="O1415" t="s">
        <v>1241</v>
      </c>
      <c r="P1415">
        <v>5.4900000000000001E-3</v>
      </c>
      <c r="Q1415">
        <v>134.26893344849191</v>
      </c>
      <c r="R1415" s="6"/>
    </row>
    <row r="1416" spans="1:18" x14ac:dyDescent="0.15">
      <c r="C1416" t="s">
        <v>15</v>
      </c>
      <c r="D1416">
        <v>0.47489321608000001</v>
      </c>
      <c r="E1416">
        <v>1</v>
      </c>
      <c r="F1416" t="s">
        <v>13</v>
      </c>
      <c r="G1416">
        <v>3</v>
      </c>
      <c r="H1416">
        <v>0</v>
      </c>
      <c r="I1416" t="s">
        <v>488</v>
      </c>
      <c r="J1416" t="s">
        <v>1234</v>
      </c>
      <c r="K1416" t="s">
        <v>1235</v>
      </c>
      <c r="M1416" t="s">
        <v>487</v>
      </c>
      <c r="N1416">
        <v>0</v>
      </c>
      <c r="O1416" t="s">
        <v>1241</v>
      </c>
      <c r="P1416">
        <v>7.9819999999999988E-2</v>
      </c>
      <c r="Q1416">
        <v>39.043155802730759</v>
      </c>
      <c r="R1416" s="6"/>
    </row>
    <row r="1417" spans="1:18" x14ac:dyDescent="0.15">
      <c r="C1417" t="s">
        <v>23</v>
      </c>
      <c r="D1417">
        <v>1.1872330402010001</v>
      </c>
      <c r="E1417">
        <v>1</v>
      </c>
      <c r="F1417" t="s">
        <v>13</v>
      </c>
      <c r="G1417">
        <v>3</v>
      </c>
      <c r="H1417">
        <v>0</v>
      </c>
      <c r="I1417" t="s">
        <v>488</v>
      </c>
      <c r="J1417" t="s">
        <v>1234</v>
      </c>
      <c r="K1417" t="s">
        <v>1235</v>
      </c>
      <c r="M1417" t="s">
        <v>487</v>
      </c>
      <c r="N1417">
        <v>0</v>
      </c>
      <c r="O1417" t="s">
        <v>1241</v>
      </c>
      <c r="P1417">
        <v>2.3609999999999999E-2</v>
      </c>
      <c r="Q1417">
        <v>28.871489241519978</v>
      </c>
      <c r="R1417" s="6"/>
    </row>
    <row r="1418" spans="1:18" x14ac:dyDescent="0.15">
      <c r="C1418" t="s">
        <v>24</v>
      </c>
      <c r="D1418">
        <v>0.47489321608000001</v>
      </c>
      <c r="E1418">
        <v>1</v>
      </c>
      <c r="F1418" t="s">
        <v>13</v>
      </c>
      <c r="G1418">
        <v>3</v>
      </c>
      <c r="H1418">
        <v>0</v>
      </c>
      <c r="I1418" t="s">
        <v>488</v>
      </c>
      <c r="J1418" t="s">
        <v>1234</v>
      </c>
      <c r="K1418" t="s">
        <v>1235</v>
      </c>
      <c r="M1418" t="s">
        <v>487</v>
      </c>
      <c r="N1418">
        <v>0</v>
      </c>
      <c r="O1418" t="s">
        <v>1241</v>
      </c>
      <c r="P1418">
        <v>2.8500000000000001E-2</v>
      </c>
      <c r="Q1418">
        <v>13.9404903580284</v>
      </c>
      <c r="R1418" s="6"/>
    </row>
    <row r="1419" spans="1:18" x14ac:dyDescent="0.15">
      <c r="C1419" t="s">
        <v>17</v>
      </c>
      <c r="D1419">
        <v>19.607843137255003</v>
      </c>
      <c r="E1419">
        <v>1000</v>
      </c>
      <c r="F1419" t="s">
        <v>18</v>
      </c>
      <c r="G1419">
        <v>0</v>
      </c>
      <c r="H1419">
        <v>0</v>
      </c>
      <c r="I1419" t="s">
        <v>488</v>
      </c>
      <c r="J1419" t="s">
        <v>1234</v>
      </c>
      <c r="K1419" t="s">
        <v>1235</v>
      </c>
      <c r="M1419" t="s">
        <v>487</v>
      </c>
      <c r="N1419">
        <v>0</v>
      </c>
      <c r="O1419" t="s">
        <v>1241</v>
      </c>
      <c r="P1419">
        <v>53.85</v>
      </c>
      <c r="Q1419">
        <v>1055.882352941182</v>
      </c>
      <c r="R1419" s="6"/>
    </row>
    <row r="1420" spans="1:18" x14ac:dyDescent="0.15">
      <c r="C1420" t="s">
        <v>19</v>
      </c>
      <c r="D1420">
        <v>3</v>
      </c>
      <c r="E1420">
        <v>1</v>
      </c>
      <c r="F1420" t="s">
        <v>18</v>
      </c>
      <c r="G1420">
        <v>0</v>
      </c>
      <c r="H1420">
        <v>0</v>
      </c>
      <c r="I1420" t="s">
        <v>488</v>
      </c>
      <c r="J1420" t="s">
        <v>1236</v>
      </c>
      <c r="K1420" t="s">
        <v>1235</v>
      </c>
      <c r="M1420" t="s">
        <v>487</v>
      </c>
      <c r="N1420">
        <v>0</v>
      </c>
      <c r="O1420" t="s">
        <v>1241</v>
      </c>
      <c r="P1420">
        <v>34.65</v>
      </c>
      <c r="Q1420">
        <v>103.94999999999999</v>
      </c>
      <c r="R1420" s="6"/>
    </row>
    <row r="1421" spans="1:18" x14ac:dyDescent="0.15">
      <c r="A1421" t="s">
        <v>407</v>
      </c>
      <c r="B1421" t="s">
        <v>479</v>
      </c>
      <c r="P1421">
        <v>1.1354815372471236</v>
      </c>
      <c r="R1421" s="6"/>
    </row>
    <row r="1422" spans="1:18" x14ac:dyDescent="0.15">
      <c r="C1422" t="s">
        <v>408</v>
      </c>
      <c r="D1422">
        <v>2</v>
      </c>
      <c r="E1422">
        <v>1</v>
      </c>
      <c r="F1422" t="s">
        <v>9</v>
      </c>
      <c r="G1422">
        <v>0</v>
      </c>
      <c r="H1422">
        <v>0</v>
      </c>
      <c r="I1422" t="s">
        <v>488</v>
      </c>
      <c r="J1422" t="s">
        <v>1234</v>
      </c>
      <c r="K1422" t="s">
        <v>1235</v>
      </c>
      <c r="M1422" t="s">
        <v>487</v>
      </c>
      <c r="N1422">
        <v>0</v>
      </c>
      <c r="O1422" t="s">
        <v>1241</v>
      </c>
      <c r="P1422">
        <v>0.56774076862356182</v>
      </c>
      <c r="Q1422">
        <v>1.1354815372471236</v>
      </c>
      <c r="R1422" s="6"/>
    </row>
    <row r="1423" spans="1:18" x14ac:dyDescent="0.15">
      <c r="A1423" t="s">
        <v>408</v>
      </c>
      <c r="B1423" t="s">
        <v>9</v>
      </c>
      <c r="P1423">
        <v>0.56774076862356182</v>
      </c>
      <c r="R1423" s="6"/>
    </row>
    <row r="1424" spans="1:18" x14ac:dyDescent="0.15">
      <c r="C1424" t="s">
        <v>22</v>
      </c>
      <c r="D1424">
        <v>20</v>
      </c>
      <c r="E1424">
        <v>1</v>
      </c>
      <c r="F1424" t="s">
        <v>9</v>
      </c>
      <c r="G1424">
        <v>3</v>
      </c>
      <c r="H1424">
        <v>0</v>
      </c>
      <c r="I1424" t="s">
        <v>488</v>
      </c>
      <c r="J1424" t="s">
        <v>1234</v>
      </c>
      <c r="K1424" t="s">
        <v>1235</v>
      </c>
      <c r="M1424" t="s">
        <v>487</v>
      </c>
      <c r="N1424">
        <v>0</v>
      </c>
      <c r="O1424" t="s">
        <v>1241</v>
      </c>
      <c r="P1424">
        <v>0</v>
      </c>
      <c r="Q1424">
        <v>0</v>
      </c>
      <c r="R1424" s="9" t="s">
        <v>1246</v>
      </c>
    </row>
    <row r="1425" spans="1:18" x14ac:dyDescent="0.15">
      <c r="C1425" t="s">
        <v>12</v>
      </c>
      <c r="D1425">
        <v>6.0071608040199997</v>
      </c>
      <c r="E1425">
        <v>1</v>
      </c>
      <c r="F1425" t="s">
        <v>13</v>
      </c>
      <c r="G1425">
        <v>3</v>
      </c>
      <c r="H1425">
        <v>0</v>
      </c>
      <c r="I1425" t="s">
        <v>488</v>
      </c>
      <c r="J1425" t="s">
        <v>1234</v>
      </c>
      <c r="K1425" t="s">
        <v>1235</v>
      </c>
      <c r="M1425" t="s">
        <v>487</v>
      </c>
      <c r="N1425">
        <v>0</v>
      </c>
      <c r="O1425" t="s">
        <v>1241</v>
      </c>
      <c r="P1425">
        <v>1.03E-2</v>
      </c>
      <c r="Q1425">
        <v>63.729968969848173</v>
      </c>
      <c r="R1425" s="6"/>
    </row>
    <row r="1426" spans="1:18" x14ac:dyDescent="0.15">
      <c r="C1426" t="s">
        <v>14</v>
      </c>
      <c r="D1426">
        <v>6.6746231155780009</v>
      </c>
      <c r="E1426">
        <v>1</v>
      </c>
      <c r="F1426" t="s">
        <v>13</v>
      </c>
      <c r="G1426">
        <v>3</v>
      </c>
      <c r="H1426">
        <v>0</v>
      </c>
      <c r="I1426" t="s">
        <v>488</v>
      </c>
      <c r="J1426" t="s">
        <v>1234</v>
      </c>
      <c r="K1426" t="s">
        <v>1235</v>
      </c>
      <c r="M1426" t="s">
        <v>487</v>
      </c>
      <c r="N1426">
        <v>0</v>
      </c>
      <c r="O1426" t="s">
        <v>1241</v>
      </c>
      <c r="P1426">
        <v>5.4900000000000001E-3</v>
      </c>
      <c r="Q1426">
        <v>37.742991331658921</v>
      </c>
      <c r="R1426" s="6"/>
    </row>
    <row r="1427" spans="1:18" x14ac:dyDescent="0.15">
      <c r="C1427" t="s">
        <v>15</v>
      </c>
      <c r="D1427">
        <v>0.13349246231199999</v>
      </c>
      <c r="E1427">
        <v>1</v>
      </c>
      <c r="F1427" t="s">
        <v>13</v>
      </c>
      <c r="G1427">
        <v>3</v>
      </c>
      <c r="H1427">
        <v>0</v>
      </c>
      <c r="I1427" t="s">
        <v>488</v>
      </c>
      <c r="J1427" t="s">
        <v>1234</v>
      </c>
      <c r="K1427" t="s">
        <v>1235</v>
      </c>
      <c r="M1427" t="s">
        <v>487</v>
      </c>
      <c r="N1427">
        <v>0</v>
      </c>
      <c r="O1427" t="s">
        <v>1241</v>
      </c>
      <c r="P1427">
        <v>7.9819999999999988E-2</v>
      </c>
      <c r="Q1427">
        <v>10.975029391996154</v>
      </c>
      <c r="R1427" s="6"/>
    </row>
    <row r="1428" spans="1:18" x14ac:dyDescent="0.15">
      <c r="C1428" t="s">
        <v>23</v>
      </c>
      <c r="D1428">
        <v>0.33373115577899998</v>
      </c>
      <c r="E1428">
        <v>1</v>
      </c>
      <c r="F1428" t="s">
        <v>13</v>
      </c>
      <c r="G1428">
        <v>3</v>
      </c>
      <c r="H1428">
        <v>0</v>
      </c>
      <c r="I1428" t="s">
        <v>488</v>
      </c>
      <c r="J1428" t="s">
        <v>1234</v>
      </c>
      <c r="K1428" t="s">
        <v>1235</v>
      </c>
      <c r="M1428" t="s">
        <v>487</v>
      </c>
      <c r="N1428">
        <v>0</v>
      </c>
      <c r="O1428" t="s">
        <v>1241</v>
      </c>
      <c r="P1428">
        <v>2.3609999999999999E-2</v>
      </c>
      <c r="Q1428">
        <v>8.1157743655804548</v>
      </c>
      <c r="R1428" s="6"/>
    </row>
    <row r="1429" spans="1:18" x14ac:dyDescent="0.15">
      <c r="C1429" t="s">
        <v>24</v>
      </c>
      <c r="D1429">
        <v>0.13349246231199999</v>
      </c>
      <c r="E1429">
        <v>1</v>
      </c>
      <c r="F1429" t="s">
        <v>13</v>
      </c>
      <c r="G1429">
        <v>3</v>
      </c>
      <c r="H1429">
        <v>0</v>
      </c>
      <c r="I1429" t="s">
        <v>488</v>
      </c>
      <c r="J1429" t="s">
        <v>1234</v>
      </c>
      <c r="K1429" t="s">
        <v>1235</v>
      </c>
      <c r="M1429" t="s">
        <v>487</v>
      </c>
      <c r="N1429">
        <v>0</v>
      </c>
      <c r="O1429" t="s">
        <v>1241</v>
      </c>
      <c r="P1429">
        <v>2.8500000000000001E-2</v>
      </c>
      <c r="Q1429">
        <v>3.9186712311687599</v>
      </c>
      <c r="R1429" s="6"/>
    </row>
    <row r="1430" spans="1:18" x14ac:dyDescent="0.15">
      <c r="C1430" t="s">
        <v>17</v>
      </c>
      <c r="D1430">
        <v>6.9444444444440006</v>
      </c>
      <c r="E1430">
        <v>1000</v>
      </c>
      <c r="F1430" t="s">
        <v>18</v>
      </c>
      <c r="G1430">
        <v>0</v>
      </c>
      <c r="H1430">
        <v>0</v>
      </c>
      <c r="I1430" t="s">
        <v>488</v>
      </c>
      <c r="J1430" t="s">
        <v>1234</v>
      </c>
      <c r="K1430" t="s">
        <v>1235</v>
      </c>
      <c r="M1430" t="s">
        <v>487</v>
      </c>
      <c r="N1430">
        <v>0</v>
      </c>
      <c r="O1430" t="s">
        <v>1241</v>
      </c>
      <c r="P1430">
        <v>53.85</v>
      </c>
      <c r="Q1430">
        <v>373.95833333330944</v>
      </c>
      <c r="R1430" s="6"/>
    </row>
    <row r="1431" spans="1:18" x14ac:dyDescent="0.15">
      <c r="C1431" t="s">
        <v>19</v>
      </c>
      <c r="D1431">
        <v>2</v>
      </c>
      <c r="E1431">
        <v>1</v>
      </c>
      <c r="F1431" t="s">
        <v>18</v>
      </c>
      <c r="G1431">
        <v>0</v>
      </c>
      <c r="H1431">
        <v>0</v>
      </c>
      <c r="I1431" t="s">
        <v>488</v>
      </c>
      <c r="J1431" t="s">
        <v>1236</v>
      </c>
      <c r="K1431" t="s">
        <v>1235</v>
      </c>
      <c r="M1431" t="s">
        <v>487</v>
      </c>
      <c r="N1431">
        <v>0</v>
      </c>
      <c r="O1431" t="s">
        <v>1241</v>
      </c>
      <c r="P1431">
        <v>34.65</v>
      </c>
      <c r="Q1431">
        <v>69.3</v>
      </c>
      <c r="R1431" s="6"/>
    </row>
    <row r="1432" spans="1:18" x14ac:dyDescent="0.15">
      <c r="A1432" t="s">
        <v>588</v>
      </c>
      <c r="B1432" t="s">
        <v>479</v>
      </c>
      <c r="P1432">
        <v>-1</v>
      </c>
      <c r="R1432" s="8" t="s">
        <v>1244</v>
      </c>
    </row>
    <row r="1433" spans="1:18" x14ac:dyDescent="0.15">
      <c r="A1433" t="s">
        <v>409</v>
      </c>
      <c r="B1433" t="s">
        <v>9</v>
      </c>
      <c r="P1433">
        <v>1.681476799357122</v>
      </c>
      <c r="R1433" s="6"/>
    </row>
    <row r="1434" spans="1:18" x14ac:dyDescent="0.15">
      <c r="C1434" t="s">
        <v>22</v>
      </c>
      <c r="D1434">
        <v>126</v>
      </c>
      <c r="E1434">
        <v>1</v>
      </c>
      <c r="F1434" t="s">
        <v>9</v>
      </c>
      <c r="G1434">
        <v>3</v>
      </c>
      <c r="H1434">
        <v>0</v>
      </c>
      <c r="I1434" t="s">
        <v>488</v>
      </c>
      <c r="J1434" t="s">
        <v>1234</v>
      </c>
      <c r="K1434" t="s">
        <v>1235</v>
      </c>
      <c r="M1434" t="s">
        <v>487</v>
      </c>
      <c r="N1434">
        <v>0</v>
      </c>
      <c r="O1434" t="s">
        <v>1241</v>
      </c>
      <c r="P1434">
        <v>0</v>
      </c>
      <c r="Q1434">
        <v>0</v>
      </c>
      <c r="R1434" s="9" t="s">
        <v>1246</v>
      </c>
    </row>
    <row r="1435" spans="1:18" x14ac:dyDescent="0.15">
      <c r="C1435" t="s">
        <v>12</v>
      </c>
      <c r="D1435">
        <v>10.018662060302001</v>
      </c>
      <c r="E1435">
        <v>1</v>
      </c>
      <c r="F1435" t="s">
        <v>13</v>
      </c>
      <c r="G1435">
        <v>3</v>
      </c>
      <c r="H1435">
        <v>0</v>
      </c>
      <c r="I1435" t="s">
        <v>488</v>
      </c>
      <c r="J1435" t="s">
        <v>1234</v>
      </c>
      <c r="K1435" t="s">
        <v>1235</v>
      </c>
      <c r="M1435" t="s">
        <v>487</v>
      </c>
      <c r="N1435">
        <v>0</v>
      </c>
      <c r="O1435" t="s">
        <v>1241</v>
      </c>
      <c r="P1435">
        <v>1.03E-2</v>
      </c>
      <c r="Q1435">
        <v>106.28798579774393</v>
      </c>
      <c r="R1435" s="6"/>
    </row>
    <row r="1436" spans="1:18" x14ac:dyDescent="0.15">
      <c r="C1436" t="s">
        <v>14</v>
      </c>
      <c r="D1436">
        <v>11.131846733667999</v>
      </c>
      <c r="E1436">
        <v>1</v>
      </c>
      <c r="F1436" t="s">
        <v>13</v>
      </c>
      <c r="G1436">
        <v>3</v>
      </c>
      <c r="H1436">
        <v>0</v>
      </c>
      <c r="I1436" t="s">
        <v>488</v>
      </c>
      <c r="J1436" t="s">
        <v>1234</v>
      </c>
      <c r="K1436" t="s">
        <v>1235</v>
      </c>
      <c r="M1436" t="s">
        <v>487</v>
      </c>
      <c r="N1436">
        <v>0</v>
      </c>
      <c r="O1436" t="s">
        <v>1241</v>
      </c>
      <c r="P1436">
        <v>5.4900000000000001E-3</v>
      </c>
      <c r="Q1436">
        <v>62.947253724872439</v>
      </c>
      <c r="R1436" s="6"/>
    </row>
    <row r="1437" spans="1:18" x14ac:dyDescent="0.15">
      <c r="C1437" t="s">
        <v>15</v>
      </c>
      <c r="D1437">
        <v>0.222636934673</v>
      </c>
      <c r="E1437">
        <v>1</v>
      </c>
      <c r="F1437" t="s">
        <v>13</v>
      </c>
      <c r="G1437">
        <v>3</v>
      </c>
      <c r="H1437">
        <v>0</v>
      </c>
      <c r="I1437" t="s">
        <v>488</v>
      </c>
      <c r="J1437" t="s">
        <v>1234</v>
      </c>
      <c r="K1437" t="s">
        <v>1235</v>
      </c>
      <c r="M1437" t="s">
        <v>487</v>
      </c>
      <c r="N1437">
        <v>0</v>
      </c>
      <c r="O1437" t="s">
        <v>1241</v>
      </c>
      <c r="P1437">
        <v>7.9819999999999988E-2</v>
      </c>
      <c r="Q1437">
        <v>18.304006529366823</v>
      </c>
      <c r="R1437" s="6"/>
    </row>
    <row r="1438" spans="1:18" x14ac:dyDescent="0.15">
      <c r="C1438" t="s">
        <v>23</v>
      </c>
      <c r="D1438">
        <v>0.55659233668300001</v>
      </c>
      <c r="E1438">
        <v>1</v>
      </c>
      <c r="F1438" t="s">
        <v>13</v>
      </c>
      <c r="G1438">
        <v>3</v>
      </c>
      <c r="H1438">
        <v>0</v>
      </c>
      <c r="I1438" t="s">
        <v>488</v>
      </c>
      <c r="J1438" t="s">
        <v>1234</v>
      </c>
      <c r="K1438" t="s">
        <v>1235</v>
      </c>
      <c r="M1438" t="s">
        <v>487</v>
      </c>
      <c r="N1438">
        <v>0</v>
      </c>
      <c r="O1438" t="s">
        <v>1241</v>
      </c>
      <c r="P1438">
        <v>2.3609999999999999E-2</v>
      </c>
      <c r="Q1438">
        <v>13.535379421158199</v>
      </c>
      <c r="R1438" s="6"/>
    </row>
    <row r="1439" spans="1:18" x14ac:dyDescent="0.15">
      <c r="C1439" t="s">
        <v>24</v>
      </c>
      <c r="D1439">
        <v>0.222636934673</v>
      </c>
      <c r="E1439">
        <v>1</v>
      </c>
      <c r="F1439" t="s">
        <v>13</v>
      </c>
      <c r="G1439">
        <v>3</v>
      </c>
      <c r="H1439">
        <v>0</v>
      </c>
      <c r="I1439" t="s">
        <v>488</v>
      </c>
      <c r="J1439" t="s">
        <v>1234</v>
      </c>
      <c r="K1439" t="s">
        <v>1235</v>
      </c>
      <c r="M1439" t="s">
        <v>487</v>
      </c>
      <c r="N1439">
        <v>0</v>
      </c>
      <c r="O1439" t="s">
        <v>1241</v>
      </c>
      <c r="P1439">
        <v>2.8500000000000001E-2</v>
      </c>
      <c r="Q1439">
        <v>6.5355072173259154</v>
      </c>
      <c r="R1439" s="6"/>
    </row>
    <row r="1440" spans="1:18" x14ac:dyDescent="0.15">
      <c r="C1440" t="s">
        <v>17</v>
      </c>
      <c r="D1440">
        <v>22.222222222221998</v>
      </c>
      <c r="E1440">
        <v>1000</v>
      </c>
      <c r="F1440" t="s">
        <v>18</v>
      </c>
      <c r="G1440">
        <v>0</v>
      </c>
      <c r="H1440">
        <v>0</v>
      </c>
      <c r="I1440" t="s">
        <v>488</v>
      </c>
      <c r="J1440" t="s">
        <v>1234</v>
      </c>
      <c r="K1440" t="s">
        <v>1235</v>
      </c>
      <c r="M1440" t="s">
        <v>487</v>
      </c>
      <c r="N1440">
        <v>0</v>
      </c>
      <c r="O1440" t="s">
        <v>1241</v>
      </c>
      <c r="P1440">
        <v>53.85</v>
      </c>
      <c r="Q1440">
        <v>1196.6666666666547</v>
      </c>
      <c r="R1440" s="6"/>
    </row>
    <row r="1441" spans="1:18" x14ac:dyDescent="0.15">
      <c r="C1441" t="s">
        <v>19</v>
      </c>
      <c r="D1441">
        <v>8</v>
      </c>
      <c r="E1441">
        <v>1</v>
      </c>
      <c r="F1441" t="s">
        <v>18</v>
      </c>
      <c r="G1441">
        <v>0</v>
      </c>
      <c r="H1441">
        <v>0</v>
      </c>
      <c r="I1441" t="s">
        <v>488</v>
      </c>
      <c r="J1441" t="s">
        <v>1236</v>
      </c>
      <c r="K1441" t="s">
        <v>1235</v>
      </c>
      <c r="M1441" t="s">
        <v>487</v>
      </c>
      <c r="N1441">
        <v>0</v>
      </c>
      <c r="O1441" t="s">
        <v>1241</v>
      </c>
      <c r="P1441">
        <v>34.65</v>
      </c>
      <c r="Q1441">
        <v>277.2</v>
      </c>
      <c r="R1441" s="6"/>
    </row>
    <row r="1442" spans="1:18" x14ac:dyDescent="0.15">
      <c r="A1442" t="s">
        <v>589</v>
      </c>
      <c r="B1442" t="s">
        <v>479</v>
      </c>
      <c r="P1442">
        <v>-1</v>
      </c>
      <c r="R1442" s="8" t="s">
        <v>1244</v>
      </c>
    </row>
    <row r="1443" spans="1:18" x14ac:dyDescent="0.15">
      <c r="A1443" t="s">
        <v>410</v>
      </c>
      <c r="B1443" t="s">
        <v>479</v>
      </c>
      <c r="P1443">
        <v>244.46694146752606</v>
      </c>
      <c r="R1443" s="6"/>
    </row>
    <row r="1444" spans="1:18" x14ac:dyDescent="0.15">
      <c r="C1444" t="s">
        <v>411</v>
      </c>
      <c r="D1444">
        <v>440</v>
      </c>
      <c r="E1444">
        <v>1</v>
      </c>
      <c r="F1444" t="s">
        <v>9</v>
      </c>
      <c r="G1444">
        <v>0</v>
      </c>
      <c r="H1444">
        <v>0</v>
      </c>
      <c r="I1444" t="s">
        <v>488</v>
      </c>
      <c r="J1444" t="s">
        <v>1234</v>
      </c>
      <c r="K1444" t="s">
        <v>1235</v>
      </c>
      <c r="M1444" t="s">
        <v>487</v>
      </c>
      <c r="N1444">
        <v>0</v>
      </c>
      <c r="O1444" t="s">
        <v>1241</v>
      </c>
      <c r="P1444">
        <v>0.55560668515346834</v>
      </c>
      <c r="Q1444">
        <v>244.46694146752606</v>
      </c>
      <c r="R1444" s="6"/>
    </row>
    <row r="1445" spans="1:18" x14ac:dyDescent="0.15">
      <c r="A1445" t="s">
        <v>591</v>
      </c>
      <c r="B1445" t="s">
        <v>479</v>
      </c>
      <c r="P1445">
        <v>-1</v>
      </c>
      <c r="R1445" s="8" t="s">
        <v>1244</v>
      </c>
    </row>
    <row r="1446" spans="1:18" x14ac:dyDescent="0.15">
      <c r="A1446" t="s">
        <v>411</v>
      </c>
      <c r="B1446" t="s">
        <v>9</v>
      </c>
      <c r="P1446">
        <v>0.55560668515346834</v>
      </c>
      <c r="R1446" s="6"/>
    </row>
    <row r="1447" spans="1:18" x14ac:dyDescent="0.15">
      <c r="C1447" t="s">
        <v>412</v>
      </c>
      <c r="D1447">
        <v>1</v>
      </c>
      <c r="E1447">
        <v>1</v>
      </c>
      <c r="F1447" t="s">
        <v>9</v>
      </c>
      <c r="G1447">
        <v>3</v>
      </c>
      <c r="H1447">
        <v>0</v>
      </c>
      <c r="I1447" t="s">
        <v>488</v>
      </c>
      <c r="J1447" t="s">
        <v>1234</v>
      </c>
      <c r="K1447" t="s">
        <v>1235</v>
      </c>
      <c r="M1447" t="s">
        <v>487</v>
      </c>
      <c r="N1447">
        <v>0</v>
      </c>
      <c r="O1447" t="s">
        <v>1241</v>
      </c>
      <c r="P1447">
        <v>0</v>
      </c>
      <c r="Q1447">
        <v>0</v>
      </c>
      <c r="R1447" s="9" t="s">
        <v>1246</v>
      </c>
    </row>
    <row r="1448" spans="1:18" x14ac:dyDescent="0.15">
      <c r="C1448" t="s">
        <v>12</v>
      </c>
      <c r="D1448">
        <v>5.4101758793970003</v>
      </c>
      <c r="E1448">
        <v>1000</v>
      </c>
      <c r="F1448" t="s">
        <v>13</v>
      </c>
      <c r="G1448">
        <v>3</v>
      </c>
      <c r="H1448">
        <v>0</v>
      </c>
      <c r="I1448" t="s">
        <v>488</v>
      </c>
      <c r="J1448" t="s">
        <v>1234</v>
      </c>
      <c r="K1448" t="s">
        <v>1235</v>
      </c>
      <c r="M1448" t="s">
        <v>487</v>
      </c>
      <c r="N1448">
        <v>0</v>
      </c>
      <c r="O1448" t="s">
        <v>1241</v>
      </c>
      <c r="P1448">
        <v>1.03E-2</v>
      </c>
      <c r="Q1448">
        <v>5.7396555904522778E-2</v>
      </c>
      <c r="R1448" s="6"/>
    </row>
    <row r="1449" spans="1:18" x14ac:dyDescent="0.15">
      <c r="C1449" t="s">
        <v>14</v>
      </c>
      <c r="D1449">
        <v>6.0113065326629993</v>
      </c>
      <c r="E1449">
        <v>1000</v>
      </c>
      <c r="F1449" t="s">
        <v>13</v>
      </c>
      <c r="G1449">
        <v>3</v>
      </c>
      <c r="H1449">
        <v>0</v>
      </c>
      <c r="I1449" t="s">
        <v>488</v>
      </c>
      <c r="J1449" t="s">
        <v>1234</v>
      </c>
      <c r="K1449" t="s">
        <v>1235</v>
      </c>
      <c r="M1449" t="s">
        <v>487</v>
      </c>
      <c r="N1449">
        <v>0</v>
      </c>
      <c r="O1449" t="s">
        <v>1241</v>
      </c>
      <c r="P1449">
        <v>5.4900000000000001E-3</v>
      </c>
      <c r="Q1449">
        <v>3.3992135050249464E-2</v>
      </c>
      <c r="R1449" s="6"/>
    </row>
    <row r="1450" spans="1:18" x14ac:dyDescent="0.15">
      <c r="C1450" t="s">
        <v>15</v>
      </c>
      <c r="D1450">
        <v>0.120226130653</v>
      </c>
      <c r="E1450">
        <v>1000</v>
      </c>
      <c r="F1450" t="s">
        <v>13</v>
      </c>
      <c r="G1450">
        <v>3</v>
      </c>
      <c r="H1450">
        <v>0</v>
      </c>
      <c r="I1450" t="s">
        <v>488</v>
      </c>
      <c r="J1450" t="s">
        <v>1234</v>
      </c>
      <c r="K1450" t="s">
        <v>1235</v>
      </c>
      <c r="M1450" t="s">
        <v>487</v>
      </c>
      <c r="N1450">
        <v>0</v>
      </c>
      <c r="O1450" t="s">
        <v>1241</v>
      </c>
      <c r="P1450">
        <v>7.9819999999999988E-2</v>
      </c>
      <c r="Q1450">
        <v>9.884343241184132E-3</v>
      </c>
      <c r="R1450" s="6"/>
    </row>
    <row r="1451" spans="1:18" x14ac:dyDescent="0.15">
      <c r="C1451" t="s">
        <v>23</v>
      </c>
      <c r="D1451">
        <v>0.30056532663300001</v>
      </c>
      <c r="E1451">
        <v>1000</v>
      </c>
      <c r="F1451" t="s">
        <v>13</v>
      </c>
      <c r="G1451">
        <v>3</v>
      </c>
      <c r="H1451">
        <v>0</v>
      </c>
      <c r="I1451" t="s">
        <v>488</v>
      </c>
      <c r="J1451" t="s">
        <v>1234</v>
      </c>
      <c r="K1451" t="s">
        <v>1235</v>
      </c>
      <c r="M1451" t="s">
        <v>487</v>
      </c>
      <c r="N1451">
        <v>0</v>
      </c>
      <c r="O1451" t="s">
        <v>1241</v>
      </c>
      <c r="P1451">
        <v>2.3609999999999999E-2</v>
      </c>
      <c r="Q1451">
        <v>7.3092377826592834E-3</v>
      </c>
      <c r="R1451" s="6"/>
    </row>
    <row r="1452" spans="1:18" x14ac:dyDescent="0.15">
      <c r="C1452" t="s">
        <v>24</v>
      </c>
      <c r="D1452">
        <v>0.120226130653</v>
      </c>
      <c r="E1452">
        <v>1000</v>
      </c>
      <c r="F1452" t="s">
        <v>13</v>
      </c>
      <c r="G1452">
        <v>3</v>
      </c>
      <c r="H1452">
        <v>0</v>
      </c>
      <c r="I1452" t="s">
        <v>488</v>
      </c>
      <c r="J1452" t="s">
        <v>1234</v>
      </c>
      <c r="K1452" t="s">
        <v>1235</v>
      </c>
      <c r="M1452" t="s">
        <v>487</v>
      </c>
      <c r="N1452">
        <v>0</v>
      </c>
      <c r="O1452" t="s">
        <v>1241</v>
      </c>
      <c r="P1452">
        <v>2.8500000000000001E-2</v>
      </c>
      <c r="Q1452">
        <v>3.5292380653188151E-3</v>
      </c>
      <c r="R1452" s="6"/>
    </row>
    <row r="1453" spans="1:18" x14ac:dyDescent="0.15">
      <c r="C1453" t="s">
        <v>17</v>
      </c>
      <c r="D1453">
        <v>5.1679586563309998</v>
      </c>
      <c r="E1453">
        <v>1000</v>
      </c>
      <c r="F1453" t="s">
        <v>18</v>
      </c>
      <c r="G1453">
        <v>0</v>
      </c>
      <c r="H1453">
        <v>0</v>
      </c>
      <c r="I1453" t="s">
        <v>488</v>
      </c>
      <c r="J1453" t="s">
        <v>1234</v>
      </c>
      <c r="K1453" t="s">
        <v>1235</v>
      </c>
      <c r="M1453" t="s">
        <v>487</v>
      </c>
      <c r="N1453">
        <v>0</v>
      </c>
      <c r="O1453" t="s">
        <v>1241</v>
      </c>
      <c r="P1453">
        <v>53.85</v>
      </c>
      <c r="Q1453">
        <v>278.29457364342437</v>
      </c>
      <c r="R1453" s="6"/>
    </row>
    <row r="1454" spans="1:18" x14ac:dyDescent="0.15">
      <c r="C1454" t="s">
        <v>19</v>
      </c>
      <c r="D1454">
        <v>8</v>
      </c>
      <c r="E1454">
        <v>1</v>
      </c>
      <c r="F1454" t="s">
        <v>18</v>
      </c>
      <c r="G1454">
        <v>0</v>
      </c>
      <c r="H1454">
        <v>0</v>
      </c>
      <c r="I1454" t="s">
        <v>488</v>
      </c>
      <c r="J1454" t="s">
        <v>1236</v>
      </c>
      <c r="K1454" t="s">
        <v>1235</v>
      </c>
      <c r="M1454" t="s">
        <v>487</v>
      </c>
      <c r="N1454">
        <v>0</v>
      </c>
      <c r="O1454" t="s">
        <v>1241</v>
      </c>
      <c r="P1454">
        <v>34.65</v>
      </c>
      <c r="Q1454">
        <v>277.2</v>
      </c>
      <c r="R1454" s="6"/>
    </row>
    <row r="1455" spans="1:18" x14ac:dyDescent="0.15">
      <c r="A1455" t="s">
        <v>592</v>
      </c>
      <c r="B1455" t="s">
        <v>479</v>
      </c>
      <c r="P1455">
        <v>-1</v>
      </c>
      <c r="R1455" s="8" t="s">
        <v>1244</v>
      </c>
    </row>
    <row r="1456" spans="1:18" x14ac:dyDescent="0.15">
      <c r="A1456" t="s">
        <v>593</v>
      </c>
      <c r="B1456" t="s">
        <v>479</v>
      </c>
      <c r="P1456">
        <v>-1</v>
      </c>
      <c r="R1456" s="8" t="s">
        <v>1244</v>
      </c>
    </row>
    <row r="1457" spans="1:18" x14ac:dyDescent="0.15">
      <c r="A1457" t="s">
        <v>594</v>
      </c>
      <c r="B1457" t="s">
        <v>479</v>
      </c>
      <c r="P1457">
        <v>-1</v>
      </c>
      <c r="R1457" s="8" t="s">
        <v>1244</v>
      </c>
    </row>
    <row r="1458" spans="1:18" x14ac:dyDescent="0.15">
      <c r="A1458" t="s">
        <v>595</v>
      </c>
      <c r="B1458" t="s">
        <v>479</v>
      </c>
      <c r="P1458">
        <v>-1</v>
      </c>
      <c r="R1458" s="8" t="s">
        <v>1244</v>
      </c>
    </row>
    <row r="1459" spans="1:18" x14ac:dyDescent="0.15">
      <c r="A1459" t="s">
        <v>596</v>
      </c>
      <c r="B1459" t="s">
        <v>479</v>
      </c>
      <c r="P1459">
        <v>-1</v>
      </c>
      <c r="R1459" s="8" t="s">
        <v>1244</v>
      </c>
    </row>
    <row r="1460" spans="1:18" x14ac:dyDescent="0.15">
      <c r="A1460" t="s">
        <v>597</v>
      </c>
      <c r="B1460" t="s">
        <v>479</v>
      </c>
      <c r="P1460">
        <v>-1</v>
      </c>
      <c r="R1460" s="8" t="s">
        <v>1244</v>
      </c>
    </row>
    <row r="1461" spans="1:18" x14ac:dyDescent="0.15">
      <c r="A1461" t="s">
        <v>598</v>
      </c>
      <c r="B1461" t="s">
        <v>479</v>
      </c>
      <c r="P1461">
        <v>-1</v>
      </c>
      <c r="R1461" s="8" t="s">
        <v>1244</v>
      </c>
    </row>
    <row r="1462" spans="1:18" x14ac:dyDescent="0.15">
      <c r="A1462" t="s">
        <v>599</v>
      </c>
      <c r="B1462" t="s">
        <v>479</v>
      </c>
      <c r="P1462">
        <v>-1</v>
      </c>
      <c r="R1462" s="8" t="s">
        <v>1244</v>
      </c>
    </row>
    <row r="1463" spans="1:18" x14ac:dyDescent="0.15">
      <c r="A1463" t="s">
        <v>600</v>
      </c>
      <c r="B1463" t="s">
        <v>479</v>
      </c>
      <c r="P1463">
        <v>-1</v>
      </c>
      <c r="R1463" s="8" t="s">
        <v>1244</v>
      </c>
    </row>
    <row r="1464" spans="1:18" x14ac:dyDescent="0.15">
      <c r="A1464" t="s">
        <v>601</v>
      </c>
      <c r="B1464" t="s">
        <v>479</v>
      </c>
      <c r="P1464">
        <v>-1</v>
      </c>
      <c r="R1464" s="8" t="s">
        <v>1244</v>
      </c>
    </row>
    <row r="1465" spans="1:18" x14ac:dyDescent="0.15">
      <c r="A1465" t="s">
        <v>602</v>
      </c>
      <c r="B1465" t="s">
        <v>479</v>
      </c>
      <c r="P1465">
        <v>-1</v>
      </c>
      <c r="R1465" s="8" t="s">
        <v>1244</v>
      </c>
    </row>
    <row r="1466" spans="1:18" x14ac:dyDescent="0.15">
      <c r="A1466" t="s">
        <v>603</v>
      </c>
      <c r="B1466" t="s">
        <v>479</v>
      </c>
      <c r="P1466">
        <v>-1</v>
      </c>
      <c r="R1466" s="8" t="s">
        <v>1244</v>
      </c>
    </row>
    <row r="1467" spans="1:18" x14ac:dyDescent="0.15">
      <c r="A1467" t="s">
        <v>604</v>
      </c>
      <c r="B1467" t="s">
        <v>479</v>
      </c>
      <c r="P1467">
        <v>-1</v>
      </c>
      <c r="R1467" s="8" t="s">
        <v>1244</v>
      </c>
    </row>
    <row r="1468" spans="1:18" x14ac:dyDescent="0.15">
      <c r="A1468" t="s">
        <v>605</v>
      </c>
      <c r="B1468" t="s">
        <v>479</v>
      </c>
      <c r="P1468">
        <v>-1</v>
      </c>
      <c r="R1468" s="8" t="s">
        <v>1244</v>
      </c>
    </row>
    <row r="1469" spans="1:18" x14ac:dyDescent="0.15">
      <c r="A1469" t="s">
        <v>606</v>
      </c>
      <c r="B1469" t="s">
        <v>479</v>
      </c>
      <c r="P1469">
        <v>-1</v>
      </c>
      <c r="R1469" s="8" t="s">
        <v>1244</v>
      </c>
    </row>
    <row r="1470" spans="1:18" x14ac:dyDescent="0.15">
      <c r="A1470" t="s">
        <v>607</v>
      </c>
      <c r="B1470" t="s">
        <v>479</v>
      </c>
      <c r="P1470">
        <v>-1</v>
      </c>
      <c r="R1470" s="8" t="s">
        <v>1244</v>
      </c>
    </row>
    <row r="1471" spans="1:18" x14ac:dyDescent="0.15">
      <c r="A1471" t="s">
        <v>608</v>
      </c>
      <c r="B1471" t="s">
        <v>479</v>
      </c>
      <c r="P1471">
        <v>-1</v>
      </c>
      <c r="R1471" s="8" t="s">
        <v>1244</v>
      </c>
    </row>
    <row r="1472" spans="1:18" x14ac:dyDescent="0.15">
      <c r="A1472" t="s">
        <v>609</v>
      </c>
      <c r="B1472" t="s">
        <v>479</v>
      </c>
      <c r="P1472">
        <v>-1</v>
      </c>
      <c r="R1472" s="8" t="s">
        <v>1244</v>
      </c>
    </row>
    <row r="1473" spans="1:18" x14ac:dyDescent="0.15">
      <c r="A1473" t="s">
        <v>610</v>
      </c>
      <c r="B1473" t="s">
        <v>479</v>
      </c>
      <c r="P1473">
        <v>-1</v>
      </c>
      <c r="R1473" s="8" t="s">
        <v>1244</v>
      </c>
    </row>
    <row r="1474" spans="1:18" x14ac:dyDescent="0.15">
      <c r="A1474" t="s">
        <v>413</v>
      </c>
      <c r="B1474" t="s">
        <v>479</v>
      </c>
      <c r="P1474">
        <v>2.0382774324817898</v>
      </c>
      <c r="R1474" s="6"/>
    </row>
    <row r="1475" spans="1:18" x14ac:dyDescent="0.15">
      <c r="C1475" t="s">
        <v>414</v>
      </c>
      <c r="D1475">
        <v>1.8620000000000001</v>
      </c>
      <c r="E1475">
        <v>1</v>
      </c>
      <c r="F1475" t="s">
        <v>9</v>
      </c>
      <c r="G1475">
        <v>0</v>
      </c>
      <c r="H1475">
        <v>0</v>
      </c>
      <c r="I1475" t="s">
        <v>488</v>
      </c>
      <c r="J1475" t="s">
        <v>1234</v>
      </c>
      <c r="K1475" t="s">
        <v>1235</v>
      </c>
      <c r="M1475" t="s">
        <v>487</v>
      </c>
      <c r="N1475">
        <v>0</v>
      </c>
      <c r="O1475" t="s">
        <v>1241</v>
      </c>
      <c r="P1475">
        <v>1.0946710163704563</v>
      </c>
      <c r="Q1475">
        <v>2.0382774324817898</v>
      </c>
      <c r="R1475" s="6"/>
    </row>
    <row r="1476" spans="1:18" x14ac:dyDescent="0.15">
      <c r="A1476" t="s">
        <v>415</v>
      </c>
      <c r="B1476" t="s">
        <v>479</v>
      </c>
      <c r="P1476">
        <v>2.2572116357558811</v>
      </c>
      <c r="R1476" s="6"/>
    </row>
    <row r="1477" spans="1:18" x14ac:dyDescent="0.15">
      <c r="C1477" t="s">
        <v>414</v>
      </c>
      <c r="D1477">
        <v>2.0620000000000003</v>
      </c>
      <c r="E1477">
        <v>1</v>
      </c>
      <c r="F1477" t="s">
        <v>9</v>
      </c>
      <c r="G1477">
        <v>0</v>
      </c>
      <c r="H1477">
        <v>0</v>
      </c>
      <c r="I1477" t="s">
        <v>488</v>
      </c>
      <c r="J1477" t="s">
        <v>1234</v>
      </c>
      <c r="K1477" t="s">
        <v>1235</v>
      </c>
      <c r="M1477" t="s">
        <v>487</v>
      </c>
      <c r="N1477">
        <v>0</v>
      </c>
      <c r="O1477" t="s">
        <v>1241</v>
      </c>
      <c r="P1477">
        <v>1.0946710163704563</v>
      </c>
      <c r="Q1477">
        <v>2.2572116357558811</v>
      </c>
      <c r="R1477" s="6"/>
    </row>
    <row r="1478" spans="1:18" x14ac:dyDescent="0.15">
      <c r="A1478" t="s">
        <v>416</v>
      </c>
      <c r="B1478" t="s">
        <v>479</v>
      </c>
      <c r="P1478">
        <v>2.3666787373929266</v>
      </c>
      <c r="R1478" s="6"/>
    </row>
    <row r="1479" spans="1:18" x14ac:dyDescent="0.15">
      <c r="C1479" t="s">
        <v>414</v>
      </c>
      <c r="D1479">
        <v>2.1619999999999999</v>
      </c>
      <c r="E1479">
        <v>1</v>
      </c>
      <c r="F1479" t="s">
        <v>9</v>
      </c>
      <c r="G1479">
        <v>0</v>
      </c>
      <c r="H1479">
        <v>0</v>
      </c>
      <c r="I1479" t="s">
        <v>488</v>
      </c>
      <c r="J1479" t="s">
        <v>1234</v>
      </c>
      <c r="K1479" t="s">
        <v>1235</v>
      </c>
      <c r="M1479" t="s">
        <v>487</v>
      </c>
      <c r="N1479">
        <v>0</v>
      </c>
      <c r="O1479" t="s">
        <v>1241</v>
      </c>
      <c r="P1479">
        <v>1.0946710163704563</v>
      </c>
      <c r="Q1479">
        <v>2.3666787373929266</v>
      </c>
      <c r="R1479" s="6"/>
    </row>
    <row r="1480" spans="1:18" x14ac:dyDescent="0.15">
      <c r="A1480" t="s">
        <v>417</v>
      </c>
      <c r="B1480" t="s">
        <v>479</v>
      </c>
      <c r="P1480">
        <v>2.476145839029972</v>
      </c>
      <c r="R1480" s="6"/>
    </row>
    <row r="1481" spans="1:18" x14ac:dyDescent="0.15">
      <c r="C1481" t="s">
        <v>414</v>
      </c>
      <c r="D1481">
        <v>2.262</v>
      </c>
      <c r="E1481">
        <v>1</v>
      </c>
      <c r="F1481" t="s">
        <v>9</v>
      </c>
      <c r="G1481">
        <v>0</v>
      </c>
      <c r="H1481">
        <v>0</v>
      </c>
      <c r="I1481" t="s">
        <v>488</v>
      </c>
      <c r="J1481" t="s">
        <v>1234</v>
      </c>
      <c r="K1481" t="s">
        <v>1235</v>
      </c>
      <c r="M1481" t="s">
        <v>487</v>
      </c>
      <c r="N1481">
        <v>0</v>
      </c>
      <c r="O1481" t="s">
        <v>1241</v>
      </c>
      <c r="P1481">
        <v>1.0946710163704563</v>
      </c>
      <c r="Q1481">
        <v>2.476145839029972</v>
      </c>
      <c r="R1481" s="6"/>
    </row>
    <row r="1482" spans="1:18" x14ac:dyDescent="0.15">
      <c r="A1482" t="s">
        <v>418</v>
      </c>
      <c r="B1482" t="s">
        <v>479</v>
      </c>
      <c r="P1482">
        <v>2.6950800423040637</v>
      </c>
      <c r="R1482" s="6"/>
    </row>
    <row r="1483" spans="1:18" x14ac:dyDescent="0.15">
      <c r="C1483" t="s">
        <v>414</v>
      </c>
      <c r="D1483">
        <v>2.4620000000000002</v>
      </c>
      <c r="E1483">
        <v>1</v>
      </c>
      <c r="F1483" t="s">
        <v>9</v>
      </c>
      <c r="G1483">
        <v>0</v>
      </c>
      <c r="H1483">
        <v>0</v>
      </c>
      <c r="I1483" t="s">
        <v>488</v>
      </c>
      <c r="J1483" t="s">
        <v>1234</v>
      </c>
      <c r="K1483" t="s">
        <v>1235</v>
      </c>
      <c r="M1483" t="s">
        <v>487</v>
      </c>
      <c r="N1483">
        <v>0</v>
      </c>
      <c r="O1483" t="s">
        <v>1241</v>
      </c>
      <c r="P1483">
        <v>1.0946710163704563</v>
      </c>
      <c r="Q1483">
        <v>2.6950800423040637</v>
      </c>
      <c r="R1483" s="6"/>
    </row>
    <row r="1484" spans="1:18" x14ac:dyDescent="0.15">
      <c r="A1484" t="s">
        <v>419</v>
      </c>
      <c r="B1484" t="s">
        <v>479</v>
      </c>
      <c r="P1484">
        <v>3.0234813472152005</v>
      </c>
      <c r="R1484" s="6"/>
    </row>
    <row r="1485" spans="1:18" x14ac:dyDescent="0.15">
      <c r="C1485" t="s">
        <v>414</v>
      </c>
      <c r="D1485">
        <v>2.762</v>
      </c>
      <c r="E1485">
        <v>1</v>
      </c>
      <c r="F1485" t="s">
        <v>9</v>
      </c>
      <c r="G1485">
        <v>0</v>
      </c>
      <c r="H1485">
        <v>0</v>
      </c>
      <c r="I1485" t="s">
        <v>488</v>
      </c>
      <c r="J1485" t="s">
        <v>1234</v>
      </c>
      <c r="K1485" t="s">
        <v>1235</v>
      </c>
      <c r="M1485" t="s">
        <v>487</v>
      </c>
      <c r="N1485">
        <v>0</v>
      </c>
      <c r="O1485" t="s">
        <v>1241</v>
      </c>
      <c r="P1485">
        <v>1.0946710163704563</v>
      </c>
      <c r="Q1485">
        <v>3.0234813472152005</v>
      </c>
      <c r="R1485" s="6"/>
    </row>
    <row r="1486" spans="1:18" x14ac:dyDescent="0.15">
      <c r="A1486" t="s">
        <v>420</v>
      </c>
      <c r="B1486" t="s">
        <v>479</v>
      </c>
      <c r="P1486">
        <v>3.2424155504892918</v>
      </c>
      <c r="R1486" s="6"/>
    </row>
    <row r="1487" spans="1:18" x14ac:dyDescent="0.15">
      <c r="C1487" t="s">
        <v>414</v>
      </c>
      <c r="D1487">
        <v>2.9620000000000002</v>
      </c>
      <c r="E1487">
        <v>1</v>
      </c>
      <c r="F1487" t="s">
        <v>9</v>
      </c>
      <c r="G1487">
        <v>0</v>
      </c>
      <c r="H1487">
        <v>0</v>
      </c>
      <c r="I1487" t="s">
        <v>488</v>
      </c>
      <c r="J1487" t="s">
        <v>1234</v>
      </c>
      <c r="K1487" t="s">
        <v>1235</v>
      </c>
      <c r="M1487" t="s">
        <v>487</v>
      </c>
      <c r="N1487">
        <v>0</v>
      </c>
      <c r="O1487" t="s">
        <v>1241</v>
      </c>
      <c r="P1487">
        <v>1.0946710163704563</v>
      </c>
      <c r="Q1487">
        <v>3.2424155504892918</v>
      </c>
      <c r="R1487" s="6"/>
    </row>
    <row r="1488" spans="1:18" x14ac:dyDescent="0.15">
      <c r="A1488" t="s">
        <v>421</v>
      </c>
      <c r="B1488" t="s">
        <v>479</v>
      </c>
      <c r="P1488">
        <v>3.4613497537633826</v>
      </c>
      <c r="R1488" s="6"/>
    </row>
    <row r="1489" spans="1:18" x14ac:dyDescent="0.15">
      <c r="C1489" t="s">
        <v>414</v>
      </c>
      <c r="D1489">
        <v>3.1619999999999999</v>
      </c>
      <c r="E1489">
        <v>1</v>
      </c>
      <c r="F1489" t="s">
        <v>9</v>
      </c>
      <c r="G1489">
        <v>0</v>
      </c>
      <c r="H1489">
        <v>0</v>
      </c>
      <c r="I1489" t="s">
        <v>488</v>
      </c>
      <c r="J1489" t="s">
        <v>1234</v>
      </c>
      <c r="K1489" t="s">
        <v>1235</v>
      </c>
      <c r="M1489" t="s">
        <v>487</v>
      </c>
      <c r="N1489">
        <v>0</v>
      </c>
      <c r="O1489" t="s">
        <v>1241</v>
      </c>
      <c r="P1489">
        <v>1.0946710163704563</v>
      </c>
      <c r="Q1489">
        <v>3.4613497537633826</v>
      </c>
      <c r="R1489" s="6"/>
    </row>
    <row r="1490" spans="1:18" x14ac:dyDescent="0.15">
      <c r="A1490" t="s">
        <v>422</v>
      </c>
      <c r="B1490" t="s">
        <v>479</v>
      </c>
      <c r="P1490">
        <v>3.6802839570374735</v>
      </c>
      <c r="R1490" s="6"/>
    </row>
    <row r="1491" spans="1:18" x14ac:dyDescent="0.15">
      <c r="C1491" t="s">
        <v>414</v>
      </c>
      <c r="D1491">
        <v>3.3619999999999997</v>
      </c>
      <c r="E1491">
        <v>1</v>
      </c>
      <c r="F1491" t="s">
        <v>9</v>
      </c>
      <c r="G1491">
        <v>0</v>
      </c>
      <c r="H1491">
        <v>0</v>
      </c>
      <c r="I1491" t="s">
        <v>488</v>
      </c>
      <c r="J1491" t="s">
        <v>1234</v>
      </c>
      <c r="K1491" t="s">
        <v>1235</v>
      </c>
      <c r="M1491" t="s">
        <v>487</v>
      </c>
      <c r="N1491">
        <v>0</v>
      </c>
      <c r="O1491" t="s">
        <v>1241</v>
      </c>
      <c r="P1491">
        <v>1.0946710163704563</v>
      </c>
      <c r="Q1491">
        <v>3.6802839570374735</v>
      </c>
      <c r="R1491" s="6"/>
    </row>
    <row r="1492" spans="1:18" x14ac:dyDescent="0.15">
      <c r="A1492" t="s">
        <v>423</v>
      </c>
      <c r="B1492" t="s">
        <v>479</v>
      </c>
      <c r="P1492">
        <v>3.8992181603115652</v>
      </c>
      <c r="R1492" s="6"/>
    </row>
    <row r="1493" spans="1:18" x14ac:dyDescent="0.15">
      <c r="C1493" t="s">
        <v>414</v>
      </c>
      <c r="D1493">
        <v>3.5619999999999998</v>
      </c>
      <c r="E1493">
        <v>1</v>
      </c>
      <c r="F1493" t="s">
        <v>9</v>
      </c>
      <c r="G1493">
        <v>0</v>
      </c>
      <c r="H1493">
        <v>0</v>
      </c>
      <c r="I1493" t="s">
        <v>488</v>
      </c>
      <c r="J1493" t="s">
        <v>1234</v>
      </c>
      <c r="K1493" t="s">
        <v>1235</v>
      </c>
      <c r="M1493" t="s">
        <v>487</v>
      </c>
      <c r="N1493">
        <v>0</v>
      </c>
      <c r="O1493" t="s">
        <v>1241</v>
      </c>
      <c r="P1493">
        <v>1.0946710163704563</v>
      </c>
      <c r="Q1493">
        <v>3.8992181603115652</v>
      </c>
      <c r="R1493" s="6"/>
    </row>
    <row r="1494" spans="1:18" x14ac:dyDescent="0.15">
      <c r="A1494" t="s">
        <v>424</v>
      </c>
      <c r="B1494" t="s">
        <v>479</v>
      </c>
      <c r="P1494">
        <v>4.1181523635856561</v>
      </c>
      <c r="R1494" s="6"/>
    </row>
    <row r="1495" spans="1:18" x14ac:dyDescent="0.15">
      <c r="C1495" t="s">
        <v>414</v>
      </c>
      <c r="D1495">
        <v>3.7619999999999996</v>
      </c>
      <c r="E1495">
        <v>1</v>
      </c>
      <c r="F1495" t="s">
        <v>9</v>
      </c>
      <c r="G1495">
        <v>0</v>
      </c>
      <c r="H1495">
        <v>0</v>
      </c>
      <c r="I1495" t="s">
        <v>488</v>
      </c>
      <c r="J1495" t="s">
        <v>1234</v>
      </c>
      <c r="K1495" t="s">
        <v>1235</v>
      </c>
      <c r="M1495" t="s">
        <v>487</v>
      </c>
      <c r="N1495">
        <v>0</v>
      </c>
      <c r="O1495" t="s">
        <v>1241</v>
      </c>
      <c r="P1495">
        <v>1.0946710163704563</v>
      </c>
      <c r="Q1495">
        <v>4.1181523635856561</v>
      </c>
      <c r="R1495" s="6"/>
    </row>
    <row r="1496" spans="1:18" x14ac:dyDescent="0.15">
      <c r="A1496" t="s">
        <v>425</v>
      </c>
      <c r="B1496" t="s">
        <v>479</v>
      </c>
      <c r="P1496">
        <v>4.9938891766820213</v>
      </c>
      <c r="R1496" s="6"/>
    </row>
    <row r="1497" spans="1:18" x14ac:dyDescent="0.15">
      <c r="C1497" t="s">
        <v>414</v>
      </c>
      <c r="D1497">
        <v>4.5619999999999994</v>
      </c>
      <c r="E1497">
        <v>1</v>
      </c>
      <c r="F1497" t="s">
        <v>9</v>
      </c>
      <c r="G1497">
        <v>0</v>
      </c>
      <c r="H1497">
        <v>0</v>
      </c>
      <c r="I1497" t="s">
        <v>488</v>
      </c>
      <c r="J1497" t="s">
        <v>1234</v>
      </c>
      <c r="K1497" t="s">
        <v>1235</v>
      </c>
      <c r="M1497" t="s">
        <v>487</v>
      </c>
      <c r="N1497">
        <v>0</v>
      </c>
      <c r="O1497" t="s">
        <v>1241</v>
      </c>
      <c r="P1497">
        <v>1.0946710163704563</v>
      </c>
      <c r="Q1497">
        <v>4.9938891766820213</v>
      </c>
      <c r="R1497" s="6"/>
    </row>
    <row r="1498" spans="1:18" x14ac:dyDescent="0.15">
      <c r="A1498" t="s">
        <v>426</v>
      </c>
      <c r="B1498" t="s">
        <v>479</v>
      </c>
      <c r="P1498">
        <v>1.7832190856674732</v>
      </c>
      <c r="R1498" s="6"/>
    </row>
    <row r="1499" spans="1:18" x14ac:dyDescent="0.15">
      <c r="C1499" t="s">
        <v>414</v>
      </c>
      <c r="D1499">
        <v>1.629</v>
      </c>
      <c r="E1499">
        <v>1</v>
      </c>
      <c r="F1499" t="s">
        <v>9</v>
      </c>
      <c r="G1499">
        <v>0</v>
      </c>
      <c r="H1499">
        <v>0</v>
      </c>
      <c r="I1499" t="s">
        <v>488</v>
      </c>
      <c r="J1499" t="s">
        <v>1234</v>
      </c>
      <c r="K1499" t="s">
        <v>1235</v>
      </c>
      <c r="M1499" t="s">
        <v>487</v>
      </c>
      <c r="N1499">
        <v>0</v>
      </c>
      <c r="O1499" t="s">
        <v>1241</v>
      </c>
      <c r="P1499">
        <v>1.0946710163704563</v>
      </c>
      <c r="Q1499">
        <v>1.7832190856674732</v>
      </c>
      <c r="R1499" s="6"/>
    </row>
    <row r="1500" spans="1:18" x14ac:dyDescent="0.15">
      <c r="A1500" t="s">
        <v>427</v>
      </c>
      <c r="B1500" t="s">
        <v>479</v>
      </c>
      <c r="P1500">
        <v>1.9419463830411892</v>
      </c>
      <c r="R1500" s="6"/>
    </row>
    <row r="1501" spans="1:18" x14ac:dyDescent="0.15">
      <c r="C1501" t="s">
        <v>414</v>
      </c>
      <c r="D1501">
        <v>1.7739999999999998</v>
      </c>
      <c r="E1501">
        <v>1</v>
      </c>
      <c r="F1501" t="s">
        <v>9</v>
      </c>
      <c r="G1501">
        <v>0</v>
      </c>
      <c r="H1501">
        <v>0</v>
      </c>
      <c r="I1501" t="s">
        <v>488</v>
      </c>
      <c r="J1501" t="s">
        <v>1234</v>
      </c>
      <c r="K1501" t="s">
        <v>1235</v>
      </c>
      <c r="M1501" t="s">
        <v>487</v>
      </c>
      <c r="N1501">
        <v>0</v>
      </c>
      <c r="O1501" t="s">
        <v>1241</v>
      </c>
      <c r="P1501">
        <v>1.0946710163704563</v>
      </c>
      <c r="Q1501">
        <v>1.9419463830411892</v>
      </c>
      <c r="R1501" s="6"/>
    </row>
    <row r="1502" spans="1:18" x14ac:dyDescent="0.15">
      <c r="A1502" t="s">
        <v>428</v>
      </c>
      <c r="B1502" t="s">
        <v>479</v>
      </c>
      <c r="P1502">
        <v>1.9824492106468963</v>
      </c>
      <c r="R1502" s="6"/>
    </row>
    <row r="1503" spans="1:18" x14ac:dyDescent="0.15">
      <c r="C1503" t="s">
        <v>414</v>
      </c>
      <c r="D1503">
        <v>1.8109999999999999</v>
      </c>
      <c r="E1503">
        <v>1</v>
      </c>
      <c r="F1503" t="s">
        <v>9</v>
      </c>
      <c r="G1503">
        <v>0</v>
      </c>
      <c r="H1503">
        <v>0</v>
      </c>
      <c r="I1503" t="s">
        <v>488</v>
      </c>
      <c r="J1503" t="s">
        <v>1234</v>
      </c>
      <c r="K1503" t="s">
        <v>1235</v>
      </c>
      <c r="M1503" t="s">
        <v>487</v>
      </c>
      <c r="N1503">
        <v>0</v>
      </c>
      <c r="O1503" t="s">
        <v>1241</v>
      </c>
      <c r="P1503">
        <v>1.0946710163704563</v>
      </c>
      <c r="Q1503">
        <v>1.9824492106468963</v>
      </c>
      <c r="R1503" s="6"/>
    </row>
    <row r="1504" spans="1:18" x14ac:dyDescent="0.15">
      <c r="A1504" t="s">
        <v>429</v>
      </c>
      <c r="B1504" t="s">
        <v>479</v>
      </c>
      <c r="P1504">
        <v>2.0021532889415643</v>
      </c>
      <c r="R1504" s="6"/>
    </row>
    <row r="1505" spans="1:18" x14ac:dyDescent="0.15">
      <c r="C1505" t="s">
        <v>414</v>
      </c>
      <c r="D1505">
        <v>1.829</v>
      </c>
      <c r="E1505">
        <v>1</v>
      </c>
      <c r="F1505" t="s">
        <v>9</v>
      </c>
      <c r="G1505">
        <v>0</v>
      </c>
      <c r="H1505">
        <v>0</v>
      </c>
      <c r="I1505" t="s">
        <v>488</v>
      </c>
      <c r="J1505" t="s">
        <v>1234</v>
      </c>
      <c r="K1505" t="s">
        <v>1235</v>
      </c>
      <c r="M1505" t="s">
        <v>487</v>
      </c>
      <c r="N1505">
        <v>0</v>
      </c>
      <c r="O1505" t="s">
        <v>1241</v>
      </c>
      <c r="P1505">
        <v>1.0946710163704563</v>
      </c>
      <c r="Q1505">
        <v>2.0021532889415643</v>
      </c>
      <c r="R1505" s="6"/>
    </row>
    <row r="1506" spans="1:18" x14ac:dyDescent="0.15">
      <c r="A1506" t="s">
        <v>430</v>
      </c>
      <c r="B1506" t="s">
        <v>479</v>
      </c>
      <c r="P1506">
        <v>2.0207626962198622</v>
      </c>
      <c r="R1506" s="6"/>
    </row>
    <row r="1507" spans="1:18" x14ac:dyDescent="0.15">
      <c r="C1507" t="s">
        <v>414</v>
      </c>
      <c r="D1507">
        <v>1.8460000000000001</v>
      </c>
      <c r="E1507">
        <v>1</v>
      </c>
      <c r="F1507" t="s">
        <v>9</v>
      </c>
      <c r="G1507">
        <v>0</v>
      </c>
      <c r="H1507">
        <v>0</v>
      </c>
      <c r="I1507" t="s">
        <v>488</v>
      </c>
      <c r="J1507" t="s">
        <v>1234</v>
      </c>
      <c r="K1507" t="s">
        <v>1235</v>
      </c>
      <c r="M1507" t="s">
        <v>487</v>
      </c>
      <c r="N1507">
        <v>0</v>
      </c>
      <c r="O1507" t="s">
        <v>1241</v>
      </c>
      <c r="P1507">
        <v>1.0946710163704563</v>
      </c>
      <c r="Q1507">
        <v>2.0207626962198622</v>
      </c>
      <c r="R1507" s="6"/>
    </row>
    <row r="1508" spans="1:18" x14ac:dyDescent="0.15">
      <c r="A1508" t="s">
        <v>431</v>
      </c>
      <c r="B1508" t="s">
        <v>479</v>
      </c>
      <c r="P1508">
        <v>2.1116203905786102</v>
      </c>
      <c r="R1508" s="6"/>
    </row>
    <row r="1509" spans="1:18" x14ac:dyDescent="0.15">
      <c r="C1509" t="s">
        <v>414</v>
      </c>
      <c r="D1509">
        <v>1.9289999999999998</v>
      </c>
      <c r="E1509">
        <v>1</v>
      </c>
      <c r="F1509" t="s">
        <v>9</v>
      </c>
      <c r="G1509">
        <v>0</v>
      </c>
      <c r="H1509">
        <v>0</v>
      </c>
      <c r="I1509" t="s">
        <v>488</v>
      </c>
      <c r="J1509" t="s">
        <v>1234</v>
      </c>
      <c r="K1509" t="s">
        <v>1235</v>
      </c>
      <c r="M1509" t="s">
        <v>487</v>
      </c>
      <c r="N1509">
        <v>0</v>
      </c>
      <c r="O1509" t="s">
        <v>1241</v>
      </c>
      <c r="P1509">
        <v>1.0946710163704563</v>
      </c>
      <c r="Q1509">
        <v>2.1116203905786102</v>
      </c>
      <c r="R1509" s="6"/>
    </row>
    <row r="1510" spans="1:18" x14ac:dyDescent="0.15">
      <c r="A1510" t="s">
        <v>432</v>
      </c>
      <c r="B1510" t="s">
        <v>479</v>
      </c>
      <c r="P1510">
        <v>2.1608805863152805</v>
      </c>
      <c r="R1510" s="6"/>
    </row>
    <row r="1511" spans="1:18" x14ac:dyDescent="0.15">
      <c r="C1511" t="s">
        <v>414</v>
      </c>
      <c r="D1511">
        <v>1.9739999999999998</v>
      </c>
      <c r="E1511">
        <v>1</v>
      </c>
      <c r="F1511" t="s">
        <v>9</v>
      </c>
      <c r="G1511">
        <v>0</v>
      </c>
      <c r="H1511">
        <v>0</v>
      </c>
      <c r="I1511" t="s">
        <v>488</v>
      </c>
      <c r="J1511" t="s">
        <v>1234</v>
      </c>
      <c r="K1511" t="s">
        <v>1235</v>
      </c>
      <c r="M1511" t="s">
        <v>487</v>
      </c>
      <c r="N1511">
        <v>0</v>
      </c>
      <c r="O1511" t="s">
        <v>1241</v>
      </c>
      <c r="P1511">
        <v>1.0946710163704563</v>
      </c>
      <c r="Q1511">
        <v>2.1608805863152805</v>
      </c>
      <c r="R1511" s="6"/>
    </row>
    <row r="1512" spans="1:18" x14ac:dyDescent="0.15">
      <c r="A1512" t="s">
        <v>433</v>
      </c>
      <c r="B1512" t="s">
        <v>479</v>
      </c>
      <c r="P1512">
        <v>2.2396968994939539</v>
      </c>
      <c r="R1512" s="6"/>
    </row>
    <row r="1513" spans="1:18" x14ac:dyDescent="0.15">
      <c r="C1513" t="s">
        <v>414</v>
      </c>
      <c r="D1513">
        <v>2.0460000000000003</v>
      </c>
      <c r="E1513">
        <v>1</v>
      </c>
      <c r="F1513" t="s">
        <v>9</v>
      </c>
      <c r="G1513">
        <v>0</v>
      </c>
      <c r="H1513">
        <v>0</v>
      </c>
      <c r="I1513" t="s">
        <v>488</v>
      </c>
      <c r="J1513" t="s">
        <v>1234</v>
      </c>
      <c r="K1513" t="s">
        <v>1235</v>
      </c>
      <c r="M1513" t="s">
        <v>487</v>
      </c>
      <c r="N1513">
        <v>0</v>
      </c>
      <c r="O1513" t="s">
        <v>1241</v>
      </c>
      <c r="P1513">
        <v>1.0946710163704563</v>
      </c>
      <c r="Q1513">
        <v>2.2396968994939539</v>
      </c>
      <c r="R1513" s="6"/>
    </row>
    <row r="1514" spans="1:18" x14ac:dyDescent="0.15">
      <c r="A1514" t="s">
        <v>434</v>
      </c>
      <c r="B1514" t="s">
        <v>479</v>
      </c>
      <c r="P1514">
        <v>2.2703476879523263</v>
      </c>
      <c r="R1514" s="6"/>
    </row>
    <row r="1515" spans="1:18" x14ac:dyDescent="0.15">
      <c r="C1515" t="s">
        <v>414</v>
      </c>
      <c r="D1515">
        <v>2.0739999999999998</v>
      </c>
      <c r="E1515">
        <v>1</v>
      </c>
      <c r="F1515" t="s">
        <v>9</v>
      </c>
      <c r="G1515">
        <v>0</v>
      </c>
      <c r="H1515">
        <v>0</v>
      </c>
      <c r="I1515" t="s">
        <v>488</v>
      </c>
      <c r="J1515" t="s">
        <v>1234</v>
      </c>
      <c r="K1515" t="s">
        <v>1235</v>
      </c>
      <c r="M1515" t="s">
        <v>487</v>
      </c>
      <c r="N1515">
        <v>0</v>
      </c>
      <c r="O1515" t="s">
        <v>1241</v>
      </c>
      <c r="P1515">
        <v>1.0946710163704563</v>
      </c>
      <c r="Q1515">
        <v>2.2703476879523263</v>
      </c>
      <c r="R1515" s="6"/>
    </row>
    <row r="1516" spans="1:18" x14ac:dyDescent="0.15">
      <c r="A1516" t="s">
        <v>435</v>
      </c>
      <c r="B1516" t="s">
        <v>479</v>
      </c>
      <c r="P1516">
        <v>2.4203176171950789</v>
      </c>
      <c r="R1516" s="6"/>
    </row>
    <row r="1517" spans="1:18" x14ac:dyDescent="0.15">
      <c r="C1517" t="s">
        <v>414</v>
      </c>
      <c r="D1517">
        <v>2.2109999999999999</v>
      </c>
      <c r="E1517">
        <v>1</v>
      </c>
      <c r="F1517" t="s">
        <v>9</v>
      </c>
      <c r="G1517">
        <v>0</v>
      </c>
      <c r="H1517">
        <v>0</v>
      </c>
      <c r="I1517" t="s">
        <v>488</v>
      </c>
      <c r="J1517" t="s">
        <v>1234</v>
      </c>
      <c r="K1517" t="s">
        <v>1235</v>
      </c>
      <c r="M1517" t="s">
        <v>487</v>
      </c>
      <c r="N1517">
        <v>0</v>
      </c>
      <c r="O1517" t="s">
        <v>1241</v>
      </c>
      <c r="P1517">
        <v>1.0946710163704563</v>
      </c>
      <c r="Q1517">
        <v>2.4203176171950789</v>
      </c>
      <c r="R1517" s="6"/>
    </row>
    <row r="1518" spans="1:18" x14ac:dyDescent="0.15">
      <c r="A1518" t="s">
        <v>436</v>
      </c>
      <c r="B1518" t="s">
        <v>479</v>
      </c>
      <c r="P1518">
        <v>2.9457597050528976</v>
      </c>
      <c r="R1518" s="6"/>
    </row>
    <row r="1519" spans="1:18" x14ac:dyDescent="0.15">
      <c r="C1519" t="s">
        <v>414</v>
      </c>
      <c r="D1519">
        <v>2.6909999999999998</v>
      </c>
      <c r="E1519">
        <v>1</v>
      </c>
      <c r="F1519" t="s">
        <v>9</v>
      </c>
      <c r="G1519">
        <v>0</v>
      </c>
      <c r="H1519">
        <v>0</v>
      </c>
      <c r="I1519" t="s">
        <v>488</v>
      </c>
      <c r="J1519" t="s">
        <v>1234</v>
      </c>
      <c r="K1519" t="s">
        <v>1235</v>
      </c>
      <c r="M1519" t="s">
        <v>487</v>
      </c>
      <c r="N1519">
        <v>0</v>
      </c>
      <c r="O1519" t="s">
        <v>1241</v>
      </c>
      <c r="P1519">
        <v>1.0946710163704563</v>
      </c>
      <c r="Q1519">
        <v>2.9457597050528976</v>
      </c>
      <c r="R1519" s="6"/>
    </row>
    <row r="1520" spans="1:18" x14ac:dyDescent="0.15">
      <c r="A1520" t="s">
        <v>437</v>
      </c>
      <c r="B1520" t="s">
        <v>479</v>
      </c>
      <c r="P1520">
        <v>3.1460845010486911</v>
      </c>
      <c r="R1520" s="6"/>
    </row>
    <row r="1521" spans="1:18" x14ac:dyDescent="0.15">
      <c r="C1521" t="s">
        <v>414</v>
      </c>
      <c r="D1521">
        <v>2.8739999999999997</v>
      </c>
      <c r="E1521">
        <v>1</v>
      </c>
      <c r="F1521" t="s">
        <v>9</v>
      </c>
      <c r="G1521">
        <v>0</v>
      </c>
      <c r="H1521">
        <v>0</v>
      </c>
      <c r="I1521" t="s">
        <v>488</v>
      </c>
      <c r="J1521" t="s">
        <v>1234</v>
      </c>
      <c r="K1521" t="s">
        <v>1235</v>
      </c>
      <c r="M1521" t="s">
        <v>487</v>
      </c>
      <c r="N1521">
        <v>0</v>
      </c>
      <c r="O1521" t="s">
        <v>1241</v>
      </c>
      <c r="P1521">
        <v>1.0946710163704563</v>
      </c>
      <c r="Q1521">
        <v>3.1460845010486911</v>
      </c>
      <c r="R1521" s="6"/>
    </row>
    <row r="1522" spans="1:18" x14ac:dyDescent="0.15">
      <c r="A1522" t="s">
        <v>438</v>
      </c>
      <c r="B1522" t="s">
        <v>479</v>
      </c>
      <c r="P1522">
        <v>3.6627692207755467</v>
      </c>
      <c r="R1522" s="6"/>
    </row>
    <row r="1523" spans="1:18" x14ac:dyDescent="0.15">
      <c r="C1523" t="s">
        <v>414</v>
      </c>
      <c r="D1523">
        <v>3.3460000000000001</v>
      </c>
      <c r="E1523">
        <v>1</v>
      </c>
      <c r="F1523" t="s">
        <v>9</v>
      </c>
      <c r="G1523">
        <v>0</v>
      </c>
      <c r="H1523">
        <v>0</v>
      </c>
      <c r="I1523" t="s">
        <v>488</v>
      </c>
      <c r="J1523" t="s">
        <v>1234</v>
      </c>
      <c r="K1523" t="s">
        <v>1235</v>
      </c>
      <c r="M1523" t="s">
        <v>487</v>
      </c>
      <c r="N1523">
        <v>0</v>
      </c>
      <c r="O1523" t="s">
        <v>1241</v>
      </c>
      <c r="P1523">
        <v>1.0946710163704563</v>
      </c>
      <c r="Q1523">
        <v>3.6627692207755467</v>
      </c>
      <c r="R1523" s="6"/>
    </row>
    <row r="1524" spans="1:18" x14ac:dyDescent="0.15">
      <c r="A1524" t="s">
        <v>439</v>
      </c>
      <c r="B1524" t="s">
        <v>479</v>
      </c>
      <c r="P1524">
        <v>3.6791892860211033</v>
      </c>
      <c r="R1524" s="6"/>
    </row>
    <row r="1525" spans="1:18" x14ac:dyDescent="0.15">
      <c r="C1525" t="s">
        <v>414</v>
      </c>
      <c r="D1525">
        <v>3.3609999999999998</v>
      </c>
      <c r="E1525">
        <v>1</v>
      </c>
      <c r="F1525" t="s">
        <v>9</v>
      </c>
      <c r="G1525">
        <v>0</v>
      </c>
      <c r="H1525">
        <v>0</v>
      </c>
      <c r="I1525" t="s">
        <v>488</v>
      </c>
      <c r="J1525" t="s">
        <v>1234</v>
      </c>
      <c r="K1525" t="s">
        <v>1235</v>
      </c>
      <c r="M1525" t="s">
        <v>487</v>
      </c>
      <c r="N1525">
        <v>0</v>
      </c>
      <c r="O1525" t="s">
        <v>1241</v>
      </c>
      <c r="P1525">
        <v>1.0946710163704563</v>
      </c>
      <c r="Q1525">
        <v>3.6791892860211033</v>
      </c>
      <c r="R1525" s="6"/>
    </row>
    <row r="1526" spans="1:18" x14ac:dyDescent="0.15">
      <c r="A1526" t="s">
        <v>440</v>
      </c>
      <c r="B1526" t="s">
        <v>479</v>
      </c>
      <c r="P1526">
        <v>3.8028871108709654</v>
      </c>
      <c r="R1526" s="6"/>
    </row>
    <row r="1527" spans="1:18" x14ac:dyDescent="0.15">
      <c r="C1527" t="s">
        <v>414</v>
      </c>
      <c r="D1527">
        <v>3.4740000000000002</v>
      </c>
      <c r="E1527">
        <v>1</v>
      </c>
      <c r="F1527" t="s">
        <v>9</v>
      </c>
      <c r="G1527">
        <v>0</v>
      </c>
      <c r="H1527">
        <v>0</v>
      </c>
      <c r="I1527" t="s">
        <v>488</v>
      </c>
      <c r="J1527" t="s">
        <v>1234</v>
      </c>
      <c r="K1527" t="s">
        <v>1235</v>
      </c>
      <c r="M1527" t="s">
        <v>487</v>
      </c>
      <c r="N1527">
        <v>0</v>
      </c>
      <c r="O1527" t="s">
        <v>1241</v>
      </c>
      <c r="P1527">
        <v>1.0946710163704563</v>
      </c>
      <c r="Q1527">
        <v>3.8028871108709654</v>
      </c>
      <c r="R1527" s="6"/>
    </row>
    <row r="1528" spans="1:18" x14ac:dyDescent="0.15">
      <c r="A1528" t="s">
        <v>414</v>
      </c>
      <c r="B1528" t="s">
        <v>9</v>
      </c>
      <c r="P1528">
        <v>1.0946710163704563</v>
      </c>
      <c r="R1528" s="6"/>
    </row>
    <row r="1529" spans="1:18" x14ac:dyDescent="0.15">
      <c r="C1529" t="s">
        <v>22</v>
      </c>
      <c r="D1529">
        <v>40</v>
      </c>
      <c r="E1529">
        <v>1</v>
      </c>
      <c r="F1529" t="s">
        <v>9</v>
      </c>
      <c r="G1529">
        <v>3</v>
      </c>
      <c r="H1529">
        <v>0</v>
      </c>
      <c r="I1529" t="s">
        <v>488</v>
      </c>
      <c r="J1529" t="s">
        <v>1234</v>
      </c>
      <c r="K1529" t="s">
        <v>1235</v>
      </c>
      <c r="M1529" t="s">
        <v>487</v>
      </c>
      <c r="N1529">
        <v>0</v>
      </c>
      <c r="O1529" t="s">
        <v>1241</v>
      </c>
      <c r="P1529">
        <v>0</v>
      </c>
      <c r="Q1529">
        <v>0</v>
      </c>
      <c r="R1529" s="9" t="s">
        <v>1246</v>
      </c>
    </row>
    <row r="1530" spans="1:18" x14ac:dyDescent="0.15">
      <c r="C1530" t="s">
        <v>12</v>
      </c>
      <c r="D1530">
        <v>10.447236180905</v>
      </c>
      <c r="E1530">
        <v>1</v>
      </c>
      <c r="F1530" t="s">
        <v>13</v>
      </c>
      <c r="G1530">
        <v>3</v>
      </c>
      <c r="H1530">
        <v>0</v>
      </c>
      <c r="I1530" t="s">
        <v>488</v>
      </c>
      <c r="J1530" t="s">
        <v>1234</v>
      </c>
      <c r="K1530" t="s">
        <v>1235</v>
      </c>
      <c r="M1530" t="s">
        <v>487</v>
      </c>
      <c r="N1530">
        <v>0</v>
      </c>
      <c r="O1530" t="s">
        <v>1241</v>
      </c>
      <c r="P1530">
        <v>1.03E-2</v>
      </c>
      <c r="Q1530">
        <v>110.83472864322115</v>
      </c>
      <c r="R1530" s="6"/>
    </row>
    <row r="1531" spans="1:18" x14ac:dyDescent="0.15">
      <c r="C1531" t="s">
        <v>14</v>
      </c>
      <c r="D1531">
        <v>11.608040201005002</v>
      </c>
      <c r="E1531">
        <v>1</v>
      </c>
      <c r="F1531" t="s">
        <v>13</v>
      </c>
      <c r="G1531">
        <v>3</v>
      </c>
      <c r="H1531">
        <v>0</v>
      </c>
      <c r="I1531" t="s">
        <v>488</v>
      </c>
      <c r="J1531" t="s">
        <v>1234</v>
      </c>
      <c r="K1531" t="s">
        <v>1235</v>
      </c>
      <c r="M1531" t="s">
        <v>487</v>
      </c>
      <c r="N1531">
        <v>0</v>
      </c>
      <c r="O1531" t="s">
        <v>1241</v>
      </c>
      <c r="P1531">
        <v>5.4900000000000001E-3</v>
      </c>
      <c r="Q1531">
        <v>65.639984924622993</v>
      </c>
      <c r="R1531" s="6"/>
    </row>
    <row r="1532" spans="1:18" x14ac:dyDescent="0.15">
      <c r="C1532" t="s">
        <v>15</v>
      </c>
      <c r="D1532">
        <v>0.23216080402</v>
      </c>
      <c r="E1532">
        <v>1</v>
      </c>
      <c r="F1532" t="s">
        <v>13</v>
      </c>
      <c r="G1532">
        <v>3</v>
      </c>
      <c r="H1532">
        <v>0</v>
      </c>
      <c r="I1532" t="s">
        <v>488</v>
      </c>
      <c r="J1532" t="s">
        <v>1234</v>
      </c>
      <c r="K1532" t="s">
        <v>1235</v>
      </c>
      <c r="M1532" t="s">
        <v>487</v>
      </c>
      <c r="N1532">
        <v>0</v>
      </c>
      <c r="O1532" t="s">
        <v>1241</v>
      </c>
      <c r="P1532">
        <v>7.9819999999999988E-2</v>
      </c>
      <c r="Q1532">
        <v>19.087007638182691</v>
      </c>
      <c r="R1532" s="6"/>
    </row>
    <row r="1533" spans="1:18" x14ac:dyDescent="0.15">
      <c r="C1533" t="s">
        <v>23</v>
      </c>
      <c r="D1533">
        <v>0.58040201005000003</v>
      </c>
      <c r="E1533">
        <v>1</v>
      </c>
      <c r="F1533" t="s">
        <v>13</v>
      </c>
      <c r="G1533">
        <v>3</v>
      </c>
      <c r="H1533">
        <v>0</v>
      </c>
      <c r="I1533" t="s">
        <v>488</v>
      </c>
      <c r="J1533" t="s">
        <v>1234</v>
      </c>
      <c r="K1533" t="s">
        <v>1235</v>
      </c>
      <c r="M1533" t="s">
        <v>487</v>
      </c>
      <c r="N1533">
        <v>0</v>
      </c>
      <c r="O1533" t="s">
        <v>1241</v>
      </c>
      <c r="P1533">
        <v>2.3609999999999999E-2</v>
      </c>
      <c r="Q1533">
        <v>14.114390200998916</v>
      </c>
      <c r="R1533" s="6"/>
    </row>
    <row r="1534" spans="1:18" x14ac:dyDescent="0.15">
      <c r="C1534" t="s">
        <v>24</v>
      </c>
      <c r="D1534">
        <v>0.23216080402</v>
      </c>
      <c r="E1534">
        <v>1</v>
      </c>
      <c r="F1534" t="s">
        <v>13</v>
      </c>
      <c r="G1534">
        <v>3</v>
      </c>
      <c r="H1534">
        <v>0</v>
      </c>
      <c r="I1534" t="s">
        <v>488</v>
      </c>
      <c r="J1534" t="s">
        <v>1234</v>
      </c>
      <c r="K1534" t="s">
        <v>1235</v>
      </c>
      <c r="M1534" t="s">
        <v>487</v>
      </c>
      <c r="N1534">
        <v>0</v>
      </c>
      <c r="O1534" t="s">
        <v>1241</v>
      </c>
      <c r="P1534">
        <v>2.8500000000000001E-2</v>
      </c>
      <c r="Q1534">
        <v>6.8150804020071005</v>
      </c>
      <c r="R1534" s="6"/>
    </row>
    <row r="1535" spans="1:18" x14ac:dyDescent="0.15">
      <c r="C1535" t="s">
        <v>17</v>
      </c>
      <c r="D1535">
        <v>13.888888888889001</v>
      </c>
      <c r="E1535">
        <v>1000</v>
      </c>
      <c r="F1535" t="s">
        <v>18</v>
      </c>
      <c r="G1535">
        <v>0</v>
      </c>
      <c r="H1535">
        <v>0</v>
      </c>
      <c r="I1535" t="s">
        <v>488</v>
      </c>
      <c r="J1535" t="s">
        <v>1234</v>
      </c>
      <c r="K1535" t="s">
        <v>1235</v>
      </c>
      <c r="M1535" t="s">
        <v>487</v>
      </c>
      <c r="N1535">
        <v>0</v>
      </c>
      <c r="O1535" t="s">
        <v>1241</v>
      </c>
      <c r="P1535">
        <v>53.85</v>
      </c>
      <c r="Q1535">
        <v>747.91666666667277</v>
      </c>
      <c r="R1535" s="6"/>
    </row>
    <row r="1536" spans="1:18" x14ac:dyDescent="0.15">
      <c r="C1536" t="s">
        <v>19</v>
      </c>
      <c r="D1536">
        <v>3.7593984962410003</v>
      </c>
      <c r="E1536">
        <v>1</v>
      </c>
      <c r="F1536" t="s">
        <v>18</v>
      </c>
      <c r="G1536">
        <v>0</v>
      </c>
      <c r="H1536">
        <v>0</v>
      </c>
      <c r="I1536" t="s">
        <v>488</v>
      </c>
      <c r="J1536" t="s">
        <v>1236</v>
      </c>
      <c r="K1536" t="s">
        <v>1235</v>
      </c>
      <c r="M1536" t="s">
        <v>487</v>
      </c>
      <c r="N1536">
        <v>0</v>
      </c>
      <c r="O1536" t="s">
        <v>1241</v>
      </c>
      <c r="P1536">
        <v>34.65</v>
      </c>
      <c r="Q1536">
        <v>130.26315789475066</v>
      </c>
      <c r="R1536" s="6"/>
    </row>
    <row r="1537" spans="1:18" x14ac:dyDescent="0.15">
      <c r="A1537" t="s">
        <v>441</v>
      </c>
      <c r="B1537" t="s">
        <v>479</v>
      </c>
      <c r="P1537">
        <v>-0.46980246954775956</v>
      </c>
      <c r="R1537" s="6"/>
    </row>
    <row r="1538" spans="1:18" x14ac:dyDescent="0.15">
      <c r="C1538" t="s">
        <v>442</v>
      </c>
      <c r="D1538">
        <v>1</v>
      </c>
      <c r="E1538">
        <v>1</v>
      </c>
      <c r="F1538" t="s">
        <v>9</v>
      </c>
      <c r="G1538">
        <v>0</v>
      </c>
      <c r="H1538">
        <v>0</v>
      </c>
      <c r="I1538" t="s">
        <v>488</v>
      </c>
      <c r="J1538" t="s">
        <v>1234</v>
      </c>
      <c r="K1538" t="s">
        <v>1235</v>
      </c>
      <c r="M1538" t="s">
        <v>487</v>
      </c>
      <c r="N1538">
        <v>0</v>
      </c>
      <c r="O1538" t="s">
        <v>1241</v>
      </c>
      <c r="P1538">
        <v>-0.46980246954775956</v>
      </c>
      <c r="Q1538">
        <v>-0.46980246954775956</v>
      </c>
      <c r="R1538" s="6"/>
    </row>
    <row r="1539" spans="1:18" x14ac:dyDescent="0.15">
      <c r="A1539" t="s">
        <v>443</v>
      </c>
      <c r="B1539" t="s">
        <v>479</v>
      </c>
      <c r="P1539">
        <v>-0.93960493909551912</v>
      </c>
      <c r="R1539" s="6"/>
    </row>
    <row r="1540" spans="1:18" x14ac:dyDescent="0.15">
      <c r="C1540" t="s">
        <v>442</v>
      </c>
      <c r="D1540">
        <v>2</v>
      </c>
      <c r="E1540">
        <v>1</v>
      </c>
      <c r="F1540" t="s">
        <v>9</v>
      </c>
      <c r="G1540">
        <v>0</v>
      </c>
      <c r="H1540">
        <v>0</v>
      </c>
      <c r="I1540" t="s">
        <v>488</v>
      </c>
      <c r="J1540" t="s">
        <v>1234</v>
      </c>
      <c r="K1540" t="s">
        <v>1235</v>
      </c>
      <c r="M1540" t="s">
        <v>487</v>
      </c>
      <c r="N1540">
        <v>0</v>
      </c>
      <c r="O1540" t="s">
        <v>1241</v>
      </c>
      <c r="P1540">
        <v>-0.46980246954775956</v>
      </c>
      <c r="Q1540">
        <v>-0.93960493909551912</v>
      </c>
      <c r="R1540" s="6"/>
    </row>
    <row r="1541" spans="1:18" x14ac:dyDescent="0.15">
      <c r="A1541" t="s">
        <v>442</v>
      </c>
      <c r="B1541" t="s">
        <v>9</v>
      </c>
      <c r="P1541">
        <v>-0.46980246954775956</v>
      </c>
      <c r="R1541" s="6"/>
    </row>
    <row r="1542" spans="1:18" x14ac:dyDescent="0.15">
      <c r="C1542" t="s">
        <v>444</v>
      </c>
      <c r="D1542">
        <v>4</v>
      </c>
      <c r="E1542">
        <v>1</v>
      </c>
      <c r="F1542" t="s">
        <v>9</v>
      </c>
      <c r="G1542">
        <v>3</v>
      </c>
      <c r="H1542">
        <v>0</v>
      </c>
      <c r="I1542" t="s">
        <v>488</v>
      </c>
      <c r="J1542" t="s">
        <v>1234</v>
      </c>
      <c r="K1542" t="s">
        <v>1235</v>
      </c>
      <c r="M1542" t="s">
        <v>487</v>
      </c>
      <c r="N1542">
        <v>0</v>
      </c>
      <c r="O1542" t="s">
        <v>1241</v>
      </c>
      <c r="P1542">
        <v>0</v>
      </c>
      <c r="Q1542">
        <v>0</v>
      </c>
      <c r="R1542" s="9" t="s">
        <v>1246</v>
      </c>
    </row>
    <row r="1543" spans="1:18" x14ac:dyDescent="0.15">
      <c r="C1543" t="s">
        <v>445</v>
      </c>
      <c r="D1543">
        <v>1</v>
      </c>
      <c r="E1543">
        <v>1</v>
      </c>
      <c r="F1543" t="s">
        <v>9</v>
      </c>
      <c r="G1543">
        <v>3</v>
      </c>
      <c r="H1543">
        <v>0</v>
      </c>
      <c r="I1543" t="s">
        <v>488</v>
      </c>
      <c r="J1543" t="s">
        <v>1234</v>
      </c>
      <c r="K1543" t="s">
        <v>1235</v>
      </c>
      <c r="M1543" t="s">
        <v>487</v>
      </c>
      <c r="N1543">
        <v>0</v>
      </c>
      <c r="O1543" t="s">
        <v>1241</v>
      </c>
      <c r="P1543">
        <v>-1</v>
      </c>
      <c r="Q1543">
        <v>-1030</v>
      </c>
      <c r="R1543" s="10" t="s">
        <v>1247</v>
      </c>
    </row>
    <row r="1544" spans="1:18" x14ac:dyDescent="0.15">
      <c r="C1544" t="s">
        <v>12</v>
      </c>
      <c r="D1544">
        <v>0.36180904522599999</v>
      </c>
      <c r="E1544">
        <v>1</v>
      </c>
      <c r="F1544" t="s">
        <v>13</v>
      </c>
      <c r="G1544">
        <v>3</v>
      </c>
      <c r="H1544">
        <v>0</v>
      </c>
      <c r="I1544" t="s">
        <v>488</v>
      </c>
      <c r="J1544" t="s">
        <v>1234</v>
      </c>
      <c r="K1544" t="s">
        <v>1235</v>
      </c>
      <c r="M1544" t="s">
        <v>487</v>
      </c>
      <c r="N1544">
        <v>0</v>
      </c>
      <c r="O1544" t="s">
        <v>1241</v>
      </c>
      <c r="P1544">
        <v>1.03E-2</v>
      </c>
      <c r="Q1544">
        <v>3.8384321608026339</v>
      </c>
      <c r="R1544" s="6"/>
    </row>
    <row r="1545" spans="1:18" x14ac:dyDescent="0.15">
      <c r="C1545" t="s">
        <v>14</v>
      </c>
      <c r="D1545">
        <v>0.40201005025100001</v>
      </c>
      <c r="E1545">
        <v>1</v>
      </c>
      <c r="F1545" t="s">
        <v>13</v>
      </c>
      <c r="G1545">
        <v>3</v>
      </c>
      <c r="H1545">
        <v>0</v>
      </c>
      <c r="I1545" t="s">
        <v>488</v>
      </c>
      <c r="J1545" t="s">
        <v>1234</v>
      </c>
      <c r="K1545" t="s">
        <v>1235</v>
      </c>
      <c r="M1545" t="s">
        <v>487</v>
      </c>
      <c r="N1545">
        <v>0</v>
      </c>
      <c r="O1545" t="s">
        <v>1241</v>
      </c>
      <c r="P1545">
        <v>5.4900000000000001E-3</v>
      </c>
      <c r="Q1545">
        <v>2.2732462311543298</v>
      </c>
      <c r="R1545" s="6"/>
    </row>
    <row r="1546" spans="1:18" x14ac:dyDescent="0.15">
      <c r="C1546" t="s">
        <v>15</v>
      </c>
      <c r="D1546">
        <v>8.0402010050250006</v>
      </c>
      <c r="E1546">
        <v>1000</v>
      </c>
      <c r="F1546" t="s">
        <v>13</v>
      </c>
      <c r="G1546">
        <v>3</v>
      </c>
      <c r="H1546">
        <v>0</v>
      </c>
      <c r="I1546" t="s">
        <v>488</v>
      </c>
      <c r="J1546" t="s">
        <v>1234</v>
      </c>
      <c r="K1546" t="s">
        <v>1235</v>
      </c>
      <c r="M1546" t="s">
        <v>487</v>
      </c>
      <c r="N1546">
        <v>0</v>
      </c>
      <c r="O1546" t="s">
        <v>1241</v>
      </c>
      <c r="P1546">
        <v>7.9819999999999988E-2</v>
      </c>
      <c r="Q1546">
        <v>0.66102190954772833</v>
      </c>
      <c r="R1546" s="6"/>
    </row>
    <row r="1547" spans="1:18" x14ac:dyDescent="0.15">
      <c r="C1547" t="s">
        <v>23</v>
      </c>
      <c r="D1547">
        <v>20.100502512563001</v>
      </c>
      <c r="E1547">
        <v>1000</v>
      </c>
      <c r="F1547" t="s">
        <v>13</v>
      </c>
      <c r="G1547">
        <v>3</v>
      </c>
      <c r="H1547">
        <v>0</v>
      </c>
      <c r="I1547" t="s">
        <v>488</v>
      </c>
      <c r="J1547" t="s">
        <v>1234</v>
      </c>
      <c r="K1547" t="s">
        <v>1235</v>
      </c>
      <c r="M1547" t="s">
        <v>487</v>
      </c>
      <c r="N1547">
        <v>0</v>
      </c>
      <c r="O1547" t="s">
        <v>1241</v>
      </c>
      <c r="P1547">
        <v>2.3609999999999999E-2</v>
      </c>
      <c r="Q1547">
        <v>0.48881005025126084</v>
      </c>
      <c r="R1547" s="6"/>
    </row>
    <row r="1548" spans="1:18" x14ac:dyDescent="0.15">
      <c r="C1548" t="s">
        <v>24</v>
      </c>
      <c r="D1548">
        <v>8.0402010050250006</v>
      </c>
      <c r="E1548">
        <v>1000</v>
      </c>
      <c r="F1548" t="s">
        <v>13</v>
      </c>
      <c r="G1548">
        <v>3</v>
      </c>
      <c r="H1548">
        <v>0</v>
      </c>
      <c r="I1548" t="s">
        <v>488</v>
      </c>
      <c r="J1548" t="s">
        <v>1234</v>
      </c>
      <c r="K1548" t="s">
        <v>1235</v>
      </c>
      <c r="M1548" t="s">
        <v>487</v>
      </c>
      <c r="N1548">
        <v>0</v>
      </c>
      <c r="O1548" t="s">
        <v>1241</v>
      </c>
      <c r="P1548">
        <v>2.8500000000000001E-2</v>
      </c>
      <c r="Q1548">
        <v>0.23602010050250888</v>
      </c>
      <c r="R1548" s="6"/>
    </row>
    <row r="1549" spans="1:18" x14ac:dyDescent="0.15">
      <c r="C1549" t="s">
        <v>17</v>
      </c>
      <c r="D1549">
        <v>8.3333333333330017</v>
      </c>
      <c r="E1549">
        <v>1000</v>
      </c>
      <c r="F1549" t="s">
        <v>18</v>
      </c>
      <c r="G1549">
        <v>0</v>
      </c>
      <c r="H1549">
        <v>0</v>
      </c>
      <c r="I1549" t="s">
        <v>488</v>
      </c>
      <c r="J1549" t="s">
        <v>1234</v>
      </c>
      <c r="K1549" t="s">
        <v>1235</v>
      </c>
      <c r="M1549" t="s">
        <v>487</v>
      </c>
      <c r="N1549">
        <v>0</v>
      </c>
      <c r="O1549" t="s">
        <v>1241</v>
      </c>
      <c r="P1549">
        <v>53.85</v>
      </c>
      <c r="Q1549">
        <v>448.74999999998215</v>
      </c>
      <c r="R1549" s="6"/>
    </row>
    <row r="1550" spans="1:18" x14ac:dyDescent="0.15">
      <c r="C1550" t="s">
        <v>19</v>
      </c>
      <c r="D1550">
        <v>3</v>
      </c>
      <c r="E1550">
        <v>1</v>
      </c>
      <c r="F1550" t="s">
        <v>18</v>
      </c>
      <c r="G1550">
        <v>0</v>
      </c>
      <c r="H1550">
        <v>0</v>
      </c>
      <c r="I1550" t="s">
        <v>488</v>
      </c>
      <c r="J1550" t="s">
        <v>1236</v>
      </c>
      <c r="K1550" t="s">
        <v>1235</v>
      </c>
      <c r="M1550" t="s">
        <v>487</v>
      </c>
      <c r="N1550">
        <v>0</v>
      </c>
      <c r="O1550" t="s">
        <v>1241</v>
      </c>
      <c r="P1550">
        <v>34.65</v>
      </c>
      <c r="Q1550">
        <v>103.94999999999999</v>
      </c>
      <c r="R1550" s="6"/>
    </row>
    <row r="1551" spans="1:18" x14ac:dyDescent="0.15">
      <c r="A1551" t="s">
        <v>446</v>
      </c>
      <c r="B1551" t="s">
        <v>479</v>
      </c>
      <c r="P1551">
        <v>0.56261097551373696</v>
      </c>
      <c r="R1551" s="6"/>
    </row>
    <row r="1552" spans="1:18" x14ac:dyDescent="0.15">
      <c r="C1552" t="s">
        <v>447</v>
      </c>
      <c r="D1552">
        <v>1</v>
      </c>
      <c r="E1552">
        <v>1</v>
      </c>
      <c r="F1552" t="s">
        <v>9</v>
      </c>
      <c r="G1552">
        <v>0</v>
      </c>
      <c r="H1552">
        <v>0</v>
      </c>
      <c r="I1552" t="s">
        <v>488</v>
      </c>
      <c r="J1552" t="s">
        <v>1234</v>
      </c>
      <c r="K1552" t="s">
        <v>1235</v>
      </c>
      <c r="M1552" t="s">
        <v>487</v>
      </c>
      <c r="N1552">
        <v>0</v>
      </c>
      <c r="O1552" t="s">
        <v>1241</v>
      </c>
      <c r="P1552">
        <v>0.56261097551373696</v>
      </c>
      <c r="Q1552">
        <v>0.56261097551373696</v>
      </c>
      <c r="R1552" s="6"/>
    </row>
    <row r="1553" spans="1:18" x14ac:dyDescent="0.15">
      <c r="A1553" t="s">
        <v>448</v>
      </c>
      <c r="B1553" t="s">
        <v>479</v>
      </c>
      <c r="P1553">
        <v>1.1252219510274739</v>
      </c>
      <c r="R1553" s="6"/>
    </row>
    <row r="1554" spans="1:18" x14ac:dyDescent="0.15">
      <c r="C1554" t="s">
        <v>447</v>
      </c>
      <c r="D1554">
        <v>2</v>
      </c>
      <c r="E1554">
        <v>1</v>
      </c>
      <c r="F1554" t="s">
        <v>9</v>
      </c>
      <c r="G1554">
        <v>0</v>
      </c>
      <c r="H1554">
        <v>0</v>
      </c>
      <c r="I1554" t="s">
        <v>488</v>
      </c>
      <c r="J1554" t="s">
        <v>1234</v>
      </c>
      <c r="K1554" t="s">
        <v>1235</v>
      </c>
      <c r="M1554" t="s">
        <v>487</v>
      </c>
      <c r="N1554">
        <v>0</v>
      </c>
      <c r="O1554" t="s">
        <v>1241</v>
      </c>
      <c r="P1554">
        <v>0.56261097551373696</v>
      </c>
      <c r="Q1554">
        <v>1.1252219510274739</v>
      </c>
      <c r="R1554" s="6"/>
    </row>
    <row r="1555" spans="1:18" x14ac:dyDescent="0.15">
      <c r="A1555" t="s">
        <v>449</v>
      </c>
      <c r="B1555" t="s">
        <v>479</v>
      </c>
      <c r="P1555">
        <v>0.28130548775686848</v>
      </c>
      <c r="R1555" s="6"/>
    </row>
    <row r="1556" spans="1:18" x14ac:dyDescent="0.15">
      <c r="C1556" t="s">
        <v>447</v>
      </c>
      <c r="D1556">
        <v>500</v>
      </c>
      <c r="E1556">
        <v>1000</v>
      </c>
      <c r="F1556" t="s">
        <v>9</v>
      </c>
      <c r="G1556">
        <v>0</v>
      </c>
      <c r="H1556">
        <v>0</v>
      </c>
      <c r="I1556" t="s">
        <v>488</v>
      </c>
      <c r="J1556" t="s">
        <v>1234</v>
      </c>
      <c r="K1556" t="s">
        <v>1235</v>
      </c>
      <c r="M1556" t="s">
        <v>487</v>
      </c>
      <c r="N1556">
        <v>0</v>
      </c>
      <c r="O1556" t="s">
        <v>1241</v>
      </c>
      <c r="P1556">
        <v>0.56261097551373696</v>
      </c>
      <c r="Q1556">
        <v>281.3054877568685</v>
      </c>
      <c r="R1556" s="6"/>
    </row>
    <row r="1557" spans="1:18" x14ac:dyDescent="0.15">
      <c r="A1557" t="s">
        <v>450</v>
      </c>
      <c r="B1557" t="s">
        <v>479</v>
      </c>
      <c r="P1557">
        <v>0.78765536571923167</v>
      </c>
      <c r="R1557" s="6"/>
    </row>
    <row r="1558" spans="1:18" x14ac:dyDescent="0.15">
      <c r="C1558" t="s">
        <v>447</v>
      </c>
      <c r="D1558">
        <v>1.4</v>
      </c>
      <c r="E1558">
        <v>1</v>
      </c>
      <c r="F1558" t="s">
        <v>9</v>
      </c>
      <c r="G1558">
        <v>0</v>
      </c>
      <c r="H1558">
        <v>0</v>
      </c>
      <c r="I1558" t="s">
        <v>488</v>
      </c>
      <c r="J1558" t="s">
        <v>1234</v>
      </c>
      <c r="K1558" t="s">
        <v>1235</v>
      </c>
      <c r="M1558" t="s">
        <v>487</v>
      </c>
      <c r="N1558">
        <v>0</v>
      </c>
      <c r="O1558" t="s">
        <v>1241</v>
      </c>
      <c r="P1558">
        <v>0.56261097551373696</v>
      </c>
      <c r="Q1558">
        <v>0.78765536571923167</v>
      </c>
      <c r="R1558" s="6"/>
    </row>
    <row r="1559" spans="1:18" x14ac:dyDescent="0.15">
      <c r="A1559" t="s">
        <v>451</v>
      </c>
      <c r="B1559" t="s">
        <v>479</v>
      </c>
      <c r="P1559">
        <v>0.90017756082197919</v>
      </c>
      <c r="R1559" s="6"/>
    </row>
    <row r="1560" spans="1:18" x14ac:dyDescent="0.15">
      <c r="C1560" t="s">
        <v>447</v>
      </c>
      <c r="D1560">
        <v>1.6</v>
      </c>
      <c r="E1560">
        <v>1</v>
      </c>
      <c r="F1560" t="s">
        <v>9</v>
      </c>
      <c r="G1560">
        <v>0</v>
      </c>
      <c r="H1560">
        <v>0</v>
      </c>
      <c r="I1560" t="s">
        <v>488</v>
      </c>
      <c r="J1560" t="s">
        <v>1234</v>
      </c>
      <c r="K1560" t="s">
        <v>1235</v>
      </c>
      <c r="M1560" t="s">
        <v>487</v>
      </c>
      <c r="N1560">
        <v>0</v>
      </c>
      <c r="O1560" t="s">
        <v>1241</v>
      </c>
      <c r="P1560">
        <v>0.56261097551373696</v>
      </c>
      <c r="Q1560">
        <v>0.90017756082197919</v>
      </c>
      <c r="R1560" s="6"/>
    </row>
    <row r="1561" spans="1:18" x14ac:dyDescent="0.15">
      <c r="A1561" t="s">
        <v>447</v>
      </c>
      <c r="B1561" t="s">
        <v>9</v>
      </c>
      <c r="P1561">
        <v>0.56261097551373696</v>
      </c>
      <c r="R1561" s="6"/>
    </row>
    <row r="1562" spans="1:18" x14ac:dyDescent="0.15">
      <c r="C1562" t="s">
        <v>444</v>
      </c>
      <c r="D1562">
        <v>11</v>
      </c>
      <c r="E1562">
        <v>1</v>
      </c>
      <c r="F1562" t="s">
        <v>9</v>
      </c>
      <c r="G1562">
        <v>3</v>
      </c>
      <c r="H1562">
        <v>0</v>
      </c>
      <c r="I1562" t="s">
        <v>488</v>
      </c>
      <c r="J1562" t="s">
        <v>1234</v>
      </c>
      <c r="K1562" t="s">
        <v>1235</v>
      </c>
      <c r="M1562" t="s">
        <v>487</v>
      </c>
      <c r="N1562">
        <v>0</v>
      </c>
      <c r="O1562" t="s">
        <v>1241</v>
      </c>
      <c r="P1562">
        <v>0</v>
      </c>
      <c r="Q1562">
        <v>0</v>
      </c>
      <c r="R1562" s="9" t="s">
        <v>1246</v>
      </c>
    </row>
    <row r="1563" spans="1:18" x14ac:dyDescent="0.15">
      <c r="C1563" t="s">
        <v>12</v>
      </c>
      <c r="D1563">
        <v>0.77483668341699996</v>
      </c>
      <c r="E1563">
        <v>1</v>
      </c>
      <c r="F1563" t="s">
        <v>13</v>
      </c>
      <c r="G1563">
        <v>3</v>
      </c>
      <c r="H1563">
        <v>0</v>
      </c>
      <c r="I1563" t="s">
        <v>488</v>
      </c>
      <c r="J1563" t="s">
        <v>1234</v>
      </c>
      <c r="K1563" t="s">
        <v>1235</v>
      </c>
      <c r="M1563" t="s">
        <v>487</v>
      </c>
      <c r="N1563">
        <v>0</v>
      </c>
      <c r="O1563" t="s">
        <v>1241</v>
      </c>
      <c r="P1563">
        <v>1.03E-2</v>
      </c>
      <c r="Q1563">
        <v>8.2202423743709527</v>
      </c>
      <c r="R1563" s="6"/>
    </row>
    <row r="1564" spans="1:18" x14ac:dyDescent="0.15">
      <c r="C1564" t="s">
        <v>14</v>
      </c>
      <c r="D1564">
        <v>0.86092964824100005</v>
      </c>
      <c r="E1564">
        <v>1</v>
      </c>
      <c r="F1564" t="s">
        <v>13</v>
      </c>
      <c r="G1564">
        <v>3</v>
      </c>
      <c r="H1564">
        <v>0</v>
      </c>
      <c r="I1564" t="s">
        <v>488</v>
      </c>
      <c r="J1564" t="s">
        <v>1234</v>
      </c>
      <c r="K1564" t="s">
        <v>1235</v>
      </c>
      <c r="M1564" t="s">
        <v>487</v>
      </c>
      <c r="N1564">
        <v>0</v>
      </c>
      <c r="O1564" t="s">
        <v>1241</v>
      </c>
      <c r="P1564">
        <v>5.4900000000000001E-3</v>
      </c>
      <c r="Q1564">
        <v>4.868298881908383</v>
      </c>
      <c r="R1564" s="6"/>
    </row>
    <row r="1565" spans="1:18" x14ac:dyDescent="0.15">
      <c r="C1565" t="s">
        <v>15</v>
      </c>
      <c r="D1565">
        <v>17.218592964823998</v>
      </c>
      <c r="E1565">
        <v>1000</v>
      </c>
      <c r="F1565" t="s">
        <v>13</v>
      </c>
      <c r="G1565">
        <v>3</v>
      </c>
      <c r="H1565">
        <v>0</v>
      </c>
      <c r="I1565" t="s">
        <v>488</v>
      </c>
      <c r="J1565" t="s">
        <v>1234</v>
      </c>
      <c r="K1565" t="s">
        <v>1235</v>
      </c>
      <c r="M1565" t="s">
        <v>487</v>
      </c>
      <c r="N1565">
        <v>0</v>
      </c>
      <c r="O1565" t="s">
        <v>1241</v>
      </c>
      <c r="P1565">
        <v>7.9819999999999988E-2</v>
      </c>
      <c r="Q1565">
        <v>1.4156197331658189</v>
      </c>
      <c r="R1565" s="6"/>
    </row>
    <row r="1566" spans="1:18" x14ac:dyDescent="0.15">
      <c r="C1566" t="s">
        <v>23</v>
      </c>
      <c r="D1566">
        <v>43.046482412060001</v>
      </c>
      <c r="E1566">
        <v>1000</v>
      </c>
      <c r="F1566" t="s">
        <v>13</v>
      </c>
      <c r="G1566">
        <v>3</v>
      </c>
      <c r="H1566">
        <v>0</v>
      </c>
      <c r="I1566" t="s">
        <v>488</v>
      </c>
      <c r="J1566" t="s">
        <v>1234</v>
      </c>
      <c r="K1566" t="s">
        <v>1235</v>
      </c>
      <c r="M1566" t="s">
        <v>487</v>
      </c>
      <c r="N1566">
        <v>0</v>
      </c>
      <c r="O1566" t="s">
        <v>1241</v>
      </c>
      <c r="P1566">
        <v>2.3609999999999999E-2</v>
      </c>
      <c r="Q1566">
        <v>1.0468172732411987</v>
      </c>
      <c r="R1566" s="6"/>
    </row>
    <row r="1567" spans="1:18" x14ac:dyDescent="0.15">
      <c r="C1567" t="s">
        <v>24</v>
      </c>
      <c r="D1567">
        <v>17.218592964823998</v>
      </c>
      <c r="E1567">
        <v>1000</v>
      </c>
      <c r="F1567" t="s">
        <v>13</v>
      </c>
      <c r="G1567">
        <v>3</v>
      </c>
      <c r="H1567">
        <v>0</v>
      </c>
      <c r="I1567" t="s">
        <v>488</v>
      </c>
      <c r="J1567" t="s">
        <v>1234</v>
      </c>
      <c r="K1567" t="s">
        <v>1235</v>
      </c>
      <c r="M1567" t="s">
        <v>487</v>
      </c>
      <c r="N1567">
        <v>0</v>
      </c>
      <c r="O1567" t="s">
        <v>1241</v>
      </c>
      <c r="P1567">
        <v>2.8500000000000001E-2</v>
      </c>
      <c r="Q1567">
        <v>0.50545179648240846</v>
      </c>
      <c r="R1567" s="6"/>
    </row>
    <row r="1568" spans="1:18" x14ac:dyDescent="0.15">
      <c r="C1568" t="s">
        <v>17</v>
      </c>
      <c r="D1568">
        <v>7.5757575757579998</v>
      </c>
      <c r="E1568">
        <v>1000</v>
      </c>
      <c r="F1568" t="s">
        <v>18</v>
      </c>
      <c r="G1568">
        <v>0</v>
      </c>
      <c r="H1568">
        <v>0</v>
      </c>
      <c r="I1568" t="s">
        <v>488</v>
      </c>
      <c r="J1568" t="s">
        <v>1234</v>
      </c>
      <c r="K1568" t="s">
        <v>1235</v>
      </c>
      <c r="M1568" t="s">
        <v>487</v>
      </c>
      <c r="N1568">
        <v>0</v>
      </c>
      <c r="O1568" t="s">
        <v>1241</v>
      </c>
      <c r="P1568">
        <v>53.85</v>
      </c>
      <c r="Q1568">
        <v>407.95454545456829</v>
      </c>
      <c r="R1568" s="6"/>
    </row>
    <row r="1569" spans="1:18" x14ac:dyDescent="0.15">
      <c r="C1569" t="s">
        <v>19</v>
      </c>
      <c r="D1569">
        <v>4</v>
      </c>
      <c r="E1569">
        <v>1</v>
      </c>
      <c r="F1569" t="s">
        <v>18</v>
      </c>
      <c r="G1569">
        <v>0</v>
      </c>
      <c r="H1569">
        <v>0</v>
      </c>
      <c r="I1569" t="s">
        <v>488</v>
      </c>
      <c r="J1569" t="s">
        <v>1236</v>
      </c>
      <c r="K1569" t="s">
        <v>1235</v>
      </c>
      <c r="M1569" t="s">
        <v>487</v>
      </c>
      <c r="N1569">
        <v>0</v>
      </c>
      <c r="O1569" t="s">
        <v>1241</v>
      </c>
      <c r="P1569">
        <v>34.65</v>
      </c>
      <c r="Q1569">
        <v>138.6</v>
      </c>
      <c r="R1569" s="6"/>
    </row>
    <row r="1570" spans="1:18" x14ac:dyDescent="0.15">
      <c r="A1570" t="s">
        <v>452</v>
      </c>
      <c r="B1570" t="s">
        <v>479</v>
      </c>
      <c r="P1570">
        <v>0.96828897309347639</v>
      </c>
      <c r="R1570" s="6"/>
    </row>
    <row r="1571" spans="1:18" x14ac:dyDescent="0.15">
      <c r="C1571" t="s">
        <v>453</v>
      </c>
      <c r="D1571">
        <v>2</v>
      </c>
      <c r="E1571">
        <v>1</v>
      </c>
      <c r="F1571" t="s">
        <v>9</v>
      </c>
      <c r="G1571">
        <v>0</v>
      </c>
      <c r="H1571">
        <v>0</v>
      </c>
      <c r="I1571" t="s">
        <v>488</v>
      </c>
      <c r="J1571" t="s">
        <v>1234</v>
      </c>
      <c r="K1571" t="s">
        <v>1235</v>
      </c>
      <c r="M1571" t="s">
        <v>487</v>
      </c>
      <c r="N1571">
        <v>0</v>
      </c>
      <c r="O1571" t="s">
        <v>1241</v>
      </c>
      <c r="P1571">
        <v>0.4841444865467382</v>
      </c>
      <c r="Q1571">
        <v>0.96828897309347639</v>
      </c>
      <c r="R1571" s="6"/>
    </row>
    <row r="1572" spans="1:18" x14ac:dyDescent="0.15">
      <c r="A1572" t="s">
        <v>453</v>
      </c>
      <c r="B1572" t="s">
        <v>9</v>
      </c>
      <c r="P1572">
        <v>0.4841444865467382</v>
      </c>
      <c r="R1572" s="6"/>
    </row>
    <row r="1573" spans="1:18" x14ac:dyDescent="0.15">
      <c r="C1573" t="s">
        <v>444</v>
      </c>
      <c r="D1573">
        <v>9</v>
      </c>
      <c r="E1573">
        <v>1</v>
      </c>
      <c r="F1573" t="s">
        <v>9</v>
      </c>
      <c r="G1573">
        <v>3</v>
      </c>
      <c r="H1573">
        <v>0</v>
      </c>
      <c r="I1573" t="s">
        <v>488</v>
      </c>
      <c r="J1573" t="s">
        <v>1234</v>
      </c>
      <c r="K1573" t="s">
        <v>1235</v>
      </c>
      <c r="M1573" t="s">
        <v>487</v>
      </c>
      <c r="N1573">
        <v>0</v>
      </c>
      <c r="O1573" t="s">
        <v>1241</v>
      </c>
      <c r="P1573">
        <v>0</v>
      </c>
      <c r="Q1573">
        <v>0</v>
      </c>
      <c r="R1573" s="9" t="s">
        <v>1246</v>
      </c>
    </row>
    <row r="1574" spans="1:18" x14ac:dyDescent="0.15">
      <c r="C1574" t="s">
        <v>12</v>
      </c>
      <c r="D1574">
        <v>0.633957286432</v>
      </c>
      <c r="E1574">
        <v>1</v>
      </c>
      <c r="F1574" t="s">
        <v>13</v>
      </c>
      <c r="G1574">
        <v>3</v>
      </c>
      <c r="H1574">
        <v>0</v>
      </c>
      <c r="I1574" t="s">
        <v>488</v>
      </c>
      <c r="J1574" t="s">
        <v>1234</v>
      </c>
      <c r="K1574" t="s">
        <v>1235</v>
      </c>
      <c r="M1574" t="s">
        <v>487</v>
      </c>
      <c r="N1574">
        <v>0</v>
      </c>
      <c r="O1574" t="s">
        <v>1241</v>
      </c>
      <c r="P1574">
        <v>1.03E-2</v>
      </c>
      <c r="Q1574">
        <v>6.7256528517570882</v>
      </c>
      <c r="R1574" s="6"/>
    </row>
    <row r="1575" spans="1:18" x14ac:dyDescent="0.15">
      <c r="C1575" t="s">
        <v>14</v>
      </c>
      <c r="D1575">
        <v>0.70439698492500002</v>
      </c>
      <c r="E1575">
        <v>1</v>
      </c>
      <c r="F1575" t="s">
        <v>13</v>
      </c>
      <c r="G1575">
        <v>3</v>
      </c>
      <c r="H1575">
        <v>0</v>
      </c>
      <c r="I1575" t="s">
        <v>488</v>
      </c>
      <c r="J1575" t="s">
        <v>1234</v>
      </c>
      <c r="K1575" t="s">
        <v>1235</v>
      </c>
      <c r="M1575" t="s">
        <v>487</v>
      </c>
      <c r="N1575">
        <v>0</v>
      </c>
      <c r="O1575" t="s">
        <v>1241</v>
      </c>
      <c r="P1575">
        <v>5.4900000000000001E-3</v>
      </c>
      <c r="Q1575">
        <v>3.9831536306553978</v>
      </c>
      <c r="R1575" s="6"/>
    </row>
    <row r="1576" spans="1:18" x14ac:dyDescent="0.15">
      <c r="C1576" t="s">
        <v>15</v>
      </c>
      <c r="D1576">
        <v>14.087939698493001</v>
      </c>
      <c r="E1576">
        <v>1000</v>
      </c>
      <c r="F1576" t="s">
        <v>13</v>
      </c>
      <c r="G1576">
        <v>3</v>
      </c>
      <c r="H1576">
        <v>0</v>
      </c>
      <c r="I1576" t="s">
        <v>488</v>
      </c>
      <c r="J1576" t="s">
        <v>1234</v>
      </c>
      <c r="K1576" t="s">
        <v>1235</v>
      </c>
      <c r="M1576" t="s">
        <v>487</v>
      </c>
      <c r="N1576">
        <v>0</v>
      </c>
      <c r="O1576" t="s">
        <v>1241</v>
      </c>
      <c r="P1576">
        <v>7.9819999999999988E-2</v>
      </c>
      <c r="Q1576">
        <v>1.1582343271357225</v>
      </c>
      <c r="R1576" s="6"/>
    </row>
    <row r="1577" spans="1:18" x14ac:dyDescent="0.15">
      <c r="C1577" t="s">
        <v>23</v>
      </c>
      <c r="D1577">
        <v>35.219849246231</v>
      </c>
      <c r="E1577">
        <v>1000</v>
      </c>
      <c r="F1577" t="s">
        <v>13</v>
      </c>
      <c r="G1577">
        <v>3</v>
      </c>
      <c r="H1577">
        <v>0</v>
      </c>
      <c r="I1577" t="s">
        <v>488</v>
      </c>
      <c r="J1577" t="s">
        <v>1234</v>
      </c>
      <c r="K1577" t="s">
        <v>1235</v>
      </c>
      <c r="M1577" t="s">
        <v>487</v>
      </c>
      <c r="N1577">
        <v>0</v>
      </c>
      <c r="O1577" t="s">
        <v>1241</v>
      </c>
      <c r="P1577">
        <v>2.3609999999999999E-2</v>
      </c>
      <c r="Q1577">
        <v>0.85648685992461926</v>
      </c>
      <c r="R1577" s="6"/>
    </row>
    <row r="1578" spans="1:18" x14ac:dyDescent="0.15">
      <c r="C1578" t="s">
        <v>24</v>
      </c>
      <c r="D1578">
        <v>14.087939698493001</v>
      </c>
      <c r="E1578">
        <v>1000</v>
      </c>
      <c r="F1578" t="s">
        <v>13</v>
      </c>
      <c r="G1578">
        <v>3</v>
      </c>
      <c r="H1578">
        <v>0</v>
      </c>
      <c r="I1578" t="s">
        <v>488</v>
      </c>
      <c r="J1578" t="s">
        <v>1234</v>
      </c>
      <c r="K1578" t="s">
        <v>1235</v>
      </c>
      <c r="M1578" t="s">
        <v>487</v>
      </c>
      <c r="N1578">
        <v>0</v>
      </c>
      <c r="O1578" t="s">
        <v>1241</v>
      </c>
      <c r="P1578">
        <v>2.8500000000000001E-2</v>
      </c>
      <c r="Q1578">
        <v>0.41355146984926205</v>
      </c>
      <c r="R1578" s="6"/>
    </row>
    <row r="1579" spans="1:18" x14ac:dyDescent="0.15">
      <c r="C1579" t="s">
        <v>17</v>
      </c>
      <c r="D1579">
        <v>6.1728395061730001</v>
      </c>
      <c r="E1579">
        <v>1000</v>
      </c>
      <c r="F1579" t="s">
        <v>18</v>
      </c>
      <c r="G1579">
        <v>0</v>
      </c>
      <c r="H1579">
        <v>0</v>
      </c>
      <c r="I1579" t="s">
        <v>488</v>
      </c>
      <c r="J1579" t="s">
        <v>1234</v>
      </c>
      <c r="K1579" t="s">
        <v>1235</v>
      </c>
      <c r="M1579" t="s">
        <v>487</v>
      </c>
      <c r="N1579">
        <v>0</v>
      </c>
      <c r="O1579" t="s">
        <v>1241</v>
      </c>
      <c r="P1579">
        <v>53.85</v>
      </c>
      <c r="Q1579">
        <v>332.40740740741609</v>
      </c>
      <c r="R1579" s="6"/>
    </row>
    <row r="1580" spans="1:18" x14ac:dyDescent="0.15">
      <c r="C1580" t="s">
        <v>19</v>
      </c>
      <c r="D1580">
        <v>4</v>
      </c>
      <c r="E1580">
        <v>1</v>
      </c>
      <c r="F1580" t="s">
        <v>18</v>
      </c>
      <c r="G1580">
        <v>0</v>
      </c>
      <c r="H1580">
        <v>0</v>
      </c>
      <c r="I1580" t="s">
        <v>488</v>
      </c>
      <c r="J1580" t="s">
        <v>1236</v>
      </c>
      <c r="K1580" t="s">
        <v>1235</v>
      </c>
      <c r="M1580" t="s">
        <v>487</v>
      </c>
      <c r="N1580">
        <v>0</v>
      </c>
      <c r="O1580" t="s">
        <v>1241</v>
      </c>
      <c r="P1580">
        <v>34.65</v>
      </c>
      <c r="Q1580">
        <v>138.6</v>
      </c>
      <c r="R1580" s="6"/>
    </row>
    <row r="1581" spans="1:18" x14ac:dyDescent="0.15">
      <c r="A1581" t="s">
        <v>454</v>
      </c>
      <c r="B1581" t="s">
        <v>479</v>
      </c>
      <c r="P1581">
        <v>0.49728156568605447</v>
      </c>
      <c r="R1581" s="6"/>
    </row>
    <row r="1582" spans="1:18" x14ac:dyDescent="0.15">
      <c r="C1582" t="s">
        <v>455</v>
      </c>
      <c r="D1582">
        <v>1</v>
      </c>
      <c r="E1582">
        <v>1</v>
      </c>
      <c r="F1582" t="s">
        <v>9</v>
      </c>
      <c r="G1582">
        <v>0</v>
      </c>
      <c r="H1582">
        <v>0</v>
      </c>
      <c r="I1582" t="s">
        <v>488</v>
      </c>
      <c r="J1582" t="s">
        <v>1234</v>
      </c>
      <c r="K1582" t="s">
        <v>1235</v>
      </c>
      <c r="M1582" t="s">
        <v>487</v>
      </c>
      <c r="N1582">
        <v>0</v>
      </c>
      <c r="O1582" t="s">
        <v>1241</v>
      </c>
      <c r="P1582">
        <v>0.49728156568605447</v>
      </c>
      <c r="Q1582">
        <v>0.49728156568605447</v>
      </c>
      <c r="R1582" s="6"/>
    </row>
    <row r="1583" spans="1:18" x14ac:dyDescent="0.15">
      <c r="A1583" t="s">
        <v>455</v>
      </c>
      <c r="B1583" t="s">
        <v>9</v>
      </c>
      <c r="P1583">
        <v>0.49728156568605447</v>
      </c>
      <c r="R1583" s="6"/>
    </row>
    <row r="1584" spans="1:18" x14ac:dyDescent="0.15">
      <c r="C1584" t="s">
        <v>444</v>
      </c>
      <c r="D1584">
        <v>18</v>
      </c>
      <c r="E1584">
        <v>1</v>
      </c>
      <c r="F1584" t="s">
        <v>9</v>
      </c>
      <c r="G1584">
        <v>3</v>
      </c>
      <c r="H1584">
        <v>0</v>
      </c>
      <c r="I1584" t="s">
        <v>488</v>
      </c>
      <c r="J1584" t="s">
        <v>1234</v>
      </c>
      <c r="K1584" t="s">
        <v>1235</v>
      </c>
      <c r="M1584" t="s">
        <v>487</v>
      </c>
      <c r="N1584">
        <v>0</v>
      </c>
      <c r="O1584" t="s">
        <v>1241</v>
      </c>
      <c r="P1584">
        <v>0</v>
      </c>
      <c r="Q1584">
        <v>0</v>
      </c>
      <c r="R1584" s="9" t="s">
        <v>1246</v>
      </c>
    </row>
    <row r="1585" spans="1:18" x14ac:dyDescent="0.15">
      <c r="C1585" t="s">
        <v>12</v>
      </c>
      <c r="D1585">
        <v>1.2679145728639998</v>
      </c>
      <c r="E1585">
        <v>1</v>
      </c>
      <c r="F1585" t="s">
        <v>13</v>
      </c>
      <c r="G1585">
        <v>3</v>
      </c>
      <c r="H1585">
        <v>0</v>
      </c>
      <c r="I1585" t="s">
        <v>488</v>
      </c>
      <c r="J1585" t="s">
        <v>1234</v>
      </c>
      <c r="K1585" t="s">
        <v>1235</v>
      </c>
      <c r="M1585" t="s">
        <v>487</v>
      </c>
      <c r="N1585">
        <v>0</v>
      </c>
      <c r="O1585" t="s">
        <v>1241</v>
      </c>
      <c r="P1585">
        <v>1.03E-2</v>
      </c>
      <c r="Q1585">
        <v>13.451305703514175</v>
      </c>
      <c r="R1585" s="6"/>
    </row>
    <row r="1586" spans="1:18" x14ac:dyDescent="0.15">
      <c r="C1586" t="s">
        <v>14</v>
      </c>
      <c r="D1586">
        <v>1.408793969849</v>
      </c>
      <c r="E1586">
        <v>1</v>
      </c>
      <c r="F1586" t="s">
        <v>13</v>
      </c>
      <c r="G1586">
        <v>3</v>
      </c>
      <c r="H1586">
        <v>0</v>
      </c>
      <c r="I1586" t="s">
        <v>488</v>
      </c>
      <c r="J1586" t="s">
        <v>1234</v>
      </c>
      <c r="K1586" t="s">
        <v>1235</v>
      </c>
      <c r="M1586" t="s">
        <v>487</v>
      </c>
      <c r="N1586">
        <v>0</v>
      </c>
      <c r="O1586" t="s">
        <v>1241</v>
      </c>
      <c r="P1586">
        <v>5.4900000000000001E-3</v>
      </c>
      <c r="Q1586">
        <v>7.9663072613051398</v>
      </c>
      <c r="R1586" s="6"/>
    </row>
    <row r="1587" spans="1:18" x14ac:dyDescent="0.15">
      <c r="C1587" t="s">
        <v>15</v>
      </c>
      <c r="D1587">
        <v>28.175879396985</v>
      </c>
      <c r="E1587">
        <v>1000</v>
      </c>
      <c r="F1587" t="s">
        <v>13</v>
      </c>
      <c r="G1587">
        <v>3</v>
      </c>
      <c r="H1587">
        <v>0</v>
      </c>
      <c r="I1587" t="s">
        <v>488</v>
      </c>
      <c r="J1587" t="s">
        <v>1234</v>
      </c>
      <c r="K1587" t="s">
        <v>1235</v>
      </c>
      <c r="M1587" t="s">
        <v>487</v>
      </c>
      <c r="N1587">
        <v>0</v>
      </c>
      <c r="O1587" t="s">
        <v>1241</v>
      </c>
      <c r="P1587">
        <v>7.9819999999999988E-2</v>
      </c>
      <c r="Q1587">
        <v>2.3164686542713624</v>
      </c>
      <c r="R1587" s="6"/>
    </row>
    <row r="1588" spans="1:18" x14ac:dyDescent="0.15">
      <c r="C1588" t="s">
        <v>23</v>
      </c>
      <c r="D1588">
        <v>70.439698492462</v>
      </c>
      <c r="E1588">
        <v>1000</v>
      </c>
      <c r="F1588" t="s">
        <v>13</v>
      </c>
      <c r="G1588">
        <v>3</v>
      </c>
      <c r="H1588">
        <v>0</v>
      </c>
      <c r="I1588" t="s">
        <v>488</v>
      </c>
      <c r="J1588" t="s">
        <v>1234</v>
      </c>
      <c r="K1588" t="s">
        <v>1235</v>
      </c>
      <c r="M1588" t="s">
        <v>487</v>
      </c>
      <c r="N1588">
        <v>0</v>
      </c>
      <c r="O1588" t="s">
        <v>1241</v>
      </c>
      <c r="P1588">
        <v>2.3609999999999999E-2</v>
      </c>
      <c r="Q1588">
        <v>1.7129737198492385</v>
      </c>
      <c r="R1588" s="6"/>
    </row>
    <row r="1589" spans="1:18" x14ac:dyDescent="0.15">
      <c r="C1589" t="s">
        <v>24</v>
      </c>
      <c r="D1589">
        <v>28.175879396985</v>
      </c>
      <c r="E1589">
        <v>1000</v>
      </c>
      <c r="F1589" t="s">
        <v>13</v>
      </c>
      <c r="G1589">
        <v>3</v>
      </c>
      <c r="H1589">
        <v>0</v>
      </c>
      <c r="I1589" t="s">
        <v>488</v>
      </c>
      <c r="J1589" t="s">
        <v>1234</v>
      </c>
      <c r="K1589" t="s">
        <v>1235</v>
      </c>
      <c r="M1589" t="s">
        <v>487</v>
      </c>
      <c r="N1589">
        <v>0</v>
      </c>
      <c r="O1589" t="s">
        <v>1241</v>
      </c>
      <c r="P1589">
        <v>2.8500000000000001E-2</v>
      </c>
      <c r="Q1589">
        <v>0.82710293969849469</v>
      </c>
      <c r="R1589" s="6"/>
    </row>
    <row r="1590" spans="1:18" x14ac:dyDescent="0.15">
      <c r="C1590" t="s">
        <v>17</v>
      </c>
      <c r="D1590">
        <v>6.1728395061730001</v>
      </c>
      <c r="E1590">
        <v>1000</v>
      </c>
      <c r="F1590" t="s">
        <v>18</v>
      </c>
      <c r="G1590">
        <v>0</v>
      </c>
      <c r="H1590">
        <v>0</v>
      </c>
      <c r="I1590" t="s">
        <v>488</v>
      </c>
      <c r="J1590" t="s">
        <v>1234</v>
      </c>
      <c r="K1590" t="s">
        <v>1235</v>
      </c>
      <c r="M1590" t="s">
        <v>487</v>
      </c>
      <c r="N1590">
        <v>0</v>
      </c>
      <c r="O1590" t="s">
        <v>1241</v>
      </c>
      <c r="P1590">
        <v>53.85</v>
      </c>
      <c r="Q1590">
        <v>332.40740740741609</v>
      </c>
      <c r="R1590" s="6"/>
    </row>
    <row r="1591" spans="1:18" x14ac:dyDescent="0.15">
      <c r="C1591" t="s">
        <v>19</v>
      </c>
      <c r="D1591">
        <v>4</v>
      </c>
      <c r="E1591">
        <v>1</v>
      </c>
      <c r="F1591" t="s">
        <v>18</v>
      </c>
      <c r="G1591">
        <v>0</v>
      </c>
      <c r="H1591">
        <v>0</v>
      </c>
      <c r="I1591" t="s">
        <v>488</v>
      </c>
      <c r="J1591" t="s">
        <v>1236</v>
      </c>
      <c r="K1591" t="s">
        <v>1235</v>
      </c>
      <c r="M1591" t="s">
        <v>487</v>
      </c>
      <c r="N1591">
        <v>0</v>
      </c>
      <c r="O1591" t="s">
        <v>1241</v>
      </c>
      <c r="P1591">
        <v>34.65</v>
      </c>
      <c r="Q1591">
        <v>138.6</v>
      </c>
      <c r="R1591" s="6"/>
    </row>
    <row r="1592" spans="1:18" x14ac:dyDescent="0.15">
      <c r="A1592" t="s">
        <v>456</v>
      </c>
      <c r="B1592" t="s">
        <v>479</v>
      </c>
      <c r="P1592">
        <v>-0.86693105039199325</v>
      </c>
      <c r="R1592" s="6"/>
    </row>
    <row r="1593" spans="1:18" x14ac:dyDescent="0.15">
      <c r="C1593" t="s">
        <v>457</v>
      </c>
      <c r="D1593">
        <v>2</v>
      </c>
      <c r="E1593">
        <v>1</v>
      </c>
      <c r="F1593" t="s">
        <v>9</v>
      </c>
      <c r="G1593">
        <v>0</v>
      </c>
      <c r="H1593">
        <v>0</v>
      </c>
      <c r="I1593" t="s">
        <v>488</v>
      </c>
      <c r="J1593" t="s">
        <v>1234</v>
      </c>
      <c r="K1593" t="s">
        <v>1235</v>
      </c>
      <c r="M1593" t="s">
        <v>487</v>
      </c>
      <c r="N1593">
        <v>0</v>
      </c>
      <c r="O1593" t="s">
        <v>1241</v>
      </c>
      <c r="P1593">
        <v>-0.43346552519599663</v>
      </c>
      <c r="Q1593">
        <v>-0.86693105039199325</v>
      </c>
      <c r="R1593" s="6"/>
    </row>
    <row r="1594" spans="1:18" x14ac:dyDescent="0.15">
      <c r="A1594" t="s">
        <v>457</v>
      </c>
      <c r="B1594" t="s">
        <v>9</v>
      </c>
      <c r="P1594">
        <v>-0.43346552519599663</v>
      </c>
      <c r="R1594" s="6"/>
    </row>
    <row r="1595" spans="1:18" x14ac:dyDescent="0.15">
      <c r="C1595" t="s">
        <v>444</v>
      </c>
      <c r="D1595">
        <v>5</v>
      </c>
      <c r="E1595">
        <v>1</v>
      </c>
      <c r="F1595" t="s">
        <v>9</v>
      </c>
      <c r="G1595">
        <v>3</v>
      </c>
      <c r="H1595">
        <v>0</v>
      </c>
      <c r="I1595" t="s">
        <v>488</v>
      </c>
      <c r="J1595" t="s">
        <v>1234</v>
      </c>
      <c r="K1595" t="s">
        <v>1235</v>
      </c>
      <c r="M1595" t="s">
        <v>487</v>
      </c>
      <c r="N1595">
        <v>0</v>
      </c>
      <c r="O1595" t="s">
        <v>1241</v>
      </c>
      <c r="P1595">
        <v>0</v>
      </c>
      <c r="Q1595">
        <v>0</v>
      </c>
      <c r="R1595" s="9" t="s">
        <v>1246</v>
      </c>
    </row>
    <row r="1596" spans="1:18" x14ac:dyDescent="0.15">
      <c r="C1596" t="s">
        <v>445</v>
      </c>
      <c r="D1596">
        <v>1</v>
      </c>
      <c r="E1596">
        <v>1</v>
      </c>
      <c r="F1596" t="s">
        <v>9</v>
      </c>
      <c r="G1596">
        <v>3</v>
      </c>
      <c r="H1596">
        <v>0</v>
      </c>
      <c r="I1596" t="s">
        <v>488</v>
      </c>
      <c r="J1596" t="s">
        <v>1234</v>
      </c>
      <c r="K1596" t="s">
        <v>1235</v>
      </c>
      <c r="M1596" t="s">
        <v>487</v>
      </c>
      <c r="N1596">
        <v>0</v>
      </c>
      <c r="O1596" t="s">
        <v>1241</v>
      </c>
      <c r="P1596">
        <v>-1</v>
      </c>
      <c r="Q1596">
        <v>-1030</v>
      </c>
      <c r="R1596" s="10" t="s">
        <v>1247</v>
      </c>
    </row>
    <row r="1597" spans="1:18" x14ac:dyDescent="0.15">
      <c r="C1597" t="s">
        <v>12</v>
      </c>
      <c r="D1597">
        <v>0.443216080402</v>
      </c>
      <c r="E1597">
        <v>1</v>
      </c>
      <c r="F1597" t="s">
        <v>13</v>
      </c>
      <c r="G1597">
        <v>3</v>
      </c>
      <c r="H1597">
        <v>0</v>
      </c>
      <c r="I1597" t="s">
        <v>488</v>
      </c>
      <c r="J1597" t="s">
        <v>1234</v>
      </c>
      <c r="K1597" t="s">
        <v>1235</v>
      </c>
      <c r="M1597" t="s">
        <v>487</v>
      </c>
      <c r="N1597">
        <v>0</v>
      </c>
      <c r="O1597" t="s">
        <v>1241</v>
      </c>
      <c r="P1597">
        <v>1.03E-2</v>
      </c>
      <c r="Q1597">
        <v>4.7020793969848178</v>
      </c>
      <c r="R1597" s="6"/>
    </row>
    <row r="1598" spans="1:18" x14ac:dyDescent="0.15">
      <c r="C1598" t="s">
        <v>14</v>
      </c>
      <c r="D1598">
        <v>0.49246231155800002</v>
      </c>
      <c r="E1598">
        <v>1</v>
      </c>
      <c r="F1598" t="s">
        <v>13</v>
      </c>
      <c r="G1598">
        <v>3</v>
      </c>
      <c r="H1598">
        <v>0</v>
      </c>
      <c r="I1598" t="s">
        <v>488</v>
      </c>
      <c r="J1598" t="s">
        <v>1234</v>
      </c>
      <c r="K1598" t="s">
        <v>1235</v>
      </c>
      <c r="M1598" t="s">
        <v>487</v>
      </c>
      <c r="N1598">
        <v>0</v>
      </c>
      <c r="O1598" t="s">
        <v>1241</v>
      </c>
      <c r="P1598">
        <v>5.4900000000000001E-3</v>
      </c>
      <c r="Q1598">
        <v>2.7847266331670228</v>
      </c>
      <c r="R1598" s="6"/>
    </row>
    <row r="1599" spans="1:18" x14ac:dyDescent="0.15">
      <c r="C1599" t="s">
        <v>15</v>
      </c>
      <c r="D1599">
        <v>9.8492462311560018</v>
      </c>
      <c r="E1599">
        <v>1000</v>
      </c>
      <c r="F1599" t="s">
        <v>13</v>
      </c>
      <c r="G1599">
        <v>3</v>
      </c>
      <c r="H1599">
        <v>0</v>
      </c>
      <c r="I1599" t="s">
        <v>488</v>
      </c>
      <c r="J1599" t="s">
        <v>1234</v>
      </c>
      <c r="K1599" t="s">
        <v>1235</v>
      </c>
      <c r="M1599" t="s">
        <v>487</v>
      </c>
      <c r="N1599">
        <v>0</v>
      </c>
      <c r="O1599" t="s">
        <v>1241</v>
      </c>
      <c r="P1599">
        <v>7.9819999999999988E-2</v>
      </c>
      <c r="Q1599">
        <v>0.80975183919599814</v>
      </c>
      <c r="R1599" s="6"/>
    </row>
    <row r="1600" spans="1:18" x14ac:dyDescent="0.15">
      <c r="C1600" t="s">
        <v>23</v>
      </c>
      <c r="D1600">
        <v>24.623115577890005</v>
      </c>
      <c r="E1600">
        <v>1000</v>
      </c>
      <c r="F1600" t="s">
        <v>13</v>
      </c>
      <c r="G1600">
        <v>3</v>
      </c>
      <c r="H1600">
        <v>0</v>
      </c>
      <c r="I1600" t="s">
        <v>488</v>
      </c>
      <c r="J1600" t="s">
        <v>1234</v>
      </c>
      <c r="K1600" t="s">
        <v>1235</v>
      </c>
      <c r="M1600" t="s">
        <v>487</v>
      </c>
      <c r="N1600">
        <v>0</v>
      </c>
      <c r="O1600" t="s">
        <v>1241</v>
      </c>
      <c r="P1600">
        <v>2.3609999999999999E-2</v>
      </c>
      <c r="Q1600">
        <v>0.59879231155780244</v>
      </c>
      <c r="R1600" s="6"/>
    </row>
    <row r="1601" spans="1:18" x14ac:dyDescent="0.15">
      <c r="C1601" t="s">
        <v>24</v>
      </c>
      <c r="D1601">
        <v>9.8492462311560018</v>
      </c>
      <c r="E1601">
        <v>1000</v>
      </c>
      <c r="F1601" t="s">
        <v>13</v>
      </c>
      <c r="G1601">
        <v>3</v>
      </c>
      <c r="H1601">
        <v>0</v>
      </c>
      <c r="I1601" t="s">
        <v>488</v>
      </c>
      <c r="J1601" t="s">
        <v>1234</v>
      </c>
      <c r="K1601" t="s">
        <v>1235</v>
      </c>
      <c r="M1601" t="s">
        <v>487</v>
      </c>
      <c r="N1601">
        <v>0</v>
      </c>
      <c r="O1601" t="s">
        <v>1241</v>
      </c>
      <c r="P1601">
        <v>2.8500000000000001E-2</v>
      </c>
      <c r="Q1601">
        <v>0.28912462311558446</v>
      </c>
      <c r="R1601" s="6"/>
    </row>
    <row r="1602" spans="1:18" x14ac:dyDescent="0.15">
      <c r="C1602" t="s">
        <v>17</v>
      </c>
      <c r="D1602">
        <v>8.3333333333330017</v>
      </c>
      <c r="E1602">
        <v>1000</v>
      </c>
      <c r="F1602" t="s">
        <v>18</v>
      </c>
      <c r="G1602">
        <v>0</v>
      </c>
      <c r="H1602">
        <v>0</v>
      </c>
      <c r="I1602" t="s">
        <v>488</v>
      </c>
      <c r="J1602" t="s">
        <v>1234</v>
      </c>
      <c r="K1602" t="s">
        <v>1235</v>
      </c>
      <c r="M1602" t="s">
        <v>487</v>
      </c>
      <c r="N1602">
        <v>0</v>
      </c>
      <c r="O1602" t="s">
        <v>1241</v>
      </c>
      <c r="P1602">
        <v>53.85</v>
      </c>
      <c r="Q1602">
        <v>448.74999999998215</v>
      </c>
      <c r="R1602" s="6"/>
    </row>
    <row r="1603" spans="1:18" x14ac:dyDescent="0.15">
      <c r="C1603" t="s">
        <v>19</v>
      </c>
      <c r="D1603">
        <v>4</v>
      </c>
      <c r="E1603">
        <v>1</v>
      </c>
      <c r="F1603" t="s">
        <v>18</v>
      </c>
      <c r="G1603">
        <v>0</v>
      </c>
      <c r="H1603">
        <v>0</v>
      </c>
      <c r="I1603" t="s">
        <v>488</v>
      </c>
      <c r="J1603" t="s">
        <v>1236</v>
      </c>
      <c r="K1603" t="s">
        <v>1235</v>
      </c>
      <c r="M1603" t="s">
        <v>487</v>
      </c>
      <c r="N1603">
        <v>0</v>
      </c>
      <c r="O1603" t="s">
        <v>1241</v>
      </c>
      <c r="P1603">
        <v>34.65</v>
      </c>
      <c r="Q1603">
        <v>138.6</v>
      </c>
      <c r="R1603" s="6"/>
    </row>
    <row r="1604" spans="1:18" x14ac:dyDescent="0.15">
      <c r="A1604" t="s">
        <v>458</v>
      </c>
      <c r="B1604" t="s">
        <v>479</v>
      </c>
      <c r="P1604">
        <v>0.58158675649275826</v>
      </c>
      <c r="R1604" s="6"/>
    </row>
    <row r="1605" spans="1:18" x14ac:dyDescent="0.15">
      <c r="C1605" t="s">
        <v>459</v>
      </c>
      <c r="D1605">
        <v>1</v>
      </c>
      <c r="E1605">
        <v>1</v>
      </c>
      <c r="F1605" t="s">
        <v>9</v>
      </c>
      <c r="G1605">
        <v>0</v>
      </c>
      <c r="H1605">
        <v>0</v>
      </c>
      <c r="I1605" t="s">
        <v>488</v>
      </c>
      <c r="J1605" t="s">
        <v>1234</v>
      </c>
      <c r="K1605" t="s">
        <v>1235</v>
      </c>
      <c r="M1605" t="s">
        <v>487</v>
      </c>
      <c r="N1605">
        <v>0</v>
      </c>
      <c r="O1605" t="s">
        <v>1241</v>
      </c>
      <c r="P1605">
        <v>0.58158675649275826</v>
      </c>
      <c r="Q1605">
        <v>0.58158675649275826</v>
      </c>
      <c r="R1605" s="6"/>
    </row>
    <row r="1606" spans="1:18" x14ac:dyDescent="0.15">
      <c r="A1606" t="s">
        <v>460</v>
      </c>
      <c r="B1606" t="s">
        <v>479</v>
      </c>
      <c r="P1606">
        <v>1.1631735129855165</v>
      </c>
      <c r="R1606" s="6"/>
    </row>
    <row r="1607" spans="1:18" x14ac:dyDescent="0.15">
      <c r="C1607" t="s">
        <v>459</v>
      </c>
      <c r="D1607">
        <v>2</v>
      </c>
      <c r="E1607">
        <v>1</v>
      </c>
      <c r="F1607" t="s">
        <v>9</v>
      </c>
      <c r="G1607">
        <v>0</v>
      </c>
      <c r="H1607">
        <v>0</v>
      </c>
      <c r="I1607" t="s">
        <v>488</v>
      </c>
      <c r="J1607" t="s">
        <v>1234</v>
      </c>
      <c r="K1607" t="s">
        <v>1235</v>
      </c>
      <c r="M1607" t="s">
        <v>487</v>
      </c>
      <c r="N1607">
        <v>0</v>
      </c>
      <c r="O1607" t="s">
        <v>1241</v>
      </c>
      <c r="P1607">
        <v>0.58158675649275826</v>
      </c>
      <c r="Q1607">
        <v>1.1631735129855165</v>
      </c>
      <c r="R1607" s="6"/>
    </row>
    <row r="1608" spans="1:18" x14ac:dyDescent="0.15">
      <c r="A1608" t="s">
        <v>461</v>
      </c>
      <c r="B1608" t="s">
        <v>479</v>
      </c>
      <c r="P1608">
        <v>0.29079337824637913</v>
      </c>
      <c r="R1608" s="6"/>
    </row>
    <row r="1609" spans="1:18" x14ac:dyDescent="0.15">
      <c r="C1609" t="s">
        <v>459</v>
      </c>
      <c r="D1609">
        <v>500</v>
      </c>
      <c r="E1609">
        <v>1000</v>
      </c>
      <c r="F1609" t="s">
        <v>9</v>
      </c>
      <c r="G1609">
        <v>0</v>
      </c>
      <c r="H1609">
        <v>0</v>
      </c>
      <c r="I1609" t="s">
        <v>488</v>
      </c>
      <c r="J1609" t="s">
        <v>1234</v>
      </c>
      <c r="K1609" t="s">
        <v>1235</v>
      </c>
      <c r="M1609" t="s">
        <v>487</v>
      </c>
      <c r="N1609">
        <v>0</v>
      </c>
      <c r="O1609" t="s">
        <v>1241</v>
      </c>
      <c r="P1609">
        <v>0.58158675649275826</v>
      </c>
      <c r="Q1609">
        <v>290.79337824637912</v>
      </c>
      <c r="R1609" s="6"/>
    </row>
    <row r="1610" spans="1:18" x14ac:dyDescent="0.15">
      <c r="A1610" t="s">
        <v>459</v>
      </c>
      <c r="B1610" t="s">
        <v>9</v>
      </c>
      <c r="P1610">
        <v>0.58158675649275826</v>
      </c>
      <c r="R1610" s="6"/>
    </row>
    <row r="1611" spans="1:18" x14ac:dyDescent="0.15">
      <c r="C1611" t="s">
        <v>444</v>
      </c>
      <c r="D1611">
        <v>24</v>
      </c>
      <c r="E1611">
        <v>1</v>
      </c>
      <c r="F1611" t="s">
        <v>9</v>
      </c>
      <c r="G1611">
        <v>3</v>
      </c>
      <c r="H1611">
        <v>0</v>
      </c>
      <c r="I1611" t="s">
        <v>488</v>
      </c>
      <c r="J1611" t="s">
        <v>1234</v>
      </c>
      <c r="K1611" t="s">
        <v>1235</v>
      </c>
      <c r="M1611" t="s">
        <v>487</v>
      </c>
      <c r="N1611">
        <v>0</v>
      </c>
      <c r="O1611" t="s">
        <v>1241</v>
      </c>
      <c r="P1611">
        <v>0</v>
      </c>
      <c r="Q1611">
        <v>0</v>
      </c>
      <c r="R1611" s="9" t="s">
        <v>1246</v>
      </c>
    </row>
    <row r="1612" spans="1:18" x14ac:dyDescent="0.15">
      <c r="C1612" t="s">
        <v>12</v>
      </c>
      <c r="D1612">
        <v>1.6905527638190001</v>
      </c>
      <c r="E1612">
        <v>1</v>
      </c>
      <c r="F1612" t="s">
        <v>13</v>
      </c>
      <c r="G1612">
        <v>3</v>
      </c>
      <c r="H1612">
        <v>0</v>
      </c>
      <c r="I1612" t="s">
        <v>488</v>
      </c>
      <c r="J1612" t="s">
        <v>1234</v>
      </c>
      <c r="K1612" t="s">
        <v>1235</v>
      </c>
      <c r="M1612" t="s">
        <v>487</v>
      </c>
      <c r="N1612">
        <v>0</v>
      </c>
      <c r="O1612" t="s">
        <v>1241</v>
      </c>
      <c r="P1612">
        <v>1.03E-2</v>
      </c>
      <c r="Q1612">
        <v>17.93507427135577</v>
      </c>
      <c r="R1612" s="6"/>
    </row>
    <row r="1613" spans="1:18" x14ac:dyDescent="0.15">
      <c r="C1613" t="s">
        <v>14</v>
      </c>
      <c r="D1613">
        <v>1.8783919597989995</v>
      </c>
      <c r="E1613">
        <v>1</v>
      </c>
      <c r="F1613" t="s">
        <v>13</v>
      </c>
      <c r="G1613">
        <v>3</v>
      </c>
      <c r="H1613">
        <v>0</v>
      </c>
      <c r="I1613" t="s">
        <v>488</v>
      </c>
      <c r="J1613" t="s">
        <v>1234</v>
      </c>
      <c r="K1613" t="s">
        <v>1235</v>
      </c>
      <c r="M1613" t="s">
        <v>487</v>
      </c>
      <c r="N1613">
        <v>0</v>
      </c>
      <c r="O1613" t="s">
        <v>1241</v>
      </c>
      <c r="P1613">
        <v>5.4900000000000001E-3</v>
      </c>
      <c r="Q1613">
        <v>10.621743015075403</v>
      </c>
      <c r="R1613" s="6"/>
    </row>
    <row r="1614" spans="1:18" x14ac:dyDescent="0.15">
      <c r="C1614" t="s">
        <v>15</v>
      </c>
      <c r="D1614">
        <v>37.567839195979992</v>
      </c>
      <c r="E1614">
        <v>1000</v>
      </c>
      <c r="F1614" t="s">
        <v>13</v>
      </c>
      <c r="G1614">
        <v>3</v>
      </c>
      <c r="H1614">
        <v>0</v>
      </c>
      <c r="I1614" t="s">
        <v>488</v>
      </c>
      <c r="J1614" t="s">
        <v>1234</v>
      </c>
      <c r="K1614" t="s">
        <v>1235</v>
      </c>
      <c r="M1614" t="s">
        <v>487</v>
      </c>
      <c r="N1614">
        <v>0</v>
      </c>
      <c r="O1614" t="s">
        <v>1241</v>
      </c>
      <c r="P1614">
        <v>7.9819999999999988E-2</v>
      </c>
      <c r="Q1614">
        <v>3.0886248723618164</v>
      </c>
      <c r="R1614" s="6"/>
    </row>
    <row r="1615" spans="1:18" x14ac:dyDescent="0.15">
      <c r="C1615" t="s">
        <v>23</v>
      </c>
      <c r="D1615">
        <v>93.919597989949992</v>
      </c>
      <c r="E1615">
        <v>1000</v>
      </c>
      <c r="F1615" t="s">
        <v>13</v>
      </c>
      <c r="G1615">
        <v>3</v>
      </c>
      <c r="H1615">
        <v>0</v>
      </c>
      <c r="I1615" t="s">
        <v>488</v>
      </c>
      <c r="J1615" t="s">
        <v>1234</v>
      </c>
      <c r="K1615" t="s">
        <v>1235</v>
      </c>
      <c r="M1615" t="s">
        <v>487</v>
      </c>
      <c r="N1615">
        <v>0</v>
      </c>
      <c r="O1615" t="s">
        <v>1241</v>
      </c>
      <c r="P1615">
        <v>2.3609999999999999E-2</v>
      </c>
      <c r="Q1615">
        <v>2.2839649597990008</v>
      </c>
      <c r="R1615" s="6"/>
    </row>
    <row r="1616" spans="1:18" x14ac:dyDescent="0.15">
      <c r="C1616" t="s">
        <v>24</v>
      </c>
      <c r="D1616">
        <v>37.567839195979992</v>
      </c>
      <c r="E1616">
        <v>1000</v>
      </c>
      <c r="F1616" t="s">
        <v>13</v>
      </c>
      <c r="G1616">
        <v>3</v>
      </c>
      <c r="H1616">
        <v>0</v>
      </c>
      <c r="I1616" t="s">
        <v>488</v>
      </c>
      <c r="J1616" t="s">
        <v>1234</v>
      </c>
      <c r="K1616" t="s">
        <v>1235</v>
      </c>
      <c r="M1616" t="s">
        <v>487</v>
      </c>
      <c r="N1616">
        <v>0</v>
      </c>
      <c r="O1616" t="s">
        <v>1241</v>
      </c>
      <c r="P1616">
        <v>2.8500000000000001E-2</v>
      </c>
      <c r="Q1616">
        <v>1.1028039195979926</v>
      </c>
      <c r="R1616" s="6"/>
    </row>
    <row r="1617" spans="1:18" x14ac:dyDescent="0.15">
      <c r="C1617" t="s">
        <v>17</v>
      </c>
      <c r="D1617">
        <v>7.5757575757579998</v>
      </c>
      <c r="E1617">
        <v>1000</v>
      </c>
      <c r="F1617" t="s">
        <v>18</v>
      </c>
      <c r="G1617">
        <v>0</v>
      </c>
      <c r="H1617">
        <v>0</v>
      </c>
      <c r="I1617" t="s">
        <v>488</v>
      </c>
      <c r="J1617" t="s">
        <v>1234</v>
      </c>
      <c r="K1617" t="s">
        <v>1235</v>
      </c>
      <c r="M1617" t="s">
        <v>487</v>
      </c>
      <c r="N1617">
        <v>0</v>
      </c>
      <c r="O1617" t="s">
        <v>1241</v>
      </c>
      <c r="P1617">
        <v>53.85</v>
      </c>
      <c r="Q1617">
        <v>407.95454545456829</v>
      </c>
      <c r="R1617" s="6"/>
    </row>
    <row r="1618" spans="1:18" x14ac:dyDescent="0.15">
      <c r="C1618" t="s">
        <v>19</v>
      </c>
      <c r="D1618">
        <v>4</v>
      </c>
      <c r="E1618">
        <v>1</v>
      </c>
      <c r="F1618" t="s">
        <v>18</v>
      </c>
      <c r="G1618">
        <v>0</v>
      </c>
      <c r="H1618">
        <v>0</v>
      </c>
      <c r="I1618" t="s">
        <v>488</v>
      </c>
      <c r="J1618" t="s">
        <v>1236</v>
      </c>
      <c r="K1618" t="s">
        <v>1235</v>
      </c>
      <c r="M1618" t="s">
        <v>487</v>
      </c>
      <c r="N1618">
        <v>0</v>
      </c>
      <c r="O1618" t="s">
        <v>1241</v>
      </c>
      <c r="P1618">
        <v>34.65</v>
      </c>
      <c r="Q1618">
        <v>138.6</v>
      </c>
      <c r="R1618" s="6"/>
    </row>
    <row r="1619" spans="1:18" x14ac:dyDescent="0.15">
      <c r="A1619" t="s">
        <v>462</v>
      </c>
      <c r="B1619" t="s">
        <v>479</v>
      </c>
      <c r="P1619">
        <v>349.69474659507165</v>
      </c>
      <c r="R1619" s="6"/>
    </row>
    <row r="1620" spans="1:18" x14ac:dyDescent="0.15">
      <c r="C1620" t="s">
        <v>463</v>
      </c>
      <c r="D1620">
        <v>440</v>
      </c>
      <c r="E1620">
        <v>1</v>
      </c>
      <c r="F1620" t="s">
        <v>9</v>
      </c>
      <c r="G1620">
        <v>0</v>
      </c>
      <c r="H1620">
        <v>0</v>
      </c>
      <c r="I1620" t="s">
        <v>488</v>
      </c>
      <c r="J1620" t="s">
        <v>1234</v>
      </c>
      <c r="K1620" t="s">
        <v>1235</v>
      </c>
      <c r="M1620" t="s">
        <v>487</v>
      </c>
      <c r="N1620">
        <v>0</v>
      </c>
      <c r="O1620" t="s">
        <v>1241</v>
      </c>
      <c r="P1620">
        <v>0.79476078771607195</v>
      </c>
      <c r="Q1620">
        <v>349.69474659507165</v>
      </c>
      <c r="R1620" s="6"/>
    </row>
    <row r="1621" spans="1:18" x14ac:dyDescent="0.15">
      <c r="A1621" t="s">
        <v>618</v>
      </c>
      <c r="B1621" t="s">
        <v>479</v>
      </c>
      <c r="P1621">
        <v>-1</v>
      </c>
      <c r="R1621" s="8" t="s">
        <v>1244</v>
      </c>
    </row>
    <row r="1622" spans="1:18" x14ac:dyDescent="0.15">
      <c r="A1622" t="s">
        <v>463</v>
      </c>
      <c r="B1622" t="s">
        <v>9</v>
      </c>
      <c r="P1622">
        <v>0.79476078771607195</v>
      </c>
      <c r="R1622" s="6"/>
    </row>
    <row r="1623" spans="1:18" x14ac:dyDescent="0.15">
      <c r="C1623" t="s">
        <v>464</v>
      </c>
      <c r="D1623">
        <v>3</v>
      </c>
      <c r="E1623">
        <v>1</v>
      </c>
      <c r="F1623" t="s">
        <v>9</v>
      </c>
      <c r="G1623">
        <v>3</v>
      </c>
      <c r="H1623">
        <v>0</v>
      </c>
      <c r="I1623" t="s">
        <v>488</v>
      </c>
      <c r="J1623" t="s">
        <v>1234</v>
      </c>
      <c r="K1623" t="s">
        <v>1235</v>
      </c>
      <c r="M1623" t="s">
        <v>487</v>
      </c>
      <c r="N1623">
        <v>0</v>
      </c>
      <c r="O1623" t="s">
        <v>1241</v>
      </c>
      <c r="P1623">
        <v>0</v>
      </c>
      <c r="Q1623">
        <v>0</v>
      </c>
      <c r="R1623" s="9" t="s">
        <v>1246</v>
      </c>
    </row>
    <row r="1624" spans="1:18" ht="27" x14ac:dyDescent="0.15">
      <c r="C1624" t="s">
        <v>11</v>
      </c>
      <c r="D1624">
        <v>1</v>
      </c>
      <c r="E1624">
        <v>1</v>
      </c>
      <c r="F1624" t="s">
        <v>9</v>
      </c>
      <c r="G1624">
        <v>3</v>
      </c>
      <c r="H1624">
        <v>0</v>
      </c>
      <c r="I1624" t="s">
        <v>488</v>
      </c>
      <c r="J1624" t="s">
        <v>1234</v>
      </c>
      <c r="K1624" t="s">
        <v>1235</v>
      </c>
      <c r="M1624" t="s">
        <v>487</v>
      </c>
      <c r="N1624">
        <v>0</v>
      </c>
      <c r="O1624" t="s">
        <v>1241</v>
      </c>
      <c r="P1624">
        <v>-1</v>
      </c>
      <c r="Q1624">
        <v>0</v>
      </c>
      <c r="R1624" s="7" t="s">
        <v>1245</v>
      </c>
    </row>
    <row r="1625" spans="1:18" x14ac:dyDescent="0.15">
      <c r="C1625" t="s">
        <v>12</v>
      </c>
      <c r="D1625">
        <v>19.899497487436999</v>
      </c>
      <c r="E1625">
        <v>1000</v>
      </c>
      <c r="F1625" t="s">
        <v>13</v>
      </c>
      <c r="G1625">
        <v>3</v>
      </c>
      <c r="H1625">
        <v>0</v>
      </c>
      <c r="I1625" t="s">
        <v>488</v>
      </c>
      <c r="J1625" t="s">
        <v>1234</v>
      </c>
      <c r="K1625" t="s">
        <v>1235</v>
      </c>
      <c r="M1625" t="s">
        <v>487</v>
      </c>
      <c r="N1625">
        <v>0</v>
      </c>
      <c r="O1625" t="s">
        <v>1241</v>
      </c>
      <c r="P1625">
        <v>1.03E-2</v>
      </c>
      <c r="Q1625">
        <v>0.21111376884421915</v>
      </c>
      <c r="R1625" s="6"/>
    </row>
    <row r="1626" spans="1:18" x14ac:dyDescent="0.15">
      <c r="C1626" t="s">
        <v>14</v>
      </c>
      <c r="D1626">
        <v>22.110552763819001</v>
      </c>
      <c r="E1626">
        <v>1000</v>
      </c>
      <c r="F1626" t="s">
        <v>13</v>
      </c>
      <c r="G1626">
        <v>3</v>
      </c>
      <c r="H1626">
        <v>0</v>
      </c>
      <c r="I1626" t="s">
        <v>488</v>
      </c>
      <c r="J1626" t="s">
        <v>1234</v>
      </c>
      <c r="K1626" t="s">
        <v>1235</v>
      </c>
      <c r="M1626" t="s">
        <v>487</v>
      </c>
      <c r="N1626">
        <v>0</v>
      </c>
      <c r="O1626" t="s">
        <v>1241</v>
      </c>
      <c r="P1626">
        <v>5.4900000000000001E-3</v>
      </c>
      <c r="Q1626">
        <v>0.12502854271356731</v>
      </c>
      <c r="R1626" s="6"/>
    </row>
    <row r="1627" spans="1:18" x14ac:dyDescent="0.15">
      <c r="C1627" t="s">
        <v>15</v>
      </c>
      <c r="D1627">
        <v>0.44221105527600002</v>
      </c>
      <c r="E1627">
        <v>1000</v>
      </c>
      <c r="F1627" t="s">
        <v>13</v>
      </c>
      <c r="G1627">
        <v>3</v>
      </c>
      <c r="H1627">
        <v>0</v>
      </c>
      <c r="I1627" t="s">
        <v>488</v>
      </c>
      <c r="J1627" t="s">
        <v>1234</v>
      </c>
      <c r="K1627" t="s">
        <v>1235</v>
      </c>
      <c r="M1627" t="s">
        <v>487</v>
      </c>
      <c r="N1627">
        <v>0</v>
      </c>
      <c r="O1627" t="s">
        <v>1241</v>
      </c>
      <c r="P1627">
        <v>7.9819999999999988E-2</v>
      </c>
      <c r="Q1627">
        <v>3.6356205025094228E-2</v>
      </c>
      <c r="R1627" s="6"/>
    </row>
    <row r="1628" spans="1:18" x14ac:dyDescent="0.15">
      <c r="C1628" t="s">
        <v>23</v>
      </c>
      <c r="D1628">
        <v>1.105527638191</v>
      </c>
      <c r="E1628">
        <v>1000</v>
      </c>
      <c r="F1628" t="s">
        <v>13</v>
      </c>
      <c r="G1628">
        <v>3</v>
      </c>
      <c r="H1628">
        <v>0</v>
      </c>
      <c r="I1628" t="s">
        <v>488</v>
      </c>
      <c r="J1628" t="s">
        <v>1234</v>
      </c>
      <c r="K1628" t="s">
        <v>1235</v>
      </c>
      <c r="M1628" t="s">
        <v>487</v>
      </c>
      <c r="N1628">
        <v>0</v>
      </c>
      <c r="O1628" t="s">
        <v>1241</v>
      </c>
      <c r="P1628">
        <v>2.3609999999999999E-2</v>
      </c>
      <c r="Q1628">
        <v>2.6884552763820194E-2</v>
      </c>
      <c r="R1628" s="6"/>
    </row>
    <row r="1629" spans="1:18" x14ac:dyDescent="0.15">
      <c r="C1629" t="s">
        <v>24</v>
      </c>
      <c r="D1629">
        <v>0.44221105527600002</v>
      </c>
      <c r="E1629">
        <v>1000</v>
      </c>
      <c r="F1629" t="s">
        <v>13</v>
      </c>
      <c r="G1629">
        <v>3</v>
      </c>
      <c r="H1629">
        <v>0</v>
      </c>
      <c r="I1629" t="s">
        <v>488</v>
      </c>
      <c r="J1629" t="s">
        <v>1234</v>
      </c>
      <c r="K1629" t="s">
        <v>1235</v>
      </c>
      <c r="M1629" t="s">
        <v>487</v>
      </c>
      <c r="N1629">
        <v>0</v>
      </c>
      <c r="O1629" t="s">
        <v>1241</v>
      </c>
      <c r="P1629">
        <v>2.8500000000000001E-2</v>
      </c>
      <c r="Q1629">
        <v>1.2981105527626982E-2</v>
      </c>
      <c r="R1629" s="6"/>
    </row>
    <row r="1630" spans="1:18" x14ac:dyDescent="0.15">
      <c r="C1630" t="s">
        <v>16</v>
      </c>
      <c r="D1630">
        <v>1.340597725469</v>
      </c>
      <c r="E1630">
        <v>1000</v>
      </c>
      <c r="F1630" t="s">
        <v>13</v>
      </c>
      <c r="G1630">
        <v>3</v>
      </c>
      <c r="H1630">
        <v>0</v>
      </c>
      <c r="I1630" t="s">
        <v>488</v>
      </c>
      <c r="J1630" t="s">
        <v>1234</v>
      </c>
      <c r="K1630" t="s">
        <v>1235</v>
      </c>
      <c r="M1630" t="s">
        <v>487</v>
      </c>
      <c r="N1630">
        <v>0</v>
      </c>
      <c r="O1630" t="s">
        <v>1241</v>
      </c>
      <c r="P1630">
        <v>0.01</v>
      </c>
      <c r="Q1630">
        <v>1.38081565723307E-2</v>
      </c>
      <c r="R1630" s="6"/>
    </row>
    <row r="1631" spans="1:18" x14ac:dyDescent="0.15">
      <c r="C1631" t="s">
        <v>17</v>
      </c>
      <c r="D1631">
        <v>12.820512820513002</v>
      </c>
      <c r="E1631">
        <v>1000</v>
      </c>
      <c r="F1631" t="s">
        <v>18</v>
      </c>
      <c r="G1631">
        <v>0</v>
      </c>
      <c r="H1631">
        <v>0</v>
      </c>
      <c r="I1631" t="s">
        <v>488</v>
      </c>
      <c r="J1631" t="s">
        <v>1234</v>
      </c>
      <c r="K1631" t="s">
        <v>1235</v>
      </c>
      <c r="M1631" t="s">
        <v>487</v>
      </c>
      <c r="N1631">
        <v>0</v>
      </c>
      <c r="O1631" t="s">
        <v>1241</v>
      </c>
      <c r="P1631">
        <v>53.85</v>
      </c>
      <c r="Q1631">
        <v>690.38461538462525</v>
      </c>
      <c r="R1631" s="6"/>
    </row>
    <row r="1632" spans="1:18" x14ac:dyDescent="0.15">
      <c r="C1632" t="s">
        <v>19</v>
      </c>
      <c r="D1632">
        <v>3</v>
      </c>
      <c r="E1632">
        <v>1</v>
      </c>
      <c r="F1632" t="s">
        <v>18</v>
      </c>
      <c r="G1632">
        <v>0</v>
      </c>
      <c r="H1632">
        <v>0</v>
      </c>
      <c r="I1632" t="s">
        <v>488</v>
      </c>
      <c r="J1632" t="s">
        <v>1236</v>
      </c>
      <c r="K1632" t="s">
        <v>1235</v>
      </c>
      <c r="M1632" t="s">
        <v>487</v>
      </c>
      <c r="N1632">
        <v>0</v>
      </c>
      <c r="O1632" t="s">
        <v>1241</v>
      </c>
      <c r="P1632">
        <v>34.65</v>
      </c>
      <c r="Q1632">
        <v>103.94999999999999</v>
      </c>
      <c r="R1632" s="6"/>
    </row>
    <row r="1633" spans="1:18" x14ac:dyDescent="0.15">
      <c r="A1633" t="s">
        <v>619</v>
      </c>
      <c r="B1633" t="s">
        <v>479</v>
      </c>
      <c r="P1633">
        <v>-1</v>
      </c>
      <c r="R1633" s="8" t="s">
        <v>1244</v>
      </c>
    </row>
    <row r="1634" spans="1:18" x14ac:dyDescent="0.15">
      <c r="A1634" t="s">
        <v>620</v>
      </c>
      <c r="B1634" t="s">
        <v>479</v>
      </c>
      <c r="P1634">
        <v>-1</v>
      </c>
      <c r="R1634" s="8" t="s">
        <v>1244</v>
      </c>
    </row>
    <row r="1635" spans="1:18" x14ac:dyDescent="0.15">
      <c r="A1635" t="s">
        <v>465</v>
      </c>
      <c r="B1635" t="s">
        <v>479</v>
      </c>
      <c r="P1635">
        <v>0.51774324729426735</v>
      </c>
      <c r="R1635" s="6"/>
    </row>
    <row r="1636" spans="1:18" x14ac:dyDescent="0.15">
      <c r="C1636" t="s">
        <v>466</v>
      </c>
      <c r="D1636">
        <v>1</v>
      </c>
      <c r="E1636">
        <v>1</v>
      </c>
      <c r="F1636" t="s">
        <v>9</v>
      </c>
      <c r="G1636">
        <v>0</v>
      </c>
      <c r="H1636">
        <v>0</v>
      </c>
      <c r="I1636" t="s">
        <v>488</v>
      </c>
      <c r="J1636" t="s">
        <v>1234</v>
      </c>
      <c r="K1636" t="s">
        <v>1235</v>
      </c>
      <c r="M1636" t="s">
        <v>487</v>
      </c>
      <c r="N1636">
        <v>0</v>
      </c>
      <c r="O1636" t="s">
        <v>1241</v>
      </c>
      <c r="P1636">
        <v>0.51774324729426735</v>
      </c>
      <c r="Q1636">
        <v>0.51774324729426735</v>
      </c>
      <c r="R1636" s="6"/>
    </row>
    <row r="1637" spans="1:18" x14ac:dyDescent="0.15">
      <c r="A1637" t="s">
        <v>467</v>
      </c>
      <c r="B1637" t="s">
        <v>479</v>
      </c>
      <c r="P1637">
        <v>1.0354864945885347</v>
      </c>
      <c r="R1637" s="6"/>
    </row>
    <row r="1638" spans="1:18" x14ac:dyDescent="0.15">
      <c r="C1638" t="s">
        <v>466</v>
      </c>
      <c r="D1638">
        <v>2</v>
      </c>
      <c r="E1638">
        <v>1</v>
      </c>
      <c r="F1638" t="s">
        <v>9</v>
      </c>
      <c r="G1638">
        <v>0</v>
      </c>
      <c r="H1638">
        <v>0</v>
      </c>
      <c r="I1638" t="s">
        <v>488</v>
      </c>
      <c r="J1638" t="s">
        <v>1234</v>
      </c>
      <c r="K1638" t="s">
        <v>1235</v>
      </c>
      <c r="M1638" t="s">
        <v>487</v>
      </c>
      <c r="N1638">
        <v>0</v>
      </c>
      <c r="O1638" t="s">
        <v>1241</v>
      </c>
      <c r="P1638">
        <v>0.51774324729426735</v>
      </c>
      <c r="Q1638">
        <v>1.0354864945885347</v>
      </c>
      <c r="R1638" s="6"/>
    </row>
    <row r="1639" spans="1:18" x14ac:dyDescent="0.15">
      <c r="A1639" t="s">
        <v>466</v>
      </c>
      <c r="B1639" t="s">
        <v>9</v>
      </c>
      <c r="P1639">
        <v>0.51774324729426735</v>
      </c>
      <c r="R1639" s="6"/>
    </row>
    <row r="1640" spans="1:18" x14ac:dyDescent="0.15">
      <c r="C1640" t="s">
        <v>444</v>
      </c>
      <c r="D1640">
        <v>4</v>
      </c>
      <c r="E1640">
        <v>1</v>
      </c>
      <c r="F1640" t="s">
        <v>9</v>
      </c>
      <c r="G1640">
        <v>3</v>
      </c>
      <c r="H1640">
        <v>0</v>
      </c>
      <c r="I1640" t="s">
        <v>488</v>
      </c>
      <c r="J1640" t="s">
        <v>1234</v>
      </c>
      <c r="K1640" t="s">
        <v>1235</v>
      </c>
      <c r="M1640" t="s">
        <v>487</v>
      </c>
      <c r="N1640">
        <v>0</v>
      </c>
      <c r="O1640" t="s">
        <v>1241</v>
      </c>
      <c r="P1640">
        <v>0</v>
      </c>
      <c r="Q1640">
        <v>0</v>
      </c>
      <c r="R1640" s="9" t="s">
        <v>1246</v>
      </c>
    </row>
    <row r="1641" spans="1:18" x14ac:dyDescent="0.15">
      <c r="C1641" t="s">
        <v>12</v>
      </c>
      <c r="D1641">
        <v>0.28175879396999998</v>
      </c>
      <c r="E1641">
        <v>1</v>
      </c>
      <c r="F1641" t="s">
        <v>13</v>
      </c>
      <c r="G1641">
        <v>3</v>
      </c>
      <c r="H1641">
        <v>0</v>
      </c>
      <c r="I1641" t="s">
        <v>488</v>
      </c>
      <c r="J1641" t="s">
        <v>1234</v>
      </c>
      <c r="K1641" t="s">
        <v>1235</v>
      </c>
      <c r="M1641" t="s">
        <v>487</v>
      </c>
      <c r="N1641">
        <v>0</v>
      </c>
      <c r="O1641" t="s">
        <v>1241</v>
      </c>
      <c r="P1641">
        <v>1.03E-2</v>
      </c>
      <c r="Q1641">
        <v>2.9891790452277296</v>
      </c>
      <c r="R1641" s="6"/>
    </row>
    <row r="1642" spans="1:18" x14ac:dyDescent="0.15">
      <c r="C1642" t="s">
        <v>14</v>
      </c>
      <c r="D1642">
        <v>0.31306532663300002</v>
      </c>
      <c r="E1642">
        <v>1</v>
      </c>
      <c r="F1642" t="s">
        <v>13</v>
      </c>
      <c r="G1642">
        <v>3</v>
      </c>
      <c r="H1642">
        <v>0</v>
      </c>
      <c r="I1642" t="s">
        <v>488</v>
      </c>
      <c r="J1642" t="s">
        <v>1234</v>
      </c>
      <c r="K1642" t="s">
        <v>1235</v>
      </c>
      <c r="M1642" t="s">
        <v>487</v>
      </c>
      <c r="N1642">
        <v>0</v>
      </c>
      <c r="O1642" t="s">
        <v>1241</v>
      </c>
      <c r="P1642">
        <v>5.4900000000000001E-3</v>
      </c>
      <c r="Q1642">
        <v>1.7702905025116253</v>
      </c>
      <c r="R1642" s="6"/>
    </row>
    <row r="1643" spans="1:18" x14ac:dyDescent="0.15">
      <c r="C1643" t="s">
        <v>15</v>
      </c>
      <c r="D1643">
        <v>6.2613065326629993</v>
      </c>
      <c r="E1643">
        <v>1000</v>
      </c>
      <c r="F1643" t="s">
        <v>13</v>
      </c>
      <c r="G1643">
        <v>3</v>
      </c>
      <c r="H1643">
        <v>0</v>
      </c>
      <c r="I1643" t="s">
        <v>488</v>
      </c>
      <c r="J1643" t="s">
        <v>1234</v>
      </c>
      <c r="K1643" t="s">
        <v>1235</v>
      </c>
      <c r="M1643" t="s">
        <v>487</v>
      </c>
      <c r="N1643">
        <v>0</v>
      </c>
      <c r="O1643" t="s">
        <v>1241</v>
      </c>
      <c r="P1643">
        <v>7.9819999999999988E-2</v>
      </c>
      <c r="Q1643">
        <v>0.51477081206027542</v>
      </c>
      <c r="R1643" s="6"/>
    </row>
    <row r="1644" spans="1:18" x14ac:dyDescent="0.15">
      <c r="C1644" t="s">
        <v>23</v>
      </c>
      <c r="D1644">
        <v>15.653266331658001</v>
      </c>
      <c r="E1644">
        <v>1000</v>
      </c>
      <c r="F1644" t="s">
        <v>13</v>
      </c>
      <c r="G1644">
        <v>3</v>
      </c>
      <c r="H1644">
        <v>0</v>
      </c>
      <c r="I1644" t="s">
        <v>488</v>
      </c>
      <c r="J1644" t="s">
        <v>1234</v>
      </c>
      <c r="K1644" t="s">
        <v>1235</v>
      </c>
      <c r="M1644" t="s">
        <v>487</v>
      </c>
      <c r="N1644">
        <v>0</v>
      </c>
      <c r="O1644" t="s">
        <v>1241</v>
      </c>
      <c r="P1644">
        <v>2.3609999999999999E-2</v>
      </c>
      <c r="Q1644">
        <v>0.3806608266331587</v>
      </c>
      <c r="R1644" s="6"/>
    </row>
    <row r="1645" spans="1:18" x14ac:dyDescent="0.15">
      <c r="C1645" t="s">
        <v>24</v>
      </c>
      <c r="D1645">
        <v>6.2613065326629993</v>
      </c>
      <c r="E1645">
        <v>1000</v>
      </c>
      <c r="F1645" t="s">
        <v>13</v>
      </c>
      <c r="G1645">
        <v>3</v>
      </c>
      <c r="H1645">
        <v>0</v>
      </c>
      <c r="I1645" t="s">
        <v>488</v>
      </c>
      <c r="J1645" t="s">
        <v>1234</v>
      </c>
      <c r="K1645" t="s">
        <v>1235</v>
      </c>
      <c r="M1645" t="s">
        <v>487</v>
      </c>
      <c r="N1645">
        <v>0</v>
      </c>
      <c r="O1645" t="s">
        <v>1241</v>
      </c>
      <c r="P1645">
        <v>2.8500000000000001E-2</v>
      </c>
      <c r="Q1645">
        <v>0.18380065326632236</v>
      </c>
      <c r="R1645" s="6"/>
    </row>
    <row r="1646" spans="1:18" x14ac:dyDescent="0.15">
      <c r="C1646" t="s">
        <v>17</v>
      </c>
      <c r="D1646">
        <v>7.5757575757579998</v>
      </c>
      <c r="E1646">
        <v>1000</v>
      </c>
      <c r="F1646" t="s">
        <v>18</v>
      </c>
      <c r="G1646">
        <v>0</v>
      </c>
      <c r="H1646">
        <v>0</v>
      </c>
      <c r="I1646" t="s">
        <v>488</v>
      </c>
      <c r="J1646" t="s">
        <v>1234</v>
      </c>
      <c r="K1646" t="s">
        <v>1235</v>
      </c>
      <c r="M1646" t="s">
        <v>487</v>
      </c>
      <c r="N1646">
        <v>0</v>
      </c>
      <c r="O1646" t="s">
        <v>1241</v>
      </c>
      <c r="P1646">
        <v>53.85</v>
      </c>
      <c r="Q1646">
        <v>407.95454545456829</v>
      </c>
      <c r="R1646" s="6"/>
    </row>
    <row r="1647" spans="1:18" x14ac:dyDescent="0.15">
      <c r="C1647" t="s">
        <v>19</v>
      </c>
      <c r="D1647">
        <v>3</v>
      </c>
      <c r="E1647">
        <v>1</v>
      </c>
      <c r="F1647" t="s">
        <v>18</v>
      </c>
      <c r="G1647">
        <v>0</v>
      </c>
      <c r="H1647">
        <v>0</v>
      </c>
      <c r="I1647" t="s">
        <v>488</v>
      </c>
      <c r="J1647" t="s">
        <v>1236</v>
      </c>
      <c r="K1647" t="s">
        <v>1235</v>
      </c>
      <c r="M1647" t="s">
        <v>487</v>
      </c>
      <c r="N1647">
        <v>0</v>
      </c>
      <c r="O1647" t="s">
        <v>1241</v>
      </c>
      <c r="P1647">
        <v>34.65</v>
      </c>
      <c r="Q1647">
        <v>103.94999999999999</v>
      </c>
      <c r="R1647" s="6"/>
    </row>
    <row r="1648" spans="1:18" x14ac:dyDescent="0.15">
      <c r="A1648" t="s">
        <v>468</v>
      </c>
      <c r="B1648" t="s">
        <v>479</v>
      </c>
      <c r="P1648">
        <v>-0.53957079081140791</v>
      </c>
      <c r="R1648" s="6"/>
    </row>
    <row r="1649" spans="1:18" x14ac:dyDescent="0.15">
      <c r="C1649" t="s">
        <v>469</v>
      </c>
      <c r="D1649">
        <v>1</v>
      </c>
      <c r="E1649">
        <v>1</v>
      </c>
      <c r="F1649" t="s">
        <v>9</v>
      </c>
      <c r="G1649">
        <v>0</v>
      </c>
      <c r="H1649">
        <v>0</v>
      </c>
      <c r="I1649" t="s">
        <v>488</v>
      </c>
      <c r="J1649" t="s">
        <v>1234</v>
      </c>
      <c r="K1649" t="s">
        <v>1235</v>
      </c>
      <c r="M1649" t="s">
        <v>487</v>
      </c>
      <c r="N1649">
        <v>0</v>
      </c>
      <c r="O1649" t="s">
        <v>1241</v>
      </c>
      <c r="P1649">
        <v>-0.53957079081140791</v>
      </c>
      <c r="Q1649">
        <v>-0.53957079081140791</v>
      </c>
      <c r="R1649" s="6"/>
    </row>
    <row r="1650" spans="1:18" x14ac:dyDescent="0.15">
      <c r="A1650" t="s">
        <v>470</v>
      </c>
      <c r="B1650" t="s">
        <v>479</v>
      </c>
      <c r="P1650">
        <v>-1.0791415816228158</v>
      </c>
      <c r="R1650" s="6"/>
    </row>
    <row r="1651" spans="1:18" x14ac:dyDescent="0.15">
      <c r="C1651" t="s">
        <v>469</v>
      </c>
      <c r="D1651">
        <v>2</v>
      </c>
      <c r="E1651">
        <v>1</v>
      </c>
      <c r="F1651" t="s">
        <v>9</v>
      </c>
      <c r="G1651">
        <v>0</v>
      </c>
      <c r="H1651">
        <v>0</v>
      </c>
      <c r="I1651" t="s">
        <v>488</v>
      </c>
      <c r="J1651" t="s">
        <v>1234</v>
      </c>
      <c r="K1651" t="s">
        <v>1235</v>
      </c>
      <c r="M1651" t="s">
        <v>487</v>
      </c>
      <c r="N1651">
        <v>0</v>
      </c>
      <c r="O1651" t="s">
        <v>1241</v>
      </c>
      <c r="P1651">
        <v>-0.53957079081140791</v>
      </c>
      <c r="Q1651">
        <v>-1.0791415816228158</v>
      </c>
      <c r="R1651" s="6"/>
    </row>
    <row r="1652" spans="1:18" x14ac:dyDescent="0.15">
      <c r="A1652" t="s">
        <v>469</v>
      </c>
      <c r="B1652" t="s">
        <v>9</v>
      </c>
      <c r="P1652">
        <v>-0.53957079081140791</v>
      </c>
      <c r="R1652" s="6"/>
    </row>
    <row r="1653" spans="1:18" x14ac:dyDescent="0.15">
      <c r="C1653" t="s">
        <v>444</v>
      </c>
      <c r="D1653">
        <v>7</v>
      </c>
      <c r="E1653">
        <v>1</v>
      </c>
      <c r="F1653" t="s">
        <v>9</v>
      </c>
      <c r="G1653">
        <v>3</v>
      </c>
      <c r="H1653">
        <v>0</v>
      </c>
      <c r="I1653" t="s">
        <v>488</v>
      </c>
      <c r="J1653" t="s">
        <v>1234</v>
      </c>
      <c r="K1653" t="s">
        <v>1235</v>
      </c>
      <c r="M1653" t="s">
        <v>487</v>
      </c>
      <c r="N1653">
        <v>0</v>
      </c>
      <c r="O1653" t="s">
        <v>1241</v>
      </c>
      <c r="P1653">
        <v>0</v>
      </c>
      <c r="Q1653">
        <v>0</v>
      </c>
      <c r="R1653" s="9" t="s">
        <v>1246</v>
      </c>
    </row>
    <row r="1654" spans="1:18" x14ac:dyDescent="0.15">
      <c r="C1654" t="s">
        <v>445</v>
      </c>
      <c r="D1654">
        <v>1</v>
      </c>
      <c r="E1654">
        <v>1</v>
      </c>
      <c r="F1654" t="s">
        <v>9</v>
      </c>
      <c r="G1654">
        <v>3</v>
      </c>
      <c r="H1654">
        <v>0</v>
      </c>
      <c r="I1654" t="s">
        <v>488</v>
      </c>
      <c r="J1654" t="s">
        <v>1234</v>
      </c>
      <c r="K1654" t="s">
        <v>1235</v>
      </c>
      <c r="M1654" t="s">
        <v>487</v>
      </c>
      <c r="N1654">
        <v>0</v>
      </c>
      <c r="O1654" t="s">
        <v>1241</v>
      </c>
      <c r="P1654">
        <v>-1</v>
      </c>
      <c r="Q1654">
        <v>-1030</v>
      </c>
      <c r="R1654" s="10" t="s">
        <v>1247</v>
      </c>
    </row>
    <row r="1655" spans="1:18" x14ac:dyDescent="0.15">
      <c r="C1655" t="s">
        <v>12</v>
      </c>
      <c r="D1655">
        <v>0.60422110552800001</v>
      </c>
      <c r="E1655">
        <v>1</v>
      </c>
      <c r="F1655" t="s">
        <v>13</v>
      </c>
      <c r="G1655">
        <v>3</v>
      </c>
      <c r="H1655">
        <v>0</v>
      </c>
      <c r="I1655" t="s">
        <v>488</v>
      </c>
      <c r="J1655" t="s">
        <v>1234</v>
      </c>
      <c r="K1655" t="s">
        <v>1235</v>
      </c>
      <c r="M1655" t="s">
        <v>487</v>
      </c>
      <c r="N1655">
        <v>0</v>
      </c>
      <c r="O1655" t="s">
        <v>1241</v>
      </c>
      <c r="P1655">
        <v>1.03E-2</v>
      </c>
      <c r="Q1655">
        <v>6.4101817085465527</v>
      </c>
      <c r="R1655" s="6"/>
    </row>
    <row r="1656" spans="1:18" x14ac:dyDescent="0.15">
      <c r="C1656" t="s">
        <v>14</v>
      </c>
      <c r="D1656">
        <v>0.67135678391999998</v>
      </c>
      <c r="E1656">
        <v>1</v>
      </c>
      <c r="F1656" t="s">
        <v>13</v>
      </c>
      <c r="G1656">
        <v>3</v>
      </c>
      <c r="H1656">
        <v>0</v>
      </c>
      <c r="I1656" t="s">
        <v>488</v>
      </c>
      <c r="J1656" t="s">
        <v>1234</v>
      </c>
      <c r="K1656" t="s">
        <v>1235</v>
      </c>
      <c r="M1656" t="s">
        <v>487</v>
      </c>
      <c r="N1656">
        <v>0</v>
      </c>
      <c r="O1656" t="s">
        <v>1241</v>
      </c>
      <c r="P1656">
        <v>5.4900000000000001E-3</v>
      </c>
      <c r="Q1656">
        <v>3.7963212060324238</v>
      </c>
      <c r="R1656" s="6"/>
    </row>
    <row r="1657" spans="1:18" x14ac:dyDescent="0.15">
      <c r="C1657" t="s">
        <v>15</v>
      </c>
      <c r="D1657">
        <v>13.427135678392</v>
      </c>
      <c r="E1657">
        <v>1000</v>
      </c>
      <c r="F1657" t="s">
        <v>13</v>
      </c>
      <c r="G1657">
        <v>3</v>
      </c>
      <c r="H1657">
        <v>0</v>
      </c>
      <c r="I1657" t="s">
        <v>488</v>
      </c>
      <c r="J1657" t="s">
        <v>1234</v>
      </c>
      <c r="K1657" t="s">
        <v>1235</v>
      </c>
      <c r="M1657" t="s">
        <v>487</v>
      </c>
      <c r="N1657">
        <v>0</v>
      </c>
      <c r="O1657" t="s">
        <v>1241</v>
      </c>
      <c r="P1657">
        <v>7.9819999999999988E-2</v>
      </c>
      <c r="Q1657">
        <v>1.1039065889447268</v>
      </c>
      <c r="R1657" s="6"/>
    </row>
    <row r="1658" spans="1:18" x14ac:dyDescent="0.15">
      <c r="C1658" t="s">
        <v>23</v>
      </c>
      <c r="D1658">
        <v>33.567839195979992</v>
      </c>
      <c r="E1658">
        <v>1000</v>
      </c>
      <c r="F1658" t="s">
        <v>13</v>
      </c>
      <c r="G1658">
        <v>3</v>
      </c>
      <c r="H1658">
        <v>0</v>
      </c>
      <c r="I1658" t="s">
        <v>488</v>
      </c>
      <c r="J1658" t="s">
        <v>1234</v>
      </c>
      <c r="K1658" t="s">
        <v>1235</v>
      </c>
      <c r="M1658" t="s">
        <v>487</v>
      </c>
      <c r="N1658">
        <v>0</v>
      </c>
      <c r="O1658" t="s">
        <v>1241</v>
      </c>
      <c r="P1658">
        <v>2.3609999999999999E-2</v>
      </c>
      <c r="Q1658">
        <v>0.81631278391960027</v>
      </c>
      <c r="R1658" s="6"/>
    </row>
    <row r="1659" spans="1:18" x14ac:dyDescent="0.15">
      <c r="C1659" t="s">
        <v>24</v>
      </c>
      <c r="D1659">
        <v>13.427135678392</v>
      </c>
      <c r="E1659">
        <v>1000</v>
      </c>
      <c r="F1659" t="s">
        <v>13</v>
      </c>
      <c r="G1659">
        <v>3</v>
      </c>
      <c r="H1659">
        <v>0</v>
      </c>
      <c r="I1659" t="s">
        <v>488</v>
      </c>
      <c r="J1659" t="s">
        <v>1234</v>
      </c>
      <c r="K1659" t="s">
        <v>1235</v>
      </c>
      <c r="M1659" t="s">
        <v>487</v>
      </c>
      <c r="N1659">
        <v>0</v>
      </c>
      <c r="O1659" t="s">
        <v>1241</v>
      </c>
      <c r="P1659">
        <v>2.8500000000000001E-2</v>
      </c>
      <c r="Q1659">
        <v>0.39415356783919714</v>
      </c>
      <c r="R1659" s="6"/>
    </row>
    <row r="1660" spans="1:18" x14ac:dyDescent="0.15">
      <c r="C1660" t="s">
        <v>17</v>
      </c>
      <c r="D1660">
        <v>6.9444444444440006</v>
      </c>
      <c r="E1660">
        <v>1000</v>
      </c>
      <c r="F1660" t="s">
        <v>18</v>
      </c>
      <c r="G1660">
        <v>0</v>
      </c>
      <c r="H1660">
        <v>0</v>
      </c>
      <c r="I1660" t="s">
        <v>488</v>
      </c>
      <c r="J1660" t="s">
        <v>1234</v>
      </c>
      <c r="K1660" t="s">
        <v>1235</v>
      </c>
      <c r="M1660" t="s">
        <v>487</v>
      </c>
      <c r="N1660">
        <v>0</v>
      </c>
      <c r="O1660" t="s">
        <v>1241</v>
      </c>
      <c r="P1660">
        <v>53.85</v>
      </c>
      <c r="Q1660">
        <v>373.95833333330944</v>
      </c>
      <c r="R1660" s="6"/>
    </row>
    <row r="1661" spans="1:18" x14ac:dyDescent="0.15">
      <c r="C1661" t="s">
        <v>19</v>
      </c>
      <c r="D1661">
        <v>3</v>
      </c>
      <c r="E1661">
        <v>1</v>
      </c>
      <c r="F1661" t="s">
        <v>18</v>
      </c>
      <c r="G1661">
        <v>0</v>
      </c>
      <c r="H1661">
        <v>0</v>
      </c>
      <c r="I1661" t="s">
        <v>488</v>
      </c>
      <c r="J1661" t="s">
        <v>1236</v>
      </c>
      <c r="K1661" t="s">
        <v>1235</v>
      </c>
      <c r="M1661" t="s">
        <v>487</v>
      </c>
      <c r="N1661">
        <v>0</v>
      </c>
      <c r="O1661" t="s">
        <v>1241</v>
      </c>
      <c r="P1661">
        <v>34.65</v>
      </c>
      <c r="Q1661">
        <v>103.94999999999999</v>
      </c>
      <c r="R1661" s="6"/>
    </row>
    <row r="1662" spans="1:18" x14ac:dyDescent="0.15">
      <c r="A1662" t="s">
        <v>471</v>
      </c>
      <c r="B1662" t="s">
        <v>9</v>
      </c>
      <c r="P1662">
        <v>0.31166516298189234</v>
      </c>
      <c r="R1662" s="6"/>
    </row>
    <row r="1663" spans="1:18" x14ac:dyDescent="0.15">
      <c r="C1663" t="s">
        <v>472</v>
      </c>
      <c r="D1663">
        <v>4</v>
      </c>
      <c r="E1663">
        <v>1</v>
      </c>
      <c r="F1663" t="s">
        <v>9</v>
      </c>
      <c r="G1663">
        <v>3</v>
      </c>
      <c r="H1663">
        <v>0</v>
      </c>
      <c r="I1663" t="s">
        <v>488</v>
      </c>
      <c r="J1663" t="s">
        <v>1234</v>
      </c>
      <c r="K1663" t="s">
        <v>1235</v>
      </c>
      <c r="M1663" t="s">
        <v>487</v>
      </c>
      <c r="N1663">
        <v>0</v>
      </c>
      <c r="O1663" t="s">
        <v>1241</v>
      </c>
      <c r="P1663">
        <v>0</v>
      </c>
      <c r="Q1663">
        <v>0</v>
      </c>
      <c r="R1663" s="9" t="s">
        <v>1246</v>
      </c>
    </row>
    <row r="1664" spans="1:18" x14ac:dyDescent="0.15">
      <c r="C1664" t="s">
        <v>12</v>
      </c>
      <c r="D1664">
        <v>0.52552763819100001</v>
      </c>
      <c r="E1664">
        <v>1</v>
      </c>
      <c r="F1664" t="s">
        <v>13</v>
      </c>
      <c r="G1664">
        <v>3</v>
      </c>
      <c r="H1664">
        <v>0</v>
      </c>
      <c r="I1664" t="s">
        <v>488</v>
      </c>
      <c r="J1664" t="s">
        <v>1234</v>
      </c>
      <c r="K1664" t="s">
        <v>1235</v>
      </c>
      <c r="M1664" t="s">
        <v>487</v>
      </c>
      <c r="N1664">
        <v>0</v>
      </c>
      <c r="O1664" t="s">
        <v>1241</v>
      </c>
      <c r="P1664">
        <v>1.03E-2</v>
      </c>
      <c r="Q1664">
        <v>5.575322713568319</v>
      </c>
      <c r="R1664" s="6"/>
    </row>
    <row r="1665" spans="1:18" x14ac:dyDescent="0.15">
      <c r="C1665" t="s">
        <v>14</v>
      </c>
      <c r="D1665">
        <v>0.58391959799000004</v>
      </c>
      <c r="E1665">
        <v>1</v>
      </c>
      <c r="F1665" t="s">
        <v>13</v>
      </c>
      <c r="G1665">
        <v>3</v>
      </c>
      <c r="H1665">
        <v>0</v>
      </c>
      <c r="I1665" t="s">
        <v>488</v>
      </c>
      <c r="J1665" t="s">
        <v>1234</v>
      </c>
      <c r="K1665" t="s">
        <v>1235</v>
      </c>
      <c r="M1665" t="s">
        <v>487</v>
      </c>
      <c r="N1665">
        <v>0</v>
      </c>
      <c r="O1665" t="s">
        <v>1241</v>
      </c>
      <c r="P1665">
        <v>5.4900000000000001E-3</v>
      </c>
      <c r="Q1665">
        <v>3.3018901507540535</v>
      </c>
      <c r="R1665" s="6"/>
    </row>
    <row r="1666" spans="1:18" x14ac:dyDescent="0.15">
      <c r="C1666" t="s">
        <v>15</v>
      </c>
      <c r="D1666">
        <v>11.678391959798999</v>
      </c>
      <c r="E1666">
        <v>1000</v>
      </c>
      <c r="F1666" t="s">
        <v>13</v>
      </c>
      <c r="G1666">
        <v>3</v>
      </c>
      <c r="H1666">
        <v>0</v>
      </c>
      <c r="I1666" t="s">
        <v>488</v>
      </c>
      <c r="J1666" t="s">
        <v>1234</v>
      </c>
      <c r="K1666" t="s">
        <v>1235</v>
      </c>
      <c r="M1666" t="s">
        <v>487</v>
      </c>
      <c r="N1666">
        <v>0</v>
      </c>
      <c r="O1666" t="s">
        <v>1241</v>
      </c>
      <c r="P1666">
        <v>7.9819999999999988E-2</v>
      </c>
      <c r="Q1666">
        <v>0.96013432361809059</v>
      </c>
      <c r="R1666" s="6"/>
    </row>
    <row r="1667" spans="1:18" x14ac:dyDescent="0.15">
      <c r="C1667" t="s">
        <v>23</v>
      </c>
      <c r="D1667">
        <v>29.195979899498003</v>
      </c>
      <c r="E1667">
        <v>1000</v>
      </c>
      <c r="F1667" t="s">
        <v>13</v>
      </c>
      <c r="G1667">
        <v>3</v>
      </c>
      <c r="H1667">
        <v>0</v>
      </c>
      <c r="I1667" t="s">
        <v>488</v>
      </c>
      <c r="J1667" t="s">
        <v>1234</v>
      </c>
      <c r="K1667" t="s">
        <v>1235</v>
      </c>
      <c r="M1667" t="s">
        <v>487</v>
      </c>
      <c r="N1667">
        <v>0</v>
      </c>
      <c r="O1667" t="s">
        <v>1241</v>
      </c>
      <c r="P1667">
        <v>2.3609999999999999E-2</v>
      </c>
      <c r="Q1667">
        <v>0.70999659798996217</v>
      </c>
      <c r="R1667" s="6"/>
    </row>
    <row r="1668" spans="1:18" x14ac:dyDescent="0.15">
      <c r="C1668" t="s">
        <v>24</v>
      </c>
      <c r="D1668">
        <v>11.678391959798999</v>
      </c>
      <c r="E1668">
        <v>1000</v>
      </c>
      <c r="F1668" t="s">
        <v>13</v>
      </c>
      <c r="G1668">
        <v>3</v>
      </c>
      <c r="H1668">
        <v>0</v>
      </c>
      <c r="I1668" t="s">
        <v>488</v>
      </c>
      <c r="J1668" t="s">
        <v>1234</v>
      </c>
      <c r="K1668" t="s">
        <v>1235</v>
      </c>
      <c r="M1668" t="s">
        <v>487</v>
      </c>
      <c r="N1668">
        <v>0</v>
      </c>
      <c r="O1668" t="s">
        <v>1241</v>
      </c>
      <c r="P1668">
        <v>2.8500000000000001E-2</v>
      </c>
      <c r="Q1668">
        <v>0.34281919597989963</v>
      </c>
      <c r="R1668" s="6"/>
    </row>
    <row r="1669" spans="1:18" x14ac:dyDescent="0.15">
      <c r="C1669" t="s">
        <v>17</v>
      </c>
      <c r="D1669">
        <v>3.3333333333330004</v>
      </c>
      <c r="E1669">
        <v>1000</v>
      </c>
      <c r="F1669" t="s">
        <v>18</v>
      </c>
      <c r="G1669">
        <v>0</v>
      </c>
      <c r="H1669">
        <v>0</v>
      </c>
      <c r="I1669" t="s">
        <v>488</v>
      </c>
      <c r="J1669" t="s">
        <v>1234</v>
      </c>
      <c r="K1669" t="s">
        <v>1235</v>
      </c>
      <c r="M1669" t="s">
        <v>487</v>
      </c>
      <c r="N1669">
        <v>0</v>
      </c>
      <c r="O1669" t="s">
        <v>1241</v>
      </c>
      <c r="P1669">
        <v>53.85</v>
      </c>
      <c r="Q1669">
        <v>179.49999999998207</v>
      </c>
      <c r="R1669" s="6"/>
    </row>
    <row r="1670" spans="1:18" x14ac:dyDescent="0.15">
      <c r="C1670" t="s">
        <v>19</v>
      </c>
      <c r="D1670">
        <v>3.5</v>
      </c>
      <c r="E1670">
        <v>1</v>
      </c>
      <c r="F1670" t="s">
        <v>18</v>
      </c>
      <c r="G1670">
        <v>0</v>
      </c>
      <c r="H1670">
        <v>0</v>
      </c>
      <c r="I1670" t="s">
        <v>488</v>
      </c>
      <c r="J1670" t="s">
        <v>1236</v>
      </c>
      <c r="K1670" t="s">
        <v>1235</v>
      </c>
      <c r="M1670" t="s">
        <v>487</v>
      </c>
      <c r="N1670">
        <v>0</v>
      </c>
      <c r="O1670" t="s">
        <v>1241</v>
      </c>
      <c r="P1670">
        <v>34.65</v>
      </c>
      <c r="Q1670">
        <v>121.27499999999999</v>
      </c>
      <c r="R1670" s="6"/>
    </row>
    <row r="1671" spans="1:18" x14ac:dyDescent="0.15">
      <c r="A1671" t="s">
        <v>625</v>
      </c>
      <c r="B1671" t="s">
        <v>9</v>
      </c>
      <c r="P1671">
        <v>-1</v>
      </c>
      <c r="R1671" s="8" t="s">
        <v>1244</v>
      </c>
    </row>
    <row r="1672" spans="1:18" x14ac:dyDescent="0.15">
      <c r="A1672" t="s">
        <v>474</v>
      </c>
      <c r="B1672" t="s">
        <v>9</v>
      </c>
      <c r="P1672">
        <v>1.4450171183529359</v>
      </c>
      <c r="R1672" s="6"/>
    </row>
    <row r="1673" spans="1:18" x14ac:dyDescent="0.15">
      <c r="C1673" t="s">
        <v>33</v>
      </c>
      <c r="D1673">
        <v>73</v>
      </c>
      <c r="E1673">
        <v>1</v>
      </c>
      <c r="F1673" t="s">
        <v>9</v>
      </c>
      <c r="G1673">
        <v>3</v>
      </c>
      <c r="H1673">
        <v>0</v>
      </c>
      <c r="I1673" t="s">
        <v>488</v>
      </c>
      <c r="J1673" t="s">
        <v>1234</v>
      </c>
      <c r="K1673" t="s">
        <v>1235</v>
      </c>
      <c r="M1673" t="s">
        <v>487</v>
      </c>
      <c r="N1673">
        <v>0</v>
      </c>
      <c r="O1673" t="s">
        <v>1241</v>
      </c>
      <c r="P1673">
        <v>0</v>
      </c>
      <c r="Q1673">
        <v>0</v>
      </c>
      <c r="R1673" s="9" t="s">
        <v>1246</v>
      </c>
    </row>
    <row r="1674" spans="1:18" x14ac:dyDescent="0.15">
      <c r="C1674" t="s">
        <v>12</v>
      </c>
      <c r="D1674">
        <v>9.9045226130650015</v>
      </c>
      <c r="E1674">
        <v>1</v>
      </c>
      <c r="F1674" t="s">
        <v>13</v>
      </c>
      <c r="G1674">
        <v>3</v>
      </c>
      <c r="H1674">
        <v>0</v>
      </c>
      <c r="I1674" t="s">
        <v>488</v>
      </c>
      <c r="J1674" t="s">
        <v>1234</v>
      </c>
      <c r="K1674" t="s">
        <v>1235</v>
      </c>
      <c r="M1674" t="s">
        <v>487</v>
      </c>
      <c r="N1674">
        <v>0</v>
      </c>
      <c r="O1674" t="s">
        <v>1241</v>
      </c>
      <c r="P1674">
        <v>1.03E-2</v>
      </c>
      <c r="Q1674">
        <v>105.0770804020066</v>
      </c>
      <c r="R1674" s="6"/>
    </row>
    <row r="1675" spans="1:18" x14ac:dyDescent="0.15">
      <c r="C1675" t="s">
        <v>14</v>
      </c>
      <c r="D1675">
        <v>11.005025125628002</v>
      </c>
      <c r="E1675">
        <v>1</v>
      </c>
      <c r="F1675" t="s">
        <v>13</v>
      </c>
      <c r="G1675">
        <v>3</v>
      </c>
      <c r="H1675">
        <v>0</v>
      </c>
      <c r="I1675" t="s">
        <v>488</v>
      </c>
      <c r="J1675" t="s">
        <v>1234</v>
      </c>
      <c r="K1675" t="s">
        <v>1235</v>
      </c>
      <c r="M1675" t="s">
        <v>487</v>
      </c>
      <c r="N1675">
        <v>0</v>
      </c>
      <c r="O1675" t="s">
        <v>1241</v>
      </c>
      <c r="P1675">
        <v>5.4900000000000001E-3</v>
      </c>
      <c r="Q1675">
        <v>62.230115577888661</v>
      </c>
      <c r="R1675" s="6"/>
    </row>
    <row r="1676" spans="1:18" x14ac:dyDescent="0.15">
      <c r="C1676" t="s">
        <v>15</v>
      </c>
      <c r="D1676">
        <v>0.22010050251300001</v>
      </c>
      <c r="E1676">
        <v>1</v>
      </c>
      <c r="F1676" t="s">
        <v>13</v>
      </c>
      <c r="G1676">
        <v>3</v>
      </c>
      <c r="H1676">
        <v>0</v>
      </c>
      <c r="I1676" t="s">
        <v>488</v>
      </c>
      <c r="J1676" t="s">
        <v>1234</v>
      </c>
      <c r="K1676" t="s">
        <v>1235</v>
      </c>
      <c r="M1676" t="s">
        <v>487</v>
      </c>
      <c r="N1676">
        <v>0</v>
      </c>
      <c r="O1676" t="s">
        <v>1241</v>
      </c>
      <c r="P1676">
        <v>7.9819999999999988E-2</v>
      </c>
      <c r="Q1676">
        <v>18.095474773905288</v>
      </c>
      <c r="R1676" s="6"/>
    </row>
    <row r="1677" spans="1:18" x14ac:dyDescent="0.15">
      <c r="C1677" t="s">
        <v>23</v>
      </c>
      <c r="D1677">
        <v>0.55025125628100002</v>
      </c>
      <c r="E1677">
        <v>1</v>
      </c>
      <c r="F1677" t="s">
        <v>13</v>
      </c>
      <c r="G1677">
        <v>3</v>
      </c>
      <c r="H1677">
        <v>0</v>
      </c>
      <c r="I1677" t="s">
        <v>488</v>
      </c>
      <c r="J1677" t="s">
        <v>1234</v>
      </c>
      <c r="K1677" t="s">
        <v>1235</v>
      </c>
      <c r="M1677" t="s">
        <v>487</v>
      </c>
      <c r="N1677">
        <v>0</v>
      </c>
      <c r="O1677" t="s">
        <v>1241</v>
      </c>
      <c r="P1677">
        <v>2.3609999999999999E-2</v>
      </c>
      <c r="Q1677">
        <v>13.381175125618242</v>
      </c>
      <c r="R1677" s="6"/>
    </row>
    <row r="1678" spans="1:18" x14ac:dyDescent="0.15">
      <c r="C1678" t="s">
        <v>24</v>
      </c>
      <c r="D1678">
        <v>0.22010050251300001</v>
      </c>
      <c r="E1678">
        <v>1</v>
      </c>
      <c r="F1678" t="s">
        <v>13</v>
      </c>
      <c r="G1678">
        <v>3</v>
      </c>
      <c r="H1678">
        <v>0</v>
      </c>
      <c r="I1678" t="s">
        <v>488</v>
      </c>
      <c r="J1678" t="s">
        <v>1234</v>
      </c>
      <c r="K1678" t="s">
        <v>1235</v>
      </c>
      <c r="M1678" t="s">
        <v>487</v>
      </c>
      <c r="N1678">
        <v>0</v>
      </c>
      <c r="O1678" t="s">
        <v>1241</v>
      </c>
      <c r="P1678">
        <v>2.8500000000000001E-2</v>
      </c>
      <c r="Q1678">
        <v>6.4610502512691159</v>
      </c>
      <c r="R1678" s="6"/>
    </row>
    <row r="1679" spans="1:18" x14ac:dyDescent="0.15">
      <c r="C1679" t="s">
        <v>17</v>
      </c>
      <c r="D1679">
        <v>18.518518518518999</v>
      </c>
      <c r="E1679">
        <v>1000</v>
      </c>
      <c r="F1679" t="s">
        <v>18</v>
      </c>
      <c r="G1679">
        <v>0</v>
      </c>
      <c r="H1679">
        <v>0</v>
      </c>
      <c r="I1679" t="s">
        <v>488</v>
      </c>
      <c r="J1679" t="s">
        <v>1234</v>
      </c>
      <c r="K1679" t="s">
        <v>1235</v>
      </c>
      <c r="M1679" t="s">
        <v>487</v>
      </c>
      <c r="N1679">
        <v>0</v>
      </c>
      <c r="O1679" t="s">
        <v>1241</v>
      </c>
      <c r="P1679">
        <v>53.85</v>
      </c>
      <c r="Q1679">
        <v>997.22222222224809</v>
      </c>
      <c r="R1679" s="6"/>
    </row>
    <row r="1680" spans="1:18" x14ac:dyDescent="0.15">
      <c r="C1680" t="s">
        <v>19</v>
      </c>
      <c r="D1680">
        <v>7</v>
      </c>
      <c r="E1680">
        <v>1</v>
      </c>
      <c r="F1680" t="s">
        <v>18</v>
      </c>
      <c r="G1680">
        <v>0</v>
      </c>
      <c r="H1680">
        <v>0</v>
      </c>
      <c r="I1680" t="s">
        <v>488</v>
      </c>
      <c r="J1680" t="s">
        <v>1236</v>
      </c>
      <c r="K1680" t="s">
        <v>1235</v>
      </c>
      <c r="M1680" t="s">
        <v>487</v>
      </c>
      <c r="N1680">
        <v>0</v>
      </c>
      <c r="O1680" t="s">
        <v>1241</v>
      </c>
      <c r="P1680">
        <v>34.65</v>
      </c>
      <c r="Q1680">
        <v>242.54999999999998</v>
      </c>
      <c r="R1680" s="6"/>
    </row>
    <row r="1681" spans="1:18" x14ac:dyDescent="0.15">
      <c r="A1681" t="s">
        <v>475</v>
      </c>
      <c r="B1681" t="s">
        <v>9</v>
      </c>
      <c r="P1681">
        <v>2.0992921875577824</v>
      </c>
      <c r="R1681" s="6"/>
    </row>
    <row r="1682" spans="1:18" x14ac:dyDescent="0.15">
      <c r="C1682" t="s">
        <v>123</v>
      </c>
      <c r="D1682">
        <v>102</v>
      </c>
      <c r="E1682">
        <v>1</v>
      </c>
      <c r="F1682" t="s">
        <v>9</v>
      </c>
      <c r="G1682">
        <v>3</v>
      </c>
      <c r="H1682">
        <v>0</v>
      </c>
      <c r="I1682" t="s">
        <v>488</v>
      </c>
      <c r="J1682" t="s">
        <v>1234</v>
      </c>
      <c r="K1682" t="s">
        <v>1235</v>
      </c>
      <c r="M1682" t="s">
        <v>487</v>
      </c>
      <c r="N1682">
        <v>0</v>
      </c>
      <c r="O1682" t="s">
        <v>1241</v>
      </c>
      <c r="P1682">
        <v>0</v>
      </c>
      <c r="Q1682">
        <v>0</v>
      </c>
      <c r="R1682" s="9" t="s">
        <v>1246</v>
      </c>
    </row>
    <row r="1683" spans="1:18" x14ac:dyDescent="0.15">
      <c r="C1683" t="s">
        <v>12</v>
      </c>
      <c r="D1683">
        <v>30.446231155779</v>
      </c>
      <c r="E1683">
        <v>1</v>
      </c>
      <c r="F1683" t="s">
        <v>13</v>
      </c>
      <c r="G1683">
        <v>3</v>
      </c>
      <c r="H1683">
        <v>0</v>
      </c>
      <c r="I1683" t="s">
        <v>488</v>
      </c>
      <c r="J1683" t="s">
        <v>1234</v>
      </c>
      <c r="K1683" t="s">
        <v>1235</v>
      </c>
      <c r="M1683" t="s">
        <v>487</v>
      </c>
      <c r="N1683">
        <v>0</v>
      </c>
      <c r="O1683" t="s">
        <v>1241</v>
      </c>
      <c r="P1683">
        <v>1.03E-2</v>
      </c>
      <c r="Q1683">
        <v>323.00406633165937</v>
      </c>
      <c r="R1683" s="6"/>
    </row>
    <row r="1684" spans="1:18" x14ac:dyDescent="0.15">
      <c r="C1684" t="s">
        <v>14</v>
      </c>
      <c r="D1684">
        <v>33.829145728642999</v>
      </c>
      <c r="E1684">
        <v>1</v>
      </c>
      <c r="F1684" t="s">
        <v>13</v>
      </c>
      <c r="G1684">
        <v>3</v>
      </c>
      <c r="H1684">
        <v>0</v>
      </c>
      <c r="I1684" t="s">
        <v>488</v>
      </c>
      <c r="J1684" t="s">
        <v>1234</v>
      </c>
      <c r="K1684" t="s">
        <v>1235</v>
      </c>
      <c r="M1684" t="s">
        <v>487</v>
      </c>
      <c r="N1684">
        <v>0</v>
      </c>
      <c r="O1684" t="s">
        <v>1241</v>
      </c>
      <c r="P1684">
        <v>5.4900000000000001E-3</v>
      </c>
      <c r="Q1684">
        <v>191.29367035175758</v>
      </c>
      <c r="R1684" s="6"/>
    </row>
    <row r="1685" spans="1:18" x14ac:dyDescent="0.15">
      <c r="C1685" t="s">
        <v>15</v>
      </c>
      <c r="D1685">
        <v>0.67658291457300002</v>
      </c>
      <c r="E1685">
        <v>1</v>
      </c>
      <c r="F1685" t="s">
        <v>13</v>
      </c>
      <c r="G1685">
        <v>3</v>
      </c>
      <c r="H1685">
        <v>0</v>
      </c>
      <c r="I1685" t="s">
        <v>488</v>
      </c>
      <c r="J1685" t="s">
        <v>1234</v>
      </c>
      <c r="K1685" t="s">
        <v>1235</v>
      </c>
      <c r="M1685" t="s">
        <v>487</v>
      </c>
      <c r="N1685">
        <v>0</v>
      </c>
      <c r="O1685" t="s">
        <v>1241</v>
      </c>
      <c r="P1685">
        <v>7.9819999999999988E-2</v>
      </c>
      <c r="Q1685">
        <v>55.624993688453358</v>
      </c>
      <c r="R1685" s="6"/>
    </row>
    <row r="1686" spans="1:18" x14ac:dyDescent="0.15">
      <c r="C1686" t="s">
        <v>23</v>
      </c>
      <c r="D1686">
        <v>1.6914572864319997</v>
      </c>
      <c r="E1686">
        <v>1</v>
      </c>
      <c r="F1686" t="s">
        <v>13</v>
      </c>
      <c r="G1686">
        <v>3</v>
      </c>
      <c r="H1686">
        <v>0</v>
      </c>
      <c r="I1686" t="s">
        <v>488</v>
      </c>
      <c r="J1686" t="s">
        <v>1234</v>
      </c>
      <c r="K1686" t="s">
        <v>1235</v>
      </c>
      <c r="M1686" t="s">
        <v>487</v>
      </c>
      <c r="N1686">
        <v>0</v>
      </c>
      <c r="O1686" t="s">
        <v>1241</v>
      </c>
      <c r="P1686">
        <v>2.3609999999999999E-2</v>
      </c>
      <c r="Q1686">
        <v>41.133365728639298</v>
      </c>
      <c r="R1686" s="6"/>
    </row>
    <row r="1687" spans="1:18" x14ac:dyDescent="0.15">
      <c r="C1687" t="s">
        <v>24</v>
      </c>
      <c r="D1687">
        <v>0.67658291457300002</v>
      </c>
      <c r="E1687">
        <v>1</v>
      </c>
      <c r="F1687" t="s">
        <v>13</v>
      </c>
      <c r="G1687">
        <v>3</v>
      </c>
      <c r="H1687">
        <v>0</v>
      </c>
      <c r="I1687" t="s">
        <v>488</v>
      </c>
      <c r="J1687" t="s">
        <v>1234</v>
      </c>
      <c r="K1687" t="s">
        <v>1235</v>
      </c>
      <c r="M1687" t="s">
        <v>487</v>
      </c>
      <c r="N1687">
        <v>0</v>
      </c>
      <c r="O1687" t="s">
        <v>1241</v>
      </c>
      <c r="P1687">
        <v>2.8500000000000001E-2</v>
      </c>
      <c r="Q1687">
        <v>19.861091457290414</v>
      </c>
      <c r="R1687" s="6"/>
    </row>
    <row r="1688" spans="1:18" x14ac:dyDescent="0.15">
      <c r="C1688" t="s">
        <v>124</v>
      </c>
      <c r="D1688">
        <v>2.0195999999999996</v>
      </c>
      <c r="E1688">
        <v>1</v>
      </c>
      <c r="F1688" t="s">
        <v>13</v>
      </c>
      <c r="G1688">
        <v>3</v>
      </c>
      <c r="H1688">
        <v>0</v>
      </c>
      <c r="I1688" t="s">
        <v>488</v>
      </c>
      <c r="J1688" t="s">
        <v>1234</v>
      </c>
      <c r="K1688" t="s">
        <v>1235</v>
      </c>
      <c r="M1688" t="s">
        <v>487</v>
      </c>
      <c r="N1688">
        <v>0</v>
      </c>
      <c r="O1688" t="s">
        <v>1241</v>
      </c>
      <c r="P1688">
        <v>0</v>
      </c>
      <c r="Q1688">
        <v>0</v>
      </c>
      <c r="R1688" s="9" t="s">
        <v>1246</v>
      </c>
    </row>
    <row r="1689" spans="1:18" x14ac:dyDescent="0.15">
      <c r="C1689" t="s">
        <v>17</v>
      </c>
      <c r="D1689">
        <v>20.833333333332998</v>
      </c>
      <c r="E1689">
        <v>1000</v>
      </c>
      <c r="F1689" t="s">
        <v>18</v>
      </c>
      <c r="G1689">
        <v>0</v>
      </c>
      <c r="H1689">
        <v>0</v>
      </c>
      <c r="I1689" t="s">
        <v>488</v>
      </c>
      <c r="J1689" t="s">
        <v>1234</v>
      </c>
      <c r="K1689" t="s">
        <v>1235</v>
      </c>
      <c r="M1689" t="s">
        <v>487</v>
      </c>
      <c r="N1689">
        <v>0</v>
      </c>
      <c r="O1689" t="s">
        <v>1241</v>
      </c>
      <c r="P1689">
        <v>53.85</v>
      </c>
      <c r="Q1689">
        <v>1121.874999999982</v>
      </c>
      <c r="R1689" s="6"/>
    </row>
    <row r="1690" spans="1:18" x14ac:dyDescent="0.15">
      <c r="C1690" t="s">
        <v>19</v>
      </c>
      <c r="D1690">
        <v>10</v>
      </c>
      <c r="E1690">
        <v>1</v>
      </c>
      <c r="F1690" t="s">
        <v>18</v>
      </c>
      <c r="G1690">
        <v>0</v>
      </c>
      <c r="H1690">
        <v>0</v>
      </c>
      <c r="I1690" t="s">
        <v>488</v>
      </c>
      <c r="J1690" t="s">
        <v>1236</v>
      </c>
      <c r="K1690" t="s">
        <v>1235</v>
      </c>
      <c r="M1690" t="s">
        <v>487</v>
      </c>
      <c r="N1690">
        <v>0</v>
      </c>
      <c r="O1690" t="s">
        <v>1241</v>
      </c>
      <c r="P1690">
        <v>34.65</v>
      </c>
      <c r="Q1690">
        <v>346.5</v>
      </c>
      <c r="R1690" s="6"/>
    </row>
    <row r="1691" spans="1:18" x14ac:dyDescent="0.15">
      <c r="A1691" t="s">
        <v>476</v>
      </c>
      <c r="B1691" t="s">
        <v>479</v>
      </c>
      <c r="P1691">
        <v>-28.167918795566685</v>
      </c>
      <c r="R1691" s="6"/>
    </row>
    <row r="1692" spans="1:18" x14ac:dyDescent="0.15">
      <c r="C1692" t="s">
        <v>477</v>
      </c>
      <c r="D1692">
        <v>1</v>
      </c>
      <c r="E1692">
        <v>1</v>
      </c>
      <c r="F1692" t="s">
        <v>9</v>
      </c>
      <c r="G1692">
        <v>0</v>
      </c>
      <c r="H1692">
        <v>0</v>
      </c>
      <c r="I1692" t="s">
        <v>488</v>
      </c>
      <c r="J1692" t="s">
        <v>1234</v>
      </c>
      <c r="K1692" t="s">
        <v>1235</v>
      </c>
      <c r="M1692" t="s">
        <v>487</v>
      </c>
      <c r="N1692">
        <v>0</v>
      </c>
      <c r="O1692" t="s">
        <v>1241</v>
      </c>
      <c r="P1692">
        <v>-28.167918795566685</v>
      </c>
      <c r="Q1692">
        <v>-28.167918795566685</v>
      </c>
      <c r="R1692" s="6"/>
    </row>
    <row r="1693" spans="1:18" x14ac:dyDescent="0.15">
      <c r="A1693" t="s">
        <v>477</v>
      </c>
      <c r="B1693" t="s">
        <v>9</v>
      </c>
      <c r="P1693">
        <v>-28.167918795566685</v>
      </c>
      <c r="R1693" s="6"/>
    </row>
    <row r="1694" spans="1:18" x14ac:dyDescent="0.15">
      <c r="C1694" t="s">
        <v>478</v>
      </c>
      <c r="D1694">
        <v>28</v>
      </c>
      <c r="E1694">
        <v>1</v>
      </c>
      <c r="F1694" t="s">
        <v>9</v>
      </c>
      <c r="G1694">
        <v>3</v>
      </c>
      <c r="H1694">
        <v>0</v>
      </c>
      <c r="I1694" t="s">
        <v>488</v>
      </c>
      <c r="J1694" t="s">
        <v>1234</v>
      </c>
      <c r="K1694" t="s">
        <v>1235</v>
      </c>
      <c r="M1694" t="s">
        <v>487</v>
      </c>
      <c r="N1694">
        <v>0</v>
      </c>
      <c r="O1694" t="s">
        <v>1241</v>
      </c>
      <c r="P1694">
        <v>-1</v>
      </c>
      <c r="Q1694">
        <v>-28840</v>
      </c>
      <c r="R1694" s="10" t="s">
        <v>1247</v>
      </c>
    </row>
    <row r="1695" spans="1:18" x14ac:dyDescent="0.15">
      <c r="C1695" t="s">
        <v>12</v>
      </c>
      <c r="D1695">
        <v>1.8615075376879999</v>
      </c>
      <c r="E1695">
        <v>1</v>
      </c>
      <c r="F1695" t="s">
        <v>13</v>
      </c>
      <c r="G1695">
        <v>3</v>
      </c>
      <c r="H1695">
        <v>0</v>
      </c>
      <c r="I1695" t="s">
        <v>488</v>
      </c>
      <c r="J1695" t="s">
        <v>1234</v>
      </c>
      <c r="K1695" t="s">
        <v>1235</v>
      </c>
      <c r="M1695" t="s">
        <v>487</v>
      </c>
      <c r="N1695">
        <v>0</v>
      </c>
      <c r="O1695" t="s">
        <v>1241</v>
      </c>
      <c r="P1695">
        <v>1.03E-2</v>
      </c>
      <c r="Q1695">
        <v>19.748733467331991</v>
      </c>
      <c r="R1695" s="6"/>
    </row>
    <row r="1696" spans="1:18" x14ac:dyDescent="0.15">
      <c r="C1696" t="s">
        <v>14</v>
      </c>
      <c r="D1696">
        <v>2.068341708543</v>
      </c>
      <c r="E1696">
        <v>1</v>
      </c>
      <c r="F1696" t="s">
        <v>13</v>
      </c>
      <c r="G1696">
        <v>3</v>
      </c>
      <c r="H1696">
        <v>0</v>
      </c>
      <c r="I1696" t="s">
        <v>488</v>
      </c>
      <c r="J1696" t="s">
        <v>1234</v>
      </c>
      <c r="K1696" t="s">
        <v>1235</v>
      </c>
      <c r="M1696" t="s">
        <v>487</v>
      </c>
      <c r="N1696">
        <v>0</v>
      </c>
      <c r="O1696" t="s">
        <v>1241</v>
      </c>
      <c r="P1696">
        <v>5.4900000000000001E-3</v>
      </c>
      <c r="Q1696">
        <v>11.695851859298102</v>
      </c>
      <c r="R1696" s="6"/>
    </row>
    <row r="1697" spans="1:18" x14ac:dyDescent="0.15">
      <c r="C1697" t="s">
        <v>15</v>
      </c>
      <c r="D1697">
        <v>41.366834170853998</v>
      </c>
      <c r="E1697">
        <v>1000</v>
      </c>
      <c r="F1697" t="s">
        <v>13</v>
      </c>
      <c r="G1697">
        <v>3</v>
      </c>
      <c r="H1697">
        <v>0</v>
      </c>
      <c r="I1697" t="s">
        <v>488</v>
      </c>
      <c r="J1697" t="s">
        <v>1234</v>
      </c>
      <c r="K1697" t="s">
        <v>1235</v>
      </c>
      <c r="M1697" t="s">
        <v>487</v>
      </c>
      <c r="N1697">
        <v>0</v>
      </c>
      <c r="O1697" t="s">
        <v>1241</v>
      </c>
      <c r="P1697">
        <v>7.9819999999999988E-2</v>
      </c>
      <c r="Q1697">
        <v>3.4009577246230922</v>
      </c>
      <c r="R1697" s="6"/>
    </row>
    <row r="1698" spans="1:18" x14ac:dyDescent="0.15">
      <c r="C1698" t="s">
        <v>23</v>
      </c>
      <c r="D1698">
        <v>0.103417085427</v>
      </c>
      <c r="E1698">
        <v>1</v>
      </c>
      <c r="F1698" t="s">
        <v>13</v>
      </c>
      <c r="G1698">
        <v>3</v>
      </c>
      <c r="H1698">
        <v>0</v>
      </c>
      <c r="I1698" t="s">
        <v>488</v>
      </c>
      <c r="J1698" t="s">
        <v>1234</v>
      </c>
      <c r="K1698" t="s">
        <v>1235</v>
      </c>
      <c r="M1698" t="s">
        <v>487</v>
      </c>
      <c r="N1698">
        <v>0</v>
      </c>
      <c r="O1698" t="s">
        <v>1241</v>
      </c>
      <c r="P1698">
        <v>2.3609999999999999E-2</v>
      </c>
      <c r="Q1698">
        <v>2.5149277085394139</v>
      </c>
      <c r="R1698" s="6"/>
    </row>
    <row r="1699" spans="1:18" x14ac:dyDescent="0.15">
      <c r="C1699" t="s">
        <v>24</v>
      </c>
      <c r="D1699">
        <v>41.366834170853998</v>
      </c>
      <c r="E1699">
        <v>1000</v>
      </c>
      <c r="F1699" t="s">
        <v>13</v>
      </c>
      <c r="G1699">
        <v>3</v>
      </c>
      <c r="H1699">
        <v>0</v>
      </c>
      <c r="I1699" t="s">
        <v>488</v>
      </c>
      <c r="J1699" t="s">
        <v>1234</v>
      </c>
      <c r="K1699" t="s">
        <v>1235</v>
      </c>
      <c r="M1699" t="s">
        <v>487</v>
      </c>
      <c r="N1699">
        <v>0</v>
      </c>
      <c r="O1699" t="s">
        <v>1241</v>
      </c>
      <c r="P1699">
        <v>2.8500000000000001E-2</v>
      </c>
      <c r="Q1699">
        <v>1.2143234170854191</v>
      </c>
      <c r="R1699" s="6"/>
    </row>
    <row r="1700" spans="1:18" x14ac:dyDescent="0.15">
      <c r="C1700" t="s">
        <v>17</v>
      </c>
      <c r="D1700">
        <v>8.5470085470089998</v>
      </c>
      <c r="E1700">
        <v>1000</v>
      </c>
      <c r="F1700" t="s">
        <v>18</v>
      </c>
      <c r="G1700">
        <v>0</v>
      </c>
      <c r="H1700">
        <v>0</v>
      </c>
      <c r="I1700" t="s">
        <v>488</v>
      </c>
      <c r="J1700" t="s">
        <v>1234</v>
      </c>
      <c r="K1700" t="s">
        <v>1235</v>
      </c>
      <c r="M1700" t="s">
        <v>487</v>
      </c>
      <c r="N1700">
        <v>0</v>
      </c>
      <c r="O1700" t="s">
        <v>1241</v>
      </c>
      <c r="P1700">
        <v>53.85</v>
      </c>
      <c r="Q1700">
        <v>460.25641025643466</v>
      </c>
      <c r="R1700" s="6"/>
    </row>
    <row r="1701" spans="1:18" x14ac:dyDescent="0.15">
      <c r="C1701" t="s">
        <v>19</v>
      </c>
      <c r="D1701">
        <v>5</v>
      </c>
      <c r="E1701">
        <v>1</v>
      </c>
      <c r="F1701" t="s">
        <v>18</v>
      </c>
      <c r="G1701">
        <v>0</v>
      </c>
      <c r="H1701">
        <v>0</v>
      </c>
      <c r="I1701" t="s">
        <v>488</v>
      </c>
      <c r="J1701" t="s">
        <v>1236</v>
      </c>
      <c r="K1701" t="s">
        <v>1235</v>
      </c>
      <c r="M1701" t="s">
        <v>487</v>
      </c>
      <c r="N1701">
        <v>0</v>
      </c>
      <c r="O1701" t="s">
        <v>1241</v>
      </c>
      <c r="P1701">
        <v>34.65</v>
      </c>
      <c r="Q1701">
        <v>173.25</v>
      </c>
      <c r="R1701" s="6"/>
    </row>
    <row r="1702" spans="1:18" x14ac:dyDescent="0.15">
      <c r="A1702" t="s">
        <v>480</v>
      </c>
      <c r="B1702" t="s">
        <v>9</v>
      </c>
      <c r="P1702">
        <v>0.30436769647931439</v>
      </c>
      <c r="R1702" s="6"/>
    </row>
    <row r="1703" spans="1:18" x14ac:dyDescent="0.15">
      <c r="C1703" t="s">
        <v>481</v>
      </c>
      <c r="D1703">
        <v>4</v>
      </c>
      <c r="E1703">
        <v>1</v>
      </c>
      <c r="F1703" t="s">
        <v>9</v>
      </c>
      <c r="G1703">
        <v>3</v>
      </c>
      <c r="H1703">
        <v>0</v>
      </c>
      <c r="I1703" t="s">
        <v>488</v>
      </c>
      <c r="J1703" t="s">
        <v>1234</v>
      </c>
      <c r="K1703" t="s">
        <v>1235</v>
      </c>
      <c r="M1703" t="s">
        <v>487</v>
      </c>
      <c r="N1703">
        <v>0</v>
      </c>
      <c r="O1703" t="s">
        <v>1241</v>
      </c>
      <c r="P1703">
        <v>0</v>
      </c>
      <c r="Q1703">
        <v>0</v>
      </c>
      <c r="R1703" s="9" t="s">
        <v>1246</v>
      </c>
    </row>
    <row r="1704" spans="1:18" x14ac:dyDescent="0.15">
      <c r="C1704" t="s">
        <v>12</v>
      </c>
      <c r="D1704">
        <v>0.50653266331699998</v>
      </c>
      <c r="E1704">
        <v>1</v>
      </c>
      <c r="F1704" t="s">
        <v>13</v>
      </c>
      <c r="G1704">
        <v>3</v>
      </c>
      <c r="H1704">
        <v>0</v>
      </c>
      <c r="I1704" t="s">
        <v>488</v>
      </c>
      <c r="J1704" t="s">
        <v>1234</v>
      </c>
      <c r="K1704" t="s">
        <v>1235</v>
      </c>
      <c r="M1704" t="s">
        <v>487</v>
      </c>
      <c r="N1704">
        <v>0</v>
      </c>
      <c r="O1704" t="s">
        <v>1241</v>
      </c>
      <c r="P1704">
        <v>1.03E-2</v>
      </c>
      <c r="Q1704">
        <v>5.3738050251300535</v>
      </c>
      <c r="R1704" s="6"/>
    </row>
    <row r="1705" spans="1:18" x14ac:dyDescent="0.15">
      <c r="C1705" t="s">
        <v>14</v>
      </c>
      <c r="D1705">
        <v>0.56281407035200004</v>
      </c>
      <c r="E1705">
        <v>1</v>
      </c>
      <c r="F1705" t="s">
        <v>13</v>
      </c>
      <c r="G1705">
        <v>3</v>
      </c>
      <c r="H1705">
        <v>0</v>
      </c>
      <c r="I1705" t="s">
        <v>488</v>
      </c>
      <c r="J1705" t="s">
        <v>1234</v>
      </c>
      <c r="K1705" t="s">
        <v>1235</v>
      </c>
      <c r="M1705" t="s">
        <v>487</v>
      </c>
      <c r="N1705">
        <v>0</v>
      </c>
      <c r="O1705" t="s">
        <v>1241</v>
      </c>
      <c r="P1705">
        <v>5.4900000000000001E-3</v>
      </c>
      <c r="Q1705">
        <v>3.1825447236194546</v>
      </c>
      <c r="R1705" s="6"/>
    </row>
    <row r="1706" spans="1:18" x14ac:dyDescent="0.15">
      <c r="C1706" t="s">
        <v>15</v>
      </c>
      <c r="D1706">
        <v>11.256281407035001</v>
      </c>
      <c r="E1706">
        <v>1000</v>
      </c>
      <c r="F1706" t="s">
        <v>13</v>
      </c>
      <c r="G1706">
        <v>3</v>
      </c>
      <c r="H1706">
        <v>0</v>
      </c>
      <c r="I1706" t="s">
        <v>488</v>
      </c>
      <c r="J1706" t="s">
        <v>1234</v>
      </c>
      <c r="K1706" t="s">
        <v>1235</v>
      </c>
      <c r="M1706" t="s">
        <v>487</v>
      </c>
      <c r="N1706">
        <v>0</v>
      </c>
      <c r="O1706" t="s">
        <v>1241</v>
      </c>
      <c r="P1706">
        <v>7.9819999999999988E-2</v>
      </c>
      <c r="Q1706">
        <v>0.92543067336681961</v>
      </c>
      <c r="R1706" s="6"/>
    </row>
    <row r="1707" spans="1:18" x14ac:dyDescent="0.15">
      <c r="C1707" t="s">
        <v>23</v>
      </c>
      <c r="D1707">
        <v>28.140703517587998</v>
      </c>
      <c r="E1707">
        <v>1000</v>
      </c>
      <c r="F1707" t="s">
        <v>13</v>
      </c>
      <c r="G1707">
        <v>3</v>
      </c>
      <c r="H1707">
        <v>0</v>
      </c>
      <c r="I1707" t="s">
        <v>488</v>
      </c>
      <c r="J1707" t="s">
        <v>1234</v>
      </c>
      <c r="K1707" t="s">
        <v>1235</v>
      </c>
      <c r="M1707" t="s">
        <v>487</v>
      </c>
      <c r="N1707">
        <v>0</v>
      </c>
      <c r="O1707" t="s">
        <v>1241</v>
      </c>
      <c r="P1707">
        <v>2.3609999999999999E-2</v>
      </c>
      <c r="Q1707">
        <v>0.68433407035176019</v>
      </c>
      <c r="R1707" s="6"/>
    </row>
    <row r="1708" spans="1:18" x14ac:dyDescent="0.15">
      <c r="C1708" t="s">
        <v>24</v>
      </c>
      <c r="D1708">
        <v>11.256281407035001</v>
      </c>
      <c r="E1708">
        <v>1000</v>
      </c>
      <c r="F1708" t="s">
        <v>13</v>
      </c>
      <c r="G1708">
        <v>3</v>
      </c>
      <c r="H1708">
        <v>0</v>
      </c>
      <c r="I1708" t="s">
        <v>488</v>
      </c>
      <c r="J1708" t="s">
        <v>1234</v>
      </c>
      <c r="K1708" t="s">
        <v>1235</v>
      </c>
      <c r="M1708" t="s">
        <v>487</v>
      </c>
      <c r="N1708">
        <v>0</v>
      </c>
      <c r="O1708" t="s">
        <v>1241</v>
      </c>
      <c r="P1708">
        <v>2.8500000000000001E-2</v>
      </c>
      <c r="Q1708">
        <v>0.33042814070351245</v>
      </c>
      <c r="R1708" s="6"/>
    </row>
    <row r="1709" spans="1:18" x14ac:dyDescent="0.15">
      <c r="C1709" t="s">
        <v>17</v>
      </c>
      <c r="D1709">
        <v>3.2051282051279997</v>
      </c>
      <c r="E1709">
        <v>1000</v>
      </c>
      <c r="F1709" t="s">
        <v>18</v>
      </c>
      <c r="G1709">
        <v>0</v>
      </c>
      <c r="H1709">
        <v>0</v>
      </c>
      <c r="I1709" t="s">
        <v>488</v>
      </c>
      <c r="J1709" t="s">
        <v>1234</v>
      </c>
      <c r="K1709" t="s">
        <v>1235</v>
      </c>
      <c r="M1709" t="s">
        <v>487</v>
      </c>
      <c r="N1709">
        <v>0</v>
      </c>
      <c r="O1709" t="s">
        <v>1241</v>
      </c>
      <c r="P1709">
        <v>53.85</v>
      </c>
      <c r="Q1709">
        <v>172.59615384614278</v>
      </c>
      <c r="R1709" s="6"/>
    </row>
    <row r="1710" spans="1:18" x14ac:dyDescent="0.15">
      <c r="C1710" t="s">
        <v>19</v>
      </c>
      <c r="D1710">
        <v>3.5</v>
      </c>
      <c r="E1710">
        <v>1</v>
      </c>
      <c r="F1710" t="s">
        <v>18</v>
      </c>
      <c r="G1710">
        <v>0</v>
      </c>
      <c r="H1710">
        <v>0</v>
      </c>
      <c r="I1710" t="s">
        <v>488</v>
      </c>
      <c r="J1710" t="s">
        <v>1236</v>
      </c>
      <c r="K1710" t="s">
        <v>1235</v>
      </c>
      <c r="M1710" t="s">
        <v>487</v>
      </c>
      <c r="N1710">
        <v>0</v>
      </c>
      <c r="O1710" t="s">
        <v>1241</v>
      </c>
      <c r="P1710">
        <v>34.65</v>
      </c>
      <c r="Q1710">
        <v>121.27499999999999</v>
      </c>
      <c r="R1710" s="6"/>
    </row>
  </sheetData>
  <phoneticPr fontId="3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59999389629810485"/>
  </sheetPr>
  <dimension ref="A1:G658"/>
  <sheetViews>
    <sheetView workbookViewId="0">
      <pane ySplit="1" topLeftCell="A2" activePane="bottomLeft" state="frozen"/>
      <selection pane="bottomLeft" activeCell="F623" sqref="A623:F623"/>
    </sheetView>
  </sheetViews>
  <sheetFormatPr defaultRowHeight="13.5" x14ac:dyDescent="0.15"/>
  <cols>
    <col min="1" max="1" width="22.75" bestFit="1" customWidth="1"/>
    <col min="2" max="2" width="12.875" customWidth="1"/>
    <col min="3" max="3" width="14" customWidth="1"/>
    <col min="4" max="4" width="12.875" customWidth="1"/>
    <col min="7" max="7" width="50.625" customWidth="1"/>
  </cols>
  <sheetData>
    <row r="1" spans="1:7" x14ac:dyDescent="0.15">
      <c r="A1" t="s">
        <v>3</v>
      </c>
      <c r="B1" t="s">
        <v>695</v>
      </c>
      <c r="C1" t="s">
        <v>696</v>
      </c>
      <c r="D1" t="s">
        <v>697</v>
      </c>
      <c r="E1" t="s">
        <v>6</v>
      </c>
      <c r="F1" t="s">
        <v>489</v>
      </c>
      <c r="G1" t="s">
        <v>1243</v>
      </c>
    </row>
    <row r="2" spans="1:7" x14ac:dyDescent="0.15">
      <c r="A2" t="s">
        <v>7</v>
      </c>
      <c r="B2" t="s">
        <v>698</v>
      </c>
      <c r="C2" t="s">
        <v>699</v>
      </c>
      <c r="D2" t="s">
        <v>2</v>
      </c>
      <c r="E2" t="s">
        <v>479</v>
      </c>
      <c r="F2">
        <v>228.20013402437539</v>
      </c>
      <c r="G2" s="6"/>
    </row>
    <row r="3" spans="1:7" x14ac:dyDescent="0.15">
      <c r="A3" t="s">
        <v>490</v>
      </c>
      <c r="B3" t="s">
        <v>698</v>
      </c>
      <c r="C3" t="s">
        <v>699</v>
      </c>
      <c r="D3" t="s">
        <v>2</v>
      </c>
      <c r="E3" t="s">
        <v>479</v>
      </c>
      <c r="F3">
        <v>-1</v>
      </c>
      <c r="G3" s="8" t="s">
        <v>1244</v>
      </c>
    </row>
    <row r="4" spans="1:7" x14ac:dyDescent="0.15">
      <c r="A4" t="s">
        <v>8</v>
      </c>
      <c r="B4" t="s">
        <v>698</v>
      </c>
      <c r="C4" t="s">
        <v>700</v>
      </c>
      <c r="D4" t="s">
        <v>2</v>
      </c>
      <c r="E4" t="s">
        <v>9</v>
      </c>
      <c r="F4">
        <v>0.51863666823721677</v>
      </c>
      <c r="G4" s="6"/>
    </row>
    <row r="5" spans="1:7" x14ac:dyDescent="0.15">
      <c r="A5" t="s">
        <v>491</v>
      </c>
      <c r="B5" t="s">
        <v>701</v>
      </c>
      <c r="C5" t="s">
        <v>702</v>
      </c>
      <c r="D5" t="s">
        <v>703</v>
      </c>
      <c r="E5" t="s">
        <v>479</v>
      </c>
      <c r="F5">
        <v>0</v>
      </c>
      <c r="G5" s="6"/>
    </row>
    <row r="6" spans="1:7" x14ac:dyDescent="0.15">
      <c r="A6" t="s">
        <v>20</v>
      </c>
      <c r="B6" t="s">
        <v>704</v>
      </c>
      <c r="C6" t="s">
        <v>699</v>
      </c>
      <c r="D6" t="s">
        <v>2</v>
      </c>
      <c r="E6" t="s">
        <v>479</v>
      </c>
      <c r="F6">
        <v>1.196708511597959</v>
      </c>
      <c r="G6" s="6"/>
    </row>
    <row r="7" spans="1:7" x14ac:dyDescent="0.15">
      <c r="A7" t="s">
        <v>492</v>
      </c>
      <c r="B7" t="s">
        <v>705</v>
      </c>
      <c r="C7" t="s">
        <v>699</v>
      </c>
      <c r="D7" t="s">
        <v>2</v>
      </c>
      <c r="E7" t="s">
        <v>479</v>
      </c>
      <c r="F7">
        <v>-1</v>
      </c>
      <c r="G7" s="8" t="s">
        <v>1244</v>
      </c>
    </row>
    <row r="8" spans="1:7" x14ac:dyDescent="0.15">
      <c r="A8" t="s">
        <v>21</v>
      </c>
      <c r="B8" t="s">
        <v>706</v>
      </c>
      <c r="C8" t="s">
        <v>700</v>
      </c>
      <c r="D8" t="s">
        <v>2</v>
      </c>
      <c r="E8" t="s">
        <v>9</v>
      </c>
      <c r="F8">
        <v>1.196708511597959</v>
      </c>
      <c r="G8" s="6"/>
    </row>
    <row r="9" spans="1:7" x14ac:dyDescent="0.15">
      <c r="A9" t="s">
        <v>25</v>
      </c>
      <c r="B9" t="s">
        <v>707</v>
      </c>
      <c r="C9" t="s">
        <v>699</v>
      </c>
      <c r="D9" t="s">
        <v>2</v>
      </c>
      <c r="E9" t="s">
        <v>479</v>
      </c>
      <c r="F9">
        <v>0.89387424231773338</v>
      </c>
      <c r="G9" s="6"/>
    </row>
    <row r="10" spans="1:7" x14ac:dyDescent="0.15">
      <c r="A10" t="s">
        <v>27</v>
      </c>
      <c r="B10" t="s">
        <v>708</v>
      </c>
      <c r="C10" t="s">
        <v>699</v>
      </c>
      <c r="D10" t="s">
        <v>2</v>
      </c>
      <c r="E10" t="s">
        <v>479</v>
      </c>
      <c r="F10">
        <v>1.7877484846354668</v>
      </c>
      <c r="G10" s="6"/>
    </row>
    <row r="11" spans="1:7" x14ac:dyDescent="0.15">
      <c r="A11" t="s">
        <v>493</v>
      </c>
      <c r="B11" t="s">
        <v>709</v>
      </c>
      <c r="C11" t="s">
        <v>699</v>
      </c>
      <c r="D11" t="s">
        <v>488</v>
      </c>
      <c r="E11" t="s">
        <v>479</v>
      </c>
      <c r="F11">
        <v>0</v>
      </c>
      <c r="G11" s="6"/>
    </row>
    <row r="12" spans="1:7" x14ac:dyDescent="0.15">
      <c r="A12" t="s">
        <v>26</v>
      </c>
      <c r="B12" t="s">
        <v>709</v>
      </c>
      <c r="C12" t="s">
        <v>700</v>
      </c>
      <c r="D12" t="s">
        <v>2</v>
      </c>
      <c r="E12" t="s">
        <v>9</v>
      </c>
      <c r="F12">
        <v>0.89387424231773338</v>
      </c>
      <c r="G12" s="6"/>
    </row>
    <row r="13" spans="1:7" x14ac:dyDescent="0.15">
      <c r="A13" t="s">
        <v>30</v>
      </c>
      <c r="B13" t="s">
        <v>710</v>
      </c>
      <c r="C13" t="s">
        <v>699</v>
      </c>
      <c r="D13" t="s">
        <v>2</v>
      </c>
      <c r="E13" t="s">
        <v>479</v>
      </c>
      <c r="F13">
        <v>0.88492729726295238</v>
      </c>
      <c r="G13" s="6"/>
    </row>
    <row r="14" spans="1:7" x14ac:dyDescent="0.15">
      <c r="A14" t="s">
        <v>32</v>
      </c>
      <c r="B14" t="s">
        <v>711</v>
      </c>
      <c r="C14" t="s">
        <v>699</v>
      </c>
      <c r="D14" t="s">
        <v>2</v>
      </c>
      <c r="E14" t="s">
        <v>479</v>
      </c>
      <c r="F14">
        <v>1.7698545945259048</v>
      </c>
      <c r="G14" s="6"/>
    </row>
    <row r="15" spans="1:7" x14ac:dyDescent="0.15">
      <c r="A15" t="s">
        <v>494</v>
      </c>
      <c r="B15" t="s">
        <v>712</v>
      </c>
      <c r="C15" t="s">
        <v>699</v>
      </c>
      <c r="D15" t="s">
        <v>488</v>
      </c>
      <c r="E15" t="s">
        <v>479</v>
      </c>
      <c r="F15">
        <v>0</v>
      </c>
      <c r="G15" s="6"/>
    </row>
    <row r="16" spans="1:7" x14ac:dyDescent="0.15">
      <c r="A16" t="s">
        <v>31</v>
      </c>
      <c r="B16" t="s">
        <v>712</v>
      </c>
      <c r="C16" t="s">
        <v>700</v>
      </c>
      <c r="D16" t="s">
        <v>2</v>
      </c>
      <c r="E16" t="s">
        <v>9</v>
      </c>
      <c r="F16">
        <v>0.88492729726295238</v>
      </c>
      <c r="G16" s="6"/>
    </row>
    <row r="17" spans="1:7" x14ac:dyDescent="0.15">
      <c r="A17" t="s">
        <v>35</v>
      </c>
      <c r="B17" t="s">
        <v>713</v>
      </c>
      <c r="C17" t="s">
        <v>699</v>
      </c>
      <c r="D17" t="s">
        <v>2</v>
      </c>
      <c r="E17" t="s">
        <v>479</v>
      </c>
      <c r="F17">
        <v>0.78369508613141259</v>
      </c>
      <c r="G17" s="6"/>
    </row>
    <row r="18" spans="1:7" x14ac:dyDescent="0.15">
      <c r="A18" t="s">
        <v>37</v>
      </c>
      <c r="B18" t="s">
        <v>714</v>
      </c>
      <c r="C18" t="s">
        <v>699</v>
      </c>
      <c r="D18" t="s">
        <v>2</v>
      </c>
      <c r="E18" t="s">
        <v>479</v>
      </c>
      <c r="F18">
        <v>1.5673901722628252</v>
      </c>
      <c r="G18" s="6"/>
    </row>
    <row r="19" spans="1:7" x14ac:dyDescent="0.15">
      <c r="A19" t="s">
        <v>38</v>
      </c>
      <c r="B19" t="s">
        <v>715</v>
      </c>
      <c r="C19" t="s">
        <v>699</v>
      </c>
      <c r="D19" t="s">
        <v>2</v>
      </c>
      <c r="E19" t="s">
        <v>479</v>
      </c>
      <c r="F19">
        <v>0.39184754306570629</v>
      </c>
      <c r="G19" s="6"/>
    </row>
    <row r="20" spans="1:7" x14ac:dyDescent="0.15">
      <c r="A20" t="s">
        <v>36</v>
      </c>
      <c r="B20" t="s">
        <v>716</v>
      </c>
      <c r="C20" t="s">
        <v>700</v>
      </c>
      <c r="D20" t="s">
        <v>2</v>
      </c>
      <c r="E20" t="s">
        <v>9</v>
      </c>
      <c r="F20">
        <v>0.78369508613141259</v>
      </c>
      <c r="G20" s="6"/>
    </row>
    <row r="21" spans="1:7" x14ac:dyDescent="0.15">
      <c r="A21" t="s">
        <v>40</v>
      </c>
      <c r="B21" t="s">
        <v>717</v>
      </c>
      <c r="C21" t="s">
        <v>699</v>
      </c>
      <c r="D21" t="s">
        <v>2</v>
      </c>
      <c r="E21" t="s">
        <v>479</v>
      </c>
      <c r="F21">
        <v>0.83959237048673618</v>
      </c>
      <c r="G21" s="6"/>
    </row>
    <row r="22" spans="1:7" x14ac:dyDescent="0.15">
      <c r="A22" t="s">
        <v>42</v>
      </c>
      <c r="B22" t="s">
        <v>718</v>
      </c>
      <c r="C22" t="s">
        <v>699</v>
      </c>
      <c r="D22" t="s">
        <v>2</v>
      </c>
      <c r="E22" t="s">
        <v>479</v>
      </c>
      <c r="F22">
        <v>1.6791847409734724</v>
      </c>
      <c r="G22" s="6"/>
    </row>
    <row r="23" spans="1:7" x14ac:dyDescent="0.15">
      <c r="A23" t="s">
        <v>495</v>
      </c>
      <c r="B23" t="s">
        <v>719</v>
      </c>
      <c r="C23" t="s">
        <v>699</v>
      </c>
      <c r="D23" t="s">
        <v>488</v>
      </c>
      <c r="E23" t="s">
        <v>479</v>
      </c>
      <c r="F23">
        <v>0</v>
      </c>
      <c r="G23" s="6"/>
    </row>
    <row r="24" spans="1:7" x14ac:dyDescent="0.15">
      <c r="A24" t="s">
        <v>41</v>
      </c>
      <c r="B24" t="s">
        <v>719</v>
      </c>
      <c r="C24" t="s">
        <v>700</v>
      </c>
      <c r="D24" t="s">
        <v>2</v>
      </c>
      <c r="E24" t="s">
        <v>9</v>
      </c>
      <c r="F24">
        <v>0.83959237048673618</v>
      </c>
      <c r="G24" s="6"/>
    </row>
    <row r="25" spans="1:7" x14ac:dyDescent="0.15">
      <c r="A25" t="s">
        <v>43</v>
      </c>
      <c r="B25" t="s">
        <v>720</v>
      </c>
      <c r="C25" t="s">
        <v>699</v>
      </c>
      <c r="D25" t="s">
        <v>2</v>
      </c>
      <c r="E25" t="s">
        <v>479</v>
      </c>
      <c r="F25">
        <v>0.84587730785928006</v>
      </c>
      <c r="G25" s="6"/>
    </row>
    <row r="26" spans="1:7" x14ac:dyDescent="0.15">
      <c r="A26" t="s">
        <v>45</v>
      </c>
      <c r="B26" t="s">
        <v>721</v>
      </c>
      <c r="C26" t="s">
        <v>699</v>
      </c>
      <c r="D26" t="s">
        <v>2</v>
      </c>
      <c r="E26" t="s">
        <v>479</v>
      </c>
      <c r="F26">
        <v>1.6917546157185601</v>
      </c>
      <c r="G26" s="6"/>
    </row>
    <row r="27" spans="1:7" x14ac:dyDescent="0.15">
      <c r="A27" t="s">
        <v>46</v>
      </c>
      <c r="B27" t="s">
        <v>722</v>
      </c>
      <c r="C27" t="s">
        <v>699</v>
      </c>
      <c r="D27" t="s">
        <v>2</v>
      </c>
      <c r="E27" t="s">
        <v>479</v>
      </c>
      <c r="F27">
        <v>0.42293865392964003</v>
      </c>
      <c r="G27" s="6"/>
    </row>
    <row r="28" spans="1:7" x14ac:dyDescent="0.15">
      <c r="A28" t="s">
        <v>496</v>
      </c>
      <c r="B28" t="s">
        <v>723</v>
      </c>
      <c r="C28" t="s">
        <v>699</v>
      </c>
      <c r="D28" t="s">
        <v>488</v>
      </c>
      <c r="E28" t="s">
        <v>479</v>
      </c>
      <c r="F28">
        <v>0</v>
      </c>
      <c r="G28" s="6"/>
    </row>
    <row r="29" spans="1:7" x14ac:dyDescent="0.15">
      <c r="A29" t="s">
        <v>44</v>
      </c>
      <c r="B29" t="s">
        <v>723</v>
      </c>
      <c r="C29" t="s">
        <v>700</v>
      </c>
      <c r="D29" t="s">
        <v>2</v>
      </c>
      <c r="E29" t="s">
        <v>9</v>
      </c>
      <c r="F29">
        <v>0.84587730785928006</v>
      </c>
      <c r="G29" s="6"/>
    </row>
    <row r="30" spans="1:7" x14ac:dyDescent="0.15">
      <c r="A30" t="s">
        <v>47</v>
      </c>
      <c r="B30" t="s">
        <v>724</v>
      </c>
      <c r="C30" t="s">
        <v>699</v>
      </c>
      <c r="D30" t="s">
        <v>2</v>
      </c>
      <c r="E30" t="s">
        <v>479</v>
      </c>
      <c r="F30">
        <v>0.87735827020436141</v>
      </c>
      <c r="G30" s="6"/>
    </row>
    <row r="31" spans="1:7" x14ac:dyDescent="0.15">
      <c r="A31" t="s">
        <v>49</v>
      </c>
      <c r="B31" t="s">
        <v>725</v>
      </c>
      <c r="C31" t="s">
        <v>699</v>
      </c>
      <c r="D31" t="s">
        <v>2</v>
      </c>
      <c r="E31" t="s">
        <v>479</v>
      </c>
      <c r="F31">
        <v>1.7547165404087228</v>
      </c>
      <c r="G31" s="6"/>
    </row>
    <row r="32" spans="1:7" x14ac:dyDescent="0.15">
      <c r="A32" t="s">
        <v>50</v>
      </c>
      <c r="B32" t="s">
        <v>726</v>
      </c>
      <c r="C32" t="s">
        <v>699</v>
      </c>
      <c r="D32" t="s">
        <v>2</v>
      </c>
      <c r="E32" t="s">
        <v>479</v>
      </c>
      <c r="F32">
        <v>0.43867913510218071</v>
      </c>
      <c r="G32" s="6"/>
    </row>
    <row r="33" spans="1:7" x14ac:dyDescent="0.15">
      <c r="A33" t="s">
        <v>497</v>
      </c>
      <c r="B33" t="s">
        <v>727</v>
      </c>
      <c r="C33" t="s">
        <v>699</v>
      </c>
      <c r="D33" t="s">
        <v>488</v>
      </c>
      <c r="E33" t="s">
        <v>479</v>
      </c>
      <c r="F33">
        <v>0</v>
      </c>
      <c r="G33" s="6"/>
    </row>
    <row r="34" spans="1:7" x14ac:dyDescent="0.15">
      <c r="A34" t="s">
        <v>48</v>
      </c>
      <c r="B34" t="s">
        <v>727</v>
      </c>
      <c r="C34" t="s">
        <v>700</v>
      </c>
      <c r="D34" t="s">
        <v>2</v>
      </c>
      <c r="E34" t="s">
        <v>9</v>
      </c>
      <c r="F34">
        <v>0.87735827020436141</v>
      </c>
      <c r="G34" s="6"/>
    </row>
    <row r="35" spans="1:7" x14ac:dyDescent="0.15">
      <c r="A35" t="s">
        <v>51</v>
      </c>
      <c r="B35" t="s">
        <v>728</v>
      </c>
      <c r="C35" t="s">
        <v>699</v>
      </c>
      <c r="D35" t="s">
        <v>2</v>
      </c>
      <c r="E35" t="s">
        <v>479</v>
      </c>
      <c r="F35">
        <v>0.95908991900054508</v>
      </c>
      <c r="G35" s="6"/>
    </row>
    <row r="36" spans="1:7" x14ac:dyDescent="0.15">
      <c r="A36" t="s">
        <v>53</v>
      </c>
      <c r="B36" t="s">
        <v>729</v>
      </c>
      <c r="C36" t="s">
        <v>699</v>
      </c>
      <c r="D36" t="s">
        <v>2</v>
      </c>
      <c r="E36" t="s">
        <v>479</v>
      </c>
      <c r="F36">
        <v>1.9181798380010902</v>
      </c>
      <c r="G36" s="6"/>
    </row>
    <row r="37" spans="1:7" x14ac:dyDescent="0.15">
      <c r="A37" t="s">
        <v>54</v>
      </c>
      <c r="B37" t="s">
        <v>730</v>
      </c>
      <c r="C37" t="s">
        <v>699</v>
      </c>
      <c r="D37" t="s">
        <v>2</v>
      </c>
      <c r="E37" t="s">
        <v>479</v>
      </c>
      <c r="F37">
        <v>0.47954495950027254</v>
      </c>
      <c r="G37" s="6"/>
    </row>
    <row r="38" spans="1:7" x14ac:dyDescent="0.15">
      <c r="A38" t="s">
        <v>498</v>
      </c>
      <c r="B38" t="s">
        <v>731</v>
      </c>
      <c r="C38" t="s">
        <v>699</v>
      </c>
      <c r="D38" t="s">
        <v>488</v>
      </c>
      <c r="E38" t="s">
        <v>479</v>
      </c>
      <c r="F38">
        <v>0</v>
      </c>
      <c r="G38" s="6"/>
    </row>
    <row r="39" spans="1:7" x14ac:dyDescent="0.15">
      <c r="A39" t="s">
        <v>52</v>
      </c>
      <c r="B39" t="s">
        <v>731</v>
      </c>
      <c r="C39" t="s">
        <v>700</v>
      </c>
      <c r="D39" t="s">
        <v>2</v>
      </c>
      <c r="E39" t="s">
        <v>9</v>
      </c>
      <c r="F39">
        <v>0.95908991900054508</v>
      </c>
      <c r="G39" s="6"/>
    </row>
    <row r="40" spans="1:7" x14ac:dyDescent="0.15">
      <c r="A40" t="s">
        <v>55</v>
      </c>
      <c r="B40" t="s">
        <v>732</v>
      </c>
      <c r="C40" t="s">
        <v>699</v>
      </c>
      <c r="D40" t="s">
        <v>2</v>
      </c>
      <c r="E40" t="s">
        <v>479</v>
      </c>
      <c r="F40">
        <v>0.55450350174630514</v>
      </c>
      <c r="G40" s="6"/>
    </row>
    <row r="41" spans="1:7" x14ac:dyDescent="0.15">
      <c r="A41" t="s">
        <v>57</v>
      </c>
      <c r="B41" t="s">
        <v>733</v>
      </c>
      <c r="C41" t="s">
        <v>699</v>
      </c>
      <c r="D41" t="s">
        <v>2</v>
      </c>
      <c r="E41" t="s">
        <v>479</v>
      </c>
      <c r="F41">
        <v>1.1090070034926103</v>
      </c>
      <c r="G41" s="6"/>
    </row>
    <row r="42" spans="1:7" x14ac:dyDescent="0.15">
      <c r="A42" t="s">
        <v>58</v>
      </c>
      <c r="B42" t="s">
        <v>734</v>
      </c>
      <c r="C42" t="s">
        <v>699</v>
      </c>
      <c r="D42" t="s">
        <v>2</v>
      </c>
      <c r="E42" t="s">
        <v>479</v>
      </c>
      <c r="F42">
        <v>0.27725175087315257</v>
      </c>
      <c r="G42" s="6"/>
    </row>
    <row r="43" spans="1:7" x14ac:dyDescent="0.15">
      <c r="A43" t="s">
        <v>499</v>
      </c>
      <c r="B43" t="s">
        <v>735</v>
      </c>
      <c r="C43" t="s">
        <v>699</v>
      </c>
      <c r="D43" t="s">
        <v>488</v>
      </c>
      <c r="E43" t="s">
        <v>479</v>
      </c>
      <c r="F43">
        <v>0</v>
      </c>
      <c r="G43" s="6"/>
    </row>
    <row r="44" spans="1:7" x14ac:dyDescent="0.15">
      <c r="A44" t="s">
        <v>56</v>
      </c>
      <c r="B44" t="s">
        <v>735</v>
      </c>
      <c r="C44" t="s">
        <v>700</v>
      </c>
      <c r="D44" t="s">
        <v>2</v>
      </c>
      <c r="E44" t="s">
        <v>9</v>
      </c>
      <c r="F44">
        <v>0.55450350174630514</v>
      </c>
      <c r="G44" s="6"/>
    </row>
    <row r="45" spans="1:7" x14ac:dyDescent="0.15">
      <c r="A45" t="s">
        <v>59</v>
      </c>
      <c r="B45" t="s">
        <v>736</v>
      </c>
      <c r="C45" t="s">
        <v>699</v>
      </c>
      <c r="D45" t="s">
        <v>2</v>
      </c>
      <c r="E45" t="s">
        <v>479</v>
      </c>
      <c r="F45">
        <v>0.83136517215519834</v>
      </c>
      <c r="G45" s="6"/>
    </row>
    <row r="46" spans="1:7" x14ac:dyDescent="0.15">
      <c r="A46" t="s">
        <v>61</v>
      </c>
      <c r="B46" t="s">
        <v>737</v>
      </c>
      <c r="C46" t="s">
        <v>699</v>
      </c>
      <c r="D46" t="s">
        <v>2</v>
      </c>
      <c r="E46" t="s">
        <v>479</v>
      </c>
      <c r="F46">
        <v>1.6627303443103967</v>
      </c>
      <c r="G46" s="6"/>
    </row>
    <row r="47" spans="1:7" x14ac:dyDescent="0.15">
      <c r="A47" t="s">
        <v>62</v>
      </c>
      <c r="B47" t="s">
        <v>738</v>
      </c>
      <c r="C47" t="s">
        <v>699</v>
      </c>
      <c r="D47" t="s">
        <v>2</v>
      </c>
      <c r="E47" t="s">
        <v>479</v>
      </c>
      <c r="F47">
        <v>3.3254606886207934</v>
      </c>
      <c r="G47" s="6"/>
    </row>
    <row r="48" spans="1:7" x14ac:dyDescent="0.15">
      <c r="A48" t="s">
        <v>63</v>
      </c>
      <c r="B48" t="s">
        <v>739</v>
      </c>
      <c r="C48" t="s">
        <v>699</v>
      </c>
      <c r="D48" t="s">
        <v>2</v>
      </c>
      <c r="E48" t="s">
        <v>479</v>
      </c>
      <c r="F48">
        <v>0.41568258607759917</v>
      </c>
      <c r="G48" s="6"/>
    </row>
    <row r="49" spans="1:7" x14ac:dyDescent="0.15">
      <c r="A49" t="s">
        <v>64</v>
      </c>
      <c r="B49" t="s">
        <v>740</v>
      </c>
      <c r="C49" t="s">
        <v>699</v>
      </c>
      <c r="D49" t="s">
        <v>2</v>
      </c>
      <c r="E49" t="s">
        <v>479</v>
      </c>
      <c r="F49">
        <v>207.84129303879959</v>
      </c>
      <c r="G49" s="6"/>
    </row>
    <row r="50" spans="1:7" x14ac:dyDescent="0.15">
      <c r="A50" t="s">
        <v>500</v>
      </c>
      <c r="B50" t="s">
        <v>740</v>
      </c>
      <c r="C50" t="s">
        <v>699</v>
      </c>
      <c r="D50" t="s">
        <v>488</v>
      </c>
      <c r="E50" t="s">
        <v>479</v>
      </c>
      <c r="F50">
        <v>0</v>
      </c>
      <c r="G50" s="6"/>
    </row>
    <row r="51" spans="1:7" x14ac:dyDescent="0.15">
      <c r="A51" t="s">
        <v>60</v>
      </c>
      <c r="B51" t="s">
        <v>740</v>
      </c>
      <c r="C51" t="s">
        <v>700</v>
      </c>
      <c r="D51" t="s">
        <v>2</v>
      </c>
      <c r="E51" t="s">
        <v>9</v>
      </c>
      <c r="F51">
        <v>0.83136517215519834</v>
      </c>
      <c r="G51" s="6"/>
    </row>
    <row r="52" spans="1:7" x14ac:dyDescent="0.15">
      <c r="A52" t="s">
        <v>65</v>
      </c>
      <c r="B52" t="s">
        <v>741</v>
      </c>
      <c r="C52" t="s">
        <v>699</v>
      </c>
      <c r="D52" t="s">
        <v>2</v>
      </c>
      <c r="E52" t="s">
        <v>479</v>
      </c>
      <c r="F52">
        <v>0.53262747284904066</v>
      </c>
      <c r="G52" s="6"/>
    </row>
    <row r="53" spans="1:7" x14ac:dyDescent="0.15">
      <c r="A53" t="s">
        <v>67</v>
      </c>
      <c r="B53" t="s">
        <v>742</v>
      </c>
      <c r="C53" t="s">
        <v>699</v>
      </c>
      <c r="D53" t="s">
        <v>2</v>
      </c>
      <c r="E53" t="s">
        <v>479</v>
      </c>
      <c r="F53">
        <v>1.0652549456980813</v>
      </c>
      <c r="G53" s="6"/>
    </row>
    <row r="54" spans="1:7" x14ac:dyDescent="0.15">
      <c r="A54" t="s">
        <v>68</v>
      </c>
      <c r="B54" t="s">
        <v>743</v>
      </c>
      <c r="C54" t="s">
        <v>699</v>
      </c>
      <c r="D54" t="s">
        <v>2</v>
      </c>
      <c r="E54" t="s">
        <v>479</v>
      </c>
      <c r="F54">
        <v>0.26631373642452033</v>
      </c>
      <c r="G54" s="6"/>
    </row>
    <row r="55" spans="1:7" x14ac:dyDescent="0.15">
      <c r="A55" t="s">
        <v>501</v>
      </c>
      <c r="B55" t="s">
        <v>744</v>
      </c>
      <c r="C55" t="s">
        <v>699</v>
      </c>
      <c r="D55" t="s">
        <v>488</v>
      </c>
      <c r="E55" t="s">
        <v>479</v>
      </c>
      <c r="F55">
        <v>0</v>
      </c>
      <c r="G55" s="6"/>
    </row>
    <row r="56" spans="1:7" x14ac:dyDescent="0.15">
      <c r="A56" t="s">
        <v>66</v>
      </c>
      <c r="B56" t="s">
        <v>744</v>
      </c>
      <c r="C56" t="s">
        <v>700</v>
      </c>
      <c r="D56" t="s">
        <v>2</v>
      </c>
      <c r="E56" t="s">
        <v>9</v>
      </c>
      <c r="F56">
        <v>0.53262747284904066</v>
      </c>
      <c r="G56" s="6"/>
    </row>
    <row r="57" spans="1:7" x14ac:dyDescent="0.15">
      <c r="A57" t="s">
        <v>69</v>
      </c>
      <c r="B57" t="s">
        <v>745</v>
      </c>
      <c r="C57" t="s">
        <v>699</v>
      </c>
      <c r="D57" t="s">
        <v>2</v>
      </c>
      <c r="E57" t="s">
        <v>479</v>
      </c>
      <c r="F57">
        <v>0.57062928349747022</v>
      </c>
      <c r="G57" s="6"/>
    </row>
    <row r="58" spans="1:7" x14ac:dyDescent="0.15">
      <c r="A58" t="s">
        <v>71</v>
      </c>
      <c r="B58" t="s">
        <v>746</v>
      </c>
      <c r="C58" t="s">
        <v>699</v>
      </c>
      <c r="D58" t="s">
        <v>2</v>
      </c>
      <c r="E58" t="s">
        <v>479</v>
      </c>
      <c r="F58">
        <v>1.1412585669949404</v>
      </c>
      <c r="G58" s="6"/>
    </row>
    <row r="59" spans="1:7" x14ac:dyDescent="0.15">
      <c r="A59" t="s">
        <v>72</v>
      </c>
      <c r="B59" t="s">
        <v>747</v>
      </c>
      <c r="C59" t="s">
        <v>699</v>
      </c>
      <c r="D59" t="s">
        <v>2</v>
      </c>
      <c r="E59" t="s">
        <v>479</v>
      </c>
      <c r="F59">
        <v>0.28531464174873511</v>
      </c>
      <c r="G59" s="6"/>
    </row>
    <row r="60" spans="1:7" x14ac:dyDescent="0.15">
      <c r="A60" t="s">
        <v>73</v>
      </c>
      <c r="B60" t="s">
        <v>748</v>
      </c>
      <c r="C60" t="s">
        <v>699</v>
      </c>
      <c r="D60" t="s">
        <v>2</v>
      </c>
      <c r="E60" t="s">
        <v>479</v>
      </c>
      <c r="F60">
        <v>0.85594392524620533</v>
      </c>
      <c r="G60" s="6"/>
    </row>
    <row r="61" spans="1:7" x14ac:dyDescent="0.15">
      <c r="A61" t="s">
        <v>502</v>
      </c>
      <c r="B61" t="s">
        <v>749</v>
      </c>
      <c r="C61" t="s">
        <v>699</v>
      </c>
      <c r="D61" t="s">
        <v>488</v>
      </c>
      <c r="E61" t="s">
        <v>479</v>
      </c>
      <c r="F61">
        <v>0</v>
      </c>
      <c r="G61" s="6"/>
    </row>
    <row r="62" spans="1:7" x14ac:dyDescent="0.15">
      <c r="A62" t="s">
        <v>70</v>
      </c>
      <c r="B62" t="s">
        <v>749</v>
      </c>
      <c r="C62" t="s">
        <v>700</v>
      </c>
      <c r="D62" t="s">
        <v>2</v>
      </c>
      <c r="E62" t="s">
        <v>9</v>
      </c>
      <c r="F62">
        <v>0.57062928349747022</v>
      </c>
      <c r="G62" s="6"/>
    </row>
    <row r="63" spans="1:7" x14ac:dyDescent="0.15">
      <c r="A63" t="s">
        <v>74</v>
      </c>
      <c r="B63" t="s">
        <v>750</v>
      </c>
      <c r="C63" t="s">
        <v>699</v>
      </c>
      <c r="D63" t="s">
        <v>2</v>
      </c>
      <c r="E63" t="s">
        <v>479</v>
      </c>
      <c r="F63">
        <v>0.92869027546063698</v>
      </c>
      <c r="G63" s="6"/>
    </row>
    <row r="64" spans="1:7" x14ac:dyDescent="0.15">
      <c r="A64" t="s">
        <v>76</v>
      </c>
      <c r="B64" t="s">
        <v>751</v>
      </c>
      <c r="C64" t="s">
        <v>699</v>
      </c>
      <c r="D64" t="s">
        <v>2</v>
      </c>
      <c r="E64" t="s">
        <v>479</v>
      </c>
      <c r="F64">
        <v>1.857380550921274</v>
      </c>
      <c r="G64" s="6"/>
    </row>
    <row r="65" spans="1:7" x14ac:dyDescent="0.15">
      <c r="A65" t="s">
        <v>77</v>
      </c>
      <c r="B65" t="s">
        <v>752</v>
      </c>
      <c r="C65" t="s">
        <v>699</v>
      </c>
      <c r="D65" t="s">
        <v>2</v>
      </c>
      <c r="E65" t="s">
        <v>479</v>
      </c>
      <c r="F65">
        <v>2.7860708263819109</v>
      </c>
      <c r="G65" s="6"/>
    </row>
    <row r="66" spans="1:7" x14ac:dyDescent="0.15">
      <c r="A66" t="s">
        <v>78</v>
      </c>
      <c r="B66" t="s">
        <v>753</v>
      </c>
      <c r="C66" t="s">
        <v>699</v>
      </c>
      <c r="D66" t="s">
        <v>2</v>
      </c>
      <c r="E66" t="s">
        <v>479</v>
      </c>
      <c r="F66">
        <v>0.46434513773031849</v>
      </c>
      <c r="G66" s="6"/>
    </row>
    <row r="67" spans="1:7" x14ac:dyDescent="0.15">
      <c r="A67" t="s">
        <v>503</v>
      </c>
      <c r="B67" t="s">
        <v>754</v>
      </c>
      <c r="C67" t="s">
        <v>699</v>
      </c>
      <c r="D67" t="s">
        <v>488</v>
      </c>
      <c r="E67" t="s">
        <v>479</v>
      </c>
      <c r="F67">
        <v>0</v>
      </c>
      <c r="G67" s="6"/>
    </row>
    <row r="68" spans="1:7" x14ac:dyDescent="0.15">
      <c r="A68" t="s">
        <v>75</v>
      </c>
      <c r="B68" t="s">
        <v>754</v>
      </c>
      <c r="C68" t="s">
        <v>700</v>
      </c>
      <c r="D68" t="s">
        <v>2</v>
      </c>
      <c r="E68" t="s">
        <v>9</v>
      </c>
      <c r="F68">
        <v>0.92869027546063698</v>
      </c>
      <c r="G68" s="6"/>
    </row>
    <row r="69" spans="1:7" x14ac:dyDescent="0.15">
      <c r="A69" t="s">
        <v>79</v>
      </c>
      <c r="B69" t="s">
        <v>755</v>
      </c>
      <c r="C69" t="s">
        <v>699</v>
      </c>
      <c r="D69" t="s">
        <v>2</v>
      </c>
      <c r="E69" t="s">
        <v>479</v>
      </c>
      <c r="F69">
        <v>0.74772537339895839</v>
      </c>
      <c r="G69" s="6"/>
    </row>
    <row r="70" spans="1:7" x14ac:dyDescent="0.15">
      <c r="A70" t="s">
        <v>81</v>
      </c>
      <c r="B70" t="s">
        <v>756</v>
      </c>
      <c r="C70" t="s">
        <v>699</v>
      </c>
      <c r="D70" t="s">
        <v>2</v>
      </c>
      <c r="E70" t="s">
        <v>479</v>
      </c>
      <c r="F70">
        <v>1.4954507467979168</v>
      </c>
      <c r="G70" s="6"/>
    </row>
    <row r="71" spans="1:7" x14ac:dyDescent="0.15">
      <c r="A71" t="s">
        <v>504</v>
      </c>
      <c r="B71" t="s">
        <v>757</v>
      </c>
      <c r="C71" t="s">
        <v>699</v>
      </c>
      <c r="D71" t="s">
        <v>488</v>
      </c>
      <c r="E71" t="s">
        <v>479</v>
      </c>
      <c r="F71">
        <v>0</v>
      </c>
      <c r="G71" s="6"/>
    </row>
    <row r="72" spans="1:7" x14ac:dyDescent="0.15">
      <c r="A72" t="s">
        <v>80</v>
      </c>
      <c r="B72" t="s">
        <v>757</v>
      </c>
      <c r="C72" t="s">
        <v>700</v>
      </c>
      <c r="D72" t="s">
        <v>2</v>
      </c>
      <c r="E72" t="s">
        <v>9</v>
      </c>
      <c r="F72">
        <v>0.74772537339895839</v>
      </c>
      <c r="G72" s="6"/>
    </row>
    <row r="73" spans="1:7" x14ac:dyDescent="0.15">
      <c r="A73" t="s">
        <v>82</v>
      </c>
      <c r="B73" t="s">
        <v>758</v>
      </c>
      <c r="C73" t="s">
        <v>699</v>
      </c>
      <c r="D73" t="s">
        <v>2</v>
      </c>
      <c r="E73" t="s">
        <v>479</v>
      </c>
      <c r="F73">
        <v>0.45216006369932515</v>
      </c>
      <c r="G73" s="6"/>
    </row>
    <row r="74" spans="1:7" x14ac:dyDescent="0.15">
      <c r="A74" t="s">
        <v>84</v>
      </c>
      <c r="B74" t="s">
        <v>759</v>
      </c>
      <c r="C74" t="s">
        <v>699</v>
      </c>
      <c r="D74" t="s">
        <v>2</v>
      </c>
      <c r="E74" t="s">
        <v>479</v>
      </c>
      <c r="F74">
        <v>0.90432012739865031</v>
      </c>
      <c r="G74" s="6"/>
    </row>
    <row r="75" spans="1:7" x14ac:dyDescent="0.15">
      <c r="A75" t="s">
        <v>85</v>
      </c>
      <c r="B75" t="s">
        <v>760</v>
      </c>
      <c r="C75" t="s">
        <v>699</v>
      </c>
      <c r="D75" t="s">
        <v>2</v>
      </c>
      <c r="E75" t="s">
        <v>479</v>
      </c>
      <c r="F75">
        <v>0.22608003184966258</v>
      </c>
      <c r="G75" s="6"/>
    </row>
    <row r="76" spans="1:7" x14ac:dyDescent="0.15">
      <c r="A76" t="s">
        <v>505</v>
      </c>
      <c r="B76" t="s">
        <v>761</v>
      </c>
      <c r="C76" t="s">
        <v>699</v>
      </c>
      <c r="D76" t="s">
        <v>488</v>
      </c>
      <c r="E76" t="s">
        <v>479</v>
      </c>
      <c r="F76">
        <v>0</v>
      </c>
      <c r="G76" s="6"/>
    </row>
    <row r="77" spans="1:7" x14ac:dyDescent="0.15">
      <c r="A77" t="s">
        <v>83</v>
      </c>
      <c r="B77" t="s">
        <v>761</v>
      </c>
      <c r="C77" t="s">
        <v>700</v>
      </c>
      <c r="D77" t="s">
        <v>2</v>
      </c>
      <c r="E77" t="s">
        <v>9</v>
      </c>
      <c r="F77">
        <v>0.45216006369932515</v>
      </c>
      <c r="G77" s="6"/>
    </row>
    <row r="78" spans="1:7" x14ac:dyDescent="0.15">
      <c r="A78" t="s">
        <v>86</v>
      </c>
      <c r="B78" t="s">
        <v>762</v>
      </c>
      <c r="C78" t="s">
        <v>699</v>
      </c>
      <c r="D78" t="s">
        <v>2</v>
      </c>
      <c r="E78" t="s">
        <v>479</v>
      </c>
      <c r="F78">
        <v>0.43052122629978534</v>
      </c>
      <c r="G78" s="6"/>
    </row>
    <row r="79" spans="1:7" x14ac:dyDescent="0.15">
      <c r="A79" t="s">
        <v>88</v>
      </c>
      <c r="B79" t="s">
        <v>763</v>
      </c>
      <c r="C79" t="s">
        <v>699</v>
      </c>
      <c r="D79" t="s">
        <v>2</v>
      </c>
      <c r="E79" t="s">
        <v>479</v>
      </c>
      <c r="F79">
        <v>0.86104245259957068</v>
      </c>
      <c r="G79" s="6"/>
    </row>
    <row r="80" spans="1:7" x14ac:dyDescent="0.15">
      <c r="A80" t="s">
        <v>89</v>
      </c>
      <c r="B80" t="s">
        <v>764</v>
      </c>
      <c r="C80" t="s">
        <v>699</v>
      </c>
      <c r="D80" t="s">
        <v>2</v>
      </c>
      <c r="E80" t="s">
        <v>479</v>
      </c>
      <c r="F80">
        <v>0.21526061314989267</v>
      </c>
      <c r="G80" s="6"/>
    </row>
    <row r="81" spans="1:7" x14ac:dyDescent="0.15">
      <c r="A81" t="s">
        <v>506</v>
      </c>
      <c r="B81" t="s">
        <v>765</v>
      </c>
      <c r="C81" t="s">
        <v>699</v>
      </c>
      <c r="D81" t="s">
        <v>488</v>
      </c>
      <c r="E81" t="s">
        <v>479</v>
      </c>
      <c r="F81">
        <v>0</v>
      </c>
      <c r="G81" s="6"/>
    </row>
    <row r="82" spans="1:7" x14ac:dyDescent="0.15">
      <c r="A82" t="s">
        <v>87</v>
      </c>
      <c r="B82" t="s">
        <v>765</v>
      </c>
      <c r="C82" t="s">
        <v>700</v>
      </c>
      <c r="D82" t="s">
        <v>2</v>
      </c>
      <c r="E82" t="s">
        <v>9</v>
      </c>
      <c r="F82">
        <v>0.43052122629978534</v>
      </c>
      <c r="G82" s="6"/>
    </row>
    <row r="83" spans="1:7" x14ac:dyDescent="0.15">
      <c r="A83" t="s">
        <v>90</v>
      </c>
      <c r="B83" t="s">
        <v>766</v>
      </c>
      <c r="C83" t="s">
        <v>699</v>
      </c>
      <c r="D83" t="s">
        <v>2</v>
      </c>
      <c r="E83" t="s">
        <v>479</v>
      </c>
      <c r="F83">
        <v>0.45366894170283428</v>
      </c>
      <c r="G83" s="6"/>
    </row>
    <row r="84" spans="1:7" x14ac:dyDescent="0.15">
      <c r="A84" t="s">
        <v>92</v>
      </c>
      <c r="B84" t="s">
        <v>767</v>
      </c>
      <c r="C84" t="s">
        <v>699</v>
      </c>
      <c r="D84" t="s">
        <v>2</v>
      </c>
      <c r="E84" t="s">
        <v>479</v>
      </c>
      <c r="F84">
        <v>0.90733788340566857</v>
      </c>
      <c r="G84" s="6"/>
    </row>
    <row r="85" spans="1:7" x14ac:dyDescent="0.15">
      <c r="A85" t="s">
        <v>93</v>
      </c>
      <c r="B85" t="s">
        <v>768</v>
      </c>
      <c r="C85" t="s">
        <v>699</v>
      </c>
      <c r="D85" t="s">
        <v>2</v>
      </c>
      <c r="E85" t="s">
        <v>479</v>
      </c>
      <c r="F85">
        <v>0.22683447085141714</v>
      </c>
      <c r="G85" s="6"/>
    </row>
    <row r="86" spans="1:7" x14ac:dyDescent="0.15">
      <c r="A86" t="s">
        <v>507</v>
      </c>
      <c r="B86" t="s">
        <v>769</v>
      </c>
      <c r="C86" t="s">
        <v>699</v>
      </c>
      <c r="D86" t="s">
        <v>488</v>
      </c>
      <c r="E86" t="s">
        <v>479</v>
      </c>
      <c r="F86">
        <v>0</v>
      </c>
      <c r="G86" s="6"/>
    </row>
    <row r="87" spans="1:7" x14ac:dyDescent="0.15">
      <c r="A87" t="s">
        <v>91</v>
      </c>
      <c r="B87" t="s">
        <v>769</v>
      </c>
      <c r="C87" t="s">
        <v>700</v>
      </c>
      <c r="D87" t="s">
        <v>2</v>
      </c>
      <c r="E87" t="s">
        <v>9</v>
      </c>
      <c r="F87">
        <v>0.45366894170283428</v>
      </c>
      <c r="G87" s="6"/>
    </row>
    <row r="88" spans="1:7" x14ac:dyDescent="0.15">
      <c r="A88" t="s">
        <v>94</v>
      </c>
      <c r="B88" t="s">
        <v>770</v>
      </c>
      <c r="C88" t="s">
        <v>699</v>
      </c>
      <c r="D88" t="s">
        <v>2</v>
      </c>
      <c r="E88" t="s">
        <v>479</v>
      </c>
      <c r="F88">
        <v>0.44338634220640832</v>
      </c>
      <c r="G88" s="6"/>
    </row>
    <row r="89" spans="1:7" x14ac:dyDescent="0.15">
      <c r="A89" t="s">
        <v>96</v>
      </c>
      <c r="B89" t="s">
        <v>771</v>
      </c>
      <c r="C89" t="s">
        <v>699</v>
      </c>
      <c r="D89" t="s">
        <v>2</v>
      </c>
      <c r="E89" t="s">
        <v>479</v>
      </c>
      <c r="F89">
        <v>0.88677268441281665</v>
      </c>
      <c r="G89" s="6"/>
    </row>
    <row r="90" spans="1:7" x14ac:dyDescent="0.15">
      <c r="A90" t="s">
        <v>97</v>
      </c>
      <c r="B90" t="s">
        <v>772</v>
      </c>
      <c r="C90" t="s">
        <v>699</v>
      </c>
      <c r="D90" t="s">
        <v>2</v>
      </c>
      <c r="E90" t="s">
        <v>479</v>
      </c>
      <c r="F90">
        <v>0.22169317110320416</v>
      </c>
      <c r="G90" s="6"/>
    </row>
    <row r="91" spans="1:7" x14ac:dyDescent="0.15">
      <c r="A91" t="s">
        <v>508</v>
      </c>
      <c r="B91" t="s">
        <v>773</v>
      </c>
      <c r="C91" t="s">
        <v>699</v>
      </c>
      <c r="D91" t="s">
        <v>488</v>
      </c>
      <c r="E91" t="s">
        <v>479</v>
      </c>
      <c r="F91">
        <v>0</v>
      </c>
      <c r="G91" s="6"/>
    </row>
    <row r="92" spans="1:7" x14ac:dyDescent="0.15">
      <c r="A92" t="s">
        <v>95</v>
      </c>
      <c r="B92" t="s">
        <v>773</v>
      </c>
      <c r="C92" t="s">
        <v>700</v>
      </c>
      <c r="D92" t="s">
        <v>2</v>
      </c>
      <c r="E92" t="s">
        <v>9</v>
      </c>
      <c r="F92">
        <v>0.44338634220640832</v>
      </c>
      <c r="G92" s="6"/>
    </row>
    <row r="93" spans="1:7" x14ac:dyDescent="0.15">
      <c r="A93" t="s">
        <v>98</v>
      </c>
      <c r="B93" t="s">
        <v>774</v>
      </c>
      <c r="C93" t="s">
        <v>699</v>
      </c>
      <c r="D93" t="s">
        <v>2</v>
      </c>
      <c r="E93" t="s">
        <v>479</v>
      </c>
      <c r="F93">
        <v>0.43353898230682492</v>
      </c>
      <c r="G93" s="6"/>
    </row>
    <row r="94" spans="1:7" x14ac:dyDescent="0.15">
      <c r="A94" t="s">
        <v>100</v>
      </c>
      <c r="B94" t="s">
        <v>775</v>
      </c>
      <c r="C94" t="s">
        <v>699</v>
      </c>
      <c r="D94" t="s">
        <v>2</v>
      </c>
      <c r="E94" t="s">
        <v>479</v>
      </c>
      <c r="F94">
        <v>0.86707796461364983</v>
      </c>
      <c r="G94" s="6"/>
    </row>
    <row r="95" spans="1:7" x14ac:dyDescent="0.15">
      <c r="A95" t="s">
        <v>101</v>
      </c>
      <c r="B95" t="s">
        <v>776</v>
      </c>
      <c r="C95" t="s">
        <v>699</v>
      </c>
      <c r="D95" t="s">
        <v>2</v>
      </c>
      <c r="E95" t="s">
        <v>479</v>
      </c>
      <c r="F95">
        <v>0.21676949115341246</v>
      </c>
      <c r="G95" s="6"/>
    </row>
    <row r="96" spans="1:7" x14ac:dyDescent="0.15">
      <c r="A96" t="s">
        <v>509</v>
      </c>
      <c r="B96" t="s">
        <v>777</v>
      </c>
      <c r="C96" t="s">
        <v>699</v>
      </c>
      <c r="D96" t="s">
        <v>488</v>
      </c>
      <c r="E96" t="s">
        <v>479</v>
      </c>
      <c r="F96">
        <v>0</v>
      </c>
      <c r="G96" s="6"/>
    </row>
    <row r="97" spans="1:7" x14ac:dyDescent="0.15">
      <c r="A97" t="s">
        <v>99</v>
      </c>
      <c r="B97" t="s">
        <v>777</v>
      </c>
      <c r="C97" t="s">
        <v>700</v>
      </c>
      <c r="D97" t="s">
        <v>2</v>
      </c>
      <c r="E97" t="s">
        <v>9</v>
      </c>
      <c r="F97">
        <v>0.43353898230682492</v>
      </c>
      <c r="G97" s="6"/>
    </row>
    <row r="98" spans="1:7" x14ac:dyDescent="0.15">
      <c r="A98" t="s">
        <v>102</v>
      </c>
      <c r="B98" t="s">
        <v>778</v>
      </c>
      <c r="C98" t="s">
        <v>699</v>
      </c>
      <c r="D98" t="s">
        <v>2</v>
      </c>
      <c r="E98" t="s">
        <v>479</v>
      </c>
      <c r="F98">
        <v>0.48997935736145209</v>
      </c>
      <c r="G98" s="6"/>
    </row>
    <row r="99" spans="1:7" x14ac:dyDescent="0.15">
      <c r="A99" t="s">
        <v>104</v>
      </c>
      <c r="B99" t="s">
        <v>779</v>
      </c>
      <c r="C99" t="s">
        <v>699</v>
      </c>
      <c r="D99" t="s">
        <v>2</v>
      </c>
      <c r="E99" t="s">
        <v>479</v>
      </c>
      <c r="F99">
        <v>0.97995871472290419</v>
      </c>
      <c r="G99" s="6"/>
    </row>
    <row r="100" spans="1:7" x14ac:dyDescent="0.15">
      <c r="A100" t="s">
        <v>105</v>
      </c>
      <c r="B100" t="s">
        <v>780</v>
      </c>
      <c r="C100" t="s">
        <v>699</v>
      </c>
      <c r="D100" t="s">
        <v>2</v>
      </c>
      <c r="E100" t="s">
        <v>479</v>
      </c>
      <c r="F100">
        <v>0.24498967868072605</v>
      </c>
      <c r="G100" s="6"/>
    </row>
    <row r="101" spans="1:7" x14ac:dyDescent="0.15">
      <c r="A101" t="s">
        <v>510</v>
      </c>
      <c r="B101" t="s">
        <v>781</v>
      </c>
      <c r="C101" t="s">
        <v>699</v>
      </c>
      <c r="D101" t="s">
        <v>488</v>
      </c>
      <c r="E101" t="s">
        <v>479</v>
      </c>
      <c r="F101">
        <v>0</v>
      </c>
      <c r="G101" s="6"/>
    </row>
    <row r="102" spans="1:7" x14ac:dyDescent="0.15">
      <c r="A102" t="s">
        <v>103</v>
      </c>
      <c r="B102" t="s">
        <v>781</v>
      </c>
      <c r="C102" t="s">
        <v>700</v>
      </c>
      <c r="D102" t="s">
        <v>2</v>
      </c>
      <c r="E102" t="s">
        <v>9</v>
      </c>
      <c r="F102">
        <v>0.48997935736145209</v>
      </c>
      <c r="G102" s="6"/>
    </row>
    <row r="103" spans="1:7" x14ac:dyDescent="0.15">
      <c r="A103" t="s">
        <v>106</v>
      </c>
      <c r="B103" t="s">
        <v>782</v>
      </c>
      <c r="C103" t="s">
        <v>699</v>
      </c>
      <c r="D103" t="s">
        <v>2</v>
      </c>
      <c r="E103" t="s">
        <v>479</v>
      </c>
      <c r="F103">
        <v>1.6068841549732742</v>
      </c>
      <c r="G103" s="6"/>
    </row>
    <row r="104" spans="1:7" x14ac:dyDescent="0.15">
      <c r="A104" t="s">
        <v>108</v>
      </c>
      <c r="B104" t="s">
        <v>783</v>
      </c>
      <c r="C104" t="s">
        <v>699</v>
      </c>
      <c r="D104" t="s">
        <v>2</v>
      </c>
      <c r="E104" t="s">
        <v>479</v>
      </c>
      <c r="F104">
        <v>3.2137683099465484</v>
      </c>
      <c r="G104" s="6"/>
    </row>
    <row r="105" spans="1:7" x14ac:dyDescent="0.15">
      <c r="A105" t="s">
        <v>109</v>
      </c>
      <c r="B105" t="s">
        <v>784</v>
      </c>
      <c r="C105" t="s">
        <v>699</v>
      </c>
      <c r="D105" t="s">
        <v>2</v>
      </c>
      <c r="E105" t="s">
        <v>479</v>
      </c>
      <c r="F105">
        <v>0.8034420774866371</v>
      </c>
      <c r="G105" s="6"/>
    </row>
    <row r="106" spans="1:7" x14ac:dyDescent="0.15">
      <c r="A106" t="s">
        <v>511</v>
      </c>
      <c r="B106" t="s">
        <v>785</v>
      </c>
      <c r="C106" t="s">
        <v>699</v>
      </c>
      <c r="D106" t="s">
        <v>488</v>
      </c>
      <c r="E106" t="s">
        <v>479</v>
      </c>
      <c r="F106">
        <v>0</v>
      </c>
      <c r="G106" s="6"/>
    </row>
    <row r="107" spans="1:7" x14ac:dyDescent="0.15">
      <c r="A107" t="s">
        <v>107</v>
      </c>
      <c r="B107" t="s">
        <v>785</v>
      </c>
      <c r="C107" t="s">
        <v>700</v>
      </c>
      <c r="D107" t="s">
        <v>2</v>
      </c>
      <c r="E107" t="s">
        <v>9</v>
      </c>
      <c r="F107">
        <v>1.6068841549732742</v>
      </c>
      <c r="G107" s="6"/>
    </row>
    <row r="108" spans="1:7" x14ac:dyDescent="0.15">
      <c r="A108" t="s">
        <v>110</v>
      </c>
      <c r="B108" t="s">
        <v>786</v>
      </c>
      <c r="C108" t="s">
        <v>699</v>
      </c>
      <c r="D108" t="s">
        <v>2</v>
      </c>
      <c r="E108" t="s">
        <v>479</v>
      </c>
      <c r="F108">
        <v>0.33691961523867336</v>
      </c>
      <c r="G108" s="6"/>
    </row>
    <row r="109" spans="1:7" x14ac:dyDescent="0.15">
      <c r="A109" t="s">
        <v>112</v>
      </c>
      <c r="B109" t="s">
        <v>787</v>
      </c>
      <c r="C109" t="s">
        <v>699</v>
      </c>
      <c r="D109" t="s">
        <v>2</v>
      </c>
      <c r="E109" t="s">
        <v>479</v>
      </c>
      <c r="F109">
        <v>0.67383923047734673</v>
      </c>
      <c r="G109" s="6"/>
    </row>
    <row r="110" spans="1:7" x14ac:dyDescent="0.15">
      <c r="A110" t="s">
        <v>113</v>
      </c>
      <c r="B110" t="s">
        <v>788</v>
      </c>
      <c r="C110" t="s">
        <v>699</v>
      </c>
      <c r="D110" t="s">
        <v>2</v>
      </c>
      <c r="E110" t="s">
        <v>479</v>
      </c>
      <c r="F110">
        <v>0.16845980761933668</v>
      </c>
      <c r="G110" s="6"/>
    </row>
    <row r="111" spans="1:7" x14ac:dyDescent="0.15">
      <c r="A111" t="s">
        <v>512</v>
      </c>
      <c r="B111" t="s">
        <v>789</v>
      </c>
      <c r="C111" t="s">
        <v>699</v>
      </c>
      <c r="D111" t="s">
        <v>488</v>
      </c>
      <c r="E111" t="s">
        <v>479</v>
      </c>
      <c r="F111">
        <v>0</v>
      </c>
      <c r="G111" s="6"/>
    </row>
    <row r="112" spans="1:7" x14ac:dyDescent="0.15">
      <c r="A112" t="s">
        <v>111</v>
      </c>
      <c r="B112" t="s">
        <v>789</v>
      </c>
      <c r="C112" t="s">
        <v>700</v>
      </c>
      <c r="D112" t="s">
        <v>2</v>
      </c>
      <c r="E112" t="s">
        <v>9</v>
      </c>
      <c r="F112">
        <v>0.33691961523867336</v>
      </c>
      <c r="G112" s="6"/>
    </row>
    <row r="113" spans="1:7" x14ac:dyDescent="0.15">
      <c r="A113" t="s">
        <v>114</v>
      </c>
      <c r="B113" t="s">
        <v>790</v>
      </c>
      <c r="C113" t="s">
        <v>699</v>
      </c>
      <c r="D113" t="s">
        <v>2</v>
      </c>
      <c r="E113" t="s">
        <v>479</v>
      </c>
      <c r="F113">
        <v>0.50066175120987388</v>
      </c>
      <c r="G113" s="6"/>
    </row>
    <row r="114" spans="1:7" x14ac:dyDescent="0.15">
      <c r="A114" t="s">
        <v>116</v>
      </c>
      <c r="B114" t="s">
        <v>791</v>
      </c>
      <c r="C114" t="s">
        <v>699</v>
      </c>
      <c r="D114" t="s">
        <v>2</v>
      </c>
      <c r="E114" t="s">
        <v>479</v>
      </c>
      <c r="F114">
        <v>1.0013235024197478</v>
      </c>
      <c r="G114" s="6"/>
    </row>
    <row r="115" spans="1:7" x14ac:dyDescent="0.15">
      <c r="A115" t="s">
        <v>117</v>
      </c>
      <c r="B115" t="s">
        <v>792</v>
      </c>
      <c r="C115" t="s">
        <v>699</v>
      </c>
      <c r="D115" t="s">
        <v>2</v>
      </c>
      <c r="E115" t="s">
        <v>479</v>
      </c>
      <c r="F115">
        <v>0.25033087560493694</v>
      </c>
      <c r="G115" s="6"/>
    </row>
    <row r="116" spans="1:7" x14ac:dyDescent="0.15">
      <c r="A116" t="s">
        <v>513</v>
      </c>
      <c r="B116" t="s">
        <v>793</v>
      </c>
      <c r="C116" t="s">
        <v>699</v>
      </c>
      <c r="D116" t="s">
        <v>488</v>
      </c>
      <c r="E116" t="s">
        <v>479</v>
      </c>
      <c r="F116">
        <v>0</v>
      </c>
      <c r="G116" s="6"/>
    </row>
    <row r="117" spans="1:7" x14ac:dyDescent="0.15">
      <c r="A117" t="s">
        <v>115</v>
      </c>
      <c r="B117" t="s">
        <v>793</v>
      </c>
      <c r="C117" t="s">
        <v>700</v>
      </c>
      <c r="D117" t="s">
        <v>2</v>
      </c>
      <c r="E117" t="s">
        <v>9</v>
      </c>
      <c r="F117">
        <v>0.50066175120987388</v>
      </c>
      <c r="G117" s="6"/>
    </row>
    <row r="118" spans="1:7" x14ac:dyDescent="0.15">
      <c r="A118" t="s">
        <v>118</v>
      </c>
      <c r="B118" t="s">
        <v>794</v>
      </c>
      <c r="C118" t="s">
        <v>699</v>
      </c>
      <c r="D118" t="s">
        <v>2</v>
      </c>
      <c r="E118" t="s">
        <v>479</v>
      </c>
      <c r="F118">
        <v>1.5055221134328181</v>
      </c>
      <c r="G118" s="6"/>
    </row>
    <row r="119" spans="1:7" x14ac:dyDescent="0.15">
      <c r="A119" t="s">
        <v>120</v>
      </c>
      <c r="B119" t="s">
        <v>795</v>
      </c>
      <c r="C119" t="s">
        <v>699</v>
      </c>
      <c r="D119" t="s">
        <v>2</v>
      </c>
      <c r="E119" t="s">
        <v>479</v>
      </c>
      <c r="F119">
        <v>3.0110442268656361</v>
      </c>
      <c r="G119" s="6"/>
    </row>
    <row r="120" spans="1:7" x14ac:dyDescent="0.15">
      <c r="A120" t="s">
        <v>514</v>
      </c>
      <c r="B120" t="s">
        <v>796</v>
      </c>
      <c r="C120" t="s">
        <v>699</v>
      </c>
      <c r="D120" t="s">
        <v>488</v>
      </c>
      <c r="E120" t="s">
        <v>479</v>
      </c>
      <c r="F120">
        <v>0</v>
      </c>
      <c r="G120" s="6"/>
    </row>
    <row r="121" spans="1:7" x14ac:dyDescent="0.15">
      <c r="A121" t="s">
        <v>119</v>
      </c>
      <c r="B121" t="s">
        <v>796</v>
      </c>
      <c r="C121" t="s">
        <v>700</v>
      </c>
      <c r="D121" t="s">
        <v>2</v>
      </c>
      <c r="E121" t="s">
        <v>9</v>
      </c>
      <c r="F121">
        <v>1.5055221134328181</v>
      </c>
      <c r="G121" s="6"/>
    </row>
    <row r="122" spans="1:7" x14ac:dyDescent="0.15">
      <c r="A122" t="s">
        <v>121</v>
      </c>
      <c r="B122" t="s">
        <v>797</v>
      </c>
      <c r="C122" t="s">
        <v>699</v>
      </c>
      <c r="D122" t="s">
        <v>2</v>
      </c>
      <c r="E122" t="s">
        <v>479</v>
      </c>
      <c r="F122">
        <v>425.07727458359057</v>
      </c>
      <c r="G122" s="6"/>
    </row>
    <row r="123" spans="1:7" x14ac:dyDescent="0.15">
      <c r="A123" t="s">
        <v>515</v>
      </c>
      <c r="B123" t="s">
        <v>797</v>
      </c>
      <c r="C123" t="s">
        <v>699</v>
      </c>
      <c r="D123" t="s">
        <v>488</v>
      </c>
      <c r="E123" t="s">
        <v>479</v>
      </c>
      <c r="F123">
        <v>0</v>
      </c>
      <c r="G123" s="6"/>
    </row>
    <row r="124" spans="1:7" x14ac:dyDescent="0.15">
      <c r="A124" t="s">
        <v>122</v>
      </c>
      <c r="B124" t="s">
        <v>797</v>
      </c>
      <c r="C124" t="s">
        <v>700</v>
      </c>
      <c r="D124" t="s">
        <v>2</v>
      </c>
      <c r="E124" t="s">
        <v>9</v>
      </c>
      <c r="F124">
        <v>1.7003090983343623</v>
      </c>
      <c r="G124" s="6"/>
    </row>
    <row r="125" spans="1:7" x14ac:dyDescent="0.15">
      <c r="A125" t="s">
        <v>516</v>
      </c>
      <c r="B125" t="s">
        <v>798</v>
      </c>
      <c r="C125" t="s">
        <v>699</v>
      </c>
      <c r="D125" t="s">
        <v>2</v>
      </c>
      <c r="E125" t="s">
        <v>479</v>
      </c>
      <c r="F125">
        <v>-1</v>
      </c>
      <c r="G125" s="8" t="s">
        <v>1244</v>
      </c>
    </row>
    <row r="126" spans="1:7" x14ac:dyDescent="0.15">
      <c r="A126" t="s">
        <v>517</v>
      </c>
      <c r="B126" t="s">
        <v>799</v>
      </c>
      <c r="C126" t="s">
        <v>699</v>
      </c>
      <c r="D126" t="s">
        <v>2</v>
      </c>
      <c r="E126" t="s">
        <v>479</v>
      </c>
      <c r="F126">
        <v>-1</v>
      </c>
      <c r="G126" s="8" t="s">
        <v>1244</v>
      </c>
    </row>
    <row r="127" spans="1:7" x14ac:dyDescent="0.15">
      <c r="A127" t="s">
        <v>518</v>
      </c>
      <c r="B127" t="s">
        <v>800</v>
      </c>
      <c r="C127" t="s">
        <v>699</v>
      </c>
      <c r="D127" t="s">
        <v>2</v>
      </c>
      <c r="E127" t="s">
        <v>479</v>
      </c>
      <c r="F127">
        <v>-1</v>
      </c>
      <c r="G127" s="8" t="s">
        <v>1244</v>
      </c>
    </row>
    <row r="128" spans="1:7" x14ac:dyDescent="0.15">
      <c r="A128" t="s">
        <v>126</v>
      </c>
      <c r="B128" t="s">
        <v>801</v>
      </c>
      <c r="C128" t="s">
        <v>699</v>
      </c>
      <c r="D128" t="s">
        <v>2</v>
      </c>
      <c r="E128" t="s">
        <v>479</v>
      </c>
      <c r="F128">
        <v>0.60258794813024863</v>
      </c>
      <c r="G128" s="6"/>
    </row>
    <row r="129" spans="1:7" x14ac:dyDescent="0.15">
      <c r="A129" t="s">
        <v>128</v>
      </c>
      <c r="B129" t="s">
        <v>802</v>
      </c>
      <c r="C129" t="s">
        <v>699</v>
      </c>
      <c r="D129" t="s">
        <v>2</v>
      </c>
      <c r="E129" t="s">
        <v>479</v>
      </c>
      <c r="F129">
        <v>1.2051758962604973</v>
      </c>
      <c r="G129" s="6"/>
    </row>
    <row r="130" spans="1:7" x14ac:dyDescent="0.15">
      <c r="A130" t="s">
        <v>129</v>
      </c>
      <c r="B130" t="s">
        <v>803</v>
      </c>
      <c r="C130" t="s">
        <v>699</v>
      </c>
      <c r="D130" t="s">
        <v>2</v>
      </c>
      <c r="E130" t="s">
        <v>479</v>
      </c>
      <c r="F130">
        <v>0.30129397406512431</v>
      </c>
      <c r="G130" s="6"/>
    </row>
    <row r="131" spans="1:7" x14ac:dyDescent="0.15">
      <c r="A131" t="s">
        <v>519</v>
      </c>
      <c r="B131" t="s">
        <v>804</v>
      </c>
      <c r="C131" t="s">
        <v>699</v>
      </c>
      <c r="D131" t="s">
        <v>488</v>
      </c>
      <c r="E131" t="s">
        <v>479</v>
      </c>
      <c r="F131">
        <v>0</v>
      </c>
      <c r="G131" s="6"/>
    </row>
    <row r="132" spans="1:7" x14ac:dyDescent="0.15">
      <c r="A132" t="s">
        <v>127</v>
      </c>
      <c r="B132" t="s">
        <v>804</v>
      </c>
      <c r="C132" t="s">
        <v>700</v>
      </c>
      <c r="D132" t="s">
        <v>2</v>
      </c>
      <c r="E132" t="s">
        <v>9</v>
      </c>
      <c r="F132">
        <v>0.60258794813024863</v>
      </c>
      <c r="G132" s="6"/>
    </row>
    <row r="133" spans="1:7" x14ac:dyDescent="0.15">
      <c r="A133" t="s">
        <v>130</v>
      </c>
      <c r="B133" t="s">
        <v>805</v>
      </c>
      <c r="C133" t="s">
        <v>699</v>
      </c>
      <c r="D133" t="s">
        <v>2</v>
      </c>
      <c r="E133" t="s">
        <v>479</v>
      </c>
      <c r="F133">
        <v>0.48506527700540553</v>
      </c>
      <c r="G133" s="6"/>
    </row>
    <row r="134" spans="1:7" x14ac:dyDescent="0.15">
      <c r="A134" t="s">
        <v>132</v>
      </c>
      <c r="B134" t="s">
        <v>806</v>
      </c>
      <c r="C134" t="s">
        <v>699</v>
      </c>
      <c r="D134" t="s">
        <v>2</v>
      </c>
      <c r="E134" t="s">
        <v>479</v>
      </c>
      <c r="F134">
        <v>0.97013055401081105</v>
      </c>
      <c r="G134" s="6"/>
    </row>
    <row r="135" spans="1:7" x14ac:dyDescent="0.15">
      <c r="A135" t="s">
        <v>133</v>
      </c>
      <c r="B135" t="s">
        <v>807</v>
      </c>
      <c r="C135" t="s">
        <v>699</v>
      </c>
      <c r="D135" t="s">
        <v>2</v>
      </c>
      <c r="E135" t="s">
        <v>479</v>
      </c>
      <c r="F135">
        <v>1.4551958310162165</v>
      </c>
      <c r="G135" s="6"/>
    </row>
    <row r="136" spans="1:7" x14ac:dyDescent="0.15">
      <c r="A136" t="s">
        <v>134</v>
      </c>
      <c r="B136" t="s">
        <v>808</v>
      </c>
      <c r="C136" t="s">
        <v>699</v>
      </c>
      <c r="D136" t="s">
        <v>2</v>
      </c>
      <c r="E136" t="s">
        <v>479</v>
      </c>
      <c r="F136">
        <v>0.24253263850270276</v>
      </c>
      <c r="G136" s="6"/>
    </row>
    <row r="137" spans="1:7" x14ac:dyDescent="0.15">
      <c r="A137" t="s">
        <v>520</v>
      </c>
      <c r="B137" t="s">
        <v>809</v>
      </c>
      <c r="C137" t="s">
        <v>699</v>
      </c>
      <c r="D137" t="s">
        <v>488</v>
      </c>
      <c r="E137" t="s">
        <v>479</v>
      </c>
      <c r="F137">
        <v>0</v>
      </c>
      <c r="G137" s="6"/>
    </row>
    <row r="138" spans="1:7" x14ac:dyDescent="0.15">
      <c r="A138" t="s">
        <v>131</v>
      </c>
      <c r="B138" t="s">
        <v>809</v>
      </c>
      <c r="C138" t="s">
        <v>700</v>
      </c>
      <c r="D138" t="s">
        <v>2</v>
      </c>
      <c r="E138" t="s">
        <v>9</v>
      </c>
      <c r="F138">
        <v>0.48506527700540553</v>
      </c>
      <c r="G138" s="6"/>
    </row>
    <row r="139" spans="1:7" x14ac:dyDescent="0.15">
      <c r="A139" t="s">
        <v>135</v>
      </c>
      <c r="B139" t="s">
        <v>810</v>
      </c>
      <c r="C139" t="s">
        <v>699</v>
      </c>
      <c r="D139" t="s">
        <v>2</v>
      </c>
      <c r="E139" t="s">
        <v>479</v>
      </c>
      <c r="F139">
        <v>0.50066175120987388</v>
      </c>
      <c r="G139" s="6"/>
    </row>
    <row r="140" spans="1:7" x14ac:dyDescent="0.15">
      <c r="A140" t="s">
        <v>137</v>
      </c>
      <c r="B140" t="s">
        <v>811</v>
      </c>
      <c r="C140" t="s">
        <v>699</v>
      </c>
      <c r="D140" t="s">
        <v>2</v>
      </c>
      <c r="E140" t="s">
        <v>479</v>
      </c>
      <c r="F140">
        <v>1.0013235024197478</v>
      </c>
      <c r="G140" s="6"/>
    </row>
    <row r="141" spans="1:7" x14ac:dyDescent="0.15">
      <c r="A141" t="s">
        <v>138</v>
      </c>
      <c r="B141" t="s">
        <v>812</v>
      </c>
      <c r="C141" t="s">
        <v>699</v>
      </c>
      <c r="D141" t="s">
        <v>2</v>
      </c>
      <c r="E141" t="s">
        <v>479</v>
      </c>
      <c r="F141">
        <v>0.25033087560493694</v>
      </c>
      <c r="G141" s="6"/>
    </row>
    <row r="142" spans="1:7" x14ac:dyDescent="0.15">
      <c r="A142" t="s">
        <v>521</v>
      </c>
      <c r="B142" t="s">
        <v>813</v>
      </c>
      <c r="C142" t="s">
        <v>699</v>
      </c>
      <c r="D142" t="s">
        <v>488</v>
      </c>
      <c r="E142" t="s">
        <v>479</v>
      </c>
      <c r="F142">
        <v>0</v>
      </c>
      <c r="G142" s="6"/>
    </row>
    <row r="143" spans="1:7" x14ac:dyDescent="0.15">
      <c r="A143" t="s">
        <v>136</v>
      </c>
      <c r="B143" t="s">
        <v>813</v>
      </c>
      <c r="C143" t="s">
        <v>700</v>
      </c>
      <c r="D143" t="s">
        <v>2</v>
      </c>
      <c r="E143" t="s">
        <v>9</v>
      </c>
      <c r="F143">
        <v>0.50066175120987388</v>
      </c>
      <c r="G143" s="6"/>
    </row>
    <row r="144" spans="1:7" x14ac:dyDescent="0.15">
      <c r="A144" t="s">
        <v>139</v>
      </c>
      <c r="B144" t="s">
        <v>814</v>
      </c>
      <c r="C144" t="s">
        <v>699</v>
      </c>
      <c r="D144" t="s">
        <v>2</v>
      </c>
      <c r="E144" t="s">
        <v>479</v>
      </c>
      <c r="F144">
        <v>0.53865790002292802</v>
      </c>
      <c r="G144" s="6"/>
    </row>
    <row r="145" spans="1:7" x14ac:dyDescent="0.15">
      <c r="A145" t="s">
        <v>141</v>
      </c>
      <c r="B145" t="s">
        <v>815</v>
      </c>
      <c r="C145" t="s">
        <v>699</v>
      </c>
      <c r="D145" t="s">
        <v>2</v>
      </c>
      <c r="E145" t="s">
        <v>479</v>
      </c>
      <c r="F145">
        <v>1.077315800045856</v>
      </c>
      <c r="G145" s="6"/>
    </row>
    <row r="146" spans="1:7" x14ac:dyDescent="0.15">
      <c r="A146" t="s">
        <v>522</v>
      </c>
      <c r="B146" t="s">
        <v>816</v>
      </c>
      <c r="C146" t="s">
        <v>699</v>
      </c>
      <c r="D146" t="s">
        <v>488</v>
      </c>
      <c r="E146" t="s">
        <v>479</v>
      </c>
      <c r="F146">
        <v>0</v>
      </c>
      <c r="G146" s="6"/>
    </row>
    <row r="147" spans="1:7" x14ac:dyDescent="0.15">
      <c r="A147" t="s">
        <v>140</v>
      </c>
      <c r="B147" t="s">
        <v>816</v>
      </c>
      <c r="C147" t="s">
        <v>700</v>
      </c>
      <c r="D147" t="s">
        <v>2</v>
      </c>
      <c r="E147" t="s">
        <v>9</v>
      </c>
      <c r="F147">
        <v>0.53865790002292802</v>
      </c>
      <c r="G147" s="6"/>
    </row>
    <row r="148" spans="1:7" x14ac:dyDescent="0.15">
      <c r="A148" t="s">
        <v>142</v>
      </c>
      <c r="B148" t="s">
        <v>817</v>
      </c>
      <c r="C148" t="s">
        <v>699</v>
      </c>
      <c r="D148" t="s">
        <v>2</v>
      </c>
      <c r="E148" t="s">
        <v>479</v>
      </c>
      <c r="F148">
        <v>0.53670038138958909</v>
      </c>
      <c r="G148" s="6"/>
    </row>
    <row r="149" spans="1:7" x14ac:dyDescent="0.15">
      <c r="A149" t="s">
        <v>144</v>
      </c>
      <c r="B149" t="s">
        <v>818</v>
      </c>
      <c r="C149" t="s">
        <v>699</v>
      </c>
      <c r="D149" t="s">
        <v>2</v>
      </c>
      <c r="E149" t="s">
        <v>479</v>
      </c>
      <c r="F149">
        <v>1.0734007627791782</v>
      </c>
      <c r="G149" s="6"/>
    </row>
    <row r="150" spans="1:7" x14ac:dyDescent="0.15">
      <c r="A150" t="s">
        <v>145</v>
      </c>
      <c r="B150" t="s">
        <v>819</v>
      </c>
      <c r="C150" t="s">
        <v>699</v>
      </c>
      <c r="D150" t="s">
        <v>2</v>
      </c>
      <c r="E150" t="s">
        <v>479</v>
      </c>
      <c r="F150">
        <v>2.1468015255583563</v>
      </c>
      <c r="G150" s="6"/>
    </row>
    <row r="151" spans="1:7" x14ac:dyDescent="0.15">
      <c r="A151" t="s">
        <v>146</v>
      </c>
      <c r="B151" t="s">
        <v>820</v>
      </c>
      <c r="C151" t="s">
        <v>699</v>
      </c>
      <c r="D151" t="s">
        <v>2</v>
      </c>
      <c r="E151" t="s">
        <v>479</v>
      </c>
      <c r="F151">
        <v>0.26835019069479454</v>
      </c>
      <c r="G151" s="6"/>
    </row>
    <row r="152" spans="1:7" x14ac:dyDescent="0.15">
      <c r="A152" t="s">
        <v>523</v>
      </c>
      <c r="B152" t="s">
        <v>821</v>
      </c>
      <c r="C152" t="s">
        <v>699</v>
      </c>
      <c r="D152" t="s">
        <v>488</v>
      </c>
      <c r="E152" t="s">
        <v>479</v>
      </c>
      <c r="F152">
        <v>0</v>
      </c>
      <c r="G152" s="6"/>
    </row>
    <row r="153" spans="1:7" x14ac:dyDescent="0.15">
      <c r="A153" t="s">
        <v>143</v>
      </c>
      <c r="B153" t="s">
        <v>821</v>
      </c>
      <c r="C153" t="s">
        <v>700</v>
      </c>
      <c r="D153" t="s">
        <v>2</v>
      </c>
      <c r="E153" t="s">
        <v>9</v>
      </c>
      <c r="F153">
        <v>0.53670038138958909</v>
      </c>
      <c r="G153" s="6"/>
    </row>
    <row r="154" spans="1:7" x14ac:dyDescent="0.15">
      <c r="A154" t="s">
        <v>147</v>
      </c>
      <c r="B154" t="s">
        <v>822</v>
      </c>
      <c r="C154" t="s">
        <v>699</v>
      </c>
      <c r="D154" t="s">
        <v>2</v>
      </c>
      <c r="E154" t="s">
        <v>479</v>
      </c>
      <c r="F154">
        <v>0.55016313450793697</v>
      </c>
      <c r="G154" s="6"/>
    </row>
    <row r="155" spans="1:7" x14ac:dyDescent="0.15">
      <c r="A155" t="s">
        <v>149</v>
      </c>
      <c r="B155" t="s">
        <v>823</v>
      </c>
      <c r="C155" t="s">
        <v>699</v>
      </c>
      <c r="D155" t="s">
        <v>2</v>
      </c>
      <c r="E155" t="s">
        <v>479</v>
      </c>
      <c r="F155">
        <v>1.1003262690158739</v>
      </c>
      <c r="G155" s="6"/>
    </row>
    <row r="156" spans="1:7" x14ac:dyDescent="0.15">
      <c r="A156" t="s">
        <v>150</v>
      </c>
      <c r="B156" t="s">
        <v>824</v>
      </c>
      <c r="C156" t="s">
        <v>699</v>
      </c>
      <c r="D156" t="s">
        <v>2</v>
      </c>
      <c r="E156" t="s">
        <v>479</v>
      </c>
      <c r="F156">
        <v>3.3009788070476218</v>
      </c>
      <c r="G156" s="6"/>
    </row>
    <row r="157" spans="1:7" x14ac:dyDescent="0.15">
      <c r="A157" t="s">
        <v>524</v>
      </c>
      <c r="B157" t="s">
        <v>825</v>
      </c>
      <c r="C157" t="s">
        <v>699</v>
      </c>
      <c r="D157" t="s">
        <v>488</v>
      </c>
      <c r="E157" t="s">
        <v>479</v>
      </c>
      <c r="F157">
        <v>0</v>
      </c>
      <c r="G157" s="6"/>
    </row>
    <row r="158" spans="1:7" x14ac:dyDescent="0.15">
      <c r="A158" t="s">
        <v>148</v>
      </c>
      <c r="B158" t="s">
        <v>825</v>
      </c>
      <c r="C158" t="s">
        <v>700</v>
      </c>
      <c r="D158" t="s">
        <v>2</v>
      </c>
      <c r="E158" t="s">
        <v>9</v>
      </c>
      <c r="F158">
        <v>0.55016313450793697</v>
      </c>
      <c r="G158" s="6"/>
    </row>
    <row r="159" spans="1:7" x14ac:dyDescent="0.15">
      <c r="A159" t="s">
        <v>151</v>
      </c>
      <c r="B159" t="s">
        <v>826</v>
      </c>
      <c r="C159" t="s">
        <v>699</v>
      </c>
      <c r="D159" t="s">
        <v>2</v>
      </c>
      <c r="E159" t="s">
        <v>479</v>
      </c>
      <c r="F159">
        <v>1.859762216066307</v>
      </c>
      <c r="G159" s="6"/>
    </row>
    <row r="160" spans="1:7" x14ac:dyDescent="0.15">
      <c r="A160" t="s">
        <v>153</v>
      </c>
      <c r="B160" t="s">
        <v>827</v>
      </c>
      <c r="C160" t="s">
        <v>699</v>
      </c>
      <c r="D160" t="s">
        <v>2</v>
      </c>
      <c r="E160" t="s">
        <v>479</v>
      </c>
      <c r="F160">
        <v>3.719524432132614</v>
      </c>
      <c r="G160" s="6"/>
    </row>
    <row r="161" spans="1:7" x14ac:dyDescent="0.15">
      <c r="A161" t="s">
        <v>525</v>
      </c>
      <c r="B161" t="s">
        <v>828</v>
      </c>
      <c r="C161" t="s">
        <v>699</v>
      </c>
      <c r="D161" t="s">
        <v>488</v>
      </c>
      <c r="E161" t="s">
        <v>479</v>
      </c>
      <c r="F161">
        <v>0</v>
      </c>
      <c r="G161" s="6"/>
    </row>
    <row r="162" spans="1:7" x14ac:dyDescent="0.15">
      <c r="A162" t="s">
        <v>152</v>
      </c>
      <c r="B162" t="s">
        <v>828</v>
      </c>
      <c r="C162" t="s">
        <v>700</v>
      </c>
      <c r="D162" t="s">
        <v>2</v>
      </c>
      <c r="E162" t="s">
        <v>9</v>
      </c>
      <c r="F162">
        <v>1.859762216066307</v>
      </c>
      <c r="G162" s="6"/>
    </row>
    <row r="163" spans="1:7" x14ac:dyDescent="0.15">
      <c r="A163" t="s">
        <v>154</v>
      </c>
      <c r="B163" t="s">
        <v>829</v>
      </c>
      <c r="C163" t="s">
        <v>699</v>
      </c>
      <c r="D163" t="s">
        <v>2</v>
      </c>
      <c r="E163" t="s">
        <v>479</v>
      </c>
      <c r="F163">
        <v>0.29617758901173197</v>
      </c>
      <c r="G163" s="6"/>
    </row>
    <row r="164" spans="1:7" x14ac:dyDescent="0.15">
      <c r="A164" t="s">
        <v>156</v>
      </c>
      <c r="B164" t="s">
        <v>830</v>
      </c>
      <c r="C164" t="s">
        <v>699</v>
      </c>
      <c r="D164" t="s">
        <v>2</v>
      </c>
      <c r="E164" t="s">
        <v>479</v>
      </c>
      <c r="F164">
        <v>0.59235517802346394</v>
      </c>
      <c r="G164" s="6"/>
    </row>
    <row r="165" spans="1:7" x14ac:dyDescent="0.15">
      <c r="A165" t="s">
        <v>157</v>
      </c>
      <c r="B165" t="s">
        <v>831</v>
      </c>
      <c r="C165" t="s">
        <v>699</v>
      </c>
      <c r="D165" t="s">
        <v>2</v>
      </c>
      <c r="E165" t="s">
        <v>479</v>
      </c>
      <c r="F165">
        <v>0.14808879450586598</v>
      </c>
      <c r="G165" s="6"/>
    </row>
    <row r="166" spans="1:7" x14ac:dyDescent="0.15">
      <c r="A166" t="s">
        <v>158</v>
      </c>
      <c r="B166" t="s">
        <v>832</v>
      </c>
      <c r="C166" t="s">
        <v>699</v>
      </c>
      <c r="D166" t="s">
        <v>2</v>
      </c>
      <c r="E166" t="s">
        <v>479</v>
      </c>
      <c r="F166">
        <v>74.044397252932995</v>
      </c>
      <c r="G166" s="6"/>
    </row>
    <row r="167" spans="1:7" x14ac:dyDescent="0.15">
      <c r="A167" t="s">
        <v>526</v>
      </c>
      <c r="B167" t="s">
        <v>832</v>
      </c>
      <c r="C167" t="s">
        <v>699</v>
      </c>
      <c r="D167" t="s">
        <v>2</v>
      </c>
      <c r="E167" t="s">
        <v>479</v>
      </c>
      <c r="F167">
        <v>-1</v>
      </c>
      <c r="G167" s="8" t="s">
        <v>1244</v>
      </c>
    </row>
    <row r="168" spans="1:7" x14ac:dyDescent="0.15">
      <c r="A168" t="s">
        <v>527</v>
      </c>
      <c r="B168" t="s">
        <v>832</v>
      </c>
      <c r="C168" t="s">
        <v>699</v>
      </c>
      <c r="D168" t="s">
        <v>488</v>
      </c>
      <c r="E168" t="s">
        <v>479</v>
      </c>
      <c r="F168">
        <v>0</v>
      </c>
      <c r="G168" s="6"/>
    </row>
    <row r="169" spans="1:7" x14ac:dyDescent="0.15">
      <c r="A169" t="s">
        <v>155</v>
      </c>
      <c r="B169" t="s">
        <v>832</v>
      </c>
      <c r="C169" t="s">
        <v>700</v>
      </c>
      <c r="D169" t="s">
        <v>2</v>
      </c>
      <c r="E169" t="s">
        <v>9</v>
      </c>
      <c r="F169">
        <v>0.29617758901173197</v>
      </c>
      <c r="G169" s="6"/>
    </row>
    <row r="170" spans="1:7" x14ac:dyDescent="0.15">
      <c r="A170" t="s">
        <v>159</v>
      </c>
      <c r="B170" t="s">
        <v>833</v>
      </c>
      <c r="C170" t="s">
        <v>699</v>
      </c>
      <c r="D170" t="s">
        <v>2</v>
      </c>
      <c r="E170" t="s">
        <v>479</v>
      </c>
      <c r="F170">
        <v>0.31836371172904299</v>
      </c>
      <c r="G170" s="6"/>
    </row>
    <row r="171" spans="1:7" x14ac:dyDescent="0.15">
      <c r="A171" t="s">
        <v>161</v>
      </c>
      <c r="B171" t="s">
        <v>834</v>
      </c>
      <c r="C171" t="s">
        <v>699</v>
      </c>
      <c r="D171" t="s">
        <v>2</v>
      </c>
      <c r="E171" t="s">
        <v>479</v>
      </c>
      <c r="F171">
        <v>0.63672742345808597</v>
      </c>
      <c r="G171" s="6"/>
    </row>
    <row r="172" spans="1:7" x14ac:dyDescent="0.15">
      <c r="A172" t="s">
        <v>162</v>
      </c>
      <c r="B172" t="s">
        <v>835</v>
      </c>
      <c r="C172" t="s">
        <v>699</v>
      </c>
      <c r="D172" t="s">
        <v>2</v>
      </c>
      <c r="E172" t="s">
        <v>479</v>
      </c>
      <c r="F172">
        <v>0.15918185586452149</v>
      </c>
      <c r="G172" s="6"/>
    </row>
    <row r="173" spans="1:7" x14ac:dyDescent="0.15">
      <c r="A173" t="s">
        <v>163</v>
      </c>
      <c r="B173" t="s">
        <v>836</v>
      </c>
      <c r="C173" t="s">
        <v>699</v>
      </c>
      <c r="D173" t="s">
        <v>2</v>
      </c>
      <c r="E173" t="s">
        <v>479</v>
      </c>
      <c r="F173">
        <v>79.59092793226074</v>
      </c>
      <c r="G173" s="6"/>
    </row>
    <row r="174" spans="1:7" x14ac:dyDescent="0.15">
      <c r="A174" t="s">
        <v>528</v>
      </c>
      <c r="B174" t="s">
        <v>836</v>
      </c>
      <c r="C174" t="s">
        <v>699</v>
      </c>
      <c r="D174" t="s">
        <v>488</v>
      </c>
      <c r="E174" t="s">
        <v>479</v>
      </c>
      <c r="F174">
        <v>0</v>
      </c>
      <c r="G174" s="6"/>
    </row>
    <row r="175" spans="1:7" x14ac:dyDescent="0.15">
      <c r="A175" t="s">
        <v>160</v>
      </c>
      <c r="B175" t="s">
        <v>836</v>
      </c>
      <c r="C175" t="s">
        <v>700</v>
      </c>
      <c r="D175" t="s">
        <v>2</v>
      </c>
      <c r="E175" t="s">
        <v>9</v>
      </c>
      <c r="F175">
        <v>0.31836371172904299</v>
      </c>
      <c r="G175" s="6"/>
    </row>
    <row r="176" spans="1:7" x14ac:dyDescent="0.15">
      <c r="A176" t="s">
        <v>164</v>
      </c>
      <c r="B176" t="s">
        <v>837</v>
      </c>
      <c r="C176" t="s">
        <v>699</v>
      </c>
      <c r="D176" t="s">
        <v>2</v>
      </c>
      <c r="E176" t="s">
        <v>479</v>
      </c>
      <c r="F176">
        <v>0.28509073514634908</v>
      </c>
      <c r="G176" s="6"/>
    </row>
    <row r="177" spans="1:7" x14ac:dyDescent="0.15">
      <c r="A177" t="s">
        <v>166</v>
      </c>
      <c r="B177" t="s">
        <v>838</v>
      </c>
      <c r="C177" t="s">
        <v>699</v>
      </c>
      <c r="D177" t="s">
        <v>2</v>
      </c>
      <c r="E177" t="s">
        <v>479</v>
      </c>
      <c r="F177">
        <v>0.57018147029269817</v>
      </c>
      <c r="G177" s="6"/>
    </row>
    <row r="178" spans="1:7" x14ac:dyDescent="0.15">
      <c r="A178" t="s">
        <v>167</v>
      </c>
      <c r="B178" t="s">
        <v>839</v>
      </c>
      <c r="C178" t="s">
        <v>699</v>
      </c>
      <c r="D178" t="s">
        <v>2</v>
      </c>
      <c r="E178" t="s">
        <v>479</v>
      </c>
      <c r="F178">
        <v>0.14254536757317454</v>
      </c>
      <c r="G178" s="6"/>
    </row>
    <row r="179" spans="1:7" x14ac:dyDescent="0.15">
      <c r="A179" t="s">
        <v>529</v>
      </c>
      <c r="B179" t="s">
        <v>840</v>
      </c>
      <c r="C179" t="s">
        <v>699</v>
      </c>
      <c r="D179" t="s">
        <v>488</v>
      </c>
      <c r="E179" t="s">
        <v>479</v>
      </c>
      <c r="F179">
        <v>0</v>
      </c>
      <c r="G179" s="6"/>
    </row>
    <row r="180" spans="1:7" x14ac:dyDescent="0.15">
      <c r="A180" t="s">
        <v>165</v>
      </c>
      <c r="B180" t="s">
        <v>840</v>
      </c>
      <c r="C180" t="s">
        <v>700</v>
      </c>
      <c r="D180" t="s">
        <v>2</v>
      </c>
      <c r="E180" t="s">
        <v>9</v>
      </c>
      <c r="F180">
        <v>0.28509073514634908</v>
      </c>
      <c r="G180" s="6"/>
    </row>
    <row r="181" spans="1:7" x14ac:dyDescent="0.15">
      <c r="A181" t="s">
        <v>168</v>
      </c>
      <c r="B181" t="s">
        <v>841</v>
      </c>
      <c r="C181" t="s">
        <v>699</v>
      </c>
      <c r="D181" t="s">
        <v>2</v>
      </c>
      <c r="E181" t="s">
        <v>479</v>
      </c>
      <c r="F181">
        <v>0.4557950312909993</v>
      </c>
      <c r="G181" s="6"/>
    </row>
    <row r="182" spans="1:7" x14ac:dyDescent="0.15">
      <c r="A182" t="s">
        <v>170</v>
      </c>
      <c r="B182" t="s">
        <v>842</v>
      </c>
      <c r="C182" t="s">
        <v>699</v>
      </c>
      <c r="D182" t="s">
        <v>2</v>
      </c>
      <c r="E182" t="s">
        <v>479</v>
      </c>
      <c r="F182">
        <v>0.91159006258199859</v>
      </c>
      <c r="G182" s="6"/>
    </row>
    <row r="183" spans="1:7" x14ac:dyDescent="0.15">
      <c r="A183" t="s">
        <v>171</v>
      </c>
      <c r="B183" t="s">
        <v>843</v>
      </c>
      <c r="C183" t="s">
        <v>699</v>
      </c>
      <c r="D183" t="s">
        <v>2</v>
      </c>
      <c r="E183" t="s">
        <v>479</v>
      </c>
      <c r="F183">
        <v>0.22789751564549965</v>
      </c>
      <c r="G183" s="6"/>
    </row>
    <row r="184" spans="1:7" x14ac:dyDescent="0.15">
      <c r="A184" t="s">
        <v>530</v>
      </c>
      <c r="B184" t="s">
        <v>844</v>
      </c>
      <c r="C184" t="s">
        <v>699</v>
      </c>
      <c r="D184" t="s">
        <v>488</v>
      </c>
      <c r="E184" t="s">
        <v>479</v>
      </c>
      <c r="F184">
        <v>0</v>
      </c>
      <c r="G184" s="6"/>
    </row>
    <row r="185" spans="1:7" x14ac:dyDescent="0.15">
      <c r="A185" t="s">
        <v>169</v>
      </c>
      <c r="B185" t="s">
        <v>844</v>
      </c>
      <c r="C185" t="s">
        <v>700</v>
      </c>
      <c r="D185" t="s">
        <v>2</v>
      </c>
      <c r="E185" t="s">
        <v>9</v>
      </c>
      <c r="F185">
        <v>0.4557950312909993</v>
      </c>
      <c r="G185" s="6"/>
    </row>
    <row r="186" spans="1:7" x14ac:dyDescent="0.15">
      <c r="A186" t="s">
        <v>172</v>
      </c>
      <c r="B186" t="s">
        <v>845</v>
      </c>
      <c r="C186" t="s">
        <v>699</v>
      </c>
      <c r="D186" t="s">
        <v>2</v>
      </c>
      <c r="E186" t="s">
        <v>479</v>
      </c>
      <c r="F186">
        <v>1.5335320893029887</v>
      </c>
      <c r="G186" s="6"/>
    </row>
    <row r="187" spans="1:7" x14ac:dyDescent="0.15">
      <c r="A187" t="s">
        <v>174</v>
      </c>
      <c r="B187" t="s">
        <v>846</v>
      </c>
      <c r="C187" t="s">
        <v>699</v>
      </c>
      <c r="D187" t="s">
        <v>2</v>
      </c>
      <c r="E187" t="s">
        <v>479</v>
      </c>
      <c r="F187">
        <v>3.0670641786059774</v>
      </c>
      <c r="G187" s="6"/>
    </row>
    <row r="188" spans="1:7" x14ac:dyDescent="0.15">
      <c r="A188" t="s">
        <v>175</v>
      </c>
      <c r="B188" t="s">
        <v>847</v>
      </c>
      <c r="C188" t="s">
        <v>699</v>
      </c>
      <c r="D188" t="s">
        <v>2</v>
      </c>
      <c r="E188" t="s">
        <v>479</v>
      </c>
      <c r="F188">
        <v>0.76676604465149434</v>
      </c>
      <c r="G188" s="6"/>
    </row>
    <row r="189" spans="1:7" x14ac:dyDescent="0.15">
      <c r="A189" t="s">
        <v>531</v>
      </c>
      <c r="B189" t="s">
        <v>848</v>
      </c>
      <c r="C189" t="s">
        <v>699</v>
      </c>
      <c r="D189" t="s">
        <v>488</v>
      </c>
      <c r="E189" t="s">
        <v>479</v>
      </c>
      <c r="F189">
        <v>0</v>
      </c>
      <c r="G189" s="6"/>
    </row>
    <row r="190" spans="1:7" x14ac:dyDescent="0.15">
      <c r="A190" t="s">
        <v>173</v>
      </c>
      <c r="B190" t="s">
        <v>848</v>
      </c>
      <c r="C190" t="s">
        <v>700</v>
      </c>
      <c r="D190" t="s">
        <v>2</v>
      </c>
      <c r="E190" t="s">
        <v>9</v>
      </c>
      <c r="F190">
        <v>1.5335320893029887</v>
      </c>
      <c r="G190" s="6"/>
    </row>
    <row r="191" spans="1:7" x14ac:dyDescent="0.15">
      <c r="A191" t="s">
        <v>177</v>
      </c>
      <c r="B191" t="s">
        <v>849</v>
      </c>
      <c r="C191" t="s">
        <v>699</v>
      </c>
      <c r="D191" t="s">
        <v>2</v>
      </c>
      <c r="E191" t="s">
        <v>479</v>
      </c>
      <c r="F191">
        <v>1.6647532512964831</v>
      </c>
      <c r="G191" s="6"/>
    </row>
    <row r="192" spans="1:7" x14ac:dyDescent="0.15">
      <c r="A192" t="s">
        <v>179</v>
      </c>
      <c r="B192" t="s">
        <v>850</v>
      </c>
      <c r="C192" t="s">
        <v>699</v>
      </c>
      <c r="D192" t="s">
        <v>2</v>
      </c>
      <c r="E192" t="s">
        <v>479</v>
      </c>
      <c r="F192">
        <v>0.83237662564824155</v>
      </c>
      <c r="G192" s="6"/>
    </row>
    <row r="193" spans="1:7" x14ac:dyDescent="0.15">
      <c r="A193" t="s">
        <v>532</v>
      </c>
      <c r="B193" t="s">
        <v>851</v>
      </c>
      <c r="C193" t="s">
        <v>699</v>
      </c>
      <c r="D193" t="s">
        <v>488</v>
      </c>
      <c r="E193" t="s">
        <v>479</v>
      </c>
      <c r="F193">
        <v>0</v>
      </c>
      <c r="G193" s="6"/>
    </row>
    <row r="194" spans="1:7" x14ac:dyDescent="0.15">
      <c r="A194" t="s">
        <v>178</v>
      </c>
      <c r="B194" t="s">
        <v>851</v>
      </c>
      <c r="C194" t="s">
        <v>700</v>
      </c>
      <c r="D194" t="s">
        <v>2</v>
      </c>
      <c r="E194" t="s">
        <v>9</v>
      </c>
      <c r="F194">
        <v>1.6647532512964831</v>
      </c>
      <c r="G194" s="6"/>
    </row>
    <row r="195" spans="1:7" x14ac:dyDescent="0.15">
      <c r="A195" t="s">
        <v>180</v>
      </c>
      <c r="B195" t="s">
        <v>852</v>
      </c>
      <c r="C195" t="s">
        <v>699</v>
      </c>
      <c r="D195" t="s">
        <v>2</v>
      </c>
      <c r="E195" t="s">
        <v>479</v>
      </c>
      <c r="F195">
        <v>1.7714264032034812</v>
      </c>
      <c r="G195" s="6"/>
    </row>
    <row r="196" spans="1:7" x14ac:dyDescent="0.15">
      <c r="A196" t="s">
        <v>182</v>
      </c>
      <c r="B196" t="s">
        <v>853</v>
      </c>
      <c r="C196" t="s">
        <v>699</v>
      </c>
      <c r="D196" t="s">
        <v>2</v>
      </c>
      <c r="E196" t="s">
        <v>479</v>
      </c>
      <c r="F196">
        <v>3.5428528064069624</v>
      </c>
      <c r="G196" s="6"/>
    </row>
    <row r="197" spans="1:7" x14ac:dyDescent="0.15">
      <c r="A197" t="s">
        <v>183</v>
      </c>
      <c r="B197" t="s">
        <v>854</v>
      </c>
      <c r="C197" t="s">
        <v>699</v>
      </c>
      <c r="D197" t="s">
        <v>2</v>
      </c>
      <c r="E197" t="s">
        <v>479</v>
      </c>
      <c r="F197">
        <v>8.8571320160174061</v>
      </c>
      <c r="G197" s="6"/>
    </row>
    <row r="198" spans="1:7" x14ac:dyDescent="0.15">
      <c r="A198" t="s">
        <v>184</v>
      </c>
      <c r="B198" t="s">
        <v>855</v>
      </c>
      <c r="C198" t="s">
        <v>699</v>
      </c>
      <c r="D198" t="s">
        <v>2</v>
      </c>
      <c r="E198" t="s">
        <v>479</v>
      </c>
      <c r="F198">
        <v>0.88571320160174061</v>
      </c>
      <c r="G198" s="6"/>
    </row>
    <row r="199" spans="1:7" x14ac:dyDescent="0.15">
      <c r="A199" t="s">
        <v>533</v>
      </c>
      <c r="B199" t="s">
        <v>856</v>
      </c>
      <c r="C199" t="s">
        <v>699</v>
      </c>
      <c r="D199" t="s">
        <v>488</v>
      </c>
      <c r="E199" t="s">
        <v>479</v>
      </c>
      <c r="F199">
        <v>0</v>
      </c>
      <c r="G199" s="6"/>
    </row>
    <row r="200" spans="1:7" x14ac:dyDescent="0.15">
      <c r="A200" t="s">
        <v>181</v>
      </c>
      <c r="B200" t="s">
        <v>856</v>
      </c>
      <c r="C200" t="s">
        <v>700</v>
      </c>
      <c r="D200" t="s">
        <v>2</v>
      </c>
      <c r="E200" t="s">
        <v>9</v>
      </c>
      <c r="F200">
        <v>1.7714264032034812</v>
      </c>
      <c r="G200" s="6"/>
    </row>
    <row r="201" spans="1:7" x14ac:dyDescent="0.15">
      <c r="A201" t="s">
        <v>185</v>
      </c>
      <c r="B201" t="s">
        <v>857</v>
      </c>
      <c r="C201" t="s">
        <v>699</v>
      </c>
      <c r="D201" t="s">
        <v>2</v>
      </c>
      <c r="E201" t="s">
        <v>479</v>
      </c>
      <c r="F201">
        <v>1.7715004952771285</v>
      </c>
      <c r="G201" s="6"/>
    </row>
    <row r="202" spans="1:7" x14ac:dyDescent="0.15">
      <c r="A202" t="s">
        <v>187</v>
      </c>
      <c r="B202" t="s">
        <v>858</v>
      </c>
      <c r="C202" t="s">
        <v>699</v>
      </c>
      <c r="D202" t="s">
        <v>2</v>
      </c>
      <c r="E202" t="s">
        <v>479</v>
      </c>
      <c r="F202">
        <v>3.543000990554257</v>
      </c>
      <c r="G202" s="6"/>
    </row>
    <row r="203" spans="1:7" x14ac:dyDescent="0.15">
      <c r="A203" t="s">
        <v>188</v>
      </c>
      <c r="B203" t="s">
        <v>859</v>
      </c>
      <c r="C203" t="s">
        <v>699</v>
      </c>
      <c r="D203" t="s">
        <v>2</v>
      </c>
      <c r="E203" t="s">
        <v>479</v>
      </c>
      <c r="F203">
        <v>10.629002971662771</v>
      </c>
      <c r="G203" s="6"/>
    </row>
    <row r="204" spans="1:7" x14ac:dyDescent="0.15">
      <c r="A204" t="s">
        <v>534</v>
      </c>
      <c r="B204" t="s">
        <v>860</v>
      </c>
      <c r="C204" t="s">
        <v>699</v>
      </c>
      <c r="D204" t="s">
        <v>488</v>
      </c>
      <c r="E204" t="s">
        <v>479</v>
      </c>
      <c r="F204">
        <v>0</v>
      </c>
      <c r="G204" s="6"/>
    </row>
    <row r="205" spans="1:7" x14ac:dyDescent="0.15">
      <c r="A205" t="s">
        <v>186</v>
      </c>
      <c r="B205" t="s">
        <v>860</v>
      </c>
      <c r="C205" t="s">
        <v>700</v>
      </c>
      <c r="D205" t="s">
        <v>2</v>
      </c>
      <c r="E205" t="s">
        <v>9</v>
      </c>
      <c r="F205">
        <v>1.7715004952771285</v>
      </c>
      <c r="G205" s="6"/>
    </row>
    <row r="206" spans="1:7" x14ac:dyDescent="0.15">
      <c r="A206" t="s">
        <v>189</v>
      </c>
      <c r="B206" t="s">
        <v>861</v>
      </c>
      <c r="C206" t="s">
        <v>699</v>
      </c>
      <c r="D206" t="s">
        <v>2</v>
      </c>
      <c r="E206" t="s">
        <v>479</v>
      </c>
      <c r="F206">
        <v>0.26305471252879592</v>
      </c>
      <c r="G206" s="6"/>
    </row>
    <row r="207" spans="1:7" x14ac:dyDescent="0.15">
      <c r="A207" t="s">
        <v>191</v>
      </c>
      <c r="B207" t="s">
        <v>862</v>
      </c>
      <c r="C207" t="s">
        <v>699</v>
      </c>
      <c r="D207" t="s">
        <v>2</v>
      </c>
      <c r="E207" t="s">
        <v>479</v>
      </c>
      <c r="F207">
        <v>0.52610942505759184</v>
      </c>
      <c r="G207" s="6"/>
    </row>
    <row r="208" spans="1:7" x14ac:dyDescent="0.15">
      <c r="A208" t="s">
        <v>192</v>
      </c>
      <c r="B208" t="s">
        <v>863</v>
      </c>
      <c r="C208" t="s">
        <v>699</v>
      </c>
      <c r="D208" t="s">
        <v>2</v>
      </c>
      <c r="E208" t="s">
        <v>479</v>
      </c>
      <c r="F208">
        <v>0.13152735626439796</v>
      </c>
      <c r="G208" s="6"/>
    </row>
    <row r="209" spans="1:7" x14ac:dyDescent="0.15">
      <c r="A209" t="s">
        <v>193</v>
      </c>
      <c r="B209" t="s">
        <v>864</v>
      </c>
      <c r="C209" t="s">
        <v>699</v>
      </c>
      <c r="D209" t="s">
        <v>2</v>
      </c>
      <c r="E209" t="s">
        <v>479</v>
      </c>
      <c r="F209">
        <v>131.52735626439795</v>
      </c>
      <c r="G209" s="6"/>
    </row>
    <row r="210" spans="1:7" x14ac:dyDescent="0.15">
      <c r="A210" t="s">
        <v>535</v>
      </c>
      <c r="B210" t="s">
        <v>864</v>
      </c>
      <c r="C210" t="s">
        <v>699</v>
      </c>
      <c r="D210" t="s">
        <v>2</v>
      </c>
      <c r="E210" t="s">
        <v>479</v>
      </c>
      <c r="F210">
        <v>-1</v>
      </c>
      <c r="G210" s="8" t="s">
        <v>1244</v>
      </c>
    </row>
    <row r="211" spans="1:7" x14ac:dyDescent="0.15">
      <c r="A211" t="s">
        <v>536</v>
      </c>
      <c r="B211" t="s">
        <v>864</v>
      </c>
      <c r="C211" t="s">
        <v>699</v>
      </c>
      <c r="D211" t="s">
        <v>488</v>
      </c>
      <c r="E211" t="s">
        <v>479</v>
      </c>
      <c r="F211">
        <v>0</v>
      </c>
      <c r="G211" s="6"/>
    </row>
    <row r="212" spans="1:7" x14ac:dyDescent="0.15">
      <c r="A212" t="s">
        <v>190</v>
      </c>
      <c r="B212" t="s">
        <v>864</v>
      </c>
      <c r="C212" t="s">
        <v>700</v>
      </c>
      <c r="D212" t="s">
        <v>2</v>
      </c>
      <c r="E212" t="s">
        <v>9</v>
      </c>
      <c r="F212">
        <v>0.26305471252879592</v>
      </c>
      <c r="G212" s="6"/>
    </row>
    <row r="213" spans="1:7" x14ac:dyDescent="0.15">
      <c r="A213" t="s">
        <v>194</v>
      </c>
      <c r="B213" t="s">
        <v>865</v>
      </c>
      <c r="C213" t="s">
        <v>699</v>
      </c>
      <c r="D213" t="s">
        <v>2</v>
      </c>
      <c r="E213" t="s">
        <v>479</v>
      </c>
      <c r="F213">
        <v>0.4483482325570784</v>
      </c>
      <c r="G213" s="6"/>
    </row>
    <row r="214" spans="1:7" x14ac:dyDescent="0.15">
      <c r="A214" t="s">
        <v>196</v>
      </c>
      <c r="B214" t="s">
        <v>866</v>
      </c>
      <c r="C214" t="s">
        <v>699</v>
      </c>
      <c r="D214" t="s">
        <v>2</v>
      </c>
      <c r="E214" t="s">
        <v>479</v>
      </c>
      <c r="F214">
        <v>0.89669646511415679</v>
      </c>
      <c r="G214" s="6"/>
    </row>
    <row r="215" spans="1:7" x14ac:dyDescent="0.15">
      <c r="A215" t="s">
        <v>197</v>
      </c>
      <c r="B215" t="s">
        <v>867</v>
      </c>
      <c r="C215" t="s">
        <v>699</v>
      </c>
      <c r="D215" t="s">
        <v>2</v>
      </c>
      <c r="E215" t="s">
        <v>479</v>
      </c>
      <c r="F215">
        <v>0.2241741162785392</v>
      </c>
      <c r="G215" s="6"/>
    </row>
    <row r="216" spans="1:7" x14ac:dyDescent="0.15">
      <c r="A216" t="s">
        <v>537</v>
      </c>
      <c r="B216" t="s">
        <v>868</v>
      </c>
      <c r="C216" t="s">
        <v>699</v>
      </c>
      <c r="D216" t="s">
        <v>488</v>
      </c>
      <c r="E216" t="s">
        <v>479</v>
      </c>
      <c r="F216">
        <v>0</v>
      </c>
      <c r="G216" s="6"/>
    </row>
    <row r="217" spans="1:7" x14ac:dyDescent="0.15">
      <c r="A217" t="s">
        <v>195</v>
      </c>
      <c r="B217" t="s">
        <v>868</v>
      </c>
      <c r="C217" t="s">
        <v>700</v>
      </c>
      <c r="D217" t="s">
        <v>2</v>
      </c>
      <c r="E217" t="s">
        <v>9</v>
      </c>
      <c r="F217">
        <v>0.4483482325570784</v>
      </c>
      <c r="G217" s="6"/>
    </row>
    <row r="218" spans="1:7" x14ac:dyDescent="0.15">
      <c r="A218" t="s">
        <v>198</v>
      </c>
      <c r="B218" t="s">
        <v>869</v>
      </c>
      <c r="C218" t="s">
        <v>699</v>
      </c>
      <c r="D218" t="s">
        <v>2</v>
      </c>
      <c r="E218" t="s">
        <v>479</v>
      </c>
      <c r="F218">
        <v>0.45877998560229738</v>
      </c>
      <c r="G218" s="6"/>
    </row>
    <row r="219" spans="1:7" x14ac:dyDescent="0.15">
      <c r="A219" t="s">
        <v>200</v>
      </c>
      <c r="B219" t="s">
        <v>870</v>
      </c>
      <c r="C219" t="s">
        <v>699</v>
      </c>
      <c r="D219" t="s">
        <v>2</v>
      </c>
      <c r="E219" t="s">
        <v>479</v>
      </c>
      <c r="F219">
        <v>0.91755997120459476</v>
      </c>
      <c r="G219" s="6"/>
    </row>
    <row r="220" spans="1:7" x14ac:dyDescent="0.15">
      <c r="A220" t="s">
        <v>201</v>
      </c>
      <c r="B220" t="s">
        <v>871</v>
      </c>
      <c r="C220" t="s">
        <v>699</v>
      </c>
      <c r="D220" t="s">
        <v>2</v>
      </c>
      <c r="E220" t="s">
        <v>479</v>
      </c>
      <c r="F220">
        <v>0.22938999280114869</v>
      </c>
      <c r="G220" s="6"/>
    </row>
    <row r="221" spans="1:7" x14ac:dyDescent="0.15">
      <c r="A221" t="s">
        <v>538</v>
      </c>
      <c r="B221" t="s">
        <v>872</v>
      </c>
      <c r="C221" t="s">
        <v>699</v>
      </c>
      <c r="D221" t="s">
        <v>488</v>
      </c>
      <c r="E221" t="s">
        <v>479</v>
      </c>
      <c r="F221">
        <v>0</v>
      </c>
      <c r="G221" s="6"/>
    </row>
    <row r="222" spans="1:7" x14ac:dyDescent="0.15">
      <c r="A222" t="s">
        <v>199</v>
      </c>
      <c r="B222" t="s">
        <v>872</v>
      </c>
      <c r="C222" t="s">
        <v>700</v>
      </c>
      <c r="D222" t="s">
        <v>2</v>
      </c>
      <c r="E222" t="s">
        <v>9</v>
      </c>
      <c r="F222">
        <v>0.45877998560229738</v>
      </c>
      <c r="G222" s="6"/>
    </row>
    <row r="223" spans="1:7" x14ac:dyDescent="0.15">
      <c r="A223" t="s">
        <v>202</v>
      </c>
      <c r="B223" t="s">
        <v>873</v>
      </c>
      <c r="C223" t="s">
        <v>699</v>
      </c>
      <c r="D223" t="s">
        <v>2</v>
      </c>
      <c r="E223" t="s">
        <v>479</v>
      </c>
      <c r="F223">
        <v>0.29297593125318233</v>
      </c>
      <c r="G223" s="6"/>
    </row>
    <row r="224" spans="1:7" x14ac:dyDescent="0.15">
      <c r="A224" t="s">
        <v>204</v>
      </c>
      <c r="B224" t="s">
        <v>874</v>
      </c>
      <c r="C224" t="s">
        <v>699</v>
      </c>
      <c r="D224" t="s">
        <v>2</v>
      </c>
      <c r="E224" t="s">
        <v>479</v>
      </c>
      <c r="F224">
        <v>0.58595186250636466</v>
      </c>
      <c r="G224" s="6"/>
    </row>
    <row r="225" spans="1:7" x14ac:dyDescent="0.15">
      <c r="A225" t="s">
        <v>205</v>
      </c>
      <c r="B225" t="s">
        <v>875</v>
      </c>
      <c r="C225" t="s">
        <v>699</v>
      </c>
      <c r="D225" t="s">
        <v>2</v>
      </c>
      <c r="E225" t="s">
        <v>479</v>
      </c>
      <c r="F225">
        <v>0.14648796562659117</v>
      </c>
      <c r="G225" s="6"/>
    </row>
    <row r="226" spans="1:7" x14ac:dyDescent="0.15">
      <c r="A226" t="s">
        <v>539</v>
      </c>
      <c r="B226" t="s">
        <v>876</v>
      </c>
      <c r="C226" t="s">
        <v>699</v>
      </c>
      <c r="D226" t="s">
        <v>2</v>
      </c>
      <c r="E226" t="s">
        <v>479</v>
      </c>
      <c r="F226">
        <v>-1</v>
      </c>
      <c r="G226" s="8" t="s">
        <v>1244</v>
      </c>
    </row>
    <row r="227" spans="1:7" x14ac:dyDescent="0.15">
      <c r="A227" t="s">
        <v>540</v>
      </c>
      <c r="B227" t="s">
        <v>876</v>
      </c>
      <c r="C227" t="s">
        <v>699</v>
      </c>
      <c r="D227" t="s">
        <v>488</v>
      </c>
      <c r="E227" t="s">
        <v>479</v>
      </c>
      <c r="F227">
        <v>0</v>
      </c>
      <c r="G227" s="6"/>
    </row>
    <row r="228" spans="1:7" x14ac:dyDescent="0.15">
      <c r="A228" t="s">
        <v>206</v>
      </c>
      <c r="B228" t="s">
        <v>877</v>
      </c>
      <c r="C228" t="s">
        <v>699</v>
      </c>
      <c r="D228" t="s">
        <v>2</v>
      </c>
      <c r="E228" t="s">
        <v>479</v>
      </c>
      <c r="F228">
        <v>8.7892779375954696E-4</v>
      </c>
      <c r="G228" s="6"/>
    </row>
    <row r="229" spans="1:7" x14ac:dyDescent="0.15">
      <c r="A229" t="s">
        <v>207</v>
      </c>
      <c r="B229" t="s">
        <v>878</v>
      </c>
      <c r="C229" t="s">
        <v>699</v>
      </c>
      <c r="D229" t="s">
        <v>2</v>
      </c>
      <c r="E229" t="s">
        <v>479</v>
      </c>
      <c r="F229">
        <v>1.7578555875190939E-3</v>
      </c>
      <c r="G229" s="6"/>
    </row>
    <row r="230" spans="1:7" x14ac:dyDescent="0.15">
      <c r="A230" t="s">
        <v>208</v>
      </c>
      <c r="B230" t="s">
        <v>879</v>
      </c>
      <c r="C230" t="s">
        <v>699</v>
      </c>
      <c r="D230" t="s">
        <v>2</v>
      </c>
      <c r="E230" t="s">
        <v>479</v>
      </c>
      <c r="F230">
        <v>2.0508315187722764E-3</v>
      </c>
      <c r="G230" s="6"/>
    </row>
    <row r="231" spans="1:7" x14ac:dyDescent="0.15">
      <c r="A231" t="s">
        <v>209</v>
      </c>
      <c r="B231" t="s">
        <v>880</v>
      </c>
      <c r="C231" t="s">
        <v>699</v>
      </c>
      <c r="D231" t="s">
        <v>2</v>
      </c>
      <c r="E231" t="s">
        <v>479</v>
      </c>
      <c r="F231">
        <v>2.4902954156520497E-3</v>
      </c>
      <c r="G231" s="6"/>
    </row>
    <row r="232" spans="1:7" x14ac:dyDescent="0.15">
      <c r="A232" t="s">
        <v>203</v>
      </c>
      <c r="B232" t="s">
        <v>876</v>
      </c>
      <c r="C232" t="s">
        <v>700</v>
      </c>
      <c r="D232" t="s">
        <v>2</v>
      </c>
      <c r="E232" t="s">
        <v>9</v>
      </c>
      <c r="F232">
        <v>0.29297593125318233</v>
      </c>
      <c r="G232" s="6"/>
    </row>
    <row r="233" spans="1:7" x14ac:dyDescent="0.15">
      <c r="A233" t="s">
        <v>210</v>
      </c>
      <c r="B233" t="s">
        <v>881</v>
      </c>
      <c r="C233" t="s">
        <v>699</v>
      </c>
      <c r="D233" t="s">
        <v>2</v>
      </c>
      <c r="E233" t="s">
        <v>479</v>
      </c>
      <c r="F233">
        <v>0.45351350807701485</v>
      </c>
      <c r="G233" s="6"/>
    </row>
    <row r="234" spans="1:7" x14ac:dyDescent="0.15">
      <c r="A234" t="s">
        <v>212</v>
      </c>
      <c r="B234" t="s">
        <v>882</v>
      </c>
      <c r="C234" t="s">
        <v>699</v>
      </c>
      <c r="D234" t="s">
        <v>2</v>
      </c>
      <c r="E234" t="s">
        <v>479</v>
      </c>
      <c r="F234">
        <v>0.9070270161540297</v>
      </c>
      <c r="G234" s="6"/>
    </row>
    <row r="235" spans="1:7" x14ac:dyDescent="0.15">
      <c r="A235" t="s">
        <v>213</v>
      </c>
      <c r="B235" t="s">
        <v>883</v>
      </c>
      <c r="C235" t="s">
        <v>699</v>
      </c>
      <c r="D235" t="s">
        <v>2</v>
      </c>
      <c r="E235" t="s">
        <v>479</v>
      </c>
      <c r="F235">
        <v>0.22675675403850742</v>
      </c>
      <c r="G235" s="6"/>
    </row>
    <row r="236" spans="1:7" x14ac:dyDescent="0.15">
      <c r="A236" t="s">
        <v>541</v>
      </c>
      <c r="B236" t="s">
        <v>884</v>
      </c>
      <c r="C236" t="s">
        <v>699</v>
      </c>
      <c r="D236" t="s">
        <v>488</v>
      </c>
      <c r="E236" t="s">
        <v>479</v>
      </c>
      <c r="F236">
        <v>0</v>
      </c>
      <c r="G236" s="6"/>
    </row>
    <row r="237" spans="1:7" x14ac:dyDescent="0.15">
      <c r="A237" t="s">
        <v>211</v>
      </c>
      <c r="B237" t="s">
        <v>884</v>
      </c>
      <c r="C237" t="s">
        <v>700</v>
      </c>
      <c r="D237" t="s">
        <v>2</v>
      </c>
      <c r="E237" t="s">
        <v>9</v>
      </c>
      <c r="F237">
        <v>0.45351350807701485</v>
      </c>
      <c r="G237" s="6"/>
    </row>
    <row r="238" spans="1:7" x14ac:dyDescent="0.15">
      <c r="A238" t="s">
        <v>214</v>
      </c>
      <c r="B238" t="s">
        <v>885</v>
      </c>
      <c r="C238" t="s">
        <v>699</v>
      </c>
      <c r="D238" t="s">
        <v>2</v>
      </c>
      <c r="E238" t="s">
        <v>479</v>
      </c>
      <c r="F238">
        <v>0.28605864560745148</v>
      </c>
      <c r="G238" s="6"/>
    </row>
    <row r="239" spans="1:7" x14ac:dyDescent="0.15">
      <c r="A239" t="s">
        <v>216</v>
      </c>
      <c r="B239" t="s">
        <v>886</v>
      </c>
      <c r="C239" t="s">
        <v>699</v>
      </c>
      <c r="D239" t="s">
        <v>2</v>
      </c>
      <c r="E239" t="s">
        <v>479</v>
      </c>
      <c r="F239">
        <v>0.57211729121490296</v>
      </c>
      <c r="G239" s="6"/>
    </row>
    <row r="240" spans="1:7" x14ac:dyDescent="0.15">
      <c r="A240" t="s">
        <v>217</v>
      </c>
      <c r="B240" t="s">
        <v>887</v>
      </c>
      <c r="C240" t="s">
        <v>699</v>
      </c>
      <c r="D240" t="s">
        <v>2</v>
      </c>
      <c r="E240" t="s">
        <v>479</v>
      </c>
      <c r="F240">
        <v>0.14302932280372574</v>
      </c>
      <c r="G240" s="6"/>
    </row>
    <row r="241" spans="1:7" x14ac:dyDescent="0.15">
      <c r="A241" t="s">
        <v>218</v>
      </c>
      <c r="B241" t="s">
        <v>888</v>
      </c>
      <c r="C241" t="s">
        <v>699</v>
      </c>
      <c r="D241" t="s">
        <v>2</v>
      </c>
      <c r="E241" t="s">
        <v>479</v>
      </c>
      <c r="F241">
        <v>0.71514661401862867</v>
      </c>
      <c r="G241" s="6"/>
    </row>
    <row r="242" spans="1:7" x14ac:dyDescent="0.15">
      <c r="A242" t="s">
        <v>542</v>
      </c>
      <c r="B242" t="s">
        <v>889</v>
      </c>
      <c r="C242" t="s">
        <v>699</v>
      </c>
      <c r="D242" t="s">
        <v>488</v>
      </c>
      <c r="E242" t="s">
        <v>479</v>
      </c>
      <c r="F242">
        <v>0</v>
      </c>
      <c r="G242" s="6"/>
    </row>
    <row r="243" spans="1:7" x14ac:dyDescent="0.15">
      <c r="A243" t="s">
        <v>219</v>
      </c>
      <c r="B243" t="s">
        <v>890</v>
      </c>
      <c r="C243" t="s">
        <v>699</v>
      </c>
      <c r="D243" t="s">
        <v>2</v>
      </c>
      <c r="E243" t="s">
        <v>479</v>
      </c>
      <c r="F243">
        <v>3.1609480339623387E-2</v>
      </c>
      <c r="G243" s="6"/>
    </row>
    <row r="244" spans="1:7" x14ac:dyDescent="0.15">
      <c r="A244" t="s">
        <v>220</v>
      </c>
      <c r="B244" t="s">
        <v>891</v>
      </c>
      <c r="C244" t="s">
        <v>699</v>
      </c>
      <c r="D244" t="s">
        <v>2</v>
      </c>
      <c r="E244" t="s">
        <v>479</v>
      </c>
      <c r="F244">
        <v>2.7862112082165776E-2</v>
      </c>
      <c r="G244" s="6"/>
    </row>
    <row r="245" spans="1:7" x14ac:dyDescent="0.15">
      <c r="A245" t="s">
        <v>221</v>
      </c>
      <c r="B245" t="s">
        <v>892</v>
      </c>
      <c r="C245" t="s">
        <v>699</v>
      </c>
      <c r="D245" t="s">
        <v>2</v>
      </c>
      <c r="E245" t="s">
        <v>479</v>
      </c>
      <c r="F245">
        <v>2.8176776592333971E-2</v>
      </c>
      <c r="G245" s="6"/>
    </row>
    <row r="246" spans="1:7" x14ac:dyDescent="0.15">
      <c r="A246" t="s">
        <v>215</v>
      </c>
      <c r="B246" t="s">
        <v>889</v>
      </c>
      <c r="C246" t="s">
        <v>700</v>
      </c>
      <c r="D246" t="s">
        <v>2</v>
      </c>
      <c r="E246" t="s">
        <v>9</v>
      </c>
      <c r="F246">
        <v>0.28605864560745148</v>
      </c>
      <c r="G246" s="6"/>
    </row>
    <row r="247" spans="1:7" x14ac:dyDescent="0.15">
      <c r="A247" t="s">
        <v>222</v>
      </c>
      <c r="B247" t="s">
        <v>893</v>
      </c>
      <c r="C247" t="s">
        <v>699</v>
      </c>
      <c r="D247" t="s">
        <v>2</v>
      </c>
      <c r="E247" t="s">
        <v>479</v>
      </c>
      <c r="F247">
        <v>0.32326717787428549</v>
      </c>
      <c r="G247" s="6"/>
    </row>
    <row r="248" spans="1:7" x14ac:dyDescent="0.15">
      <c r="A248" t="s">
        <v>224</v>
      </c>
      <c r="B248" t="s">
        <v>894</v>
      </c>
      <c r="C248" t="s">
        <v>699</v>
      </c>
      <c r="D248" t="s">
        <v>2</v>
      </c>
      <c r="E248" t="s">
        <v>479</v>
      </c>
      <c r="F248">
        <v>0.64653435574857099</v>
      </c>
      <c r="G248" s="6"/>
    </row>
    <row r="249" spans="1:7" x14ac:dyDescent="0.15">
      <c r="A249" t="s">
        <v>225</v>
      </c>
      <c r="B249" t="s">
        <v>895</v>
      </c>
      <c r="C249" t="s">
        <v>699</v>
      </c>
      <c r="D249" t="s">
        <v>2</v>
      </c>
      <c r="E249" t="s">
        <v>479</v>
      </c>
      <c r="F249">
        <v>0.16163358893714275</v>
      </c>
      <c r="G249" s="6"/>
    </row>
    <row r="250" spans="1:7" x14ac:dyDescent="0.15">
      <c r="A250" t="s">
        <v>543</v>
      </c>
      <c r="B250" t="s">
        <v>896</v>
      </c>
      <c r="C250" t="s">
        <v>699</v>
      </c>
      <c r="D250" t="s">
        <v>488</v>
      </c>
      <c r="E250" t="s">
        <v>479</v>
      </c>
      <c r="F250">
        <v>0</v>
      </c>
      <c r="G250" s="6"/>
    </row>
    <row r="251" spans="1:7" x14ac:dyDescent="0.15">
      <c r="A251" t="s">
        <v>223</v>
      </c>
      <c r="B251" t="s">
        <v>896</v>
      </c>
      <c r="C251" t="s">
        <v>700</v>
      </c>
      <c r="D251" t="s">
        <v>2</v>
      </c>
      <c r="E251" t="s">
        <v>9</v>
      </c>
      <c r="F251">
        <v>0.32326717787428549</v>
      </c>
      <c r="G251" s="6"/>
    </row>
    <row r="252" spans="1:7" x14ac:dyDescent="0.15">
      <c r="A252" t="s">
        <v>226</v>
      </c>
      <c r="B252" t="s">
        <v>897</v>
      </c>
      <c r="C252" t="s">
        <v>699</v>
      </c>
      <c r="D252" t="s">
        <v>2</v>
      </c>
      <c r="E252" t="s">
        <v>479</v>
      </c>
      <c r="F252">
        <v>0.33190808172051212</v>
      </c>
      <c r="G252" s="6"/>
    </row>
    <row r="253" spans="1:7" x14ac:dyDescent="0.15">
      <c r="A253" t="s">
        <v>228</v>
      </c>
      <c r="B253" t="s">
        <v>898</v>
      </c>
      <c r="C253" t="s">
        <v>699</v>
      </c>
      <c r="D253" t="s">
        <v>2</v>
      </c>
      <c r="E253" t="s">
        <v>479</v>
      </c>
      <c r="F253">
        <v>0.66381616344102423</v>
      </c>
      <c r="G253" s="6"/>
    </row>
    <row r="254" spans="1:7" x14ac:dyDescent="0.15">
      <c r="A254" t="s">
        <v>229</v>
      </c>
      <c r="B254" t="s">
        <v>899</v>
      </c>
      <c r="C254" t="s">
        <v>699</v>
      </c>
      <c r="D254" t="s">
        <v>2</v>
      </c>
      <c r="E254" t="s">
        <v>479</v>
      </c>
      <c r="F254">
        <v>0.16595404086025606</v>
      </c>
      <c r="G254" s="6"/>
    </row>
    <row r="255" spans="1:7" x14ac:dyDescent="0.15">
      <c r="A255" t="s">
        <v>544</v>
      </c>
      <c r="B255" t="s">
        <v>900</v>
      </c>
      <c r="C255" t="s">
        <v>699</v>
      </c>
      <c r="D255" t="s">
        <v>488</v>
      </c>
      <c r="E255" t="s">
        <v>479</v>
      </c>
      <c r="F255">
        <v>0</v>
      </c>
      <c r="G255" s="6"/>
    </row>
    <row r="256" spans="1:7" x14ac:dyDescent="0.15">
      <c r="A256" t="s">
        <v>230</v>
      </c>
      <c r="B256" t="s">
        <v>901</v>
      </c>
      <c r="C256" t="s">
        <v>699</v>
      </c>
      <c r="D256" t="s">
        <v>2</v>
      </c>
      <c r="E256" t="s">
        <v>479</v>
      </c>
      <c r="F256">
        <v>2.7050508660221736E-2</v>
      </c>
      <c r="G256" s="6"/>
    </row>
    <row r="257" spans="1:7" x14ac:dyDescent="0.15">
      <c r="A257" t="s">
        <v>231</v>
      </c>
      <c r="B257" t="s">
        <v>902</v>
      </c>
      <c r="C257" t="s">
        <v>699</v>
      </c>
      <c r="D257" t="s">
        <v>2</v>
      </c>
      <c r="E257" t="s">
        <v>479</v>
      </c>
      <c r="F257">
        <v>3.4850348580653771E-2</v>
      </c>
      <c r="G257" s="6"/>
    </row>
    <row r="258" spans="1:7" x14ac:dyDescent="0.15">
      <c r="A258" t="s">
        <v>232</v>
      </c>
      <c r="B258" t="s">
        <v>903</v>
      </c>
      <c r="C258" t="s">
        <v>699</v>
      </c>
      <c r="D258" t="s">
        <v>2</v>
      </c>
      <c r="E258" t="s">
        <v>479</v>
      </c>
      <c r="F258">
        <v>8.5300377002171621E-2</v>
      </c>
      <c r="G258" s="6"/>
    </row>
    <row r="259" spans="1:7" x14ac:dyDescent="0.15">
      <c r="A259" t="s">
        <v>233</v>
      </c>
      <c r="B259" t="s">
        <v>904</v>
      </c>
      <c r="C259" t="s">
        <v>699</v>
      </c>
      <c r="D259" t="s">
        <v>2</v>
      </c>
      <c r="E259" t="s">
        <v>479</v>
      </c>
      <c r="F259">
        <v>8.6628009329053665E-2</v>
      </c>
      <c r="G259" s="6"/>
    </row>
    <row r="260" spans="1:7" x14ac:dyDescent="0.15">
      <c r="A260" t="s">
        <v>227</v>
      </c>
      <c r="B260" t="s">
        <v>900</v>
      </c>
      <c r="C260" t="s">
        <v>700</v>
      </c>
      <c r="D260" t="s">
        <v>2</v>
      </c>
      <c r="E260" t="s">
        <v>9</v>
      </c>
      <c r="F260">
        <v>0.33190808172051212</v>
      </c>
      <c r="G260" s="6"/>
    </row>
    <row r="261" spans="1:7" x14ac:dyDescent="0.15">
      <c r="A261" t="s">
        <v>545</v>
      </c>
      <c r="B261" t="s">
        <v>905</v>
      </c>
      <c r="C261" t="s">
        <v>699</v>
      </c>
      <c r="D261" t="s">
        <v>488</v>
      </c>
      <c r="E261" t="s">
        <v>479</v>
      </c>
      <c r="F261">
        <v>0</v>
      </c>
      <c r="G261" s="6"/>
    </row>
    <row r="262" spans="1:7" x14ac:dyDescent="0.15">
      <c r="A262" t="s">
        <v>234</v>
      </c>
      <c r="B262" t="s">
        <v>906</v>
      </c>
      <c r="C262" t="s">
        <v>699</v>
      </c>
      <c r="D262" t="s">
        <v>2</v>
      </c>
      <c r="E262" t="s">
        <v>479</v>
      </c>
      <c r="F262">
        <v>-0.29299999999999998</v>
      </c>
      <c r="G262" s="6"/>
    </row>
    <row r="263" spans="1:7" x14ac:dyDescent="0.15">
      <c r="A263" t="s">
        <v>235</v>
      </c>
      <c r="B263" t="s">
        <v>905</v>
      </c>
      <c r="C263" t="s">
        <v>700</v>
      </c>
      <c r="D263" t="s">
        <v>2</v>
      </c>
      <c r="E263" t="s">
        <v>9</v>
      </c>
      <c r="F263">
        <v>-1</v>
      </c>
      <c r="G263" s="8" t="s">
        <v>1244</v>
      </c>
    </row>
    <row r="264" spans="1:7" x14ac:dyDescent="0.15">
      <c r="A264" t="s">
        <v>236</v>
      </c>
      <c r="B264" t="s">
        <v>907</v>
      </c>
      <c r="C264" t="s">
        <v>699</v>
      </c>
      <c r="D264" t="s">
        <v>2</v>
      </c>
      <c r="E264" t="s">
        <v>479</v>
      </c>
      <c r="F264">
        <v>0.33848672714026584</v>
      </c>
      <c r="G264" s="6"/>
    </row>
    <row r="265" spans="1:7" x14ac:dyDescent="0.15">
      <c r="A265" t="s">
        <v>238</v>
      </c>
      <c r="B265" t="s">
        <v>908</v>
      </c>
      <c r="C265" t="s">
        <v>699</v>
      </c>
      <c r="D265" t="s">
        <v>2</v>
      </c>
      <c r="E265" t="s">
        <v>479</v>
      </c>
      <c r="F265">
        <v>0.67697345428053168</v>
      </c>
      <c r="G265" s="6"/>
    </row>
    <row r="266" spans="1:7" x14ac:dyDescent="0.15">
      <c r="A266" t="s">
        <v>239</v>
      </c>
      <c r="B266" t="s">
        <v>909</v>
      </c>
      <c r="C266" t="s">
        <v>699</v>
      </c>
      <c r="D266" t="s">
        <v>2</v>
      </c>
      <c r="E266" t="s">
        <v>479</v>
      </c>
      <c r="F266">
        <v>0.16924336357013292</v>
      </c>
      <c r="G266" s="6"/>
    </row>
    <row r="267" spans="1:7" x14ac:dyDescent="0.15">
      <c r="A267" t="s">
        <v>546</v>
      </c>
      <c r="B267" t="s">
        <v>910</v>
      </c>
      <c r="C267" t="s">
        <v>699</v>
      </c>
      <c r="D267" t="s">
        <v>488</v>
      </c>
      <c r="E267" t="s">
        <v>479</v>
      </c>
      <c r="F267">
        <v>0</v>
      </c>
      <c r="G267" s="6"/>
    </row>
    <row r="268" spans="1:7" x14ac:dyDescent="0.15">
      <c r="A268" t="s">
        <v>237</v>
      </c>
      <c r="B268" t="s">
        <v>910</v>
      </c>
      <c r="C268" t="s">
        <v>700</v>
      </c>
      <c r="D268" t="s">
        <v>2</v>
      </c>
      <c r="E268" t="s">
        <v>9</v>
      </c>
      <c r="F268">
        <v>0.33848672714026584</v>
      </c>
      <c r="G268" s="6"/>
    </row>
    <row r="269" spans="1:7" x14ac:dyDescent="0.15">
      <c r="A269" t="s">
        <v>240</v>
      </c>
      <c r="B269" t="s">
        <v>911</v>
      </c>
      <c r="C269" t="s">
        <v>699</v>
      </c>
      <c r="D269" t="s">
        <v>2</v>
      </c>
      <c r="E269" t="s">
        <v>479</v>
      </c>
      <c r="F269">
        <v>0.58011924342393062</v>
      </c>
      <c r="G269" s="6"/>
    </row>
    <row r="270" spans="1:7" x14ac:dyDescent="0.15">
      <c r="A270" t="s">
        <v>242</v>
      </c>
      <c r="B270" t="s">
        <v>912</v>
      </c>
      <c r="C270" t="s">
        <v>699</v>
      </c>
      <c r="D270" t="s">
        <v>2</v>
      </c>
      <c r="E270" t="s">
        <v>479</v>
      </c>
      <c r="F270">
        <v>1.1602384868478612</v>
      </c>
      <c r="G270" s="6"/>
    </row>
    <row r="271" spans="1:7" x14ac:dyDescent="0.15">
      <c r="A271" t="s">
        <v>243</v>
      </c>
      <c r="B271" t="s">
        <v>913</v>
      </c>
      <c r="C271" t="s">
        <v>699</v>
      </c>
      <c r="D271" t="s">
        <v>2</v>
      </c>
      <c r="E271" t="s">
        <v>479</v>
      </c>
      <c r="F271">
        <v>0.29005962171196531</v>
      </c>
      <c r="G271" s="6"/>
    </row>
    <row r="272" spans="1:7" x14ac:dyDescent="0.15">
      <c r="A272" t="s">
        <v>547</v>
      </c>
      <c r="B272" t="s">
        <v>914</v>
      </c>
      <c r="C272" t="s">
        <v>699</v>
      </c>
      <c r="D272" t="s">
        <v>488</v>
      </c>
      <c r="E272" t="s">
        <v>479</v>
      </c>
      <c r="F272">
        <v>0</v>
      </c>
      <c r="G272" s="6"/>
    </row>
    <row r="273" spans="1:7" x14ac:dyDescent="0.15">
      <c r="A273" t="s">
        <v>241</v>
      </c>
      <c r="B273" t="s">
        <v>914</v>
      </c>
      <c r="C273" t="s">
        <v>700</v>
      </c>
      <c r="D273" t="s">
        <v>2</v>
      </c>
      <c r="E273" t="s">
        <v>9</v>
      </c>
      <c r="F273">
        <v>0.58011924342393062</v>
      </c>
      <c r="G273" s="6"/>
    </row>
    <row r="274" spans="1:7" x14ac:dyDescent="0.15">
      <c r="A274" t="s">
        <v>244</v>
      </c>
      <c r="B274" t="s">
        <v>915</v>
      </c>
      <c r="C274" t="s">
        <v>699</v>
      </c>
      <c r="D274" t="s">
        <v>2</v>
      </c>
      <c r="E274" t="s">
        <v>479</v>
      </c>
      <c r="F274">
        <v>0.66826358293860744</v>
      </c>
      <c r="G274" s="6"/>
    </row>
    <row r="275" spans="1:7" x14ac:dyDescent="0.15">
      <c r="A275" t="s">
        <v>246</v>
      </c>
      <c r="B275" t="s">
        <v>916</v>
      </c>
      <c r="C275" t="s">
        <v>699</v>
      </c>
      <c r="D275" t="s">
        <v>2</v>
      </c>
      <c r="E275" t="s">
        <v>479</v>
      </c>
      <c r="F275">
        <v>1.3365271658772149</v>
      </c>
      <c r="G275" s="6"/>
    </row>
    <row r="276" spans="1:7" x14ac:dyDescent="0.15">
      <c r="A276" t="s">
        <v>247</v>
      </c>
      <c r="B276" t="s">
        <v>917</v>
      </c>
      <c r="C276" t="s">
        <v>699</v>
      </c>
      <c r="D276" t="s">
        <v>2</v>
      </c>
      <c r="E276" t="s">
        <v>479</v>
      </c>
      <c r="F276">
        <v>0.33413179146930372</v>
      </c>
      <c r="G276" s="6"/>
    </row>
    <row r="277" spans="1:7" x14ac:dyDescent="0.15">
      <c r="A277" t="s">
        <v>548</v>
      </c>
      <c r="B277" t="s">
        <v>918</v>
      </c>
      <c r="C277" t="s">
        <v>699</v>
      </c>
      <c r="D277" t="s">
        <v>488</v>
      </c>
      <c r="E277" t="s">
        <v>479</v>
      </c>
      <c r="F277">
        <v>0</v>
      </c>
      <c r="G277" s="6"/>
    </row>
    <row r="278" spans="1:7" x14ac:dyDescent="0.15">
      <c r="A278" t="s">
        <v>245</v>
      </c>
      <c r="B278" t="s">
        <v>918</v>
      </c>
      <c r="C278" t="s">
        <v>700</v>
      </c>
      <c r="D278" t="s">
        <v>2</v>
      </c>
      <c r="E278" t="s">
        <v>9</v>
      </c>
      <c r="F278">
        <v>0.66826358293860744</v>
      </c>
      <c r="G278" s="6"/>
    </row>
    <row r="279" spans="1:7" x14ac:dyDescent="0.15">
      <c r="A279" t="s">
        <v>248</v>
      </c>
      <c r="B279" t="s">
        <v>919</v>
      </c>
      <c r="C279" t="s">
        <v>699</v>
      </c>
      <c r="D279" t="s">
        <v>2</v>
      </c>
      <c r="E279" t="s">
        <v>479</v>
      </c>
      <c r="F279">
        <v>0.63704076862356196</v>
      </c>
      <c r="G279" s="6"/>
    </row>
    <row r="280" spans="1:7" x14ac:dyDescent="0.15">
      <c r="A280" t="s">
        <v>250</v>
      </c>
      <c r="B280" t="s">
        <v>920</v>
      </c>
      <c r="C280" t="s">
        <v>699</v>
      </c>
      <c r="D280" t="s">
        <v>2</v>
      </c>
      <c r="E280" t="s">
        <v>479</v>
      </c>
      <c r="F280">
        <v>1.2740815372471239</v>
      </c>
      <c r="G280" s="6"/>
    </row>
    <row r="281" spans="1:7" x14ac:dyDescent="0.15">
      <c r="A281" t="s">
        <v>251</v>
      </c>
      <c r="B281" t="s">
        <v>921</v>
      </c>
      <c r="C281" t="s">
        <v>699</v>
      </c>
      <c r="D281" t="s">
        <v>2</v>
      </c>
      <c r="E281" t="s">
        <v>479</v>
      </c>
      <c r="F281">
        <v>0.31852038431178098</v>
      </c>
      <c r="G281" s="6"/>
    </row>
    <row r="282" spans="1:7" x14ac:dyDescent="0.15">
      <c r="A282" t="s">
        <v>549</v>
      </c>
      <c r="B282" t="s">
        <v>922</v>
      </c>
      <c r="C282" t="s">
        <v>699</v>
      </c>
      <c r="D282" t="s">
        <v>488</v>
      </c>
      <c r="E282" t="s">
        <v>479</v>
      </c>
      <c r="F282">
        <v>0</v>
      </c>
      <c r="G282" s="6"/>
    </row>
    <row r="283" spans="1:7" x14ac:dyDescent="0.15">
      <c r="A283" t="s">
        <v>249</v>
      </c>
      <c r="B283" t="s">
        <v>922</v>
      </c>
      <c r="C283" t="s">
        <v>700</v>
      </c>
      <c r="D283" t="s">
        <v>2</v>
      </c>
      <c r="E283" t="s">
        <v>9</v>
      </c>
      <c r="F283">
        <v>0.63704076862356196</v>
      </c>
      <c r="G283" s="6"/>
    </row>
    <row r="284" spans="1:7" x14ac:dyDescent="0.15">
      <c r="A284" t="s">
        <v>252</v>
      </c>
      <c r="B284" t="s">
        <v>923</v>
      </c>
      <c r="C284" t="s">
        <v>699</v>
      </c>
      <c r="D284" t="s">
        <v>2</v>
      </c>
      <c r="E284" t="s">
        <v>479</v>
      </c>
      <c r="F284">
        <v>1.1576409973948976</v>
      </c>
      <c r="G284" s="6"/>
    </row>
    <row r="285" spans="1:7" x14ac:dyDescent="0.15">
      <c r="A285" t="s">
        <v>254</v>
      </c>
      <c r="B285" t="s">
        <v>924</v>
      </c>
      <c r="C285" t="s">
        <v>699</v>
      </c>
      <c r="D285" t="s">
        <v>2</v>
      </c>
      <c r="E285" t="s">
        <v>479</v>
      </c>
      <c r="F285">
        <v>2.3152819947897951</v>
      </c>
      <c r="G285" s="6"/>
    </row>
    <row r="286" spans="1:7" x14ac:dyDescent="0.15">
      <c r="A286" t="s">
        <v>255</v>
      </c>
      <c r="B286" t="s">
        <v>925</v>
      </c>
      <c r="C286" t="s">
        <v>699</v>
      </c>
      <c r="D286" t="s">
        <v>2</v>
      </c>
      <c r="E286" t="s">
        <v>479</v>
      </c>
      <c r="F286">
        <v>0.57882049869744878</v>
      </c>
      <c r="G286" s="6"/>
    </row>
    <row r="287" spans="1:7" x14ac:dyDescent="0.15">
      <c r="A287" t="s">
        <v>550</v>
      </c>
      <c r="B287" t="s">
        <v>926</v>
      </c>
      <c r="C287" t="s">
        <v>699</v>
      </c>
      <c r="D287" t="s">
        <v>488</v>
      </c>
      <c r="E287" t="s">
        <v>479</v>
      </c>
      <c r="F287">
        <v>0</v>
      </c>
      <c r="G287" s="6"/>
    </row>
    <row r="288" spans="1:7" x14ac:dyDescent="0.15">
      <c r="A288" t="s">
        <v>253</v>
      </c>
      <c r="B288" t="s">
        <v>926</v>
      </c>
      <c r="C288" t="s">
        <v>700</v>
      </c>
      <c r="D288" t="s">
        <v>2</v>
      </c>
      <c r="E288" t="s">
        <v>9</v>
      </c>
      <c r="F288">
        <v>1.1576409973948976</v>
      </c>
      <c r="G288" s="6"/>
    </row>
    <row r="289" spans="1:7" x14ac:dyDescent="0.15">
      <c r="A289" t="s">
        <v>256</v>
      </c>
      <c r="B289" t="s">
        <v>927</v>
      </c>
      <c r="C289" t="s">
        <v>699</v>
      </c>
      <c r="D289" t="s">
        <v>2</v>
      </c>
      <c r="E289" t="s">
        <v>479</v>
      </c>
      <c r="F289">
        <v>0.90415166879155739</v>
      </c>
      <c r="G289" s="6"/>
    </row>
    <row r="290" spans="1:7" x14ac:dyDescent="0.15">
      <c r="A290" t="s">
        <v>258</v>
      </c>
      <c r="B290" t="s">
        <v>928</v>
      </c>
      <c r="C290" t="s">
        <v>699</v>
      </c>
      <c r="D290" t="s">
        <v>2</v>
      </c>
      <c r="E290" t="s">
        <v>479</v>
      </c>
      <c r="F290">
        <v>1.8083033375831148</v>
      </c>
      <c r="G290" s="6"/>
    </row>
    <row r="291" spans="1:7" x14ac:dyDescent="0.15">
      <c r="A291" t="s">
        <v>259</v>
      </c>
      <c r="B291" t="s">
        <v>929</v>
      </c>
      <c r="C291" t="s">
        <v>699</v>
      </c>
      <c r="D291" t="s">
        <v>2</v>
      </c>
      <c r="E291" t="s">
        <v>479</v>
      </c>
      <c r="F291">
        <v>0.4520758343957787</v>
      </c>
      <c r="G291" s="6"/>
    </row>
    <row r="292" spans="1:7" x14ac:dyDescent="0.15">
      <c r="A292" t="s">
        <v>551</v>
      </c>
      <c r="B292" t="s">
        <v>930</v>
      </c>
      <c r="C292" t="s">
        <v>699</v>
      </c>
      <c r="D292" t="s">
        <v>488</v>
      </c>
      <c r="E292" t="s">
        <v>479</v>
      </c>
      <c r="F292">
        <v>0</v>
      </c>
      <c r="G292" s="6"/>
    </row>
    <row r="293" spans="1:7" x14ac:dyDescent="0.15">
      <c r="A293" t="s">
        <v>257</v>
      </c>
      <c r="B293" t="s">
        <v>930</v>
      </c>
      <c r="C293" t="s">
        <v>700</v>
      </c>
      <c r="D293" t="s">
        <v>2</v>
      </c>
      <c r="E293" t="s">
        <v>9</v>
      </c>
      <c r="F293">
        <v>0.90415166879155739</v>
      </c>
      <c r="G293" s="6"/>
    </row>
    <row r="294" spans="1:7" x14ac:dyDescent="0.15">
      <c r="A294" t="s">
        <v>260</v>
      </c>
      <c r="B294" t="s">
        <v>931</v>
      </c>
      <c r="C294" t="s">
        <v>699</v>
      </c>
      <c r="D294" t="s">
        <v>2</v>
      </c>
      <c r="E294" t="s">
        <v>479</v>
      </c>
      <c r="F294">
        <v>0.40471831809760206</v>
      </c>
      <c r="G294" s="6"/>
    </row>
    <row r="295" spans="1:7" x14ac:dyDescent="0.15">
      <c r="A295" t="s">
        <v>261</v>
      </c>
      <c r="B295" t="s">
        <v>931</v>
      </c>
      <c r="C295" t="s">
        <v>700</v>
      </c>
      <c r="D295" t="s">
        <v>2</v>
      </c>
      <c r="E295" t="s">
        <v>9</v>
      </c>
      <c r="F295">
        <v>0.40471831809760206</v>
      </c>
      <c r="G295" s="6"/>
    </row>
    <row r="296" spans="1:7" x14ac:dyDescent="0.15">
      <c r="A296" t="s">
        <v>262</v>
      </c>
      <c r="B296" t="s">
        <v>932</v>
      </c>
      <c r="C296" t="s">
        <v>699</v>
      </c>
      <c r="D296" t="s">
        <v>2</v>
      </c>
      <c r="E296" t="s">
        <v>479</v>
      </c>
      <c r="F296">
        <v>0.92162332747634468</v>
      </c>
      <c r="G296" s="6"/>
    </row>
    <row r="297" spans="1:7" x14ac:dyDescent="0.15">
      <c r="A297" t="s">
        <v>264</v>
      </c>
      <c r="B297" t="s">
        <v>933</v>
      </c>
      <c r="C297" t="s">
        <v>699</v>
      </c>
      <c r="D297" t="s">
        <v>2</v>
      </c>
      <c r="E297" t="s">
        <v>479</v>
      </c>
      <c r="F297">
        <v>1.8432466549526894</v>
      </c>
      <c r="G297" s="6"/>
    </row>
    <row r="298" spans="1:7" x14ac:dyDescent="0.15">
      <c r="A298" t="s">
        <v>265</v>
      </c>
      <c r="B298" t="s">
        <v>934</v>
      </c>
      <c r="C298" t="s">
        <v>699</v>
      </c>
      <c r="D298" t="s">
        <v>2</v>
      </c>
      <c r="E298" t="s">
        <v>479</v>
      </c>
      <c r="F298">
        <v>0.46081166373817234</v>
      </c>
      <c r="G298" s="6"/>
    </row>
    <row r="299" spans="1:7" x14ac:dyDescent="0.15">
      <c r="A299" t="s">
        <v>263</v>
      </c>
      <c r="B299" t="s">
        <v>935</v>
      </c>
      <c r="C299" t="s">
        <v>700</v>
      </c>
      <c r="D299" t="s">
        <v>2</v>
      </c>
      <c r="E299" t="s">
        <v>9</v>
      </c>
      <c r="F299">
        <v>0.92162332747634468</v>
      </c>
      <c r="G299" s="6"/>
    </row>
    <row r="300" spans="1:7" x14ac:dyDescent="0.15">
      <c r="A300" t="s">
        <v>266</v>
      </c>
      <c r="B300" t="s">
        <v>936</v>
      </c>
      <c r="C300" t="s">
        <v>699</v>
      </c>
      <c r="D300" t="s">
        <v>2</v>
      </c>
      <c r="E300" t="s">
        <v>479</v>
      </c>
      <c r="F300">
        <v>1.209922909020132</v>
      </c>
      <c r="G300" s="6"/>
    </row>
    <row r="301" spans="1:7" x14ac:dyDescent="0.15">
      <c r="A301" t="s">
        <v>268</v>
      </c>
      <c r="B301" t="s">
        <v>937</v>
      </c>
      <c r="C301" t="s">
        <v>699</v>
      </c>
      <c r="D301" t="s">
        <v>2</v>
      </c>
      <c r="E301" t="s">
        <v>479</v>
      </c>
      <c r="F301">
        <v>2.419845818040264</v>
      </c>
      <c r="G301" s="6"/>
    </row>
    <row r="302" spans="1:7" x14ac:dyDescent="0.15">
      <c r="A302" t="s">
        <v>269</v>
      </c>
      <c r="B302" t="s">
        <v>938</v>
      </c>
      <c r="C302" t="s">
        <v>699</v>
      </c>
      <c r="D302" t="s">
        <v>2</v>
      </c>
      <c r="E302" t="s">
        <v>479</v>
      </c>
      <c r="F302">
        <v>0.604961454510066</v>
      </c>
      <c r="G302" s="6"/>
    </row>
    <row r="303" spans="1:7" x14ac:dyDescent="0.15">
      <c r="A303" t="s">
        <v>267</v>
      </c>
      <c r="B303" t="s">
        <v>939</v>
      </c>
      <c r="C303" t="s">
        <v>700</v>
      </c>
      <c r="D303" t="s">
        <v>2</v>
      </c>
      <c r="E303" t="s">
        <v>9</v>
      </c>
      <c r="F303">
        <v>1.209922909020132</v>
      </c>
      <c r="G303" s="6"/>
    </row>
    <row r="304" spans="1:7" x14ac:dyDescent="0.15">
      <c r="A304" t="s">
        <v>270</v>
      </c>
      <c r="B304" t="s">
        <v>940</v>
      </c>
      <c r="C304" t="s">
        <v>699</v>
      </c>
      <c r="D304" t="s">
        <v>2</v>
      </c>
      <c r="E304" t="s">
        <v>479</v>
      </c>
      <c r="F304">
        <v>1.3259003332035171</v>
      </c>
      <c r="G304" s="6"/>
    </row>
    <row r="305" spans="1:7" x14ac:dyDescent="0.15">
      <c r="A305" t="s">
        <v>272</v>
      </c>
      <c r="B305" t="s">
        <v>941</v>
      </c>
      <c r="C305" t="s">
        <v>699</v>
      </c>
      <c r="D305" t="s">
        <v>2</v>
      </c>
      <c r="E305" t="s">
        <v>479</v>
      </c>
      <c r="F305">
        <v>2.6518006664070342</v>
      </c>
      <c r="G305" s="6"/>
    </row>
    <row r="306" spans="1:7" x14ac:dyDescent="0.15">
      <c r="A306" t="s">
        <v>273</v>
      </c>
      <c r="B306" t="s">
        <v>942</v>
      </c>
      <c r="C306" t="s">
        <v>699</v>
      </c>
      <c r="D306" t="s">
        <v>2</v>
      </c>
      <c r="E306" t="s">
        <v>479</v>
      </c>
      <c r="F306">
        <v>0.66295016660175854</v>
      </c>
      <c r="G306" s="6"/>
    </row>
    <row r="307" spans="1:7" x14ac:dyDescent="0.15">
      <c r="A307" t="s">
        <v>271</v>
      </c>
      <c r="B307" t="s">
        <v>943</v>
      </c>
      <c r="C307" t="s">
        <v>700</v>
      </c>
      <c r="D307" t="s">
        <v>2</v>
      </c>
      <c r="E307" t="s">
        <v>9</v>
      </c>
      <c r="F307">
        <v>1.3259003332035171</v>
      </c>
      <c r="G307" s="6"/>
    </row>
    <row r="308" spans="1:7" x14ac:dyDescent="0.15">
      <c r="A308" t="s">
        <v>274</v>
      </c>
      <c r="B308" t="s">
        <v>944</v>
      </c>
      <c r="C308" t="s">
        <v>699</v>
      </c>
      <c r="D308" t="s">
        <v>2</v>
      </c>
      <c r="E308" t="s">
        <v>479</v>
      </c>
      <c r="F308">
        <v>0.367569032785935</v>
      </c>
      <c r="G308" s="6"/>
    </row>
    <row r="309" spans="1:7" x14ac:dyDescent="0.15">
      <c r="A309" t="s">
        <v>276</v>
      </c>
      <c r="B309" t="s">
        <v>945</v>
      </c>
      <c r="C309" t="s">
        <v>699</v>
      </c>
      <c r="D309" t="s">
        <v>2</v>
      </c>
      <c r="E309" t="s">
        <v>479</v>
      </c>
      <c r="F309">
        <v>91.892258196483752</v>
      </c>
      <c r="G309" s="6"/>
    </row>
    <row r="310" spans="1:7" x14ac:dyDescent="0.15">
      <c r="A310" t="s">
        <v>552</v>
      </c>
      <c r="B310" t="s">
        <v>946</v>
      </c>
      <c r="C310" t="s">
        <v>699</v>
      </c>
      <c r="D310" t="s">
        <v>488</v>
      </c>
      <c r="E310" t="s">
        <v>479</v>
      </c>
      <c r="F310">
        <v>0</v>
      </c>
      <c r="G310" s="6"/>
    </row>
    <row r="311" spans="1:7" x14ac:dyDescent="0.15">
      <c r="A311" t="s">
        <v>275</v>
      </c>
      <c r="B311" t="s">
        <v>946</v>
      </c>
      <c r="C311" t="s">
        <v>700</v>
      </c>
      <c r="D311" t="s">
        <v>2</v>
      </c>
      <c r="E311" t="s">
        <v>9</v>
      </c>
      <c r="F311">
        <v>0.367569032785935</v>
      </c>
      <c r="G311" s="6"/>
    </row>
    <row r="312" spans="1:7" x14ac:dyDescent="0.15">
      <c r="A312" t="s">
        <v>277</v>
      </c>
      <c r="B312" t="s">
        <v>947</v>
      </c>
      <c r="C312" t="s">
        <v>699</v>
      </c>
      <c r="D312" t="s">
        <v>2</v>
      </c>
      <c r="E312" t="s">
        <v>479</v>
      </c>
      <c r="F312">
        <v>0.33873332326258082</v>
      </c>
      <c r="G312" s="6"/>
    </row>
    <row r="313" spans="1:7" x14ac:dyDescent="0.15">
      <c r="A313" t="s">
        <v>279</v>
      </c>
      <c r="B313" t="s">
        <v>948</v>
      </c>
      <c r="C313" t="s">
        <v>699</v>
      </c>
      <c r="D313" t="s">
        <v>2</v>
      </c>
      <c r="E313" t="s">
        <v>479</v>
      </c>
      <c r="F313">
        <v>84.683330815645206</v>
      </c>
      <c r="G313" s="6"/>
    </row>
    <row r="314" spans="1:7" x14ac:dyDescent="0.15">
      <c r="A314" t="s">
        <v>553</v>
      </c>
      <c r="B314" t="s">
        <v>949</v>
      </c>
      <c r="C314" t="s">
        <v>699</v>
      </c>
      <c r="D314" t="s">
        <v>488</v>
      </c>
      <c r="E314" t="s">
        <v>479</v>
      </c>
      <c r="F314">
        <v>0</v>
      </c>
      <c r="G314" s="6"/>
    </row>
    <row r="315" spans="1:7" x14ac:dyDescent="0.15">
      <c r="A315" t="s">
        <v>278</v>
      </c>
      <c r="B315" t="s">
        <v>949</v>
      </c>
      <c r="C315" t="s">
        <v>700</v>
      </c>
      <c r="D315" t="s">
        <v>2</v>
      </c>
      <c r="E315" t="s">
        <v>9</v>
      </c>
      <c r="F315">
        <v>0.33873332326258082</v>
      </c>
      <c r="G315" s="6"/>
    </row>
    <row r="316" spans="1:7" x14ac:dyDescent="0.15">
      <c r="A316" t="s">
        <v>280</v>
      </c>
      <c r="B316" t="s">
        <v>950</v>
      </c>
      <c r="C316" t="s">
        <v>699</v>
      </c>
      <c r="D316" t="s">
        <v>2</v>
      </c>
      <c r="E316" t="s">
        <v>479</v>
      </c>
      <c r="F316">
        <v>0.35839287416736593</v>
      </c>
      <c r="G316" s="6"/>
    </row>
    <row r="317" spans="1:7" x14ac:dyDescent="0.15">
      <c r="A317" t="s">
        <v>282</v>
      </c>
      <c r="B317" t="s">
        <v>951</v>
      </c>
      <c r="C317" t="s">
        <v>699</v>
      </c>
      <c r="D317" t="s">
        <v>2</v>
      </c>
      <c r="E317" t="s">
        <v>479</v>
      </c>
      <c r="F317">
        <v>0.17919643708368296</v>
      </c>
      <c r="G317" s="6"/>
    </row>
    <row r="318" spans="1:7" x14ac:dyDescent="0.15">
      <c r="A318" t="s">
        <v>283</v>
      </c>
      <c r="B318" t="s">
        <v>952</v>
      </c>
      <c r="C318" t="s">
        <v>699</v>
      </c>
      <c r="D318" t="s">
        <v>2</v>
      </c>
      <c r="E318" t="s">
        <v>479</v>
      </c>
      <c r="F318">
        <v>89.598218541841476</v>
      </c>
      <c r="G318" s="6"/>
    </row>
    <row r="319" spans="1:7" x14ac:dyDescent="0.15">
      <c r="A319" t="s">
        <v>554</v>
      </c>
      <c r="B319" t="s">
        <v>953</v>
      </c>
      <c r="C319" t="s">
        <v>699</v>
      </c>
      <c r="D319" t="s">
        <v>488</v>
      </c>
      <c r="E319" t="s">
        <v>479</v>
      </c>
      <c r="F319">
        <v>0</v>
      </c>
      <c r="G319" s="6"/>
    </row>
    <row r="320" spans="1:7" x14ac:dyDescent="0.15">
      <c r="A320" t="s">
        <v>281</v>
      </c>
      <c r="B320" t="s">
        <v>953</v>
      </c>
      <c r="C320" t="s">
        <v>700</v>
      </c>
      <c r="D320" t="s">
        <v>2</v>
      </c>
      <c r="E320" t="s">
        <v>9</v>
      </c>
      <c r="F320">
        <v>0.35839287416736593</v>
      </c>
      <c r="G320" s="6"/>
    </row>
    <row r="321" spans="1:7" x14ac:dyDescent="0.15">
      <c r="A321" t="s">
        <v>284</v>
      </c>
      <c r="B321" t="s">
        <v>954</v>
      </c>
      <c r="C321" t="s">
        <v>699</v>
      </c>
      <c r="D321" t="s">
        <v>2</v>
      </c>
      <c r="E321" t="s">
        <v>479</v>
      </c>
      <c r="F321">
        <v>0.34904792739449031</v>
      </c>
      <c r="G321" s="6"/>
    </row>
    <row r="322" spans="1:7" x14ac:dyDescent="0.15">
      <c r="A322" t="s">
        <v>286</v>
      </c>
      <c r="B322" t="s">
        <v>955</v>
      </c>
      <c r="C322" t="s">
        <v>699</v>
      </c>
      <c r="D322" t="s">
        <v>2</v>
      </c>
      <c r="E322" t="s">
        <v>479</v>
      </c>
      <c r="F322">
        <v>0.17452396369724515</v>
      </c>
      <c r="G322" s="6"/>
    </row>
    <row r="323" spans="1:7" x14ac:dyDescent="0.15">
      <c r="A323" t="s">
        <v>287</v>
      </c>
      <c r="B323" t="s">
        <v>956</v>
      </c>
      <c r="C323" t="s">
        <v>699</v>
      </c>
      <c r="D323" t="s">
        <v>2</v>
      </c>
      <c r="E323" t="s">
        <v>479</v>
      </c>
      <c r="F323">
        <v>87.261981848622582</v>
      </c>
      <c r="G323" s="6"/>
    </row>
    <row r="324" spans="1:7" x14ac:dyDescent="0.15">
      <c r="A324" t="s">
        <v>555</v>
      </c>
      <c r="B324" t="s">
        <v>957</v>
      </c>
      <c r="C324" t="s">
        <v>699</v>
      </c>
      <c r="D324" t="s">
        <v>488</v>
      </c>
      <c r="E324" t="s">
        <v>479</v>
      </c>
      <c r="F324">
        <v>0</v>
      </c>
      <c r="G324" s="6"/>
    </row>
    <row r="325" spans="1:7" x14ac:dyDescent="0.15">
      <c r="A325" t="s">
        <v>285</v>
      </c>
      <c r="B325" t="s">
        <v>957</v>
      </c>
      <c r="C325" t="s">
        <v>700</v>
      </c>
      <c r="D325" t="s">
        <v>2</v>
      </c>
      <c r="E325" t="s">
        <v>9</v>
      </c>
      <c r="F325">
        <v>0.34904792739449031</v>
      </c>
      <c r="G325" s="6"/>
    </row>
    <row r="326" spans="1:7" x14ac:dyDescent="0.15">
      <c r="A326" t="s">
        <v>288</v>
      </c>
      <c r="B326" t="s">
        <v>958</v>
      </c>
      <c r="C326" t="s">
        <v>699</v>
      </c>
      <c r="D326" t="s">
        <v>2</v>
      </c>
      <c r="E326" t="s">
        <v>479</v>
      </c>
      <c r="F326">
        <v>0.85488442267371234</v>
      </c>
      <c r="G326" s="6"/>
    </row>
    <row r="327" spans="1:7" x14ac:dyDescent="0.15">
      <c r="A327" t="s">
        <v>290</v>
      </c>
      <c r="B327" t="s">
        <v>959</v>
      </c>
      <c r="C327" t="s">
        <v>699</v>
      </c>
      <c r="D327" t="s">
        <v>2</v>
      </c>
      <c r="E327" t="s">
        <v>479</v>
      </c>
      <c r="F327">
        <v>1.7097688453474247</v>
      </c>
      <c r="G327" s="6"/>
    </row>
    <row r="328" spans="1:7" x14ac:dyDescent="0.15">
      <c r="A328" t="s">
        <v>291</v>
      </c>
      <c r="B328" t="s">
        <v>960</v>
      </c>
      <c r="C328" t="s">
        <v>699</v>
      </c>
      <c r="D328" t="s">
        <v>2</v>
      </c>
      <c r="E328" t="s">
        <v>479</v>
      </c>
      <c r="F328">
        <v>0.42744221133685617</v>
      </c>
      <c r="G328" s="6"/>
    </row>
    <row r="329" spans="1:7" x14ac:dyDescent="0.15">
      <c r="A329" t="s">
        <v>556</v>
      </c>
      <c r="B329" t="s">
        <v>961</v>
      </c>
      <c r="C329" t="s">
        <v>699</v>
      </c>
      <c r="D329" t="s">
        <v>488</v>
      </c>
      <c r="E329" t="s">
        <v>479</v>
      </c>
      <c r="F329">
        <v>0</v>
      </c>
      <c r="G329" s="6"/>
    </row>
    <row r="330" spans="1:7" x14ac:dyDescent="0.15">
      <c r="A330" t="s">
        <v>289</v>
      </c>
      <c r="B330" t="s">
        <v>961</v>
      </c>
      <c r="C330" t="s">
        <v>700</v>
      </c>
      <c r="D330" t="s">
        <v>2</v>
      </c>
      <c r="E330" t="s">
        <v>9</v>
      </c>
      <c r="F330">
        <v>0.85488442267371234</v>
      </c>
      <c r="G330" s="6"/>
    </row>
    <row r="331" spans="1:7" x14ac:dyDescent="0.15">
      <c r="A331" t="s">
        <v>292</v>
      </c>
      <c r="B331" t="s">
        <v>962</v>
      </c>
      <c r="C331" t="s">
        <v>699</v>
      </c>
      <c r="D331" t="s">
        <v>2</v>
      </c>
      <c r="E331" t="s">
        <v>479</v>
      </c>
      <c r="F331">
        <v>0.80183214583688367</v>
      </c>
      <c r="G331" s="6"/>
    </row>
    <row r="332" spans="1:7" x14ac:dyDescent="0.15">
      <c r="A332" t="s">
        <v>294</v>
      </c>
      <c r="B332" t="s">
        <v>963</v>
      </c>
      <c r="C332" t="s">
        <v>699</v>
      </c>
      <c r="D332" t="s">
        <v>2</v>
      </c>
      <c r="E332" t="s">
        <v>479</v>
      </c>
      <c r="F332">
        <v>1.6036642916737673</v>
      </c>
      <c r="G332" s="6"/>
    </row>
    <row r="333" spans="1:7" x14ac:dyDescent="0.15">
      <c r="A333" t="s">
        <v>295</v>
      </c>
      <c r="B333" t="s">
        <v>964</v>
      </c>
      <c r="C333" t="s">
        <v>699</v>
      </c>
      <c r="D333" t="s">
        <v>2</v>
      </c>
      <c r="E333" t="s">
        <v>479</v>
      </c>
      <c r="F333">
        <v>0.40091607291844183</v>
      </c>
      <c r="G333" s="6"/>
    </row>
    <row r="334" spans="1:7" x14ac:dyDescent="0.15">
      <c r="A334" t="s">
        <v>557</v>
      </c>
      <c r="B334" t="s">
        <v>965</v>
      </c>
      <c r="C334" t="s">
        <v>699</v>
      </c>
      <c r="D334" t="s">
        <v>488</v>
      </c>
      <c r="E334" t="s">
        <v>479</v>
      </c>
      <c r="F334">
        <v>0</v>
      </c>
      <c r="G334" s="6"/>
    </row>
    <row r="335" spans="1:7" x14ac:dyDescent="0.15">
      <c r="A335" t="s">
        <v>293</v>
      </c>
      <c r="B335" t="s">
        <v>965</v>
      </c>
      <c r="C335" t="s">
        <v>700</v>
      </c>
      <c r="D335" t="s">
        <v>2</v>
      </c>
      <c r="E335" t="s">
        <v>9</v>
      </c>
      <c r="F335">
        <v>0.80183214583688367</v>
      </c>
      <c r="G335" s="6"/>
    </row>
    <row r="336" spans="1:7" x14ac:dyDescent="0.15">
      <c r="A336" t="s">
        <v>296</v>
      </c>
      <c r="B336" t="s">
        <v>966</v>
      </c>
      <c r="C336" t="s">
        <v>699</v>
      </c>
      <c r="D336" t="s">
        <v>2</v>
      </c>
      <c r="E336" t="s">
        <v>479</v>
      </c>
      <c r="F336">
        <v>0.90531307828706442</v>
      </c>
      <c r="G336" s="6"/>
    </row>
    <row r="337" spans="1:7" x14ac:dyDescent="0.15">
      <c r="A337" t="s">
        <v>298</v>
      </c>
      <c r="B337" t="s">
        <v>967</v>
      </c>
      <c r="C337" t="s">
        <v>699</v>
      </c>
      <c r="D337" t="s">
        <v>2</v>
      </c>
      <c r="E337" t="s">
        <v>479</v>
      </c>
      <c r="F337">
        <v>1.8106261565741288</v>
      </c>
      <c r="G337" s="6"/>
    </row>
    <row r="338" spans="1:7" x14ac:dyDescent="0.15">
      <c r="A338" t="s">
        <v>299</v>
      </c>
      <c r="B338" t="s">
        <v>968</v>
      </c>
      <c r="C338" t="s">
        <v>699</v>
      </c>
      <c r="D338" t="s">
        <v>2</v>
      </c>
      <c r="E338" t="s">
        <v>479</v>
      </c>
      <c r="F338">
        <v>0.45265653914353221</v>
      </c>
      <c r="G338" s="6"/>
    </row>
    <row r="339" spans="1:7" x14ac:dyDescent="0.15">
      <c r="A339" t="s">
        <v>558</v>
      </c>
      <c r="B339" t="s">
        <v>969</v>
      </c>
      <c r="C339" t="s">
        <v>699</v>
      </c>
      <c r="D339" t="s">
        <v>488</v>
      </c>
      <c r="E339" t="s">
        <v>479</v>
      </c>
      <c r="F339">
        <v>0</v>
      </c>
      <c r="G339" s="6"/>
    </row>
    <row r="340" spans="1:7" x14ac:dyDescent="0.15">
      <c r="A340" t="s">
        <v>297</v>
      </c>
      <c r="B340" t="s">
        <v>969</v>
      </c>
      <c r="C340" t="s">
        <v>700</v>
      </c>
      <c r="D340" t="s">
        <v>2</v>
      </c>
      <c r="E340" t="s">
        <v>9</v>
      </c>
      <c r="F340">
        <v>0.90531307828706442</v>
      </c>
      <c r="G340" s="6"/>
    </row>
    <row r="341" spans="1:7" x14ac:dyDescent="0.15">
      <c r="A341" t="s">
        <v>300</v>
      </c>
      <c r="B341" t="s">
        <v>970</v>
      </c>
      <c r="C341" t="s">
        <v>699</v>
      </c>
      <c r="D341" t="s">
        <v>2</v>
      </c>
      <c r="E341" t="s">
        <v>479</v>
      </c>
      <c r="F341">
        <v>0.83054768746904761</v>
      </c>
      <c r="G341" s="6"/>
    </row>
    <row r="342" spans="1:7" x14ac:dyDescent="0.15">
      <c r="A342" t="s">
        <v>302</v>
      </c>
      <c r="B342" t="s">
        <v>971</v>
      </c>
      <c r="C342" t="s">
        <v>699</v>
      </c>
      <c r="D342" t="s">
        <v>2</v>
      </c>
      <c r="E342" t="s">
        <v>479</v>
      </c>
      <c r="F342">
        <v>1.6610953749380952</v>
      </c>
      <c r="G342" s="6"/>
    </row>
    <row r="343" spans="1:7" x14ac:dyDescent="0.15">
      <c r="A343" t="s">
        <v>303</v>
      </c>
      <c r="B343" t="s">
        <v>972</v>
      </c>
      <c r="C343" t="s">
        <v>699</v>
      </c>
      <c r="D343" t="s">
        <v>2</v>
      </c>
      <c r="E343" t="s">
        <v>479</v>
      </c>
      <c r="F343">
        <v>0.41527384373452381</v>
      </c>
      <c r="G343" s="6"/>
    </row>
    <row r="344" spans="1:7" x14ac:dyDescent="0.15">
      <c r="A344" t="s">
        <v>559</v>
      </c>
      <c r="B344" t="s">
        <v>973</v>
      </c>
      <c r="C344" t="s">
        <v>699</v>
      </c>
      <c r="D344" t="s">
        <v>488</v>
      </c>
      <c r="E344" t="s">
        <v>479</v>
      </c>
      <c r="F344">
        <v>0</v>
      </c>
      <c r="G344" s="6"/>
    </row>
    <row r="345" spans="1:7" x14ac:dyDescent="0.15">
      <c r="A345" t="s">
        <v>301</v>
      </c>
      <c r="B345" t="s">
        <v>973</v>
      </c>
      <c r="C345" t="s">
        <v>700</v>
      </c>
      <c r="D345" t="s">
        <v>2</v>
      </c>
      <c r="E345" t="s">
        <v>9</v>
      </c>
      <c r="F345">
        <v>0.83054768746904761</v>
      </c>
      <c r="G345" s="6"/>
    </row>
    <row r="346" spans="1:7" x14ac:dyDescent="0.15">
      <c r="A346" t="s">
        <v>304</v>
      </c>
      <c r="B346" t="s">
        <v>974</v>
      </c>
      <c r="C346" t="s">
        <v>699</v>
      </c>
      <c r="D346" t="s">
        <v>2</v>
      </c>
      <c r="E346" t="s">
        <v>479</v>
      </c>
      <c r="F346">
        <v>0.96120612784078607</v>
      </c>
      <c r="G346" s="6"/>
    </row>
    <row r="347" spans="1:7" x14ac:dyDescent="0.15">
      <c r="A347" t="s">
        <v>306</v>
      </c>
      <c r="B347" t="s">
        <v>975</v>
      </c>
      <c r="C347" t="s">
        <v>699</v>
      </c>
      <c r="D347" t="s">
        <v>2</v>
      </c>
      <c r="E347" t="s">
        <v>479</v>
      </c>
      <c r="F347">
        <v>1.9224122556815721</v>
      </c>
      <c r="G347" s="6"/>
    </row>
    <row r="348" spans="1:7" x14ac:dyDescent="0.15">
      <c r="A348" t="s">
        <v>307</v>
      </c>
      <c r="B348" t="s">
        <v>976</v>
      </c>
      <c r="C348" t="s">
        <v>699</v>
      </c>
      <c r="D348" t="s">
        <v>2</v>
      </c>
      <c r="E348" t="s">
        <v>479</v>
      </c>
      <c r="F348">
        <v>0.48060306392039304</v>
      </c>
      <c r="G348" s="6"/>
    </row>
    <row r="349" spans="1:7" x14ac:dyDescent="0.15">
      <c r="A349" t="s">
        <v>560</v>
      </c>
      <c r="B349" t="s">
        <v>977</v>
      </c>
      <c r="C349" t="s">
        <v>699</v>
      </c>
      <c r="D349" t="s">
        <v>488</v>
      </c>
      <c r="E349" t="s">
        <v>479</v>
      </c>
      <c r="F349">
        <v>0</v>
      </c>
      <c r="G349" s="6"/>
    </row>
    <row r="350" spans="1:7" x14ac:dyDescent="0.15">
      <c r="A350" t="s">
        <v>305</v>
      </c>
      <c r="B350" t="s">
        <v>977</v>
      </c>
      <c r="C350" t="s">
        <v>700</v>
      </c>
      <c r="D350" t="s">
        <v>2</v>
      </c>
      <c r="E350" t="s">
        <v>9</v>
      </c>
      <c r="F350">
        <v>0.96120612784078607</v>
      </c>
      <c r="G350" s="6"/>
    </row>
    <row r="351" spans="1:7" x14ac:dyDescent="0.15">
      <c r="A351" t="s">
        <v>308</v>
      </c>
      <c r="B351" t="s">
        <v>978</v>
      </c>
      <c r="C351" t="s">
        <v>699</v>
      </c>
      <c r="D351" t="s">
        <v>2</v>
      </c>
      <c r="E351" t="s">
        <v>479</v>
      </c>
      <c r="F351">
        <v>0.97929860601340168</v>
      </c>
      <c r="G351" s="6"/>
    </row>
    <row r="352" spans="1:7" x14ac:dyDescent="0.15">
      <c r="A352" t="s">
        <v>310</v>
      </c>
      <c r="B352" t="s">
        <v>979</v>
      </c>
      <c r="C352" t="s">
        <v>699</v>
      </c>
      <c r="D352" t="s">
        <v>2</v>
      </c>
      <c r="E352" t="s">
        <v>479</v>
      </c>
      <c r="F352">
        <v>1.9585972120268034</v>
      </c>
      <c r="G352" s="6"/>
    </row>
    <row r="353" spans="1:7" x14ac:dyDescent="0.15">
      <c r="A353" t="s">
        <v>311</v>
      </c>
      <c r="B353" t="s">
        <v>980</v>
      </c>
      <c r="C353" t="s">
        <v>699</v>
      </c>
      <c r="D353" t="s">
        <v>2</v>
      </c>
      <c r="E353" t="s">
        <v>479</v>
      </c>
      <c r="F353">
        <v>0.48964930300670084</v>
      </c>
      <c r="G353" s="6"/>
    </row>
    <row r="354" spans="1:7" x14ac:dyDescent="0.15">
      <c r="A354" t="s">
        <v>561</v>
      </c>
      <c r="B354" t="s">
        <v>981</v>
      </c>
      <c r="C354" t="s">
        <v>699</v>
      </c>
      <c r="D354" t="s">
        <v>488</v>
      </c>
      <c r="E354" t="s">
        <v>479</v>
      </c>
      <c r="F354">
        <v>0</v>
      </c>
      <c r="G354" s="6"/>
    </row>
    <row r="355" spans="1:7" x14ac:dyDescent="0.15">
      <c r="A355" t="s">
        <v>309</v>
      </c>
      <c r="B355" t="s">
        <v>981</v>
      </c>
      <c r="C355" t="s">
        <v>700</v>
      </c>
      <c r="D355" t="s">
        <v>2</v>
      </c>
      <c r="E355" t="s">
        <v>9</v>
      </c>
      <c r="F355">
        <v>0.97929860601340168</v>
      </c>
      <c r="G355" s="6"/>
    </row>
    <row r="356" spans="1:7" x14ac:dyDescent="0.15">
      <c r="A356" t="s">
        <v>312</v>
      </c>
      <c r="B356" t="s">
        <v>982</v>
      </c>
      <c r="C356" t="s">
        <v>699</v>
      </c>
      <c r="D356" t="s">
        <v>2</v>
      </c>
      <c r="E356" t="s">
        <v>479</v>
      </c>
      <c r="F356">
        <v>0.62940178945978753</v>
      </c>
      <c r="G356" s="6"/>
    </row>
    <row r="357" spans="1:7" x14ac:dyDescent="0.15">
      <c r="A357" t="s">
        <v>314</v>
      </c>
      <c r="B357" t="s">
        <v>983</v>
      </c>
      <c r="C357" t="s">
        <v>699</v>
      </c>
      <c r="D357" t="s">
        <v>2</v>
      </c>
      <c r="E357" t="s">
        <v>479</v>
      </c>
      <c r="F357">
        <v>1.2588035789195751</v>
      </c>
      <c r="G357" s="6"/>
    </row>
    <row r="358" spans="1:7" x14ac:dyDescent="0.15">
      <c r="A358" t="s">
        <v>315</v>
      </c>
      <c r="B358" t="s">
        <v>984</v>
      </c>
      <c r="C358" t="s">
        <v>699</v>
      </c>
      <c r="D358" t="s">
        <v>2</v>
      </c>
      <c r="E358" t="s">
        <v>479</v>
      </c>
      <c r="F358">
        <v>0.31470089472989377</v>
      </c>
      <c r="G358" s="6"/>
    </row>
    <row r="359" spans="1:7" x14ac:dyDescent="0.15">
      <c r="A359" t="s">
        <v>562</v>
      </c>
      <c r="B359" t="s">
        <v>985</v>
      </c>
      <c r="C359" t="s">
        <v>699</v>
      </c>
      <c r="D359" t="s">
        <v>488</v>
      </c>
      <c r="E359" t="s">
        <v>479</v>
      </c>
      <c r="F359">
        <v>0</v>
      </c>
      <c r="G359" s="6"/>
    </row>
    <row r="360" spans="1:7" x14ac:dyDescent="0.15">
      <c r="A360" t="s">
        <v>313</v>
      </c>
      <c r="B360" t="s">
        <v>985</v>
      </c>
      <c r="C360" t="s">
        <v>700</v>
      </c>
      <c r="D360" t="s">
        <v>2</v>
      </c>
      <c r="E360" t="s">
        <v>9</v>
      </c>
      <c r="F360">
        <v>0.62940178945978753</v>
      </c>
      <c r="G360" s="6"/>
    </row>
    <row r="361" spans="1:7" x14ac:dyDescent="0.15">
      <c r="A361" t="s">
        <v>316</v>
      </c>
      <c r="B361" t="s">
        <v>986</v>
      </c>
      <c r="C361" t="s">
        <v>699</v>
      </c>
      <c r="D361" t="s">
        <v>2</v>
      </c>
      <c r="E361" t="s">
        <v>479</v>
      </c>
      <c r="F361">
        <v>1.2436812267128481</v>
      </c>
      <c r="G361" s="6"/>
    </row>
    <row r="362" spans="1:7" x14ac:dyDescent="0.15">
      <c r="A362" t="s">
        <v>318</v>
      </c>
      <c r="B362" t="s">
        <v>987</v>
      </c>
      <c r="C362" t="s">
        <v>699</v>
      </c>
      <c r="D362" t="s">
        <v>2</v>
      </c>
      <c r="E362" t="s">
        <v>479</v>
      </c>
      <c r="F362">
        <v>2.4873624534256962</v>
      </c>
      <c r="G362" s="6"/>
    </row>
    <row r="363" spans="1:7" x14ac:dyDescent="0.15">
      <c r="A363" t="s">
        <v>319</v>
      </c>
      <c r="B363" t="s">
        <v>988</v>
      </c>
      <c r="C363" t="s">
        <v>699</v>
      </c>
      <c r="D363" t="s">
        <v>2</v>
      </c>
      <c r="E363" t="s">
        <v>479</v>
      </c>
      <c r="F363">
        <v>0.62184061335642404</v>
      </c>
      <c r="G363" s="6"/>
    </row>
    <row r="364" spans="1:7" x14ac:dyDescent="0.15">
      <c r="A364" t="s">
        <v>563</v>
      </c>
      <c r="B364" t="s">
        <v>989</v>
      </c>
      <c r="C364" t="s">
        <v>699</v>
      </c>
      <c r="D364" t="s">
        <v>488</v>
      </c>
      <c r="E364" t="s">
        <v>479</v>
      </c>
      <c r="F364">
        <v>0</v>
      </c>
      <c r="G364" s="6"/>
    </row>
    <row r="365" spans="1:7" x14ac:dyDescent="0.15">
      <c r="A365" t="s">
        <v>317</v>
      </c>
      <c r="B365" t="s">
        <v>989</v>
      </c>
      <c r="C365" t="s">
        <v>700</v>
      </c>
      <c r="D365" t="s">
        <v>2</v>
      </c>
      <c r="E365" t="s">
        <v>9</v>
      </c>
      <c r="F365">
        <v>1.2436812267128481</v>
      </c>
      <c r="G365" s="6"/>
    </row>
    <row r="366" spans="1:7" x14ac:dyDescent="0.15">
      <c r="A366" t="s">
        <v>320</v>
      </c>
      <c r="B366" t="s">
        <v>990</v>
      </c>
      <c r="C366" t="s">
        <v>699</v>
      </c>
      <c r="D366" t="s">
        <v>2</v>
      </c>
      <c r="E366" t="s">
        <v>479</v>
      </c>
      <c r="F366">
        <v>1.2025776721551984</v>
      </c>
      <c r="G366" s="6"/>
    </row>
    <row r="367" spans="1:7" x14ac:dyDescent="0.15">
      <c r="A367" t="s">
        <v>322</v>
      </c>
      <c r="B367" t="s">
        <v>991</v>
      </c>
      <c r="C367" t="s">
        <v>699</v>
      </c>
      <c r="D367" t="s">
        <v>2</v>
      </c>
      <c r="E367" t="s">
        <v>479</v>
      </c>
      <c r="F367">
        <v>2.4051553443103968</v>
      </c>
      <c r="G367" s="6"/>
    </row>
    <row r="368" spans="1:7" x14ac:dyDescent="0.15">
      <c r="A368" t="s">
        <v>323</v>
      </c>
      <c r="B368" t="s">
        <v>992</v>
      </c>
      <c r="C368" t="s">
        <v>699</v>
      </c>
      <c r="D368" t="s">
        <v>2</v>
      </c>
      <c r="E368" t="s">
        <v>479</v>
      </c>
      <c r="F368">
        <v>0.6012888360775992</v>
      </c>
      <c r="G368" s="6"/>
    </row>
    <row r="369" spans="1:7" x14ac:dyDescent="0.15">
      <c r="A369" t="s">
        <v>564</v>
      </c>
      <c r="B369" t="s">
        <v>993</v>
      </c>
      <c r="C369" t="s">
        <v>699</v>
      </c>
      <c r="D369" t="s">
        <v>488</v>
      </c>
      <c r="E369" t="s">
        <v>479</v>
      </c>
      <c r="F369">
        <v>0</v>
      </c>
      <c r="G369" s="6"/>
    </row>
    <row r="370" spans="1:7" x14ac:dyDescent="0.15">
      <c r="A370" t="s">
        <v>321</v>
      </c>
      <c r="B370" t="s">
        <v>993</v>
      </c>
      <c r="C370" t="s">
        <v>700</v>
      </c>
      <c r="D370" t="s">
        <v>2</v>
      </c>
      <c r="E370" t="s">
        <v>9</v>
      </c>
      <c r="F370">
        <v>1.2025776721551984</v>
      </c>
      <c r="G370" s="6"/>
    </row>
    <row r="371" spans="1:7" x14ac:dyDescent="0.15">
      <c r="A371" t="s">
        <v>324</v>
      </c>
      <c r="B371" t="s">
        <v>994</v>
      </c>
      <c r="C371" t="s">
        <v>699</v>
      </c>
      <c r="D371" t="s">
        <v>2</v>
      </c>
      <c r="E371" t="s">
        <v>479</v>
      </c>
      <c r="F371">
        <v>0.56248563282065489</v>
      </c>
      <c r="G371" s="6"/>
    </row>
    <row r="372" spans="1:7" x14ac:dyDescent="0.15">
      <c r="A372" t="s">
        <v>326</v>
      </c>
      <c r="B372" t="s">
        <v>995</v>
      </c>
      <c r="C372" t="s">
        <v>699</v>
      </c>
      <c r="D372" t="s">
        <v>2</v>
      </c>
      <c r="E372" t="s">
        <v>479</v>
      </c>
      <c r="F372">
        <v>1.1249712656413098</v>
      </c>
      <c r="G372" s="6"/>
    </row>
    <row r="373" spans="1:7" x14ac:dyDescent="0.15">
      <c r="A373" t="s">
        <v>327</v>
      </c>
      <c r="B373" t="s">
        <v>996</v>
      </c>
      <c r="C373" t="s">
        <v>699</v>
      </c>
      <c r="D373" t="s">
        <v>2</v>
      </c>
      <c r="E373" t="s">
        <v>479</v>
      </c>
      <c r="F373">
        <v>0.28124281641032745</v>
      </c>
      <c r="G373" s="6"/>
    </row>
    <row r="374" spans="1:7" x14ac:dyDescent="0.15">
      <c r="A374" t="s">
        <v>565</v>
      </c>
      <c r="B374" t="s">
        <v>997</v>
      </c>
      <c r="C374" t="s">
        <v>699</v>
      </c>
      <c r="D374" t="s">
        <v>488</v>
      </c>
      <c r="E374" t="s">
        <v>479</v>
      </c>
      <c r="F374">
        <v>0</v>
      </c>
      <c r="G374" s="6"/>
    </row>
    <row r="375" spans="1:7" x14ac:dyDescent="0.15">
      <c r="A375" t="s">
        <v>325</v>
      </c>
      <c r="B375" t="s">
        <v>997</v>
      </c>
      <c r="C375" t="s">
        <v>700</v>
      </c>
      <c r="D375" t="s">
        <v>2</v>
      </c>
      <c r="E375" t="s">
        <v>9</v>
      </c>
      <c r="F375">
        <v>0.56248563282065489</v>
      </c>
      <c r="G375" s="6"/>
    </row>
    <row r="376" spans="1:7" x14ac:dyDescent="0.15">
      <c r="A376" t="s">
        <v>328</v>
      </c>
      <c r="B376" t="s">
        <v>998</v>
      </c>
      <c r="C376" t="s">
        <v>699</v>
      </c>
      <c r="D376" t="s">
        <v>2</v>
      </c>
      <c r="E376" t="s">
        <v>479</v>
      </c>
      <c r="F376">
        <v>0.54619881677114879</v>
      </c>
      <c r="G376" s="6"/>
    </row>
    <row r="377" spans="1:7" x14ac:dyDescent="0.15">
      <c r="A377" t="s">
        <v>330</v>
      </c>
      <c r="B377" t="s">
        <v>999</v>
      </c>
      <c r="C377" t="s">
        <v>699</v>
      </c>
      <c r="D377" t="s">
        <v>2</v>
      </c>
      <c r="E377" t="s">
        <v>479</v>
      </c>
      <c r="F377">
        <v>1.0923976335422976</v>
      </c>
      <c r="G377" s="6"/>
    </row>
    <row r="378" spans="1:7" x14ac:dyDescent="0.15">
      <c r="A378" t="s">
        <v>331</v>
      </c>
      <c r="B378" t="s">
        <v>1000</v>
      </c>
      <c r="C378" t="s">
        <v>699</v>
      </c>
      <c r="D378" t="s">
        <v>2</v>
      </c>
      <c r="E378" t="s">
        <v>479</v>
      </c>
      <c r="F378">
        <v>0.27309940838557439</v>
      </c>
      <c r="G378" s="6"/>
    </row>
    <row r="379" spans="1:7" x14ac:dyDescent="0.15">
      <c r="A379" t="s">
        <v>566</v>
      </c>
      <c r="B379" t="s">
        <v>1001</v>
      </c>
      <c r="C379" t="s">
        <v>699</v>
      </c>
      <c r="D379" t="s">
        <v>488</v>
      </c>
      <c r="E379" t="s">
        <v>479</v>
      </c>
      <c r="F379">
        <v>0</v>
      </c>
      <c r="G379" s="6"/>
    </row>
    <row r="380" spans="1:7" x14ac:dyDescent="0.15">
      <c r="A380" t="s">
        <v>332</v>
      </c>
      <c r="B380" t="s">
        <v>1002</v>
      </c>
      <c r="C380" t="s">
        <v>699</v>
      </c>
      <c r="D380" t="s">
        <v>2</v>
      </c>
      <c r="E380" t="s">
        <v>479</v>
      </c>
      <c r="F380">
        <v>1.6385964503134462E-3</v>
      </c>
      <c r="G380" s="6"/>
    </row>
    <row r="381" spans="1:7" x14ac:dyDescent="0.15">
      <c r="A381" t="s">
        <v>333</v>
      </c>
      <c r="B381" t="s">
        <v>1003</v>
      </c>
      <c r="C381" t="s">
        <v>699</v>
      </c>
      <c r="D381" t="s">
        <v>2</v>
      </c>
      <c r="E381" t="s">
        <v>479</v>
      </c>
      <c r="F381">
        <v>3.2771929006268925E-3</v>
      </c>
      <c r="G381" s="6"/>
    </row>
    <row r="382" spans="1:7" x14ac:dyDescent="0.15">
      <c r="A382" t="s">
        <v>334</v>
      </c>
      <c r="B382" t="s">
        <v>1004</v>
      </c>
      <c r="C382" t="s">
        <v>699</v>
      </c>
      <c r="D382" t="s">
        <v>2</v>
      </c>
      <c r="E382" t="s">
        <v>479</v>
      </c>
      <c r="F382">
        <v>3.8233917173980413E-3</v>
      </c>
      <c r="G382" s="6"/>
    </row>
    <row r="383" spans="1:7" x14ac:dyDescent="0.15">
      <c r="A383" t="s">
        <v>567</v>
      </c>
      <c r="B383" t="s">
        <v>1005</v>
      </c>
      <c r="C383" t="s">
        <v>699</v>
      </c>
      <c r="D383" t="s">
        <v>2</v>
      </c>
      <c r="E383" t="s">
        <v>479</v>
      </c>
      <c r="F383">
        <v>-1</v>
      </c>
      <c r="G383" s="8" t="s">
        <v>1244</v>
      </c>
    </row>
    <row r="384" spans="1:7" x14ac:dyDescent="0.15">
      <c r="A384" t="s">
        <v>329</v>
      </c>
      <c r="B384" t="s">
        <v>1001</v>
      </c>
      <c r="C384" t="s">
        <v>700</v>
      </c>
      <c r="D384" t="s">
        <v>2</v>
      </c>
      <c r="E384" t="s">
        <v>9</v>
      </c>
      <c r="F384">
        <v>0.54619881677114879</v>
      </c>
      <c r="G384" s="6"/>
    </row>
    <row r="385" spans="1:7" x14ac:dyDescent="0.15">
      <c r="A385" t="s">
        <v>568</v>
      </c>
      <c r="B385" t="s">
        <v>1006</v>
      </c>
      <c r="C385" t="s">
        <v>699</v>
      </c>
      <c r="D385" t="s">
        <v>2</v>
      </c>
      <c r="E385" t="s">
        <v>479</v>
      </c>
      <c r="F385">
        <v>-1</v>
      </c>
      <c r="G385" s="8" t="s">
        <v>1244</v>
      </c>
    </row>
    <row r="386" spans="1:7" x14ac:dyDescent="0.15">
      <c r="A386" t="s">
        <v>569</v>
      </c>
      <c r="B386" t="s">
        <v>1007</v>
      </c>
      <c r="C386" t="s">
        <v>699</v>
      </c>
      <c r="D386" t="s">
        <v>2</v>
      </c>
      <c r="E386" t="s">
        <v>479</v>
      </c>
      <c r="F386">
        <v>-1</v>
      </c>
      <c r="G386" s="8" t="s">
        <v>1244</v>
      </c>
    </row>
    <row r="387" spans="1:7" x14ac:dyDescent="0.15">
      <c r="A387" t="s">
        <v>570</v>
      </c>
      <c r="B387" t="s">
        <v>1008</v>
      </c>
      <c r="C387" t="s">
        <v>699</v>
      </c>
      <c r="D387" t="s">
        <v>2</v>
      </c>
      <c r="E387" t="s">
        <v>479</v>
      </c>
      <c r="F387">
        <v>-1</v>
      </c>
      <c r="G387" s="8" t="s">
        <v>1244</v>
      </c>
    </row>
    <row r="388" spans="1:7" x14ac:dyDescent="0.15">
      <c r="A388" t="s">
        <v>571</v>
      </c>
      <c r="B388" t="s">
        <v>1009</v>
      </c>
      <c r="C388" t="s">
        <v>699</v>
      </c>
      <c r="D388" t="s">
        <v>2</v>
      </c>
      <c r="E388" t="s">
        <v>479</v>
      </c>
      <c r="F388">
        <v>-1</v>
      </c>
      <c r="G388" s="8" t="s">
        <v>1244</v>
      </c>
    </row>
    <row r="389" spans="1:7" x14ac:dyDescent="0.15">
      <c r="A389" t="s">
        <v>335</v>
      </c>
      <c r="B389" t="s">
        <v>1010</v>
      </c>
      <c r="C389" t="s">
        <v>699</v>
      </c>
      <c r="D389" t="s">
        <v>2</v>
      </c>
      <c r="E389" t="s">
        <v>479</v>
      </c>
      <c r="F389">
        <v>0.48696160135441752</v>
      </c>
      <c r="G389" s="6"/>
    </row>
    <row r="390" spans="1:7" x14ac:dyDescent="0.15">
      <c r="A390" t="s">
        <v>337</v>
      </c>
      <c r="B390" t="s">
        <v>1011</v>
      </c>
      <c r="C390" t="s">
        <v>699</v>
      </c>
      <c r="D390" t="s">
        <v>2</v>
      </c>
      <c r="E390" t="s">
        <v>479</v>
      </c>
      <c r="F390">
        <v>0.97392320270883503</v>
      </c>
      <c r="G390" s="6"/>
    </row>
    <row r="391" spans="1:7" x14ac:dyDescent="0.15">
      <c r="A391" t="s">
        <v>338</v>
      </c>
      <c r="B391" t="s">
        <v>1012</v>
      </c>
      <c r="C391" t="s">
        <v>699</v>
      </c>
      <c r="D391" t="s">
        <v>2</v>
      </c>
      <c r="E391" t="s">
        <v>479</v>
      </c>
      <c r="F391">
        <v>0.24348080067720876</v>
      </c>
      <c r="G391" s="6"/>
    </row>
    <row r="392" spans="1:7" x14ac:dyDescent="0.15">
      <c r="A392" t="s">
        <v>572</v>
      </c>
      <c r="B392" t="s">
        <v>1013</v>
      </c>
      <c r="C392" t="s">
        <v>699</v>
      </c>
      <c r="D392" t="s">
        <v>488</v>
      </c>
      <c r="E392" t="s">
        <v>479</v>
      </c>
      <c r="F392">
        <v>0</v>
      </c>
      <c r="G392" s="6"/>
    </row>
    <row r="393" spans="1:7" x14ac:dyDescent="0.15">
      <c r="A393" t="s">
        <v>336</v>
      </c>
      <c r="B393" t="s">
        <v>1013</v>
      </c>
      <c r="C393" t="s">
        <v>700</v>
      </c>
      <c r="D393" t="s">
        <v>2</v>
      </c>
      <c r="E393" t="s">
        <v>9</v>
      </c>
      <c r="F393">
        <v>0.48696160135441752</v>
      </c>
      <c r="G393" s="6"/>
    </row>
    <row r="394" spans="1:7" x14ac:dyDescent="0.15">
      <c r="A394" t="s">
        <v>339</v>
      </c>
      <c r="B394" t="s">
        <v>1014</v>
      </c>
      <c r="C394" t="s">
        <v>699</v>
      </c>
      <c r="D394" t="s">
        <v>2</v>
      </c>
      <c r="E394" t="s">
        <v>479</v>
      </c>
      <c r="F394">
        <v>0.52397556948271096</v>
      </c>
      <c r="G394" s="6"/>
    </row>
    <row r="395" spans="1:7" x14ac:dyDescent="0.15">
      <c r="A395" t="s">
        <v>341</v>
      </c>
      <c r="B395" t="s">
        <v>1015</v>
      </c>
      <c r="C395" t="s">
        <v>699</v>
      </c>
      <c r="D395" t="s">
        <v>2</v>
      </c>
      <c r="E395" t="s">
        <v>479</v>
      </c>
      <c r="F395">
        <v>1.0479511389654219</v>
      </c>
      <c r="G395" s="6"/>
    </row>
    <row r="396" spans="1:7" x14ac:dyDescent="0.15">
      <c r="A396" t="s">
        <v>342</v>
      </c>
      <c r="B396" t="s">
        <v>1016</v>
      </c>
      <c r="C396" t="s">
        <v>699</v>
      </c>
      <c r="D396" t="s">
        <v>2</v>
      </c>
      <c r="E396" t="s">
        <v>479</v>
      </c>
      <c r="F396">
        <v>0.26198778474135548</v>
      </c>
      <c r="G396" s="6"/>
    </row>
    <row r="397" spans="1:7" x14ac:dyDescent="0.15">
      <c r="A397" t="s">
        <v>573</v>
      </c>
      <c r="B397" t="s">
        <v>1017</v>
      </c>
      <c r="C397" t="s">
        <v>699</v>
      </c>
      <c r="D397" t="s">
        <v>488</v>
      </c>
      <c r="E397" t="s">
        <v>479</v>
      </c>
      <c r="F397">
        <v>0</v>
      </c>
      <c r="G397" s="6"/>
    </row>
    <row r="398" spans="1:7" x14ac:dyDescent="0.15">
      <c r="A398" t="s">
        <v>340</v>
      </c>
      <c r="B398" t="s">
        <v>1017</v>
      </c>
      <c r="C398" t="s">
        <v>700</v>
      </c>
      <c r="D398" t="s">
        <v>2</v>
      </c>
      <c r="E398" t="s">
        <v>9</v>
      </c>
      <c r="F398">
        <v>0.52397556948271096</v>
      </c>
      <c r="G398" s="6"/>
    </row>
    <row r="399" spans="1:7" x14ac:dyDescent="0.15">
      <c r="A399" t="s">
        <v>343</v>
      </c>
      <c r="B399" t="s">
        <v>1018</v>
      </c>
      <c r="C399" t="s">
        <v>699</v>
      </c>
      <c r="D399" t="s">
        <v>2</v>
      </c>
      <c r="E399" t="s">
        <v>479</v>
      </c>
      <c r="F399">
        <v>0.46423108772746774</v>
      </c>
      <c r="G399" s="6"/>
    </row>
    <row r="400" spans="1:7" x14ac:dyDescent="0.15">
      <c r="A400" t="s">
        <v>345</v>
      </c>
      <c r="B400" t="s">
        <v>1019</v>
      </c>
      <c r="C400" t="s">
        <v>699</v>
      </c>
      <c r="D400" t="s">
        <v>2</v>
      </c>
      <c r="E400" t="s">
        <v>479</v>
      </c>
      <c r="F400">
        <v>0.92846217545493548</v>
      </c>
      <c r="G400" s="6"/>
    </row>
    <row r="401" spans="1:7" x14ac:dyDescent="0.15">
      <c r="A401" t="s">
        <v>346</v>
      </c>
      <c r="B401" t="s">
        <v>1020</v>
      </c>
      <c r="C401" t="s">
        <v>699</v>
      </c>
      <c r="D401" t="s">
        <v>2</v>
      </c>
      <c r="E401" t="s">
        <v>479</v>
      </c>
      <c r="F401">
        <v>0.23211554386373387</v>
      </c>
      <c r="G401" s="6"/>
    </row>
    <row r="402" spans="1:7" x14ac:dyDescent="0.15">
      <c r="A402" t="s">
        <v>574</v>
      </c>
      <c r="B402" t="s">
        <v>1021</v>
      </c>
      <c r="C402" t="s">
        <v>699</v>
      </c>
      <c r="D402" t="s">
        <v>488</v>
      </c>
      <c r="E402" t="s">
        <v>479</v>
      </c>
      <c r="F402">
        <v>0</v>
      </c>
      <c r="G402" s="6"/>
    </row>
    <row r="403" spans="1:7" x14ac:dyDescent="0.15">
      <c r="A403" t="s">
        <v>344</v>
      </c>
      <c r="B403" t="s">
        <v>1021</v>
      </c>
      <c r="C403" t="s">
        <v>700</v>
      </c>
      <c r="D403" t="s">
        <v>2</v>
      </c>
      <c r="E403" t="s">
        <v>9</v>
      </c>
      <c r="F403">
        <v>0.46423108772746774</v>
      </c>
      <c r="G403" s="6"/>
    </row>
    <row r="404" spans="1:7" x14ac:dyDescent="0.15">
      <c r="A404" t="s">
        <v>347</v>
      </c>
      <c r="B404" t="s">
        <v>1022</v>
      </c>
      <c r="C404" t="s">
        <v>699</v>
      </c>
      <c r="D404" t="s">
        <v>2</v>
      </c>
      <c r="E404" t="s">
        <v>479</v>
      </c>
      <c r="F404">
        <v>0.51396986776263376</v>
      </c>
      <c r="G404" s="6"/>
    </row>
    <row r="405" spans="1:7" x14ac:dyDescent="0.15">
      <c r="A405" t="s">
        <v>349</v>
      </c>
      <c r="B405" t="s">
        <v>1023</v>
      </c>
      <c r="C405" t="s">
        <v>699</v>
      </c>
      <c r="D405" t="s">
        <v>2</v>
      </c>
      <c r="E405" t="s">
        <v>479</v>
      </c>
      <c r="F405">
        <v>1.0279397355252675</v>
      </c>
      <c r="G405" s="6"/>
    </row>
    <row r="406" spans="1:7" x14ac:dyDescent="0.15">
      <c r="A406" t="s">
        <v>350</v>
      </c>
      <c r="B406" t="s">
        <v>1024</v>
      </c>
      <c r="C406" t="s">
        <v>699</v>
      </c>
      <c r="D406" t="s">
        <v>2</v>
      </c>
      <c r="E406" t="s">
        <v>479</v>
      </c>
      <c r="F406">
        <v>0.25698493388131688</v>
      </c>
      <c r="G406" s="6"/>
    </row>
    <row r="407" spans="1:7" x14ac:dyDescent="0.15">
      <c r="A407" t="s">
        <v>575</v>
      </c>
      <c r="B407" t="s">
        <v>1025</v>
      </c>
      <c r="C407" t="s">
        <v>699</v>
      </c>
      <c r="D407" t="s">
        <v>488</v>
      </c>
      <c r="E407" t="s">
        <v>479</v>
      </c>
      <c r="F407">
        <v>0</v>
      </c>
      <c r="G407" s="6"/>
    </row>
    <row r="408" spans="1:7" x14ac:dyDescent="0.15">
      <c r="A408" t="s">
        <v>351</v>
      </c>
      <c r="B408" t="s">
        <v>1026</v>
      </c>
      <c r="C408" t="s">
        <v>699</v>
      </c>
      <c r="D408" t="s">
        <v>2</v>
      </c>
      <c r="E408" t="s">
        <v>479</v>
      </c>
      <c r="F408">
        <v>5.396683611507655E-2</v>
      </c>
      <c r="G408" s="6"/>
    </row>
    <row r="409" spans="1:7" x14ac:dyDescent="0.15">
      <c r="A409" t="s">
        <v>348</v>
      </c>
      <c r="B409" t="s">
        <v>1025</v>
      </c>
      <c r="C409" t="s">
        <v>700</v>
      </c>
      <c r="D409" t="s">
        <v>2</v>
      </c>
      <c r="E409" t="s">
        <v>9</v>
      </c>
      <c r="F409">
        <v>0.51396986776263376</v>
      </c>
      <c r="G409" s="6"/>
    </row>
    <row r="410" spans="1:7" x14ac:dyDescent="0.15">
      <c r="A410" t="s">
        <v>352</v>
      </c>
      <c r="B410" t="s">
        <v>1027</v>
      </c>
      <c r="C410" t="s">
        <v>699</v>
      </c>
      <c r="D410" t="s">
        <v>2</v>
      </c>
      <c r="E410" t="s">
        <v>479</v>
      </c>
      <c r="F410">
        <v>0.53368262538256006</v>
      </c>
      <c r="G410" s="6"/>
    </row>
    <row r="411" spans="1:7" x14ac:dyDescent="0.15">
      <c r="A411" t="s">
        <v>354</v>
      </c>
      <c r="B411" t="s">
        <v>1028</v>
      </c>
      <c r="C411" t="s">
        <v>699</v>
      </c>
      <c r="D411" t="s">
        <v>2</v>
      </c>
      <c r="E411" t="s">
        <v>479</v>
      </c>
      <c r="F411">
        <v>1.0673652507651201</v>
      </c>
      <c r="G411" s="6"/>
    </row>
    <row r="412" spans="1:7" x14ac:dyDescent="0.15">
      <c r="A412" t="s">
        <v>355</v>
      </c>
      <c r="B412" t="s">
        <v>1029</v>
      </c>
      <c r="C412" t="s">
        <v>699</v>
      </c>
      <c r="D412" t="s">
        <v>2</v>
      </c>
      <c r="E412" t="s">
        <v>479</v>
      </c>
      <c r="F412">
        <v>0.26684131269128003</v>
      </c>
      <c r="G412" s="6"/>
    </row>
    <row r="413" spans="1:7" x14ac:dyDescent="0.15">
      <c r="A413" t="s">
        <v>576</v>
      </c>
      <c r="B413" t="s">
        <v>1030</v>
      </c>
      <c r="C413" t="s">
        <v>699</v>
      </c>
      <c r="D413" t="s">
        <v>488</v>
      </c>
      <c r="E413" t="s">
        <v>479</v>
      </c>
      <c r="F413">
        <v>0</v>
      </c>
      <c r="G413" s="6"/>
    </row>
    <row r="414" spans="1:7" x14ac:dyDescent="0.15">
      <c r="A414" t="s">
        <v>353</v>
      </c>
      <c r="B414" t="s">
        <v>1030</v>
      </c>
      <c r="C414" t="s">
        <v>700</v>
      </c>
      <c r="D414" t="s">
        <v>2</v>
      </c>
      <c r="E414" t="s">
        <v>9</v>
      </c>
      <c r="F414">
        <v>0.53368262538256006</v>
      </c>
      <c r="G414" s="6"/>
    </row>
    <row r="415" spans="1:7" x14ac:dyDescent="0.15">
      <c r="A415" t="s">
        <v>356</v>
      </c>
      <c r="B415" t="s">
        <v>1031</v>
      </c>
      <c r="C415" t="s">
        <v>699</v>
      </c>
      <c r="D415" t="s">
        <v>2</v>
      </c>
      <c r="E415" t="s">
        <v>479</v>
      </c>
      <c r="F415">
        <v>0.57673210552491638</v>
      </c>
      <c r="G415" s="6"/>
    </row>
    <row r="416" spans="1:7" x14ac:dyDescent="0.15">
      <c r="A416" t="s">
        <v>358</v>
      </c>
      <c r="B416" t="s">
        <v>1032</v>
      </c>
      <c r="C416" t="s">
        <v>699</v>
      </c>
      <c r="D416" t="s">
        <v>2</v>
      </c>
      <c r="E416" t="s">
        <v>479</v>
      </c>
      <c r="F416">
        <v>1.1534642110498328</v>
      </c>
      <c r="G416" s="6"/>
    </row>
    <row r="417" spans="1:7" x14ac:dyDescent="0.15">
      <c r="A417" t="s">
        <v>359</v>
      </c>
      <c r="B417" t="s">
        <v>1033</v>
      </c>
      <c r="C417" t="s">
        <v>699</v>
      </c>
      <c r="D417" t="s">
        <v>2</v>
      </c>
      <c r="E417" t="s">
        <v>479</v>
      </c>
      <c r="F417">
        <v>0.28836605276245819</v>
      </c>
      <c r="G417" s="6"/>
    </row>
    <row r="418" spans="1:7" x14ac:dyDescent="0.15">
      <c r="A418" t="s">
        <v>577</v>
      </c>
      <c r="B418" t="s">
        <v>1034</v>
      </c>
      <c r="C418" t="s">
        <v>699</v>
      </c>
      <c r="D418" t="s">
        <v>488</v>
      </c>
      <c r="E418" t="s">
        <v>479</v>
      </c>
      <c r="F418">
        <v>0</v>
      </c>
      <c r="G418" s="6"/>
    </row>
    <row r="419" spans="1:7" x14ac:dyDescent="0.15">
      <c r="A419" t="s">
        <v>357</v>
      </c>
      <c r="B419" t="s">
        <v>1034</v>
      </c>
      <c r="C419" t="s">
        <v>700</v>
      </c>
      <c r="D419" t="s">
        <v>2</v>
      </c>
      <c r="E419" t="s">
        <v>9</v>
      </c>
      <c r="F419">
        <v>0.57673210552491638</v>
      </c>
      <c r="G419" s="6"/>
    </row>
    <row r="420" spans="1:7" x14ac:dyDescent="0.15">
      <c r="A420" t="s">
        <v>360</v>
      </c>
      <c r="B420" t="s">
        <v>1035</v>
      </c>
      <c r="C420" t="s">
        <v>699</v>
      </c>
      <c r="D420" t="s">
        <v>2</v>
      </c>
      <c r="E420" t="s">
        <v>479</v>
      </c>
      <c r="F420">
        <v>0.55965219648658049</v>
      </c>
      <c r="G420" s="6"/>
    </row>
    <row r="421" spans="1:7" x14ac:dyDescent="0.15">
      <c r="A421" t="s">
        <v>362</v>
      </c>
      <c r="B421" t="s">
        <v>1036</v>
      </c>
      <c r="C421" t="s">
        <v>699</v>
      </c>
      <c r="D421" t="s">
        <v>2</v>
      </c>
      <c r="E421" t="s">
        <v>479</v>
      </c>
      <c r="F421">
        <v>1.119304392973161</v>
      </c>
      <c r="G421" s="6"/>
    </row>
    <row r="422" spans="1:7" x14ac:dyDescent="0.15">
      <c r="A422" t="s">
        <v>363</v>
      </c>
      <c r="B422" t="s">
        <v>1037</v>
      </c>
      <c r="C422" t="s">
        <v>699</v>
      </c>
      <c r="D422" t="s">
        <v>2</v>
      </c>
      <c r="E422" t="s">
        <v>479</v>
      </c>
      <c r="F422">
        <v>0.27982609824329024</v>
      </c>
      <c r="G422" s="6"/>
    </row>
    <row r="423" spans="1:7" x14ac:dyDescent="0.15">
      <c r="A423" t="s">
        <v>364</v>
      </c>
      <c r="B423" t="s">
        <v>1038</v>
      </c>
      <c r="C423" t="s">
        <v>699</v>
      </c>
      <c r="D423" t="s">
        <v>2</v>
      </c>
      <c r="E423" t="s">
        <v>479</v>
      </c>
      <c r="F423">
        <v>0.39175653754060635</v>
      </c>
      <c r="G423" s="6"/>
    </row>
    <row r="424" spans="1:7" x14ac:dyDescent="0.15">
      <c r="A424" t="s">
        <v>365</v>
      </c>
      <c r="B424" t="s">
        <v>1039</v>
      </c>
      <c r="C424" t="s">
        <v>699</v>
      </c>
      <c r="D424" t="s">
        <v>2</v>
      </c>
      <c r="E424" t="s">
        <v>479</v>
      </c>
      <c r="F424">
        <v>0.44772175718926438</v>
      </c>
      <c r="G424" s="6"/>
    </row>
    <row r="425" spans="1:7" x14ac:dyDescent="0.15">
      <c r="A425" t="s">
        <v>366</v>
      </c>
      <c r="B425" t="s">
        <v>1040</v>
      </c>
      <c r="C425" t="s">
        <v>699</v>
      </c>
      <c r="D425" t="s">
        <v>2</v>
      </c>
      <c r="E425" t="s">
        <v>479</v>
      </c>
      <c r="F425">
        <v>0.50368697683792241</v>
      </c>
      <c r="G425" s="6"/>
    </row>
    <row r="426" spans="1:7" x14ac:dyDescent="0.15">
      <c r="A426" t="s">
        <v>578</v>
      </c>
      <c r="B426" t="s">
        <v>1041</v>
      </c>
      <c r="C426" t="s">
        <v>699</v>
      </c>
      <c r="D426" t="s">
        <v>488</v>
      </c>
      <c r="E426" t="s">
        <v>479</v>
      </c>
      <c r="F426">
        <v>0</v>
      </c>
      <c r="G426" s="6"/>
    </row>
    <row r="427" spans="1:7" x14ac:dyDescent="0.15">
      <c r="A427" t="s">
        <v>367</v>
      </c>
      <c r="B427" t="s">
        <v>1042</v>
      </c>
      <c r="C427" t="s">
        <v>699</v>
      </c>
      <c r="D427" t="s">
        <v>2</v>
      </c>
      <c r="E427" t="s">
        <v>479</v>
      </c>
      <c r="F427">
        <v>0.55965219648658049</v>
      </c>
      <c r="G427" s="6"/>
    </row>
    <row r="428" spans="1:7" x14ac:dyDescent="0.15">
      <c r="A428" t="s">
        <v>361</v>
      </c>
      <c r="B428" t="s">
        <v>1041</v>
      </c>
      <c r="C428" t="s">
        <v>700</v>
      </c>
      <c r="D428" t="s">
        <v>2</v>
      </c>
      <c r="E428" t="s">
        <v>9</v>
      </c>
      <c r="F428">
        <v>0.55965219648658049</v>
      </c>
      <c r="G428" s="6"/>
    </row>
    <row r="429" spans="1:7" x14ac:dyDescent="0.15">
      <c r="A429" t="s">
        <v>368</v>
      </c>
      <c r="B429" t="s">
        <v>1043</v>
      </c>
      <c r="C429" t="s">
        <v>699</v>
      </c>
      <c r="D429" t="s">
        <v>2</v>
      </c>
      <c r="E429" t="s">
        <v>479</v>
      </c>
      <c r="F429">
        <v>0.95502292877952355</v>
      </c>
      <c r="G429" s="6"/>
    </row>
    <row r="430" spans="1:7" x14ac:dyDescent="0.15">
      <c r="A430" t="s">
        <v>370</v>
      </c>
      <c r="B430" t="s">
        <v>1044</v>
      </c>
      <c r="C430" t="s">
        <v>699</v>
      </c>
      <c r="D430" t="s">
        <v>2</v>
      </c>
      <c r="E430" t="s">
        <v>479</v>
      </c>
      <c r="F430">
        <v>1.9100458575590471</v>
      </c>
      <c r="G430" s="6"/>
    </row>
    <row r="431" spans="1:7" x14ac:dyDescent="0.15">
      <c r="A431" t="s">
        <v>371</v>
      </c>
      <c r="B431" t="s">
        <v>1045</v>
      </c>
      <c r="C431" t="s">
        <v>699</v>
      </c>
      <c r="D431" t="s">
        <v>2</v>
      </c>
      <c r="E431" t="s">
        <v>479</v>
      </c>
      <c r="F431">
        <v>0.47751146438976177</v>
      </c>
      <c r="G431" s="6"/>
    </row>
    <row r="432" spans="1:7" x14ac:dyDescent="0.15">
      <c r="A432" t="s">
        <v>372</v>
      </c>
      <c r="B432" t="s">
        <v>1046</v>
      </c>
      <c r="C432" t="s">
        <v>699</v>
      </c>
      <c r="D432" t="s">
        <v>2</v>
      </c>
      <c r="E432" t="s">
        <v>479</v>
      </c>
      <c r="F432">
        <v>9.5502292877952352E-2</v>
      </c>
      <c r="G432" s="6"/>
    </row>
    <row r="433" spans="1:7" x14ac:dyDescent="0.15">
      <c r="A433" t="s">
        <v>579</v>
      </c>
      <c r="B433" t="s">
        <v>1047</v>
      </c>
      <c r="C433" t="s">
        <v>699</v>
      </c>
      <c r="D433" t="s">
        <v>488</v>
      </c>
      <c r="E433" t="s">
        <v>479</v>
      </c>
      <c r="F433">
        <v>0</v>
      </c>
      <c r="G433" s="6"/>
    </row>
    <row r="434" spans="1:7" x14ac:dyDescent="0.15">
      <c r="A434" t="s">
        <v>373</v>
      </c>
      <c r="B434" t="s">
        <v>1048</v>
      </c>
      <c r="C434" t="s">
        <v>699</v>
      </c>
      <c r="D434" t="s">
        <v>2</v>
      </c>
      <c r="E434" t="s">
        <v>479</v>
      </c>
      <c r="F434">
        <v>3.0560733720944755E-2</v>
      </c>
      <c r="G434" s="6"/>
    </row>
    <row r="435" spans="1:7" x14ac:dyDescent="0.15">
      <c r="A435" t="s">
        <v>369</v>
      </c>
      <c r="B435" t="s">
        <v>1047</v>
      </c>
      <c r="C435" t="s">
        <v>700</v>
      </c>
      <c r="D435" t="s">
        <v>2</v>
      </c>
      <c r="E435" t="s">
        <v>9</v>
      </c>
      <c r="F435">
        <v>0.95502292877952355</v>
      </c>
      <c r="G435" s="6"/>
    </row>
    <row r="436" spans="1:7" x14ac:dyDescent="0.15">
      <c r="A436" t="s">
        <v>374</v>
      </c>
      <c r="B436" t="s">
        <v>1049</v>
      </c>
      <c r="C436" t="s">
        <v>699</v>
      </c>
      <c r="D436" t="s">
        <v>2</v>
      </c>
      <c r="E436" t="s">
        <v>479</v>
      </c>
      <c r="F436">
        <v>0.94450537875839213</v>
      </c>
      <c r="G436" s="6"/>
    </row>
    <row r="437" spans="1:7" x14ac:dyDescent="0.15">
      <c r="A437" t="s">
        <v>376</v>
      </c>
      <c r="B437" t="s">
        <v>1050</v>
      </c>
      <c r="C437" t="s">
        <v>699</v>
      </c>
      <c r="D437" t="s">
        <v>2</v>
      </c>
      <c r="E437" t="s">
        <v>479</v>
      </c>
      <c r="F437">
        <v>1.8890107575167843</v>
      </c>
      <c r="G437" s="6"/>
    </row>
    <row r="438" spans="1:7" x14ac:dyDescent="0.15">
      <c r="A438" t="s">
        <v>377</v>
      </c>
      <c r="B438" t="s">
        <v>1051</v>
      </c>
      <c r="C438" t="s">
        <v>699</v>
      </c>
      <c r="D438" t="s">
        <v>2</v>
      </c>
      <c r="E438" t="s">
        <v>479</v>
      </c>
      <c r="F438">
        <v>0.47225268937919607</v>
      </c>
      <c r="G438" s="6"/>
    </row>
    <row r="439" spans="1:7" x14ac:dyDescent="0.15">
      <c r="A439" t="s">
        <v>580</v>
      </c>
      <c r="B439" t="s">
        <v>1052</v>
      </c>
      <c r="C439" t="s">
        <v>699</v>
      </c>
      <c r="D439" t="s">
        <v>488</v>
      </c>
      <c r="E439" t="s">
        <v>479</v>
      </c>
      <c r="F439">
        <v>0</v>
      </c>
      <c r="G439" s="6"/>
    </row>
    <row r="440" spans="1:7" x14ac:dyDescent="0.15">
      <c r="A440" t="s">
        <v>375</v>
      </c>
      <c r="B440" t="s">
        <v>1052</v>
      </c>
      <c r="C440" t="s">
        <v>700</v>
      </c>
      <c r="D440" t="s">
        <v>2</v>
      </c>
      <c r="E440" t="s">
        <v>9</v>
      </c>
      <c r="F440">
        <v>0.94450537875839213</v>
      </c>
      <c r="G440" s="6"/>
    </row>
    <row r="441" spans="1:7" x14ac:dyDescent="0.15">
      <c r="A441" t="s">
        <v>378</v>
      </c>
      <c r="B441" t="s">
        <v>1053</v>
      </c>
      <c r="C441" t="s">
        <v>699</v>
      </c>
      <c r="D441" t="s">
        <v>2</v>
      </c>
      <c r="E441" t="s">
        <v>479</v>
      </c>
      <c r="F441">
        <v>1.0298944166283097</v>
      </c>
      <c r="G441" s="6"/>
    </row>
    <row r="442" spans="1:7" x14ac:dyDescent="0.15">
      <c r="A442" t="s">
        <v>380</v>
      </c>
      <c r="B442" t="s">
        <v>1054</v>
      </c>
      <c r="C442" t="s">
        <v>699</v>
      </c>
      <c r="D442" t="s">
        <v>2</v>
      </c>
      <c r="E442" t="s">
        <v>479</v>
      </c>
      <c r="F442">
        <v>2.0597888332566194</v>
      </c>
      <c r="G442" s="6"/>
    </row>
    <row r="443" spans="1:7" x14ac:dyDescent="0.15">
      <c r="A443" t="s">
        <v>381</v>
      </c>
      <c r="B443" t="s">
        <v>1055</v>
      </c>
      <c r="C443" t="s">
        <v>699</v>
      </c>
      <c r="D443" t="s">
        <v>2</v>
      </c>
      <c r="E443" t="s">
        <v>479</v>
      </c>
      <c r="F443">
        <v>0.51494720831415486</v>
      </c>
      <c r="G443" s="6"/>
    </row>
    <row r="444" spans="1:7" x14ac:dyDescent="0.15">
      <c r="A444" t="s">
        <v>581</v>
      </c>
      <c r="B444" t="s">
        <v>1056</v>
      </c>
      <c r="C444" t="s">
        <v>699</v>
      </c>
      <c r="D444" t="s">
        <v>488</v>
      </c>
      <c r="E444" t="s">
        <v>479</v>
      </c>
      <c r="F444">
        <v>0</v>
      </c>
      <c r="G444" s="6"/>
    </row>
    <row r="445" spans="1:7" x14ac:dyDescent="0.15">
      <c r="A445" t="s">
        <v>379</v>
      </c>
      <c r="B445" t="s">
        <v>1056</v>
      </c>
      <c r="C445" t="s">
        <v>700</v>
      </c>
      <c r="D445" t="s">
        <v>2</v>
      </c>
      <c r="E445" t="s">
        <v>9</v>
      </c>
      <c r="F445">
        <v>1.0298944166283097</v>
      </c>
      <c r="G445" s="6"/>
    </row>
    <row r="446" spans="1:7" x14ac:dyDescent="0.15">
      <c r="A446" t="s">
        <v>382</v>
      </c>
      <c r="B446" t="s">
        <v>1057</v>
      </c>
      <c r="C446" t="s">
        <v>699</v>
      </c>
      <c r="D446" t="s">
        <v>2</v>
      </c>
      <c r="E446" t="s">
        <v>479</v>
      </c>
      <c r="F446">
        <v>0.93450086156113266</v>
      </c>
      <c r="G446" s="6"/>
    </row>
    <row r="447" spans="1:7" x14ac:dyDescent="0.15">
      <c r="A447" t="s">
        <v>384</v>
      </c>
      <c r="B447" t="s">
        <v>1058</v>
      </c>
      <c r="C447" t="s">
        <v>699</v>
      </c>
      <c r="D447" t="s">
        <v>2</v>
      </c>
      <c r="E447" t="s">
        <v>479</v>
      </c>
      <c r="F447">
        <v>1.8690017231222653</v>
      </c>
      <c r="G447" s="6"/>
    </row>
    <row r="448" spans="1:7" x14ac:dyDescent="0.15">
      <c r="A448" t="s">
        <v>385</v>
      </c>
      <c r="B448" t="s">
        <v>1059</v>
      </c>
      <c r="C448" t="s">
        <v>699</v>
      </c>
      <c r="D448" t="s">
        <v>2</v>
      </c>
      <c r="E448" t="s">
        <v>479</v>
      </c>
      <c r="F448">
        <v>0.46725043078056633</v>
      </c>
      <c r="G448" s="6"/>
    </row>
    <row r="449" spans="1:7" x14ac:dyDescent="0.15">
      <c r="A449" t="s">
        <v>582</v>
      </c>
      <c r="B449" t="s">
        <v>1060</v>
      </c>
      <c r="C449" t="s">
        <v>699</v>
      </c>
      <c r="D449" t="s">
        <v>488</v>
      </c>
      <c r="E449" t="s">
        <v>479</v>
      </c>
      <c r="F449">
        <v>0</v>
      </c>
      <c r="G449" s="6"/>
    </row>
    <row r="450" spans="1:7" x14ac:dyDescent="0.15">
      <c r="A450" t="s">
        <v>383</v>
      </c>
      <c r="B450" t="s">
        <v>1060</v>
      </c>
      <c r="C450" t="s">
        <v>700</v>
      </c>
      <c r="D450" t="s">
        <v>2</v>
      </c>
      <c r="E450" t="s">
        <v>9</v>
      </c>
      <c r="F450">
        <v>0.93450086156113266</v>
      </c>
      <c r="G450" s="6"/>
    </row>
    <row r="451" spans="1:7" x14ac:dyDescent="0.15">
      <c r="A451" t="s">
        <v>386</v>
      </c>
      <c r="B451" t="s">
        <v>1061</v>
      </c>
      <c r="C451" t="s">
        <v>699</v>
      </c>
      <c r="D451" t="s">
        <v>2</v>
      </c>
      <c r="E451" t="s">
        <v>479</v>
      </c>
      <c r="F451">
        <v>1.0414804441553218</v>
      </c>
      <c r="G451" s="6"/>
    </row>
    <row r="452" spans="1:7" x14ac:dyDescent="0.15">
      <c r="A452" t="s">
        <v>388</v>
      </c>
      <c r="B452" t="s">
        <v>1062</v>
      </c>
      <c r="C452" t="s">
        <v>699</v>
      </c>
      <c r="D452" t="s">
        <v>2</v>
      </c>
      <c r="E452" t="s">
        <v>479</v>
      </c>
      <c r="F452">
        <v>2.0829608883106436</v>
      </c>
      <c r="G452" s="6"/>
    </row>
    <row r="453" spans="1:7" x14ac:dyDescent="0.15">
      <c r="A453" t="s">
        <v>389</v>
      </c>
      <c r="B453" t="s">
        <v>1063</v>
      </c>
      <c r="C453" t="s">
        <v>699</v>
      </c>
      <c r="D453" t="s">
        <v>2</v>
      </c>
      <c r="E453" t="s">
        <v>479</v>
      </c>
      <c r="F453">
        <v>0.52074022207766091</v>
      </c>
      <c r="G453" s="6"/>
    </row>
    <row r="454" spans="1:7" x14ac:dyDescent="0.15">
      <c r="A454" t="s">
        <v>583</v>
      </c>
      <c r="B454" t="s">
        <v>1064</v>
      </c>
      <c r="C454" t="s">
        <v>699</v>
      </c>
      <c r="D454" t="s">
        <v>488</v>
      </c>
      <c r="E454" t="s">
        <v>479</v>
      </c>
      <c r="F454">
        <v>0</v>
      </c>
      <c r="G454" s="6"/>
    </row>
    <row r="455" spans="1:7" x14ac:dyDescent="0.15">
      <c r="A455" t="s">
        <v>387</v>
      </c>
      <c r="B455" t="s">
        <v>1064</v>
      </c>
      <c r="C455" t="s">
        <v>700</v>
      </c>
      <c r="D455" t="s">
        <v>2</v>
      </c>
      <c r="E455" t="s">
        <v>9</v>
      </c>
      <c r="F455">
        <v>1.0414804441553218</v>
      </c>
      <c r="G455" s="6"/>
    </row>
    <row r="456" spans="1:7" x14ac:dyDescent="0.15">
      <c r="A456" t="s">
        <v>390</v>
      </c>
      <c r="B456" t="s">
        <v>1065</v>
      </c>
      <c r="C456" t="s">
        <v>699</v>
      </c>
      <c r="D456" t="s">
        <v>2</v>
      </c>
      <c r="E456" t="s">
        <v>479</v>
      </c>
      <c r="F456">
        <v>0.44408421052633185</v>
      </c>
      <c r="G456" s="6"/>
    </row>
    <row r="457" spans="1:7" x14ac:dyDescent="0.15">
      <c r="A457" t="s">
        <v>584</v>
      </c>
      <c r="B457" t="s">
        <v>1065</v>
      </c>
      <c r="C457" t="s">
        <v>699</v>
      </c>
      <c r="D457" t="s">
        <v>488</v>
      </c>
      <c r="E457" t="s">
        <v>479</v>
      </c>
      <c r="F457">
        <v>0</v>
      </c>
      <c r="G457" s="6"/>
    </row>
    <row r="458" spans="1:7" x14ac:dyDescent="0.15">
      <c r="A458" t="s">
        <v>391</v>
      </c>
      <c r="B458" t="s">
        <v>1065</v>
      </c>
      <c r="C458" t="s">
        <v>700</v>
      </c>
      <c r="D458" t="s">
        <v>2</v>
      </c>
      <c r="E458" t="s">
        <v>9</v>
      </c>
      <c r="F458">
        <v>0.44408421052633185</v>
      </c>
      <c r="G458" s="6"/>
    </row>
    <row r="459" spans="1:7" x14ac:dyDescent="0.15">
      <c r="A459" t="s">
        <v>394</v>
      </c>
      <c r="B459" t="s">
        <v>1066</v>
      </c>
      <c r="C459" t="s">
        <v>699</v>
      </c>
      <c r="D459" t="s">
        <v>2</v>
      </c>
      <c r="E459" t="s">
        <v>479</v>
      </c>
      <c r="F459">
        <v>2.5787159278824179</v>
      </c>
      <c r="G459" s="6"/>
    </row>
    <row r="460" spans="1:7" x14ac:dyDescent="0.15">
      <c r="A460" t="s">
        <v>396</v>
      </c>
      <c r="B460" t="s">
        <v>1067</v>
      </c>
      <c r="C460" t="s">
        <v>699</v>
      </c>
      <c r="D460" t="s">
        <v>2</v>
      </c>
      <c r="E460" t="s">
        <v>479</v>
      </c>
      <c r="F460">
        <v>2.6373231080615636</v>
      </c>
      <c r="G460" s="6"/>
    </row>
    <row r="461" spans="1:7" x14ac:dyDescent="0.15">
      <c r="A461" t="s">
        <v>397</v>
      </c>
      <c r="B461" t="s">
        <v>1068</v>
      </c>
      <c r="C461" t="s">
        <v>699</v>
      </c>
      <c r="D461" t="s">
        <v>2</v>
      </c>
      <c r="E461" t="s">
        <v>479</v>
      </c>
      <c r="F461">
        <v>2.788027285665081</v>
      </c>
      <c r="G461" s="6"/>
    </row>
    <row r="462" spans="1:7" x14ac:dyDescent="0.15">
      <c r="A462" t="s">
        <v>398</v>
      </c>
      <c r="B462" t="s">
        <v>1069</v>
      </c>
      <c r="C462" t="s">
        <v>699</v>
      </c>
      <c r="D462" t="s">
        <v>2</v>
      </c>
      <c r="E462" t="s">
        <v>479</v>
      </c>
      <c r="F462">
        <v>2.9554763718912125</v>
      </c>
      <c r="G462" s="6"/>
    </row>
    <row r="463" spans="1:7" x14ac:dyDescent="0.15">
      <c r="A463" t="s">
        <v>399</v>
      </c>
      <c r="B463" t="s">
        <v>1070</v>
      </c>
      <c r="C463" t="s">
        <v>699</v>
      </c>
      <c r="D463" t="s">
        <v>2</v>
      </c>
      <c r="E463" t="s">
        <v>479</v>
      </c>
      <c r="F463">
        <v>3.5197797924732739</v>
      </c>
      <c r="G463" s="6"/>
    </row>
    <row r="464" spans="1:7" x14ac:dyDescent="0.15">
      <c r="A464" t="s">
        <v>400</v>
      </c>
      <c r="B464" t="s">
        <v>1071</v>
      </c>
      <c r="C464" t="s">
        <v>699</v>
      </c>
      <c r="D464" t="s">
        <v>2</v>
      </c>
      <c r="E464" t="s">
        <v>479</v>
      </c>
      <c r="F464">
        <v>9.3101691941728859</v>
      </c>
      <c r="G464" s="6"/>
    </row>
    <row r="465" spans="1:7" x14ac:dyDescent="0.15">
      <c r="A465" t="s">
        <v>585</v>
      </c>
      <c r="B465" t="s">
        <v>1066</v>
      </c>
      <c r="C465" t="s">
        <v>699</v>
      </c>
      <c r="D465" t="s">
        <v>488</v>
      </c>
      <c r="E465" t="s">
        <v>479</v>
      </c>
      <c r="F465">
        <v>0</v>
      </c>
      <c r="G465" s="6"/>
    </row>
    <row r="466" spans="1:7" x14ac:dyDescent="0.15">
      <c r="A466" t="s">
        <v>401</v>
      </c>
      <c r="B466" t="s">
        <v>1072</v>
      </c>
      <c r="C466" t="s">
        <v>699</v>
      </c>
      <c r="D466" t="s">
        <v>2</v>
      </c>
      <c r="E466" t="s">
        <v>479</v>
      </c>
      <c r="F466">
        <v>1.0180904442548766</v>
      </c>
      <c r="G466" s="6"/>
    </row>
    <row r="467" spans="1:7" x14ac:dyDescent="0.15">
      <c r="A467" t="s">
        <v>402</v>
      </c>
      <c r="B467" t="s">
        <v>1073</v>
      </c>
      <c r="C467" t="s">
        <v>699</v>
      </c>
      <c r="D467" t="s">
        <v>2</v>
      </c>
      <c r="E467" t="s">
        <v>479</v>
      </c>
      <c r="F467">
        <v>1.3948508882636714</v>
      </c>
      <c r="G467" s="6"/>
    </row>
    <row r="468" spans="1:7" x14ac:dyDescent="0.15">
      <c r="A468" t="s">
        <v>395</v>
      </c>
      <c r="B468" t="s">
        <v>1066</v>
      </c>
      <c r="C468" t="s">
        <v>700</v>
      </c>
      <c r="D468" t="s">
        <v>2</v>
      </c>
      <c r="E468" t="s">
        <v>9</v>
      </c>
      <c r="F468">
        <v>1.6744908622613102</v>
      </c>
      <c r="G468" s="6"/>
    </row>
    <row r="469" spans="1:7" x14ac:dyDescent="0.15">
      <c r="A469" t="s">
        <v>403</v>
      </c>
      <c r="B469" t="s">
        <v>846</v>
      </c>
      <c r="C469" t="s">
        <v>699</v>
      </c>
      <c r="D469" t="s">
        <v>2</v>
      </c>
      <c r="E469" t="s">
        <v>479</v>
      </c>
      <c r="F469">
        <v>2.7730965986819993</v>
      </c>
      <c r="G469" s="6"/>
    </row>
    <row r="470" spans="1:7" x14ac:dyDescent="0.15">
      <c r="A470" t="s">
        <v>404</v>
      </c>
      <c r="B470" t="s">
        <v>848</v>
      </c>
      <c r="C470" t="s">
        <v>700</v>
      </c>
      <c r="D470" t="s">
        <v>2</v>
      </c>
      <c r="E470" t="s">
        <v>9</v>
      </c>
      <c r="F470">
        <v>1.3865482993409997</v>
      </c>
      <c r="G470" s="6"/>
    </row>
    <row r="471" spans="1:7" x14ac:dyDescent="0.15">
      <c r="A471" t="s">
        <v>405</v>
      </c>
      <c r="B471" t="s">
        <v>853</v>
      </c>
      <c r="C471" t="s">
        <v>699</v>
      </c>
      <c r="D471" t="s">
        <v>2</v>
      </c>
      <c r="E471" t="s">
        <v>479</v>
      </c>
      <c r="F471">
        <v>3.2053456352296328</v>
      </c>
      <c r="G471" s="6"/>
    </row>
    <row r="472" spans="1:7" x14ac:dyDescent="0.15">
      <c r="A472" t="s">
        <v>586</v>
      </c>
      <c r="B472" t="s">
        <v>856</v>
      </c>
      <c r="C472" t="s">
        <v>699</v>
      </c>
      <c r="D472" t="s">
        <v>488</v>
      </c>
      <c r="E472" t="s">
        <v>479</v>
      </c>
      <c r="F472">
        <v>0</v>
      </c>
      <c r="G472" s="6"/>
    </row>
    <row r="473" spans="1:7" x14ac:dyDescent="0.15">
      <c r="A473" t="s">
        <v>406</v>
      </c>
      <c r="B473" t="s">
        <v>856</v>
      </c>
      <c r="C473" t="s">
        <v>700</v>
      </c>
      <c r="D473" t="s">
        <v>2</v>
      </c>
      <c r="E473" t="s">
        <v>9</v>
      </c>
      <c r="F473">
        <v>1.6026728176148164</v>
      </c>
      <c r="G473" s="6"/>
    </row>
    <row r="474" spans="1:7" x14ac:dyDescent="0.15">
      <c r="A474" t="s">
        <v>407</v>
      </c>
      <c r="B474" t="s">
        <v>920</v>
      </c>
      <c r="C474" t="s">
        <v>699</v>
      </c>
      <c r="D474" t="s">
        <v>2</v>
      </c>
      <c r="E474" t="s">
        <v>479</v>
      </c>
      <c r="F474">
        <v>1.1354815372471236</v>
      </c>
      <c r="G474" s="6"/>
    </row>
    <row r="475" spans="1:7" x14ac:dyDescent="0.15">
      <c r="A475" t="s">
        <v>408</v>
      </c>
      <c r="B475" t="s">
        <v>922</v>
      </c>
      <c r="C475" t="s">
        <v>700</v>
      </c>
      <c r="D475" t="s">
        <v>2</v>
      </c>
      <c r="E475" t="s">
        <v>9</v>
      </c>
      <c r="F475">
        <v>0.56774076862356182</v>
      </c>
      <c r="G475" s="6"/>
    </row>
    <row r="476" spans="1:7" x14ac:dyDescent="0.15">
      <c r="A476" t="s">
        <v>587</v>
      </c>
      <c r="B476" t="s">
        <v>1074</v>
      </c>
      <c r="C476" t="s">
        <v>702</v>
      </c>
      <c r="D476" t="s">
        <v>703</v>
      </c>
      <c r="E476" t="s">
        <v>479</v>
      </c>
      <c r="F476">
        <v>0</v>
      </c>
      <c r="G476" s="6"/>
    </row>
    <row r="477" spans="1:7" x14ac:dyDescent="0.15">
      <c r="A477" t="s">
        <v>588</v>
      </c>
      <c r="B477" t="s">
        <v>800</v>
      </c>
      <c r="C477" t="s">
        <v>699</v>
      </c>
      <c r="D477" t="s">
        <v>2</v>
      </c>
      <c r="E477" t="s">
        <v>479</v>
      </c>
      <c r="F477">
        <v>-1</v>
      </c>
      <c r="G477" s="8" t="s">
        <v>1244</v>
      </c>
    </row>
    <row r="478" spans="1:7" x14ac:dyDescent="0.15">
      <c r="A478" t="s">
        <v>409</v>
      </c>
      <c r="B478" t="s">
        <v>800</v>
      </c>
      <c r="C478" t="s">
        <v>700</v>
      </c>
      <c r="D478" t="s">
        <v>2</v>
      </c>
      <c r="E478" t="s">
        <v>9</v>
      </c>
      <c r="F478">
        <v>1.681476799357122</v>
      </c>
      <c r="G478" s="6"/>
    </row>
    <row r="479" spans="1:7" x14ac:dyDescent="0.15">
      <c r="A479" t="s">
        <v>589</v>
      </c>
      <c r="B479" t="s">
        <v>1075</v>
      </c>
      <c r="C479" t="s">
        <v>699</v>
      </c>
      <c r="D479" t="s">
        <v>2</v>
      </c>
      <c r="E479" t="s">
        <v>479</v>
      </c>
      <c r="F479">
        <v>-1</v>
      </c>
      <c r="G479" s="8" t="s">
        <v>1244</v>
      </c>
    </row>
    <row r="480" spans="1:7" x14ac:dyDescent="0.15">
      <c r="A480" t="s">
        <v>590</v>
      </c>
      <c r="B480" t="s">
        <v>1076</v>
      </c>
      <c r="C480" t="s">
        <v>702</v>
      </c>
      <c r="D480" t="s">
        <v>703</v>
      </c>
      <c r="E480" t="s">
        <v>18</v>
      </c>
      <c r="F480">
        <v>0</v>
      </c>
      <c r="G480" s="6"/>
    </row>
    <row r="481" spans="1:7" x14ac:dyDescent="0.15">
      <c r="A481" t="s">
        <v>693</v>
      </c>
      <c r="B481" t="s">
        <v>1077</v>
      </c>
      <c r="C481" t="s">
        <v>702</v>
      </c>
      <c r="D481" t="s">
        <v>703</v>
      </c>
      <c r="E481" t="s">
        <v>479</v>
      </c>
      <c r="F481">
        <v>0</v>
      </c>
      <c r="G481" s="6"/>
    </row>
    <row r="482" spans="1:7" x14ac:dyDescent="0.15">
      <c r="A482" t="s">
        <v>410</v>
      </c>
      <c r="B482" t="s">
        <v>1078</v>
      </c>
      <c r="C482" t="s">
        <v>699</v>
      </c>
      <c r="D482" t="s">
        <v>2</v>
      </c>
      <c r="E482" t="s">
        <v>479</v>
      </c>
      <c r="F482">
        <v>244.46694146752606</v>
      </c>
      <c r="G482" s="6"/>
    </row>
    <row r="483" spans="1:7" x14ac:dyDescent="0.15">
      <c r="A483" t="s">
        <v>591</v>
      </c>
      <c r="B483" t="s">
        <v>1078</v>
      </c>
      <c r="C483" t="s">
        <v>699</v>
      </c>
      <c r="D483" t="s">
        <v>2</v>
      </c>
      <c r="E483" t="s">
        <v>479</v>
      </c>
      <c r="F483">
        <v>-1</v>
      </c>
      <c r="G483" s="8" t="s">
        <v>1244</v>
      </c>
    </row>
    <row r="484" spans="1:7" x14ac:dyDescent="0.15">
      <c r="A484" t="s">
        <v>411</v>
      </c>
      <c r="B484" t="s">
        <v>1078</v>
      </c>
      <c r="C484" t="s">
        <v>700</v>
      </c>
      <c r="D484" t="s">
        <v>2</v>
      </c>
      <c r="E484" t="s">
        <v>9</v>
      </c>
      <c r="F484">
        <v>0.55560668515346834</v>
      </c>
      <c r="G484" s="6"/>
    </row>
    <row r="485" spans="1:7" x14ac:dyDescent="0.15">
      <c r="A485" t="s">
        <v>592</v>
      </c>
      <c r="B485" t="s">
        <v>1079</v>
      </c>
      <c r="C485" t="s">
        <v>699</v>
      </c>
      <c r="D485" t="s">
        <v>2</v>
      </c>
      <c r="E485" t="s">
        <v>479</v>
      </c>
      <c r="F485">
        <v>-1</v>
      </c>
      <c r="G485" s="8" t="s">
        <v>1244</v>
      </c>
    </row>
    <row r="486" spans="1:7" x14ac:dyDescent="0.15">
      <c r="A486" t="s">
        <v>593</v>
      </c>
      <c r="B486" t="s">
        <v>1080</v>
      </c>
      <c r="C486" t="s">
        <v>699</v>
      </c>
      <c r="D486" t="s">
        <v>2</v>
      </c>
      <c r="E486" t="s">
        <v>479</v>
      </c>
      <c r="F486">
        <v>-1</v>
      </c>
      <c r="G486" s="8" t="s">
        <v>1244</v>
      </c>
    </row>
    <row r="487" spans="1:7" x14ac:dyDescent="0.15">
      <c r="A487" t="s">
        <v>594</v>
      </c>
      <c r="B487" t="s">
        <v>1080</v>
      </c>
      <c r="C487" t="s">
        <v>699</v>
      </c>
      <c r="D487" t="s">
        <v>2</v>
      </c>
      <c r="E487" t="s">
        <v>479</v>
      </c>
      <c r="F487">
        <v>-1</v>
      </c>
      <c r="G487" s="8" t="s">
        <v>1244</v>
      </c>
    </row>
    <row r="488" spans="1:7" x14ac:dyDescent="0.15">
      <c r="A488" t="s">
        <v>595</v>
      </c>
      <c r="B488" t="s">
        <v>1081</v>
      </c>
      <c r="C488" t="s">
        <v>699</v>
      </c>
      <c r="D488" t="s">
        <v>2</v>
      </c>
      <c r="E488" t="s">
        <v>479</v>
      </c>
      <c r="F488">
        <v>-1</v>
      </c>
      <c r="G488" s="8" t="s">
        <v>1244</v>
      </c>
    </row>
    <row r="489" spans="1:7" x14ac:dyDescent="0.15">
      <c r="A489" t="s">
        <v>596</v>
      </c>
      <c r="B489" t="s">
        <v>1082</v>
      </c>
      <c r="C489" t="s">
        <v>699</v>
      </c>
      <c r="D489" t="s">
        <v>2</v>
      </c>
      <c r="E489" t="s">
        <v>479</v>
      </c>
      <c r="F489">
        <v>-1</v>
      </c>
      <c r="G489" s="8" t="s">
        <v>1244</v>
      </c>
    </row>
    <row r="490" spans="1:7" x14ac:dyDescent="0.15">
      <c r="A490" t="s">
        <v>597</v>
      </c>
      <c r="B490" t="s">
        <v>1083</v>
      </c>
      <c r="C490" t="s">
        <v>699</v>
      </c>
      <c r="D490" t="s">
        <v>2</v>
      </c>
      <c r="E490" t="s">
        <v>479</v>
      </c>
      <c r="F490">
        <v>-1</v>
      </c>
      <c r="G490" s="8" t="s">
        <v>1244</v>
      </c>
    </row>
    <row r="491" spans="1:7" x14ac:dyDescent="0.15">
      <c r="A491" t="s">
        <v>598</v>
      </c>
      <c r="B491" t="s">
        <v>1084</v>
      </c>
      <c r="C491" t="s">
        <v>699</v>
      </c>
      <c r="D491" t="s">
        <v>2</v>
      </c>
      <c r="E491" t="s">
        <v>479</v>
      </c>
      <c r="F491">
        <v>-1</v>
      </c>
      <c r="G491" s="8" t="s">
        <v>1244</v>
      </c>
    </row>
    <row r="492" spans="1:7" x14ac:dyDescent="0.15">
      <c r="A492" t="s">
        <v>599</v>
      </c>
      <c r="B492" t="s">
        <v>1084</v>
      </c>
      <c r="C492" t="s">
        <v>699</v>
      </c>
      <c r="D492" t="s">
        <v>2</v>
      </c>
      <c r="E492" t="s">
        <v>479</v>
      </c>
      <c r="F492">
        <v>-1</v>
      </c>
      <c r="G492" s="8" t="s">
        <v>1244</v>
      </c>
    </row>
    <row r="493" spans="1:7" x14ac:dyDescent="0.15">
      <c r="A493" t="s">
        <v>600</v>
      </c>
      <c r="B493" t="s">
        <v>1085</v>
      </c>
      <c r="C493" t="s">
        <v>699</v>
      </c>
      <c r="D493" t="s">
        <v>2</v>
      </c>
      <c r="E493" t="s">
        <v>479</v>
      </c>
      <c r="F493">
        <v>-1</v>
      </c>
      <c r="G493" s="8" t="s">
        <v>1244</v>
      </c>
    </row>
    <row r="494" spans="1:7" x14ac:dyDescent="0.15">
      <c r="A494" t="s">
        <v>601</v>
      </c>
      <c r="B494" t="s">
        <v>1086</v>
      </c>
      <c r="C494" t="s">
        <v>699</v>
      </c>
      <c r="D494" t="s">
        <v>2</v>
      </c>
      <c r="E494" t="s">
        <v>479</v>
      </c>
      <c r="F494">
        <v>-1</v>
      </c>
      <c r="G494" s="8" t="s">
        <v>1244</v>
      </c>
    </row>
    <row r="495" spans="1:7" x14ac:dyDescent="0.15">
      <c r="A495" t="s">
        <v>602</v>
      </c>
      <c r="B495" t="s">
        <v>1086</v>
      </c>
      <c r="C495" t="s">
        <v>699</v>
      </c>
      <c r="D495" t="s">
        <v>2</v>
      </c>
      <c r="E495" t="s">
        <v>479</v>
      </c>
      <c r="F495">
        <v>-1</v>
      </c>
      <c r="G495" s="8" t="s">
        <v>1244</v>
      </c>
    </row>
    <row r="496" spans="1:7" x14ac:dyDescent="0.15">
      <c r="A496" t="s">
        <v>603</v>
      </c>
      <c r="B496" t="s">
        <v>1086</v>
      </c>
      <c r="C496" t="s">
        <v>699</v>
      </c>
      <c r="D496" t="s">
        <v>2</v>
      </c>
      <c r="E496" t="s">
        <v>479</v>
      </c>
      <c r="F496">
        <v>-1</v>
      </c>
      <c r="G496" s="8" t="s">
        <v>1244</v>
      </c>
    </row>
    <row r="497" spans="1:7" x14ac:dyDescent="0.15">
      <c r="A497" t="s">
        <v>604</v>
      </c>
      <c r="B497" t="s">
        <v>1087</v>
      </c>
      <c r="C497" t="s">
        <v>699</v>
      </c>
      <c r="D497" t="s">
        <v>2</v>
      </c>
      <c r="E497" t="s">
        <v>479</v>
      </c>
      <c r="F497">
        <v>-1</v>
      </c>
      <c r="G497" s="8" t="s">
        <v>1244</v>
      </c>
    </row>
    <row r="498" spans="1:7" x14ac:dyDescent="0.15">
      <c r="A498" t="s">
        <v>605</v>
      </c>
      <c r="B498" t="s">
        <v>1088</v>
      </c>
      <c r="C498" t="s">
        <v>699</v>
      </c>
      <c r="D498" t="s">
        <v>2</v>
      </c>
      <c r="E498" t="s">
        <v>479</v>
      </c>
      <c r="F498">
        <v>-1</v>
      </c>
      <c r="G498" s="8" t="s">
        <v>1244</v>
      </c>
    </row>
    <row r="499" spans="1:7" x14ac:dyDescent="0.15">
      <c r="A499" t="s">
        <v>606</v>
      </c>
      <c r="B499" t="s">
        <v>1088</v>
      </c>
      <c r="C499" t="s">
        <v>699</v>
      </c>
      <c r="D499" t="s">
        <v>2</v>
      </c>
      <c r="E499" t="s">
        <v>479</v>
      </c>
      <c r="F499">
        <v>-1</v>
      </c>
      <c r="G499" s="8" t="s">
        <v>1244</v>
      </c>
    </row>
    <row r="500" spans="1:7" x14ac:dyDescent="0.15">
      <c r="A500" t="s">
        <v>607</v>
      </c>
      <c r="B500" t="s">
        <v>1082</v>
      </c>
      <c r="C500" t="s">
        <v>699</v>
      </c>
      <c r="D500" t="s">
        <v>2</v>
      </c>
      <c r="E500" t="s">
        <v>479</v>
      </c>
      <c r="F500">
        <v>-1</v>
      </c>
      <c r="G500" s="8" t="s">
        <v>1244</v>
      </c>
    </row>
    <row r="501" spans="1:7" x14ac:dyDescent="0.15">
      <c r="A501" t="s">
        <v>608</v>
      </c>
      <c r="B501" t="s">
        <v>1089</v>
      </c>
      <c r="C501" t="s">
        <v>699</v>
      </c>
      <c r="D501" t="s">
        <v>2</v>
      </c>
      <c r="E501" t="s">
        <v>479</v>
      </c>
      <c r="F501">
        <v>-1</v>
      </c>
      <c r="G501" s="8" t="s">
        <v>1244</v>
      </c>
    </row>
    <row r="502" spans="1:7" x14ac:dyDescent="0.15">
      <c r="A502" t="s">
        <v>609</v>
      </c>
      <c r="B502" t="s">
        <v>1090</v>
      </c>
      <c r="C502" t="s">
        <v>699</v>
      </c>
      <c r="D502" t="s">
        <v>2</v>
      </c>
      <c r="E502" t="s">
        <v>479</v>
      </c>
      <c r="F502">
        <v>-1</v>
      </c>
      <c r="G502" s="8" t="s">
        <v>1244</v>
      </c>
    </row>
    <row r="503" spans="1:7" x14ac:dyDescent="0.15">
      <c r="A503" t="s">
        <v>610</v>
      </c>
      <c r="B503" t="s">
        <v>1090</v>
      </c>
      <c r="C503" t="s">
        <v>699</v>
      </c>
      <c r="D503" t="s">
        <v>2</v>
      </c>
      <c r="E503" t="s">
        <v>479</v>
      </c>
      <c r="F503">
        <v>-1</v>
      </c>
      <c r="G503" s="8" t="s">
        <v>1244</v>
      </c>
    </row>
    <row r="504" spans="1:7" x14ac:dyDescent="0.15">
      <c r="A504" t="s">
        <v>413</v>
      </c>
      <c r="B504" t="s">
        <v>1091</v>
      </c>
      <c r="C504" t="s">
        <v>699</v>
      </c>
      <c r="D504" t="s">
        <v>2</v>
      </c>
      <c r="E504" t="s">
        <v>479</v>
      </c>
      <c r="F504">
        <v>2.0382774324817898</v>
      </c>
      <c r="G504" s="6"/>
    </row>
    <row r="505" spans="1:7" x14ac:dyDescent="0.15">
      <c r="A505" t="s">
        <v>415</v>
      </c>
      <c r="B505" t="s">
        <v>1092</v>
      </c>
      <c r="C505" t="s">
        <v>699</v>
      </c>
      <c r="D505" t="s">
        <v>2</v>
      </c>
      <c r="E505" t="s">
        <v>479</v>
      </c>
      <c r="F505">
        <v>2.2572116357558811</v>
      </c>
      <c r="G505" s="6"/>
    </row>
    <row r="506" spans="1:7" x14ac:dyDescent="0.15">
      <c r="A506" t="s">
        <v>416</v>
      </c>
      <c r="B506" t="s">
        <v>1093</v>
      </c>
      <c r="C506" t="s">
        <v>699</v>
      </c>
      <c r="D506" t="s">
        <v>2</v>
      </c>
      <c r="E506" t="s">
        <v>479</v>
      </c>
      <c r="F506">
        <v>2.3666787373929266</v>
      </c>
      <c r="G506" s="6"/>
    </row>
    <row r="507" spans="1:7" x14ac:dyDescent="0.15">
      <c r="A507" t="s">
        <v>417</v>
      </c>
      <c r="B507" t="s">
        <v>1094</v>
      </c>
      <c r="C507" t="s">
        <v>699</v>
      </c>
      <c r="D507" t="s">
        <v>2</v>
      </c>
      <c r="E507" t="s">
        <v>479</v>
      </c>
      <c r="F507">
        <v>2.476145839029972</v>
      </c>
      <c r="G507" s="6"/>
    </row>
    <row r="508" spans="1:7" x14ac:dyDescent="0.15">
      <c r="A508" t="s">
        <v>418</v>
      </c>
      <c r="B508" t="s">
        <v>1095</v>
      </c>
      <c r="C508" t="s">
        <v>699</v>
      </c>
      <c r="D508" t="s">
        <v>2</v>
      </c>
      <c r="E508" t="s">
        <v>479</v>
      </c>
      <c r="F508">
        <v>2.6950800423040637</v>
      </c>
      <c r="G508" s="6"/>
    </row>
    <row r="509" spans="1:7" x14ac:dyDescent="0.15">
      <c r="A509" t="s">
        <v>419</v>
      </c>
      <c r="B509" t="s">
        <v>1096</v>
      </c>
      <c r="C509" t="s">
        <v>699</v>
      </c>
      <c r="D509" t="s">
        <v>2</v>
      </c>
      <c r="E509" t="s">
        <v>479</v>
      </c>
      <c r="F509">
        <v>3.0234813472152005</v>
      </c>
      <c r="G509" s="6"/>
    </row>
    <row r="510" spans="1:7" x14ac:dyDescent="0.15">
      <c r="A510" t="s">
        <v>420</v>
      </c>
      <c r="B510" t="s">
        <v>1097</v>
      </c>
      <c r="C510" t="s">
        <v>699</v>
      </c>
      <c r="D510" t="s">
        <v>2</v>
      </c>
      <c r="E510" t="s">
        <v>479</v>
      </c>
      <c r="F510">
        <v>3.2424155504892918</v>
      </c>
      <c r="G510" s="6"/>
    </row>
    <row r="511" spans="1:7" x14ac:dyDescent="0.15">
      <c r="A511" t="s">
        <v>421</v>
      </c>
      <c r="B511" t="s">
        <v>1098</v>
      </c>
      <c r="C511" t="s">
        <v>699</v>
      </c>
      <c r="D511" t="s">
        <v>2</v>
      </c>
      <c r="E511" t="s">
        <v>479</v>
      </c>
      <c r="F511">
        <v>3.4613497537633826</v>
      </c>
      <c r="G511" s="6"/>
    </row>
    <row r="512" spans="1:7" x14ac:dyDescent="0.15">
      <c r="A512" t="s">
        <v>422</v>
      </c>
      <c r="B512" t="s">
        <v>1099</v>
      </c>
      <c r="C512" t="s">
        <v>699</v>
      </c>
      <c r="D512" t="s">
        <v>2</v>
      </c>
      <c r="E512" t="s">
        <v>479</v>
      </c>
      <c r="F512">
        <v>3.6802839570374735</v>
      </c>
      <c r="G512" s="6"/>
    </row>
    <row r="513" spans="1:7" x14ac:dyDescent="0.15">
      <c r="A513" t="s">
        <v>423</v>
      </c>
      <c r="B513" t="s">
        <v>1100</v>
      </c>
      <c r="C513" t="s">
        <v>699</v>
      </c>
      <c r="D513" t="s">
        <v>2</v>
      </c>
      <c r="E513" t="s">
        <v>479</v>
      </c>
      <c r="F513">
        <v>3.8992181603115652</v>
      </c>
      <c r="G513" s="6"/>
    </row>
    <row r="514" spans="1:7" x14ac:dyDescent="0.15">
      <c r="A514" t="s">
        <v>424</v>
      </c>
      <c r="B514" t="s">
        <v>1101</v>
      </c>
      <c r="C514" t="s">
        <v>699</v>
      </c>
      <c r="D514" t="s">
        <v>2</v>
      </c>
      <c r="E514" t="s">
        <v>479</v>
      </c>
      <c r="F514">
        <v>4.1181523635856561</v>
      </c>
      <c r="G514" s="6"/>
    </row>
    <row r="515" spans="1:7" x14ac:dyDescent="0.15">
      <c r="A515" t="s">
        <v>425</v>
      </c>
      <c r="B515" t="s">
        <v>1102</v>
      </c>
      <c r="C515" t="s">
        <v>699</v>
      </c>
      <c r="D515" t="s">
        <v>2</v>
      </c>
      <c r="E515" t="s">
        <v>479</v>
      </c>
      <c r="F515">
        <v>4.9938891766820213</v>
      </c>
      <c r="G515" s="6"/>
    </row>
    <row r="516" spans="1:7" x14ac:dyDescent="0.15">
      <c r="A516" t="s">
        <v>426</v>
      </c>
      <c r="B516" t="s">
        <v>1103</v>
      </c>
      <c r="C516" t="s">
        <v>699</v>
      </c>
      <c r="D516" t="s">
        <v>2</v>
      </c>
      <c r="E516" t="s">
        <v>479</v>
      </c>
      <c r="F516">
        <v>1.7832190856674732</v>
      </c>
      <c r="G516" s="6"/>
    </row>
    <row r="517" spans="1:7" x14ac:dyDescent="0.15">
      <c r="A517" t="s">
        <v>427</v>
      </c>
      <c r="B517" t="s">
        <v>1104</v>
      </c>
      <c r="C517" t="s">
        <v>699</v>
      </c>
      <c r="D517" t="s">
        <v>2</v>
      </c>
      <c r="E517" t="s">
        <v>479</v>
      </c>
      <c r="F517">
        <v>1.9419463830411892</v>
      </c>
      <c r="G517" s="6"/>
    </row>
    <row r="518" spans="1:7" x14ac:dyDescent="0.15">
      <c r="A518" t="s">
        <v>428</v>
      </c>
      <c r="B518" t="s">
        <v>1105</v>
      </c>
      <c r="C518" t="s">
        <v>699</v>
      </c>
      <c r="D518" t="s">
        <v>2</v>
      </c>
      <c r="E518" t="s">
        <v>479</v>
      </c>
      <c r="F518">
        <v>1.9824492106468963</v>
      </c>
      <c r="G518" s="6"/>
    </row>
    <row r="519" spans="1:7" x14ac:dyDescent="0.15">
      <c r="A519" t="s">
        <v>429</v>
      </c>
      <c r="B519" t="s">
        <v>1106</v>
      </c>
      <c r="C519" t="s">
        <v>699</v>
      </c>
      <c r="D519" t="s">
        <v>2</v>
      </c>
      <c r="E519" t="s">
        <v>479</v>
      </c>
      <c r="F519">
        <v>2.0021532889415643</v>
      </c>
      <c r="G519" s="6"/>
    </row>
    <row r="520" spans="1:7" x14ac:dyDescent="0.15">
      <c r="A520" t="s">
        <v>430</v>
      </c>
      <c r="B520" t="s">
        <v>1107</v>
      </c>
      <c r="C520" t="s">
        <v>699</v>
      </c>
      <c r="D520" t="s">
        <v>2</v>
      </c>
      <c r="E520" t="s">
        <v>479</v>
      </c>
      <c r="F520">
        <v>2.0207626962198622</v>
      </c>
      <c r="G520" s="6"/>
    </row>
    <row r="521" spans="1:7" x14ac:dyDescent="0.15">
      <c r="A521" t="s">
        <v>431</v>
      </c>
      <c r="B521" t="s">
        <v>1108</v>
      </c>
      <c r="C521" t="s">
        <v>699</v>
      </c>
      <c r="D521" t="s">
        <v>2</v>
      </c>
      <c r="E521" t="s">
        <v>479</v>
      </c>
      <c r="F521">
        <v>2.1116203905786102</v>
      </c>
      <c r="G521" s="6"/>
    </row>
    <row r="522" spans="1:7" x14ac:dyDescent="0.15">
      <c r="A522" t="s">
        <v>432</v>
      </c>
      <c r="B522" t="s">
        <v>1109</v>
      </c>
      <c r="C522" t="s">
        <v>699</v>
      </c>
      <c r="D522" t="s">
        <v>2</v>
      </c>
      <c r="E522" t="s">
        <v>479</v>
      </c>
      <c r="F522">
        <v>2.1608805863152805</v>
      </c>
      <c r="G522" s="6"/>
    </row>
    <row r="523" spans="1:7" x14ac:dyDescent="0.15">
      <c r="A523" t="s">
        <v>433</v>
      </c>
      <c r="B523" t="s">
        <v>1110</v>
      </c>
      <c r="C523" t="s">
        <v>699</v>
      </c>
      <c r="D523" t="s">
        <v>2</v>
      </c>
      <c r="E523" t="s">
        <v>479</v>
      </c>
      <c r="F523">
        <v>2.2396968994939539</v>
      </c>
      <c r="G523" s="6"/>
    </row>
    <row r="524" spans="1:7" x14ac:dyDescent="0.15">
      <c r="A524" t="s">
        <v>434</v>
      </c>
      <c r="B524" t="s">
        <v>1111</v>
      </c>
      <c r="C524" t="s">
        <v>699</v>
      </c>
      <c r="D524" t="s">
        <v>2</v>
      </c>
      <c r="E524" t="s">
        <v>479</v>
      </c>
      <c r="F524">
        <v>2.2703476879523263</v>
      </c>
      <c r="G524" s="6"/>
    </row>
    <row r="525" spans="1:7" x14ac:dyDescent="0.15">
      <c r="A525" t="s">
        <v>435</v>
      </c>
      <c r="B525" t="s">
        <v>1112</v>
      </c>
      <c r="C525" t="s">
        <v>699</v>
      </c>
      <c r="D525" t="s">
        <v>2</v>
      </c>
      <c r="E525" t="s">
        <v>479</v>
      </c>
      <c r="F525">
        <v>2.4203176171950789</v>
      </c>
      <c r="G525" s="6"/>
    </row>
    <row r="526" spans="1:7" x14ac:dyDescent="0.15">
      <c r="A526" t="s">
        <v>436</v>
      </c>
      <c r="B526" t="s">
        <v>1113</v>
      </c>
      <c r="C526" t="s">
        <v>699</v>
      </c>
      <c r="D526" t="s">
        <v>2</v>
      </c>
      <c r="E526" t="s">
        <v>479</v>
      </c>
      <c r="F526">
        <v>2.9457597050528976</v>
      </c>
      <c r="G526" s="6"/>
    </row>
    <row r="527" spans="1:7" x14ac:dyDescent="0.15">
      <c r="A527" t="s">
        <v>437</v>
      </c>
      <c r="B527" t="s">
        <v>1114</v>
      </c>
      <c r="C527" t="s">
        <v>699</v>
      </c>
      <c r="D527" t="s">
        <v>2</v>
      </c>
      <c r="E527" t="s">
        <v>479</v>
      </c>
      <c r="F527">
        <v>3.1460845010486911</v>
      </c>
      <c r="G527" s="6"/>
    </row>
    <row r="528" spans="1:7" x14ac:dyDescent="0.15">
      <c r="A528" t="s">
        <v>438</v>
      </c>
      <c r="B528" t="s">
        <v>1115</v>
      </c>
      <c r="C528" t="s">
        <v>699</v>
      </c>
      <c r="D528" t="s">
        <v>2</v>
      </c>
      <c r="E528" t="s">
        <v>479</v>
      </c>
      <c r="F528">
        <v>3.6627692207755467</v>
      </c>
      <c r="G528" s="6"/>
    </row>
    <row r="529" spans="1:7" x14ac:dyDescent="0.15">
      <c r="A529" t="s">
        <v>439</v>
      </c>
      <c r="B529" t="s">
        <v>1116</v>
      </c>
      <c r="C529" t="s">
        <v>699</v>
      </c>
      <c r="D529" t="s">
        <v>2</v>
      </c>
      <c r="E529" t="s">
        <v>479</v>
      </c>
      <c r="F529">
        <v>3.6791892860211033</v>
      </c>
      <c r="G529" s="6"/>
    </row>
    <row r="530" spans="1:7" x14ac:dyDescent="0.15">
      <c r="A530" t="s">
        <v>440</v>
      </c>
      <c r="B530" t="s">
        <v>1117</v>
      </c>
      <c r="C530" t="s">
        <v>699</v>
      </c>
      <c r="D530" t="s">
        <v>2</v>
      </c>
      <c r="E530" t="s">
        <v>479</v>
      </c>
      <c r="F530">
        <v>3.8028871108709654</v>
      </c>
      <c r="G530" s="6"/>
    </row>
    <row r="531" spans="1:7" x14ac:dyDescent="0.15">
      <c r="A531" t="s">
        <v>611</v>
      </c>
      <c r="B531" t="s">
        <v>1118</v>
      </c>
      <c r="C531" t="s">
        <v>699</v>
      </c>
      <c r="D531" t="s">
        <v>488</v>
      </c>
      <c r="E531" t="s">
        <v>479</v>
      </c>
      <c r="F531">
        <v>0</v>
      </c>
      <c r="G531" s="6"/>
    </row>
    <row r="532" spans="1:7" x14ac:dyDescent="0.15">
      <c r="A532" t="s">
        <v>414</v>
      </c>
      <c r="B532" t="s">
        <v>1118</v>
      </c>
      <c r="C532" t="s">
        <v>700</v>
      </c>
      <c r="D532" t="s">
        <v>2</v>
      </c>
      <c r="E532" t="s">
        <v>9</v>
      </c>
      <c r="F532">
        <v>1.0946710163704563</v>
      </c>
      <c r="G532" s="6"/>
    </row>
    <row r="533" spans="1:7" x14ac:dyDescent="0.15">
      <c r="A533" t="s">
        <v>441</v>
      </c>
      <c r="B533" t="s">
        <v>1119</v>
      </c>
      <c r="C533" t="s">
        <v>699</v>
      </c>
      <c r="D533" t="s">
        <v>2</v>
      </c>
      <c r="E533" t="s">
        <v>479</v>
      </c>
      <c r="F533">
        <v>-0.46980246954775956</v>
      </c>
      <c r="G533" s="6"/>
    </row>
    <row r="534" spans="1:7" x14ac:dyDescent="0.15">
      <c r="A534" t="s">
        <v>443</v>
      </c>
      <c r="B534" t="s">
        <v>1120</v>
      </c>
      <c r="C534" t="s">
        <v>699</v>
      </c>
      <c r="D534" t="s">
        <v>2</v>
      </c>
      <c r="E534" t="s">
        <v>479</v>
      </c>
      <c r="F534">
        <v>-0.93960493909551912</v>
      </c>
      <c r="G534" s="6"/>
    </row>
    <row r="535" spans="1:7" x14ac:dyDescent="0.15">
      <c r="A535" t="s">
        <v>612</v>
      </c>
      <c r="B535" t="s">
        <v>1121</v>
      </c>
      <c r="C535" t="s">
        <v>699</v>
      </c>
      <c r="D535" t="s">
        <v>488</v>
      </c>
      <c r="E535" t="s">
        <v>479</v>
      </c>
      <c r="F535">
        <v>0</v>
      </c>
      <c r="G535" s="6"/>
    </row>
    <row r="536" spans="1:7" x14ac:dyDescent="0.15">
      <c r="A536" t="s">
        <v>442</v>
      </c>
      <c r="B536" t="s">
        <v>1121</v>
      </c>
      <c r="C536" t="s">
        <v>700</v>
      </c>
      <c r="D536" t="s">
        <v>2</v>
      </c>
      <c r="E536" t="s">
        <v>9</v>
      </c>
      <c r="F536">
        <v>-0.46980246954775956</v>
      </c>
      <c r="G536" s="6"/>
    </row>
    <row r="537" spans="1:7" x14ac:dyDescent="0.15">
      <c r="A537" t="s">
        <v>446</v>
      </c>
      <c r="B537" t="s">
        <v>1122</v>
      </c>
      <c r="C537" t="s">
        <v>699</v>
      </c>
      <c r="D537" t="s">
        <v>2</v>
      </c>
      <c r="E537" t="s">
        <v>479</v>
      </c>
      <c r="F537">
        <v>0.56261097551373696</v>
      </c>
      <c r="G537" s="6"/>
    </row>
    <row r="538" spans="1:7" x14ac:dyDescent="0.15">
      <c r="A538" t="s">
        <v>448</v>
      </c>
      <c r="B538" t="s">
        <v>1123</v>
      </c>
      <c r="C538" t="s">
        <v>699</v>
      </c>
      <c r="D538" t="s">
        <v>2</v>
      </c>
      <c r="E538" t="s">
        <v>479</v>
      </c>
      <c r="F538">
        <v>1.1252219510274739</v>
      </c>
      <c r="G538" s="6"/>
    </row>
    <row r="539" spans="1:7" x14ac:dyDescent="0.15">
      <c r="A539" t="s">
        <v>449</v>
      </c>
      <c r="B539" t="s">
        <v>1124</v>
      </c>
      <c r="C539" t="s">
        <v>699</v>
      </c>
      <c r="D539" t="s">
        <v>2</v>
      </c>
      <c r="E539" t="s">
        <v>479</v>
      </c>
      <c r="F539">
        <v>0.28130548775686848</v>
      </c>
      <c r="G539" s="6"/>
    </row>
    <row r="540" spans="1:7" x14ac:dyDescent="0.15">
      <c r="A540" t="s">
        <v>450</v>
      </c>
      <c r="B540" t="s">
        <v>1125</v>
      </c>
      <c r="C540" t="s">
        <v>699</v>
      </c>
      <c r="D540" t="s">
        <v>2</v>
      </c>
      <c r="E540" t="s">
        <v>479</v>
      </c>
      <c r="F540">
        <v>0.78765536571923167</v>
      </c>
      <c r="G540" s="6"/>
    </row>
    <row r="541" spans="1:7" x14ac:dyDescent="0.15">
      <c r="A541" t="s">
        <v>451</v>
      </c>
      <c r="B541" t="s">
        <v>1126</v>
      </c>
      <c r="C541" t="s">
        <v>699</v>
      </c>
      <c r="D541" t="s">
        <v>2</v>
      </c>
      <c r="E541" t="s">
        <v>479</v>
      </c>
      <c r="F541">
        <v>0.90017756082197919</v>
      </c>
      <c r="G541" s="6"/>
    </row>
    <row r="542" spans="1:7" x14ac:dyDescent="0.15">
      <c r="A542" t="s">
        <v>613</v>
      </c>
      <c r="B542" t="s">
        <v>1127</v>
      </c>
      <c r="C542" t="s">
        <v>699</v>
      </c>
      <c r="D542" t="s">
        <v>488</v>
      </c>
      <c r="E542" t="s">
        <v>479</v>
      </c>
      <c r="F542">
        <v>0</v>
      </c>
      <c r="G542" s="6"/>
    </row>
    <row r="543" spans="1:7" x14ac:dyDescent="0.15">
      <c r="A543" t="s">
        <v>447</v>
      </c>
      <c r="B543" t="s">
        <v>1127</v>
      </c>
      <c r="C543" t="s">
        <v>700</v>
      </c>
      <c r="D543" t="s">
        <v>2</v>
      </c>
      <c r="E543" t="s">
        <v>9</v>
      </c>
      <c r="F543">
        <v>0.56261097551373696</v>
      </c>
      <c r="G543" s="6"/>
    </row>
    <row r="544" spans="1:7" x14ac:dyDescent="0.15">
      <c r="A544" t="s">
        <v>452</v>
      </c>
      <c r="B544" t="s">
        <v>1128</v>
      </c>
      <c r="C544" t="s">
        <v>699</v>
      </c>
      <c r="D544" t="s">
        <v>2</v>
      </c>
      <c r="E544" t="s">
        <v>479</v>
      </c>
      <c r="F544">
        <v>0.96828897309347639</v>
      </c>
      <c r="G544" s="6"/>
    </row>
    <row r="545" spans="1:7" x14ac:dyDescent="0.15">
      <c r="A545" t="s">
        <v>614</v>
      </c>
      <c r="B545" t="s">
        <v>1129</v>
      </c>
      <c r="C545" t="s">
        <v>699</v>
      </c>
      <c r="D545" t="s">
        <v>488</v>
      </c>
      <c r="E545" t="s">
        <v>479</v>
      </c>
      <c r="F545">
        <v>0</v>
      </c>
      <c r="G545" s="6"/>
    </row>
    <row r="546" spans="1:7" x14ac:dyDescent="0.15">
      <c r="A546" t="s">
        <v>453</v>
      </c>
      <c r="B546" t="s">
        <v>1129</v>
      </c>
      <c r="C546" t="s">
        <v>700</v>
      </c>
      <c r="D546" t="s">
        <v>2</v>
      </c>
      <c r="E546" t="s">
        <v>9</v>
      </c>
      <c r="F546">
        <v>0.4841444865467382</v>
      </c>
      <c r="G546" s="6"/>
    </row>
    <row r="547" spans="1:7" x14ac:dyDescent="0.15">
      <c r="A547" t="s">
        <v>454</v>
      </c>
      <c r="B547" t="s">
        <v>1130</v>
      </c>
      <c r="C547" t="s">
        <v>699</v>
      </c>
      <c r="D547" t="s">
        <v>2</v>
      </c>
      <c r="E547" t="s">
        <v>479</v>
      </c>
      <c r="F547">
        <v>0.49728156568605447</v>
      </c>
      <c r="G547" s="6"/>
    </row>
    <row r="548" spans="1:7" x14ac:dyDescent="0.15">
      <c r="A548" t="s">
        <v>615</v>
      </c>
      <c r="B548" t="s">
        <v>1131</v>
      </c>
      <c r="C548" t="s">
        <v>699</v>
      </c>
      <c r="D548" t="s">
        <v>488</v>
      </c>
      <c r="E548" t="s">
        <v>479</v>
      </c>
      <c r="F548">
        <v>0</v>
      </c>
      <c r="G548" s="6"/>
    </row>
    <row r="549" spans="1:7" x14ac:dyDescent="0.15">
      <c r="A549" t="s">
        <v>455</v>
      </c>
      <c r="B549" t="s">
        <v>1131</v>
      </c>
      <c r="C549" t="s">
        <v>700</v>
      </c>
      <c r="D549" t="s">
        <v>2</v>
      </c>
      <c r="E549" t="s">
        <v>9</v>
      </c>
      <c r="F549">
        <v>0.49728156568605447</v>
      </c>
      <c r="G549" s="6"/>
    </row>
    <row r="550" spans="1:7" x14ac:dyDescent="0.15">
      <c r="A550" t="s">
        <v>456</v>
      </c>
      <c r="B550" t="s">
        <v>1132</v>
      </c>
      <c r="C550" t="s">
        <v>699</v>
      </c>
      <c r="D550" t="s">
        <v>2</v>
      </c>
      <c r="E550" t="s">
        <v>479</v>
      </c>
      <c r="F550">
        <v>-0.86693105039199325</v>
      </c>
      <c r="G550" s="6"/>
    </row>
    <row r="551" spans="1:7" x14ac:dyDescent="0.15">
      <c r="A551" t="s">
        <v>616</v>
      </c>
      <c r="B551" t="s">
        <v>1133</v>
      </c>
      <c r="C551" t="s">
        <v>699</v>
      </c>
      <c r="D551" t="s">
        <v>488</v>
      </c>
      <c r="E551" t="s">
        <v>479</v>
      </c>
      <c r="F551">
        <v>0</v>
      </c>
      <c r="G551" s="6"/>
    </row>
    <row r="552" spans="1:7" x14ac:dyDescent="0.15">
      <c r="A552" t="s">
        <v>457</v>
      </c>
      <c r="B552" t="s">
        <v>1133</v>
      </c>
      <c r="C552" t="s">
        <v>700</v>
      </c>
      <c r="D552" t="s">
        <v>2</v>
      </c>
      <c r="E552" t="s">
        <v>9</v>
      </c>
      <c r="F552">
        <v>-0.43346552519599663</v>
      </c>
      <c r="G552" s="6"/>
    </row>
    <row r="553" spans="1:7" x14ac:dyDescent="0.15">
      <c r="A553" t="s">
        <v>458</v>
      </c>
      <c r="B553" t="s">
        <v>1134</v>
      </c>
      <c r="C553" t="s">
        <v>699</v>
      </c>
      <c r="D553" t="s">
        <v>2</v>
      </c>
      <c r="E553" t="s">
        <v>479</v>
      </c>
      <c r="F553">
        <v>0.58158675649275826</v>
      </c>
      <c r="G553" s="6"/>
    </row>
    <row r="554" spans="1:7" x14ac:dyDescent="0.15">
      <c r="A554" t="s">
        <v>460</v>
      </c>
      <c r="B554" t="s">
        <v>1135</v>
      </c>
      <c r="C554" t="s">
        <v>699</v>
      </c>
      <c r="D554" t="s">
        <v>2</v>
      </c>
      <c r="E554" t="s">
        <v>479</v>
      </c>
      <c r="F554">
        <v>1.1631735129855165</v>
      </c>
      <c r="G554" s="6"/>
    </row>
    <row r="555" spans="1:7" x14ac:dyDescent="0.15">
      <c r="A555" t="s">
        <v>461</v>
      </c>
      <c r="B555" t="s">
        <v>1136</v>
      </c>
      <c r="C555" t="s">
        <v>699</v>
      </c>
      <c r="D555" t="s">
        <v>2</v>
      </c>
      <c r="E555" t="s">
        <v>479</v>
      </c>
      <c r="F555">
        <v>0.29079337824637913</v>
      </c>
      <c r="G555" s="6"/>
    </row>
    <row r="556" spans="1:7" x14ac:dyDescent="0.15">
      <c r="A556" t="s">
        <v>617</v>
      </c>
      <c r="B556" t="s">
        <v>1137</v>
      </c>
      <c r="C556" t="s">
        <v>699</v>
      </c>
      <c r="D556" t="s">
        <v>488</v>
      </c>
      <c r="E556" t="s">
        <v>479</v>
      </c>
      <c r="F556">
        <v>0</v>
      </c>
      <c r="G556" s="6"/>
    </row>
    <row r="557" spans="1:7" x14ac:dyDescent="0.15">
      <c r="A557" t="s">
        <v>459</v>
      </c>
      <c r="B557" t="s">
        <v>1137</v>
      </c>
      <c r="C557" t="s">
        <v>700</v>
      </c>
      <c r="D557" t="s">
        <v>2</v>
      </c>
      <c r="E557" t="s">
        <v>9</v>
      </c>
      <c r="F557">
        <v>0.58158675649275826</v>
      </c>
      <c r="G557" s="6"/>
    </row>
    <row r="558" spans="1:7" x14ac:dyDescent="0.15">
      <c r="A558" t="s">
        <v>462</v>
      </c>
      <c r="B558" t="s">
        <v>1138</v>
      </c>
      <c r="C558" t="s">
        <v>699</v>
      </c>
      <c r="D558" t="s">
        <v>2</v>
      </c>
      <c r="E558" t="s">
        <v>479</v>
      </c>
      <c r="F558">
        <v>349.69474659507165</v>
      </c>
      <c r="G558" s="6"/>
    </row>
    <row r="559" spans="1:7" x14ac:dyDescent="0.15">
      <c r="A559" t="s">
        <v>618</v>
      </c>
      <c r="B559" t="s">
        <v>1138</v>
      </c>
      <c r="C559" t="s">
        <v>699</v>
      </c>
      <c r="D559" t="s">
        <v>2</v>
      </c>
      <c r="E559" t="s">
        <v>479</v>
      </c>
      <c r="F559">
        <v>-1</v>
      </c>
      <c r="G559" s="8" t="s">
        <v>1244</v>
      </c>
    </row>
    <row r="560" spans="1:7" x14ac:dyDescent="0.15">
      <c r="A560" t="s">
        <v>463</v>
      </c>
      <c r="B560" t="s">
        <v>1138</v>
      </c>
      <c r="C560" t="s">
        <v>700</v>
      </c>
      <c r="D560" t="s">
        <v>2</v>
      </c>
      <c r="E560" t="s">
        <v>9</v>
      </c>
      <c r="F560">
        <v>0.79476078771607195</v>
      </c>
      <c r="G560" s="6"/>
    </row>
    <row r="561" spans="1:7" x14ac:dyDescent="0.15">
      <c r="A561" t="s">
        <v>619</v>
      </c>
      <c r="B561" t="s">
        <v>1139</v>
      </c>
      <c r="C561" t="s">
        <v>699</v>
      </c>
      <c r="D561" t="s">
        <v>2</v>
      </c>
      <c r="E561" t="s">
        <v>479</v>
      </c>
      <c r="F561">
        <v>-1</v>
      </c>
      <c r="G561" s="8" t="s">
        <v>1244</v>
      </c>
    </row>
    <row r="562" spans="1:7" x14ac:dyDescent="0.15">
      <c r="A562" t="s">
        <v>620</v>
      </c>
      <c r="B562" t="s">
        <v>1140</v>
      </c>
      <c r="C562" t="s">
        <v>699</v>
      </c>
      <c r="D562" t="s">
        <v>2</v>
      </c>
      <c r="E562" t="s">
        <v>479</v>
      </c>
      <c r="F562">
        <v>-1</v>
      </c>
      <c r="G562" s="8" t="s">
        <v>1244</v>
      </c>
    </row>
    <row r="563" spans="1:7" x14ac:dyDescent="0.15">
      <c r="A563" t="s">
        <v>465</v>
      </c>
      <c r="B563" t="s">
        <v>1141</v>
      </c>
      <c r="C563" t="s">
        <v>699</v>
      </c>
      <c r="D563" t="s">
        <v>2</v>
      </c>
      <c r="E563" t="s">
        <v>479</v>
      </c>
      <c r="F563">
        <v>0.51774324729426735</v>
      </c>
      <c r="G563" s="6"/>
    </row>
    <row r="564" spans="1:7" x14ac:dyDescent="0.15">
      <c r="A564" t="s">
        <v>467</v>
      </c>
      <c r="B564" t="s">
        <v>1142</v>
      </c>
      <c r="C564" t="s">
        <v>699</v>
      </c>
      <c r="D564" t="s">
        <v>2</v>
      </c>
      <c r="E564" t="s">
        <v>479</v>
      </c>
      <c r="F564">
        <v>1.0354864945885347</v>
      </c>
      <c r="G564" s="6"/>
    </row>
    <row r="565" spans="1:7" x14ac:dyDescent="0.15">
      <c r="A565" t="s">
        <v>621</v>
      </c>
      <c r="B565" t="s">
        <v>1143</v>
      </c>
      <c r="C565" t="s">
        <v>699</v>
      </c>
      <c r="D565" t="s">
        <v>488</v>
      </c>
      <c r="E565" t="s">
        <v>479</v>
      </c>
      <c r="F565">
        <v>0</v>
      </c>
      <c r="G565" s="6"/>
    </row>
    <row r="566" spans="1:7" x14ac:dyDescent="0.15">
      <c r="A566" t="s">
        <v>466</v>
      </c>
      <c r="B566" t="s">
        <v>1143</v>
      </c>
      <c r="C566" t="s">
        <v>700</v>
      </c>
      <c r="D566" t="s">
        <v>2</v>
      </c>
      <c r="E566" t="s">
        <v>9</v>
      </c>
      <c r="F566">
        <v>0.51774324729426735</v>
      </c>
      <c r="G566" s="6"/>
    </row>
    <row r="567" spans="1:7" x14ac:dyDescent="0.15">
      <c r="A567" t="s">
        <v>468</v>
      </c>
      <c r="B567" t="s">
        <v>1144</v>
      </c>
      <c r="C567" t="s">
        <v>699</v>
      </c>
      <c r="D567" t="s">
        <v>2</v>
      </c>
      <c r="E567" t="s">
        <v>479</v>
      </c>
      <c r="F567">
        <v>-0.53957079081140791</v>
      </c>
      <c r="G567" s="6"/>
    </row>
    <row r="568" spans="1:7" x14ac:dyDescent="0.15">
      <c r="A568" t="s">
        <v>470</v>
      </c>
      <c r="B568" t="s">
        <v>1145</v>
      </c>
      <c r="C568" t="s">
        <v>699</v>
      </c>
      <c r="D568" t="s">
        <v>2</v>
      </c>
      <c r="E568" t="s">
        <v>479</v>
      </c>
      <c r="F568">
        <v>-1.0791415816228158</v>
      </c>
      <c r="G568" s="6"/>
    </row>
    <row r="569" spans="1:7" x14ac:dyDescent="0.15">
      <c r="A569" t="s">
        <v>622</v>
      </c>
      <c r="B569" t="s">
        <v>1146</v>
      </c>
      <c r="C569" t="s">
        <v>699</v>
      </c>
      <c r="D569" t="s">
        <v>488</v>
      </c>
      <c r="E569" t="s">
        <v>479</v>
      </c>
      <c r="F569">
        <v>0</v>
      </c>
      <c r="G569" s="6"/>
    </row>
    <row r="570" spans="1:7" x14ac:dyDescent="0.15">
      <c r="A570" t="s">
        <v>469</v>
      </c>
      <c r="B570" t="s">
        <v>1146</v>
      </c>
      <c r="C570" t="s">
        <v>700</v>
      </c>
      <c r="D570" t="s">
        <v>2</v>
      </c>
      <c r="E570" t="s">
        <v>9</v>
      </c>
      <c r="F570">
        <v>-0.53957079081140791</v>
      </c>
      <c r="G570" s="6"/>
    </row>
    <row r="571" spans="1:7" x14ac:dyDescent="0.15">
      <c r="A571" t="s">
        <v>623</v>
      </c>
      <c r="B571" t="s">
        <v>1147</v>
      </c>
      <c r="C571" t="s">
        <v>702</v>
      </c>
      <c r="D571" t="s">
        <v>703</v>
      </c>
      <c r="E571" t="s">
        <v>479</v>
      </c>
      <c r="F571">
        <v>0</v>
      </c>
      <c r="G571" s="6"/>
    </row>
    <row r="572" spans="1:7" x14ac:dyDescent="0.15">
      <c r="A572" t="s">
        <v>624</v>
      </c>
      <c r="B572" t="s">
        <v>1148</v>
      </c>
      <c r="C572" t="s">
        <v>699</v>
      </c>
      <c r="D572" t="s">
        <v>488</v>
      </c>
      <c r="E572" t="s">
        <v>479</v>
      </c>
      <c r="F572">
        <v>0</v>
      </c>
      <c r="G572" s="6"/>
    </row>
    <row r="573" spans="1:7" x14ac:dyDescent="0.15">
      <c r="A573" t="s">
        <v>471</v>
      </c>
      <c r="B573" t="s">
        <v>1148</v>
      </c>
      <c r="C573" t="s">
        <v>700</v>
      </c>
      <c r="D573" t="s">
        <v>2</v>
      </c>
      <c r="E573" t="s">
        <v>9</v>
      </c>
      <c r="F573">
        <v>0.31166516298189234</v>
      </c>
      <c r="G573" s="6"/>
    </row>
    <row r="574" spans="1:7" x14ac:dyDescent="0.15">
      <c r="A574" t="s">
        <v>625</v>
      </c>
      <c r="B574" t="s">
        <v>1149</v>
      </c>
      <c r="C574" t="s">
        <v>699</v>
      </c>
      <c r="D574" t="s">
        <v>2</v>
      </c>
      <c r="E574" t="s">
        <v>9</v>
      </c>
      <c r="F574">
        <v>-1</v>
      </c>
      <c r="G574" s="8" t="s">
        <v>1244</v>
      </c>
    </row>
    <row r="575" spans="1:7" x14ac:dyDescent="0.15">
      <c r="A575" t="s">
        <v>474</v>
      </c>
      <c r="B575" t="s">
        <v>1150</v>
      </c>
      <c r="C575" t="s">
        <v>699</v>
      </c>
      <c r="D575" t="s">
        <v>2</v>
      </c>
      <c r="E575" t="s">
        <v>9</v>
      </c>
      <c r="F575">
        <v>1.4450171183529359</v>
      </c>
      <c r="G575" s="6"/>
    </row>
    <row r="576" spans="1:7" x14ac:dyDescent="0.15">
      <c r="A576" t="s">
        <v>475</v>
      </c>
      <c r="B576" t="s">
        <v>1151</v>
      </c>
      <c r="C576" t="s">
        <v>699</v>
      </c>
      <c r="D576" t="s">
        <v>2</v>
      </c>
      <c r="E576" t="s">
        <v>9</v>
      </c>
      <c r="F576">
        <v>2.0992921875577824</v>
      </c>
      <c r="G576" s="6"/>
    </row>
    <row r="577" spans="1:7" x14ac:dyDescent="0.15">
      <c r="A577" t="s">
        <v>17</v>
      </c>
      <c r="B577" t="s">
        <v>1152</v>
      </c>
      <c r="C577" t="s">
        <v>702</v>
      </c>
      <c r="D577" t="s">
        <v>703</v>
      </c>
      <c r="E577" t="s">
        <v>18</v>
      </c>
      <c r="F577">
        <v>53.85</v>
      </c>
      <c r="G577" s="6"/>
    </row>
    <row r="578" spans="1:7" x14ac:dyDescent="0.15">
      <c r="A578" t="s">
        <v>626</v>
      </c>
      <c r="B578" t="s">
        <v>1153</v>
      </c>
      <c r="C578" t="s">
        <v>702</v>
      </c>
      <c r="D578" t="s">
        <v>703</v>
      </c>
      <c r="E578" t="s">
        <v>18</v>
      </c>
      <c r="F578">
        <v>35.24</v>
      </c>
      <c r="G578" s="6"/>
    </row>
    <row r="579" spans="1:7" x14ac:dyDescent="0.15">
      <c r="A579" t="s">
        <v>19</v>
      </c>
      <c r="B579" t="s">
        <v>1154</v>
      </c>
      <c r="C579" t="s">
        <v>702</v>
      </c>
      <c r="D579" t="s">
        <v>703</v>
      </c>
      <c r="E579" t="s">
        <v>18</v>
      </c>
      <c r="F579">
        <v>34.65</v>
      </c>
      <c r="G579" s="6"/>
    </row>
    <row r="580" spans="1:7" x14ac:dyDescent="0.15">
      <c r="A580" t="s">
        <v>476</v>
      </c>
      <c r="B580" t="s">
        <v>1155</v>
      </c>
      <c r="C580" t="s">
        <v>699</v>
      </c>
      <c r="D580" t="s">
        <v>2</v>
      </c>
      <c r="E580" t="s">
        <v>479</v>
      </c>
      <c r="F580">
        <v>-28.167918795566685</v>
      </c>
      <c r="G580" s="6"/>
    </row>
    <row r="581" spans="1:7" x14ac:dyDescent="0.15">
      <c r="A581" t="s">
        <v>477</v>
      </c>
      <c r="B581" t="s">
        <v>1156</v>
      </c>
      <c r="C581" t="s">
        <v>700</v>
      </c>
      <c r="D581" t="s">
        <v>2</v>
      </c>
      <c r="E581" t="s">
        <v>9</v>
      </c>
      <c r="F581">
        <v>-28.167918795566685</v>
      </c>
      <c r="G581" s="6"/>
    </row>
    <row r="582" spans="1:7" x14ac:dyDescent="0.15">
      <c r="A582" t="s">
        <v>627</v>
      </c>
      <c r="B582" t="s">
        <v>1157</v>
      </c>
      <c r="C582" t="s">
        <v>702</v>
      </c>
      <c r="D582" t="s">
        <v>703</v>
      </c>
      <c r="E582" t="s">
        <v>18</v>
      </c>
      <c r="F582">
        <v>0</v>
      </c>
      <c r="G582" s="6"/>
    </row>
    <row r="583" spans="1:7" x14ac:dyDescent="0.15">
      <c r="A583" t="s">
        <v>628</v>
      </c>
      <c r="B583" t="s">
        <v>1158</v>
      </c>
      <c r="C583" t="s">
        <v>702</v>
      </c>
      <c r="D583" t="s">
        <v>703</v>
      </c>
      <c r="E583" t="s">
        <v>18</v>
      </c>
      <c r="F583">
        <v>0</v>
      </c>
      <c r="G583" s="6"/>
    </row>
    <row r="584" spans="1:7" x14ac:dyDescent="0.15">
      <c r="A584" t="s">
        <v>16</v>
      </c>
      <c r="B584" t="s">
        <v>1159</v>
      </c>
      <c r="C584" t="s">
        <v>1160</v>
      </c>
      <c r="D584" t="s">
        <v>488</v>
      </c>
      <c r="E584" t="s">
        <v>13</v>
      </c>
      <c r="F584">
        <v>0.01</v>
      </c>
      <c r="G584" s="6"/>
    </row>
    <row r="585" spans="1:7" x14ac:dyDescent="0.15">
      <c r="A585" t="s">
        <v>124</v>
      </c>
      <c r="B585" t="s">
        <v>1161</v>
      </c>
      <c r="C585" t="s">
        <v>1160</v>
      </c>
      <c r="D585" t="s">
        <v>488</v>
      </c>
      <c r="E585" t="s">
        <v>629</v>
      </c>
      <c r="F585">
        <v>0</v>
      </c>
      <c r="G585" s="9" t="s">
        <v>1246</v>
      </c>
    </row>
    <row r="586" spans="1:7" x14ac:dyDescent="0.15">
      <c r="A586" t="s">
        <v>24</v>
      </c>
      <c r="B586" t="s">
        <v>1162</v>
      </c>
      <c r="C586" t="s">
        <v>1160</v>
      </c>
      <c r="D586" t="s">
        <v>488</v>
      </c>
      <c r="E586" t="s">
        <v>629</v>
      </c>
      <c r="F586">
        <v>28.5</v>
      </c>
      <c r="G586" s="6"/>
    </row>
    <row r="587" spans="1:7" x14ac:dyDescent="0.15">
      <c r="A587" t="s">
        <v>630</v>
      </c>
      <c r="B587" t="s">
        <v>1163</v>
      </c>
      <c r="C587" t="s">
        <v>1160</v>
      </c>
      <c r="D587" t="s">
        <v>488</v>
      </c>
      <c r="E587" t="s">
        <v>13</v>
      </c>
      <c r="F587">
        <v>0.01</v>
      </c>
      <c r="G587" s="6"/>
    </row>
    <row r="588" spans="1:7" x14ac:dyDescent="0.15">
      <c r="A588" t="s">
        <v>631</v>
      </c>
      <c r="B588" t="s">
        <v>1163</v>
      </c>
      <c r="C588" t="s">
        <v>1160</v>
      </c>
      <c r="D588" t="s">
        <v>488</v>
      </c>
      <c r="E588" t="s">
        <v>13</v>
      </c>
      <c r="F588">
        <v>0.01</v>
      </c>
      <c r="G588" s="6"/>
    </row>
    <row r="589" spans="1:7" x14ac:dyDescent="0.15">
      <c r="A589" t="s">
        <v>632</v>
      </c>
      <c r="B589" t="s">
        <v>1164</v>
      </c>
      <c r="C589" t="s">
        <v>1160</v>
      </c>
      <c r="D589" t="s">
        <v>488</v>
      </c>
      <c r="E589" t="s">
        <v>13</v>
      </c>
      <c r="F589">
        <v>0</v>
      </c>
      <c r="G589" s="6"/>
    </row>
    <row r="590" spans="1:7" x14ac:dyDescent="0.15">
      <c r="A590" t="s">
        <v>633</v>
      </c>
      <c r="B590" t="s">
        <v>1165</v>
      </c>
      <c r="C590" t="s">
        <v>1160</v>
      </c>
      <c r="D590" t="s">
        <v>488</v>
      </c>
      <c r="E590" t="s">
        <v>13</v>
      </c>
      <c r="F590">
        <v>0</v>
      </c>
      <c r="G590" s="6"/>
    </row>
    <row r="591" spans="1:7" x14ac:dyDescent="0.15">
      <c r="A591" t="s">
        <v>634</v>
      </c>
      <c r="B591" t="s">
        <v>1166</v>
      </c>
      <c r="C591" t="s">
        <v>1160</v>
      </c>
      <c r="D591" t="s">
        <v>488</v>
      </c>
      <c r="E591" t="s">
        <v>629</v>
      </c>
      <c r="F591">
        <v>0</v>
      </c>
      <c r="G591" s="6"/>
    </row>
    <row r="592" spans="1:7" x14ac:dyDescent="0.15">
      <c r="A592" t="s">
        <v>123</v>
      </c>
      <c r="B592" t="s">
        <v>1167</v>
      </c>
      <c r="C592" t="s">
        <v>1160</v>
      </c>
      <c r="D592" t="s">
        <v>488</v>
      </c>
      <c r="E592" t="s">
        <v>13</v>
      </c>
      <c r="F592">
        <v>0</v>
      </c>
      <c r="G592" s="9" t="s">
        <v>1246</v>
      </c>
    </row>
    <row r="593" spans="1:7" x14ac:dyDescent="0.15">
      <c r="A593" t="s">
        <v>478</v>
      </c>
      <c r="B593" t="s">
        <v>1168</v>
      </c>
      <c r="C593" t="s">
        <v>1160</v>
      </c>
      <c r="D593" t="s">
        <v>488</v>
      </c>
      <c r="E593" t="s">
        <v>629</v>
      </c>
      <c r="F593">
        <v>200</v>
      </c>
      <c r="G593" s="10" t="s">
        <v>1247</v>
      </c>
    </row>
    <row r="594" spans="1:7" x14ac:dyDescent="0.15">
      <c r="A594" t="s">
        <v>176</v>
      </c>
      <c r="B594" t="s">
        <v>1169</v>
      </c>
      <c r="C594" t="s">
        <v>1160</v>
      </c>
      <c r="D594" t="s">
        <v>488</v>
      </c>
      <c r="E594" t="s">
        <v>13</v>
      </c>
      <c r="F594">
        <v>0</v>
      </c>
      <c r="G594" s="9" t="s">
        <v>1246</v>
      </c>
    </row>
    <row r="595" spans="1:7" x14ac:dyDescent="0.15">
      <c r="A595" t="s">
        <v>635</v>
      </c>
      <c r="B595" t="s">
        <v>1170</v>
      </c>
      <c r="C595" t="s">
        <v>1160</v>
      </c>
      <c r="D595" t="s">
        <v>488</v>
      </c>
      <c r="E595" t="s">
        <v>629</v>
      </c>
      <c r="F595">
        <v>0</v>
      </c>
      <c r="G595" s="6"/>
    </row>
    <row r="596" spans="1:7" x14ac:dyDescent="0.15">
      <c r="A596" t="s">
        <v>464</v>
      </c>
      <c r="B596" t="s">
        <v>1171</v>
      </c>
      <c r="C596" t="s">
        <v>1160</v>
      </c>
      <c r="D596" t="s">
        <v>488</v>
      </c>
      <c r="E596" t="s">
        <v>629</v>
      </c>
      <c r="F596">
        <v>0</v>
      </c>
      <c r="G596" s="9" t="s">
        <v>1246</v>
      </c>
    </row>
    <row r="597" spans="1:7" x14ac:dyDescent="0.15">
      <c r="A597" t="s">
        <v>636</v>
      </c>
      <c r="B597" t="s">
        <v>1172</v>
      </c>
      <c r="C597" t="s">
        <v>1160</v>
      </c>
      <c r="D597" t="s">
        <v>488</v>
      </c>
      <c r="E597" t="s">
        <v>629</v>
      </c>
      <c r="F597">
        <v>0</v>
      </c>
      <c r="G597" s="6"/>
    </row>
    <row r="598" spans="1:7" x14ac:dyDescent="0.15">
      <c r="A598" t="s">
        <v>637</v>
      </c>
      <c r="B598" t="s">
        <v>1173</v>
      </c>
      <c r="C598" t="s">
        <v>1160</v>
      </c>
      <c r="D598" t="s">
        <v>488</v>
      </c>
      <c r="E598" t="s">
        <v>629</v>
      </c>
      <c r="F598">
        <v>40</v>
      </c>
      <c r="G598" s="6"/>
    </row>
    <row r="599" spans="1:7" x14ac:dyDescent="0.15">
      <c r="A599" t="s">
        <v>412</v>
      </c>
      <c r="B599" t="s">
        <v>1174</v>
      </c>
      <c r="C599" t="s">
        <v>1160</v>
      </c>
      <c r="D599" t="s">
        <v>488</v>
      </c>
      <c r="E599" t="s">
        <v>629</v>
      </c>
      <c r="F599">
        <v>0</v>
      </c>
      <c r="G599" s="9" t="s">
        <v>1246</v>
      </c>
    </row>
    <row r="600" spans="1:7" x14ac:dyDescent="0.15">
      <c r="A600" t="s">
        <v>638</v>
      </c>
      <c r="B600" t="s">
        <v>1175</v>
      </c>
      <c r="C600" t="s">
        <v>1160</v>
      </c>
      <c r="D600" t="s">
        <v>488</v>
      </c>
      <c r="E600" t="s">
        <v>629</v>
      </c>
      <c r="F600">
        <v>0</v>
      </c>
      <c r="G600" s="6"/>
    </row>
    <row r="601" spans="1:7" x14ac:dyDescent="0.15">
      <c r="A601" t="s">
        <v>472</v>
      </c>
      <c r="B601" t="s">
        <v>1176</v>
      </c>
      <c r="C601" t="s">
        <v>1160</v>
      </c>
      <c r="D601" t="s">
        <v>488</v>
      </c>
      <c r="E601" t="s">
        <v>629</v>
      </c>
      <c r="F601">
        <v>0</v>
      </c>
      <c r="G601" s="9" t="s">
        <v>1246</v>
      </c>
    </row>
    <row r="602" spans="1:7" x14ac:dyDescent="0.15">
      <c r="A602" t="s">
        <v>639</v>
      </c>
      <c r="B602" t="s">
        <v>1177</v>
      </c>
      <c r="C602" t="s">
        <v>1160</v>
      </c>
      <c r="D602" t="s">
        <v>488</v>
      </c>
      <c r="E602" t="s">
        <v>629</v>
      </c>
      <c r="F602">
        <v>0</v>
      </c>
      <c r="G602" s="6"/>
    </row>
    <row r="603" spans="1:7" x14ac:dyDescent="0.15">
      <c r="A603" t="s">
        <v>640</v>
      </c>
      <c r="B603" t="s">
        <v>1178</v>
      </c>
      <c r="C603" t="s">
        <v>1160</v>
      </c>
      <c r="D603" t="s">
        <v>488</v>
      </c>
      <c r="E603" t="s">
        <v>629</v>
      </c>
      <c r="F603">
        <v>0</v>
      </c>
      <c r="G603" s="6"/>
    </row>
    <row r="604" spans="1:7" ht="27" x14ac:dyDescent="0.15">
      <c r="A604" t="s">
        <v>11</v>
      </c>
      <c r="B604" t="s">
        <v>1179</v>
      </c>
      <c r="C604" t="s">
        <v>1160</v>
      </c>
      <c r="D604" t="s">
        <v>488</v>
      </c>
      <c r="E604" t="s">
        <v>629</v>
      </c>
      <c r="F604">
        <v>0</v>
      </c>
      <c r="G604" s="7" t="s">
        <v>1245</v>
      </c>
    </row>
    <row r="605" spans="1:7" x14ac:dyDescent="0.15">
      <c r="A605" t="s">
        <v>481</v>
      </c>
      <c r="B605" t="s">
        <v>1180</v>
      </c>
      <c r="C605" t="s">
        <v>1160</v>
      </c>
      <c r="D605" t="s">
        <v>488</v>
      </c>
      <c r="E605" t="s">
        <v>629</v>
      </c>
      <c r="F605">
        <v>0</v>
      </c>
      <c r="G605" s="9" t="s">
        <v>1246</v>
      </c>
    </row>
    <row r="606" spans="1:7" x14ac:dyDescent="0.15">
      <c r="A606" t="s">
        <v>444</v>
      </c>
      <c r="B606" t="s">
        <v>1181</v>
      </c>
      <c r="C606" t="s">
        <v>1160</v>
      </c>
      <c r="D606" t="s">
        <v>488</v>
      </c>
      <c r="E606" t="s">
        <v>629</v>
      </c>
      <c r="F606">
        <v>0</v>
      </c>
      <c r="G606" s="9" t="s">
        <v>1246</v>
      </c>
    </row>
    <row r="607" spans="1:7" x14ac:dyDescent="0.15">
      <c r="A607" t="s">
        <v>445</v>
      </c>
      <c r="B607" t="s">
        <v>1182</v>
      </c>
      <c r="C607" t="s">
        <v>1160</v>
      </c>
      <c r="D607" t="s">
        <v>488</v>
      </c>
      <c r="E607" t="s">
        <v>629</v>
      </c>
      <c r="F607">
        <v>195</v>
      </c>
      <c r="G607" s="10" t="s">
        <v>1247</v>
      </c>
    </row>
    <row r="608" spans="1:7" x14ac:dyDescent="0.15">
      <c r="A608" t="s">
        <v>641</v>
      </c>
      <c r="B608" t="s">
        <v>1183</v>
      </c>
      <c r="C608" t="s">
        <v>1160</v>
      </c>
      <c r="D608" t="s">
        <v>488</v>
      </c>
      <c r="E608" t="s">
        <v>629</v>
      </c>
      <c r="F608">
        <v>0</v>
      </c>
      <c r="G608" s="6"/>
    </row>
    <row r="609" spans="1:7" x14ac:dyDescent="0.15">
      <c r="A609" t="s">
        <v>642</v>
      </c>
      <c r="B609" t="s">
        <v>1184</v>
      </c>
      <c r="C609" t="s">
        <v>1160</v>
      </c>
      <c r="D609" t="s">
        <v>488</v>
      </c>
      <c r="E609" t="s">
        <v>629</v>
      </c>
      <c r="F609">
        <v>0</v>
      </c>
      <c r="G609" s="6"/>
    </row>
    <row r="610" spans="1:7" x14ac:dyDescent="0.15">
      <c r="A610" t="s">
        <v>643</v>
      </c>
      <c r="B610" t="s">
        <v>1185</v>
      </c>
      <c r="C610" t="s">
        <v>1160</v>
      </c>
      <c r="D610" t="s">
        <v>488</v>
      </c>
      <c r="E610" t="s">
        <v>629</v>
      </c>
      <c r="F610">
        <v>0</v>
      </c>
      <c r="G610" s="6"/>
    </row>
    <row r="611" spans="1:7" x14ac:dyDescent="0.15">
      <c r="A611" t="s">
        <v>28</v>
      </c>
      <c r="B611" t="s">
        <v>1186</v>
      </c>
      <c r="C611" t="s">
        <v>1160</v>
      </c>
      <c r="D611" t="s">
        <v>488</v>
      </c>
      <c r="E611" t="s">
        <v>13</v>
      </c>
      <c r="F611">
        <v>0.28081</v>
      </c>
      <c r="G611" s="6"/>
    </row>
    <row r="612" spans="1:7" x14ac:dyDescent="0.15">
      <c r="A612" t="s">
        <v>392</v>
      </c>
      <c r="B612" t="s">
        <v>1187</v>
      </c>
      <c r="C612" t="s">
        <v>1160</v>
      </c>
      <c r="D612" t="s">
        <v>488</v>
      </c>
      <c r="E612" t="s">
        <v>629</v>
      </c>
      <c r="F612">
        <v>0</v>
      </c>
      <c r="G612" s="9" t="s">
        <v>1246</v>
      </c>
    </row>
    <row r="613" spans="1:7" x14ac:dyDescent="0.15">
      <c r="A613" t="s">
        <v>34</v>
      </c>
      <c r="B613" t="s">
        <v>1188</v>
      </c>
      <c r="C613" t="s">
        <v>1160</v>
      </c>
      <c r="D613" t="s">
        <v>488</v>
      </c>
      <c r="E613" t="s">
        <v>629</v>
      </c>
      <c r="F613">
        <v>47</v>
      </c>
      <c r="G613" s="6"/>
    </row>
    <row r="614" spans="1:7" x14ac:dyDescent="0.15">
      <c r="A614" t="s">
        <v>39</v>
      </c>
      <c r="B614" t="s">
        <v>1189</v>
      </c>
      <c r="C614" t="s">
        <v>1160</v>
      </c>
      <c r="D614" t="s">
        <v>488</v>
      </c>
      <c r="E614" t="s">
        <v>13</v>
      </c>
      <c r="F614">
        <v>0</v>
      </c>
      <c r="G614" s="9" t="s">
        <v>1246</v>
      </c>
    </row>
    <row r="615" spans="1:7" x14ac:dyDescent="0.15">
      <c r="A615" t="s">
        <v>33</v>
      </c>
      <c r="B615" t="s">
        <v>1190</v>
      </c>
      <c r="C615" t="s">
        <v>1160</v>
      </c>
      <c r="D615" t="s">
        <v>488</v>
      </c>
      <c r="E615" t="s">
        <v>13</v>
      </c>
      <c r="F615">
        <v>0</v>
      </c>
      <c r="G615" s="9" t="s">
        <v>1246</v>
      </c>
    </row>
    <row r="616" spans="1:7" x14ac:dyDescent="0.15">
      <c r="A616" t="s">
        <v>22</v>
      </c>
      <c r="B616" t="s">
        <v>1191</v>
      </c>
      <c r="C616" t="s">
        <v>1160</v>
      </c>
      <c r="D616" t="s">
        <v>488</v>
      </c>
      <c r="E616" t="s">
        <v>13</v>
      </c>
      <c r="F616">
        <v>0</v>
      </c>
      <c r="G616" s="9" t="s">
        <v>1246</v>
      </c>
    </row>
    <row r="617" spans="1:7" x14ac:dyDescent="0.15">
      <c r="A617" t="s">
        <v>29</v>
      </c>
      <c r="B617" t="s">
        <v>1190</v>
      </c>
      <c r="C617" t="s">
        <v>1160</v>
      </c>
      <c r="D617" t="s">
        <v>488</v>
      </c>
      <c r="E617" t="s">
        <v>13</v>
      </c>
      <c r="F617">
        <v>0</v>
      </c>
      <c r="G617" s="9" t="s">
        <v>1246</v>
      </c>
    </row>
    <row r="618" spans="1:7" x14ac:dyDescent="0.15">
      <c r="A618" t="s">
        <v>644</v>
      </c>
      <c r="B618" t="s">
        <v>1192</v>
      </c>
      <c r="C618" t="s">
        <v>1160</v>
      </c>
      <c r="D618" t="s">
        <v>488</v>
      </c>
      <c r="E618" t="s">
        <v>629</v>
      </c>
      <c r="F618">
        <v>0</v>
      </c>
      <c r="G618" s="6"/>
    </row>
    <row r="619" spans="1:7" x14ac:dyDescent="0.15">
      <c r="A619" t="s">
        <v>645</v>
      </c>
      <c r="B619" t="s">
        <v>1193</v>
      </c>
      <c r="C619" t="s">
        <v>1160</v>
      </c>
      <c r="D619" t="s">
        <v>488</v>
      </c>
      <c r="E619" t="s">
        <v>629</v>
      </c>
      <c r="F619">
        <v>0</v>
      </c>
      <c r="G619" s="6"/>
    </row>
    <row r="620" spans="1:7" x14ac:dyDescent="0.15">
      <c r="A620" t="s">
        <v>646</v>
      </c>
      <c r="B620" t="s">
        <v>1194</v>
      </c>
      <c r="C620" t="s">
        <v>1160</v>
      </c>
      <c r="D620" t="s">
        <v>488</v>
      </c>
      <c r="E620" t="s">
        <v>629</v>
      </c>
      <c r="F620">
        <v>0</v>
      </c>
      <c r="G620" s="6"/>
    </row>
    <row r="621" spans="1:7" x14ac:dyDescent="0.15">
      <c r="A621" t="s">
        <v>647</v>
      </c>
      <c r="B621" t="s">
        <v>1195</v>
      </c>
      <c r="C621" t="s">
        <v>1160</v>
      </c>
      <c r="D621" t="s">
        <v>488</v>
      </c>
      <c r="E621" t="s">
        <v>629</v>
      </c>
      <c r="F621">
        <v>0</v>
      </c>
      <c r="G621" s="6"/>
    </row>
    <row r="622" spans="1:7" x14ac:dyDescent="0.15">
      <c r="A622" t="s">
        <v>12</v>
      </c>
      <c r="B622" t="s">
        <v>1196</v>
      </c>
      <c r="C622" t="s">
        <v>1160</v>
      </c>
      <c r="D622" t="s">
        <v>488</v>
      </c>
      <c r="E622" t="s">
        <v>629</v>
      </c>
      <c r="F622">
        <v>10.3</v>
      </c>
      <c r="G622" s="6"/>
    </row>
    <row r="623" spans="1:7" x14ac:dyDescent="0.15">
      <c r="A623" t="s">
        <v>14</v>
      </c>
      <c r="B623" t="s">
        <v>1197</v>
      </c>
      <c r="C623" t="s">
        <v>1160</v>
      </c>
      <c r="D623" t="s">
        <v>488</v>
      </c>
      <c r="E623" t="s">
        <v>629</v>
      </c>
      <c r="F623">
        <v>5.49</v>
      </c>
      <c r="G623" s="6"/>
    </row>
    <row r="624" spans="1:7" x14ac:dyDescent="0.15">
      <c r="A624" t="s">
        <v>15</v>
      </c>
      <c r="B624" t="s">
        <v>1198</v>
      </c>
      <c r="C624" t="s">
        <v>1160</v>
      </c>
      <c r="D624" t="s">
        <v>488</v>
      </c>
      <c r="E624" t="s">
        <v>629</v>
      </c>
      <c r="F624">
        <v>79.819999999999993</v>
      </c>
      <c r="G624" s="6"/>
    </row>
    <row r="625" spans="1:7" x14ac:dyDescent="0.15">
      <c r="A625" t="s">
        <v>648</v>
      </c>
      <c r="B625" t="s">
        <v>1199</v>
      </c>
      <c r="C625" t="s">
        <v>1160</v>
      </c>
      <c r="D625" t="s">
        <v>488</v>
      </c>
      <c r="E625" t="s">
        <v>629</v>
      </c>
      <c r="F625">
        <v>0</v>
      </c>
      <c r="G625" s="6"/>
    </row>
    <row r="626" spans="1:7" x14ac:dyDescent="0.15">
      <c r="A626" t="s">
        <v>649</v>
      </c>
      <c r="B626" t="s">
        <v>1200</v>
      </c>
      <c r="C626" t="s">
        <v>1160</v>
      </c>
      <c r="D626" t="s">
        <v>488</v>
      </c>
      <c r="E626" t="s">
        <v>629</v>
      </c>
      <c r="F626">
        <v>0</v>
      </c>
      <c r="G626" s="6"/>
    </row>
    <row r="627" spans="1:7" x14ac:dyDescent="0.15">
      <c r="A627" t="s">
        <v>393</v>
      </c>
      <c r="B627" t="s">
        <v>1201</v>
      </c>
      <c r="C627" t="s">
        <v>1160</v>
      </c>
      <c r="D627" t="s">
        <v>488</v>
      </c>
      <c r="E627" t="s">
        <v>629</v>
      </c>
      <c r="F627">
        <v>0</v>
      </c>
      <c r="G627" s="9" t="s">
        <v>1246</v>
      </c>
    </row>
    <row r="628" spans="1:7" x14ac:dyDescent="0.15">
      <c r="A628" t="s">
        <v>650</v>
      </c>
      <c r="B628" t="s">
        <v>1202</v>
      </c>
      <c r="C628" t="s">
        <v>1160</v>
      </c>
      <c r="D628" t="s">
        <v>488</v>
      </c>
      <c r="E628" t="s">
        <v>629</v>
      </c>
      <c r="F628">
        <v>0</v>
      </c>
      <c r="G628" s="6"/>
    </row>
    <row r="629" spans="1:7" x14ac:dyDescent="0.15">
      <c r="A629" t="s">
        <v>651</v>
      </c>
      <c r="B629" t="s">
        <v>1203</v>
      </c>
      <c r="C629" t="s">
        <v>1160</v>
      </c>
      <c r="D629" t="s">
        <v>488</v>
      </c>
      <c r="E629" t="s">
        <v>629</v>
      </c>
      <c r="F629">
        <v>0</v>
      </c>
      <c r="G629" s="6"/>
    </row>
    <row r="630" spans="1:7" x14ac:dyDescent="0.15">
      <c r="A630" t="s">
        <v>652</v>
      </c>
      <c r="B630" t="s">
        <v>1204</v>
      </c>
      <c r="C630" t="s">
        <v>1160</v>
      </c>
      <c r="D630" t="s">
        <v>488</v>
      </c>
      <c r="E630" t="s">
        <v>629</v>
      </c>
      <c r="F630">
        <v>0.68627000000000005</v>
      </c>
      <c r="G630" s="6"/>
    </row>
    <row r="631" spans="1:7" x14ac:dyDescent="0.15">
      <c r="A631" t="s">
        <v>23</v>
      </c>
      <c r="B631" t="s">
        <v>1205</v>
      </c>
      <c r="C631" t="s">
        <v>1160</v>
      </c>
      <c r="D631" t="s">
        <v>488</v>
      </c>
      <c r="E631" t="s">
        <v>629</v>
      </c>
      <c r="F631">
        <v>23.61</v>
      </c>
      <c r="G631" s="6"/>
    </row>
    <row r="632" spans="1:7" x14ac:dyDescent="0.15">
      <c r="A632" t="s">
        <v>653</v>
      </c>
      <c r="B632" t="s">
        <v>1206</v>
      </c>
      <c r="C632" t="s">
        <v>702</v>
      </c>
      <c r="D632" t="s">
        <v>703</v>
      </c>
      <c r="E632" t="s">
        <v>479</v>
      </c>
      <c r="F632">
        <v>0</v>
      </c>
      <c r="G632" s="6"/>
    </row>
    <row r="633" spans="1:7" x14ac:dyDescent="0.15">
      <c r="A633" t="s">
        <v>654</v>
      </c>
      <c r="B633" t="s">
        <v>1207</v>
      </c>
      <c r="C633" t="s">
        <v>702</v>
      </c>
      <c r="D633" t="s">
        <v>703</v>
      </c>
      <c r="E633" t="s">
        <v>479</v>
      </c>
      <c r="F633">
        <v>0</v>
      </c>
      <c r="G633" s="6"/>
    </row>
    <row r="634" spans="1:7" x14ac:dyDescent="0.15">
      <c r="A634" t="s">
        <v>655</v>
      </c>
      <c r="B634" t="s">
        <v>1208</v>
      </c>
      <c r="C634" t="s">
        <v>702</v>
      </c>
      <c r="D634" t="s">
        <v>703</v>
      </c>
      <c r="E634" t="s">
        <v>479</v>
      </c>
      <c r="F634">
        <v>0</v>
      </c>
      <c r="G634" s="6"/>
    </row>
    <row r="635" spans="1:7" x14ac:dyDescent="0.15">
      <c r="A635" t="s">
        <v>656</v>
      </c>
      <c r="B635" t="s">
        <v>1209</v>
      </c>
      <c r="C635" t="s">
        <v>699</v>
      </c>
      <c r="D635" t="s">
        <v>488</v>
      </c>
      <c r="E635" t="s">
        <v>479</v>
      </c>
      <c r="F635">
        <v>0</v>
      </c>
      <c r="G635" s="6"/>
    </row>
    <row r="636" spans="1:7" x14ac:dyDescent="0.15">
      <c r="A636" t="s">
        <v>480</v>
      </c>
      <c r="B636" t="s">
        <v>1209</v>
      </c>
      <c r="C636" t="s">
        <v>700</v>
      </c>
      <c r="D636" t="s">
        <v>2</v>
      </c>
      <c r="E636" t="s">
        <v>9</v>
      </c>
      <c r="F636">
        <v>0.30436769647931439</v>
      </c>
      <c r="G636" s="6"/>
    </row>
    <row r="637" spans="1:7" x14ac:dyDescent="0.15">
      <c r="A637" t="s">
        <v>657</v>
      </c>
      <c r="B637" t="s">
        <v>1210</v>
      </c>
      <c r="C637" t="s">
        <v>702</v>
      </c>
      <c r="D637" t="s">
        <v>703</v>
      </c>
      <c r="E637" t="s">
        <v>479</v>
      </c>
      <c r="F637">
        <v>0</v>
      </c>
      <c r="G637" s="6"/>
    </row>
    <row r="638" spans="1:7" x14ac:dyDescent="0.15">
      <c r="A638" t="s">
        <v>658</v>
      </c>
      <c r="B638" t="s">
        <v>1211</v>
      </c>
      <c r="C638" t="s">
        <v>702</v>
      </c>
      <c r="D638" t="s">
        <v>703</v>
      </c>
      <c r="E638" t="s">
        <v>479</v>
      </c>
      <c r="F638">
        <v>0</v>
      </c>
      <c r="G638" s="6"/>
    </row>
    <row r="639" spans="1:7" x14ac:dyDescent="0.15">
      <c r="A639" t="s">
        <v>659</v>
      </c>
      <c r="B639" t="s">
        <v>1212</v>
      </c>
      <c r="C639" t="s">
        <v>702</v>
      </c>
      <c r="D639" t="s">
        <v>703</v>
      </c>
      <c r="E639" t="s">
        <v>479</v>
      </c>
      <c r="F639">
        <v>0</v>
      </c>
      <c r="G639" s="6"/>
    </row>
    <row r="640" spans="1:7" x14ac:dyDescent="0.15">
      <c r="A640" t="s">
        <v>660</v>
      </c>
      <c r="B640" t="s">
        <v>1213</v>
      </c>
      <c r="C640" t="s">
        <v>702</v>
      </c>
      <c r="D640" t="s">
        <v>703</v>
      </c>
      <c r="E640" t="s">
        <v>479</v>
      </c>
      <c r="F640">
        <v>0</v>
      </c>
      <c r="G640" s="6"/>
    </row>
    <row r="641" spans="1:7" x14ac:dyDescent="0.15">
      <c r="A641" t="s">
        <v>661</v>
      </c>
      <c r="B641" t="s">
        <v>1214</v>
      </c>
      <c r="C641" t="s">
        <v>702</v>
      </c>
      <c r="D641" t="s">
        <v>703</v>
      </c>
      <c r="E641" t="s">
        <v>479</v>
      </c>
      <c r="F641">
        <v>0</v>
      </c>
      <c r="G641" s="6"/>
    </row>
    <row r="642" spans="1:7" x14ac:dyDescent="0.15">
      <c r="A642" t="s">
        <v>662</v>
      </c>
      <c r="B642" t="s">
        <v>1215</v>
      </c>
      <c r="C642" t="s">
        <v>702</v>
      </c>
      <c r="D642" t="s">
        <v>703</v>
      </c>
      <c r="E642" t="s">
        <v>479</v>
      </c>
      <c r="F642">
        <v>0</v>
      </c>
      <c r="G642" s="6"/>
    </row>
    <row r="643" spans="1:7" x14ac:dyDescent="0.15">
      <c r="A643" t="s">
        <v>663</v>
      </c>
      <c r="B643" t="s">
        <v>1216</v>
      </c>
      <c r="C643" t="s">
        <v>702</v>
      </c>
      <c r="D643" t="s">
        <v>703</v>
      </c>
      <c r="E643" t="s">
        <v>479</v>
      </c>
      <c r="F643">
        <v>0</v>
      </c>
      <c r="G643" s="6"/>
    </row>
    <row r="644" spans="1:7" x14ac:dyDescent="0.15">
      <c r="A644" t="s">
        <v>664</v>
      </c>
      <c r="B644" t="s">
        <v>1217</v>
      </c>
      <c r="C644" t="s">
        <v>702</v>
      </c>
      <c r="D644" t="s">
        <v>703</v>
      </c>
      <c r="E644" t="s">
        <v>479</v>
      </c>
      <c r="F644">
        <v>0</v>
      </c>
      <c r="G644" s="6"/>
    </row>
    <row r="645" spans="1:7" x14ac:dyDescent="0.15">
      <c r="A645" t="s">
        <v>665</v>
      </c>
      <c r="B645" t="s">
        <v>1218</v>
      </c>
      <c r="C645" t="s">
        <v>702</v>
      </c>
      <c r="D645" t="s">
        <v>703</v>
      </c>
      <c r="E645" t="s">
        <v>479</v>
      </c>
      <c r="F645">
        <v>0</v>
      </c>
      <c r="G645" s="6"/>
    </row>
    <row r="646" spans="1:7" x14ac:dyDescent="0.15">
      <c r="A646" t="s">
        <v>666</v>
      </c>
      <c r="B646" t="s">
        <v>1219</v>
      </c>
      <c r="C646" t="s">
        <v>702</v>
      </c>
      <c r="D646" t="s">
        <v>703</v>
      </c>
      <c r="E646" t="s">
        <v>479</v>
      </c>
      <c r="F646">
        <v>0</v>
      </c>
      <c r="G646" s="6"/>
    </row>
    <row r="647" spans="1:7" x14ac:dyDescent="0.15">
      <c r="A647" t="s">
        <v>667</v>
      </c>
      <c r="B647" t="s">
        <v>1220</v>
      </c>
      <c r="C647" t="s">
        <v>702</v>
      </c>
      <c r="D647" t="s">
        <v>703</v>
      </c>
      <c r="E647" t="s">
        <v>479</v>
      </c>
      <c r="F647">
        <v>0</v>
      </c>
      <c r="G647" s="6"/>
    </row>
    <row r="648" spans="1:7" x14ac:dyDescent="0.15">
      <c r="A648" t="s">
        <v>668</v>
      </c>
      <c r="B648" t="s">
        <v>1221</v>
      </c>
      <c r="C648" t="s">
        <v>702</v>
      </c>
      <c r="D648" t="s">
        <v>703</v>
      </c>
      <c r="E648" t="s">
        <v>479</v>
      </c>
      <c r="F648">
        <v>0</v>
      </c>
      <c r="G648" s="6"/>
    </row>
    <row r="649" spans="1:7" x14ac:dyDescent="0.15">
      <c r="A649" t="s">
        <v>669</v>
      </c>
      <c r="B649" t="s">
        <v>1222</v>
      </c>
      <c r="C649" t="s">
        <v>702</v>
      </c>
      <c r="D649" t="s">
        <v>703</v>
      </c>
      <c r="E649" t="s">
        <v>479</v>
      </c>
      <c r="F649">
        <v>0</v>
      </c>
      <c r="G649" s="6"/>
    </row>
    <row r="650" spans="1:7" x14ac:dyDescent="0.15">
      <c r="A650" t="s">
        <v>670</v>
      </c>
      <c r="B650" t="s">
        <v>1223</v>
      </c>
      <c r="C650" t="s">
        <v>702</v>
      </c>
      <c r="D650" t="s">
        <v>703</v>
      </c>
      <c r="E650" t="s">
        <v>479</v>
      </c>
      <c r="F650">
        <v>0</v>
      </c>
      <c r="G650" s="6"/>
    </row>
    <row r="651" spans="1:7" x14ac:dyDescent="0.15">
      <c r="A651" t="s">
        <v>671</v>
      </c>
      <c r="B651" t="s">
        <v>1224</v>
      </c>
      <c r="C651" t="s">
        <v>702</v>
      </c>
      <c r="D651" t="s">
        <v>703</v>
      </c>
      <c r="E651" t="s">
        <v>479</v>
      </c>
      <c r="F651">
        <v>0</v>
      </c>
      <c r="G651" s="6"/>
    </row>
    <row r="652" spans="1:7" x14ac:dyDescent="0.15">
      <c r="A652" t="s">
        <v>672</v>
      </c>
      <c r="B652" t="s">
        <v>1225</v>
      </c>
      <c r="C652" t="s">
        <v>702</v>
      </c>
      <c r="D652" t="s">
        <v>703</v>
      </c>
      <c r="E652" t="s">
        <v>479</v>
      </c>
      <c r="F652">
        <v>0</v>
      </c>
      <c r="G652" s="6"/>
    </row>
    <row r="653" spans="1:7" x14ac:dyDescent="0.15">
      <c r="A653" t="s">
        <v>673</v>
      </c>
      <c r="B653" t="s">
        <v>1226</v>
      </c>
      <c r="C653" t="s">
        <v>702</v>
      </c>
      <c r="D653" t="s">
        <v>703</v>
      </c>
      <c r="E653" t="s">
        <v>479</v>
      </c>
      <c r="F653">
        <v>0</v>
      </c>
      <c r="G653" s="6"/>
    </row>
    <row r="654" spans="1:7" x14ac:dyDescent="0.15">
      <c r="A654" t="s">
        <v>674</v>
      </c>
      <c r="B654" t="s">
        <v>1227</v>
      </c>
      <c r="C654" t="s">
        <v>702</v>
      </c>
      <c r="D654" t="s">
        <v>703</v>
      </c>
      <c r="E654" t="s">
        <v>479</v>
      </c>
      <c r="F654">
        <v>0</v>
      </c>
      <c r="G654" s="6"/>
    </row>
    <row r="655" spans="1:7" x14ac:dyDescent="0.15">
      <c r="A655" t="s">
        <v>675</v>
      </c>
      <c r="B655" t="s">
        <v>1228</v>
      </c>
      <c r="C655" t="s">
        <v>702</v>
      </c>
      <c r="D655" t="s">
        <v>703</v>
      </c>
      <c r="E655" t="s">
        <v>479</v>
      </c>
      <c r="F655">
        <v>0</v>
      </c>
      <c r="G655" s="6"/>
    </row>
    <row r="656" spans="1:7" x14ac:dyDescent="0.15">
      <c r="A656" t="s">
        <v>676</v>
      </c>
      <c r="B656" t="s">
        <v>1229</v>
      </c>
      <c r="C656" t="s">
        <v>702</v>
      </c>
      <c r="D656" t="s">
        <v>703</v>
      </c>
      <c r="E656" t="s">
        <v>479</v>
      </c>
      <c r="F656">
        <v>0</v>
      </c>
      <c r="G656" s="6"/>
    </row>
    <row r="657" spans="1:7" x14ac:dyDescent="0.15">
      <c r="A657" t="s">
        <v>677</v>
      </c>
      <c r="B657" t="s">
        <v>1230</v>
      </c>
      <c r="C657" t="s">
        <v>702</v>
      </c>
      <c r="D657" t="s">
        <v>703</v>
      </c>
      <c r="E657" t="s">
        <v>479</v>
      </c>
      <c r="F657">
        <v>0</v>
      </c>
      <c r="G657" s="6"/>
    </row>
    <row r="658" spans="1:7" x14ac:dyDescent="0.15">
      <c r="A658" t="s">
        <v>678</v>
      </c>
      <c r="B658" t="s">
        <v>1231</v>
      </c>
      <c r="C658" t="s">
        <v>702</v>
      </c>
      <c r="D658" t="s">
        <v>703</v>
      </c>
      <c r="E658" t="s">
        <v>9</v>
      </c>
      <c r="F658">
        <v>0</v>
      </c>
      <c r="G658" s="6"/>
    </row>
  </sheetData>
  <phoneticPr fontId="3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A1:N1252"/>
  <sheetViews>
    <sheetView topLeftCell="A1206" workbookViewId="0">
      <selection activeCell="A1250" sqref="A1250"/>
    </sheetView>
  </sheetViews>
  <sheetFormatPr defaultRowHeight="13.5" x14ac:dyDescent="0.15"/>
  <cols>
    <col min="1" max="1" width="17.625" customWidth="1"/>
    <col min="2" max="2" width="19.75" customWidth="1"/>
    <col min="3" max="4" width="12" customWidth="1"/>
    <col min="5" max="5" width="7.125" customWidth="1"/>
    <col min="6" max="6" width="15.875" customWidth="1"/>
    <col min="7" max="7" width="16.25" customWidth="1"/>
    <col min="8" max="8" width="11.375" customWidth="1"/>
    <col min="9" max="9" width="17.125" customWidth="1"/>
    <col min="10" max="10" width="13.125" customWidth="1"/>
    <col min="11" max="11" width="17.25" customWidth="1"/>
    <col min="12" max="12" width="19.125" customWidth="1"/>
    <col min="13" max="13" width="11.875" customWidth="1"/>
    <col min="14" max="14" width="14.75" customWidth="1"/>
  </cols>
  <sheetData>
    <row r="1" spans="1:14" ht="22.5" x14ac:dyDescent="0.25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15">
      <c r="A2" s="2" t="s">
        <v>2</v>
      </c>
      <c r="B2" s="2" t="s">
        <v>3</v>
      </c>
      <c r="C2" s="2" t="s">
        <v>4</v>
      </c>
      <c r="D2" s="2" t="s">
        <v>5</v>
      </c>
      <c r="E2" s="2" t="s">
        <v>6</v>
      </c>
      <c r="F2" s="2" t="s">
        <v>485</v>
      </c>
      <c r="G2" s="2" t="s">
        <v>1238</v>
      </c>
      <c r="H2" s="2" t="s">
        <v>484</v>
      </c>
      <c r="I2" s="2" t="s">
        <v>1232</v>
      </c>
      <c r="J2" s="2" t="s">
        <v>1233</v>
      </c>
      <c r="K2" s="2" t="s">
        <v>486</v>
      </c>
      <c r="L2" s="2" t="s">
        <v>483</v>
      </c>
      <c r="M2" s="2" t="s">
        <v>1239</v>
      </c>
      <c r="N2" s="2" t="s">
        <v>1240</v>
      </c>
    </row>
    <row r="3" spans="1:14" x14ac:dyDescent="0.15">
      <c r="A3" s="4" t="s">
        <v>7</v>
      </c>
      <c r="B3" s="4" t="s">
        <v>8</v>
      </c>
      <c r="C3" s="5">
        <v>440</v>
      </c>
      <c r="D3" s="5">
        <v>1</v>
      </c>
      <c r="E3" s="4" t="s">
        <v>9</v>
      </c>
      <c r="F3" s="5">
        <v>0</v>
      </c>
      <c r="G3" s="5">
        <v>0</v>
      </c>
      <c r="H3" s="4" t="s">
        <v>488</v>
      </c>
      <c r="I3" s="4" t="s">
        <v>1234</v>
      </c>
      <c r="J3" s="4" t="s">
        <v>1235</v>
      </c>
      <c r="K3" s="4" t="s">
        <v>10</v>
      </c>
      <c r="L3" s="4" t="s">
        <v>487</v>
      </c>
      <c r="M3" s="5">
        <v>0</v>
      </c>
      <c r="N3" s="4" t="s">
        <v>1241</v>
      </c>
    </row>
    <row r="4" spans="1:14" x14ac:dyDescent="0.15">
      <c r="A4" s="4" t="s">
        <v>8</v>
      </c>
      <c r="B4" s="4" t="s">
        <v>11</v>
      </c>
      <c r="C4" s="5">
        <v>3</v>
      </c>
      <c r="D4" s="5">
        <v>1</v>
      </c>
      <c r="E4" s="4" t="s">
        <v>9</v>
      </c>
      <c r="F4" s="5">
        <v>3</v>
      </c>
      <c r="G4" s="5">
        <v>0</v>
      </c>
      <c r="H4" s="4" t="s">
        <v>488</v>
      </c>
      <c r="I4" s="4" t="s">
        <v>1234</v>
      </c>
      <c r="J4" s="4" t="s">
        <v>1235</v>
      </c>
      <c r="K4" s="4" t="s">
        <v>10</v>
      </c>
      <c r="L4" s="4" t="s">
        <v>487</v>
      </c>
      <c r="M4" s="5">
        <v>0</v>
      </c>
      <c r="N4" s="4" t="s">
        <v>1241</v>
      </c>
    </row>
    <row r="5" spans="1:14" x14ac:dyDescent="0.15">
      <c r="A5" s="4" t="s">
        <v>8</v>
      </c>
      <c r="B5" s="4" t="s">
        <v>12</v>
      </c>
      <c r="C5" s="5">
        <v>10.011934673367</v>
      </c>
      <c r="D5" s="5">
        <v>1000</v>
      </c>
      <c r="E5" s="4" t="s">
        <v>13</v>
      </c>
      <c r="F5" s="5">
        <v>3</v>
      </c>
      <c r="G5" s="5">
        <v>0</v>
      </c>
      <c r="H5" s="4" t="s">
        <v>488</v>
      </c>
      <c r="I5" s="4" t="s">
        <v>1234</v>
      </c>
      <c r="J5" s="4" t="s">
        <v>1235</v>
      </c>
      <c r="K5" s="4" t="s">
        <v>10</v>
      </c>
      <c r="L5" s="4" t="s">
        <v>487</v>
      </c>
      <c r="M5" s="5">
        <v>0</v>
      </c>
      <c r="N5" s="4" t="s">
        <v>1241</v>
      </c>
    </row>
    <row r="6" spans="1:14" x14ac:dyDescent="0.15">
      <c r="A6" s="4" t="s">
        <v>8</v>
      </c>
      <c r="B6" s="4" t="s">
        <v>14</v>
      </c>
      <c r="C6" s="5">
        <v>11.124371859297</v>
      </c>
      <c r="D6" s="5">
        <v>1000</v>
      </c>
      <c r="E6" s="4" t="s">
        <v>13</v>
      </c>
      <c r="F6" s="5">
        <v>3</v>
      </c>
      <c r="G6" s="5">
        <v>0</v>
      </c>
      <c r="H6" s="4" t="s">
        <v>488</v>
      </c>
      <c r="I6" s="4" t="s">
        <v>1234</v>
      </c>
      <c r="J6" s="4" t="s">
        <v>1235</v>
      </c>
      <c r="K6" s="4" t="s">
        <v>10</v>
      </c>
      <c r="L6" s="4" t="s">
        <v>487</v>
      </c>
      <c r="M6" s="5">
        <v>0</v>
      </c>
      <c r="N6" s="4" t="s">
        <v>1241</v>
      </c>
    </row>
    <row r="7" spans="1:14" x14ac:dyDescent="0.15">
      <c r="A7" s="4" t="s">
        <v>8</v>
      </c>
      <c r="B7" s="4" t="s">
        <v>15</v>
      </c>
      <c r="C7" s="5">
        <v>0.222487437186</v>
      </c>
      <c r="D7" s="5">
        <v>1000</v>
      </c>
      <c r="E7" s="4" t="s">
        <v>13</v>
      </c>
      <c r="F7" s="5">
        <v>3</v>
      </c>
      <c r="G7" s="5">
        <v>0</v>
      </c>
      <c r="H7" s="4" t="s">
        <v>488</v>
      </c>
      <c r="I7" s="4" t="s">
        <v>1234</v>
      </c>
      <c r="J7" s="4" t="s">
        <v>1235</v>
      </c>
      <c r="K7" s="4" t="s">
        <v>10</v>
      </c>
      <c r="L7" s="4" t="s">
        <v>487</v>
      </c>
      <c r="M7" s="5">
        <v>0</v>
      </c>
      <c r="N7" s="4" t="s">
        <v>1241</v>
      </c>
    </row>
    <row r="8" spans="1:14" x14ac:dyDescent="0.15">
      <c r="A8" s="4" t="s">
        <v>8</v>
      </c>
      <c r="B8" s="4" t="s">
        <v>16</v>
      </c>
      <c r="C8" s="5">
        <v>0.67448823062700003</v>
      </c>
      <c r="D8" s="5">
        <v>1000</v>
      </c>
      <c r="E8" s="4" t="s">
        <v>13</v>
      </c>
      <c r="F8" s="5">
        <v>3</v>
      </c>
      <c r="G8" s="5">
        <v>0</v>
      </c>
      <c r="H8" s="4" t="s">
        <v>488</v>
      </c>
      <c r="I8" s="4" t="s">
        <v>1234</v>
      </c>
      <c r="J8" s="4" t="s">
        <v>1235</v>
      </c>
      <c r="K8" s="4" t="s">
        <v>10</v>
      </c>
      <c r="L8" s="4" t="s">
        <v>487</v>
      </c>
      <c r="M8" s="5">
        <v>0</v>
      </c>
      <c r="N8" s="4" t="s">
        <v>1241</v>
      </c>
    </row>
    <row r="9" spans="1:14" x14ac:dyDescent="0.15">
      <c r="A9" s="4" t="s">
        <v>8</v>
      </c>
      <c r="B9" s="4" t="s">
        <v>17</v>
      </c>
      <c r="C9" s="5">
        <v>6.4102564102559993</v>
      </c>
      <c r="D9" s="5">
        <v>1000</v>
      </c>
      <c r="E9" s="4" t="s">
        <v>18</v>
      </c>
      <c r="F9" s="5">
        <v>0</v>
      </c>
      <c r="G9" s="5">
        <v>0</v>
      </c>
      <c r="H9" s="4" t="s">
        <v>488</v>
      </c>
      <c r="I9" s="4" t="s">
        <v>1234</v>
      </c>
      <c r="J9" s="4" t="s">
        <v>1235</v>
      </c>
      <c r="K9" s="4" t="s">
        <v>10</v>
      </c>
      <c r="L9" s="4" t="s">
        <v>487</v>
      </c>
      <c r="M9" s="5">
        <v>0</v>
      </c>
      <c r="N9" s="4" t="s">
        <v>1241</v>
      </c>
    </row>
    <row r="10" spans="1:14" x14ac:dyDescent="0.15">
      <c r="A10" s="4" t="s">
        <v>8</v>
      </c>
      <c r="B10" s="4" t="s">
        <v>19</v>
      </c>
      <c r="C10" s="5">
        <v>5</v>
      </c>
      <c r="D10" s="5">
        <v>1</v>
      </c>
      <c r="E10" s="4" t="s">
        <v>18</v>
      </c>
      <c r="F10" s="5">
        <v>0</v>
      </c>
      <c r="G10" s="5">
        <v>0</v>
      </c>
      <c r="H10" s="4" t="s">
        <v>488</v>
      </c>
      <c r="I10" s="4" t="s">
        <v>1236</v>
      </c>
      <c r="J10" s="4" t="s">
        <v>1235</v>
      </c>
      <c r="K10" s="4" t="s">
        <v>10</v>
      </c>
      <c r="L10" s="4" t="s">
        <v>487</v>
      </c>
      <c r="M10" s="5">
        <v>0</v>
      </c>
      <c r="N10" s="4" t="s">
        <v>1241</v>
      </c>
    </row>
    <row r="11" spans="1:14" x14ac:dyDescent="0.15">
      <c r="A11" s="4" t="s">
        <v>20</v>
      </c>
      <c r="B11" s="4" t="s">
        <v>21</v>
      </c>
      <c r="C11" s="5">
        <v>1</v>
      </c>
      <c r="D11" s="5">
        <v>1</v>
      </c>
      <c r="E11" s="4" t="s">
        <v>9</v>
      </c>
      <c r="F11" s="5">
        <v>0</v>
      </c>
      <c r="G11" s="5">
        <v>0</v>
      </c>
      <c r="H11" s="4" t="s">
        <v>488</v>
      </c>
      <c r="I11" s="4" t="s">
        <v>1234</v>
      </c>
      <c r="J11" s="4" t="s">
        <v>1235</v>
      </c>
      <c r="K11" s="4" t="s">
        <v>10</v>
      </c>
      <c r="L11" s="4" t="s">
        <v>487</v>
      </c>
      <c r="M11" s="5">
        <v>0</v>
      </c>
      <c r="N11" s="4" t="s">
        <v>1241</v>
      </c>
    </row>
    <row r="12" spans="1:14" x14ac:dyDescent="0.15">
      <c r="A12" s="4" t="s">
        <v>21</v>
      </c>
      <c r="B12" s="4" t="s">
        <v>22</v>
      </c>
      <c r="C12" s="5">
        <v>24</v>
      </c>
      <c r="D12" s="5">
        <v>1</v>
      </c>
      <c r="E12" s="4" t="s">
        <v>9</v>
      </c>
      <c r="F12" s="5">
        <v>3</v>
      </c>
      <c r="G12" s="5">
        <v>0</v>
      </c>
      <c r="H12" s="4" t="s">
        <v>488</v>
      </c>
      <c r="I12" s="4" t="s">
        <v>1234</v>
      </c>
      <c r="J12" s="4" t="s">
        <v>1235</v>
      </c>
      <c r="K12" s="4" t="s">
        <v>10</v>
      </c>
      <c r="L12" s="4" t="s">
        <v>487</v>
      </c>
      <c r="M12" s="5">
        <v>0</v>
      </c>
      <c r="N12" s="4" t="s">
        <v>1241</v>
      </c>
    </row>
    <row r="13" spans="1:14" x14ac:dyDescent="0.15">
      <c r="A13" s="4" t="s">
        <v>21</v>
      </c>
      <c r="B13" s="4" t="s">
        <v>12</v>
      </c>
      <c r="C13" s="5">
        <v>6.0783919597990002</v>
      </c>
      <c r="D13" s="5">
        <v>1</v>
      </c>
      <c r="E13" s="4" t="s">
        <v>13</v>
      </c>
      <c r="F13" s="5">
        <v>3</v>
      </c>
      <c r="G13" s="5">
        <v>0</v>
      </c>
      <c r="H13" s="4" t="s">
        <v>488</v>
      </c>
      <c r="I13" s="4" t="s">
        <v>1234</v>
      </c>
      <c r="J13" s="4" t="s">
        <v>1235</v>
      </c>
      <c r="K13" s="4" t="s">
        <v>10</v>
      </c>
      <c r="L13" s="4" t="s">
        <v>487</v>
      </c>
      <c r="M13" s="5">
        <v>0</v>
      </c>
      <c r="N13" s="4" t="s">
        <v>1241</v>
      </c>
    </row>
    <row r="14" spans="1:14" x14ac:dyDescent="0.15">
      <c r="A14" s="4" t="s">
        <v>21</v>
      </c>
      <c r="B14" s="4" t="s">
        <v>14</v>
      </c>
      <c r="C14" s="5">
        <v>6.7537688442209998</v>
      </c>
      <c r="D14" s="5">
        <v>1</v>
      </c>
      <c r="E14" s="4" t="s">
        <v>13</v>
      </c>
      <c r="F14" s="5">
        <v>3</v>
      </c>
      <c r="G14" s="5">
        <v>0</v>
      </c>
      <c r="H14" s="4" t="s">
        <v>488</v>
      </c>
      <c r="I14" s="4" t="s">
        <v>1234</v>
      </c>
      <c r="J14" s="4" t="s">
        <v>1235</v>
      </c>
      <c r="K14" s="4" t="s">
        <v>10</v>
      </c>
      <c r="L14" s="4" t="s">
        <v>487</v>
      </c>
      <c r="M14" s="5">
        <v>0</v>
      </c>
      <c r="N14" s="4" t="s">
        <v>1241</v>
      </c>
    </row>
    <row r="15" spans="1:14" x14ac:dyDescent="0.15">
      <c r="A15" s="4" t="s">
        <v>21</v>
      </c>
      <c r="B15" s="4" t="s">
        <v>15</v>
      </c>
      <c r="C15" s="5">
        <v>0.13507537688400001</v>
      </c>
      <c r="D15" s="5">
        <v>1</v>
      </c>
      <c r="E15" s="4" t="s">
        <v>13</v>
      </c>
      <c r="F15" s="5">
        <v>3</v>
      </c>
      <c r="G15" s="5">
        <v>0</v>
      </c>
      <c r="H15" s="4" t="s">
        <v>488</v>
      </c>
      <c r="I15" s="4" t="s">
        <v>1234</v>
      </c>
      <c r="J15" s="4" t="s">
        <v>1235</v>
      </c>
      <c r="K15" s="4" t="s">
        <v>10</v>
      </c>
      <c r="L15" s="4" t="s">
        <v>487</v>
      </c>
      <c r="M15" s="5">
        <v>0</v>
      </c>
      <c r="N15" s="4" t="s">
        <v>1241</v>
      </c>
    </row>
    <row r="16" spans="1:14" x14ac:dyDescent="0.15">
      <c r="A16" s="4" t="s">
        <v>21</v>
      </c>
      <c r="B16" s="4" t="s">
        <v>23</v>
      </c>
      <c r="C16" s="5">
        <v>0.33768844221099997</v>
      </c>
      <c r="D16" s="5">
        <v>1</v>
      </c>
      <c r="E16" s="4" t="s">
        <v>13</v>
      </c>
      <c r="F16" s="5">
        <v>3</v>
      </c>
      <c r="G16" s="5">
        <v>0</v>
      </c>
      <c r="H16" s="4" t="s">
        <v>488</v>
      </c>
      <c r="I16" s="4" t="s">
        <v>1234</v>
      </c>
      <c r="J16" s="4" t="s">
        <v>1235</v>
      </c>
      <c r="K16" s="4" t="s">
        <v>10</v>
      </c>
      <c r="L16" s="4" t="s">
        <v>487</v>
      </c>
      <c r="M16" s="5">
        <v>0</v>
      </c>
      <c r="N16" s="4" t="s">
        <v>1241</v>
      </c>
    </row>
    <row r="17" spans="1:14" x14ac:dyDescent="0.15">
      <c r="A17" s="4" t="s">
        <v>21</v>
      </c>
      <c r="B17" s="4" t="s">
        <v>24</v>
      </c>
      <c r="C17" s="5">
        <v>0.13507537688400001</v>
      </c>
      <c r="D17" s="5">
        <v>1</v>
      </c>
      <c r="E17" s="4" t="s">
        <v>13</v>
      </c>
      <c r="F17" s="5">
        <v>3</v>
      </c>
      <c r="G17" s="5">
        <v>0</v>
      </c>
      <c r="H17" s="4" t="s">
        <v>488</v>
      </c>
      <c r="I17" s="4" t="s">
        <v>1234</v>
      </c>
      <c r="J17" s="4" t="s">
        <v>1235</v>
      </c>
      <c r="K17" s="4" t="s">
        <v>10</v>
      </c>
      <c r="L17" s="4" t="s">
        <v>487</v>
      </c>
      <c r="M17" s="5">
        <v>0</v>
      </c>
      <c r="N17" s="4" t="s">
        <v>1241</v>
      </c>
    </row>
    <row r="18" spans="1:14" x14ac:dyDescent="0.15">
      <c r="A18" s="4" t="s">
        <v>21</v>
      </c>
      <c r="B18" s="4" t="s">
        <v>17</v>
      </c>
      <c r="C18" s="5">
        <v>16.666666666666998</v>
      </c>
      <c r="D18" s="5">
        <v>1000</v>
      </c>
      <c r="E18" s="4" t="s">
        <v>18</v>
      </c>
      <c r="F18" s="5">
        <v>0</v>
      </c>
      <c r="G18" s="5">
        <v>0</v>
      </c>
      <c r="H18" s="4" t="s">
        <v>488</v>
      </c>
      <c r="I18" s="4" t="s">
        <v>1234</v>
      </c>
      <c r="J18" s="4" t="s">
        <v>1235</v>
      </c>
      <c r="K18" s="4" t="s">
        <v>10</v>
      </c>
      <c r="L18" s="4" t="s">
        <v>487</v>
      </c>
      <c r="M18" s="5">
        <v>0</v>
      </c>
      <c r="N18" s="4" t="s">
        <v>1241</v>
      </c>
    </row>
    <row r="19" spans="1:14" x14ac:dyDescent="0.15">
      <c r="A19" s="4" t="s">
        <v>21</v>
      </c>
      <c r="B19" s="4" t="s">
        <v>19</v>
      </c>
      <c r="C19" s="5">
        <v>5</v>
      </c>
      <c r="D19" s="5">
        <v>1</v>
      </c>
      <c r="E19" s="4" t="s">
        <v>18</v>
      </c>
      <c r="F19" s="5">
        <v>0</v>
      </c>
      <c r="G19" s="5">
        <v>0</v>
      </c>
      <c r="H19" s="4" t="s">
        <v>488</v>
      </c>
      <c r="I19" s="4" t="s">
        <v>1236</v>
      </c>
      <c r="J19" s="4" t="s">
        <v>1235</v>
      </c>
      <c r="K19" s="4" t="s">
        <v>10</v>
      </c>
      <c r="L19" s="4" t="s">
        <v>487</v>
      </c>
      <c r="M19" s="5">
        <v>0</v>
      </c>
      <c r="N19" s="4" t="s">
        <v>1241</v>
      </c>
    </row>
    <row r="20" spans="1:14" x14ac:dyDescent="0.15">
      <c r="A20" s="4" t="s">
        <v>25</v>
      </c>
      <c r="B20" s="4" t="s">
        <v>26</v>
      </c>
      <c r="C20" s="5">
        <v>1</v>
      </c>
      <c r="D20" s="5">
        <v>1</v>
      </c>
      <c r="E20" s="4" t="s">
        <v>9</v>
      </c>
      <c r="F20" s="5">
        <v>0</v>
      </c>
      <c r="G20" s="5">
        <v>0</v>
      </c>
      <c r="H20" s="4" t="s">
        <v>488</v>
      </c>
      <c r="I20" s="4" t="s">
        <v>1234</v>
      </c>
      <c r="J20" s="4" t="s">
        <v>1235</v>
      </c>
      <c r="K20" s="4" t="s">
        <v>10</v>
      </c>
      <c r="L20" s="4" t="s">
        <v>487</v>
      </c>
      <c r="M20" s="5">
        <v>0</v>
      </c>
      <c r="N20" s="4" t="s">
        <v>1241</v>
      </c>
    </row>
    <row r="21" spans="1:14" x14ac:dyDescent="0.15">
      <c r="A21" s="4" t="s">
        <v>27</v>
      </c>
      <c r="B21" s="4" t="s">
        <v>26</v>
      </c>
      <c r="C21" s="5">
        <v>2</v>
      </c>
      <c r="D21" s="5">
        <v>1</v>
      </c>
      <c r="E21" s="4" t="s">
        <v>9</v>
      </c>
      <c r="F21" s="5">
        <v>0</v>
      </c>
      <c r="G21" s="5">
        <v>0</v>
      </c>
      <c r="H21" s="4" t="s">
        <v>488</v>
      </c>
      <c r="I21" s="4" t="s">
        <v>1234</v>
      </c>
      <c r="J21" s="4" t="s">
        <v>1235</v>
      </c>
      <c r="K21" s="4" t="s">
        <v>10</v>
      </c>
      <c r="L21" s="4" t="s">
        <v>487</v>
      </c>
      <c r="M21" s="5">
        <v>0</v>
      </c>
      <c r="N21" s="4" t="s">
        <v>1241</v>
      </c>
    </row>
    <row r="22" spans="1:14" x14ac:dyDescent="0.15">
      <c r="A22" s="4" t="s">
        <v>26</v>
      </c>
      <c r="B22" s="4" t="s">
        <v>28</v>
      </c>
      <c r="C22" s="5">
        <v>2</v>
      </c>
      <c r="D22" s="5">
        <v>1</v>
      </c>
      <c r="E22" s="4" t="s">
        <v>9</v>
      </c>
      <c r="F22" s="5">
        <v>3</v>
      </c>
      <c r="G22" s="5">
        <v>0</v>
      </c>
      <c r="H22" s="4" t="s">
        <v>488</v>
      </c>
      <c r="I22" s="4" t="s">
        <v>1234</v>
      </c>
      <c r="J22" s="4" t="s">
        <v>1235</v>
      </c>
      <c r="K22" s="4" t="s">
        <v>10</v>
      </c>
      <c r="L22" s="4" t="s">
        <v>487</v>
      </c>
      <c r="M22" s="5">
        <v>0</v>
      </c>
      <c r="N22" s="4" t="s">
        <v>1241</v>
      </c>
    </row>
    <row r="23" spans="1:14" x14ac:dyDescent="0.15">
      <c r="A23" s="4" t="s">
        <v>26</v>
      </c>
      <c r="B23" s="4" t="s">
        <v>29</v>
      </c>
      <c r="C23" s="5">
        <v>1</v>
      </c>
      <c r="D23" s="5">
        <v>1</v>
      </c>
      <c r="E23" s="4" t="s">
        <v>9</v>
      </c>
      <c r="F23" s="5">
        <v>3</v>
      </c>
      <c r="G23" s="5">
        <v>0</v>
      </c>
      <c r="H23" s="4" t="s">
        <v>488</v>
      </c>
      <c r="I23" s="4" t="s">
        <v>1234</v>
      </c>
      <c r="J23" s="4" t="s">
        <v>1235</v>
      </c>
      <c r="K23" s="4" t="s">
        <v>10</v>
      </c>
      <c r="L23" s="4" t="s">
        <v>487</v>
      </c>
      <c r="M23" s="5">
        <v>0</v>
      </c>
      <c r="N23" s="4" t="s">
        <v>1241</v>
      </c>
    </row>
    <row r="24" spans="1:14" x14ac:dyDescent="0.15">
      <c r="A24" s="4" t="s">
        <v>26</v>
      </c>
      <c r="B24" s="4" t="s">
        <v>12</v>
      </c>
      <c r="C24" s="5">
        <v>0.15684422110599999</v>
      </c>
      <c r="D24" s="5">
        <v>1</v>
      </c>
      <c r="E24" s="4" t="s">
        <v>13</v>
      </c>
      <c r="F24" s="5">
        <v>3</v>
      </c>
      <c r="G24" s="5">
        <v>0</v>
      </c>
      <c r="H24" s="4" t="s">
        <v>488</v>
      </c>
      <c r="I24" s="4" t="s">
        <v>1234</v>
      </c>
      <c r="J24" s="4" t="s">
        <v>1235</v>
      </c>
      <c r="K24" s="4" t="s">
        <v>10</v>
      </c>
      <c r="L24" s="4" t="s">
        <v>487</v>
      </c>
      <c r="M24" s="5">
        <v>0</v>
      </c>
      <c r="N24" s="4" t="s">
        <v>1241</v>
      </c>
    </row>
    <row r="25" spans="1:14" x14ac:dyDescent="0.15">
      <c r="A25" s="4" t="s">
        <v>26</v>
      </c>
      <c r="B25" s="4" t="s">
        <v>14</v>
      </c>
      <c r="C25" s="5">
        <v>0.17427135678399999</v>
      </c>
      <c r="D25" s="5">
        <v>1</v>
      </c>
      <c r="E25" s="4" t="s">
        <v>13</v>
      </c>
      <c r="F25" s="5">
        <v>3</v>
      </c>
      <c r="G25" s="5">
        <v>0</v>
      </c>
      <c r="H25" s="4" t="s">
        <v>488</v>
      </c>
      <c r="I25" s="4" t="s">
        <v>1234</v>
      </c>
      <c r="J25" s="4" t="s">
        <v>1235</v>
      </c>
      <c r="K25" s="4" t="s">
        <v>10</v>
      </c>
      <c r="L25" s="4" t="s">
        <v>487</v>
      </c>
      <c r="M25" s="5">
        <v>0</v>
      </c>
      <c r="N25" s="4" t="s">
        <v>1241</v>
      </c>
    </row>
    <row r="26" spans="1:14" x14ac:dyDescent="0.15">
      <c r="A26" s="4" t="s">
        <v>26</v>
      </c>
      <c r="B26" s="4" t="s">
        <v>15</v>
      </c>
      <c r="C26" s="5">
        <v>3.4854271356780004</v>
      </c>
      <c r="D26" s="5">
        <v>1000</v>
      </c>
      <c r="E26" s="4" t="s">
        <v>13</v>
      </c>
      <c r="F26" s="5">
        <v>3</v>
      </c>
      <c r="G26" s="5">
        <v>0</v>
      </c>
      <c r="H26" s="4" t="s">
        <v>488</v>
      </c>
      <c r="I26" s="4" t="s">
        <v>1234</v>
      </c>
      <c r="J26" s="4" t="s">
        <v>1235</v>
      </c>
      <c r="K26" s="4" t="s">
        <v>10</v>
      </c>
      <c r="L26" s="4" t="s">
        <v>487</v>
      </c>
      <c r="M26" s="5">
        <v>0</v>
      </c>
      <c r="N26" s="4" t="s">
        <v>1241</v>
      </c>
    </row>
    <row r="27" spans="1:14" x14ac:dyDescent="0.15">
      <c r="A27" s="4" t="s">
        <v>26</v>
      </c>
      <c r="B27" s="4" t="s">
        <v>23</v>
      </c>
      <c r="C27" s="5">
        <v>8.7135678391959992</v>
      </c>
      <c r="D27" s="5">
        <v>1000</v>
      </c>
      <c r="E27" s="4" t="s">
        <v>13</v>
      </c>
      <c r="F27" s="5">
        <v>3</v>
      </c>
      <c r="G27" s="5">
        <v>0</v>
      </c>
      <c r="H27" s="4" t="s">
        <v>488</v>
      </c>
      <c r="I27" s="4" t="s">
        <v>1234</v>
      </c>
      <c r="J27" s="4" t="s">
        <v>1235</v>
      </c>
      <c r="K27" s="4" t="s">
        <v>10</v>
      </c>
      <c r="L27" s="4" t="s">
        <v>487</v>
      </c>
      <c r="M27" s="5">
        <v>0</v>
      </c>
      <c r="N27" s="4" t="s">
        <v>1241</v>
      </c>
    </row>
    <row r="28" spans="1:14" x14ac:dyDescent="0.15">
      <c r="A28" s="4" t="s">
        <v>26</v>
      </c>
      <c r="B28" s="4" t="s">
        <v>24</v>
      </c>
      <c r="C28" s="5">
        <v>3.4854271356780004</v>
      </c>
      <c r="D28" s="5">
        <v>1000</v>
      </c>
      <c r="E28" s="4" t="s">
        <v>13</v>
      </c>
      <c r="F28" s="5">
        <v>3</v>
      </c>
      <c r="G28" s="5">
        <v>0</v>
      </c>
      <c r="H28" s="4" t="s">
        <v>488</v>
      </c>
      <c r="I28" s="4" t="s">
        <v>1234</v>
      </c>
      <c r="J28" s="4" t="s">
        <v>1235</v>
      </c>
      <c r="K28" s="4" t="s">
        <v>10</v>
      </c>
      <c r="L28" s="4" t="s">
        <v>487</v>
      </c>
      <c r="M28" s="5">
        <v>0</v>
      </c>
      <c r="N28" s="4" t="s">
        <v>1241</v>
      </c>
    </row>
    <row r="29" spans="1:14" x14ac:dyDescent="0.15">
      <c r="A29" s="4" t="s">
        <v>26</v>
      </c>
      <c r="B29" s="4" t="s">
        <v>17</v>
      </c>
      <c r="C29" s="5">
        <v>13.888888888889001</v>
      </c>
      <c r="D29" s="5">
        <v>1000</v>
      </c>
      <c r="E29" s="4" t="s">
        <v>18</v>
      </c>
      <c r="F29" s="5">
        <v>0</v>
      </c>
      <c r="G29" s="5">
        <v>0</v>
      </c>
      <c r="H29" s="4" t="s">
        <v>488</v>
      </c>
      <c r="I29" s="4" t="s">
        <v>1234</v>
      </c>
      <c r="J29" s="4" t="s">
        <v>1235</v>
      </c>
      <c r="K29" s="4" t="s">
        <v>10</v>
      </c>
      <c r="L29" s="4" t="s">
        <v>487</v>
      </c>
      <c r="M29" s="5">
        <v>0</v>
      </c>
      <c r="N29" s="4" t="s">
        <v>1241</v>
      </c>
    </row>
    <row r="30" spans="1:14" x14ac:dyDescent="0.15">
      <c r="A30" s="4" t="s">
        <v>26</v>
      </c>
      <c r="B30" s="4" t="s">
        <v>19</v>
      </c>
      <c r="C30" s="5">
        <v>3</v>
      </c>
      <c r="D30" s="5">
        <v>1</v>
      </c>
      <c r="E30" s="4" t="s">
        <v>18</v>
      </c>
      <c r="F30" s="5">
        <v>0</v>
      </c>
      <c r="G30" s="5">
        <v>0</v>
      </c>
      <c r="H30" s="4" t="s">
        <v>488</v>
      </c>
      <c r="I30" s="4" t="s">
        <v>1236</v>
      </c>
      <c r="J30" s="4" t="s">
        <v>1235</v>
      </c>
      <c r="K30" s="4" t="s">
        <v>10</v>
      </c>
      <c r="L30" s="4" t="s">
        <v>487</v>
      </c>
      <c r="M30" s="5">
        <v>0</v>
      </c>
      <c r="N30" s="4" t="s">
        <v>1241</v>
      </c>
    </row>
    <row r="31" spans="1:14" x14ac:dyDescent="0.15">
      <c r="A31" s="4" t="s">
        <v>30</v>
      </c>
      <c r="B31" s="4" t="s">
        <v>31</v>
      </c>
      <c r="C31" s="5">
        <v>1</v>
      </c>
      <c r="D31" s="5">
        <v>1</v>
      </c>
      <c r="E31" s="4" t="s">
        <v>9</v>
      </c>
      <c r="F31" s="5">
        <v>0</v>
      </c>
      <c r="G31" s="5">
        <v>0</v>
      </c>
      <c r="H31" s="4" t="s">
        <v>488</v>
      </c>
      <c r="I31" s="4" t="s">
        <v>1234</v>
      </c>
      <c r="J31" s="4" t="s">
        <v>1235</v>
      </c>
      <c r="K31" s="4" t="s">
        <v>10</v>
      </c>
      <c r="L31" s="4" t="s">
        <v>487</v>
      </c>
      <c r="M31" s="5">
        <v>0</v>
      </c>
      <c r="N31" s="4" t="s">
        <v>1241</v>
      </c>
    </row>
    <row r="32" spans="1:14" x14ac:dyDescent="0.15">
      <c r="A32" s="4" t="s">
        <v>32</v>
      </c>
      <c r="B32" s="4" t="s">
        <v>31</v>
      </c>
      <c r="C32" s="5">
        <v>2</v>
      </c>
      <c r="D32" s="5">
        <v>1</v>
      </c>
      <c r="E32" s="4" t="s">
        <v>9</v>
      </c>
      <c r="F32" s="5">
        <v>0</v>
      </c>
      <c r="G32" s="5">
        <v>0</v>
      </c>
      <c r="H32" s="4" t="s">
        <v>488</v>
      </c>
      <c r="I32" s="4" t="s">
        <v>1234</v>
      </c>
      <c r="J32" s="4" t="s">
        <v>1235</v>
      </c>
      <c r="K32" s="4" t="s">
        <v>10</v>
      </c>
      <c r="L32" s="4" t="s">
        <v>487</v>
      </c>
      <c r="M32" s="5">
        <v>0</v>
      </c>
      <c r="N32" s="4" t="s">
        <v>1241</v>
      </c>
    </row>
    <row r="33" spans="1:14" x14ac:dyDescent="0.15">
      <c r="A33" s="4" t="s">
        <v>31</v>
      </c>
      <c r="B33" s="4" t="s">
        <v>28</v>
      </c>
      <c r="C33" s="5">
        <v>1</v>
      </c>
      <c r="D33" s="5">
        <v>1</v>
      </c>
      <c r="E33" s="4" t="s">
        <v>9</v>
      </c>
      <c r="F33" s="5">
        <v>3</v>
      </c>
      <c r="G33" s="5">
        <v>0</v>
      </c>
      <c r="H33" s="4" t="s">
        <v>488</v>
      </c>
      <c r="I33" s="4" t="s">
        <v>1234</v>
      </c>
      <c r="J33" s="4" t="s">
        <v>1235</v>
      </c>
      <c r="K33" s="4" t="s">
        <v>10</v>
      </c>
      <c r="L33" s="4" t="s">
        <v>487</v>
      </c>
      <c r="M33" s="5">
        <v>0</v>
      </c>
      <c r="N33" s="4" t="s">
        <v>1241</v>
      </c>
    </row>
    <row r="34" spans="1:14" x14ac:dyDescent="0.15">
      <c r="A34" s="4" t="s">
        <v>31</v>
      </c>
      <c r="B34" s="4" t="s">
        <v>33</v>
      </c>
      <c r="C34" s="5">
        <v>1</v>
      </c>
      <c r="D34" s="5">
        <v>1</v>
      </c>
      <c r="E34" s="4" t="s">
        <v>9</v>
      </c>
      <c r="F34" s="5">
        <v>3</v>
      </c>
      <c r="G34" s="5">
        <v>0</v>
      </c>
      <c r="H34" s="4" t="s">
        <v>488</v>
      </c>
      <c r="I34" s="4" t="s">
        <v>1234</v>
      </c>
      <c r="J34" s="4" t="s">
        <v>1235</v>
      </c>
      <c r="K34" s="4" t="s">
        <v>10</v>
      </c>
      <c r="L34" s="4" t="s">
        <v>487</v>
      </c>
      <c r="M34" s="5">
        <v>0</v>
      </c>
      <c r="N34" s="4" t="s">
        <v>1241</v>
      </c>
    </row>
    <row r="35" spans="1:14" x14ac:dyDescent="0.15">
      <c r="A35" s="4" t="s">
        <v>31</v>
      </c>
      <c r="B35" s="4" t="s">
        <v>34</v>
      </c>
      <c r="C35" s="5">
        <v>1</v>
      </c>
      <c r="D35" s="5">
        <v>1</v>
      </c>
      <c r="E35" s="4" t="s">
        <v>9</v>
      </c>
      <c r="F35" s="5">
        <v>3</v>
      </c>
      <c r="G35" s="5">
        <v>0</v>
      </c>
      <c r="H35" s="4" t="s">
        <v>488</v>
      </c>
      <c r="I35" s="4" t="s">
        <v>1234</v>
      </c>
      <c r="J35" s="4" t="s">
        <v>1235</v>
      </c>
      <c r="K35" s="4" t="s">
        <v>10</v>
      </c>
      <c r="L35" s="4" t="s">
        <v>487</v>
      </c>
      <c r="M35" s="5">
        <v>0</v>
      </c>
      <c r="N35" s="4" t="s">
        <v>1241</v>
      </c>
    </row>
    <row r="36" spans="1:14" x14ac:dyDescent="0.15">
      <c r="A36" s="4" t="s">
        <v>31</v>
      </c>
      <c r="B36" s="4" t="s">
        <v>12</v>
      </c>
      <c r="C36" s="5">
        <v>0.193025125628</v>
      </c>
      <c r="D36" s="5">
        <v>1</v>
      </c>
      <c r="E36" s="4" t="s">
        <v>13</v>
      </c>
      <c r="F36" s="5">
        <v>3</v>
      </c>
      <c r="G36" s="5">
        <v>0</v>
      </c>
      <c r="H36" s="4" t="s">
        <v>488</v>
      </c>
      <c r="I36" s="4" t="s">
        <v>1234</v>
      </c>
      <c r="J36" s="4" t="s">
        <v>1235</v>
      </c>
      <c r="K36" s="4" t="s">
        <v>10</v>
      </c>
      <c r="L36" s="4" t="s">
        <v>487</v>
      </c>
      <c r="M36" s="5">
        <v>0</v>
      </c>
      <c r="N36" s="4" t="s">
        <v>1241</v>
      </c>
    </row>
    <row r="37" spans="1:14" x14ac:dyDescent="0.15">
      <c r="A37" s="4" t="s">
        <v>31</v>
      </c>
      <c r="B37" s="4" t="s">
        <v>14</v>
      </c>
      <c r="C37" s="5">
        <v>0.21447236180900001</v>
      </c>
      <c r="D37" s="5">
        <v>1</v>
      </c>
      <c r="E37" s="4" t="s">
        <v>13</v>
      </c>
      <c r="F37" s="5">
        <v>3</v>
      </c>
      <c r="G37" s="5">
        <v>0</v>
      </c>
      <c r="H37" s="4" t="s">
        <v>488</v>
      </c>
      <c r="I37" s="4" t="s">
        <v>1234</v>
      </c>
      <c r="J37" s="4" t="s">
        <v>1235</v>
      </c>
      <c r="K37" s="4" t="s">
        <v>10</v>
      </c>
      <c r="L37" s="4" t="s">
        <v>487</v>
      </c>
      <c r="M37" s="5">
        <v>0</v>
      </c>
      <c r="N37" s="4" t="s">
        <v>1241</v>
      </c>
    </row>
    <row r="38" spans="1:14" x14ac:dyDescent="0.15">
      <c r="A38" s="4" t="s">
        <v>31</v>
      </c>
      <c r="B38" s="4" t="s">
        <v>15</v>
      </c>
      <c r="C38" s="5">
        <v>4.2894472361809992</v>
      </c>
      <c r="D38" s="5">
        <v>1000</v>
      </c>
      <c r="E38" s="4" t="s">
        <v>13</v>
      </c>
      <c r="F38" s="5">
        <v>3</v>
      </c>
      <c r="G38" s="5">
        <v>0</v>
      </c>
      <c r="H38" s="4" t="s">
        <v>488</v>
      </c>
      <c r="I38" s="4" t="s">
        <v>1234</v>
      </c>
      <c r="J38" s="4" t="s">
        <v>1235</v>
      </c>
      <c r="K38" s="4" t="s">
        <v>10</v>
      </c>
      <c r="L38" s="4" t="s">
        <v>487</v>
      </c>
      <c r="M38" s="5">
        <v>0</v>
      </c>
      <c r="N38" s="4" t="s">
        <v>1241</v>
      </c>
    </row>
    <row r="39" spans="1:14" x14ac:dyDescent="0.15">
      <c r="A39" s="4" t="s">
        <v>31</v>
      </c>
      <c r="B39" s="4" t="s">
        <v>23</v>
      </c>
      <c r="C39" s="5">
        <v>10.723618090452</v>
      </c>
      <c r="D39" s="5">
        <v>1000</v>
      </c>
      <c r="E39" s="4" t="s">
        <v>13</v>
      </c>
      <c r="F39" s="5">
        <v>3</v>
      </c>
      <c r="G39" s="5">
        <v>0</v>
      </c>
      <c r="H39" s="4" t="s">
        <v>488</v>
      </c>
      <c r="I39" s="4" t="s">
        <v>1234</v>
      </c>
      <c r="J39" s="4" t="s">
        <v>1235</v>
      </c>
      <c r="K39" s="4" t="s">
        <v>10</v>
      </c>
      <c r="L39" s="4" t="s">
        <v>487</v>
      </c>
      <c r="M39" s="5">
        <v>0</v>
      </c>
      <c r="N39" s="4" t="s">
        <v>1241</v>
      </c>
    </row>
    <row r="40" spans="1:14" x14ac:dyDescent="0.15">
      <c r="A40" s="4" t="s">
        <v>31</v>
      </c>
      <c r="B40" s="4" t="s">
        <v>24</v>
      </c>
      <c r="C40" s="5">
        <v>4.2894472361809992</v>
      </c>
      <c r="D40" s="5">
        <v>1000</v>
      </c>
      <c r="E40" s="4" t="s">
        <v>13</v>
      </c>
      <c r="F40" s="5">
        <v>3</v>
      </c>
      <c r="G40" s="5">
        <v>0</v>
      </c>
      <c r="H40" s="4" t="s">
        <v>488</v>
      </c>
      <c r="I40" s="4" t="s">
        <v>1234</v>
      </c>
      <c r="J40" s="4" t="s">
        <v>1235</v>
      </c>
      <c r="K40" s="4" t="s">
        <v>10</v>
      </c>
      <c r="L40" s="4" t="s">
        <v>487</v>
      </c>
      <c r="M40" s="5">
        <v>0</v>
      </c>
      <c r="N40" s="4" t="s">
        <v>1241</v>
      </c>
    </row>
    <row r="41" spans="1:14" x14ac:dyDescent="0.15">
      <c r="A41" s="4" t="s">
        <v>31</v>
      </c>
      <c r="B41" s="4" t="s">
        <v>17</v>
      </c>
      <c r="C41" s="5">
        <v>13.888888888889001</v>
      </c>
      <c r="D41" s="5">
        <v>1000</v>
      </c>
      <c r="E41" s="4" t="s">
        <v>18</v>
      </c>
      <c r="F41" s="5">
        <v>0</v>
      </c>
      <c r="G41" s="5">
        <v>0</v>
      </c>
      <c r="H41" s="4" t="s">
        <v>488</v>
      </c>
      <c r="I41" s="4" t="s">
        <v>1234</v>
      </c>
      <c r="J41" s="4" t="s">
        <v>1235</v>
      </c>
      <c r="K41" s="4" t="s">
        <v>10</v>
      </c>
      <c r="L41" s="4" t="s">
        <v>487</v>
      </c>
      <c r="M41" s="5">
        <v>0</v>
      </c>
      <c r="N41" s="4" t="s">
        <v>1241</v>
      </c>
    </row>
    <row r="42" spans="1:14" x14ac:dyDescent="0.15">
      <c r="A42" s="4" t="s">
        <v>31</v>
      </c>
      <c r="B42" s="4" t="s">
        <v>19</v>
      </c>
      <c r="C42" s="5">
        <v>3</v>
      </c>
      <c r="D42" s="5">
        <v>1</v>
      </c>
      <c r="E42" s="4" t="s">
        <v>18</v>
      </c>
      <c r="F42" s="5">
        <v>0</v>
      </c>
      <c r="G42" s="5">
        <v>0</v>
      </c>
      <c r="H42" s="4" t="s">
        <v>488</v>
      </c>
      <c r="I42" s="4" t="s">
        <v>1236</v>
      </c>
      <c r="J42" s="4" t="s">
        <v>1235</v>
      </c>
      <c r="K42" s="4" t="s">
        <v>10</v>
      </c>
      <c r="L42" s="4" t="s">
        <v>487</v>
      </c>
      <c r="M42" s="5">
        <v>0</v>
      </c>
      <c r="N42" s="4" t="s">
        <v>1241</v>
      </c>
    </row>
    <row r="43" spans="1:14" x14ac:dyDescent="0.15">
      <c r="A43" s="4" t="s">
        <v>35</v>
      </c>
      <c r="B43" s="4" t="s">
        <v>36</v>
      </c>
      <c r="C43" s="5">
        <v>1</v>
      </c>
      <c r="D43" s="5">
        <v>1</v>
      </c>
      <c r="E43" s="4" t="s">
        <v>9</v>
      </c>
      <c r="F43" s="5">
        <v>0</v>
      </c>
      <c r="G43" s="5">
        <v>0</v>
      </c>
      <c r="H43" s="4" t="s">
        <v>488</v>
      </c>
      <c r="I43" s="4" t="s">
        <v>1234</v>
      </c>
      <c r="J43" s="4" t="s">
        <v>1235</v>
      </c>
      <c r="K43" s="4" t="s">
        <v>10</v>
      </c>
      <c r="L43" s="4" t="s">
        <v>487</v>
      </c>
      <c r="M43" s="5">
        <v>0</v>
      </c>
      <c r="N43" s="4" t="s">
        <v>1241</v>
      </c>
    </row>
    <row r="44" spans="1:14" x14ac:dyDescent="0.15">
      <c r="A44" s="4" t="s">
        <v>37</v>
      </c>
      <c r="B44" s="4" t="s">
        <v>36</v>
      </c>
      <c r="C44" s="5">
        <v>2</v>
      </c>
      <c r="D44" s="5">
        <v>1</v>
      </c>
      <c r="E44" s="4" t="s">
        <v>9</v>
      </c>
      <c r="F44" s="5">
        <v>0</v>
      </c>
      <c r="G44" s="5">
        <v>0</v>
      </c>
      <c r="H44" s="4" t="s">
        <v>488</v>
      </c>
      <c r="I44" s="4" t="s">
        <v>1234</v>
      </c>
      <c r="J44" s="4" t="s">
        <v>1235</v>
      </c>
      <c r="K44" s="4" t="s">
        <v>10</v>
      </c>
      <c r="L44" s="4" t="s">
        <v>487</v>
      </c>
      <c r="M44" s="5">
        <v>0</v>
      </c>
      <c r="N44" s="4" t="s">
        <v>1241</v>
      </c>
    </row>
    <row r="45" spans="1:14" x14ac:dyDescent="0.15">
      <c r="A45" s="4" t="s">
        <v>38</v>
      </c>
      <c r="B45" s="4" t="s">
        <v>36</v>
      </c>
      <c r="C45" s="5">
        <v>500</v>
      </c>
      <c r="D45" s="5">
        <v>1000</v>
      </c>
      <c r="E45" s="4" t="s">
        <v>9</v>
      </c>
      <c r="F45" s="5">
        <v>0</v>
      </c>
      <c r="G45" s="5">
        <v>0</v>
      </c>
      <c r="H45" s="4" t="s">
        <v>488</v>
      </c>
      <c r="I45" s="4" t="s">
        <v>1234</v>
      </c>
      <c r="J45" s="4" t="s">
        <v>1235</v>
      </c>
      <c r="K45" s="4" t="s">
        <v>10</v>
      </c>
      <c r="L45" s="4" t="s">
        <v>487</v>
      </c>
      <c r="M45" s="5">
        <v>0</v>
      </c>
      <c r="N45" s="4" t="s">
        <v>1241</v>
      </c>
    </row>
    <row r="46" spans="1:14" x14ac:dyDescent="0.15">
      <c r="A46" s="4" t="s">
        <v>36</v>
      </c>
      <c r="B46" s="4" t="s">
        <v>39</v>
      </c>
      <c r="C46" s="5">
        <v>1</v>
      </c>
      <c r="D46" s="5">
        <v>1</v>
      </c>
      <c r="E46" s="4" t="s">
        <v>9</v>
      </c>
      <c r="F46" s="5">
        <v>3</v>
      </c>
      <c r="G46" s="5">
        <v>0</v>
      </c>
      <c r="H46" s="4" t="s">
        <v>488</v>
      </c>
      <c r="I46" s="4" t="s">
        <v>1234</v>
      </c>
      <c r="J46" s="4" t="s">
        <v>1235</v>
      </c>
      <c r="K46" s="4" t="s">
        <v>10</v>
      </c>
      <c r="L46" s="4" t="s">
        <v>487</v>
      </c>
      <c r="M46" s="5">
        <v>0</v>
      </c>
      <c r="N46" s="4" t="s">
        <v>1241</v>
      </c>
    </row>
    <row r="47" spans="1:14" x14ac:dyDescent="0.15">
      <c r="A47" s="4" t="s">
        <v>36</v>
      </c>
      <c r="B47" s="4" t="s">
        <v>33</v>
      </c>
      <c r="C47" s="5">
        <v>1</v>
      </c>
      <c r="D47" s="5">
        <v>1</v>
      </c>
      <c r="E47" s="4" t="s">
        <v>9</v>
      </c>
      <c r="F47" s="5">
        <v>3</v>
      </c>
      <c r="G47" s="5">
        <v>0</v>
      </c>
      <c r="H47" s="4" t="s">
        <v>488</v>
      </c>
      <c r="I47" s="4" t="s">
        <v>1234</v>
      </c>
      <c r="J47" s="4" t="s">
        <v>1235</v>
      </c>
      <c r="K47" s="4" t="s">
        <v>10</v>
      </c>
      <c r="L47" s="4" t="s">
        <v>487</v>
      </c>
      <c r="M47" s="5">
        <v>0</v>
      </c>
      <c r="N47" s="4" t="s">
        <v>1241</v>
      </c>
    </row>
    <row r="48" spans="1:14" x14ac:dyDescent="0.15">
      <c r="A48" s="4" t="s">
        <v>36</v>
      </c>
      <c r="B48" s="4" t="s">
        <v>34</v>
      </c>
      <c r="C48" s="5">
        <v>1</v>
      </c>
      <c r="D48" s="5">
        <v>1</v>
      </c>
      <c r="E48" s="4" t="s">
        <v>9</v>
      </c>
      <c r="F48" s="5">
        <v>3</v>
      </c>
      <c r="G48" s="5">
        <v>0</v>
      </c>
      <c r="H48" s="4" t="s">
        <v>488</v>
      </c>
      <c r="I48" s="4" t="s">
        <v>1234</v>
      </c>
      <c r="J48" s="4" t="s">
        <v>1235</v>
      </c>
      <c r="K48" s="4" t="s">
        <v>10</v>
      </c>
      <c r="L48" s="4" t="s">
        <v>487</v>
      </c>
      <c r="M48" s="5">
        <v>0</v>
      </c>
      <c r="N48" s="4" t="s">
        <v>1241</v>
      </c>
    </row>
    <row r="49" spans="1:14" x14ac:dyDescent="0.15">
      <c r="A49" s="4" t="s">
        <v>36</v>
      </c>
      <c r="B49" s="4" t="s">
        <v>12</v>
      </c>
      <c r="C49" s="5">
        <v>0.253266331658</v>
      </c>
      <c r="D49" s="5">
        <v>1</v>
      </c>
      <c r="E49" s="4" t="s">
        <v>13</v>
      </c>
      <c r="F49" s="5">
        <v>3</v>
      </c>
      <c r="G49" s="5">
        <v>0</v>
      </c>
      <c r="H49" s="4" t="s">
        <v>488</v>
      </c>
      <c r="I49" s="4" t="s">
        <v>1234</v>
      </c>
      <c r="J49" s="4" t="s">
        <v>1235</v>
      </c>
      <c r="K49" s="4" t="s">
        <v>10</v>
      </c>
      <c r="L49" s="4" t="s">
        <v>487</v>
      </c>
      <c r="M49" s="5">
        <v>0</v>
      </c>
      <c r="N49" s="4" t="s">
        <v>1241</v>
      </c>
    </row>
    <row r="50" spans="1:14" x14ac:dyDescent="0.15">
      <c r="A50" s="4" t="s">
        <v>36</v>
      </c>
      <c r="B50" s="4" t="s">
        <v>14</v>
      </c>
      <c r="C50" s="5">
        <v>0.28140703517600002</v>
      </c>
      <c r="D50" s="5">
        <v>1</v>
      </c>
      <c r="E50" s="4" t="s">
        <v>13</v>
      </c>
      <c r="F50" s="5">
        <v>3</v>
      </c>
      <c r="G50" s="5">
        <v>0</v>
      </c>
      <c r="H50" s="4" t="s">
        <v>488</v>
      </c>
      <c r="I50" s="4" t="s">
        <v>1234</v>
      </c>
      <c r="J50" s="4" t="s">
        <v>1235</v>
      </c>
      <c r="K50" s="4" t="s">
        <v>10</v>
      </c>
      <c r="L50" s="4" t="s">
        <v>487</v>
      </c>
      <c r="M50" s="5">
        <v>0</v>
      </c>
      <c r="N50" s="4" t="s">
        <v>1241</v>
      </c>
    </row>
    <row r="51" spans="1:14" x14ac:dyDescent="0.15">
      <c r="A51" s="4" t="s">
        <v>36</v>
      </c>
      <c r="B51" s="4" t="s">
        <v>15</v>
      </c>
      <c r="C51" s="5">
        <v>5.6281407035180004</v>
      </c>
      <c r="D51" s="5">
        <v>1000</v>
      </c>
      <c r="E51" s="4" t="s">
        <v>13</v>
      </c>
      <c r="F51" s="5">
        <v>3</v>
      </c>
      <c r="G51" s="5">
        <v>0</v>
      </c>
      <c r="H51" s="4" t="s">
        <v>488</v>
      </c>
      <c r="I51" s="4" t="s">
        <v>1234</v>
      </c>
      <c r="J51" s="4" t="s">
        <v>1235</v>
      </c>
      <c r="K51" s="4" t="s">
        <v>10</v>
      </c>
      <c r="L51" s="4" t="s">
        <v>487</v>
      </c>
      <c r="M51" s="5">
        <v>0</v>
      </c>
      <c r="N51" s="4" t="s">
        <v>1241</v>
      </c>
    </row>
    <row r="52" spans="1:14" x14ac:dyDescent="0.15">
      <c r="A52" s="4" t="s">
        <v>36</v>
      </c>
      <c r="B52" s="4" t="s">
        <v>23</v>
      </c>
      <c r="C52" s="5">
        <v>14.070351758793999</v>
      </c>
      <c r="D52" s="5">
        <v>1000</v>
      </c>
      <c r="E52" s="4" t="s">
        <v>13</v>
      </c>
      <c r="F52" s="5">
        <v>3</v>
      </c>
      <c r="G52" s="5">
        <v>0</v>
      </c>
      <c r="H52" s="4" t="s">
        <v>488</v>
      </c>
      <c r="I52" s="4" t="s">
        <v>1234</v>
      </c>
      <c r="J52" s="4" t="s">
        <v>1235</v>
      </c>
      <c r="K52" s="4" t="s">
        <v>10</v>
      </c>
      <c r="L52" s="4" t="s">
        <v>487</v>
      </c>
      <c r="M52" s="5">
        <v>0</v>
      </c>
      <c r="N52" s="4" t="s">
        <v>1241</v>
      </c>
    </row>
    <row r="53" spans="1:14" x14ac:dyDescent="0.15">
      <c r="A53" s="4" t="s">
        <v>36</v>
      </c>
      <c r="B53" s="4" t="s">
        <v>24</v>
      </c>
      <c r="C53" s="5">
        <v>5.6281407035180004</v>
      </c>
      <c r="D53" s="5">
        <v>1000</v>
      </c>
      <c r="E53" s="4" t="s">
        <v>13</v>
      </c>
      <c r="F53" s="5">
        <v>3</v>
      </c>
      <c r="G53" s="5">
        <v>0</v>
      </c>
      <c r="H53" s="4" t="s">
        <v>488</v>
      </c>
      <c r="I53" s="4" t="s">
        <v>1234</v>
      </c>
      <c r="J53" s="4" t="s">
        <v>1235</v>
      </c>
      <c r="K53" s="4" t="s">
        <v>10</v>
      </c>
      <c r="L53" s="4" t="s">
        <v>487</v>
      </c>
      <c r="M53" s="5">
        <v>0</v>
      </c>
      <c r="N53" s="4" t="s">
        <v>1241</v>
      </c>
    </row>
    <row r="54" spans="1:14" x14ac:dyDescent="0.15">
      <c r="A54" s="4" t="s">
        <v>36</v>
      </c>
      <c r="B54" s="4" t="s">
        <v>17</v>
      </c>
      <c r="C54" s="5">
        <v>12.345679012346</v>
      </c>
      <c r="D54" s="5">
        <v>1000</v>
      </c>
      <c r="E54" s="4" t="s">
        <v>18</v>
      </c>
      <c r="F54" s="5">
        <v>0</v>
      </c>
      <c r="G54" s="5">
        <v>0</v>
      </c>
      <c r="H54" s="4" t="s">
        <v>488</v>
      </c>
      <c r="I54" s="4" t="s">
        <v>1234</v>
      </c>
      <c r="J54" s="4" t="s">
        <v>1235</v>
      </c>
      <c r="K54" s="4" t="s">
        <v>10</v>
      </c>
      <c r="L54" s="4" t="s">
        <v>487</v>
      </c>
      <c r="M54" s="5">
        <v>0</v>
      </c>
      <c r="N54" s="4" t="s">
        <v>1241</v>
      </c>
    </row>
    <row r="55" spans="1:14" x14ac:dyDescent="0.15">
      <c r="A55" s="4" t="s">
        <v>36</v>
      </c>
      <c r="B55" s="4" t="s">
        <v>19</v>
      </c>
      <c r="C55" s="5">
        <v>3</v>
      </c>
      <c r="D55" s="5">
        <v>1</v>
      </c>
      <c r="E55" s="4" t="s">
        <v>18</v>
      </c>
      <c r="F55" s="5">
        <v>0</v>
      </c>
      <c r="G55" s="5">
        <v>0</v>
      </c>
      <c r="H55" s="4" t="s">
        <v>488</v>
      </c>
      <c r="I55" s="4" t="s">
        <v>1236</v>
      </c>
      <c r="J55" s="4" t="s">
        <v>1235</v>
      </c>
      <c r="K55" s="4" t="s">
        <v>10</v>
      </c>
      <c r="L55" s="4" t="s">
        <v>487</v>
      </c>
      <c r="M55" s="5">
        <v>0</v>
      </c>
      <c r="N55" s="4" t="s">
        <v>1241</v>
      </c>
    </row>
    <row r="56" spans="1:14" x14ac:dyDescent="0.15">
      <c r="A56" s="4" t="s">
        <v>40</v>
      </c>
      <c r="B56" s="4" t="s">
        <v>41</v>
      </c>
      <c r="C56" s="5">
        <v>1</v>
      </c>
      <c r="D56" s="5">
        <v>1</v>
      </c>
      <c r="E56" s="4" t="s">
        <v>9</v>
      </c>
      <c r="F56" s="5">
        <v>0</v>
      </c>
      <c r="G56" s="5">
        <v>0</v>
      </c>
      <c r="H56" s="4" t="s">
        <v>488</v>
      </c>
      <c r="I56" s="4" t="s">
        <v>1234</v>
      </c>
      <c r="J56" s="4" t="s">
        <v>1235</v>
      </c>
      <c r="K56" s="4" t="s">
        <v>10</v>
      </c>
      <c r="L56" s="4" t="s">
        <v>487</v>
      </c>
      <c r="M56" s="5">
        <v>0</v>
      </c>
      <c r="N56" s="4" t="s">
        <v>1241</v>
      </c>
    </row>
    <row r="57" spans="1:14" x14ac:dyDescent="0.15">
      <c r="A57" s="4" t="s">
        <v>42</v>
      </c>
      <c r="B57" s="4" t="s">
        <v>41</v>
      </c>
      <c r="C57" s="5">
        <v>2</v>
      </c>
      <c r="D57" s="5">
        <v>1</v>
      </c>
      <c r="E57" s="4" t="s">
        <v>9</v>
      </c>
      <c r="F57" s="5">
        <v>0</v>
      </c>
      <c r="G57" s="5">
        <v>0</v>
      </c>
      <c r="H57" s="4" t="s">
        <v>488</v>
      </c>
      <c r="I57" s="4" t="s">
        <v>1234</v>
      </c>
      <c r="J57" s="4" t="s">
        <v>1235</v>
      </c>
      <c r="K57" s="4" t="s">
        <v>10</v>
      </c>
      <c r="L57" s="4" t="s">
        <v>487</v>
      </c>
      <c r="M57" s="5">
        <v>0</v>
      </c>
      <c r="N57" s="4" t="s">
        <v>1241</v>
      </c>
    </row>
    <row r="58" spans="1:14" x14ac:dyDescent="0.15">
      <c r="A58" s="4" t="s">
        <v>41</v>
      </c>
      <c r="B58" s="4" t="s">
        <v>28</v>
      </c>
      <c r="C58" s="5">
        <v>2</v>
      </c>
      <c r="D58" s="5">
        <v>1</v>
      </c>
      <c r="E58" s="4" t="s">
        <v>9</v>
      </c>
      <c r="F58" s="5">
        <v>3</v>
      </c>
      <c r="G58" s="5">
        <v>0</v>
      </c>
      <c r="H58" s="4" t="s">
        <v>488</v>
      </c>
      <c r="I58" s="4" t="s">
        <v>1234</v>
      </c>
      <c r="J58" s="4" t="s">
        <v>1235</v>
      </c>
      <c r="K58" s="4" t="s">
        <v>10</v>
      </c>
      <c r="L58" s="4" t="s">
        <v>487</v>
      </c>
      <c r="M58" s="5">
        <v>0</v>
      </c>
      <c r="N58" s="4" t="s">
        <v>1241</v>
      </c>
    </row>
    <row r="59" spans="1:14" x14ac:dyDescent="0.15">
      <c r="A59" s="4" t="s">
        <v>41</v>
      </c>
      <c r="B59" s="4" t="s">
        <v>33</v>
      </c>
      <c r="C59" s="5">
        <v>2</v>
      </c>
      <c r="D59" s="5">
        <v>1</v>
      </c>
      <c r="E59" s="4" t="s">
        <v>9</v>
      </c>
      <c r="F59" s="5">
        <v>3</v>
      </c>
      <c r="G59" s="5">
        <v>0</v>
      </c>
      <c r="H59" s="4" t="s">
        <v>488</v>
      </c>
      <c r="I59" s="4" t="s">
        <v>1234</v>
      </c>
      <c r="J59" s="4" t="s">
        <v>1235</v>
      </c>
      <c r="K59" s="4" t="s">
        <v>10</v>
      </c>
      <c r="L59" s="4" t="s">
        <v>487</v>
      </c>
      <c r="M59" s="5">
        <v>0</v>
      </c>
      <c r="N59" s="4" t="s">
        <v>1241</v>
      </c>
    </row>
    <row r="60" spans="1:14" x14ac:dyDescent="0.15">
      <c r="A60" s="4" t="s">
        <v>41</v>
      </c>
      <c r="B60" s="4" t="s">
        <v>12</v>
      </c>
      <c r="C60" s="5">
        <v>0.31368844221100001</v>
      </c>
      <c r="D60" s="5">
        <v>1</v>
      </c>
      <c r="E60" s="4" t="s">
        <v>13</v>
      </c>
      <c r="F60" s="5">
        <v>3</v>
      </c>
      <c r="G60" s="5">
        <v>0</v>
      </c>
      <c r="H60" s="4" t="s">
        <v>488</v>
      </c>
      <c r="I60" s="4" t="s">
        <v>1234</v>
      </c>
      <c r="J60" s="4" t="s">
        <v>1235</v>
      </c>
      <c r="K60" s="4" t="s">
        <v>10</v>
      </c>
      <c r="L60" s="4" t="s">
        <v>487</v>
      </c>
      <c r="M60" s="5">
        <v>0</v>
      </c>
      <c r="N60" s="4" t="s">
        <v>1241</v>
      </c>
    </row>
    <row r="61" spans="1:14" x14ac:dyDescent="0.15">
      <c r="A61" s="4" t="s">
        <v>41</v>
      </c>
      <c r="B61" s="4" t="s">
        <v>14</v>
      </c>
      <c r="C61" s="5">
        <v>0.34854271356799998</v>
      </c>
      <c r="D61" s="5">
        <v>1</v>
      </c>
      <c r="E61" s="4" t="s">
        <v>13</v>
      </c>
      <c r="F61" s="5">
        <v>3</v>
      </c>
      <c r="G61" s="5">
        <v>0</v>
      </c>
      <c r="H61" s="4" t="s">
        <v>488</v>
      </c>
      <c r="I61" s="4" t="s">
        <v>1234</v>
      </c>
      <c r="J61" s="4" t="s">
        <v>1235</v>
      </c>
      <c r="K61" s="4" t="s">
        <v>10</v>
      </c>
      <c r="L61" s="4" t="s">
        <v>487</v>
      </c>
      <c r="M61" s="5">
        <v>0</v>
      </c>
      <c r="N61" s="4" t="s">
        <v>1241</v>
      </c>
    </row>
    <row r="62" spans="1:14" x14ac:dyDescent="0.15">
      <c r="A62" s="4" t="s">
        <v>41</v>
      </c>
      <c r="B62" s="4" t="s">
        <v>15</v>
      </c>
      <c r="C62" s="5">
        <v>6.9708542713570001</v>
      </c>
      <c r="D62" s="5">
        <v>1000</v>
      </c>
      <c r="E62" s="4" t="s">
        <v>13</v>
      </c>
      <c r="F62" s="5">
        <v>3</v>
      </c>
      <c r="G62" s="5">
        <v>0</v>
      </c>
      <c r="H62" s="4" t="s">
        <v>488</v>
      </c>
      <c r="I62" s="4" t="s">
        <v>1234</v>
      </c>
      <c r="J62" s="4" t="s">
        <v>1235</v>
      </c>
      <c r="K62" s="4" t="s">
        <v>10</v>
      </c>
      <c r="L62" s="4" t="s">
        <v>487</v>
      </c>
      <c r="M62" s="5">
        <v>0</v>
      </c>
      <c r="N62" s="4" t="s">
        <v>1241</v>
      </c>
    </row>
    <row r="63" spans="1:14" x14ac:dyDescent="0.15">
      <c r="A63" s="4" t="s">
        <v>41</v>
      </c>
      <c r="B63" s="4" t="s">
        <v>23</v>
      </c>
      <c r="C63" s="5">
        <v>17.427135678392002</v>
      </c>
      <c r="D63" s="5">
        <v>1000</v>
      </c>
      <c r="E63" s="4" t="s">
        <v>13</v>
      </c>
      <c r="F63" s="5">
        <v>3</v>
      </c>
      <c r="G63" s="5">
        <v>0</v>
      </c>
      <c r="H63" s="4" t="s">
        <v>488</v>
      </c>
      <c r="I63" s="4" t="s">
        <v>1234</v>
      </c>
      <c r="J63" s="4" t="s">
        <v>1235</v>
      </c>
      <c r="K63" s="4" t="s">
        <v>10</v>
      </c>
      <c r="L63" s="4" t="s">
        <v>487</v>
      </c>
      <c r="M63" s="5">
        <v>0</v>
      </c>
      <c r="N63" s="4" t="s">
        <v>1241</v>
      </c>
    </row>
    <row r="64" spans="1:14" x14ac:dyDescent="0.15">
      <c r="A64" s="4" t="s">
        <v>41</v>
      </c>
      <c r="B64" s="4" t="s">
        <v>24</v>
      </c>
      <c r="C64" s="5">
        <v>6.9708542713570001</v>
      </c>
      <c r="D64" s="5">
        <v>1000</v>
      </c>
      <c r="E64" s="4" t="s">
        <v>13</v>
      </c>
      <c r="F64" s="5">
        <v>3</v>
      </c>
      <c r="G64" s="5">
        <v>0</v>
      </c>
      <c r="H64" s="4" t="s">
        <v>488</v>
      </c>
      <c r="I64" s="4" t="s">
        <v>1234</v>
      </c>
      <c r="J64" s="4" t="s">
        <v>1235</v>
      </c>
      <c r="K64" s="4" t="s">
        <v>10</v>
      </c>
      <c r="L64" s="4" t="s">
        <v>487</v>
      </c>
      <c r="M64" s="5">
        <v>0</v>
      </c>
      <c r="N64" s="4" t="s">
        <v>1241</v>
      </c>
    </row>
    <row r="65" spans="1:14" x14ac:dyDescent="0.15">
      <c r="A65" s="4" t="s">
        <v>41</v>
      </c>
      <c r="B65" s="4" t="s">
        <v>17</v>
      </c>
      <c r="C65" s="5">
        <v>12.820512820513002</v>
      </c>
      <c r="D65" s="5">
        <v>1000</v>
      </c>
      <c r="E65" s="4" t="s">
        <v>18</v>
      </c>
      <c r="F65" s="5">
        <v>0</v>
      </c>
      <c r="G65" s="5">
        <v>0</v>
      </c>
      <c r="H65" s="4" t="s">
        <v>488</v>
      </c>
      <c r="I65" s="4" t="s">
        <v>1234</v>
      </c>
      <c r="J65" s="4" t="s">
        <v>1235</v>
      </c>
      <c r="K65" s="4" t="s">
        <v>10</v>
      </c>
      <c r="L65" s="4" t="s">
        <v>487</v>
      </c>
      <c r="M65" s="5">
        <v>0</v>
      </c>
      <c r="N65" s="4" t="s">
        <v>1241</v>
      </c>
    </row>
    <row r="66" spans="1:14" x14ac:dyDescent="0.15">
      <c r="A66" s="4" t="s">
        <v>41</v>
      </c>
      <c r="B66" s="4" t="s">
        <v>19</v>
      </c>
      <c r="C66" s="5">
        <v>3</v>
      </c>
      <c r="D66" s="5">
        <v>1</v>
      </c>
      <c r="E66" s="4" t="s">
        <v>18</v>
      </c>
      <c r="F66" s="5">
        <v>0</v>
      </c>
      <c r="G66" s="5">
        <v>0</v>
      </c>
      <c r="H66" s="4" t="s">
        <v>488</v>
      </c>
      <c r="I66" s="4" t="s">
        <v>1236</v>
      </c>
      <c r="J66" s="4" t="s">
        <v>1235</v>
      </c>
      <c r="K66" s="4" t="s">
        <v>10</v>
      </c>
      <c r="L66" s="4" t="s">
        <v>487</v>
      </c>
      <c r="M66" s="5">
        <v>0</v>
      </c>
      <c r="N66" s="4" t="s">
        <v>1241</v>
      </c>
    </row>
    <row r="67" spans="1:14" x14ac:dyDescent="0.15">
      <c r="A67" s="4" t="s">
        <v>43</v>
      </c>
      <c r="B67" s="4" t="s">
        <v>44</v>
      </c>
      <c r="C67" s="5">
        <v>1</v>
      </c>
      <c r="D67" s="5">
        <v>1</v>
      </c>
      <c r="E67" s="4" t="s">
        <v>9</v>
      </c>
      <c r="F67" s="5">
        <v>0</v>
      </c>
      <c r="G67" s="5">
        <v>0</v>
      </c>
      <c r="H67" s="4" t="s">
        <v>488</v>
      </c>
      <c r="I67" s="4" t="s">
        <v>1234</v>
      </c>
      <c r="J67" s="4" t="s">
        <v>1235</v>
      </c>
      <c r="K67" s="4" t="s">
        <v>10</v>
      </c>
      <c r="L67" s="4" t="s">
        <v>487</v>
      </c>
      <c r="M67" s="5">
        <v>0</v>
      </c>
      <c r="N67" s="4" t="s">
        <v>1241</v>
      </c>
    </row>
    <row r="68" spans="1:14" x14ac:dyDescent="0.15">
      <c r="A68" s="4" t="s">
        <v>45</v>
      </c>
      <c r="B68" s="4" t="s">
        <v>44</v>
      </c>
      <c r="C68" s="5">
        <v>2</v>
      </c>
      <c r="D68" s="5">
        <v>1</v>
      </c>
      <c r="E68" s="4" t="s">
        <v>9</v>
      </c>
      <c r="F68" s="5">
        <v>0</v>
      </c>
      <c r="G68" s="5">
        <v>0</v>
      </c>
      <c r="H68" s="4" t="s">
        <v>488</v>
      </c>
      <c r="I68" s="4" t="s">
        <v>1234</v>
      </c>
      <c r="J68" s="4" t="s">
        <v>1235</v>
      </c>
      <c r="K68" s="4" t="s">
        <v>10</v>
      </c>
      <c r="L68" s="4" t="s">
        <v>487</v>
      </c>
      <c r="M68" s="5">
        <v>0</v>
      </c>
      <c r="N68" s="4" t="s">
        <v>1241</v>
      </c>
    </row>
    <row r="69" spans="1:14" x14ac:dyDescent="0.15">
      <c r="A69" s="4" t="s">
        <v>46</v>
      </c>
      <c r="B69" s="4" t="s">
        <v>44</v>
      </c>
      <c r="C69" s="5">
        <v>500</v>
      </c>
      <c r="D69" s="5">
        <v>1000</v>
      </c>
      <c r="E69" s="4" t="s">
        <v>9</v>
      </c>
      <c r="F69" s="5">
        <v>0</v>
      </c>
      <c r="G69" s="5">
        <v>0</v>
      </c>
      <c r="H69" s="4" t="s">
        <v>488</v>
      </c>
      <c r="I69" s="4" t="s">
        <v>1234</v>
      </c>
      <c r="J69" s="4" t="s">
        <v>1235</v>
      </c>
      <c r="K69" s="4" t="s">
        <v>10</v>
      </c>
      <c r="L69" s="4" t="s">
        <v>487</v>
      </c>
      <c r="M69" s="5">
        <v>0</v>
      </c>
      <c r="N69" s="4" t="s">
        <v>1241</v>
      </c>
    </row>
    <row r="70" spans="1:14" x14ac:dyDescent="0.15">
      <c r="A70" s="4" t="s">
        <v>44</v>
      </c>
      <c r="B70" s="4" t="s">
        <v>29</v>
      </c>
      <c r="C70" s="5">
        <v>1</v>
      </c>
      <c r="D70" s="5">
        <v>1</v>
      </c>
      <c r="E70" s="4" t="s">
        <v>9</v>
      </c>
      <c r="F70" s="5">
        <v>3</v>
      </c>
      <c r="G70" s="5">
        <v>0</v>
      </c>
      <c r="H70" s="4" t="s">
        <v>488</v>
      </c>
      <c r="I70" s="4" t="s">
        <v>1234</v>
      </c>
      <c r="J70" s="4" t="s">
        <v>1235</v>
      </c>
      <c r="K70" s="4" t="s">
        <v>10</v>
      </c>
      <c r="L70" s="4" t="s">
        <v>487</v>
      </c>
      <c r="M70" s="5">
        <v>0</v>
      </c>
      <c r="N70" s="4" t="s">
        <v>1241</v>
      </c>
    </row>
    <row r="71" spans="1:14" x14ac:dyDescent="0.15">
      <c r="A71" s="4" t="s">
        <v>44</v>
      </c>
      <c r="B71" s="4" t="s">
        <v>33</v>
      </c>
      <c r="C71" s="5">
        <v>4</v>
      </c>
      <c r="D71" s="5">
        <v>1</v>
      </c>
      <c r="E71" s="4" t="s">
        <v>9</v>
      </c>
      <c r="F71" s="5">
        <v>3</v>
      </c>
      <c r="G71" s="5">
        <v>0</v>
      </c>
      <c r="H71" s="4" t="s">
        <v>488</v>
      </c>
      <c r="I71" s="4" t="s">
        <v>1234</v>
      </c>
      <c r="J71" s="4" t="s">
        <v>1235</v>
      </c>
      <c r="K71" s="4" t="s">
        <v>10</v>
      </c>
      <c r="L71" s="4" t="s">
        <v>487</v>
      </c>
      <c r="M71" s="5">
        <v>0</v>
      </c>
      <c r="N71" s="4" t="s">
        <v>1241</v>
      </c>
    </row>
    <row r="72" spans="1:14" x14ac:dyDescent="0.15">
      <c r="A72" s="4" t="s">
        <v>44</v>
      </c>
      <c r="B72" s="4" t="s">
        <v>34</v>
      </c>
      <c r="C72" s="5">
        <v>1</v>
      </c>
      <c r="D72" s="5">
        <v>1</v>
      </c>
      <c r="E72" s="4" t="s">
        <v>9</v>
      </c>
      <c r="F72" s="5">
        <v>3</v>
      </c>
      <c r="G72" s="5">
        <v>0</v>
      </c>
      <c r="H72" s="4" t="s">
        <v>488</v>
      </c>
      <c r="I72" s="4" t="s">
        <v>1234</v>
      </c>
      <c r="J72" s="4" t="s">
        <v>1235</v>
      </c>
      <c r="K72" s="4" t="s">
        <v>10</v>
      </c>
      <c r="L72" s="4" t="s">
        <v>487</v>
      </c>
      <c r="M72" s="5">
        <v>0</v>
      </c>
      <c r="N72" s="4" t="s">
        <v>1241</v>
      </c>
    </row>
    <row r="73" spans="1:14" x14ac:dyDescent="0.15">
      <c r="A73" s="4" t="s">
        <v>44</v>
      </c>
      <c r="B73" s="4" t="s">
        <v>12</v>
      </c>
      <c r="C73" s="5">
        <v>0.68743718593000003</v>
      </c>
      <c r="D73" s="5">
        <v>1</v>
      </c>
      <c r="E73" s="4" t="s">
        <v>13</v>
      </c>
      <c r="F73" s="5">
        <v>3</v>
      </c>
      <c r="G73" s="5">
        <v>0</v>
      </c>
      <c r="H73" s="4" t="s">
        <v>488</v>
      </c>
      <c r="I73" s="4" t="s">
        <v>1234</v>
      </c>
      <c r="J73" s="4" t="s">
        <v>1235</v>
      </c>
      <c r="K73" s="4" t="s">
        <v>10</v>
      </c>
      <c r="L73" s="4" t="s">
        <v>487</v>
      </c>
      <c r="M73" s="5">
        <v>0</v>
      </c>
      <c r="N73" s="4" t="s">
        <v>1241</v>
      </c>
    </row>
    <row r="74" spans="1:14" x14ac:dyDescent="0.15">
      <c r="A74" s="4" t="s">
        <v>44</v>
      </c>
      <c r="B74" s="4" t="s">
        <v>14</v>
      </c>
      <c r="C74" s="5">
        <v>0.763819095477</v>
      </c>
      <c r="D74" s="5">
        <v>1</v>
      </c>
      <c r="E74" s="4" t="s">
        <v>13</v>
      </c>
      <c r="F74" s="5">
        <v>3</v>
      </c>
      <c r="G74" s="5">
        <v>0</v>
      </c>
      <c r="H74" s="4" t="s">
        <v>488</v>
      </c>
      <c r="I74" s="4" t="s">
        <v>1234</v>
      </c>
      <c r="J74" s="4" t="s">
        <v>1235</v>
      </c>
      <c r="K74" s="4" t="s">
        <v>10</v>
      </c>
      <c r="L74" s="4" t="s">
        <v>487</v>
      </c>
      <c r="M74" s="5">
        <v>0</v>
      </c>
      <c r="N74" s="4" t="s">
        <v>1241</v>
      </c>
    </row>
    <row r="75" spans="1:14" x14ac:dyDescent="0.15">
      <c r="A75" s="4" t="s">
        <v>44</v>
      </c>
      <c r="B75" s="4" t="s">
        <v>15</v>
      </c>
      <c r="C75" s="5">
        <v>15.276381909548</v>
      </c>
      <c r="D75" s="5">
        <v>1000</v>
      </c>
      <c r="E75" s="4" t="s">
        <v>13</v>
      </c>
      <c r="F75" s="5">
        <v>3</v>
      </c>
      <c r="G75" s="5">
        <v>0</v>
      </c>
      <c r="H75" s="4" t="s">
        <v>488</v>
      </c>
      <c r="I75" s="4" t="s">
        <v>1234</v>
      </c>
      <c r="J75" s="4" t="s">
        <v>1235</v>
      </c>
      <c r="K75" s="4" t="s">
        <v>10</v>
      </c>
      <c r="L75" s="4" t="s">
        <v>487</v>
      </c>
      <c r="M75" s="5">
        <v>0</v>
      </c>
      <c r="N75" s="4" t="s">
        <v>1241</v>
      </c>
    </row>
    <row r="76" spans="1:14" x14ac:dyDescent="0.15">
      <c r="A76" s="4" t="s">
        <v>44</v>
      </c>
      <c r="B76" s="4" t="s">
        <v>23</v>
      </c>
      <c r="C76" s="5">
        <v>38.190954773869002</v>
      </c>
      <c r="D76" s="5">
        <v>1000</v>
      </c>
      <c r="E76" s="4" t="s">
        <v>13</v>
      </c>
      <c r="F76" s="5">
        <v>3</v>
      </c>
      <c r="G76" s="5">
        <v>0</v>
      </c>
      <c r="H76" s="4" t="s">
        <v>488</v>
      </c>
      <c r="I76" s="4" t="s">
        <v>1234</v>
      </c>
      <c r="J76" s="4" t="s">
        <v>1235</v>
      </c>
      <c r="K76" s="4" t="s">
        <v>10</v>
      </c>
      <c r="L76" s="4" t="s">
        <v>487</v>
      </c>
      <c r="M76" s="5">
        <v>0</v>
      </c>
      <c r="N76" s="4" t="s">
        <v>1241</v>
      </c>
    </row>
    <row r="77" spans="1:14" x14ac:dyDescent="0.15">
      <c r="A77" s="4" t="s">
        <v>44</v>
      </c>
      <c r="B77" s="4" t="s">
        <v>24</v>
      </c>
      <c r="C77" s="5">
        <v>15.276381909548</v>
      </c>
      <c r="D77" s="5">
        <v>1000</v>
      </c>
      <c r="E77" s="4" t="s">
        <v>13</v>
      </c>
      <c r="F77" s="5">
        <v>3</v>
      </c>
      <c r="G77" s="5">
        <v>0</v>
      </c>
      <c r="H77" s="4" t="s">
        <v>488</v>
      </c>
      <c r="I77" s="4" t="s">
        <v>1234</v>
      </c>
      <c r="J77" s="4" t="s">
        <v>1235</v>
      </c>
      <c r="K77" s="4" t="s">
        <v>10</v>
      </c>
      <c r="L77" s="4" t="s">
        <v>487</v>
      </c>
      <c r="M77" s="5">
        <v>0</v>
      </c>
      <c r="N77" s="4" t="s">
        <v>1241</v>
      </c>
    </row>
    <row r="78" spans="1:14" x14ac:dyDescent="0.15">
      <c r="A78" s="4" t="s">
        <v>44</v>
      </c>
      <c r="B78" s="4" t="s">
        <v>17</v>
      </c>
      <c r="C78" s="5">
        <v>13.333333333333</v>
      </c>
      <c r="D78" s="5">
        <v>1000</v>
      </c>
      <c r="E78" s="4" t="s">
        <v>18</v>
      </c>
      <c r="F78" s="5">
        <v>0</v>
      </c>
      <c r="G78" s="5">
        <v>0</v>
      </c>
      <c r="H78" s="4" t="s">
        <v>488</v>
      </c>
      <c r="I78" s="4" t="s">
        <v>1234</v>
      </c>
      <c r="J78" s="4" t="s">
        <v>1235</v>
      </c>
      <c r="K78" s="4" t="s">
        <v>10</v>
      </c>
      <c r="L78" s="4" t="s">
        <v>487</v>
      </c>
      <c r="M78" s="5">
        <v>0</v>
      </c>
      <c r="N78" s="4" t="s">
        <v>1241</v>
      </c>
    </row>
    <row r="79" spans="1:14" x14ac:dyDescent="0.15">
      <c r="A79" s="4" t="s">
        <v>44</v>
      </c>
      <c r="B79" s="4" t="s">
        <v>19</v>
      </c>
      <c r="C79" s="5">
        <v>3</v>
      </c>
      <c r="D79" s="5">
        <v>1</v>
      </c>
      <c r="E79" s="4" t="s">
        <v>18</v>
      </c>
      <c r="F79" s="5">
        <v>0</v>
      </c>
      <c r="G79" s="5">
        <v>0</v>
      </c>
      <c r="H79" s="4" t="s">
        <v>488</v>
      </c>
      <c r="I79" s="4" t="s">
        <v>1236</v>
      </c>
      <c r="J79" s="4" t="s">
        <v>1235</v>
      </c>
      <c r="K79" s="4" t="s">
        <v>10</v>
      </c>
      <c r="L79" s="4" t="s">
        <v>487</v>
      </c>
      <c r="M79" s="5">
        <v>0</v>
      </c>
      <c r="N79" s="4" t="s">
        <v>1241</v>
      </c>
    </row>
    <row r="80" spans="1:14" x14ac:dyDescent="0.15">
      <c r="A80" s="4" t="s">
        <v>47</v>
      </c>
      <c r="B80" s="4" t="s">
        <v>48</v>
      </c>
      <c r="C80" s="5">
        <v>1</v>
      </c>
      <c r="D80" s="5">
        <v>1</v>
      </c>
      <c r="E80" s="4" t="s">
        <v>9</v>
      </c>
      <c r="F80" s="5">
        <v>0</v>
      </c>
      <c r="G80" s="5">
        <v>0</v>
      </c>
      <c r="H80" s="4" t="s">
        <v>488</v>
      </c>
      <c r="I80" s="4" t="s">
        <v>1234</v>
      </c>
      <c r="J80" s="4" t="s">
        <v>1235</v>
      </c>
      <c r="K80" s="4" t="s">
        <v>10</v>
      </c>
      <c r="L80" s="4" t="s">
        <v>487</v>
      </c>
      <c r="M80" s="5">
        <v>0</v>
      </c>
      <c r="N80" s="4" t="s">
        <v>1241</v>
      </c>
    </row>
    <row r="81" spans="1:14" x14ac:dyDescent="0.15">
      <c r="A81" s="4" t="s">
        <v>49</v>
      </c>
      <c r="B81" s="4" t="s">
        <v>48</v>
      </c>
      <c r="C81" s="5">
        <v>2</v>
      </c>
      <c r="D81" s="5">
        <v>1</v>
      </c>
      <c r="E81" s="4" t="s">
        <v>9</v>
      </c>
      <c r="F81" s="5">
        <v>0</v>
      </c>
      <c r="G81" s="5">
        <v>0</v>
      </c>
      <c r="H81" s="4" t="s">
        <v>488</v>
      </c>
      <c r="I81" s="4" t="s">
        <v>1234</v>
      </c>
      <c r="J81" s="4" t="s">
        <v>1235</v>
      </c>
      <c r="K81" s="4" t="s">
        <v>10</v>
      </c>
      <c r="L81" s="4" t="s">
        <v>487</v>
      </c>
      <c r="M81" s="5">
        <v>0</v>
      </c>
      <c r="N81" s="4" t="s">
        <v>1241</v>
      </c>
    </row>
    <row r="82" spans="1:14" x14ac:dyDescent="0.15">
      <c r="A82" s="4" t="s">
        <v>50</v>
      </c>
      <c r="B82" s="4" t="s">
        <v>48</v>
      </c>
      <c r="C82" s="5">
        <v>500</v>
      </c>
      <c r="D82" s="5">
        <v>1000</v>
      </c>
      <c r="E82" s="4" t="s">
        <v>9</v>
      </c>
      <c r="F82" s="5">
        <v>0</v>
      </c>
      <c r="G82" s="5">
        <v>0</v>
      </c>
      <c r="H82" s="4" t="s">
        <v>488</v>
      </c>
      <c r="I82" s="4" t="s">
        <v>1234</v>
      </c>
      <c r="J82" s="4" t="s">
        <v>1235</v>
      </c>
      <c r="K82" s="4" t="s">
        <v>10</v>
      </c>
      <c r="L82" s="4" t="s">
        <v>487</v>
      </c>
      <c r="M82" s="5">
        <v>0</v>
      </c>
      <c r="N82" s="4" t="s">
        <v>1241</v>
      </c>
    </row>
    <row r="83" spans="1:14" x14ac:dyDescent="0.15">
      <c r="A83" s="4" t="s">
        <v>48</v>
      </c>
      <c r="B83" s="4" t="s">
        <v>39</v>
      </c>
      <c r="C83" s="5">
        <v>1</v>
      </c>
      <c r="D83" s="5">
        <v>1</v>
      </c>
      <c r="E83" s="4" t="s">
        <v>9</v>
      </c>
      <c r="F83" s="5">
        <v>3</v>
      </c>
      <c r="G83" s="5">
        <v>0</v>
      </c>
      <c r="H83" s="4" t="s">
        <v>488</v>
      </c>
      <c r="I83" s="4" t="s">
        <v>1234</v>
      </c>
      <c r="J83" s="4" t="s">
        <v>1235</v>
      </c>
      <c r="K83" s="4" t="s">
        <v>10</v>
      </c>
      <c r="L83" s="4" t="s">
        <v>487</v>
      </c>
      <c r="M83" s="5">
        <v>0</v>
      </c>
      <c r="N83" s="4" t="s">
        <v>1241</v>
      </c>
    </row>
    <row r="84" spans="1:14" x14ac:dyDescent="0.15">
      <c r="A84" s="4" t="s">
        <v>48</v>
      </c>
      <c r="B84" s="4" t="s">
        <v>33</v>
      </c>
      <c r="C84" s="5">
        <v>8</v>
      </c>
      <c r="D84" s="5">
        <v>1</v>
      </c>
      <c r="E84" s="4" t="s">
        <v>9</v>
      </c>
      <c r="F84" s="5">
        <v>3</v>
      </c>
      <c r="G84" s="5">
        <v>0</v>
      </c>
      <c r="H84" s="4" t="s">
        <v>488</v>
      </c>
      <c r="I84" s="4" t="s">
        <v>1234</v>
      </c>
      <c r="J84" s="4" t="s">
        <v>1235</v>
      </c>
      <c r="K84" s="4" t="s">
        <v>10</v>
      </c>
      <c r="L84" s="4" t="s">
        <v>487</v>
      </c>
      <c r="M84" s="5">
        <v>0</v>
      </c>
      <c r="N84" s="4" t="s">
        <v>1241</v>
      </c>
    </row>
    <row r="85" spans="1:14" x14ac:dyDescent="0.15">
      <c r="A85" s="4" t="s">
        <v>48</v>
      </c>
      <c r="B85" s="4" t="s">
        <v>12</v>
      </c>
      <c r="C85" s="5">
        <v>1.230150753769</v>
      </c>
      <c r="D85" s="5">
        <v>1</v>
      </c>
      <c r="E85" s="4" t="s">
        <v>13</v>
      </c>
      <c r="F85" s="5">
        <v>3</v>
      </c>
      <c r="G85" s="5">
        <v>0</v>
      </c>
      <c r="H85" s="4" t="s">
        <v>488</v>
      </c>
      <c r="I85" s="4" t="s">
        <v>1234</v>
      </c>
      <c r="J85" s="4" t="s">
        <v>1235</v>
      </c>
      <c r="K85" s="4" t="s">
        <v>10</v>
      </c>
      <c r="L85" s="4" t="s">
        <v>487</v>
      </c>
      <c r="M85" s="5">
        <v>0</v>
      </c>
      <c r="N85" s="4" t="s">
        <v>1241</v>
      </c>
    </row>
    <row r="86" spans="1:14" x14ac:dyDescent="0.15">
      <c r="A86" s="4" t="s">
        <v>48</v>
      </c>
      <c r="B86" s="4" t="s">
        <v>14</v>
      </c>
      <c r="C86" s="5">
        <v>1.3668341708539999</v>
      </c>
      <c r="D86" s="5">
        <v>1</v>
      </c>
      <c r="E86" s="4" t="s">
        <v>13</v>
      </c>
      <c r="F86" s="5">
        <v>3</v>
      </c>
      <c r="G86" s="5">
        <v>0</v>
      </c>
      <c r="H86" s="4" t="s">
        <v>488</v>
      </c>
      <c r="I86" s="4" t="s">
        <v>1234</v>
      </c>
      <c r="J86" s="4" t="s">
        <v>1235</v>
      </c>
      <c r="K86" s="4" t="s">
        <v>10</v>
      </c>
      <c r="L86" s="4" t="s">
        <v>487</v>
      </c>
      <c r="M86" s="5">
        <v>0</v>
      </c>
      <c r="N86" s="4" t="s">
        <v>1241</v>
      </c>
    </row>
    <row r="87" spans="1:14" x14ac:dyDescent="0.15">
      <c r="A87" s="4" t="s">
        <v>48</v>
      </c>
      <c r="B87" s="4" t="s">
        <v>15</v>
      </c>
      <c r="C87" s="5">
        <v>27.336683417085002</v>
      </c>
      <c r="D87" s="5">
        <v>1000</v>
      </c>
      <c r="E87" s="4" t="s">
        <v>13</v>
      </c>
      <c r="F87" s="5">
        <v>3</v>
      </c>
      <c r="G87" s="5">
        <v>0</v>
      </c>
      <c r="H87" s="4" t="s">
        <v>488</v>
      </c>
      <c r="I87" s="4" t="s">
        <v>1234</v>
      </c>
      <c r="J87" s="4" t="s">
        <v>1235</v>
      </c>
      <c r="K87" s="4" t="s">
        <v>10</v>
      </c>
      <c r="L87" s="4" t="s">
        <v>487</v>
      </c>
      <c r="M87" s="5">
        <v>0</v>
      </c>
      <c r="N87" s="4" t="s">
        <v>1241</v>
      </c>
    </row>
    <row r="88" spans="1:14" x14ac:dyDescent="0.15">
      <c r="A88" s="4" t="s">
        <v>48</v>
      </c>
      <c r="B88" s="4" t="s">
        <v>23</v>
      </c>
      <c r="C88" s="5">
        <v>68.341708542714002</v>
      </c>
      <c r="D88" s="5">
        <v>1000</v>
      </c>
      <c r="E88" s="4" t="s">
        <v>13</v>
      </c>
      <c r="F88" s="5">
        <v>3</v>
      </c>
      <c r="G88" s="5">
        <v>0</v>
      </c>
      <c r="H88" s="4" t="s">
        <v>488</v>
      </c>
      <c r="I88" s="4" t="s">
        <v>1234</v>
      </c>
      <c r="J88" s="4" t="s">
        <v>1235</v>
      </c>
      <c r="K88" s="4" t="s">
        <v>10</v>
      </c>
      <c r="L88" s="4" t="s">
        <v>487</v>
      </c>
      <c r="M88" s="5">
        <v>0</v>
      </c>
      <c r="N88" s="4" t="s">
        <v>1241</v>
      </c>
    </row>
    <row r="89" spans="1:14" x14ac:dyDescent="0.15">
      <c r="A89" s="4" t="s">
        <v>48</v>
      </c>
      <c r="B89" s="4" t="s">
        <v>24</v>
      </c>
      <c r="C89" s="5">
        <v>27.336683417085002</v>
      </c>
      <c r="D89" s="5">
        <v>1000</v>
      </c>
      <c r="E89" s="4" t="s">
        <v>13</v>
      </c>
      <c r="F89" s="5">
        <v>3</v>
      </c>
      <c r="G89" s="5">
        <v>0</v>
      </c>
      <c r="H89" s="4" t="s">
        <v>488</v>
      </c>
      <c r="I89" s="4" t="s">
        <v>1234</v>
      </c>
      <c r="J89" s="4" t="s">
        <v>1235</v>
      </c>
      <c r="K89" s="4" t="s">
        <v>10</v>
      </c>
      <c r="L89" s="4" t="s">
        <v>487</v>
      </c>
      <c r="M89" s="5">
        <v>0</v>
      </c>
      <c r="N89" s="4" t="s">
        <v>1241</v>
      </c>
    </row>
    <row r="90" spans="1:14" x14ac:dyDescent="0.15">
      <c r="A90" s="4" t="s">
        <v>48</v>
      </c>
      <c r="B90" s="4" t="s">
        <v>17</v>
      </c>
      <c r="C90" s="5">
        <v>13.888888888889001</v>
      </c>
      <c r="D90" s="5">
        <v>1000</v>
      </c>
      <c r="E90" s="4" t="s">
        <v>18</v>
      </c>
      <c r="F90" s="5">
        <v>0</v>
      </c>
      <c r="G90" s="5">
        <v>0</v>
      </c>
      <c r="H90" s="4" t="s">
        <v>488</v>
      </c>
      <c r="I90" s="4" t="s">
        <v>1234</v>
      </c>
      <c r="J90" s="4" t="s">
        <v>1235</v>
      </c>
      <c r="K90" s="4" t="s">
        <v>10</v>
      </c>
      <c r="L90" s="4" t="s">
        <v>487</v>
      </c>
      <c r="M90" s="5">
        <v>0</v>
      </c>
      <c r="N90" s="4" t="s">
        <v>1241</v>
      </c>
    </row>
    <row r="91" spans="1:14" x14ac:dyDescent="0.15">
      <c r="A91" s="4" t="s">
        <v>48</v>
      </c>
      <c r="B91" s="4" t="s">
        <v>19</v>
      </c>
      <c r="C91" s="5">
        <v>3</v>
      </c>
      <c r="D91" s="5">
        <v>1</v>
      </c>
      <c r="E91" s="4" t="s">
        <v>18</v>
      </c>
      <c r="F91" s="5">
        <v>0</v>
      </c>
      <c r="G91" s="5">
        <v>0</v>
      </c>
      <c r="H91" s="4" t="s">
        <v>488</v>
      </c>
      <c r="I91" s="4" t="s">
        <v>1236</v>
      </c>
      <c r="J91" s="4" t="s">
        <v>1235</v>
      </c>
      <c r="K91" s="4" t="s">
        <v>10</v>
      </c>
      <c r="L91" s="4" t="s">
        <v>487</v>
      </c>
      <c r="M91" s="5">
        <v>0</v>
      </c>
      <c r="N91" s="4" t="s">
        <v>1241</v>
      </c>
    </row>
    <row r="92" spans="1:14" x14ac:dyDescent="0.15">
      <c r="A92" s="4" t="s">
        <v>51</v>
      </c>
      <c r="B92" s="4" t="s">
        <v>52</v>
      </c>
      <c r="C92" s="5">
        <v>1</v>
      </c>
      <c r="D92" s="5">
        <v>1</v>
      </c>
      <c r="E92" s="4" t="s">
        <v>9</v>
      </c>
      <c r="F92" s="5">
        <v>0</v>
      </c>
      <c r="G92" s="5">
        <v>0</v>
      </c>
      <c r="H92" s="4" t="s">
        <v>488</v>
      </c>
      <c r="I92" s="4" t="s">
        <v>1234</v>
      </c>
      <c r="J92" s="4" t="s">
        <v>1235</v>
      </c>
      <c r="K92" s="4" t="s">
        <v>10</v>
      </c>
      <c r="L92" s="4" t="s">
        <v>487</v>
      </c>
      <c r="M92" s="5">
        <v>0</v>
      </c>
      <c r="N92" s="4" t="s">
        <v>1241</v>
      </c>
    </row>
    <row r="93" spans="1:14" x14ac:dyDescent="0.15">
      <c r="A93" s="4" t="s">
        <v>53</v>
      </c>
      <c r="B93" s="4" t="s">
        <v>52</v>
      </c>
      <c r="C93" s="5">
        <v>2</v>
      </c>
      <c r="D93" s="5">
        <v>1</v>
      </c>
      <c r="E93" s="4" t="s">
        <v>9</v>
      </c>
      <c r="F93" s="5">
        <v>0</v>
      </c>
      <c r="G93" s="5">
        <v>0</v>
      </c>
      <c r="H93" s="4" t="s">
        <v>488</v>
      </c>
      <c r="I93" s="4" t="s">
        <v>1234</v>
      </c>
      <c r="J93" s="4" t="s">
        <v>1235</v>
      </c>
      <c r="K93" s="4" t="s">
        <v>10</v>
      </c>
      <c r="L93" s="4" t="s">
        <v>487</v>
      </c>
      <c r="M93" s="5">
        <v>0</v>
      </c>
      <c r="N93" s="4" t="s">
        <v>1241</v>
      </c>
    </row>
    <row r="94" spans="1:14" x14ac:dyDescent="0.15">
      <c r="A94" s="4" t="s">
        <v>54</v>
      </c>
      <c r="B94" s="4" t="s">
        <v>52</v>
      </c>
      <c r="C94" s="5">
        <v>500</v>
      </c>
      <c r="D94" s="5">
        <v>1000</v>
      </c>
      <c r="E94" s="4" t="s">
        <v>9</v>
      </c>
      <c r="F94" s="5">
        <v>0</v>
      </c>
      <c r="G94" s="5">
        <v>0</v>
      </c>
      <c r="H94" s="4" t="s">
        <v>488</v>
      </c>
      <c r="I94" s="4" t="s">
        <v>1234</v>
      </c>
      <c r="J94" s="4" t="s">
        <v>1235</v>
      </c>
      <c r="K94" s="4" t="s">
        <v>10</v>
      </c>
      <c r="L94" s="4" t="s">
        <v>487</v>
      </c>
      <c r="M94" s="5">
        <v>0</v>
      </c>
      <c r="N94" s="4" t="s">
        <v>1241</v>
      </c>
    </row>
    <row r="95" spans="1:14" x14ac:dyDescent="0.15">
      <c r="A95" s="4" t="s">
        <v>52</v>
      </c>
      <c r="B95" s="4" t="s">
        <v>33</v>
      </c>
      <c r="C95" s="5">
        <v>13</v>
      </c>
      <c r="D95" s="5">
        <v>1</v>
      </c>
      <c r="E95" s="4" t="s">
        <v>9</v>
      </c>
      <c r="F95" s="5">
        <v>3</v>
      </c>
      <c r="G95" s="5">
        <v>0</v>
      </c>
      <c r="H95" s="4" t="s">
        <v>488</v>
      </c>
      <c r="I95" s="4" t="s">
        <v>1234</v>
      </c>
      <c r="J95" s="4" t="s">
        <v>1235</v>
      </c>
      <c r="K95" s="4" t="s">
        <v>10</v>
      </c>
      <c r="L95" s="4" t="s">
        <v>487</v>
      </c>
      <c r="M95" s="5">
        <v>0</v>
      </c>
      <c r="N95" s="4" t="s">
        <v>1241</v>
      </c>
    </row>
    <row r="96" spans="1:14" x14ac:dyDescent="0.15">
      <c r="A96" s="4" t="s">
        <v>52</v>
      </c>
      <c r="B96" s="4" t="s">
        <v>12</v>
      </c>
      <c r="C96" s="5">
        <v>1.8931658291460001</v>
      </c>
      <c r="D96" s="5">
        <v>1</v>
      </c>
      <c r="E96" s="4" t="s">
        <v>13</v>
      </c>
      <c r="F96" s="5">
        <v>3</v>
      </c>
      <c r="G96" s="5">
        <v>0</v>
      </c>
      <c r="H96" s="4" t="s">
        <v>488</v>
      </c>
      <c r="I96" s="4" t="s">
        <v>1234</v>
      </c>
      <c r="J96" s="4" t="s">
        <v>1235</v>
      </c>
      <c r="K96" s="4" t="s">
        <v>10</v>
      </c>
      <c r="L96" s="4" t="s">
        <v>487</v>
      </c>
      <c r="M96" s="5">
        <v>0</v>
      </c>
      <c r="N96" s="4" t="s">
        <v>1241</v>
      </c>
    </row>
    <row r="97" spans="1:14" x14ac:dyDescent="0.15">
      <c r="A97" s="4" t="s">
        <v>52</v>
      </c>
      <c r="B97" s="4" t="s">
        <v>14</v>
      </c>
      <c r="C97" s="5">
        <v>2.1035175879399999</v>
      </c>
      <c r="D97" s="5">
        <v>1</v>
      </c>
      <c r="E97" s="4" t="s">
        <v>13</v>
      </c>
      <c r="F97" s="5">
        <v>3</v>
      </c>
      <c r="G97" s="5">
        <v>0</v>
      </c>
      <c r="H97" s="4" t="s">
        <v>488</v>
      </c>
      <c r="I97" s="4" t="s">
        <v>1234</v>
      </c>
      <c r="J97" s="4" t="s">
        <v>1235</v>
      </c>
      <c r="K97" s="4" t="s">
        <v>10</v>
      </c>
      <c r="L97" s="4" t="s">
        <v>487</v>
      </c>
      <c r="M97" s="5">
        <v>0</v>
      </c>
      <c r="N97" s="4" t="s">
        <v>1241</v>
      </c>
    </row>
    <row r="98" spans="1:14" x14ac:dyDescent="0.15">
      <c r="A98" s="4" t="s">
        <v>52</v>
      </c>
      <c r="B98" s="4" t="s">
        <v>15</v>
      </c>
      <c r="C98" s="5">
        <v>42.070351758794004</v>
      </c>
      <c r="D98" s="5">
        <v>1000</v>
      </c>
      <c r="E98" s="4" t="s">
        <v>13</v>
      </c>
      <c r="F98" s="5">
        <v>3</v>
      </c>
      <c r="G98" s="5">
        <v>0</v>
      </c>
      <c r="H98" s="4" t="s">
        <v>488</v>
      </c>
      <c r="I98" s="4" t="s">
        <v>1234</v>
      </c>
      <c r="J98" s="4" t="s">
        <v>1235</v>
      </c>
      <c r="K98" s="4" t="s">
        <v>10</v>
      </c>
      <c r="L98" s="4" t="s">
        <v>487</v>
      </c>
      <c r="M98" s="5">
        <v>0</v>
      </c>
      <c r="N98" s="4" t="s">
        <v>1241</v>
      </c>
    </row>
    <row r="99" spans="1:14" x14ac:dyDescent="0.15">
      <c r="A99" s="4" t="s">
        <v>52</v>
      </c>
      <c r="B99" s="4" t="s">
        <v>23</v>
      </c>
      <c r="C99" s="5">
        <v>0.105175879397</v>
      </c>
      <c r="D99" s="5">
        <v>1</v>
      </c>
      <c r="E99" s="4" t="s">
        <v>13</v>
      </c>
      <c r="F99" s="5">
        <v>3</v>
      </c>
      <c r="G99" s="5">
        <v>0</v>
      </c>
      <c r="H99" s="4" t="s">
        <v>488</v>
      </c>
      <c r="I99" s="4" t="s">
        <v>1234</v>
      </c>
      <c r="J99" s="4" t="s">
        <v>1235</v>
      </c>
      <c r="K99" s="4" t="s">
        <v>10</v>
      </c>
      <c r="L99" s="4" t="s">
        <v>487</v>
      </c>
      <c r="M99" s="5">
        <v>0</v>
      </c>
      <c r="N99" s="4" t="s">
        <v>1241</v>
      </c>
    </row>
    <row r="100" spans="1:14" x14ac:dyDescent="0.15">
      <c r="A100" s="4" t="s">
        <v>52</v>
      </c>
      <c r="B100" s="4" t="s">
        <v>24</v>
      </c>
      <c r="C100" s="5">
        <v>42.070351758794004</v>
      </c>
      <c r="D100" s="5">
        <v>1000</v>
      </c>
      <c r="E100" s="4" t="s">
        <v>13</v>
      </c>
      <c r="F100" s="5">
        <v>3</v>
      </c>
      <c r="G100" s="5">
        <v>0</v>
      </c>
      <c r="H100" s="4" t="s">
        <v>488</v>
      </c>
      <c r="I100" s="4" t="s">
        <v>1234</v>
      </c>
      <c r="J100" s="4" t="s">
        <v>1235</v>
      </c>
      <c r="K100" s="4" t="s">
        <v>10</v>
      </c>
      <c r="L100" s="4" t="s">
        <v>487</v>
      </c>
      <c r="M100" s="5">
        <v>0</v>
      </c>
      <c r="N100" s="4" t="s">
        <v>1241</v>
      </c>
    </row>
    <row r="101" spans="1:14" x14ac:dyDescent="0.15">
      <c r="A101" s="4" t="s">
        <v>52</v>
      </c>
      <c r="B101" s="4" t="s">
        <v>17</v>
      </c>
      <c r="C101" s="5">
        <v>15.151515151515</v>
      </c>
      <c r="D101" s="5">
        <v>1000</v>
      </c>
      <c r="E101" s="4" t="s">
        <v>18</v>
      </c>
      <c r="F101" s="5">
        <v>0</v>
      </c>
      <c r="G101" s="5">
        <v>0</v>
      </c>
      <c r="H101" s="4" t="s">
        <v>488</v>
      </c>
      <c r="I101" s="4" t="s">
        <v>1234</v>
      </c>
      <c r="J101" s="4" t="s">
        <v>1235</v>
      </c>
      <c r="K101" s="4" t="s">
        <v>10</v>
      </c>
      <c r="L101" s="4" t="s">
        <v>487</v>
      </c>
      <c r="M101" s="5">
        <v>0</v>
      </c>
      <c r="N101" s="4" t="s">
        <v>1241</v>
      </c>
    </row>
    <row r="102" spans="1:14" x14ac:dyDescent="0.15">
      <c r="A102" s="4" t="s">
        <v>52</v>
      </c>
      <c r="B102" s="4" t="s">
        <v>19</v>
      </c>
      <c r="C102" s="5">
        <v>3</v>
      </c>
      <c r="D102" s="5">
        <v>1</v>
      </c>
      <c r="E102" s="4" t="s">
        <v>18</v>
      </c>
      <c r="F102" s="5">
        <v>0</v>
      </c>
      <c r="G102" s="5">
        <v>0</v>
      </c>
      <c r="H102" s="4" t="s">
        <v>488</v>
      </c>
      <c r="I102" s="4" t="s">
        <v>1236</v>
      </c>
      <c r="J102" s="4" t="s">
        <v>1235</v>
      </c>
      <c r="K102" s="4" t="s">
        <v>10</v>
      </c>
      <c r="L102" s="4" t="s">
        <v>487</v>
      </c>
      <c r="M102" s="5">
        <v>0</v>
      </c>
      <c r="N102" s="4" t="s">
        <v>1241</v>
      </c>
    </row>
    <row r="103" spans="1:14" x14ac:dyDescent="0.15">
      <c r="A103" s="4" t="s">
        <v>55</v>
      </c>
      <c r="B103" s="4" t="s">
        <v>56</v>
      </c>
      <c r="C103" s="5">
        <v>1</v>
      </c>
      <c r="D103" s="5">
        <v>1</v>
      </c>
      <c r="E103" s="4" t="s">
        <v>9</v>
      </c>
      <c r="F103" s="5">
        <v>0</v>
      </c>
      <c r="G103" s="5">
        <v>0</v>
      </c>
      <c r="H103" s="4" t="s">
        <v>488</v>
      </c>
      <c r="I103" s="4" t="s">
        <v>1234</v>
      </c>
      <c r="J103" s="4" t="s">
        <v>1235</v>
      </c>
      <c r="K103" s="4" t="s">
        <v>10</v>
      </c>
      <c r="L103" s="4" t="s">
        <v>487</v>
      </c>
      <c r="M103" s="5">
        <v>0</v>
      </c>
      <c r="N103" s="4" t="s">
        <v>1241</v>
      </c>
    </row>
    <row r="104" spans="1:14" x14ac:dyDescent="0.15">
      <c r="A104" s="4" t="s">
        <v>57</v>
      </c>
      <c r="B104" s="4" t="s">
        <v>56</v>
      </c>
      <c r="C104" s="5">
        <v>2</v>
      </c>
      <c r="D104" s="5">
        <v>1</v>
      </c>
      <c r="E104" s="4" t="s">
        <v>9</v>
      </c>
      <c r="F104" s="5">
        <v>0</v>
      </c>
      <c r="G104" s="5">
        <v>0</v>
      </c>
      <c r="H104" s="4" t="s">
        <v>488</v>
      </c>
      <c r="I104" s="4" t="s">
        <v>1234</v>
      </c>
      <c r="J104" s="4" t="s">
        <v>1235</v>
      </c>
      <c r="K104" s="4" t="s">
        <v>10</v>
      </c>
      <c r="L104" s="4" t="s">
        <v>487</v>
      </c>
      <c r="M104" s="5">
        <v>0</v>
      </c>
      <c r="N104" s="4" t="s">
        <v>1241</v>
      </c>
    </row>
    <row r="105" spans="1:14" x14ac:dyDescent="0.15">
      <c r="A105" s="4" t="s">
        <v>58</v>
      </c>
      <c r="B105" s="4" t="s">
        <v>56</v>
      </c>
      <c r="C105" s="5">
        <v>500</v>
      </c>
      <c r="D105" s="5">
        <v>1000</v>
      </c>
      <c r="E105" s="4" t="s">
        <v>9</v>
      </c>
      <c r="F105" s="5">
        <v>0</v>
      </c>
      <c r="G105" s="5">
        <v>0</v>
      </c>
      <c r="H105" s="4" t="s">
        <v>488</v>
      </c>
      <c r="I105" s="4" t="s">
        <v>1234</v>
      </c>
      <c r="J105" s="4" t="s">
        <v>1235</v>
      </c>
      <c r="K105" s="4" t="s">
        <v>10</v>
      </c>
      <c r="L105" s="4" t="s">
        <v>487</v>
      </c>
      <c r="M105" s="5">
        <v>0</v>
      </c>
      <c r="N105" s="4" t="s">
        <v>1241</v>
      </c>
    </row>
    <row r="106" spans="1:14" x14ac:dyDescent="0.15">
      <c r="A106" s="4" t="s">
        <v>56</v>
      </c>
      <c r="B106" s="4" t="s">
        <v>22</v>
      </c>
      <c r="C106" s="5">
        <v>7</v>
      </c>
      <c r="D106" s="5">
        <v>1</v>
      </c>
      <c r="E106" s="4" t="s">
        <v>9</v>
      </c>
      <c r="F106" s="5">
        <v>3</v>
      </c>
      <c r="G106" s="5">
        <v>0</v>
      </c>
      <c r="H106" s="4" t="s">
        <v>488</v>
      </c>
      <c r="I106" s="4" t="s">
        <v>1234</v>
      </c>
      <c r="J106" s="4" t="s">
        <v>1235</v>
      </c>
      <c r="K106" s="4" t="s">
        <v>10</v>
      </c>
      <c r="L106" s="4" t="s">
        <v>487</v>
      </c>
      <c r="M106" s="5">
        <v>0</v>
      </c>
      <c r="N106" s="4" t="s">
        <v>1241</v>
      </c>
    </row>
    <row r="107" spans="1:14" x14ac:dyDescent="0.15">
      <c r="A107" s="4" t="s">
        <v>56</v>
      </c>
      <c r="B107" s="4" t="s">
        <v>12</v>
      </c>
      <c r="C107" s="5">
        <v>2.0241520100499999</v>
      </c>
      <c r="D107" s="5">
        <v>1</v>
      </c>
      <c r="E107" s="4" t="s">
        <v>13</v>
      </c>
      <c r="F107" s="5">
        <v>3</v>
      </c>
      <c r="G107" s="5">
        <v>0</v>
      </c>
      <c r="H107" s="4" t="s">
        <v>488</v>
      </c>
      <c r="I107" s="4" t="s">
        <v>1234</v>
      </c>
      <c r="J107" s="4" t="s">
        <v>1235</v>
      </c>
      <c r="K107" s="4" t="s">
        <v>10</v>
      </c>
      <c r="L107" s="4" t="s">
        <v>487</v>
      </c>
      <c r="M107" s="5">
        <v>0</v>
      </c>
      <c r="N107" s="4" t="s">
        <v>1241</v>
      </c>
    </row>
    <row r="108" spans="1:14" x14ac:dyDescent="0.15">
      <c r="A108" s="4" t="s">
        <v>56</v>
      </c>
      <c r="B108" s="4" t="s">
        <v>14</v>
      </c>
      <c r="C108" s="5">
        <v>2.2490577889450001</v>
      </c>
      <c r="D108" s="5">
        <v>1</v>
      </c>
      <c r="E108" s="4" t="s">
        <v>13</v>
      </c>
      <c r="F108" s="5">
        <v>3</v>
      </c>
      <c r="G108" s="5">
        <v>0</v>
      </c>
      <c r="H108" s="4" t="s">
        <v>488</v>
      </c>
      <c r="I108" s="4" t="s">
        <v>1234</v>
      </c>
      <c r="J108" s="4" t="s">
        <v>1235</v>
      </c>
      <c r="K108" s="4" t="s">
        <v>10</v>
      </c>
      <c r="L108" s="4" t="s">
        <v>487</v>
      </c>
      <c r="M108" s="5">
        <v>0</v>
      </c>
      <c r="N108" s="4" t="s">
        <v>1241</v>
      </c>
    </row>
    <row r="109" spans="1:14" x14ac:dyDescent="0.15">
      <c r="A109" s="4" t="s">
        <v>56</v>
      </c>
      <c r="B109" s="4" t="s">
        <v>15</v>
      </c>
      <c r="C109" s="5">
        <v>44.981155778895001</v>
      </c>
      <c r="D109" s="5">
        <v>1000</v>
      </c>
      <c r="E109" s="4" t="s">
        <v>13</v>
      </c>
      <c r="F109" s="5">
        <v>3</v>
      </c>
      <c r="G109" s="5">
        <v>0</v>
      </c>
      <c r="H109" s="4" t="s">
        <v>488</v>
      </c>
      <c r="I109" s="4" t="s">
        <v>1234</v>
      </c>
      <c r="J109" s="4" t="s">
        <v>1235</v>
      </c>
      <c r="K109" s="4" t="s">
        <v>10</v>
      </c>
      <c r="L109" s="4" t="s">
        <v>487</v>
      </c>
      <c r="M109" s="5">
        <v>0</v>
      </c>
      <c r="N109" s="4" t="s">
        <v>1241</v>
      </c>
    </row>
    <row r="110" spans="1:14" x14ac:dyDescent="0.15">
      <c r="A110" s="4" t="s">
        <v>56</v>
      </c>
      <c r="B110" s="4" t="s">
        <v>23</v>
      </c>
      <c r="C110" s="5">
        <v>0.11245288944700001</v>
      </c>
      <c r="D110" s="5">
        <v>1</v>
      </c>
      <c r="E110" s="4" t="s">
        <v>13</v>
      </c>
      <c r="F110" s="5">
        <v>3</v>
      </c>
      <c r="G110" s="5">
        <v>0</v>
      </c>
      <c r="H110" s="4" t="s">
        <v>488</v>
      </c>
      <c r="I110" s="4" t="s">
        <v>1234</v>
      </c>
      <c r="J110" s="4" t="s">
        <v>1235</v>
      </c>
      <c r="K110" s="4" t="s">
        <v>10</v>
      </c>
      <c r="L110" s="4" t="s">
        <v>487</v>
      </c>
      <c r="M110" s="5">
        <v>0</v>
      </c>
      <c r="N110" s="4" t="s">
        <v>1241</v>
      </c>
    </row>
    <row r="111" spans="1:14" x14ac:dyDescent="0.15">
      <c r="A111" s="4" t="s">
        <v>56</v>
      </c>
      <c r="B111" s="4" t="s">
        <v>24</v>
      </c>
      <c r="C111" s="5">
        <v>44.981155778895001</v>
      </c>
      <c r="D111" s="5">
        <v>1000</v>
      </c>
      <c r="E111" s="4" t="s">
        <v>13</v>
      </c>
      <c r="F111" s="5">
        <v>3</v>
      </c>
      <c r="G111" s="5">
        <v>0</v>
      </c>
      <c r="H111" s="4" t="s">
        <v>488</v>
      </c>
      <c r="I111" s="4" t="s">
        <v>1234</v>
      </c>
      <c r="J111" s="4" t="s">
        <v>1235</v>
      </c>
      <c r="K111" s="4" t="s">
        <v>10</v>
      </c>
      <c r="L111" s="4" t="s">
        <v>487</v>
      </c>
      <c r="M111" s="5">
        <v>0</v>
      </c>
      <c r="N111" s="4" t="s">
        <v>1241</v>
      </c>
    </row>
    <row r="112" spans="1:14" x14ac:dyDescent="0.15">
      <c r="A112" s="4" t="s">
        <v>56</v>
      </c>
      <c r="B112" s="4" t="s">
        <v>17</v>
      </c>
      <c r="C112" s="5">
        <v>6.9444444444440006</v>
      </c>
      <c r="D112" s="5">
        <v>1000</v>
      </c>
      <c r="E112" s="4" t="s">
        <v>18</v>
      </c>
      <c r="F112" s="5">
        <v>0</v>
      </c>
      <c r="G112" s="5">
        <v>0</v>
      </c>
      <c r="H112" s="4" t="s">
        <v>488</v>
      </c>
      <c r="I112" s="4" t="s">
        <v>1234</v>
      </c>
      <c r="J112" s="4" t="s">
        <v>1235</v>
      </c>
      <c r="K112" s="4" t="s">
        <v>10</v>
      </c>
      <c r="L112" s="4" t="s">
        <v>487</v>
      </c>
      <c r="M112" s="5">
        <v>0</v>
      </c>
      <c r="N112" s="4" t="s">
        <v>1241</v>
      </c>
    </row>
    <row r="113" spans="1:14" x14ac:dyDescent="0.15">
      <c r="A113" s="4" t="s">
        <v>56</v>
      </c>
      <c r="B113" s="4" t="s">
        <v>19</v>
      </c>
      <c r="C113" s="5">
        <v>4</v>
      </c>
      <c r="D113" s="5">
        <v>1</v>
      </c>
      <c r="E113" s="4" t="s">
        <v>18</v>
      </c>
      <c r="F113" s="5">
        <v>0</v>
      </c>
      <c r="G113" s="5">
        <v>0</v>
      </c>
      <c r="H113" s="4" t="s">
        <v>488</v>
      </c>
      <c r="I113" s="4" t="s">
        <v>1236</v>
      </c>
      <c r="J113" s="4" t="s">
        <v>1235</v>
      </c>
      <c r="K113" s="4" t="s">
        <v>10</v>
      </c>
      <c r="L113" s="4" t="s">
        <v>487</v>
      </c>
      <c r="M113" s="5">
        <v>0</v>
      </c>
      <c r="N113" s="4" t="s">
        <v>1241</v>
      </c>
    </row>
    <row r="114" spans="1:14" x14ac:dyDescent="0.15">
      <c r="A114" s="4" t="s">
        <v>59</v>
      </c>
      <c r="B114" s="4" t="s">
        <v>60</v>
      </c>
      <c r="C114" s="5">
        <v>1</v>
      </c>
      <c r="D114" s="5">
        <v>1</v>
      </c>
      <c r="E114" s="4" t="s">
        <v>9</v>
      </c>
      <c r="F114" s="5">
        <v>0</v>
      </c>
      <c r="G114" s="5">
        <v>0</v>
      </c>
      <c r="H114" s="4" t="s">
        <v>488</v>
      </c>
      <c r="I114" s="4" t="s">
        <v>1234</v>
      </c>
      <c r="J114" s="4" t="s">
        <v>1235</v>
      </c>
      <c r="K114" s="4" t="s">
        <v>10</v>
      </c>
      <c r="L114" s="4" t="s">
        <v>487</v>
      </c>
      <c r="M114" s="5">
        <v>0</v>
      </c>
      <c r="N114" s="4" t="s">
        <v>1241</v>
      </c>
    </row>
    <row r="115" spans="1:14" x14ac:dyDescent="0.15">
      <c r="A115" s="4" t="s">
        <v>61</v>
      </c>
      <c r="B115" s="4" t="s">
        <v>60</v>
      </c>
      <c r="C115" s="5">
        <v>2</v>
      </c>
      <c r="D115" s="5">
        <v>1</v>
      </c>
      <c r="E115" s="4" t="s">
        <v>9</v>
      </c>
      <c r="F115" s="5">
        <v>0</v>
      </c>
      <c r="G115" s="5">
        <v>0</v>
      </c>
      <c r="H115" s="4" t="s">
        <v>488</v>
      </c>
      <c r="I115" s="4" t="s">
        <v>1234</v>
      </c>
      <c r="J115" s="4" t="s">
        <v>1235</v>
      </c>
      <c r="K115" s="4" t="s">
        <v>10</v>
      </c>
      <c r="L115" s="4" t="s">
        <v>487</v>
      </c>
      <c r="M115" s="5">
        <v>0</v>
      </c>
      <c r="N115" s="4" t="s">
        <v>1241</v>
      </c>
    </row>
    <row r="116" spans="1:14" x14ac:dyDescent="0.15">
      <c r="A116" s="4" t="s">
        <v>62</v>
      </c>
      <c r="B116" s="4" t="s">
        <v>60</v>
      </c>
      <c r="C116" s="5">
        <v>4</v>
      </c>
      <c r="D116" s="5">
        <v>1</v>
      </c>
      <c r="E116" s="4" t="s">
        <v>9</v>
      </c>
      <c r="F116" s="5">
        <v>0</v>
      </c>
      <c r="G116" s="5">
        <v>0</v>
      </c>
      <c r="H116" s="4" t="s">
        <v>488</v>
      </c>
      <c r="I116" s="4" t="s">
        <v>1234</v>
      </c>
      <c r="J116" s="4" t="s">
        <v>1235</v>
      </c>
      <c r="K116" s="4" t="s">
        <v>10</v>
      </c>
      <c r="L116" s="4" t="s">
        <v>487</v>
      </c>
      <c r="M116" s="5">
        <v>0</v>
      </c>
      <c r="N116" s="4" t="s">
        <v>1241</v>
      </c>
    </row>
    <row r="117" spans="1:14" x14ac:dyDescent="0.15">
      <c r="A117" s="4" t="s">
        <v>63</v>
      </c>
      <c r="B117" s="4" t="s">
        <v>60</v>
      </c>
      <c r="C117" s="5">
        <v>500</v>
      </c>
      <c r="D117" s="5">
        <v>1000</v>
      </c>
      <c r="E117" s="4" t="s">
        <v>9</v>
      </c>
      <c r="F117" s="5">
        <v>0</v>
      </c>
      <c r="G117" s="5">
        <v>0</v>
      </c>
      <c r="H117" s="4" t="s">
        <v>488</v>
      </c>
      <c r="I117" s="4" t="s">
        <v>1234</v>
      </c>
      <c r="J117" s="4" t="s">
        <v>1235</v>
      </c>
      <c r="K117" s="4" t="s">
        <v>10</v>
      </c>
      <c r="L117" s="4" t="s">
        <v>487</v>
      </c>
      <c r="M117" s="5">
        <v>0</v>
      </c>
      <c r="N117" s="4" t="s">
        <v>1241</v>
      </c>
    </row>
    <row r="118" spans="1:14" x14ac:dyDescent="0.15">
      <c r="A118" s="4" t="s">
        <v>64</v>
      </c>
      <c r="B118" s="4" t="s">
        <v>60</v>
      </c>
      <c r="C118" s="5">
        <v>250</v>
      </c>
      <c r="D118" s="5">
        <v>1</v>
      </c>
      <c r="E118" s="4" t="s">
        <v>9</v>
      </c>
      <c r="F118" s="5">
        <v>0</v>
      </c>
      <c r="G118" s="5">
        <v>0</v>
      </c>
      <c r="H118" s="4" t="s">
        <v>488</v>
      </c>
      <c r="I118" s="4" t="s">
        <v>1234</v>
      </c>
      <c r="J118" s="4" t="s">
        <v>1235</v>
      </c>
      <c r="K118" s="4" t="s">
        <v>10</v>
      </c>
      <c r="L118" s="4" t="s">
        <v>487</v>
      </c>
      <c r="M118" s="5">
        <v>0</v>
      </c>
      <c r="N118" s="4" t="s">
        <v>1241</v>
      </c>
    </row>
    <row r="119" spans="1:14" x14ac:dyDescent="0.15">
      <c r="A119" s="4" t="s">
        <v>60</v>
      </c>
      <c r="B119" s="4" t="s">
        <v>22</v>
      </c>
      <c r="C119" s="5">
        <v>22</v>
      </c>
      <c r="D119" s="5">
        <v>1</v>
      </c>
      <c r="E119" s="4" t="s">
        <v>9</v>
      </c>
      <c r="F119" s="5">
        <v>3</v>
      </c>
      <c r="G119" s="5">
        <v>0</v>
      </c>
      <c r="H119" s="4" t="s">
        <v>488</v>
      </c>
      <c r="I119" s="4" t="s">
        <v>1234</v>
      </c>
      <c r="J119" s="4" t="s">
        <v>1235</v>
      </c>
      <c r="K119" s="4" t="s">
        <v>10</v>
      </c>
      <c r="L119" s="4" t="s">
        <v>487</v>
      </c>
      <c r="M119" s="5">
        <v>0</v>
      </c>
      <c r="N119" s="4" t="s">
        <v>1241</v>
      </c>
    </row>
    <row r="120" spans="1:14" x14ac:dyDescent="0.15">
      <c r="A120" s="4" t="s">
        <v>60</v>
      </c>
      <c r="B120" s="4" t="s">
        <v>12</v>
      </c>
      <c r="C120" s="5">
        <v>6.361620603015</v>
      </c>
      <c r="D120" s="5">
        <v>1</v>
      </c>
      <c r="E120" s="4" t="s">
        <v>13</v>
      </c>
      <c r="F120" s="5">
        <v>3</v>
      </c>
      <c r="G120" s="5">
        <v>0</v>
      </c>
      <c r="H120" s="4" t="s">
        <v>488</v>
      </c>
      <c r="I120" s="4" t="s">
        <v>1234</v>
      </c>
      <c r="J120" s="4" t="s">
        <v>1235</v>
      </c>
      <c r="K120" s="4" t="s">
        <v>10</v>
      </c>
      <c r="L120" s="4" t="s">
        <v>487</v>
      </c>
      <c r="M120" s="5">
        <v>0</v>
      </c>
      <c r="N120" s="4" t="s">
        <v>1241</v>
      </c>
    </row>
    <row r="121" spans="1:14" x14ac:dyDescent="0.15">
      <c r="A121" s="4" t="s">
        <v>60</v>
      </c>
      <c r="B121" s="4" t="s">
        <v>14</v>
      </c>
      <c r="C121" s="5">
        <v>7.0684673366829998</v>
      </c>
      <c r="D121" s="5">
        <v>1</v>
      </c>
      <c r="E121" s="4" t="s">
        <v>13</v>
      </c>
      <c r="F121" s="5">
        <v>3</v>
      </c>
      <c r="G121" s="5">
        <v>0</v>
      </c>
      <c r="H121" s="4" t="s">
        <v>488</v>
      </c>
      <c r="I121" s="4" t="s">
        <v>1234</v>
      </c>
      <c r="J121" s="4" t="s">
        <v>1235</v>
      </c>
      <c r="K121" s="4" t="s">
        <v>10</v>
      </c>
      <c r="L121" s="4" t="s">
        <v>487</v>
      </c>
      <c r="M121" s="5">
        <v>0</v>
      </c>
      <c r="N121" s="4" t="s">
        <v>1241</v>
      </c>
    </row>
    <row r="122" spans="1:14" x14ac:dyDescent="0.15">
      <c r="A122" s="4" t="s">
        <v>60</v>
      </c>
      <c r="B122" s="4" t="s">
        <v>15</v>
      </c>
      <c r="C122" s="5">
        <v>0.14136934673400001</v>
      </c>
      <c r="D122" s="5">
        <v>1</v>
      </c>
      <c r="E122" s="4" t="s">
        <v>13</v>
      </c>
      <c r="F122" s="5">
        <v>3</v>
      </c>
      <c r="G122" s="5">
        <v>0</v>
      </c>
      <c r="H122" s="4" t="s">
        <v>488</v>
      </c>
      <c r="I122" s="4" t="s">
        <v>1234</v>
      </c>
      <c r="J122" s="4" t="s">
        <v>1235</v>
      </c>
      <c r="K122" s="4" t="s">
        <v>10</v>
      </c>
      <c r="L122" s="4" t="s">
        <v>487</v>
      </c>
      <c r="M122" s="5">
        <v>0</v>
      </c>
      <c r="N122" s="4" t="s">
        <v>1241</v>
      </c>
    </row>
    <row r="123" spans="1:14" x14ac:dyDescent="0.15">
      <c r="A123" s="4" t="s">
        <v>60</v>
      </c>
      <c r="B123" s="4" t="s">
        <v>23</v>
      </c>
      <c r="C123" s="5">
        <v>0.353423366834</v>
      </c>
      <c r="D123" s="5">
        <v>1</v>
      </c>
      <c r="E123" s="4" t="s">
        <v>13</v>
      </c>
      <c r="F123" s="5">
        <v>3</v>
      </c>
      <c r="G123" s="5">
        <v>0</v>
      </c>
      <c r="H123" s="4" t="s">
        <v>488</v>
      </c>
      <c r="I123" s="4" t="s">
        <v>1234</v>
      </c>
      <c r="J123" s="4" t="s">
        <v>1235</v>
      </c>
      <c r="K123" s="4" t="s">
        <v>10</v>
      </c>
      <c r="L123" s="4" t="s">
        <v>487</v>
      </c>
      <c r="M123" s="5">
        <v>0</v>
      </c>
      <c r="N123" s="4" t="s">
        <v>1241</v>
      </c>
    </row>
    <row r="124" spans="1:14" x14ac:dyDescent="0.15">
      <c r="A124" s="4" t="s">
        <v>60</v>
      </c>
      <c r="B124" s="4" t="s">
        <v>24</v>
      </c>
      <c r="C124" s="5">
        <v>0.14136934673400001</v>
      </c>
      <c r="D124" s="5">
        <v>1</v>
      </c>
      <c r="E124" s="4" t="s">
        <v>13</v>
      </c>
      <c r="F124" s="5">
        <v>3</v>
      </c>
      <c r="G124" s="5">
        <v>0</v>
      </c>
      <c r="H124" s="4" t="s">
        <v>488</v>
      </c>
      <c r="I124" s="4" t="s">
        <v>1234</v>
      </c>
      <c r="J124" s="4" t="s">
        <v>1235</v>
      </c>
      <c r="K124" s="4" t="s">
        <v>10</v>
      </c>
      <c r="L124" s="4" t="s">
        <v>487</v>
      </c>
      <c r="M124" s="5">
        <v>0</v>
      </c>
      <c r="N124" s="4" t="s">
        <v>1241</v>
      </c>
    </row>
    <row r="125" spans="1:14" x14ac:dyDescent="0.15">
      <c r="A125" s="4" t="s">
        <v>60</v>
      </c>
      <c r="B125" s="4" t="s">
        <v>17</v>
      </c>
      <c r="C125" s="5">
        <v>10.416666666667</v>
      </c>
      <c r="D125" s="5">
        <v>1000</v>
      </c>
      <c r="E125" s="4" t="s">
        <v>18</v>
      </c>
      <c r="F125" s="5">
        <v>0</v>
      </c>
      <c r="G125" s="5">
        <v>0</v>
      </c>
      <c r="H125" s="4" t="s">
        <v>488</v>
      </c>
      <c r="I125" s="4" t="s">
        <v>1234</v>
      </c>
      <c r="J125" s="4" t="s">
        <v>1235</v>
      </c>
      <c r="K125" s="4" t="s">
        <v>10</v>
      </c>
      <c r="L125" s="4" t="s">
        <v>487</v>
      </c>
      <c r="M125" s="5">
        <v>0</v>
      </c>
      <c r="N125" s="4" t="s">
        <v>1241</v>
      </c>
    </row>
    <row r="126" spans="1:14" x14ac:dyDescent="0.15">
      <c r="A126" s="4" t="s">
        <v>60</v>
      </c>
      <c r="B126" s="4" t="s">
        <v>19</v>
      </c>
      <c r="C126" s="5">
        <v>4</v>
      </c>
      <c r="D126" s="5">
        <v>1</v>
      </c>
      <c r="E126" s="4" t="s">
        <v>18</v>
      </c>
      <c r="F126" s="5">
        <v>0</v>
      </c>
      <c r="G126" s="5">
        <v>0</v>
      </c>
      <c r="H126" s="4" t="s">
        <v>488</v>
      </c>
      <c r="I126" s="4" t="s">
        <v>1236</v>
      </c>
      <c r="J126" s="4" t="s">
        <v>1235</v>
      </c>
      <c r="K126" s="4" t="s">
        <v>10</v>
      </c>
      <c r="L126" s="4" t="s">
        <v>487</v>
      </c>
      <c r="M126" s="5">
        <v>0</v>
      </c>
      <c r="N126" s="4" t="s">
        <v>1241</v>
      </c>
    </row>
    <row r="127" spans="1:14" x14ac:dyDescent="0.15">
      <c r="A127" s="4" t="s">
        <v>65</v>
      </c>
      <c r="B127" s="4" t="s">
        <v>66</v>
      </c>
      <c r="C127" s="5">
        <v>1</v>
      </c>
      <c r="D127" s="5">
        <v>1</v>
      </c>
      <c r="E127" s="4" t="s">
        <v>9</v>
      </c>
      <c r="F127" s="5">
        <v>0</v>
      </c>
      <c r="G127" s="5">
        <v>0</v>
      </c>
      <c r="H127" s="4" t="s">
        <v>488</v>
      </c>
      <c r="I127" s="4" t="s">
        <v>1234</v>
      </c>
      <c r="J127" s="4" t="s">
        <v>1235</v>
      </c>
      <c r="K127" s="4" t="s">
        <v>10</v>
      </c>
      <c r="L127" s="4" t="s">
        <v>487</v>
      </c>
      <c r="M127" s="5">
        <v>0</v>
      </c>
      <c r="N127" s="4" t="s">
        <v>1241</v>
      </c>
    </row>
    <row r="128" spans="1:14" x14ac:dyDescent="0.15">
      <c r="A128" s="4" t="s">
        <v>67</v>
      </c>
      <c r="B128" s="4" t="s">
        <v>66</v>
      </c>
      <c r="C128" s="5">
        <v>2</v>
      </c>
      <c r="D128" s="5">
        <v>1</v>
      </c>
      <c r="E128" s="4" t="s">
        <v>9</v>
      </c>
      <c r="F128" s="5">
        <v>0</v>
      </c>
      <c r="G128" s="5">
        <v>0</v>
      </c>
      <c r="H128" s="4" t="s">
        <v>488</v>
      </c>
      <c r="I128" s="4" t="s">
        <v>1234</v>
      </c>
      <c r="J128" s="4" t="s">
        <v>1235</v>
      </c>
      <c r="K128" s="4" t="s">
        <v>10</v>
      </c>
      <c r="L128" s="4" t="s">
        <v>487</v>
      </c>
      <c r="M128" s="5">
        <v>0</v>
      </c>
      <c r="N128" s="4" t="s">
        <v>1241</v>
      </c>
    </row>
    <row r="129" spans="1:14" x14ac:dyDescent="0.15">
      <c r="A129" s="4" t="s">
        <v>68</v>
      </c>
      <c r="B129" s="4" t="s">
        <v>66</v>
      </c>
      <c r="C129" s="5">
        <v>500</v>
      </c>
      <c r="D129" s="5">
        <v>1000</v>
      </c>
      <c r="E129" s="4" t="s">
        <v>9</v>
      </c>
      <c r="F129" s="5">
        <v>0</v>
      </c>
      <c r="G129" s="5">
        <v>0</v>
      </c>
      <c r="H129" s="4" t="s">
        <v>488</v>
      </c>
      <c r="I129" s="4" t="s">
        <v>1234</v>
      </c>
      <c r="J129" s="4" t="s">
        <v>1235</v>
      </c>
      <c r="K129" s="4" t="s">
        <v>10</v>
      </c>
      <c r="L129" s="4" t="s">
        <v>487</v>
      </c>
      <c r="M129" s="5">
        <v>0</v>
      </c>
      <c r="N129" s="4" t="s">
        <v>1241</v>
      </c>
    </row>
    <row r="130" spans="1:14" x14ac:dyDescent="0.15">
      <c r="A130" s="4" t="s">
        <v>66</v>
      </c>
      <c r="B130" s="4" t="s">
        <v>34</v>
      </c>
      <c r="C130" s="5">
        <v>2</v>
      </c>
      <c r="D130" s="5">
        <v>1</v>
      </c>
      <c r="E130" s="4" t="s">
        <v>9</v>
      </c>
      <c r="F130" s="5">
        <v>3</v>
      </c>
      <c r="G130" s="5">
        <v>0</v>
      </c>
      <c r="H130" s="4" t="s">
        <v>488</v>
      </c>
      <c r="I130" s="4" t="s">
        <v>1234</v>
      </c>
      <c r="J130" s="4" t="s">
        <v>1235</v>
      </c>
      <c r="K130" s="4" t="s">
        <v>10</v>
      </c>
      <c r="L130" s="4" t="s">
        <v>487</v>
      </c>
      <c r="M130" s="5">
        <v>0</v>
      </c>
      <c r="N130" s="4" t="s">
        <v>1241</v>
      </c>
    </row>
    <row r="131" spans="1:14" x14ac:dyDescent="0.15">
      <c r="A131" s="4" t="s">
        <v>66</v>
      </c>
      <c r="B131" s="4" t="s">
        <v>12</v>
      </c>
      <c r="C131" s="5">
        <v>65.577889447236004</v>
      </c>
      <c r="D131" s="5">
        <v>1000</v>
      </c>
      <c r="E131" s="4" t="s">
        <v>13</v>
      </c>
      <c r="F131" s="5">
        <v>3</v>
      </c>
      <c r="G131" s="5">
        <v>0</v>
      </c>
      <c r="H131" s="4" t="s">
        <v>488</v>
      </c>
      <c r="I131" s="4" t="s">
        <v>1234</v>
      </c>
      <c r="J131" s="4" t="s">
        <v>1235</v>
      </c>
      <c r="K131" s="4" t="s">
        <v>10</v>
      </c>
      <c r="L131" s="4" t="s">
        <v>487</v>
      </c>
      <c r="M131" s="5">
        <v>0</v>
      </c>
      <c r="N131" s="4" t="s">
        <v>1241</v>
      </c>
    </row>
    <row r="132" spans="1:14" x14ac:dyDescent="0.15">
      <c r="A132" s="4" t="s">
        <v>66</v>
      </c>
      <c r="B132" s="4" t="s">
        <v>14</v>
      </c>
      <c r="C132" s="5">
        <v>72.864321608040015</v>
      </c>
      <c r="D132" s="5">
        <v>1000</v>
      </c>
      <c r="E132" s="4" t="s">
        <v>13</v>
      </c>
      <c r="F132" s="5">
        <v>3</v>
      </c>
      <c r="G132" s="5">
        <v>0</v>
      </c>
      <c r="H132" s="4" t="s">
        <v>488</v>
      </c>
      <c r="I132" s="4" t="s">
        <v>1234</v>
      </c>
      <c r="J132" s="4" t="s">
        <v>1235</v>
      </c>
      <c r="K132" s="4" t="s">
        <v>10</v>
      </c>
      <c r="L132" s="4" t="s">
        <v>487</v>
      </c>
      <c r="M132" s="5">
        <v>0</v>
      </c>
      <c r="N132" s="4" t="s">
        <v>1241</v>
      </c>
    </row>
    <row r="133" spans="1:14" x14ac:dyDescent="0.15">
      <c r="A133" s="4" t="s">
        <v>66</v>
      </c>
      <c r="B133" s="4" t="s">
        <v>15</v>
      </c>
      <c r="C133" s="5">
        <v>1.457286432161</v>
      </c>
      <c r="D133" s="5">
        <v>1000</v>
      </c>
      <c r="E133" s="4" t="s">
        <v>13</v>
      </c>
      <c r="F133" s="5">
        <v>3</v>
      </c>
      <c r="G133" s="5">
        <v>0</v>
      </c>
      <c r="H133" s="4" t="s">
        <v>488</v>
      </c>
      <c r="I133" s="4" t="s">
        <v>1234</v>
      </c>
      <c r="J133" s="4" t="s">
        <v>1235</v>
      </c>
      <c r="K133" s="4" t="s">
        <v>10</v>
      </c>
      <c r="L133" s="4" t="s">
        <v>487</v>
      </c>
      <c r="M133" s="5">
        <v>0</v>
      </c>
      <c r="N133" s="4" t="s">
        <v>1241</v>
      </c>
    </row>
    <row r="134" spans="1:14" x14ac:dyDescent="0.15">
      <c r="A134" s="4" t="s">
        <v>66</v>
      </c>
      <c r="B134" s="4" t="s">
        <v>23</v>
      </c>
      <c r="C134" s="5">
        <v>3.6432160804020008</v>
      </c>
      <c r="D134" s="5">
        <v>1000</v>
      </c>
      <c r="E134" s="4" t="s">
        <v>13</v>
      </c>
      <c r="F134" s="5">
        <v>3</v>
      </c>
      <c r="G134" s="5">
        <v>0</v>
      </c>
      <c r="H134" s="4" t="s">
        <v>488</v>
      </c>
      <c r="I134" s="4" t="s">
        <v>1234</v>
      </c>
      <c r="J134" s="4" t="s">
        <v>1235</v>
      </c>
      <c r="K134" s="4" t="s">
        <v>10</v>
      </c>
      <c r="L134" s="4" t="s">
        <v>487</v>
      </c>
      <c r="M134" s="5">
        <v>0</v>
      </c>
      <c r="N134" s="4" t="s">
        <v>1241</v>
      </c>
    </row>
    <row r="135" spans="1:14" x14ac:dyDescent="0.15">
      <c r="A135" s="4" t="s">
        <v>66</v>
      </c>
      <c r="B135" s="4" t="s">
        <v>24</v>
      </c>
      <c r="C135" s="5">
        <v>1.457286432161</v>
      </c>
      <c r="D135" s="5">
        <v>1000</v>
      </c>
      <c r="E135" s="4" t="s">
        <v>13</v>
      </c>
      <c r="F135" s="5">
        <v>3</v>
      </c>
      <c r="G135" s="5">
        <v>0</v>
      </c>
      <c r="H135" s="4" t="s">
        <v>488</v>
      </c>
      <c r="I135" s="4" t="s">
        <v>1234</v>
      </c>
      <c r="J135" s="4" t="s">
        <v>1235</v>
      </c>
      <c r="K135" s="4" t="s">
        <v>10</v>
      </c>
      <c r="L135" s="4" t="s">
        <v>487</v>
      </c>
      <c r="M135" s="5">
        <v>0</v>
      </c>
      <c r="N135" s="4" t="s">
        <v>1241</v>
      </c>
    </row>
    <row r="136" spans="1:14" x14ac:dyDescent="0.15">
      <c r="A136" s="4" t="s">
        <v>66</v>
      </c>
      <c r="B136" s="4" t="s">
        <v>17</v>
      </c>
      <c r="C136" s="5">
        <v>7.5757575757579998</v>
      </c>
      <c r="D136" s="5">
        <v>1000</v>
      </c>
      <c r="E136" s="4" t="s">
        <v>18</v>
      </c>
      <c r="F136" s="5">
        <v>0</v>
      </c>
      <c r="G136" s="5">
        <v>0</v>
      </c>
      <c r="H136" s="4" t="s">
        <v>488</v>
      </c>
      <c r="I136" s="4" t="s">
        <v>1234</v>
      </c>
      <c r="J136" s="4" t="s">
        <v>1235</v>
      </c>
      <c r="K136" s="4" t="s">
        <v>10</v>
      </c>
      <c r="L136" s="4" t="s">
        <v>487</v>
      </c>
      <c r="M136" s="5">
        <v>0</v>
      </c>
      <c r="N136" s="4" t="s">
        <v>1241</v>
      </c>
    </row>
    <row r="137" spans="1:14" x14ac:dyDescent="0.15">
      <c r="A137" s="4" t="s">
        <v>66</v>
      </c>
      <c r="B137" s="4" t="s">
        <v>19</v>
      </c>
      <c r="C137" s="5">
        <v>3</v>
      </c>
      <c r="D137" s="5">
        <v>1</v>
      </c>
      <c r="E137" s="4" t="s">
        <v>18</v>
      </c>
      <c r="F137" s="5">
        <v>0</v>
      </c>
      <c r="G137" s="5">
        <v>0</v>
      </c>
      <c r="H137" s="4" t="s">
        <v>488</v>
      </c>
      <c r="I137" s="4" t="s">
        <v>1236</v>
      </c>
      <c r="J137" s="4" t="s">
        <v>1235</v>
      </c>
      <c r="K137" s="4" t="s">
        <v>10</v>
      </c>
      <c r="L137" s="4" t="s">
        <v>487</v>
      </c>
      <c r="M137" s="5">
        <v>0</v>
      </c>
      <c r="N137" s="4" t="s">
        <v>1241</v>
      </c>
    </row>
    <row r="138" spans="1:14" x14ac:dyDescent="0.15">
      <c r="A138" s="4" t="s">
        <v>69</v>
      </c>
      <c r="B138" s="4" t="s">
        <v>70</v>
      </c>
      <c r="C138" s="5">
        <v>1</v>
      </c>
      <c r="D138" s="5">
        <v>1</v>
      </c>
      <c r="E138" s="4" t="s">
        <v>9</v>
      </c>
      <c r="F138" s="5">
        <v>0</v>
      </c>
      <c r="G138" s="5">
        <v>0</v>
      </c>
      <c r="H138" s="4" t="s">
        <v>488</v>
      </c>
      <c r="I138" s="4" t="s">
        <v>1234</v>
      </c>
      <c r="J138" s="4" t="s">
        <v>1235</v>
      </c>
      <c r="K138" s="4" t="s">
        <v>10</v>
      </c>
      <c r="L138" s="4" t="s">
        <v>487</v>
      </c>
      <c r="M138" s="5">
        <v>0</v>
      </c>
      <c r="N138" s="4" t="s">
        <v>1241</v>
      </c>
    </row>
    <row r="139" spans="1:14" x14ac:dyDescent="0.15">
      <c r="A139" s="4" t="s">
        <v>71</v>
      </c>
      <c r="B139" s="4" t="s">
        <v>70</v>
      </c>
      <c r="C139" s="5">
        <v>2</v>
      </c>
      <c r="D139" s="5">
        <v>1</v>
      </c>
      <c r="E139" s="4" t="s">
        <v>9</v>
      </c>
      <c r="F139" s="5">
        <v>0</v>
      </c>
      <c r="G139" s="5">
        <v>0</v>
      </c>
      <c r="H139" s="4" t="s">
        <v>488</v>
      </c>
      <c r="I139" s="4" t="s">
        <v>1234</v>
      </c>
      <c r="J139" s="4" t="s">
        <v>1235</v>
      </c>
      <c r="K139" s="4" t="s">
        <v>10</v>
      </c>
      <c r="L139" s="4" t="s">
        <v>487</v>
      </c>
      <c r="M139" s="5">
        <v>0</v>
      </c>
      <c r="N139" s="4" t="s">
        <v>1241</v>
      </c>
    </row>
    <row r="140" spans="1:14" x14ac:dyDescent="0.15">
      <c r="A140" s="4" t="s">
        <v>72</v>
      </c>
      <c r="B140" s="4" t="s">
        <v>70</v>
      </c>
      <c r="C140" s="5">
        <v>500</v>
      </c>
      <c r="D140" s="5">
        <v>1000</v>
      </c>
      <c r="E140" s="4" t="s">
        <v>9</v>
      </c>
      <c r="F140" s="5">
        <v>0</v>
      </c>
      <c r="G140" s="5">
        <v>0</v>
      </c>
      <c r="H140" s="4" t="s">
        <v>488</v>
      </c>
      <c r="I140" s="4" t="s">
        <v>1234</v>
      </c>
      <c r="J140" s="4" t="s">
        <v>1235</v>
      </c>
      <c r="K140" s="4" t="s">
        <v>10</v>
      </c>
      <c r="L140" s="4" t="s">
        <v>487</v>
      </c>
      <c r="M140" s="5">
        <v>0</v>
      </c>
      <c r="N140" s="4" t="s">
        <v>1241</v>
      </c>
    </row>
    <row r="141" spans="1:14" x14ac:dyDescent="0.15">
      <c r="A141" s="4" t="s">
        <v>73</v>
      </c>
      <c r="B141" s="4" t="s">
        <v>70</v>
      </c>
      <c r="C141" s="5">
        <v>1.5</v>
      </c>
      <c r="D141" s="5">
        <v>1</v>
      </c>
      <c r="E141" s="4" t="s">
        <v>9</v>
      </c>
      <c r="F141" s="5">
        <v>0</v>
      </c>
      <c r="G141" s="5">
        <v>0</v>
      </c>
      <c r="H141" s="4" t="s">
        <v>488</v>
      </c>
      <c r="I141" s="4" t="s">
        <v>1234</v>
      </c>
      <c r="J141" s="4" t="s">
        <v>1235</v>
      </c>
      <c r="K141" s="4" t="s">
        <v>10</v>
      </c>
      <c r="L141" s="4" t="s">
        <v>487</v>
      </c>
      <c r="M141" s="5">
        <v>0</v>
      </c>
      <c r="N141" s="4" t="s">
        <v>1241</v>
      </c>
    </row>
    <row r="142" spans="1:14" x14ac:dyDescent="0.15">
      <c r="A142" s="4" t="s">
        <v>70</v>
      </c>
      <c r="B142" s="4" t="s">
        <v>39</v>
      </c>
      <c r="C142" s="5">
        <v>5</v>
      </c>
      <c r="D142" s="5">
        <v>1</v>
      </c>
      <c r="E142" s="4" t="s">
        <v>9</v>
      </c>
      <c r="F142" s="5">
        <v>3</v>
      </c>
      <c r="G142" s="5">
        <v>0</v>
      </c>
      <c r="H142" s="4" t="s">
        <v>488</v>
      </c>
      <c r="I142" s="4" t="s">
        <v>1234</v>
      </c>
      <c r="J142" s="4" t="s">
        <v>1235</v>
      </c>
      <c r="K142" s="4" t="s">
        <v>10</v>
      </c>
      <c r="L142" s="4" t="s">
        <v>487</v>
      </c>
      <c r="M142" s="5">
        <v>0</v>
      </c>
      <c r="N142" s="4" t="s">
        <v>1241</v>
      </c>
    </row>
    <row r="143" spans="1:14" x14ac:dyDescent="0.15">
      <c r="A143" s="4" t="s">
        <v>70</v>
      </c>
      <c r="B143" s="4" t="s">
        <v>34</v>
      </c>
      <c r="C143" s="5">
        <v>1</v>
      </c>
      <c r="D143" s="5">
        <v>1</v>
      </c>
      <c r="E143" s="4" t="s">
        <v>9</v>
      </c>
      <c r="F143" s="5">
        <v>3</v>
      </c>
      <c r="G143" s="5">
        <v>0</v>
      </c>
      <c r="H143" s="4" t="s">
        <v>488</v>
      </c>
      <c r="I143" s="4" t="s">
        <v>1234</v>
      </c>
      <c r="J143" s="4" t="s">
        <v>1235</v>
      </c>
      <c r="K143" s="4" t="s">
        <v>10</v>
      </c>
      <c r="L143" s="4" t="s">
        <v>487</v>
      </c>
      <c r="M143" s="5">
        <v>0</v>
      </c>
      <c r="N143" s="4" t="s">
        <v>1241</v>
      </c>
    </row>
    <row r="144" spans="1:14" x14ac:dyDescent="0.15">
      <c r="A144" s="4" t="s">
        <v>70</v>
      </c>
      <c r="B144" s="4" t="s">
        <v>12</v>
      </c>
      <c r="C144" s="5">
        <v>0.39798994974899998</v>
      </c>
      <c r="D144" s="5">
        <v>1</v>
      </c>
      <c r="E144" s="4" t="s">
        <v>13</v>
      </c>
      <c r="F144" s="5">
        <v>3</v>
      </c>
      <c r="G144" s="5">
        <v>0</v>
      </c>
      <c r="H144" s="4" t="s">
        <v>488</v>
      </c>
      <c r="I144" s="4" t="s">
        <v>1234</v>
      </c>
      <c r="J144" s="4" t="s">
        <v>1235</v>
      </c>
      <c r="K144" s="4" t="s">
        <v>10</v>
      </c>
      <c r="L144" s="4" t="s">
        <v>487</v>
      </c>
      <c r="M144" s="5">
        <v>0</v>
      </c>
      <c r="N144" s="4" t="s">
        <v>1241</v>
      </c>
    </row>
    <row r="145" spans="1:14" x14ac:dyDescent="0.15">
      <c r="A145" s="4" t="s">
        <v>70</v>
      </c>
      <c r="B145" s="4" t="s">
        <v>14</v>
      </c>
      <c r="C145" s="5">
        <v>0.44221105527600002</v>
      </c>
      <c r="D145" s="5">
        <v>1</v>
      </c>
      <c r="E145" s="4" t="s">
        <v>13</v>
      </c>
      <c r="F145" s="5">
        <v>3</v>
      </c>
      <c r="G145" s="5">
        <v>0</v>
      </c>
      <c r="H145" s="4" t="s">
        <v>488</v>
      </c>
      <c r="I145" s="4" t="s">
        <v>1234</v>
      </c>
      <c r="J145" s="4" t="s">
        <v>1235</v>
      </c>
      <c r="K145" s="4" t="s">
        <v>10</v>
      </c>
      <c r="L145" s="4" t="s">
        <v>487</v>
      </c>
      <c r="M145" s="5">
        <v>0</v>
      </c>
      <c r="N145" s="4" t="s">
        <v>1241</v>
      </c>
    </row>
    <row r="146" spans="1:14" x14ac:dyDescent="0.15">
      <c r="A146" s="4" t="s">
        <v>70</v>
      </c>
      <c r="B146" s="4" t="s">
        <v>15</v>
      </c>
      <c r="C146" s="5">
        <v>8.8442211055279998</v>
      </c>
      <c r="D146" s="5">
        <v>1000</v>
      </c>
      <c r="E146" s="4" t="s">
        <v>13</v>
      </c>
      <c r="F146" s="5">
        <v>3</v>
      </c>
      <c r="G146" s="5">
        <v>0</v>
      </c>
      <c r="H146" s="4" t="s">
        <v>488</v>
      </c>
      <c r="I146" s="4" t="s">
        <v>1234</v>
      </c>
      <c r="J146" s="4" t="s">
        <v>1235</v>
      </c>
      <c r="K146" s="4" t="s">
        <v>10</v>
      </c>
      <c r="L146" s="4" t="s">
        <v>487</v>
      </c>
      <c r="M146" s="5">
        <v>0</v>
      </c>
      <c r="N146" s="4" t="s">
        <v>1241</v>
      </c>
    </row>
    <row r="147" spans="1:14" x14ac:dyDescent="0.15">
      <c r="A147" s="4" t="s">
        <v>70</v>
      </c>
      <c r="B147" s="4" t="s">
        <v>23</v>
      </c>
      <c r="C147" s="5">
        <v>22.110552763819001</v>
      </c>
      <c r="D147" s="5">
        <v>1000</v>
      </c>
      <c r="E147" s="4" t="s">
        <v>13</v>
      </c>
      <c r="F147" s="5">
        <v>3</v>
      </c>
      <c r="G147" s="5">
        <v>0</v>
      </c>
      <c r="H147" s="4" t="s">
        <v>488</v>
      </c>
      <c r="I147" s="4" t="s">
        <v>1234</v>
      </c>
      <c r="J147" s="4" t="s">
        <v>1235</v>
      </c>
      <c r="K147" s="4" t="s">
        <v>10</v>
      </c>
      <c r="L147" s="4" t="s">
        <v>487</v>
      </c>
      <c r="M147" s="5">
        <v>0</v>
      </c>
      <c r="N147" s="4" t="s">
        <v>1241</v>
      </c>
    </row>
    <row r="148" spans="1:14" x14ac:dyDescent="0.15">
      <c r="A148" s="4" t="s">
        <v>70</v>
      </c>
      <c r="B148" s="4" t="s">
        <v>24</v>
      </c>
      <c r="C148" s="5">
        <v>8.8442211055279998</v>
      </c>
      <c r="D148" s="5">
        <v>1000</v>
      </c>
      <c r="E148" s="4" t="s">
        <v>13</v>
      </c>
      <c r="F148" s="5">
        <v>3</v>
      </c>
      <c r="G148" s="5">
        <v>0</v>
      </c>
      <c r="H148" s="4" t="s">
        <v>488</v>
      </c>
      <c r="I148" s="4" t="s">
        <v>1234</v>
      </c>
      <c r="J148" s="4" t="s">
        <v>1235</v>
      </c>
      <c r="K148" s="4" t="s">
        <v>10</v>
      </c>
      <c r="L148" s="4" t="s">
        <v>487</v>
      </c>
      <c r="M148" s="5">
        <v>0</v>
      </c>
      <c r="N148" s="4" t="s">
        <v>1241</v>
      </c>
    </row>
    <row r="149" spans="1:14" x14ac:dyDescent="0.15">
      <c r="A149" s="4" t="s">
        <v>70</v>
      </c>
      <c r="B149" s="4" t="s">
        <v>17</v>
      </c>
      <c r="C149" s="5">
        <v>8.3333333333330017</v>
      </c>
      <c r="D149" s="5">
        <v>1000</v>
      </c>
      <c r="E149" s="4" t="s">
        <v>18</v>
      </c>
      <c r="F149" s="5">
        <v>0</v>
      </c>
      <c r="G149" s="5">
        <v>0</v>
      </c>
      <c r="H149" s="4" t="s">
        <v>488</v>
      </c>
      <c r="I149" s="4" t="s">
        <v>1234</v>
      </c>
      <c r="J149" s="4" t="s">
        <v>1235</v>
      </c>
      <c r="K149" s="4" t="s">
        <v>10</v>
      </c>
      <c r="L149" s="4" t="s">
        <v>487</v>
      </c>
      <c r="M149" s="5">
        <v>0</v>
      </c>
      <c r="N149" s="4" t="s">
        <v>1241</v>
      </c>
    </row>
    <row r="150" spans="1:14" x14ac:dyDescent="0.15">
      <c r="A150" s="4" t="s">
        <v>70</v>
      </c>
      <c r="B150" s="4" t="s">
        <v>19</v>
      </c>
      <c r="C150" s="5">
        <v>3</v>
      </c>
      <c r="D150" s="5">
        <v>1</v>
      </c>
      <c r="E150" s="4" t="s">
        <v>18</v>
      </c>
      <c r="F150" s="5">
        <v>0</v>
      </c>
      <c r="G150" s="5">
        <v>0</v>
      </c>
      <c r="H150" s="4" t="s">
        <v>488</v>
      </c>
      <c r="I150" s="4" t="s">
        <v>1236</v>
      </c>
      <c r="J150" s="4" t="s">
        <v>1235</v>
      </c>
      <c r="K150" s="4" t="s">
        <v>10</v>
      </c>
      <c r="L150" s="4" t="s">
        <v>487</v>
      </c>
      <c r="M150" s="5">
        <v>0</v>
      </c>
      <c r="N150" s="4" t="s">
        <v>1241</v>
      </c>
    </row>
    <row r="151" spans="1:14" x14ac:dyDescent="0.15">
      <c r="A151" s="4" t="s">
        <v>74</v>
      </c>
      <c r="B151" s="4" t="s">
        <v>75</v>
      </c>
      <c r="C151" s="5">
        <v>1</v>
      </c>
      <c r="D151" s="5">
        <v>1</v>
      </c>
      <c r="E151" s="4" t="s">
        <v>9</v>
      </c>
      <c r="F151" s="5">
        <v>0</v>
      </c>
      <c r="G151" s="5">
        <v>0</v>
      </c>
      <c r="H151" s="4" t="s">
        <v>488</v>
      </c>
      <c r="I151" s="4" t="s">
        <v>1234</v>
      </c>
      <c r="J151" s="4" t="s">
        <v>1235</v>
      </c>
      <c r="K151" s="4" t="s">
        <v>10</v>
      </c>
      <c r="L151" s="4" t="s">
        <v>487</v>
      </c>
      <c r="M151" s="5">
        <v>0</v>
      </c>
      <c r="N151" s="4" t="s">
        <v>1241</v>
      </c>
    </row>
    <row r="152" spans="1:14" x14ac:dyDescent="0.15">
      <c r="A152" s="4" t="s">
        <v>76</v>
      </c>
      <c r="B152" s="4" t="s">
        <v>75</v>
      </c>
      <c r="C152" s="5">
        <v>2</v>
      </c>
      <c r="D152" s="5">
        <v>1</v>
      </c>
      <c r="E152" s="4" t="s">
        <v>9</v>
      </c>
      <c r="F152" s="5">
        <v>0</v>
      </c>
      <c r="G152" s="5">
        <v>0</v>
      </c>
      <c r="H152" s="4" t="s">
        <v>488</v>
      </c>
      <c r="I152" s="4" t="s">
        <v>1234</v>
      </c>
      <c r="J152" s="4" t="s">
        <v>1235</v>
      </c>
      <c r="K152" s="4" t="s">
        <v>10</v>
      </c>
      <c r="L152" s="4" t="s">
        <v>487</v>
      </c>
      <c r="M152" s="5">
        <v>0</v>
      </c>
      <c r="N152" s="4" t="s">
        <v>1241</v>
      </c>
    </row>
    <row r="153" spans="1:14" x14ac:dyDescent="0.15">
      <c r="A153" s="4" t="s">
        <v>77</v>
      </c>
      <c r="B153" s="4" t="s">
        <v>75</v>
      </c>
      <c r="C153" s="5">
        <v>3</v>
      </c>
      <c r="D153" s="5">
        <v>1</v>
      </c>
      <c r="E153" s="4" t="s">
        <v>9</v>
      </c>
      <c r="F153" s="5">
        <v>0</v>
      </c>
      <c r="G153" s="5">
        <v>0</v>
      </c>
      <c r="H153" s="4" t="s">
        <v>488</v>
      </c>
      <c r="I153" s="4" t="s">
        <v>1234</v>
      </c>
      <c r="J153" s="4" t="s">
        <v>1235</v>
      </c>
      <c r="K153" s="4" t="s">
        <v>10</v>
      </c>
      <c r="L153" s="4" t="s">
        <v>487</v>
      </c>
      <c r="M153" s="5">
        <v>0</v>
      </c>
      <c r="N153" s="4" t="s">
        <v>1241</v>
      </c>
    </row>
    <row r="154" spans="1:14" x14ac:dyDescent="0.15">
      <c r="A154" s="4" t="s">
        <v>78</v>
      </c>
      <c r="B154" s="4" t="s">
        <v>75</v>
      </c>
      <c r="C154" s="5">
        <v>500</v>
      </c>
      <c r="D154" s="5">
        <v>1000</v>
      </c>
      <c r="E154" s="4" t="s">
        <v>9</v>
      </c>
      <c r="F154" s="5">
        <v>0</v>
      </c>
      <c r="G154" s="5">
        <v>0</v>
      </c>
      <c r="H154" s="4" t="s">
        <v>488</v>
      </c>
      <c r="I154" s="4" t="s">
        <v>1234</v>
      </c>
      <c r="J154" s="4" t="s">
        <v>1235</v>
      </c>
      <c r="K154" s="4" t="s">
        <v>10</v>
      </c>
      <c r="L154" s="4" t="s">
        <v>487</v>
      </c>
      <c r="M154" s="5">
        <v>0</v>
      </c>
      <c r="N154" s="4" t="s">
        <v>1241</v>
      </c>
    </row>
    <row r="155" spans="1:14" x14ac:dyDescent="0.15">
      <c r="A155" s="4" t="s">
        <v>75</v>
      </c>
      <c r="B155" s="4" t="s">
        <v>33</v>
      </c>
      <c r="C155" s="5">
        <v>15</v>
      </c>
      <c r="D155" s="5">
        <v>1</v>
      </c>
      <c r="E155" s="4" t="s">
        <v>9</v>
      </c>
      <c r="F155" s="5">
        <v>3</v>
      </c>
      <c r="G155" s="5">
        <v>0</v>
      </c>
      <c r="H155" s="4" t="s">
        <v>488</v>
      </c>
      <c r="I155" s="4" t="s">
        <v>1234</v>
      </c>
      <c r="J155" s="4" t="s">
        <v>1235</v>
      </c>
      <c r="K155" s="4" t="s">
        <v>10</v>
      </c>
      <c r="L155" s="4" t="s">
        <v>487</v>
      </c>
      <c r="M155" s="5">
        <v>0</v>
      </c>
      <c r="N155" s="4" t="s">
        <v>1241</v>
      </c>
    </row>
    <row r="156" spans="1:14" x14ac:dyDescent="0.15">
      <c r="A156" s="4" t="s">
        <v>75</v>
      </c>
      <c r="B156" s="4" t="s">
        <v>12</v>
      </c>
      <c r="C156" s="5">
        <v>2.0351758793969998</v>
      </c>
      <c r="D156" s="5">
        <v>1</v>
      </c>
      <c r="E156" s="4" t="s">
        <v>13</v>
      </c>
      <c r="F156" s="5">
        <v>3</v>
      </c>
      <c r="G156" s="5">
        <v>0</v>
      </c>
      <c r="H156" s="4" t="s">
        <v>488</v>
      </c>
      <c r="I156" s="4" t="s">
        <v>1234</v>
      </c>
      <c r="J156" s="4" t="s">
        <v>1235</v>
      </c>
      <c r="K156" s="4" t="s">
        <v>10</v>
      </c>
      <c r="L156" s="4" t="s">
        <v>487</v>
      </c>
      <c r="M156" s="5">
        <v>0</v>
      </c>
      <c r="N156" s="4" t="s">
        <v>1241</v>
      </c>
    </row>
    <row r="157" spans="1:14" x14ac:dyDescent="0.15">
      <c r="A157" s="4" t="s">
        <v>75</v>
      </c>
      <c r="B157" s="4" t="s">
        <v>14</v>
      </c>
      <c r="C157" s="5">
        <v>2.2613065326630002</v>
      </c>
      <c r="D157" s="5">
        <v>1</v>
      </c>
      <c r="E157" s="4" t="s">
        <v>13</v>
      </c>
      <c r="F157" s="5">
        <v>3</v>
      </c>
      <c r="G157" s="5">
        <v>0</v>
      </c>
      <c r="H157" s="4" t="s">
        <v>488</v>
      </c>
      <c r="I157" s="4" t="s">
        <v>1234</v>
      </c>
      <c r="J157" s="4" t="s">
        <v>1235</v>
      </c>
      <c r="K157" s="4" t="s">
        <v>10</v>
      </c>
      <c r="L157" s="4" t="s">
        <v>487</v>
      </c>
      <c r="M157" s="5">
        <v>0</v>
      </c>
      <c r="N157" s="4" t="s">
        <v>1241</v>
      </c>
    </row>
    <row r="158" spans="1:14" x14ac:dyDescent="0.15">
      <c r="A158" s="4" t="s">
        <v>75</v>
      </c>
      <c r="B158" s="4" t="s">
        <v>15</v>
      </c>
      <c r="C158" s="5">
        <v>45.226130653265997</v>
      </c>
      <c r="D158" s="5">
        <v>1000</v>
      </c>
      <c r="E158" s="4" t="s">
        <v>13</v>
      </c>
      <c r="F158" s="5">
        <v>3</v>
      </c>
      <c r="G158" s="5">
        <v>0</v>
      </c>
      <c r="H158" s="4" t="s">
        <v>488</v>
      </c>
      <c r="I158" s="4" t="s">
        <v>1234</v>
      </c>
      <c r="J158" s="4" t="s">
        <v>1235</v>
      </c>
      <c r="K158" s="4" t="s">
        <v>10</v>
      </c>
      <c r="L158" s="4" t="s">
        <v>487</v>
      </c>
      <c r="M158" s="5">
        <v>0</v>
      </c>
      <c r="N158" s="4" t="s">
        <v>1241</v>
      </c>
    </row>
    <row r="159" spans="1:14" x14ac:dyDescent="0.15">
      <c r="A159" s="4" t="s">
        <v>75</v>
      </c>
      <c r="B159" s="4" t="s">
        <v>23</v>
      </c>
      <c r="C159" s="5">
        <v>0.11306532663299999</v>
      </c>
      <c r="D159" s="5">
        <v>1</v>
      </c>
      <c r="E159" s="4" t="s">
        <v>13</v>
      </c>
      <c r="F159" s="5">
        <v>3</v>
      </c>
      <c r="G159" s="5">
        <v>0</v>
      </c>
      <c r="H159" s="4" t="s">
        <v>488</v>
      </c>
      <c r="I159" s="4" t="s">
        <v>1234</v>
      </c>
      <c r="J159" s="4" t="s">
        <v>1235</v>
      </c>
      <c r="K159" s="4" t="s">
        <v>10</v>
      </c>
      <c r="L159" s="4" t="s">
        <v>487</v>
      </c>
      <c r="M159" s="5">
        <v>0</v>
      </c>
      <c r="N159" s="4" t="s">
        <v>1241</v>
      </c>
    </row>
    <row r="160" spans="1:14" x14ac:dyDescent="0.15">
      <c r="A160" s="4" t="s">
        <v>75</v>
      </c>
      <c r="B160" s="4" t="s">
        <v>24</v>
      </c>
      <c r="C160" s="5">
        <v>45.226130653265997</v>
      </c>
      <c r="D160" s="5">
        <v>1000</v>
      </c>
      <c r="E160" s="4" t="s">
        <v>13</v>
      </c>
      <c r="F160" s="5">
        <v>3</v>
      </c>
      <c r="G160" s="5">
        <v>0</v>
      </c>
      <c r="H160" s="4" t="s">
        <v>488</v>
      </c>
      <c r="I160" s="4" t="s">
        <v>1234</v>
      </c>
      <c r="J160" s="4" t="s">
        <v>1235</v>
      </c>
      <c r="K160" s="4" t="s">
        <v>10</v>
      </c>
      <c r="L160" s="4" t="s">
        <v>487</v>
      </c>
      <c r="M160" s="5">
        <v>0</v>
      </c>
      <c r="N160" s="4" t="s">
        <v>1241</v>
      </c>
    </row>
    <row r="161" spans="1:14" x14ac:dyDescent="0.15">
      <c r="A161" s="4" t="s">
        <v>75</v>
      </c>
      <c r="B161" s="4" t="s">
        <v>17</v>
      </c>
      <c r="C161" s="5">
        <v>13.888888888889001</v>
      </c>
      <c r="D161" s="5">
        <v>1000</v>
      </c>
      <c r="E161" s="4" t="s">
        <v>18</v>
      </c>
      <c r="F161" s="5">
        <v>0</v>
      </c>
      <c r="G161" s="5">
        <v>0</v>
      </c>
      <c r="H161" s="4" t="s">
        <v>488</v>
      </c>
      <c r="I161" s="4" t="s">
        <v>1234</v>
      </c>
      <c r="J161" s="4" t="s">
        <v>1235</v>
      </c>
      <c r="K161" s="4" t="s">
        <v>10</v>
      </c>
      <c r="L161" s="4" t="s">
        <v>487</v>
      </c>
      <c r="M161" s="5">
        <v>0</v>
      </c>
      <c r="N161" s="4" t="s">
        <v>1241</v>
      </c>
    </row>
    <row r="162" spans="1:14" x14ac:dyDescent="0.15">
      <c r="A162" s="4" t="s">
        <v>75</v>
      </c>
      <c r="B162" s="4" t="s">
        <v>19</v>
      </c>
      <c r="C162" s="5">
        <v>4</v>
      </c>
      <c r="D162" s="5">
        <v>1</v>
      </c>
      <c r="E162" s="4" t="s">
        <v>18</v>
      </c>
      <c r="F162" s="5">
        <v>0</v>
      </c>
      <c r="G162" s="5">
        <v>0</v>
      </c>
      <c r="H162" s="4" t="s">
        <v>488</v>
      </c>
      <c r="I162" s="4" t="s">
        <v>1236</v>
      </c>
      <c r="J162" s="4" t="s">
        <v>1235</v>
      </c>
      <c r="K162" s="4" t="s">
        <v>10</v>
      </c>
      <c r="L162" s="4" t="s">
        <v>487</v>
      </c>
      <c r="M162" s="5">
        <v>0</v>
      </c>
      <c r="N162" s="4" t="s">
        <v>1241</v>
      </c>
    </row>
    <row r="163" spans="1:14" x14ac:dyDescent="0.15">
      <c r="A163" s="4" t="s">
        <v>79</v>
      </c>
      <c r="B163" s="4" t="s">
        <v>80</v>
      </c>
      <c r="C163" s="5">
        <v>1</v>
      </c>
      <c r="D163" s="5">
        <v>1</v>
      </c>
      <c r="E163" s="4" t="s">
        <v>9</v>
      </c>
      <c r="F163" s="5">
        <v>0</v>
      </c>
      <c r="G163" s="5">
        <v>0</v>
      </c>
      <c r="H163" s="4" t="s">
        <v>488</v>
      </c>
      <c r="I163" s="4" t="s">
        <v>1234</v>
      </c>
      <c r="J163" s="4" t="s">
        <v>1235</v>
      </c>
      <c r="K163" s="4" t="s">
        <v>10</v>
      </c>
      <c r="L163" s="4" t="s">
        <v>487</v>
      </c>
      <c r="M163" s="5">
        <v>0</v>
      </c>
      <c r="N163" s="4" t="s">
        <v>1241</v>
      </c>
    </row>
    <row r="164" spans="1:14" x14ac:dyDescent="0.15">
      <c r="A164" s="4" t="s">
        <v>81</v>
      </c>
      <c r="B164" s="4" t="s">
        <v>80</v>
      </c>
      <c r="C164" s="5">
        <v>2</v>
      </c>
      <c r="D164" s="5">
        <v>1</v>
      </c>
      <c r="E164" s="4" t="s">
        <v>9</v>
      </c>
      <c r="F164" s="5">
        <v>0</v>
      </c>
      <c r="G164" s="5">
        <v>0</v>
      </c>
      <c r="H164" s="4" t="s">
        <v>488</v>
      </c>
      <c r="I164" s="4" t="s">
        <v>1234</v>
      </c>
      <c r="J164" s="4" t="s">
        <v>1235</v>
      </c>
      <c r="K164" s="4" t="s">
        <v>10</v>
      </c>
      <c r="L164" s="4" t="s">
        <v>487</v>
      </c>
      <c r="M164" s="5">
        <v>0</v>
      </c>
      <c r="N164" s="4" t="s">
        <v>1241</v>
      </c>
    </row>
    <row r="165" spans="1:14" x14ac:dyDescent="0.15">
      <c r="A165" s="4" t="s">
        <v>80</v>
      </c>
      <c r="B165" s="4" t="s">
        <v>22</v>
      </c>
      <c r="C165" s="5">
        <v>14</v>
      </c>
      <c r="D165" s="5">
        <v>1</v>
      </c>
      <c r="E165" s="4" t="s">
        <v>9</v>
      </c>
      <c r="F165" s="5">
        <v>3</v>
      </c>
      <c r="G165" s="5">
        <v>0</v>
      </c>
      <c r="H165" s="4" t="s">
        <v>488</v>
      </c>
      <c r="I165" s="4" t="s">
        <v>1234</v>
      </c>
      <c r="J165" s="4" t="s">
        <v>1235</v>
      </c>
      <c r="K165" s="4" t="s">
        <v>10</v>
      </c>
      <c r="L165" s="4" t="s">
        <v>487</v>
      </c>
      <c r="M165" s="5">
        <v>0</v>
      </c>
      <c r="N165" s="4" t="s">
        <v>1241</v>
      </c>
    </row>
    <row r="166" spans="1:14" x14ac:dyDescent="0.15">
      <c r="A166" s="4" t="s">
        <v>80</v>
      </c>
      <c r="B166" s="4" t="s">
        <v>12</v>
      </c>
      <c r="C166" s="5">
        <v>3.9177135678389994</v>
      </c>
      <c r="D166" s="5">
        <v>1</v>
      </c>
      <c r="E166" s="4" t="s">
        <v>13</v>
      </c>
      <c r="F166" s="5">
        <v>3</v>
      </c>
      <c r="G166" s="5">
        <v>0</v>
      </c>
      <c r="H166" s="4" t="s">
        <v>488</v>
      </c>
      <c r="I166" s="4" t="s">
        <v>1234</v>
      </c>
      <c r="J166" s="4" t="s">
        <v>1235</v>
      </c>
      <c r="K166" s="4" t="s">
        <v>10</v>
      </c>
      <c r="L166" s="4" t="s">
        <v>487</v>
      </c>
      <c r="M166" s="5">
        <v>0</v>
      </c>
      <c r="N166" s="4" t="s">
        <v>1241</v>
      </c>
    </row>
    <row r="167" spans="1:14" x14ac:dyDescent="0.15">
      <c r="A167" s="4" t="s">
        <v>80</v>
      </c>
      <c r="B167" s="4" t="s">
        <v>14</v>
      </c>
      <c r="C167" s="5">
        <v>4.3530150753769998</v>
      </c>
      <c r="D167" s="5">
        <v>1</v>
      </c>
      <c r="E167" s="4" t="s">
        <v>13</v>
      </c>
      <c r="F167" s="5">
        <v>3</v>
      </c>
      <c r="G167" s="5">
        <v>0</v>
      </c>
      <c r="H167" s="4" t="s">
        <v>488</v>
      </c>
      <c r="I167" s="4" t="s">
        <v>1234</v>
      </c>
      <c r="J167" s="4" t="s">
        <v>1235</v>
      </c>
      <c r="K167" s="4" t="s">
        <v>10</v>
      </c>
      <c r="L167" s="4" t="s">
        <v>487</v>
      </c>
      <c r="M167" s="5">
        <v>0</v>
      </c>
      <c r="N167" s="4" t="s">
        <v>1241</v>
      </c>
    </row>
    <row r="168" spans="1:14" x14ac:dyDescent="0.15">
      <c r="A168" s="4" t="s">
        <v>80</v>
      </c>
      <c r="B168" s="4" t="s">
        <v>15</v>
      </c>
      <c r="C168" s="5">
        <v>87.060301507538</v>
      </c>
      <c r="D168" s="5">
        <v>1000</v>
      </c>
      <c r="E168" s="4" t="s">
        <v>13</v>
      </c>
      <c r="F168" s="5">
        <v>3</v>
      </c>
      <c r="G168" s="5">
        <v>0</v>
      </c>
      <c r="H168" s="4" t="s">
        <v>488</v>
      </c>
      <c r="I168" s="4" t="s">
        <v>1234</v>
      </c>
      <c r="J168" s="4" t="s">
        <v>1235</v>
      </c>
      <c r="K168" s="4" t="s">
        <v>10</v>
      </c>
      <c r="L168" s="4" t="s">
        <v>487</v>
      </c>
      <c r="M168" s="5">
        <v>0</v>
      </c>
      <c r="N168" s="4" t="s">
        <v>1241</v>
      </c>
    </row>
    <row r="169" spans="1:14" x14ac:dyDescent="0.15">
      <c r="A169" s="4" t="s">
        <v>80</v>
      </c>
      <c r="B169" s="4" t="s">
        <v>23</v>
      </c>
      <c r="C169" s="5">
        <v>0.217650753769</v>
      </c>
      <c r="D169" s="5">
        <v>1</v>
      </c>
      <c r="E169" s="4" t="s">
        <v>13</v>
      </c>
      <c r="F169" s="5">
        <v>3</v>
      </c>
      <c r="G169" s="5">
        <v>0</v>
      </c>
      <c r="H169" s="4" t="s">
        <v>488</v>
      </c>
      <c r="I169" s="4" t="s">
        <v>1234</v>
      </c>
      <c r="J169" s="4" t="s">
        <v>1235</v>
      </c>
      <c r="K169" s="4" t="s">
        <v>10</v>
      </c>
      <c r="L169" s="4" t="s">
        <v>487</v>
      </c>
      <c r="M169" s="5">
        <v>0</v>
      </c>
      <c r="N169" s="4" t="s">
        <v>1241</v>
      </c>
    </row>
    <row r="170" spans="1:14" x14ac:dyDescent="0.15">
      <c r="A170" s="4" t="s">
        <v>80</v>
      </c>
      <c r="B170" s="4" t="s">
        <v>24</v>
      </c>
      <c r="C170" s="5">
        <v>87.060301507538</v>
      </c>
      <c r="D170" s="5">
        <v>1000</v>
      </c>
      <c r="E170" s="4" t="s">
        <v>13</v>
      </c>
      <c r="F170" s="5">
        <v>3</v>
      </c>
      <c r="G170" s="5">
        <v>0</v>
      </c>
      <c r="H170" s="4" t="s">
        <v>488</v>
      </c>
      <c r="I170" s="4" t="s">
        <v>1234</v>
      </c>
      <c r="J170" s="4" t="s">
        <v>1235</v>
      </c>
      <c r="K170" s="4" t="s">
        <v>10</v>
      </c>
      <c r="L170" s="4" t="s">
        <v>487</v>
      </c>
      <c r="M170" s="5">
        <v>0</v>
      </c>
      <c r="N170" s="4" t="s">
        <v>1241</v>
      </c>
    </row>
    <row r="171" spans="1:14" x14ac:dyDescent="0.15">
      <c r="A171" s="4" t="s">
        <v>80</v>
      </c>
      <c r="B171" s="4" t="s">
        <v>17</v>
      </c>
      <c r="C171" s="5">
        <v>9.8039215686270005</v>
      </c>
      <c r="D171" s="5">
        <v>1000</v>
      </c>
      <c r="E171" s="4" t="s">
        <v>18</v>
      </c>
      <c r="F171" s="5">
        <v>0</v>
      </c>
      <c r="G171" s="5">
        <v>0</v>
      </c>
      <c r="H171" s="4" t="s">
        <v>488</v>
      </c>
      <c r="I171" s="4" t="s">
        <v>1234</v>
      </c>
      <c r="J171" s="4" t="s">
        <v>1235</v>
      </c>
      <c r="K171" s="4" t="s">
        <v>10</v>
      </c>
      <c r="L171" s="4" t="s">
        <v>487</v>
      </c>
      <c r="M171" s="5">
        <v>0</v>
      </c>
      <c r="N171" s="4" t="s">
        <v>1241</v>
      </c>
    </row>
    <row r="172" spans="1:14" x14ac:dyDescent="0.15">
      <c r="A172" s="4" t="s">
        <v>80</v>
      </c>
      <c r="B172" s="4" t="s">
        <v>19</v>
      </c>
      <c r="C172" s="5">
        <v>4</v>
      </c>
      <c r="D172" s="5">
        <v>1</v>
      </c>
      <c r="E172" s="4" t="s">
        <v>18</v>
      </c>
      <c r="F172" s="5">
        <v>0</v>
      </c>
      <c r="G172" s="5">
        <v>0</v>
      </c>
      <c r="H172" s="4" t="s">
        <v>488</v>
      </c>
      <c r="I172" s="4" t="s">
        <v>1236</v>
      </c>
      <c r="J172" s="4" t="s">
        <v>1235</v>
      </c>
      <c r="K172" s="4" t="s">
        <v>10</v>
      </c>
      <c r="L172" s="4" t="s">
        <v>487</v>
      </c>
      <c r="M172" s="5">
        <v>0</v>
      </c>
      <c r="N172" s="4" t="s">
        <v>1241</v>
      </c>
    </row>
    <row r="173" spans="1:14" x14ac:dyDescent="0.15">
      <c r="A173" s="4" t="s">
        <v>82</v>
      </c>
      <c r="B173" s="4" t="s">
        <v>83</v>
      </c>
      <c r="C173" s="5">
        <v>1</v>
      </c>
      <c r="D173" s="5">
        <v>1</v>
      </c>
      <c r="E173" s="4" t="s">
        <v>9</v>
      </c>
      <c r="F173" s="5">
        <v>0</v>
      </c>
      <c r="G173" s="5">
        <v>0</v>
      </c>
      <c r="H173" s="4" t="s">
        <v>488</v>
      </c>
      <c r="I173" s="4" t="s">
        <v>1234</v>
      </c>
      <c r="J173" s="4" t="s">
        <v>1235</v>
      </c>
      <c r="K173" s="4" t="s">
        <v>10</v>
      </c>
      <c r="L173" s="4" t="s">
        <v>487</v>
      </c>
      <c r="M173" s="5">
        <v>0</v>
      </c>
      <c r="N173" s="4" t="s">
        <v>1241</v>
      </c>
    </row>
    <row r="174" spans="1:14" x14ac:dyDescent="0.15">
      <c r="A174" s="4" t="s">
        <v>84</v>
      </c>
      <c r="B174" s="4" t="s">
        <v>83</v>
      </c>
      <c r="C174" s="5">
        <v>2</v>
      </c>
      <c r="D174" s="5">
        <v>1</v>
      </c>
      <c r="E174" s="4" t="s">
        <v>9</v>
      </c>
      <c r="F174" s="5">
        <v>0</v>
      </c>
      <c r="G174" s="5">
        <v>0</v>
      </c>
      <c r="H174" s="4" t="s">
        <v>488</v>
      </c>
      <c r="I174" s="4" t="s">
        <v>1234</v>
      </c>
      <c r="J174" s="4" t="s">
        <v>1235</v>
      </c>
      <c r="K174" s="4" t="s">
        <v>10</v>
      </c>
      <c r="L174" s="4" t="s">
        <v>487</v>
      </c>
      <c r="M174" s="5">
        <v>0</v>
      </c>
      <c r="N174" s="4" t="s">
        <v>1241</v>
      </c>
    </row>
    <row r="175" spans="1:14" x14ac:dyDescent="0.15">
      <c r="A175" s="4" t="s">
        <v>85</v>
      </c>
      <c r="B175" s="4" t="s">
        <v>83</v>
      </c>
      <c r="C175" s="5">
        <v>500</v>
      </c>
      <c r="D175" s="5">
        <v>1000</v>
      </c>
      <c r="E175" s="4" t="s">
        <v>9</v>
      </c>
      <c r="F175" s="5">
        <v>0</v>
      </c>
      <c r="G175" s="5">
        <v>0</v>
      </c>
      <c r="H175" s="4" t="s">
        <v>488</v>
      </c>
      <c r="I175" s="4" t="s">
        <v>1234</v>
      </c>
      <c r="J175" s="4" t="s">
        <v>1235</v>
      </c>
      <c r="K175" s="4" t="s">
        <v>10</v>
      </c>
      <c r="L175" s="4" t="s">
        <v>487</v>
      </c>
      <c r="M175" s="5">
        <v>0</v>
      </c>
      <c r="N175" s="4" t="s">
        <v>1241</v>
      </c>
    </row>
    <row r="176" spans="1:14" x14ac:dyDescent="0.15">
      <c r="A176" s="4" t="s">
        <v>83</v>
      </c>
      <c r="B176" s="4" t="s">
        <v>29</v>
      </c>
      <c r="C176" s="5">
        <v>2</v>
      </c>
      <c r="D176" s="5">
        <v>1</v>
      </c>
      <c r="E176" s="4" t="s">
        <v>9</v>
      </c>
      <c r="F176" s="5">
        <v>3</v>
      </c>
      <c r="G176" s="5">
        <v>0</v>
      </c>
      <c r="H176" s="4" t="s">
        <v>488</v>
      </c>
      <c r="I176" s="4" t="s">
        <v>1234</v>
      </c>
      <c r="J176" s="4" t="s">
        <v>1235</v>
      </c>
      <c r="K176" s="4" t="s">
        <v>10</v>
      </c>
      <c r="L176" s="4" t="s">
        <v>487</v>
      </c>
      <c r="M176" s="5">
        <v>0</v>
      </c>
      <c r="N176" s="4" t="s">
        <v>1241</v>
      </c>
    </row>
    <row r="177" spans="1:14" x14ac:dyDescent="0.15">
      <c r="A177" s="4" t="s">
        <v>83</v>
      </c>
      <c r="B177" s="4" t="s">
        <v>12</v>
      </c>
      <c r="C177" s="5">
        <v>0.14562814070399999</v>
      </c>
      <c r="D177" s="5">
        <v>1</v>
      </c>
      <c r="E177" s="4" t="s">
        <v>13</v>
      </c>
      <c r="F177" s="5">
        <v>3</v>
      </c>
      <c r="G177" s="5">
        <v>0</v>
      </c>
      <c r="H177" s="4" t="s">
        <v>488</v>
      </c>
      <c r="I177" s="4" t="s">
        <v>1234</v>
      </c>
      <c r="J177" s="4" t="s">
        <v>1235</v>
      </c>
      <c r="K177" s="4" t="s">
        <v>10</v>
      </c>
      <c r="L177" s="4" t="s">
        <v>487</v>
      </c>
      <c r="M177" s="5">
        <v>0</v>
      </c>
      <c r="N177" s="4" t="s">
        <v>1241</v>
      </c>
    </row>
    <row r="178" spans="1:14" x14ac:dyDescent="0.15">
      <c r="A178" s="4" t="s">
        <v>83</v>
      </c>
      <c r="B178" s="4" t="s">
        <v>14</v>
      </c>
      <c r="C178" s="5">
        <v>0.16180904522600001</v>
      </c>
      <c r="D178" s="5">
        <v>1</v>
      </c>
      <c r="E178" s="4" t="s">
        <v>13</v>
      </c>
      <c r="F178" s="5">
        <v>3</v>
      </c>
      <c r="G178" s="5">
        <v>0</v>
      </c>
      <c r="H178" s="4" t="s">
        <v>488</v>
      </c>
      <c r="I178" s="4" t="s">
        <v>1234</v>
      </c>
      <c r="J178" s="4" t="s">
        <v>1235</v>
      </c>
      <c r="K178" s="4" t="s">
        <v>10</v>
      </c>
      <c r="L178" s="4" t="s">
        <v>487</v>
      </c>
      <c r="M178" s="5">
        <v>0</v>
      </c>
      <c r="N178" s="4" t="s">
        <v>1241</v>
      </c>
    </row>
    <row r="179" spans="1:14" x14ac:dyDescent="0.15">
      <c r="A179" s="4" t="s">
        <v>83</v>
      </c>
      <c r="B179" s="4" t="s">
        <v>15</v>
      </c>
      <c r="C179" s="5">
        <v>3.2361809045230006</v>
      </c>
      <c r="D179" s="5">
        <v>1000</v>
      </c>
      <c r="E179" s="4" t="s">
        <v>13</v>
      </c>
      <c r="F179" s="5">
        <v>3</v>
      </c>
      <c r="G179" s="5">
        <v>0</v>
      </c>
      <c r="H179" s="4" t="s">
        <v>488</v>
      </c>
      <c r="I179" s="4" t="s">
        <v>1234</v>
      </c>
      <c r="J179" s="4" t="s">
        <v>1235</v>
      </c>
      <c r="K179" s="4" t="s">
        <v>10</v>
      </c>
      <c r="L179" s="4" t="s">
        <v>487</v>
      </c>
      <c r="M179" s="5">
        <v>0</v>
      </c>
      <c r="N179" s="4" t="s">
        <v>1241</v>
      </c>
    </row>
    <row r="180" spans="1:14" x14ac:dyDescent="0.15">
      <c r="A180" s="4" t="s">
        <v>83</v>
      </c>
      <c r="B180" s="4" t="s">
        <v>23</v>
      </c>
      <c r="C180" s="5">
        <v>8.090452261307</v>
      </c>
      <c r="D180" s="5">
        <v>1000</v>
      </c>
      <c r="E180" s="4" t="s">
        <v>13</v>
      </c>
      <c r="F180" s="5">
        <v>3</v>
      </c>
      <c r="G180" s="5">
        <v>0</v>
      </c>
      <c r="H180" s="4" t="s">
        <v>488</v>
      </c>
      <c r="I180" s="4" t="s">
        <v>1234</v>
      </c>
      <c r="J180" s="4" t="s">
        <v>1235</v>
      </c>
      <c r="K180" s="4" t="s">
        <v>10</v>
      </c>
      <c r="L180" s="4" t="s">
        <v>487</v>
      </c>
      <c r="M180" s="5">
        <v>0</v>
      </c>
      <c r="N180" s="4" t="s">
        <v>1241</v>
      </c>
    </row>
    <row r="181" spans="1:14" x14ac:dyDescent="0.15">
      <c r="A181" s="4" t="s">
        <v>83</v>
      </c>
      <c r="B181" s="4" t="s">
        <v>24</v>
      </c>
      <c r="C181" s="5">
        <v>3.2361809045230006</v>
      </c>
      <c r="D181" s="5">
        <v>1000</v>
      </c>
      <c r="E181" s="4" t="s">
        <v>13</v>
      </c>
      <c r="F181" s="5">
        <v>3</v>
      </c>
      <c r="G181" s="5">
        <v>0</v>
      </c>
      <c r="H181" s="4" t="s">
        <v>488</v>
      </c>
      <c r="I181" s="4" t="s">
        <v>1234</v>
      </c>
      <c r="J181" s="4" t="s">
        <v>1235</v>
      </c>
      <c r="K181" s="4" t="s">
        <v>10</v>
      </c>
      <c r="L181" s="4" t="s">
        <v>487</v>
      </c>
      <c r="M181" s="5">
        <v>0</v>
      </c>
      <c r="N181" s="4" t="s">
        <v>1241</v>
      </c>
    </row>
    <row r="182" spans="1:14" x14ac:dyDescent="0.15">
      <c r="A182" s="4" t="s">
        <v>83</v>
      </c>
      <c r="B182" s="4" t="s">
        <v>17</v>
      </c>
      <c r="C182" s="5">
        <v>6.4102564102559993</v>
      </c>
      <c r="D182" s="5">
        <v>1000</v>
      </c>
      <c r="E182" s="4" t="s">
        <v>18</v>
      </c>
      <c r="F182" s="5">
        <v>0</v>
      </c>
      <c r="G182" s="5">
        <v>0</v>
      </c>
      <c r="H182" s="4" t="s">
        <v>488</v>
      </c>
      <c r="I182" s="4" t="s">
        <v>1234</v>
      </c>
      <c r="J182" s="4" t="s">
        <v>1235</v>
      </c>
      <c r="K182" s="4" t="s">
        <v>10</v>
      </c>
      <c r="L182" s="4" t="s">
        <v>487</v>
      </c>
      <c r="M182" s="5">
        <v>0</v>
      </c>
      <c r="N182" s="4" t="s">
        <v>1241</v>
      </c>
    </row>
    <row r="183" spans="1:14" x14ac:dyDescent="0.15">
      <c r="A183" s="4" t="s">
        <v>83</v>
      </c>
      <c r="B183" s="4" t="s">
        <v>19</v>
      </c>
      <c r="C183" s="5">
        <v>3</v>
      </c>
      <c r="D183" s="5">
        <v>1</v>
      </c>
      <c r="E183" s="4" t="s">
        <v>18</v>
      </c>
      <c r="F183" s="5">
        <v>0</v>
      </c>
      <c r="G183" s="5">
        <v>0</v>
      </c>
      <c r="H183" s="4" t="s">
        <v>488</v>
      </c>
      <c r="I183" s="4" t="s">
        <v>1236</v>
      </c>
      <c r="J183" s="4" t="s">
        <v>1235</v>
      </c>
      <c r="K183" s="4" t="s">
        <v>10</v>
      </c>
      <c r="L183" s="4" t="s">
        <v>487</v>
      </c>
      <c r="M183" s="5">
        <v>0</v>
      </c>
      <c r="N183" s="4" t="s">
        <v>1241</v>
      </c>
    </row>
    <row r="184" spans="1:14" x14ac:dyDescent="0.15">
      <c r="A184" s="4" t="s">
        <v>86</v>
      </c>
      <c r="B184" s="4" t="s">
        <v>87</v>
      </c>
      <c r="C184" s="5">
        <v>1</v>
      </c>
      <c r="D184" s="5">
        <v>1</v>
      </c>
      <c r="E184" s="4" t="s">
        <v>9</v>
      </c>
      <c r="F184" s="5">
        <v>0</v>
      </c>
      <c r="G184" s="5">
        <v>0</v>
      </c>
      <c r="H184" s="4" t="s">
        <v>488</v>
      </c>
      <c r="I184" s="4" t="s">
        <v>1234</v>
      </c>
      <c r="J184" s="4" t="s">
        <v>1235</v>
      </c>
      <c r="K184" s="4" t="s">
        <v>10</v>
      </c>
      <c r="L184" s="4" t="s">
        <v>487</v>
      </c>
      <c r="M184" s="5">
        <v>0</v>
      </c>
      <c r="N184" s="4" t="s">
        <v>1241</v>
      </c>
    </row>
    <row r="185" spans="1:14" x14ac:dyDescent="0.15">
      <c r="A185" s="4" t="s">
        <v>88</v>
      </c>
      <c r="B185" s="4" t="s">
        <v>87</v>
      </c>
      <c r="C185" s="5">
        <v>2</v>
      </c>
      <c r="D185" s="5">
        <v>1</v>
      </c>
      <c r="E185" s="4" t="s">
        <v>9</v>
      </c>
      <c r="F185" s="5">
        <v>0</v>
      </c>
      <c r="G185" s="5">
        <v>0</v>
      </c>
      <c r="H185" s="4" t="s">
        <v>488</v>
      </c>
      <c r="I185" s="4" t="s">
        <v>1234</v>
      </c>
      <c r="J185" s="4" t="s">
        <v>1235</v>
      </c>
      <c r="K185" s="4" t="s">
        <v>10</v>
      </c>
      <c r="L185" s="4" t="s">
        <v>487</v>
      </c>
      <c r="M185" s="5">
        <v>0</v>
      </c>
      <c r="N185" s="4" t="s">
        <v>1241</v>
      </c>
    </row>
    <row r="186" spans="1:14" x14ac:dyDescent="0.15">
      <c r="A186" s="4" t="s">
        <v>89</v>
      </c>
      <c r="B186" s="4" t="s">
        <v>87</v>
      </c>
      <c r="C186" s="5">
        <v>500</v>
      </c>
      <c r="D186" s="5">
        <v>1000</v>
      </c>
      <c r="E186" s="4" t="s">
        <v>9</v>
      </c>
      <c r="F186" s="5">
        <v>0</v>
      </c>
      <c r="G186" s="5">
        <v>0</v>
      </c>
      <c r="H186" s="4" t="s">
        <v>488</v>
      </c>
      <c r="I186" s="4" t="s">
        <v>1234</v>
      </c>
      <c r="J186" s="4" t="s">
        <v>1235</v>
      </c>
      <c r="K186" s="4" t="s">
        <v>10</v>
      </c>
      <c r="L186" s="4" t="s">
        <v>487</v>
      </c>
      <c r="M186" s="5">
        <v>0</v>
      </c>
      <c r="N186" s="4" t="s">
        <v>1241</v>
      </c>
    </row>
    <row r="187" spans="1:14" x14ac:dyDescent="0.15">
      <c r="A187" s="4" t="s">
        <v>87</v>
      </c>
      <c r="B187" s="4" t="s">
        <v>33</v>
      </c>
      <c r="C187" s="5">
        <v>2</v>
      </c>
      <c r="D187" s="5">
        <v>1</v>
      </c>
      <c r="E187" s="4" t="s">
        <v>9</v>
      </c>
      <c r="F187" s="5">
        <v>3</v>
      </c>
      <c r="G187" s="5">
        <v>0</v>
      </c>
      <c r="H187" s="4" t="s">
        <v>488</v>
      </c>
      <c r="I187" s="4" t="s">
        <v>1234</v>
      </c>
      <c r="J187" s="4" t="s">
        <v>1235</v>
      </c>
      <c r="K187" s="4" t="s">
        <v>10</v>
      </c>
      <c r="L187" s="4" t="s">
        <v>487</v>
      </c>
      <c r="M187" s="5">
        <v>0</v>
      </c>
      <c r="N187" s="4" t="s">
        <v>1241</v>
      </c>
    </row>
    <row r="188" spans="1:14" x14ac:dyDescent="0.15">
      <c r="A188" s="4" t="s">
        <v>87</v>
      </c>
      <c r="B188" s="4" t="s">
        <v>12</v>
      </c>
      <c r="C188" s="5">
        <v>0.291256281407</v>
      </c>
      <c r="D188" s="5">
        <v>1</v>
      </c>
      <c r="E188" s="4" t="s">
        <v>13</v>
      </c>
      <c r="F188" s="5">
        <v>3</v>
      </c>
      <c r="G188" s="5">
        <v>0</v>
      </c>
      <c r="H188" s="4" t="s">
        <v>488</v>
      </c>
      <c r="I188" s="4" t="s">
        <v>1234</v>
      </c>
      <c r="J188" s="4" t="s">
        <v>1235</v>
      </c>
      <c r="K188" s="4" t="s">
        <v>10</v>
      </c>
      <c r="L188" s="4" t="s">
        <v>487</v>
      </c>
      <c r="M188" s="5">
        <v>0</v>
      </c>
      <c r="N188" s="4" t="s">
        <v>1241</v>
      </c>
    </row>
    <row r="189" spans="1:14" x14ac:dyDescent="0.15">
      <c r="A189" s="4" t="s">
        <v>87</v>
      </c>
      <c r="B189" s="4" t="s">
        <v>14</v>
      </c>
      <c r="C189" s="5">
        <v>0.32361809045200002</v>
      </c>
      <c r="D189" s="5">
        <v>1</v>
      </c>
      <c r="E189" s="4" t="s">
        <v>13</v>
      </c>
      <c r="F189" s="5">
        <v>3</v>
      </c>
      <c r="G189" s="5">
        <v>0</v>
      </c>
      <c r="H189" s="4" t="s">
        <v>488</v>
      </c>
      <c r="I189" s="4" t="s">
        <v>1234</v>
      </c>
      <c r="J189" s="4" t="s">
        <v>1235</v>
      </c>
      <c r="K189" s="4" t="s">
        <v>10</v>
      </c>
      <c r="L189" s="4" t="s">
        <v>487</v>
      </c>
      <c r="M189" s="5">
        <v>0</v>
      </c>
      <c r="N189" s="4" t="s">
        <v>1241</v>
      </c>
    </row>
    <row r="190" spans="1:14" x14ac:dyDescent="0.15">
      <c r="A190" s="4" t="s">
        <v>87</v>
      </c>
      <c r="B190" s="4" t="s">
        <v>15</v>
      </c>
      <c r="C190" s="5">
        <v>6.4723618090450001</v>
      </c>
      <c r="D190" s="5">
        <v>1000</v>
      </c>
      <c r="E190" s="4" t="s">
        <v>13</v>
      </c>
      <c r="F190" s="5">
        <v>3</v>
      </c>
      <c r="G190" s="5">
        <v>0</v>
      </c>
      <c r="H190" s="4" t="s">
        <v>488</v>
      </c>
      <c r="I190" s="4" t="s">
        <v>1234</v>
      </c>
      <c r="J190" s="4" t="s">
        <v>1235</v>
      </c>
      <c r="K190" s="4" t="s">
        <v>10</v>
      </c>
      <c r="L190" s="4" t="s">
        <v>487</v>
      </c>
      <c r="M190" s="5">
        <v>0</v>
      </c>
      <c r="N190" s="4" t="s">
        <v>1241</v>
      </c>
    </row>
    <row r="191" spans="1:14" x14ac:dyDescent="0.15">
      <c r="A191" s="4" t="s">
        <v>87</v>
      </c>
      <c r="B191" s="4" t="s">
        <v>23</v>
      </c>
      <c r="C191" s="5">
        <v>16.180904522613002</v>
      </c>
      <c r="D191" s="5">
        <v>1000</v>
      </c>
      <c r="E191" s="4" t="s">
        <v>13</v>
      </c>
      <c r="F191" s="5">
        <v>3</v>
      </c>
      <c r="G191" s="5">
        <v>0</v>
      </c>
      <c r="H191" s="4" t="s">
        <v>488</v>
      </c>
      <c r="I191" s="4" t="s">
        <v>1234</v>
      </c>
      <c r="J191" s="4" t="s">
        <v>1235</v>
      </c>
      <c r="K191" s="4" t="s">
        <v>10</v>
      </c>
      <c r="L191" s="4" t="s">
        <v>487</v>
      </c>
      <c r="M191" s="5">
        <v>0</v>
      </c>
      <c r="N191" s="4" t="s">
        <v>1241</v>
      </c>
    </row>
    <row r="192" spans="1:14" x14ac:dyDescent="0.15">
      <c r="A192" s="4" t="s">
        <v>87</v>
      </c>
      <c r="B192" s="4" t="s">
        <v>24</v>
      </c>
      <c r="C192" s="5">
        <v>6.4723618090450001</v>
      </c>
      <c r="D192" s="5">
        <v>1000</v>
      </c>
      <c r="E192" s="4" t="s">
        <v>13</v>
      </c>
      <c r="F192" s="5">
        <v>3</v>
      </c>
      <c r="G192" s="5">
        <v>0</v>
      </c>
      <c r="H192" s="4" t="s">
        <v>488</v>
      </c>
      <c r="I192" s="4" t="s">
        <v>1234</v>
      </c>
      <c r="J192" s="4" t="s">
        <v>1235</v>
      </c>
      <c r="K192" s="4" t="s">
        <v>10</v>
      </c>
      <c r="L192" s="4" t="s">
        <v>487</v>
      </c>
      <c r="M192" s="5">
        <v>0</v>
      </c>
      <c r="N192" s="4" t="s">
        <v>1241</v>
      </c>
    </row>
    <row r="193" spans="1:14" x14ac:dyDescent="0.15">
      <c r="A193" s="4" t="s">
        <v>87</v>
      </c>
      <c r="B193" s="4" t="s">
        <v>17</v>
      </c>
      <c r="C193" s="5">
        <v>5.9523809523809996</v>
      </c>
      <c r="D193" s="5">
        <v>1000</v>
      </c>
      <c r="E193" s="4" t="s">
        <v>18</v>
      </c>
      <c r="F193" s="5">
        <v>0</v>
      </c>
      <c r="G193" s="5">
        <v>0</v>
      </c>
      <c r="H193" s="4" t="s">
        <v>488</v>
      </c>
      <c r="I193" s="4" t="s">
        <v>1234</v>
      </c>
      <c r="J193" s="4" t="s">
        <v>1235</v>
      </c>
      <c r="K193" s="4" t="s">
        <v>10</v>
      </c>
      <c r="L193" s="4" t="s">
        <v>487</v>
      </c>
      <c r="M193" s="5">
        <v>0</v>
      </c>
      <c r="N193" s="4" t="s">
        <v>1241</v>
      </c>
    </row>
    <row r="194" spans="1:14" x14ac:dyDescent="0.15">
      <c r="A194" s="4" t="s">
        <v>87</v>
      </c>
      <c r="B194" s="4" t="s">
        <v>19</v>
      </c>
      <c r="C194" s="5">
        <v>3</v>
      </c>
      <c r="D194" s="5">
        <v>1</v>
      </c>
      <c r="E194" s="4" t="s">
        <v>18</v>
      </c>
      <c r="F194" s="5">
        <v>0</v>
      </c>
      <c r="G194" s="5">
        <v>0</v>
      </c>
      <c r="H194" s="4" t="s">
        <v>488</v>
      </c>
      <c r="I194" s="4" t="s">
        <v>1236</v>
      </c>
      <c r="J194" s="4" t="s">
        <v>1235</v>
      </c>
      <c r="K194" s="4" t="s">
        <v>10</v>
      </c>
      <c r="L194" s="4" t="s">
        <v>487</v>
      </c>
      <c r="M194" s="5">
        <v>0</v>
      </c>
      <c r="N194" s="4" t="s">
        <v>1241</v>
      </c>
    </row>
    <row r="195" spans="1:14" x14ac:dyDescent="0.15">
      <c r="A195" s="4" t="s">
        <v>90</v>
      </c>
      <c r="B195" s="4" t="s">
        <v>91</v>
      </c>
      <c r="C195" s="5">
        <v>1</v>
      </c>
      <c r="D195" s="5">
        <v>1</v>
      </c>
      <c r="E195" s="4" t="s">
        <v>9</v>
      </c>
      <c r="F195" s="5">
        <v>0</v>
      </c>
      <c r="G195" s="5">
        <v>0</v>
      </c>
      <c r="H195" s="4" t="s">
        <v>488</v>
      </c>
      <c r="I195" s="4" t="s">
        <v>1234</v>
      </c>
      <c r="J195" s="4" t="s">
        <v>1235</v>
      </c>
      <c r="K195" s="4" t="s">
        <v>10</v>
      </c>
      <c r="L195" s="4" t="s">
        <v>487</v>
      </c>
      <c r="M195" s="5">
        <v>0</v>
      </c>
      <c r="N195" s="4" t="s">
        <v>1241</v>
      </c>
    </row>
    <row r="196" spans="1:14" x14ac:dyDescent="0.15">
      <c r="A196" s="4" t="s">
        <v>92</v>
      </c>
      <c r="B196" s="4" t="s">
        <v>91</v>
      </c>
      <c r="C196" s="5">
        <v>2</v>
      </c>
      <c r="D196" s="5">
        <v>1</v>
      </c>
      <c r="E196" s="4" t="s">
        <v>9</v>
      </c>
      <c r="F196" s="5">
        <v>0</v>
      </c>
      <c r="G196" s="5">
        <v>0</v>
      </c>
      <c r="H196" s="4" t="s">
        <v>488</v>
      </c>
      <c r="I196" s="4" t="s">
        <v>1234</v>
      </c>
      <c r="J196" s="4" t="s">
        <v>1235</v>
      </c>
      <c r="K196" s="4" t="s">
        <v>10</v>
      </c>
      <c r="L196" s="4" t="s">
        <v>487</v>
      </c>
      <c r="M196" s="5">
        <v>0</v>
      </c>
      <c r="N196" s="4" t="s">
        <v>1241</v>
      </c>
    </row>
    <row r="197" spans="1:14" x14ac:dyDescent="0.15">
      <c r="A197" s="4" t="s">
        <v>93</v>
      </c>
      <c r="B197" s="4" t="s">
        <v>91</v>
      </c>
      <c r="C197" s="5">
        <v>500</v>
      </c>
      <c r="D197" s="5">
        <v>1000</v>
      </c>
      <c r="E197" s="4" t="s">
        <v>9</v>
      </c>
      <c r="F197" s="5">
        <v>0</v>
      </c>
      <c r="G197" s="5">
        <v>0</v>
      </c>
      <c r="H197" s="4" t="s">
        <v>488</v>
      </c>
      <c r="I197" s="4" t="s">
        <v>1234</v>
      </c>
      <c r="J197" s="4" t="s">
        <v>1235</v>
      </c>
      <c r="K197" s="4" t="s">
        <v>10</v>
      </c>
      <c r="L197" s="4" t="s">
        <v>487</v>
      </c>
      <c r="M197" s="5">
        <v>0</v>
      </c>
      <c r="N197" s="4" t="s">
        <v>1241</v>
      </c>
    </row>
    <row r="198" spans="1:14" x14ac:dyDescent="0.15">
      <c r="A198" s="4" t="s">
        <v>91</v>
      </c>
      <c r="B198" s="4" t="s">
        <v>29</v>
      </c>
      <c r="C198" s="5">
        <v>3</v>
      </c>
      <c r="D198" s="5">
        <v>1</v>
      </c>
      <c r="E198" s="4" t="s">
        <v>9</v>
      </c>
      <c r="F198" s="5">
        <v>3</v>
      </c>
      <c r="G198" s="5">
        <v>0</v>
      </c>
      <c r="H198" s="4" t="s">
        <v>488</v>
      </c>
      <c r="I198" s="4" t="s">
        <v>1234</v>
      </c>
      <c r="J198" s="4" t="s">
        <v>1235</v>
      </c>
      <c r="K198" s="4" t="s">
        <v>10</v>
      </c>
      <c r="L198" s="4" t="s">
        <v>487</v>
      </c>
      <c r="M198" s="5">
        <v>0</v>
      </c>
      <c r="N198" s="4" t="s">
        <v>1241</v>
      </c>
    </row>
    <row r="199" spans="1:14" x14ac:dyDescent="0.15">
      <c r="A199" s="4" t="s">
        <v>91</v>
      </c>
      <c r="B199" s="4" t="s">
        <v>12</v>
      </c>
      <c r="C199" s="5">
        <v>0.218442211055</v>
      </c>
      <c r="D199" s="5">
        <v>1</v>
      </c>
      <c r="E199" s="4" t="s">
        <v>13</v>
      </c>
      <c r="F199" s="5">
        <v>3</v>
      </c>
      <c r="G199" s="5">
        <v>0</v>
      </c>
      <c r="H199" s="4" t="s">
        <v>488</v>
      </c>
      <c r="I199" s="4" t="s">
        <v>1234</v>
      </c>
      <c r="J199" s="4" t="s">
        <v>1235</v>
      </c>
      <c r="K199" s="4" t="s">
        <v>10</v>
      </c>
      <c r="L199" s="4" t="s">
        <v>487</v>
      </c>
      <c r="M199" s="5">
        <v>0</v>
      </c>
      <c r="N199" s="4" t="s">
        <v>1241</v>
      </c>
    </row>
    <row r="200" spans="1:14" x14ac:dyDescent="0.15">
      <c r="A200" s="4" t="s">
        <v>91</v>
      </c>
      <c r="B200" s="4" t="s">
        <v>14</v>
      </c>
      <c r="C200" s="5">
        <v>0.242713567839</v>
      </c>
      <c r="D200" s="5">
        <v>1</v>
      </c>
      <c r="E200" s="4" t="s">
        <v>13</v>
      </c>
      <c r="F200" s="5">
        <v>3</v>
      </c>
      <c r="G200" s="5">
        <v>0</v>
      </c>
      <c r="H200" s="4" t="s">
        <v>488</v>
      </c>
      <c r="I200" s="4" t="s">
        <v>1234</v>
      </c>
      <c r="J200" s="4" t="s">
        <v>1235</v>
      </c>
      <c r="K200" s="4" t="s">
        <v>10</v>
      </c>
      <c r="L200" s="4" t="s">
        <v>487</v>
      </c>
      <c r="M200" s="5">
        <v>0</v>
      </c>
      <c r="N200" s="4" t="s">
        <v>1241</v>
      </c>
    </row>
    <row r="201" spans="1:14" x14ac:dyDescent="0.15">
      <c r="A201" s="4" t="s">
        <v>91</v>
      </c>
      <c r="B201" s="4" t="s">
        <v>15</v>
      </c>
      <c r="C201" s="5">
        <v>4.8542713567840003</v>
      </c>
      <c r="D201" s="5">
        <v>1000</v>
      </c>
      <c r="E201" s="4" t="s">
        <v>13</v>
      </c>
      <c r="F201" s="5">
        <v>3</v>
      </c>
      <c r="G201" s="5">
        <v>0</v>
      </c>
      <c r="H201" s="4" t="s">
        <v>488</v>
      </c>
      <c r="I201" s="4" t="s">
        <v>1234</v>
      </c>
      <c r="J201" s="4" t="s">
        <v>1235</v>
      </c>
      <c r="K201" s="4" t="s">
        <v>10</v>
      </c>
      <c r="L201" s="4" t="s">
        <v>487</v>
      </c>
      <c r="M201" s="5">
        <v>0</v>
      </c>
      <c r="N201" s="4" t="s">
        <v>1241</v>
      </c>
    </row>
    <row r="202" spans="1:14" x14ac:dyDescent="0.15">
      <c r="A202" s="4" t="s">
        <v>91</v>
      </c>
      <c r="B202" s="4" t="s">
        <v>23</v>
      </c>
      <c r="C202" s="5">
        <v>12.135678391960001</v>
      </c>
      <c r="D202" s="5">
        <v>1000</v>
      </c>
      <c r="E202" s="4" t="s">
        <v>13</v>
      </c>
      <c r="F202" s="5">
        <v>3</v>
      </c>
      <c r="G202" s="5">
        <v>0</v>
      </c>
      <c r="H202" s="4" t="s">
        <v>488</v>
      </c>
      <c r="I202" s="4" t="s">
        <v>1234</v>
      </c>
      <c r="J202" s="4" t="s">
        <v>1235</v>
      </c>
      <c r="K202" s="4" t="s">
        <v>10</v>
      </c>
      <c r="L202" s="4" t="s">
        <v>487</v>
      </c>
      <c r="M202" s="5">
        <v>0</v>
      </c>
      <c r="N202" s="4" t="s">
        <v>1241</v>
      </c>
    </row>
    <row r="203" spans="1:14" x14ac:dyDescent="0.15">
      <c r="A203" s="4" t="s">
        <v>91</v>
      </c>
      <c r="B203" s="4" t="s">
        <v>24</v>
      </c>
      <c r="C203" s="5">
        <v>4.8542713567840003</v>
      </c>
      <c r="D203" s="5">
        <v>1000</v>
      </c>
      <c r="E203" s="4" t="s">
        <v>13</v>
      </c>
      <c r="F203" s="5">
        <v>3</v>
      </c>
      <c r="G203" s="5">
        <v>0</v>
      </c>
      <c r="H203" s="4" t="s">
        <v>488</v>
      </c>
      <c r="I203" s="4" t="s">
        <v>1234</v>
      </c>
      <c r="J203" s="4" t="s">
        <v>1235</v>
      </c>
      <c r="K203" s="4" t="s">
        <v>10</v>
      </c>
      <c r="L203" s="4" t="s">
        <v>487</v>
      </c>
      <c r="M203" s="5">
        <v>0</v>
      </c>
      <c r="N203" s="4" t="s">
        <v>1241</v>
      </c>
    </row>
    <row r="204" spans="1:14" x14ac:dyDescent="0.15">
      <c r="A204" s="4" t="s">
        <v>91</v>
      </c>
      <c r="B204" s="4" t="s">
        <v>17</v>
      </c>
      <c r="C204" s="5">
        <v>6.4102564102559993</v>
      </c>
      <c r="D204" s="5">
        <v>1000</v>
      </c>
      <c r="E204" s="4" t="s">
        <v>18</v>
      </c>
      <c r="F204" s="5">
        <v>0</v>
      </c>
      <c r="G204" s="5">
        <v>0</v>
      </c>
      <c r="H204" s="4" t="s">
        <v>488</v>
      </c>
      <c r="I204" s="4" t="s">
        <v>1234</v>
      </c>
      <c r="J204" s="4" t="s">
        <v>1235</v>
      </c>
      <c r="K204" s="4" t="s">
        <v>10</v>
      </c>
      <c r="L204" s="4" t="s">
        <v>487</v>
      </c>
      <c r="M204" s="5">
        <v>0</v>
      </c>
      <c r="N204" s="4" t="s">
        <v>1241</v>
      </c>
    </row>
    <row r="205" spans="1:14" x14ac:dyDescent="0.15">
      <c r="A205" s="4" t="s">
        <v>91</v>
      </c>
      <c r="B205" s="4" t="s">
        <v>19</v>
      </c>
      <c r="C205" s="5">
        <v>3</v>
      </c>
      <c r="D205" s="5">
        <v>1</v>
      </c>
      <c r="E205" s="4" t="s">
        <v>18</v>
      </c>
      <c r="F205" s="5">
        <v>0</v>
      </c>
      <c r="G205" s="5">
        <v>0</v>
      </c>
      <c r="H205" s="4" t="s">
        <v>488</v>
      </c>
      <c r="I205" s="4" t="s">
        <v>1236</v>
      </c>
      <c r="J205" s="4" t="s">
        <v>1235</v>
      </c>
      <c r="K205" s="4" t="s">
        <v>10</v>
      </c>
      <c r="L205" s="4" t="s">
        <v>487</v>
      </c>
      <c r="M205" s="5">
        <v>0</v>
      </c>
      <c r="N205" s="4" t="s">
        <v>1241</v>
      </c>
    </row>
    <row r="206" spans="1:14" x14ac:dyDescent="0.15">
      <c r="A206" s="4" t="s">
        <v>94</v>
      </c>
      <c r="B206" s="4" t="s">
        <v>95</v>
      </c>
      <c r="C206" s="5">
        <v>1</v>
      </c>
      <c r="D206" s="5">
        <v>1</v>
      </c>
      <c r="E206" s="4" t="s">
        <v>9</v>
      </c>
      <c r="F206" s="5">
        <v>0</v>
      </c>
      <c r="G206" s="5">
        <v>0</v>
      </c>
      <c r="H206" s="4" t="s">
        <v>488</v>
      </c>
      <c r="I206" s="4" t="s">
        <v>1234</v>
      </c>
      <c r="J206" s="4" t="s">
        <v>1235</v>
      </c>
      <c r="K206" s="4" t="s">
        <v>10</v>
      </c>
      <c r="L206" s="4" t="s">
        <v>487</v>
      </c>
      <c r="M206" s="5">
        <v>0</v>
      </c>
      <c r="N206" s="4" t="s">
        <v>1241</v>
      </c>
    </row>
    <row r="207" spans="1:14" x14ac:dyDescent="0.15">
      <c r="A207" s="4" t="s">
        <v>96</v>
      </c>
      <c r="B207" s="4" t="s">
        <v>95</v>
      </c>
      <c r="C207" s="5">
        <v>2</v>
      </c>
      <c r="D207" s="5">
        <v>1</v>
      </c>
      <c r="E207" s="4" t="s">
        <v>9</v>
      </c>
      <c r="F207" s="5">
        <v>0</v>
      </c>
      <c r="G207" s="5">
        <v>0</v>
      </c>
      <c r="H207" s="4" t="s">
        <v>488</v>
      </c>
      <c r="I207" s="4" t="s">
        <v>1234</v>
      </c>
      <c r="J207" s="4" t="s">
        <v>1235</v>
      </c>
      <c r="K207" s="4" t="s">
        <v>10</v>
      </c>
      <c r="L207" s="4" t="s">
        <v>487</v>
      </c>
      <c r="M207" s="5">
        <v>0</v>
      </c>
      <c r="N207" s="4" t="s">
        <v>1241</v>
      </c>
    </row>
    <row r="208" spans="1:14" x14ac:dyDescent="0.15">
      <c r="A208" s="4" t="s">
        <v>97</v>
      </c>
      <c r="B208" s="4" t="s">
        <v>95</v>
      </c>
      <c r="C208" s="5">
        <v>500</v>
      </c>
      <c r="D208" s="5">
        <v>1000</v>
      </c>
      <c r="E208" s="4" t="s">
        <v>9</v>
      </c>
      <c r="F208" s="5">
        <v>0</v>
      </c>
      <c r="G208" s="5">
        <v>0</v>
      </c>
      <c r="H208" s="4" t="s">
        <v>488</v>
      </c>
      <c r="I208" s="4" t="s">
        <v>1234</v>
      </c>
      <c r="J208" s="4" t="s">
        <v>1235</v>
      </c>
      <c r="K208" s="4" t="s">
        <v>10</v>
      </c>
      <c r="L208" s="4" t="s">
        <v>487</v>
      </c>
      <c r="M208" s="5">
        <v>0</v>
      </c>
      <c r="N208" s="4" t="s">
        <v>1241</v>
      </c>
    </row>
    <row r="209" spans="1:14" x14ac:dyDescent="0.15">
      <c r="A209" s="4" t="s">
        <v>95</v>
      </c>
      <c r="B209" s="4" t="s">
        <v>33</v>
      </c>
      <c r="C209" s="5">
        <v>2</v>
      </c>
      <c r="D209" s="5">
        <v>1</v>
      </c>
      <c r="E209" s="4" t="s">
        <v>9</v>
      </c>
      <c r="F209" s="5">
        <v>3</v>
      </c>
      <c r="G209" s="5">
        <v>0</v>
      </c>
      <c r="H209" s="4" t="s">
        <v>488</v>
      </c>
      <c r="I209" s="4" t="s">
        <v>1234</v>
      </c>
      <c r="J209" s="4" t="s">
        <v>1235</v>
      </c>
      <c r="K209" s="4" t="s">
        <v>10</v>
      </c>
      <c r="L209" s="4" t="s">
        <v>487</v>
      </c>
      <c r="M209" s="5">
        <v>0</v>
      </c>
      <c r="N209" s="4" t="s">
        <v>1241</v>
      </c>
    </row>
    <row r="210" spans="1:14" x14ac:dyDescent="0.15">
      <c r="A210" s="4" t="s">
        <v>95</v>
      </c>
      <c r="B210" s="4" t="s">
        <v>29</v>
      </c>
      <c r="C210" s="5">
        <v>1</v>
      </c>
      <c r="D210" s="5">
        <v>1</v>
      </c>
      <c r="E210" s="4" t="s">
        <v>9</v>
      </c>
      <c r="F210" s="5">
        <v>3</v>
      </c>
      <c r="G210" s="5">
        <v>0</v>
      </c>
      <c r="H210" s="4" t="s">
        <v>488</v>
      </c>
      <c r="I210" s="4" t="s">
        <v>1234</v>
      </c>
      <c r="J210" s="4" t="s">
        <v>1235</v>
      </c>
      <c r="K210" s="4" t="s">
        <v>10</v>
      </c>
      <c r="L210" s="4" t="s">
        <v>487</v>
      </c>
      <c r="M210" s="5">
        <v>0</v>
      </c>
      <c r="N210" s="4" t="s">
        <v>1241</v>
      </c>
    </row>
    <row r="211" spans="1:14" x14ac:dyDescent="0.15">
      <c r="A211" s="4" t="s">
        <v>95</v>
      </c>
      <c r="B211" s="4" t="s">
        <v>12</v>
      </c>
      <c r="C211" s="5">
        <v>0.33919597989900002</v>
      </c>
      <c r="D211" s="5">
        <v>1</v>
      </c>
      <c r="E211" s="4" t="s">
        <v>13</v>
      </c>
      <c r="F211" s="5">
        <v>3</v>
      </c>
      <c r="G211" s="5">
        <v>0</v>
      </c>
      <c r="H211" s="4" t="s">
        <v>488</v>
      </c>
      <c r="I211" s="4" t="s">
        <v>1234</v>
      </c>
      <c r="J211" s="4" t="s">
        <v>1235</v>
      </c>
      <c r="K211" s="4" t="s">
        <v>10</v>
      </c>
      <c r="L211" s="4" t="s">
        <v>487</v>
      </c>
      <c r="M211" s="5">
        <v>0</v>
      </c>
      <c r="N211" s="4" t="s">
        <v>1241</v>
      </c>
    </row>
    <row r="212" spans="1:14" x14ac:dyDescent="0.15">
      <c r="A212" s="4" t="s">
        <v>95</v>
      </c>
      <c r="B212" s="4" t="s">
        <v>14</v>
      </c>
      <c r="C212" s="5">
        <v>0.37688442211099998</v>
      </c>
      <c r="D212" s="5">
        <v>1</v>
      </c>
      <c r="E212" s="4" t="s">
        <v>13</v>
      </c>
      <c r="F212" s="5">
        <v>3</v>
      </c>
      <c r="G212" s="5">
        <v>0</v>
      </c>
      <c r="H212" s="4" t="s">
        <v>488</v>
      </c>
      <c r="I212" s="4" t="s">
        <v>1234</v>
      </c>
      <c r="J212" s="4" t="s">
        <v>1235</v>
      </c>
      <c r="K212" s="4" t="s">
        <v>10</v>
      </c>
      <c r="L212" s="4" t="s">
        <v>487</v>
      </c>
      <c r="M212" s="5">
        <v>0</v>
      </c>
      <c r="N212" s="4" t="s">
        <v>1241</v>
      </c>
    </row>
    <row r="213" spans="1:14" x14ac:dyDescent="0.15">
      <c r="A213" s="4" t="s">
        <v>95</v>
      </c>
      <c r="B213" s="4" t="s">
        <v>15</v>
      </c>
      <c r="C213" s="5">
        <v>7.5376884422110013</v>
      </c>
      <c r="D213" s="5">
        <v>1000</v>
      </c>
      <c r="E213" s="4" t="s">
        <v>13</v>
      </c>
      <c r="F213" s="5">
        <v>3</v>
      </c>
      <c r="G213" s="5">
        <v>0</v>
      </c>
      <c r="H213" s="4" t="s">
        <v>488</v>
      </c>
      <c r="I213" s="4" t="s">
        <v>1234</v>
      </c>
      <c r="J213" s="4" t="s">
        <v>1235</v>
      </c>
      <c r="K213" s="4" t="s">
        <v>10</v>
      </c>
      <c r="L213" s="4" t="s">
        <v>487</v>
      </c>
      <c r="M213" s="5">
        <v>0</v>
      </c>
      <c r="N213" s="4" t="s">
        <v>1241</v>
      </c>
    </row>
    <row r="214" spans="1:14" x14ac:dyDescent="0.15">
      <c r="A214" s="4" t="s">
        <v>95</v>
      </c>
      <c r="B214" s="4" t="s">
        <v>23</v>
      </c>
      <c r="C214" s="5">
        <v>18.844221105528003</v>
      </c>
      <c r="D214" s="5">
        <v>1000</v>
      </c>
      <c r="E214" s="4" t="s">
        <v>13</v>
      </c>
      <c r="F214" s="5">
        <v>3</v>
      </c>
      <c r="G214" s="5">
        <v>0</v>
      </c>
      <c r="H214" s="4" t="s">
        <v>488</v>
      </c>
      <c r="I214" s="4" t="s">
        <v>1234</v>
      </c>
      <c r="J214" s="4" t="s">
        <v>1235</v>
      </c>
      <c r="K214" s="4" t="s">
        <v>10</v>
      </c>
      <c r="L214" s="4" t="s">
        <v>487</v>
      </c>
      <c r="M214" s="5">
        <v>0</v>
      </c>
      <c r="N214" s="4" t="s">
        <v>1241</v>
      </c>
    </row>
    <row r="215" spans="1:14" x14ac:dyDescent="0.15">
      <c r="A215" s="4" t="s">
        <v>95</v>
      </c>
      <c r="B215" s="4" t="s">
        <v>24</v>
      </c>
      <c r="C215" s="5">
        <v>7.5376884422110013</v>
      </c>
      <c r="D215" s="5">
        <v>1000</v>
      </c>
      <c r="E215" s="4" t="s">
        <v>13</v>
      </c>
      <c r="F215" s="5">
        <v>3</v>
      </c>
      <c r="G215" s="5">
        <v>0</v>
      </c>
      <c r="H215" s="4" t="s">
        <v>488</v>
      </c>
      <c r="I215" s="4" t="s">
        <v>1234</v>
      </c>
      <c r="J215" s="4" t="s">
        <v>1235</v>
      </c>
      <c r="K215" s="4" t="s">
        <v>10</v>
      </c>
      <c r="L215" s="4" t="s">
        <v>487</v>
      </c>
      <c r="M215" s="5">
        <v>0</v>
      </c>
      <c r="N215" s="4" t="s">
        <v>1241</v>
      </c>
    </row>
    <row r="216" spans="1:14" x14ac:dyDescent="0.15">
      <c r="A216" s="4" t="s">
        <v>95</v>
      </c>
      <c r="B216" s="4" t="s">
        <v>17</v>
      </c>
      <c r="C216" s="5">
        <v>6.1728395061730001</v>
      </c>
      <c r="D216" s="5">
        <v>1000</v>
      </c>
      <c r="E216" s="4" t="s">
        <v>18</v>
      </c>
      <c r="F216" s="5">
        <v>0</v>
      </c>
      <c r="G216" s="5">
        <v>0</v>
      </c>
      <c r="H216" s="4" t="s">
        <v>488</v>
      </c>
      <c r="I216" s="4" t="s">
        <v>1234</v>
      </c>
      <c r="J216" s="4" t="s">
        <v>1235</v>
      </c>
      <c r="K216" s="4" t="s">
        <v>10</v>
      </c>
      <c r="L216" s="4" t="s">
        <v>487</v>
      </c>
      <c r="M216" s="5">
        <v>0</v>
      </c>
      <c r="N216" s="4" t="s">
        <v>1241</v>
      </c>
    </row>
    <row r="217" spans="1:14" x14ac:dyDescent="0.15">
      <c r="A217" s="4" t="s">
        <v>95</v>
      </c>
      <c r="B217" s="4" t="s">
        <v>19</v>
      </c>
      <c r="C217" s="5">
        <v>3</v>
      </c>
      <c r="D217" s="5">
        <v>1</v>
      </c>
      <c r="E217" s="4" t="s">
        <v>18</v>
      </c>
      <c r="F217" s="5">
        <v>0</v>
      </c>
      <c r="G217" s="5">
        <v>0</v>
      </c>
      <c r="H217" s="4" t="s">
        <v>488</v>
      </c>
      <c r="I217" s="4" t="s">
        <v>1236</v>
      </c>
      <c r="J217" s="4" t="s">
        <v>1235</v>
      </c>
      <c r="K217" s="4" t="s">
        <v>10</v>
      </c>
      <c r="L217" s="4" t="s">
        <v>487</v>
      </c>
      <c r="M217" s="5">
        <v>0</v>
      </c>
      <c r="N217" s="4" t="s">
        <v>1241</v>
      </c>
    </row>
    <row r="218" spans="1:14" x14ac:dyDescent="0.15">
      <c r="A218" s="4" t="s">
        <v>98</v>
      </c>
      <c r="B218" s="4" t="s">
        <v>99</v>
      </c>
      <c r="C218" s="5">
        <v>1</v>
      </c>
      <c r="D218" s="5">
        <v>1</v>
      </c>
      <c r="E218" s="4" t="s">
        <v>9</v>
      </c>
      <c r="F218" s="5">
        <v>0</v>
      </c>
      <c r="G218" s="5">
        <v>0</v>
      </c>
      <c r="H218" s="4" t="s">
        <v>488</v>
      </c>
      <c r="I218" s="4" t="s">
        <v>1234</v>
      </c>
      <c r="J218" s="4" t="s">
        <v>1235</v>
      </c>
      <c r="K218" s="4" t="s">
        <v>10</v>
      </c>
      <c r="L218" s="4" t="s">
        <v>487</v>
      </c>
      <c r="M218" s="5">
        <v>0</v>
      </c>
      <c r="N218" s="4" t="s">
        <v>1241</v>
      </c>
    </row>
    <row r="219" spans="1:14" x14ac:dyDescent="0.15">
      <c r="A219" s="4" t="s">
        <v>100</v>
      </c>
      <c r="B219" s="4" t="s">
        <v>99</v>
      </c>
      <c r="C219" s="5">
        <v>2</v>
      </c>
      <c r="D219" s="5">
        <v>1</v>
      </c>
      <c r="E219" s="4" t="s">
        <v>9</v>
      </c>
      <c r="F219" s="5">
        <v>0</v>
      </c>
      <c r="G219" s="5">
        <v>0</v>
      </c>
      <c r="H219" s="4" t="s">
        <v>488</v>
      </c>
      <c r="I219" s="4" t="s">
        <v>1234</v>
      </c>
      <c r="J219" s="4" t="s">
        <v>1235</v>
      </c>
      <c r="K219" s="4" t="s">
        <v>10</v>
      </c>
      <c r="L219" s="4" t="s">
        <v>487</v>
      </c>
      <c r="M219" s="5">
        <v>0</v>
      </c>
      <c r="N219" s="4" t="s">
        <v>1241</v>
      </c>
    </row>
    <row r="220" spans="1:14" x14ac:dyDescent="0.15">
      <c r="A220" s="4" t="s">
        <v>101</v>
      </c>
      <c r="B220" s="4" t="s">
        <v>99</v>
      </c>
      <c r="C220" s="5">
        <v>500</v>
      </c>
      <c r="D220" s="5">
        <v>1000</v>
      </c>
      <c r="E220" s="4" t="s">
        <v>9</v>
      </c>
      <c r="F220" s="5">
        <v>0</v>
      </c>
      <c r="G220" s="5">
        <v>0</v>
      </c>
      <c r="H220" s="4" t="s">
        <v>488</v>
      </c>
      <c r="I220" s="4" t="s">
        <v>1234</v>
      </c>
      <c r="J220" s="4" t="s">
        <v>1235</v>
      </c>
      <c r="K220" s="4" t="s">
        <v>10</v>
      </c>
      <c r="L220" s="4" t="s">
        <v>487</v>
      </c>
      <c r="M220" s="5">
        <v>0</v>
      </c>
      <c r="N220" s="4" t="s">
        <v>1241</v>
      </c>
    </row>
    <row r="221" spans="1:14" x14ac:dyDescent="0.15">
      <c r="A221" s="4" t="s">
        <v>99</v>
      </c>
      <c r="B221" s="4" t="s">
        <v>33</v>
      </c>
      <c r="C221" s="5">
        <v>3</v>
      </c>
      <c r="D221" s="5">
        <v>1</v>
      </c>
      <c r="E221" s="4" t="s">
        <v>9</v>
      </c>
      <c r="F221" s="5">
        <v>3</v>
      </c>
      <c r="G221" s="5">
        <v>0</v>
      </c>
      <c r="H221" s="4" t="s">
        <v>488</v>
      </c>
      <c r="I221" s="4" t="s">
        <v>1234</v>
      </c>
      <c r="J221" s="4" t="s">
        <v>1235</v>
      </c>
      <c r="K221" s="4" t="s">
        <v>10</v>
      </c>
      <c r="L221" s="4" t="s">
        <v>487</v>
      </c>
      <c r="M221" s="5">
        <v>0</v>
      </c>
      <c r="N221" s="4" t="s">
        <v>1241</v>
      </c>
    </row>
    <row r="222" spans="1:14" x14ac:dyDescent="0.15">
      <c r="A222" s="4" t="s">
        <v>99</v>
      </c>
      <c r="B222" s="4" t="s">
        <v>12</v>
      </c>
      <c r="C222" s="5">
        <v>0.43688442211099998</v>
      </c>
      <c r="D222" s="5">
        <v>1</v>
      </c>
      <c r="E222" s="4" t="s">
        <v>13</v>
      </c>
      <c r="F222" s="5">
        <v>3</v>
      </c>
      <c r="G222" s="5">
        <v>0</v>
      </c>
      <c r="H222" s="4" t="s">
        <v>488</v>
      </c>
      <c r="I222" s="4" t="s">
        <v>1234</v>
      </c>
      <c r="J222" s="4" t="s">
        <v>1235</v>
      </c>
      <c r="K222" s="4" t="s">
        <v>10</v>
      </c>
      <c r="L222" s="4" t="s">
        <v>487</v>
      </c>
      <c r="M222" s="5">
        <v>0</v>
      </c>
      <c r="N222" s="4" t="s">
        <v>1241</v>
      </c>
    </row>
    <row r="223" spans="1:14" x14ac:dyDescent="0.15">
      <c r="A223" s="4" t="s">
        <v>99</v>
      </c>
      <c r="B223" s="4" t="s">
        <v>14</v>
      </c>
      <c r="C223" s="5">
        <v>0.485427135678</v>
      </c>
      <c r="D223" s="5">
        <v>1</v>
      </c>
      <c r="E223" s="4" t="s">
        <v>13</v>
      </c>
      <c r="F223" s="5">
        <v>3</v>
      </c>
      <c r="G223" s="5">
        <v>0</v>
      </c>
      <c r="H223" s="4" t="s">
        <v>488</v>
      </c>
      <c r="I223" s="4" t="s">
        <v>1234</v>
      </c>
      <c r="J223" s="4" t="s">
        <v>1235</v>
      </c>
      <c r="K223" s="4" t="s">
        <v>10</v>
      </c>
      <c r="L223" s="4" t="s">
        <v>487</v>
      </c>
      <c r="M223" s="5">
        <v>0</v>
      </c>
      <c r="N223" s="4" t="s">
        <v>1241</v>
      </c>
    </row>
    <row r="224" spans="1:14" x14ac:dyDescent="0.15">
      <c r="A224" s="4" t="s">
        <v>99</v>
      </c>
      <c r="B224" s="4" t="s">
        <v>15</v>
      </c>
      <c r="C224" s="5">
        <v>9.7085427135680007</v>
      </c>
      <c r="D224" s="5">
        <v>1000</v>
      </c>
      <c r="E224" s="4" t="s">
        <v>13</v>
      </c>
      <c r="F224" s="5">
        <v>3</v>
      </c>
      <c r="G224" s="5">
        <v>0</v>
      </c>
      <c r="H224" s="4" t="s">
        <v>488</v>
      </c>
      <c r="I224" s="4" t="s">
        <v>1234</v>
      </c>
      <c r="J224" s="4" t="s">
        <v>1235</v>
      </c>
      <c r="K224" s="4" t="s">
        <v>10</v>
      </c>
      <c r="L224" s="4" t="s">
        <v>487</v>
      </c>
      <c r="M224" s="5">
        <v>0</v>
      </c>
      <c r="N224" s="4" t="s">
        <v>1241</v>
      </c>
    </row>
    <row r="225" spans="1:14" x14ac:dyDescent="0.15">
      <c r="A225" s="4" t="s">
        <v>99</v>
      </c>
      <c r="B225" s="4" t="s">
        <v>23</v>
      </c>
      <c r="C225" s="5">
        <v>24.271356783920002</v>
      </c>
      <c r="D225" s="5">
        <v>1000</v>
      </c>
      <c r="E225" s="4" t="s">
        <v>13</v>
      </c>
      <c r="F225" s="5">
        <v>3</v>
      </c>
      <c r="G225" s="5">
        <v>0</v>
      </c>
      <c r="H225" s="4" t="s">
        <v>488</v>
      </c>
      <c r="I225" s="4" t="s">
        <v>1234</v>
      </c>
      <c r="J225" s="4" t="s">
        <v>1235</v>
      </c>
      <c r="K225" s="4" t="s">
        <v>10</v>
      </c>
      <c r="L225" s="4" t="s">
        <v>487</v>
      </c>
      <c r="M225" s="5">
        <v>0</v>
      </c>
      <c r="N225" s="4" t="s">
        <v>1241</v>
      </c>
    </row>
    <row r="226" spans="1:14" x14ac:dyDescent="0.15">
      <c r="A226" s="4" t="s">
        <v>99</v>
      </c>
      <c r="B226" s="4" t="s">
        <v>24</v>
      </c>
      <c r="C226" s="5">
        <v>9.7085427135680007</v>
      </c>
      <c r="D226" s="5">
        <v>1000</v>
      </c>
      <c r="E226" s="4" t="s">
        <v>13</v>
      </c>
      <c r="F226" s="5">
        <v>3</v>
      </c>
      <c r="G226" s="5">
        <v>0</v>
      </c>
      <c r="H226" s="4" t="s">
        <v>488</v>
      </c>
      <c r="I226" s="4" t="s">
        <v>1234</v>
      </c>
      <c r="J226" s="4" t="s">
        <v>1235</v>
      </c>
      <c r="K226" s="4" t="s">
        <v>10</v>
      </c>
      <c r="L226" s="4" t="s">
        <v>487</v>
      </c>
      <c r="M226" s="5">
        <v>0</v>
      </c>
      <c r="N226" s="4" t="s">
        <v>1241</v>
      </c>
    </row>
    <row r="227" spans="1:14" x14ac:dyDescent="0.15">
      <c r="A227" s="4" t="s">
        <v>99</v>
      </c>
      <c r="B227" s="4" t="s">
        <v>17</v>
      </c>
      <c r="C227" s="5">
        <v>5.9523809523809996</v>
      </c>
      <c r="D227" s="5">
        <v>1000</v>
      </c>
      <c r="E227" s="4" t="s">
        <v>18</v>
      </c>
      <c r="F227" s="5">
        <v>0</v>
      </c>
      <c r="G227" s="5">
        <v>0</v>
      </c>
      <c r="H227" s="4" t="s">
        <v>488</v>
      </c>
      <c r="I227" s="4" t="s">
        <v>1234</v>
      </c>
      <c r="J227" s="4" t="s">
        <v>1235</v>
      </c>
      <c r="K227" s="4" t="s">
        <v>10</v>
      </c>
      <c r="L227" s="4" t="s">
        <v>487</v>
      </c>
      <c r="M227" s="5">
        <v>0</v>
      </c>
      <c r="N227" s="4" t="s">
        <v>1241</v>
      </c>
    </row>
    <row r="228" spans="1:14" x14ac:dyDescent="0.15">
      <c r="A228" s="4" t="s">
        <v>99</v>
      </c>
      <c r="B228" s="4" t="s">
        <v>19</v>
      </c>
      <c r="C228" s="5">
        <v>3</v>
      </c>
      <c r="D228" s="5">
        <v>1</v>
      </c>
      <c r="E228" s="4" t="s">
        <v>18</v>
      </c>
      <c r="F228" s="5">
        <v>0</v>
      </c>
      <c r="G228" s="5">
        <v>0</v>
      </c>
      <c r="H228" s="4" t="s">
        <v>488</v>
      </c>
      <c r="I228" s="4" t="s">
        <v>1236</v>
      </c>
      <c r="J228" s="4" t="s">
        <v>1235</v>
      </c>
      <c r="K228" s="4" t="s">
        <v>10</v>
      </c>
      <c r="L228" s="4" t="s">
        <v>487</v>
      </c>
      <c r="M228" s="5">
        <v>0</v>
      </c>
      <c r="N228" s="4" t="s">
        <v>1241</v>
      </c>
    </row>
    <row r="229" spans="1:14" x14ac:dyDescent="0.15">
      <c r="A229" s="4" t="s">
        <v>102</v>
      </c>
      <c r="B229" s="4" t="s">
        <v>103</v>
      </c>
      <c r="C229" s="5">
        <v>1</v>
      </c>
      <c r="D229" s="5">
        <v>1</v>
      </c>
      <c r="E229" s="4" t="s">
        <v>9</v>
      </c>
      <c r="F229" s="5">
        <v>0</v>
      </c>
      <c r="G229" s="5">
        <v>0</v>
      </c>
      <c r="H229" s="4" t="s">
        <v>488</v>
      </c>
      <c r="I229" s="4" t="s">
        <v>1234</v>
      </c>
      <c r="J229" s="4" t="s">
        <v>1235</v>
      </c>
      <c r="K229" s="4" t="s">
        <v>10</v>
      </c>
      <c r="L229" s="4" t="s">
        <v>487</v>
      </c>
      <c r="M229" s="5">
        <v>0</v>
      </c>
      <c r="N229" s="4" t="s">
        <v>1241</v>
      </c>
    </row>
    <row r="230" spans="1:14" x14ac:dyDescent="0.15">
      <c r="A230" s="4" t="s">
        <v>104</v>
      </c>
      <c r="B230" s="4" t="s">
        <v>103</v>
      </c>
      <c r="C230" s="5">
        <v>2</v>
      </c>
      <c r="D230" s="5">
        <v>1</v>
      </c>
      <c r="E230" s="4" t="s">
        <v>9</v>
      </c>
      <c r="F230" s="5">
        <v>0</v>
      </c>
      <c r="G230" s="5">
        <v>0</v>
      </c>
      <c r="H230" s="4" t="s">
        <v>488</v>
      </c>
      <c r="I230" s="4" t="s">
        <v>1234</v>
      </c>
      <c r="J230" s="4" t="s">
        <v>1235</v>
      </c>
      <c r="K230" s="4" t="s">
        <v>10</v>
      </c>
      <c r="L230" s="4" t="s">
        <v>487</v>
      </c>
      <c r="M230" s="5">
        <v>0</v>
      </c>
      <c r="N230" s="4" t="s">
        <v>1241</v>
      </c>
    </row>
    <row r="231" spans="1:14" x14ac:dyDescent="0.15">
      <c r="A231" s="4" t="s">
        <v>105</v>
      </c>
      <c r="B231" s="4" t="s">
        <v>103</v>
      </c>
      <c r="C231" s="5">
        <v>500</v>
      </c>
      <c r="D231" s="5">
        <v>1000</v>
      </c>
      <c r="E231" s="4" t="s">
        <v>9</v>
      </c>
      <c r="F231" s="5">
        <v>0</v>
      </c>
      <c r="G231" s="5">
        <v>0</v>
      </c>
      <c r="H231" s="4" t="s">
        <v>488</v>
      </c>
      <c r="I231" s="4" t="s">
        <v>1234</v>
      </c>
      <c r="J231" s="4" t="s">
        <v>1235</v>
      </c>
      <c r="K231" s="4" t="s">
        <v>10</v>
      </c>
      <c r="L231" s="4" t="s">
        <v>487</v>
      </c>
      <c r="M231" s="5">
        <v>0</v>
      </c>
      <c r="N231" s="4" t="s">
        <v>1241</v>
      </c>
    </row>
    <row r="232" spans="1:14" x14ac:dyDescent="0.15">
      <c r="A232" s="4" t="s">
        <v>103</v>
      </c>
      <c r="B232" s="4" t="s">
        <v>33</v>
      </c>
      <c r="C232" s="5">
        <v>4</v>
      </c>
      <c r="D232" s="5">
        <v>1</v>
      </c>
      <c r="E232" s="4" t="s">
        <v>9</v>
      </c>
      <c r="F232" s="5">
        <v>3</v>
      </c>
      <c r="G232" s="5">
        <v>0</v>
      </c>
      <c r="H232" s="4" t="s">
        <v>488</v>
      </c>
      <c r="I232" s="4" t="s">
        <v>1234</v>
      </c>
      <c r="J232" s="4" t="s">
        <v>1235</v>
      </c>
      <c r="K232" s="4" t="s">
        <v>10</v>
      </c>
      <c r="L232" s="4" t="s">
        <v>487</v>
      </c>
      <c r="M232" s="5">
        <v>0</v>
      </c>
      <c r="N232" s="4" t="s">
        <v>1241</v>
      </c>
    </row>
    <row r="233" spans="1:14" x14ac:dyDescent="0.15">
      <c r="A233" s="4" t="s">
        <v>103</v>
      </c>
      <c r="B233" s="4" t="s">
        <v>12</v>
      </c>
      <c r="C233" s="5">
        <v>0.58251256281399999</v>
      </c>
      <c r="D233" s="5">
        <v>1</v>
      </c>
      <c r="E233" s="4" t="s">
        <v>13</v>
      </c>
      <c r="F233" s="5">
        <v>3</v>
      </c>
      <c r="G233" s="5">
        <v>0</v>
      </c>
      <c r="H233" s="4" t="s">
        <v>488</v>
      </c>
      <c r="I233" s="4" t="s">
        <v>1234</v>
      </c>
      <c r="J233" s="4" t="s">
        <v>1235</v>
      </c>
      <c r="K233" s="4" t="s">
        <v>10</v>
      </c>
      <c r="L233" s="4" t="s">
        <v>487</v>
      </c>
      <c r="M233" s="5">
        <v>0</v>
      </c>
      <c r="N233" s="4" t="s">
        <v>1241</v>
      </c>
    </row>
    <row r="234" spans="1:14" x14ac:dyDescent="0.15">
      <c r="A234" s="4" t="s">
        <v>103</v>
      </c>
      <c r="B234" s="4" t="s">
        <v>14</v>
      </c>
      <c r="C234" s="5">
        <v>0.64723618090500001</v>
      </c>
      <c r="D234" s="5">
        <v>1</v>
      </c>
      <c r="E234" s="4" t="s">
        <v>13</v>
      </c>
      <c r="F234" s="5">
        <v>3</v>
      </c>
      <c r="G234" s="5">
        <v>0</v>
      </c>
      <c r="H234" s="4" t="s">
        <v>488</v>
      </c>
      <c r="I234" s="4" t="s">
        <v>1234</v>
      </c>
      <c r="J234" s="4" t="s">
        <v>1235</v>
      </c>
      <c r="K234" s="4" t="s">
        <v>10</v>
      </c>
      <c r="L234" s="4" t="s">
        <v>487</v>
      </c>
      <c r="M234" s="5">
        <v>0</v>
      </c>
      <c r="N234" s="4" t="s">
        <v>1241</v>
      </c>
    </row>
    <row r="235" spans="1:14" x14ac:dyDescent="0.15">
      <c r="A235" s="4" t="s">
        <v>103</v>
      </c>
      <c r="B235" s="4" t="s">
        <v>15</v>
      </c>
      <c r="C235" s="5">
        <v>12.944723618091</v>
      </c>
      <c r="D235" s="5">
        <v>1000</v>
      </c>
      <c r="E235" s="4" t="s">
        <v>13</v>
      </c>
      <c r="F235" s="5">
        <v>3</v>
      </c>
      <c r="G235" s="5">
        <v>0</v>
      </c>
      <c r="H235" s="4" t="s">
        <v>488</v>
      </c>
      <c r="I235" s="4" t="s">
        <v>1234</v>
      </c>
      <c r="J235" s="4" t="s">
        <v>1235</v>
      </c>
      <c r="K235" s="4" t="s">
        <v>10</v>
      </c>
      <c r="L235" s="4" t="s">
        <v>487</v>
      </c>
      <c r="M235" s="5">
        <v>0</v>
      </c>
      <c r="N235" s="4" t="s">
        <v>1241</v>
      </c>
    </row>
    <row r="236" spans="1:14" x14ac:dyDescent="0.15">
      <c r="A236" s="4" t="s">
        <v>103</v>
      </c>
      <c r="B236" s="4" t="s">
        <v>23</v>
      </c>
      <c r="C236" s="5">
        <v>32.361809045226003</v>
      </c>
      <c r="D236" s="5">
        <v>1000</v>
      </c>
      <c r="E236" s="4" t="s">
        <v>13</v>
      </c>
      <c r="F236" s="5">
        <v>3</v>
      </c>
      <c r="G236" s="5">
        <v>0</v>
      </c>
      <c r="H236" s="4" t="s">
        <v>488</v>
      </c>
      <c r="I236" s="4" t="s">
        <v>1234</v>
      </c>
      <c r="J236" s="4" t="s">
        <v>1235</v>
      </c>
      <c r="K236" s="4" t="s">
        <v>10</v>
      </c>
      <c r="L236" s="4" t="s">
        <v>487</v>
      </c>
      <c r="M236" s="5">
        <v>0</v>
      </c>
      <c r="N236" s="4" t="s">
        <v>1241</v>
      </c>
    </row>
    <row r="237" spans="1:14" x14ac:dyDescent="0.15">
      <c r="A237" s="4" t="s">
        <v>103</v>
      </c>
      <c r="B237" s="4" t="s">
        <v>24</v>
      </c>
      <c r="C237" s="5">
        <v>12.944723618091</v>
      </c>
      <c r="D237" s="5">
        <v>1000</v>
      </c>
      <c r="E237" s="4" t="s">
        <v>13</v>
      </c>
      <c r="F237" s="5">
        <v>3</v>
      </c>
      <c r="G237" s="5">
        <v>0</v>
      </c>
      <c r="H237" s="4" t="s">
        <v>488</v>
      </c>
      <c r="I237" s="4" t="s">
        <v>1234</v>
      </c>
      <c r="J237" s="4" t="s">
        <v>1235</v>
      </c>
      <c r="K237" s="4" t="s">
        <v>10</v>
      </c>
      <c r="L237" s="4" t="s">
        <v>487</v>
      </c>
      <c r="M237" s="5">
        <v>0</v>
      </c>
      <c r="N237" s="4" t="s">
        <v>1241</v>
      </c>
    </row>
    <row r="238" spans="1:14" x14ac:dyDescent="0.15">
      <c r="A238" s="4" t="s">
        <v>103</v>
      </c>
      <c r="B238" s="4" t="s">
        <v>17</v>
      </c>
      <c r="C238" s="5">
        <v>6.9444444444440006</v>
      </c>
      <c r="D238" s="5">
        <v>1000</v>
      </c>
      <c r="E238" s="4" t="s">
        <v>18</v>
      </c>
      <c r="F238" s="5">
        <v>0</v>
      </c>
      <c r="G238" s="5">
        <v>0</v>
      </c>
      <c r="H238" s="4" t="s">
        <v>488</v>
      </c>
      <c r="I238" s="4" t="s">
        <v>1234</v>
      </c>
      <c r="J238" s="4" t="s">
        <v>1235</v>
      </c>
      <c r="K238" s="4" t="s">
        <v>10</v>
      </c>
      <c r="L238" s="4" t="s">
        <v>487</v>
      </c>
      <c r="M238" s="5">
        <v>0</v>
      </c>
      <c r="N238" s="4" t="s">
        <v>1241</v>
      </c>
    </row>
    <row r="239" spans="1:14" x14ac:dyDescent="0.15">
      <c r="A239" s="4" t="s">
        <v>103</v>
      </c>
      <c r="B239" s="4" t="s">
        <v>19</v>
      </c>
      <c r="C239" s="5">
        <v>3</v>
      </c>
      <c r="D239" s="5">
        <v>1</v>
      </c>
      <c r="E239" s="4" t="s">
        <v>18</v>
      </c>
      <c r="F239" s="5">
        <v>0</v>
      </c>
      <c r="G239" s="5">
        <v>0</v>
      </c>
      <c r="H239" s="4" t="s">
        <v>488</v>
      </c>
      <c r="I239" s="4" t="s">
        <v>1236</v>
      </c>
      <c r="J239" s="4" t="s">
        <v>1235</v>
      </c>
      <c r="K239" s="4" t="s">
        <v>10</v>
      </c>
      <c r="L239" s="4" t="s">
        <v>487</v>
      </c>
      <c r="M239" s="5">
        <v>0</v>
      </c>
      <c r="N239" s="4" t="s">
        <v>1241</v>
      </c>
    </row>
    <row r="240" spans="1:14" x14ac:dyDescent="0.15">
      <c r="A240" s="4" t="s">
        <v>106</v>
      </c>
      <c r="B240" s="4" t="s">
        <v>107</v>
      </c>
      <c r="C240" s="5">
        <v>1</v>
      </c>
      <c r="D240" s="5">
        <v>1</v>
      </c>
      <c r="E240" s="4" t="s">
        <v>9</v>
      </c>
      <c r="F240" s="5">
        <v>0</v>
      </c>
      <c r="G240" s="5">
        <v>0</v>
      </c>
      <c r="H240" s="4" t="s">
        <v>488</v>
      </c>
      <c r="I240" s="4" t="s">
        <v>1234</v>
      </c>
      <c r="J240" s="4" t="s">
        <v>1235</v>
      </c>
      <c r="K240" s="4" t="s">
        <v>10</v>
      </c>
      <c r="L240" s="4" t="s">
        <v>487</v>
      </c>
      <c r="M240" s="5">
        <v>0</v>
      </c>
      <c r="N240" s="4" t="s">
        <v>1241</v>
      </c>
    </row>
    <row r="241" spans="1:14" x14ac:dyDescent="0.15">
      <c r="A241" s="4" t="s">
        <v>108</v>
      </c>
      <c r="B241" s="4" t="s">
        <v>107</v>
      </c>
      <c r="C241" s="5">
        <v>2</v>
      </c>
      <c r="D241" s="5">
        <v>1</v>
      </c>
      <c r="E241" s="4" t="s">
        <v>9</v>
      </c>
      <c r="F241" s="5">
        <v>0</v>
      </c>
      <c r="G241" s="5">
        <v>0</v>
      </c>
      <c r="H241" s="4" t="s">
        <v>488</v>
      </c>
      <c r="I241" s="4" t="s">
        <v>1234</v>
      </c>
      <c r="J241" s="4" t="s">
        <v>1235</v>
      </c>
      <c r="K241" s="4" t="s">
        <v>10</v>
      </c>
      <c r="L241" s="4" t="s">
        <v>487</v>
      </c>
      <c r="M241" s="5">
        <v>0</v>
      </c>
      <c r="N241" s="4" t="s">
        <v>1241</v>
      </c>
    </row>
    <row r="242" spans="1:14" x14ac:dyDescent="0.15">
      <c r="A242" s="4" t="s">
        <v>109</v>
      </c>
      <c r="B242" s="4" t="s">
        <v>107</v>
      </c>
      <c r="C242" s="5">
        <v>500</v>
      </c>
      <c r="D242" s="5">
        <v>1000</v>
      </c>
      <c r="E242" s="4" t="s">
        <v>9</v>
      </c>
      <c r="F242" s="5">
        <v>0</v>
      </c>
      <c r="G242" s="5">
        <v>0</v>
      </c>
      <c r="H242" s="4" t="s">
        <v>488</v>
      </c>
      <c r="I242" s="4" t="s">
        <v>1234</v>
      </c>
      <c r="J242" s="4" t="s">
        <v>1235</v>
      </c>
      <c r="K242" s="4" t="s">
        <v>10</v>
      </c>
      <c r="L242" s="4" t="s">
        <v>487</v>
      </c>
      <c r="M242" s="5">
        <v>0</v>
      </c>
      <c r="N242" s="4" t="s">
        <v>1241</v>
      </c>
    </row>
    <row r="243" spans="1:14" x14ac:dyDescent="0.15">
      <c r="A243" s="4" t="s">
        <v>107</v>
      </c>
      <c r="B243" s="4" t="s">
        <v>33</v>
      </c>
      <c r="C243" s="5">
        <v>29</v>
      </c>
      <c r="D243" s="5">
        <v>1</v>
      </c>
      <c r="E243" s="4" t="s">
        <v>9</v>
      </c>
      <c r="F243" s="5">
        <v>3</v>
      </c>
      <c r="G243" s="5">
        <v>0</v>
      </c>
      <c r="H243" s="4" t="s">
        <v>488</v>
      </c>
      <c r="I243" s="4" t="s">
        <v>1234</v>
      </c>
      <c r="J243" s="4" t="s">
        <v>1235</v>
      </c>
      <c r="K243" s="4" t="s">
        <v>10</v>
      </c>
      <c r="L243" s="4" t="s">
        <v>487</v>
      </c>
      <c r="M243" s="5">
        <v>0</v>
      </c>
      <c r="N243" s="4" t="s">
        <v>1241</v>
      </c>
    </row>
    <row r="244" spans="1:14" x14ac:dyDescent="0.15">
      <c r="A244" s="4" t="s">
        <v>107</v>
      </c>
      <c r="B244" s="4" t="s">
        <v>12</v>
      </c>
      <c r="C244" s="5">
        <v>4.2232160804020005</v>
      </c>
      <c r="D244" s="5">
        <v>1</v>
      </c>
      <c r="E244" s="4" t="s">
        <v>13</v>
      </c>
      <c r="F244" s="5">
        <v>3</v>
      </c>
      <c r="G244" s="5">
        <v>0</v>
      </c>
      <c r="H244" s="4" t="s">
        <v>488</v>
      </c>
      <c r="I244" s="4" t="s">
        <v>1234</v>
      </c>
      <c r="J244" s="4" t="s">
        <v>1235</v>
      </c>
      <c r="K244" s="4" t="s">
        <v>10</v>
      </c>
      <c r="L244" s="4" t="s">
        <v>487</v>
      </c>
      <c r="M244" s="5">
        <v>0</v>
      </c>
      <c r="N244" s="4" t="s">
        <v>1241</v>
      </c>
    </row>
    <row r="245" spans="1:14" x14ac:dyDescent="0.15">
      <c r="A245" s="4" t="s">
        <v>107</v>
      </c>
      <c r="B245" s="4" t="s">
        <v>14</v>
      </c>
      <c r="C245" s="5">
        <v>4.6924623115579998</v>
      </c>
      <c r="D245" s="5">
        <v>1</v>
      </c>
      <c r="E245" s="4" t="s">
        <v>13</v>
      </c>
      <c r="F245" s="5">
        <v>3</v>
      </c>
      <c r="G245" s="5">
        <v>0</v>
      </c>
      <c r="H245" s="4" t="s">
        <v>488</v>
      </c>
      <c r="I245" s="4" t="s">
        <v>1234</v>
      </c>
      <c r="J245" s="4" t="s">
        <v>1235</v>
      </c>
      <c r="K245" s="4" t="s">
        <v>10</v>
      </c>
      <c r="L245" s="4" t="s">
        <v>487</v>
      </c>
      <c r="M245" s="5">
        <v>0</v>
      </c>
      <c r="N245" s="4" t="s">
        <v>1241</v>
      </c>
    </row>
    <row r="246" spans="1:14" x14ac:dyDescent="0.15">
      <c r="A246" s="4" t="s">
        <v>107</v>
      </c>
      <c r="B246" s="4" t="s">
        <v>15</v>
      </c>
      <c r="C246" s="5">
        <v>93.849246231156016</v>
      </c>
      <c r="D246" s="5">
        <v>1000</v>
      </c>
      <c r="E246" s="4" t="s">
        <v>13</v>
      </c>
      <c r="F246" s="5">
        <v>3</v>
      </c>
      <c r="G246" s="5">
        <v>0</v>
      </c>
      <c r="H246" s="4" t="s">
        <v>488</v>
      </c>
      <c r="I246" s="4" t="s">
        <v>1234</v>
      </c>
      <c r="J246" s="4" t="s">
        <v>1235</v>
      </c>
      <c r="K246" s="4" t="s">
        <v>10</v>
      </c>
      <c r="L246" s="4" t="s">
        <v>487</v>
      </c>
      <c r="M246" s="5">
        <v>0</v>
      </c>
      <c r="N246" s="4" t="s">
        <v>1241</v>
      </c>
    </row>
    <row r="247" spans="1:14" x14ac:dyDescent="0.15">
      <c r="A247" s="4" t="s">
        <v>107</v>
      </c>
      <c r="B247" s="4" t="s">
        <v>23</v>
      </c>
      <c r="C247" s="5">
        <v>0.234623115578</v>
      </c>
      <c r="D247" s="5">
        <v>1</v>
      </c>
      <c r="E247" s="4" t="s">
        <v>13</v>
      </c>
      <c r="F247" s="5">
        <v>3</v>
      </c>
      <c r="G247" s="5">
        <v>0</v>
      </c>
      <c r="H247" s="4" t="s">
        <v>488</v>
      </c>
      <c r="I247" s="4" t="s">
        <v>1234</v>
      </c>
      <c r="J247" s="4" t="s">
        <v>1235</v>
      </c>
      <c r="K247" s="4" t="s">
        <v>10</v>
      </c>
      <c r="L247" s="4" t="s">
        <v>487</v>
      </c>
      <c r="M247" s="5">
        <v>0</v>
      </c>
      <c r="N247" s="4" t="s">
        <v>1241</v>
      </c>
    </row>
    <row r="248" spans="1:14" x14ac:dyDescent="0.15">
      <c r="A248" s="4" t="s">
        <v>107</v>
      </c>
      <c r="B248" s="4" t="s">
        <v>24</v>
      </c>
      <c r="C248" s="5">
        <v>93.849246231156016</v>
      </c>
      <c r="D248" s="5">
        <v>1000</v>
      </c>
      <c r="E248" s="4" t="s">
        <v>13</v>
      </c>
      <c r="F248" s="5">
        <v>3</v>
      </c>
      <c r="G248" s="5">
        <v>0</v>
      </c>
      <c r="H248" s="4" t="s">
        <v>488</v>
      </c>
      <c r="I248" s="4" t="s">
        <v>1234</v>
      </c>
      <c r="J248" s="4" t="s">
        <v>1235</v>
      </c>
      <c r="K248" s="4" t="s">
        <v>10</v>
      </c>
      <c r="L248" s="4" t="s">
        <v>487</v>
      </c>
      <c r="M248" s="5">
        <v>0</v>
      </c>
      <c r="N248" s="4" t="s">
        <v>1241</v>
      </c>
    </row>
    <row r="249" spans="1:14" x14ac:dyDescent="0.15">
      <c r="A249" s="4" t="s">
        <v>107</v>
      </c>
      <c r="B249" s="4" t="s">
        <v>17</v>
      </c>
      <c r="C249" s="5">
        <v>25.641025641026005</v>
      </c>
      <c r="D249" s="5">
        <v>1000</v>
      </c>
      <c r="E249" s="4" t="s">
        <v>18</v>
      </c>
      <c r="F249" s="5">
        <v>0</v>
      </c>
      <c r="G249" s="5">
        <v>0</v>
      </c>
      <c r="H249" s="4" t="s">
        <v>488</v>
      </c>
      <c r="I249" s="4" t="s">
        <v>1234</v>
      </c>
      <c r="J249" s="4" t="s">
        <v>1235</v>
      </c>
      <c r="K249" s="4" t="s">
        <v>10</v>
      </c>
      <c r="L249" s="4" t="s">
        <v>487</v>
      </c>
      <c r="M249" s="5">
        <v>0</v>
      </c>
      <c r="N249" s="4" t="s">
        <v>1241</v>
      </c>
    </row>
    <row r="250" spans="1:14" x14ac:dyDescent="0.15">
      <c r="A250" s="4" t="s">
        <v>107</v>
      </c>
      <c r="B250" s="4" t="s">
        <v>19</v>
      </c>
      <c r="C250" s="5">
        <v>4</v>
      </c>
      <c r="D250" s="5">
        <v>1</v>
      </c>
      <c r="E250" s="4" t="s">
        <v>18</v>
      </c>
      <c r="F250" s="5">
        <v>0</v>
      </c>
      <c r="G250" s="5">
        <v>0</v>
      </c>
      <c r="H250" s="4" t="s">
        <v>488</v>
      </c>
      <c r="I250" s="4" t="s">
        <v>1236</v>
      </c>
      <c r="J250" s="4" t="s">
        <v>1235</v>
      </c>
      <c r="K250" s="4" t="s">
        <v>10</v>
      </c>
      <c r="L250" s="4" t="s">
        <v>487</v>
      </c>
      <c r="M250" s="5">
        <v>0</v>
      </c>
      <c r="N250" s="4" t="s">
        <v>1241</v>
      </c>
    </row>
    <row r="251" spans="1:14" x14ac:dyDescent="0.15">
      <c r="A251" s="4" t="s">
        <v>110</v>
      </c>
      <c r="B251" s="4" t="s">
        <v>111</v>
      </c>
      <c r="C251" s="5">
        <v>1</v>
      </c>
      <c r="D251" s="5">
        <v>1</v>
      </c>
      <c r="E251" s="4" t="s">
        <v>9</v>
      </c>
      <c r="F251" s="5">
        <v>0</v>
      </c>
      <c r="G251" s="5">
        <v>0</v>
      </c>
      <c r="H251" s="4" t="s">
        <v>488</v>
      </c>
      <c r="I251" s="4" t="s">
        <v>1234</v>
      </c>
      <c r="J251" s="4" t="s">
        <v>1235</v>
      </c>
      <c r="K251" s="4" t="s">
        <v>10</v>
      </c>
      <c r="L251" s="4" t="s">
        <v>487</v>
      </c>
      <c r="M251" s="5">
        <v>0</v>
      </c>
      <c r="N251" s="4" t="s">
        <v>1241</v>
      </c>
    </row>
    <row r="252" spans="1:14" x14ac:dyDescent="0.15">
      <c r="A252" s="4" t="s">
        <v>112</v>
      </c>
      <c r="B252" s="4" t="s">
        <v>111</v>
      </c>
      <c r="C252" s="5">
        <v>2</v>
      </c>
      <c r="D252" s="5">
        <v>1</v>
      </c>
      <c r="E252" s="4" t="s">
        <v>9</v>
      </c>
      <c r="F252" s="5">
        <v>0</v>
      </c>
      <c r="G252" s="5">
        <v>0</v>
      </c>
      <c r="H252" s="4" t="s">
        <v>488</v>
      </c>
      <c r="I252" s="4" t="s">
        <v>1234</v>
      </c>
      <c r="J252" s="4" t="s">
        <v>1235</v>
      </c>
      <c r="K252" s="4" t="s">
        <v>10</v>
      </c>
      <c r="L252" s="4" t="s">
        <v>487</v>
      </c>
      <c r="M252" s="5">
        <v>0</v>
      </c>
      <c r="N252" s="4" t="s">
        <v>1241</v>
      </c>
    </row>
    <row r="253" spans="1:14" x14ac:dyDescent="0.15">
      <c r="A253" s="4" t="s">
        <v>113</v>
      </c>
      <c r="B253" s="4" t="s">
        <v>111</v>
      </c>
      <c r="C253" s="5">
        <v>500</v>
      </c>
      <c r="D253" s="5">
        <v>1000</v>
      </c>
      <c r="E253" s="4" t="s">
        <v>9</v>
      </c>
      <c r="F253" s="5">
        <v>0</v>
      </c>
      <c r="G253" s="5">
        <v>0</v>
      </c>
      <c r="H253" s="4" t="s">
        <v>488</v>
      </c>
      <c r="I253" s="4" t="s">
        <v>1234</v>
      </c>
      <c r="J253" s="4" t="s">
        <v>1235</v>
      </c>
      <c r="K253" s="4" t="s">
        <v>10</v>
      </c>
      <c r="L253" s="4" t="s">
        <v>487</v>
      </c>
      <c r="M253" s="5">
        <v>0</v>
      </c>
      <c r="N253" s="4" t="s">
        <v>1241</v>
      </c>
    </row>
    <row r="254" spans="1:14" x14ac:dyDescent="0.15">
      <c r="A254" s="4" t="s">
        <v>111</v>
      </c>
      <c r="B254" s="4" t="s">
        <v>33</v>
      </c>
      <c r="C254" s="5">
        <v>3</v>
      </c>
      <c r="D254" s="5">
        <v>1</v>
      </c>
      <c r="E254" s="4" t="s">
        <v>9</v>
      </c>
      <c r="F254" s="5">
        <v>3</v>
      </c>
      <c r="G254" s="5">
        <v>0</v>
      </c>
      <c r="H254" s="4" t="s">
        <v>488</v>
      </c>
      <c r="I254" s="4" t="s">
        <v>1234</v>
      </c>
      <c r="J254" s="4" t="s">
        <v>1235</v>
      </c>
      <c r="K254" s="4" t="s">
        <v>10</v>
      </c>
      <c r="L254" s="4" t="s">
        <v>487</v>
      </c>
      <c r="M254" s="5">
        <v>0</v>
      </c>
      <c r="N254" s="4" t="s">
        <v>1241</v>
      </c>
    </row>
    <row r="255" spans="1:14" x14ac:dyDescent="0.15">
      <c r="A255" s="4" t="s">
        <v>111</v>
      </c>
      <c r="B255" s="4" t="s">
        <v>34</v>
      </c>
      <c r="C255" s="5">
        <v>1</v>
      </c>
      <c r="D255" s="5">
        <v>1</v>
      </c>
      <c r="E255" s="4" t="s">
        <v>9</v>
      </c>
      <c r="F255" s="5">
        <v>3</v>
      </c>
      <c r="G255" s="5">
        <v>0</v>
      </c>
      <c r="H255" s="4" t="s">
        <v>488</v>
      </c>
      <c r="I255" s="4" t="s">
        <v>1234</v>
      </c>
      <c r="J255" s="4" t="s">
        <v>1235</v>
      </c>
      <c r="K255" s="4" t="s">
        <v>10</v>
      </c>
      <c r="L255" s="4" t="s">
        <v>487</v>
      </c>
      <c r="M255" s="5">
        <v>0</v>
      </c>
      <c r="N255" s="4" t="s">
        <v>1241</v>
      </c>
    </row>
    <row r="256" spans="1:14" x14ac:dyDescent="0.15">
      <c r="A256" s="4" t="s">
        <v>111</v>
      </c>
      <c r="B256" s="4" t="s">
        <v>12</v>
      </c>
      <c r="C256" s="5">
        <v>0.44095477386900001</v>
      </c>
      <c r="D256" s="5">
        <v>1</v>
      </c>
      <c r="E256" s="4" t="s">
        <v>13</v>
      </c>
      <c r="F256" s="5">
        <v>3</v>
      </c>
      <c r="G256" s="5">
        <v>0</v>
      </c>
      <c r="H256" s="4" t="s">
        <v>488</v>
      </c>
      <c r="I256" s="4" t="s">
        <v>1234</v>
      </c>
      <c r="J256" s="4" t="s">
        <v>1235</v>
      </c>
      <c r="K256" s="4" t="s">
        <v>10</v>
      </c>
      <c r="L256" s="4" t="s">
        <v>487</v>
      </c>
      <c r="M256" s="5">
        <v>0</v>
      </c>
      <c r="N256" s="4" t="s">
        <v>1241</v>
      </c>
    </row>
    <row r="257" spans="1:14" x14ac:dyDescent="0.15">
      <c r="A257" s="4" t="s">
        <v>111</v>
      </c>
      <c r="B257" s="4" t="s">
        <v>14</v>
      </c>
      <c r="C257" s="5">
        <v>0.48994974874399999</v>
      </c>
      <c r="D257" s="5">
        <v>1</v>
      </c>
      <c r="E257" s="4" t="s">
        <v>13</v>
      </c>
      <c r="F257" s="5">
        <v>3</v>
      </c>
      <c r="G257" s="5">
        <v>0</v>
      </c>
      <c r="H257" s="4" t="s">
        <v>488</v>
      </c>
      <c r="I257" s="4" t="s">
        <v>1234</v>
      </c>
      <c r="J257" s="4" t="s">
        <v>1235</v>
      </c>
      <c r="K257" s="4" t="s">
        <v>10</v>
      </c>
      <c r="L257" s="4" t="s">
        <v>487</v>
      </c>
      <c r="M257" s="5">
        <v>0</v>
      </c>
      <c r="N257" s="4" t="s">
        <v>1241</v>
      </c>
    </row>
    <row r="258" spans="1:14" x14ac:dyDescent="0.15">
      <c r="A258" s="4" t="s">
        <v>111</v>
      </c>
      <c r="B258" s="4" t="s">
        <v>15</v>
      </c>
      <c r="C258" s="5">
        <v>9.7989949748740006</v>
      </c>
      <c r="D258" s="5">
        <v>1000</v>
      </c>
      <c r="E258" s="4" t="s">
        <v>13</v>
      </c>
      <c r="F258" s="5">
        <v>3</v>
      </c>
      <c r="G258" s="5">
        <v>0</v>
      </c>
      <c r="H258" s="4" t="s">
        <v>488</v>
      </c>
      <c r="I258" s="4" t="s">
        <v>1234</v>
      </c>
      <c r="J258" s="4" t="s">
        <v>1235</v>
      </c>
      <c r="K258" s="4" t="s">
        <v>10</v>
      </c>
      <c r="L258" s="4" t="s">
        <v>487</v>
      </c>
      <c r="M258" s="5">
        <v>0</v>
      </c>
      <c r="N258" s="4" t="s">
        <v>1241</v>
      </c>
    </row>
    <row r="259" spans="1:14" x14ac:dyDescent="0.15">
      <c r="A259" s="4" t="s">
        <v>111</v>
      </c>
      <c r="B259" s="4" t="s">
        <v>23</v>
      </c>
      <c r="C259" s="5">
        <v>24.497487437185999</v>
      </c>
      <c r="D259" s="5">
        <v>1000</v>
      </c>
      <c r="E259" s="4" t="s">
        <v>13</v>
      </c>
      <c r="F259" s="5">
        <v>3</v>
      </c>
      <c r="G259" s="5">
        <v>0</v>
      </c>
      <c r="H259" s="4" t="s">
        <v>488</v>
      </c>
      <c r="I259" s="4" t="s">
        <v>1234</v>
      </c>
      <c r="J259" s="4" t="s">
        <v>1235</v>
      </c>
      <c r="K259" s="4" t="s">
        <v>10</v>
      </c>
      <c r="L259" s="4" t="s">
        <v>487</v>
      </c>
      <c r="M259" s="5">
        <v>0</v>
      </c>
      <c r="N259" s="4" t="s">
        <v>1241</v>
      </c>
    </row>
    <row r="260" spans="1:14" x14ac:dyDescent="0.15">
      <c r="A260" s="4" t="s">
        <v>111</v>
      </c>
      <c r="B260" s="4" t="s">
        <v>24</v>
      </c>
      <c r="C260" s="5">
        <v>9.7989949748740006</v>
      </c>
      <c r="D260" s="5">
        <v>1000</v>
      </c>
      <c r="E260" s="4" t="s">
        <v>13</v>
      </c>
      <c r="F260" s="5">
        <v>3</v>
      </c>
      <c r="G260" s="5">
        <v>0</v>
      </c>
      <c r="H260" s="4" t="s">
        <v>488</v>
      </c>
      <c r="I260" s="4" t="s">
        <v>1234</v>
      </c>
      <c r="J260" s="4" t="s">
        <v>1235</v>
      </c>
      <c r="K260" s="4" t="s">
        <v>10</v>
      </c>
      <c r="L260" s="4" t="s">
        <v>487</v>
      </c>
      <c r="M260" s="5">
        <v>0</v>
      </c>
      <c r="N260" s="4" t="s">
        <v>1241</v>
      </c>
    </row>
    <row r="261" spans="1:14" x14ac:dyDescent="0.15">
      <c r="A261" s="4" t="s">
        <v>111</v>
      </c>
      <c r="B261" s="4" t="s">
        <v>17</v>
      </c>
      <c r="C261" s="5">
        <v>3.3333333333330004</v>
      </c>
      <c r="D261" s="5">
        <v>1000</v>
      </c>
      <c r="E261" s="4" t="s">
        <v>18</v>
      </c>
      <c r="F261" s="5">
        <v>0</v>
      </c>
      <c r="G261" s="5">
        <v>0</v>
      </c>
      <c r="H261" s="4" t="s">
        <v>488</v>
      </c>
      <c r="I261" s="4" t="s">
        <v>1234</v>
      </c>
      <c r="J261" s="4" t="s">
        <v>1235</v>
      </c>
      <c r="K261" s="4" t="s">
        <v>10</v>
      </c>
      <c r="L261" s="4" t="s">
        <v>487</v>
      </c>
      <c r="M261" s="5">
        <v>0</v>
      </c>
      <c r="N261" s="4" t="s">
        <v>1241</v>
      </c>
    </row>
    <row r="262" spans="1:14" x14ac:dyDescent="0.15">
      <c r="A262" s="4" t="s">
        <v>111</v>
      </c>
      <c r="B262" s="4" t="s">
        <v>19</v>
      </c>
      <c r="C262" s="5">
        <v>4</v>
      </c>
      <c r="D262" s="5">
        <v>1</v>
      </c>
      <c r="E262" s="4" t="s">
        <v>18</v>
      </c>
      <c r="F262" s="5">
        <v>0</v>
      </c>
      <c r="G262" s="5">
        <v>0</v>
      </c>
      <c r="H262" s="4" t="s">
        <v>488</v>
      </c>
      <c r="I262" s="4" t="s">
        <v>1236</v>
      </c>
      <c r="J262" s="4" t="s">
        <v>1235</v>
      </c>
      <c r="K262" s="4" t="s">
        <v>10</v>
      </c>
      <c r="L262" s="4" t="s">
        <v>487</v>
      </c>
      <c r="M262" s="5">
        <v>0</v>
      </c>
      <c r="N262" s="4" t="s">
        <v>1241</v>
      </c>
    </row>
    <row r="263" spans="1:14" x14ac:dyDescent="0.15">
      <c r="A263" s="4" t="s">
        <v>114</v>
      </c>
      <c r="B263" s="4" t="s">
        <v>115</v>
      </c>
      <c r="C263" s="5">
        <v>1</v>
      </c>
      <c r="D263" s="5">
        <v>1</v>
      </c>
      <c r="E263" s="4" t="s">
        <v>9</v>
      </c>
      <c r="F263" s="5">
        <v>0</v>
      </c>
      <c r="G263" s="5">
        <v>0</v>
      </c>
      <c r="H263" s="4" t="s">
        <v>488</v>
      </c>
      <c r="I263" s="4" t="s">
        <v>1234</v>
      </c>
      <c r="J263" s="4" t="s">
        <v>1235</v>
      </c>
      <c r="K263" s="4" t="s">
        <v>10</v>
      </c>
      <c r="L263" s="4" t="s">
        <v>487</v>
      </c>
      <c r="M263" s="5">
        <v>0</v>
      </c>
      <c r="N263" s="4" t="s">
        <v>1241</v>
      </c>
    </row>
    <row r="264" spans="1:14" x14ac:dyDescent="0.15">
      <c r="A264" s="4" t="s">
        <v>116</v>
      </c>
      <c r="B264" s="4" t="s">
        <v>115</v>
      </c>
      <c r="C264" s="5">
        <v>2</v>
      </c>
      <c r="D264" s="5">
        <v>1</v>
      </c>
      <c r="E264" s="4" t="s">
        <v>9</v>
      </c>
      <c r="F264" s="5">
        <v>0</v>
      </c>
      <c r="G264" s="5">
        <v>0</v>
      </c>
      <c r="H264" s="4" t="s">
        <v>488</v>
      </c>
      <c r="I264" s="4" t="s">
        <v>1234</v>
      </c>
      <c r="J264" s="4" t="s">
        <v>1235</v>
      </c>
      <c r="K264" s="4" t="s">
        <v>10</v>
      </c>
      <c r="L264" s="4" t="s">
        <v>487</v>
      </c>
      <c r="M264" s="5">
        <v>0</v>
      </c>
      <c r="N264" s="4" t="s">
        <v>1241</v>
      </c>
    </row>
    <row r="265" spans="1:14" x14ac:dyDescent="0.15">
      <c r="A265" s="4" t="s">
        <v>117</v>
      </c>
      <c r="B265" s="4" t="s">
        <v>115</v>
      </c>
      <c r="C265" s="5">
        <v>500</v>
      </c>
      <c r="D265" s="5">
        <v>1000</v>
      </c>
      <c r="E265" s="4" t="s">
        <v>9</v>
      </c>
      <c r="F265" s="5">
        <v>0</v>
      </c>
      <c r="G265" s="5">
        <v>0</v>
      </c>
      <c r="H265" s="4" t="s">
        <v>488</v>
      </c>
      <c r="I265" s="4" t="s">
        <v>1234</v>
      </c>
      <c r="J265" s="4" t="s">
        <v>1235</v>
      </c>
      <c r="K265" s="4" t="s">
        <v>10</v>
      </c>
      <c r="L265" s="4" t="s">
        <v>487</v>
      </c>
      <c r="M265" s="5">
        <v>0</v>
      </c>
      <c r="N265" s="4" t="s">
        <v>1241</v>
      </c>
    </row>
    <row r="266" spans="1:14" x14ac:dyDescent="0.15">
      <c r="A266" s="4" t="s">
        <v>115</v>
      </c>
      <c r="B266" s="4" t="s">
        <v>33</v>
      </c>
      <c r="C266" s="5">
        <v>6</v>
      </c>
      <c r="D266" s="5">
        <v>1</v>
      </c>
      <c r="E266" s="4" t="s">
        <v>9</v>
      </c>
      <c r="F266" s="5">
        <v>3</v>
      </c>
      <c r="G266" s="5">
        <v>0</v>
      </c>
      <c r="H266" s="4" t="s">
        <v>488</v>
      </c>
      <c r="I266" s="4" t="s">
        <v>1234</v>
      </c>
      <c r="J266" s="4" t="s">
        <v>1235</v>
      </c>
      <c r="K266" s="4" t="s">
        <v>10</v>
      </c>
      <c r="L266" s="4" t="s">
        <v>487</v>
      </c>
      <c r="M266" s="5">
        <v>0</v>
      </c>
      <c r="N266" s="4" t="s">
        <v>1241</v>
      </c>
    </row>
    <row r="267" spans="1:14" x14ac:dyDescent="0.15">
      <c r="A267" s="4" t="s">
        <v>115</v>
      </c>
      <c r="B267" s="4" t="s">
        <v>12</v>
      </c>
      <c r="C267" s="5">
        <v>0.814070351759</v>
      </c>
      <c r="D267" s="5">
        <v>1</v>
      </c>
      <c r="E267" s="4" t="s">
        <v>13</v>
      </c>
      <c r="F267" s="5">
        <v>3</v>
      </c>
      <c r="G267" s="5">
        <v>0</v>
      </c>
      <c r="H267" s="4" t="s">
        <v>488</v>
      </c>
      <c r="I267" s="4" t="s">
        <v>1234</v>
      </c>
      <c r="J267" s="4" t="s">
        <v>1235</v>
      </c>
      <c r="K267" s="4" t="s">
        <v>10</v>
      </c>
      <c r="L267" s="4" t="s">
        <v>487</v>
      </c>
      <c r="M267" s="5">
        <v>0</v>
      </c>
      <c r="N267" s="4" t="s">
        <v>1241</v>
      </c>
    </row>
    <row r="268" spans="1:14" x14ac:dyDescent="0.15">
      <c r="A268" s="4" t="s">
        <v>115</v>
      </c>
      <c r="B268" s="4" t="s">
        <v>14</v>
      </c>
      <c r="C268" s="5">
        <v>0.90452261306500004</v>
      </c>
      <c r="D268" s="5">
        <v>1</v>
      </c>
      <c r="E268" s="4" t="s">
        <v>13</v>
      </c>
      <c r="F268" s="5">
        <v>3</v>
      </c>
      <c r="G268" s="5">
        <v>0</v>
      </c>
      <c r="H268" s="4" t="s">
        <v>488</v>
      </c>
      <c r="I268" s="4" t="s">
        <v>1234</v>
      </c>
      <c r="J268" s="4" t="s">
        <v>1235</v>
      </c>
      <c r="K268" s="4" t="s">
        <v>10</v>
      </c>
      <c r="L268" s="4" t="s">
        <v>487</v>
      </c>
      <c r="M268" s="5">
        <v>0</v>
      </c>
      <c r="N268" s="4" t="s">
        <v>1241</v>
      </c>
    </row>
    <row r="269" spans="1:14" x14ac:dyDescent="0.15">
      <c r="A269" s="4" t="s">
        <v>115</v>
      </c>
      <c r="B269" s="4" t="s">
        <v>15</v>
      </c>
      <c r="C269" s="5">
        <v>18.090452261307</v>
      </c>
      <c r="D269" s="5">
        <v>1000</v>
      </c>
      <c r="E269" s="4" t="s">
        <v>13</v>
      </c>
      <c r="F269" s="5">
        <v>3</v>
      </c>
      <c r="G269" s="5">
        <v>0</v>
      </c>
      <c r="H269" s="4" t="s">
        <v>488</v>
      </c>
      <c r="I269" s="4" t="s">
        <v>1234</v>
      </c>
      <c r="J269" s="4" t="s">
        <v>1235</v>
      </c>
      <c r="K269" s="4" t="s">
        <v>10</v>
      </c>
      <c r="L269" s="4" t="s">
        <v>487</v>
      </c>
      <c r="M269" s="5">
        <v>0</v>
      </c>
      <c r="N269" s="4" t="s">
        <v>1241</v>
      </c>
    </row>
    <row r="270" spans="1:14" x14ac:dyDescent="0.15">
      <c r="A270" s="4" t="s">
        <v>115</v>
      </c>
      <c r="B270" s="4" t="s">
        <v>23</v>
      </c>
      <c r="C270" s="5">
        <v>45.226130653265997</v>
      </c>
      <c r="D270" s="5">
        <v>1000</v>
      </c>
      <c r="E270" s="4" t="s">
        <v>13</v>
      </c>
      <c r="F270" s="5">
        <v>3</v>
      </c>
      <c r="G270" s="5">
        <v>0</v>
      </c>
      <c r="H270" s="4" t="s">
        <v>488</v>
      </c>
      <c r="I270" s="4" t="s">
        <v>1234</v>
      </c>
      <c r="J270" s="4" t="s">
        <v>1235</v>
      </c>
      <c r="K270" s="4" t="s">
        <v>10</v>
      </c>
      <c r="L270" s="4" t="s">
        <v>487</v>
      </c>
      <c r="M270" s="5">
        <v>0</v>
      </c>
      <c r="N270" s="4" t="s">
        <v>1241</v>
      </c>
    </row>
    <row r="271" spans="1:14" x14ac:dyDescent="0.15">
      <c r="A271" s="4" t="s">
        <v>115</v>
      </c>
      <c r="B271" s="4" t="s">
        <v>24</v>
      </c>
      <c r="C271" s="5">
        <v>18.090452261307</v>
      </c>
      <c r="D271" s="5">
        <v>1000</v>
      </c>
      <c r="E271" s="4" t="s">
        <v>13</v>
      </c>
      <c r="F271" s="5">
        <v>3</v>
      </c>
      <c r="G271" s="5">
        <v>0</v>
      </c>
      <c r="H271" s="4" t="s">
        <v>488</v>
      </c>
      <c r="I271" s="4" t="s">
        <v>1234</v>
      </c>
      <c r="J271" s="4" t="s">
        <v>1235</v>
      </c>
      <c r="K271" s="4" t="s">
        <v>10</v>
      </c>
      <c r="L271" s="4" t="s">
        <v>487</v>
      </c>
      <c r="M271" s="5">
        <v>0</v>
      </c>
      <c r="N271" s="4" t="s">
        <v>1241</v>
      </c>
    </row>
    <row r="272" spans="1:14" x14ac:dyDescent="0.15">
      <c r="A272" s="4" t="s">
        <v>115</v>
      </c>
      <c r="B272" s="4" t="s">
        <v>17</v>
      </c>
      <c r="C272" s="5">
        <v>6.4102564102559993</v>
      </c>
      <c r="D272" s="5">
        <v>1000</v>
      </c>
      <c r="E272" s="4" t="s">
        <v>18</v>
      </c>
      <c r="F272" s="5">
        <v>0</v>
      </c>
      <c r="G272" s="5">
        <v>0</v>
      </c>
      <c r="H272" s="4" t="s">
        <v>488</v>
      </c>
      <c r="I272" s="4" t="s">
        <v>1234</v>
      </c>
      <c r="J272" s="4" t="s">
        <v>1235</v>
      </c>
      <c r="K272" s="4" t="s">
        <v>10</v>
      </c>
      <c r="L272" s="4" t="s">
        <v>487</v>
      </c>
      <c r="M272" s="5">
        <v>0</v>
      </c>
      <c r="N272" s="4" t="s">
        <v>1241</v>
      </c>
    </row>
    <row r="273" spans="1:14" x14ac:dyDescent="0.15">
      <c r="A273" s="4" t="s">
        <v>115</v>
      </c>
      <c r="B273" s="4" t="s">
        <v>19</v>
      </c>
      <c r="C273" s="5">
        <v>4</v>
      </c>
      <c r="D273" s="5">
        <v>1</v>
      </c>
      <c r="E273" s="4" t="s">
        <v>18</v>
      </c>
      <c r="F273" s="5">
        <v>0</v>
      </c>
      <c r="G273" s="5">
        <v>0</v>
      </c>
      <c r="H273" s="4" t="s">
        <v>488</v>
      </c>
      <c r="I273" s="4" t="s">
        <v>1236</v>
      </c>
      <c r="J273" s="4" t="s">
        <v>1235</v>
      </c>
      <c r="K273" s="4" t="s">
        <v>10</v>
      </c>
      <c r="L273" s="4" t="s">
        <v>487</v>
      </c>
      <c r="M273" s="5">
        <v>0</v>
      </c>
      <c r="N273" s="4" t="s">
        <v>1241</v>
      </c>
    </row>
    <row r="274" spans="1:14" x14ac:dyDescent="0.15">
      <c r="A274" s="4" t="s">
        <v>118</v>
      </c>
      <c r="B274" s="4" t="s">
        <v>119</v>
      </c>
      <c r="C274" s="5">
        <v>1</v>
      </c>
      <c r="D274" s="5">
        <v>1</v>
      </c>
      <c r="E274" s="4" t="s">
        <v>9</v>
      </c>
      <c r="F274" s="5">
        <v>0</v>
      </c>
      <c r="G274" s="5">
        <v>0</v>
      </c>
      <c r="H274" s="4" t="s">
        <v>488</v>
      </c>
      <c r="I274" s="4" t="s">
        <v>1234</v>
      </c>
      <c r="J274" s="4" t="s">
        <v>1235</v>
      </c>
      <c r="K274" s="4" t="s">
        <v>10</v>
      </c>
      <c r="L274" s="4" t="s">
        <v>487</v>
      </c>
      <c r="M274" s="5">
        <v>0</v>
      </c>
      <c r="N274" s="4" t="s">
        <v>1241</v>
      </c>
    </row>
    <row r="275" spans="1:14" x14ac:dyDescent="0.15">
      <c r="A275" s="4" t="s">
        <v>120</v>
      </c>
      <c r="B275" s="4" t="s">
        <v>119</v>
      </c>
      <c r="C275" s="5">
        <v>2</v>
      </c>
      <c r="D275" s="5">
        <v>1</v>
      </c>
      <c r="E275" s="4" t="s">
        <v>9</v>
      </c>
      <c r="F275" s="5">
        <v>0</v>
      </c>
      <c r="G275" s="5">
        <v>0</v>
      </c>
      <c r="H275" s="4" t="s">
        <v>488</v>
      </c>
      <c r="I275" s="4" t="s">
        <v>1234</v>
      </c>
      <c r="J275" s="4" t="s">
        <v>1235</v>
      </c>
      <c r="K275" s="4" t="s">
        <v>10</v>
      </c>
      <c r="L275" s="4" t="s">
        <v>487</v>
      </c>
      <c r="M275" s="5">
        <v>0</v>
      </c>
      <c r="N275" s="4" t="s">
        <v>1241</v>
      </c>
    </row>
    <row r="276" spans="1:14" x14ac:dyDescent="0.15">
      <c r="A276" s="4" t="s">
        <v>119</v>
      </c>
      <c r="B276" s="4" t="s">
        <v>22</v>
      </c>
      <c r="C276" s="5">
        <v>69</v>
      </c>
      <c r="D276" s="5">
        <v>1</v>
      </c>
      <c r="E276" s="4" t="s">
        <v>9</v>
      </c>
      <c r="F276" s="5">
        <v>3</v>
      </c>
      <c r="G276" s="5">
        <v>0</v>
      </c>
      <c r="H276" s="4" t="s">
        <v>488</v>
      </c>
      <c r="I276" s="4" t="s">
        <v>1234</v>
      </c>
      <c r="J276" s="4" t="s">
        <v>1235</v>
      </c>
      <c r="K276" s="4" t="s">
        <v>10</v>
      </c>
      <c r="L276" s="4" t="s">
        <v>487</v>
      </c>
      <c r="M276" s="5">
        <v>0</v>
      </c>
      <c r="N276" s="4" t="s">
        <v>1241</v>
      </c>
    </row>
    <row r="277" spans="1:14" x14ac:dyDescent="0.15">
      <c r="A277" s="4" t="s">
        <v>119</v>
      </c>
      <c r="B277" s="4" t="s">
        <v>12</v>
      </c>
      <c r="C277" s="5">
        <v>19.308731155779</v>
      </c>
      <c r="D277" s="5">
        <v>1</v>
      </c>
      <c r="E277" s="4" t="s">
        <v>13</v>
      </c>
      <c r="F277" s="5">
        <v>3</v>
      </c>
      <c r="G277" s="5">
        <v>0</v>
      </c>
      <c r="H277" s="4" t="s">
        <v>488</v>
      </c>
      <c r="I277" s="4" t="s">
        <v>1234</v>
      </c>
      <c r="J277" s="4" t="s">
        <v>1235</v>
      </c>
      <c r="K277" s="4" t="s">
        <v>10</v>
      </c>
      <c r="L277" s="4" t="s">
        <v>487</v>
      </c>
      <c r="M277" s="5">
        <v>0</v>
      </c>
      <c r="N277" s="4" t="s">
        <v>1241</v>
      </c>
    </row>
    <row r="278" spans="1:14" x14ac:dyDescent="0.15">
      <c r="A278" s="4" t="s">
        <v>119</v>
      </c>
      <c r="B278" s="4" t="s">
        <v>14</v>
      </c>
      <c r="C278" s="5">
        <v>21.454145728643002</v>
      </c>
      <c r="D278" s="5">
        <v>1</v>
      </c>
      <c r="E278" s="4" t="s">
        <v>13</v>
      </c>
      <c r="F278" s="5">
        <v>3</v>
      </c>
      <c r="G278" s="5">
        <v>0</v>
      </c>
      <c r="H278" s="4" t="s">
        <v>488</v>
      </c>
      <c r="I278" s="4" t="s">
        <v>1234</v>
      </c>
      <c r="J278" s="4" t="s">
        <v>1235</v>
      </c>
      <c r="K278" s="4" t="s">
        <v>10</v>
      </c>
      <c r="L278" s="4" t="s">
        <v>487</v>
      </c>
      <c r="M278" s="5">
        <v>0</v>
      </c>
      <c r="N278" s="4" t="s">
        <v>1241</v>
      </c>
    </row>
    <row r="279" spans="1:14" x14ac:dyDescent="0.15">
      <c r="A279" s="4" t="s">
        <v>119</v>
      </c>
      <c r="B279" s="4" t="s">
        <v>15</v>
      </c>
      <c r="C279" s="5">
        <v>0.42908291457300002</v>
      </c>
      <c r="D279" s="5">
        <v>1</v>
      </c>
      <c r="E279" s="4" t="s">
        <v>13</v>
      </c>
      <c r="F279" s="5">
        <v>3</v>
      </c>
      <c r="G279" s="5">
        <v>0</v>
      </c>
      <c r="H279" s="4" t="s">
        <v>488</v>
      </c>
      <c r="I279" s="4" t="s">
        <v>1234</v>
      </c>
      <c r="J279" s="4" t="s">
        <v>1235</v>
      </c>
      <c r="K279" s="4" t="s">
        <v>10</v>
      </c>
      <c r="L279" s="4" t="s">
        <v>487</v>
      </c>
      <c r="M279" s="5">
        <v>0</v>
      </c>
      <c r="N279" s="4" t="s">
        <v>1241</v>
      </c>
    </row>
    <row r="280" spans="1:14" x14ac:dyDescent="0.15">
      <c r="A280" s="4" t="s">
        <v>119</v>
      </c>
      <c r="B280" s="4" t="s">
        <v>23</v>
      </c>
      <c r="C280" s="5">
        <v>1.072707286432</v>
      </c>
      <c r="D280" s="5">
        <v>1</v>
      </c>
      <c r="E280" s="4" t="s">
        <v>13</v>
      </c>
      <c r="F280" s="5">
        <v>3</v>
      </c>
      <c r="G280" s="5">
        <v>0</v>
      </c>
      <c r="H280" s="4" t="s">
        <v>488</v>
      </c>
      <c r="I280" s="4" t="s">
        <v>1234</v>
      </c>
      <c r="J280" s="4" t="s">
        <v>1235</v>
      </c>
      <c r="K280" s="4" t="s">
        <v>10</v>
      </c>
      <c r="L280" s="4" t="s">
        <v>487</v>
      </c>
      <c r="M280" s="5">
        <v>0</v>
      </c>
      <c r="N280" s="4" t="s">
        <v>1241</v>
      </c>
    </row>
    <row r="281" spans="1:14" x14ac:dyDescent="0.15">
      <c r="A281" s="4" t="s">
        <v>119</v>
      </c>
      <c r="B281" s="4" t="s">
        <v>24</v>
      </c>
      <c r="C281" s="5">
        <v>0.42908291457300002</v>
      </c>
      <c r="D281" s="5">
        <v>1</v>
      </c>
      <c r="E281" s="4" t="s">
        <v>13</v>
      </c>
      <c r="F281" s="5">
        <v>3</v>
      </c>
      <c r="G281" s="5">
        <v>0</v>
      </c>
      <c r="H281" s="4" t="s">
        <v>488</v>
      </c>
      <c r="I281" s="4" t="s">
        <v>1234</v>
      </c>
      <c r="J281" s="4" t="s">
        <v>1235</v>
      </c>
      <c r="K281" s="4" t="s">
        <v>10</v>
      </c>
      <c r="L281" s="4" t="s">
        <v>487</v>
      </c>
      <c r="M281" s="5">
        <v>0</v>
      </c>
      <c r="N281" s="4" t="s">
        <v>1241</v>
      </c>
    </row>
    <row r="282" spans="1:14" x14ac:dyDescent="0.15">
      <c r="A282" s="4" t="s">
        <v>119</v>
      </c>
      <c r="B282" s="4" t="s">
        <v>17</v>
      </c>
      <c r="C282" s="5">
        <v>16.666666666666998</v>
      </c>
      <c r="D282" s="5">
        <v>1000</v>
      </c>
      <c r="E282" s="4" t="s">
        <v>18</v>
      </c>
      <c r="F282" s="5">
        <v>0</v>
      </c>
      <c r="G282" s="5">
        <v>0</v>
      </c>
      <c r="H282" s="4" t="s">
        <v>488</v>
      </c>
      <c r="I282" s="4" t="s">
        <v>1234</v>
      </c>
      <c r="J282" s="4" t="s">
        <v>1235</v>
      </c>
      <c r="K282" s="4" t="s">
        <v>10</v>
      </c>
      <c r="L282" s="4" t="s">
        <v>487</v>
      </c>
      <c r="M282" s="5">
        <v>0</v>
      </c>
      <c r="N282" s="4" t="s">
        <v>1241</v>
      </c>
    </row>
    <row r="283" spans="1:14" x14ac:dyDescent="0.15">
      <c r="A283" s="4" t="s">
        <v>119</v>
      </c>
      <c r="B283" s="4" t="s">
        <v>19</v>
      </c>
      <c r="C283" s="5">
        <v>6</v>
      </c>
      <c r="D283" s="5">
        <v>1</v>
      </c>
      <c r="E283" s="4" t="s">
        <v>18</v>
      </c>
      <c r="F283" s="5">
        <v>0</v>
      </c>
      <c r="G283" s="5">
        <v>0</v>
      </c>
      <c r="H283" s="4" t="s">
        <v>488</v>
      </c>
      <c r="I283" s="4" t="s">
        <v>1236</v>
      </c>
      <c r="J283" s="4" t="s">
        <v>1235</v>
      </c>
      <c r="K283" s="4" t="s">
        <v>10</v>
      </c>
      <c r="L283" s="4" t="s">
        <v>487</v>
      </c>
      <c r="M283" s="5">
        <v>0</v>
      </c>
      <c r="N283" s="4" t="s">
        <v>1241</v>
      </c>
    </row>
    <row r="284" spans="1:14" x14ac:dyDescent="0.15">
      <c r="A284" s="4" t="s">
        <v>121</v>
      </c>
      <c r="B284" s="4" t="s">
        <v>122</v>
      </c>
      <c r="C284" s="5">
        <v>250</v>
      </c>
      <c r="D284" s="5">
        <v>1</v>
      </c>
      <c r="E284" s="4" t="s">
        <v>9</v>
      </c>
      <c r="F284" s="5">
        <v>0</v>
      </c>
      <c r="G284" s="5">
        <v>0</v>
      </c>
      <c r="H284" s="4" t="s">
        <v>488</v>
      </c>
      <c r="I284" s="4" t="s">
        <v>1234</v>
      </c>
      <c r="J284" s="4" t="s">
        <v>1235</v>
      </c>
      <c r="K284" s="4" t="s">
        <v>10</v>
      </c>
      <c r="L284" s="4" t="s">
        <v>487</v>
      </c>
      <c r="M284" s="5">
        <v>0</v>
      </c>
      <c r="N284" s="4" t="s">
        <v>1241</v>
      </c>
    </row>
    <row r="285" spans="1:14" x14ac:dyDescent="0.15">
      <c r="A285" s="4" t="s">
        <v>122</v>
      </c>
      <c r="B285" s="4" t="s">
        <v>123</v>
      </c>
      <c r="C285" s="5">
        <v>51</v>
      </c>
      <c r="D285" s="5">
        <v>1</v>
      </c>
      <c r="E285" s="4" t="s">
        <v>9</v>
      </c>
      <c r="F285" s="5">
        <v>3</v>
      </c>
      <c r="G285" s="5">
        <v>0</v>
      </c>
      <c r="H285" s="4" t="s">
        <v>488</v>
      </c>
      <c r="I285" s="4" t="s">
        <v>1234</v>
      </c>
      <c r="J285" s="4" t="s">
        <v>1235</v>
      </c>
      <c r="K285" s="4" t="s">
        <v>10</v>
      </c>
      <c r="L285" s="4" t="s">
        <v>487</v>
      </c>
      <c r="M285" s="5">
        <v>0</v>
      </c>
      <c r="N285" s="4" t="s">
        <v>1241</v>
      </c>
    </row>
    <row r="286" spans="1:14" x14ac:dyDescent="0.15">
      <c r="A286" s="4" t="s">
        <v>122</v>
      </c>
      <c r="B286" s="4" t="s">
        <v>12</v>
      </c>
      <c r="C286" s="5">
        <v>14.271670854271001</v>
      </c>
      <c r="D286" s="5">
        <v>1</v>
      </c>
      <c r="E286" s="4" t="s">
        <v>13</v>
      </c>
      <c r="F286" s="5">
        <v>3</v>
      </c>
      <c r="G286" s="5">
        <v>0</v>
      </c>
      <c r="H286" s="4" t="s">
        <v>488</v>
      </c>
      <c r="I286" s="4" t="s">
        <v>1234</v>
      </c>
      <c r="J286" s="4" t="s">
        <v>1235</v>
      </c>
      <c r="K286" s="4" t="s">
        <v>10</v>
      </c>
      <c r="L286" s="4" t="s">
        <v>487</v>
      </c>
      <c r="M286" s="5">
        <v>0</v>
      </c>
      <c r="N286" s="4" t="s">
        <v>1241</v>
      </c>
    </row>
    <row r="287" spans="1:14" x14ac:dyDescent="0.15">
      <c r="A287" s="4" t="s">
        <v>122</v>
      </c>
      <c r="B287" s="4" t="s">
        <v>14</v>
      </c>
      <c r="C287" s="5">
        <v>15.857412060302002</v>
      </c>
      <c r="D287" s="5">
        <v>1</v>
      </c>
      <c r="E287" s="4" t="s">
        <v>13</v>
      </c>
      <c r="F287" s="5">
        <v>3</v>
      </c>
      <c r="G287" s="5">
        <v>0</v>
      </c>
      <c r="H287" s="4" t="s">
        <v>488</v>
      </c>
      <c r="I287" s="4" t="s">
        <v>1234</v>
      </c>
      <c r="J287" s="4" t="s">
        <v>1235</v>
      </c>
      <c r="K287" s="4" t="s">
        <v>10</v>
      </c>
      <c r="L287" s="4" t="s">
        <v>487</v>
      </c>
      <c r="M287" s="5">
        <v>0</v>
      </c>
      <c r="N287" s="4" t="s">
        <v>1241</v>
      </c>
    </row>
    <row r="288" spans="1:14" x14ac:dyDescent="0.15">
      <c r="A288" s="4" t="s">
        <v>122</v>
      </c>
      <c r="B288" s="4" t="s">
        <v>15</v>
      </c>
      <c r="C288" s="5">
        <v>0.31714824120599999</v>
      </c>
      <c r="D288" s="5">
        <v>1</v>
      </c>
      <c r="E288" s="4" t="s">
        <v>13</v>
      </c>
      <c r="F288" s="5">
        <v>3</v>
      </c>
      <c r="G288" s="5">
        <v>0</v>
      </c>
      <c r="H288" s="4" t="s">
        <v>488</v>
      </c>
      <c r="I288" s="4" t="s">
        <v>1234</v>
      </c>
      <c r="J288" s="4" t="s">
        <v>1235</v>
      </c>
      <c r="K288" s="4" t="s">
        <v>10</v>
      </c>
      <c r="L288" s="4" t="s">
        <v>487</v>
      </c>
      <c r="M288" s="5">
        <v>0</v>
      </c>
      <c r="N288" s="4" t="s">
        <v>1241</v>
      </c>
    </row>
    <row r="289" spans="1:14" x14ac:dyDescent="0.15">
      <c r="A289" s="4" t="s">
        <v>122</v>
      </c>
      <c r="B289" s="4" t="s">
        <v>23</v>
      </c>
      <c r="C289" s="5">
        <v>0.79287060301500001</v>
      </c>
      <c r="D289" s="5">
        <v>1</v>
      </c>
      <c r="E289" s="4" t="s">
        <v>13</v>
      </c>
      <c r="F289" s="5">
        <v>3</v>
      </c>
      <c r="G289" s="5">
        <v>0</v>
      </c>
      <c r="H289" s="4" t="s">
        <v>488</v>
      </c>
      <c r="I289" s="4" t="s">
        <v>1234</v>
      </c>
      <c r="J289" s="4" t="s">
        <v>1235</v>
      </c>
      <c r="K289" s="4" t="s">
        <v>10</v>
      </c>
      <c r="L289" s="4" t="s">
        <v>487</v>
      </c>
      <c r="M289" s="5">
        <v>0</v>
      </c>
      <c r="N289" s="4" t="s">
        <v>1241</v>
      </c>
    </row>
    <row r="290" spans="1:14" x14ac:dyDescent="0.15">
      <c r="A290" s="4" t="s">
        <v>122</v>
      </c>
      <c r="B290" s="4" t="s">
        <v>24</v>
      </c>
      <c r="C290" s="5">
        <v>0.31714824120599999</v>
      </c>
      <c r="D290" s="5">
        <v>1</v>
      </c>
      <c r="E290" s="4" t="s">
        <v>13</v>
      </c>
      <c r="F290" s="5">
        <v>3</v>
      </c>
      <c r="G290" s="5">
        <v>0</v>
      </c>
      <c r="H290" s="4" t="s">
        <v>488</v>
      </c>
      <c r="I290" s="4" t="s">
        <v>1234</v>
      </c>
      <c r="J290" s="4" t="s">
        <v>1235</v>
      </c>
      <c r="K290" s="4" t="s">
        <v>10</v>
      </c>
      <c r="L290" s="4" t="s">
        <v>487</v>
      </c>
      <c r="M290" s="5">
        <v>0</v>
      </c>
      <c r="N290" s="4" t="s">
        <v>1241</v>
      </c>
    </row>
    <row r="291" spans="1:14" x14ac:dyDescent="0.15">
      <c r="A291" s="4" t="s">
        <v>122</v>
      </c>
      <c r="B291" s="4" t="s">
        <v>124</v>
      </c>
      <c r="C291" s="5">
        <v>0.94668750000000002</v>
      </c>
      <c r="D291" s="5">
        <v>1</v>
      </c>
      <c r="E291" s="4" t="s">
        <v>13</v>
      </c>
      <c r="F291" s="5">
        <v>3</v>
      </c>
      <c r="G291" s="5">
        <v>0</v>
      </c>
      <c r="H291" s="4" t="s">
        <v>488</v>
      </c>
      <c r="I291" s="4" t="s">
        <v>1234</v>
      </c>
      <c r="J291" s="4" t="s">
        <v>1235</v>
      </c>
      <c r="K291" s="4" t="s">
        <v>10</v>
      </c>
      <c r="L291" s="4" t="s">
        <v>487</v>
      </c>
      <c r="M291" s="5">
        <v>0</v>
      </c>
      <c r="N291" s="4" t="s">
        <v>1241</v>
      </c>
    </row>
    <row r="292" spans="1:14" x14ac:dyDescent="0.15">
      <c r="A292" s="4" t="s">
        <v>122</v>
      </c>
      <c r="B292" s="4" t="s">
        <v>17</v>
      </c>
      <c r="C292" s="5">
        <v>22.222222222221998</v>
      </c>
      <c r="D292" s="5">
        <v>1000</v>
      </c>
      <c r="E292" s="4" t="s">
        <v>18</v>
      </c>
      <c r="F292" s="5">
        <v>0</v>
      </c>
      <c r="G292" s="5">
        <v>0</v>
      </c>
      <c r="H292" s="4" t="s">
        <v>488</v>
      </c>
      <c r="I292" s="4" t="s">
        <v>1234</v>
      </c>
      <c r="J292" s="4" t="s">
        <v>1235</v>
      </c>
      <c r="K292" s="4" t="s">
        <v>10</v>
      </c>
      <c r="L292" s="4" t="s">
        <v>487</v>
      </c>
      <c r="M292" s="5">
        <v>0</v>
      </c>
      <c r="N292" s="4" t="s">
        <v>1241</v>
      </c>
    </row>
    <row r="293" spans="1:14" x14ac:dyDescent="0.15">
      <c r="A293" s="4" t="s">
        <v>122</v>
      </c>
      <c r="B293" s="4" t="s">
        <v>19</v>
      </c>
      <c r="C293" s="5">
        <v>6</v>
      </c>
      <c r="D293" s="5">
        <v>1</v>
      </c>
      <c r="E293" s="4" t="s">
        <v>18</v>
      </c>
      <c r="F293" s="5">
        <v>0</v>
      </c>
      <c r="G293" s="5">
        <v>0</v>
      </c>
      <c r="H293" s="4" t="s">
        <v>488</v>
      </c>
      <c r="I293" s="4" t="s">
        <v>1236</v>
      </c>
      <c r="J293" s="4" t="s">
        <v>1235</v>
      </c>
      <c r="K293" s="4" t="s">
        <v>10</v>
      </c>
      <c r="L293" s="4" t="s">
        <v>487</v>
      </c>
      <c r="M293" s="5">
        <v>0</v>
      </c>
      <c r="N293" s="4" t="s">
        <v>1241</v>
      </c>
    </row>
    <row r="294" spans="1:14" x14ac:dyDescent="0.15">
      <c r="A294" s="4" t="s">
        <v>125</v>
      </c>
      <c r="B294" s="4" t="s">
        <v>33</v>
      </c>
      <c r="C294" s="5">
        <v>73</v>
      </c>
      <c r="D294" s="5">
        <v>1</v>
      </c>
      <c r="E294" s="4" t="s">
        <v>9</v>
      </c>
      <c r="F294" s="5">
        <v>3</v>
      </c>
      <c r="G294" s="5">
        <v>0</v>
      </c>
      <c r="H294" s="4" t="s">
        <v>488</v>
      </c>
      <c r="I294" s="4" t="s">
        <v>1234</v>
      </c>
      <c r="J294" s="4" t="s">
        <v>1235</v>
      </c>
      <c r="K294" s="4" t="s">
        <v>10</v>
      </c>
      <c r="L294" s="4" t="s">
        <v>487</v>
      </c>
      <c r="M294" s="5">
        <v>0</v>
      </c>
      <c r="N294" s="4" t="s">
        <v>1241</v>
      </c>
    </row>
    <row r="295" spans="1:14" x14ac:dyDescent="0.15">
      <c r="A295" s="4" t="s">
        <v>125</v>
      </c>
      <c r="B295" s="4" t="s">
        <v>12</v>
      </c>
      <c r="C295" s="5">
        <v>9.9045226130650015</v>
      </c>
      <c r="D295" s="5">
        <v>1</v>
      </c>
      <c r="E295" s="4" t="s">
        <v>13</v>
      </c>
      <c r="F295" s="5">
        <v>3</v>
      </c>
      <c r="G295" s="5">
        <v>0</v>
      </c>
      <c r="H295" s="4" t="s">
        <v>488</v>
      </c>
      <c r="I295" s="4" t="s">
        <v>1234</v>
      </c>
      <c r="J295" s="4" t="s">
        <v>1235</v>
      </c>
      <c r="K295" s="4" t="s">
        <v>10</v>
      </c>
      <c r="L295" s="4" t="s">
        <v>487</v>
      </c>
      <c r="M295" s="5">
        <v>0</v>
      </c>
      <c r="N295" s="4" t="s">
        <v>1241</v>
      </c>
    </row>
    <row r="296" spans="1:14" x14ac:dyDescent="0.15">
      <c r="A296" s="4" t="s">
        <v>125</v>
      </c>
      <c r="B296" s="4" t="s">
        <v>14</v>
      </c>
      <c r="C296" s="5">
        <v>11.005025125628002</v>
      </c>
      <c r="D296" s="5">
        <v>1</v>
      </c>
      <c r="E296" s="4" t="s">
        <v>13</v>
      </c>
      <c r="F296" s="5">
        <v>3</v>
      </c>
      <c r="G296" s="5">
        <v>0</v>
      </c>
      <c r="H296" s="4" t="s">
        <v>488</v>
      </c>
      <c r="I296" s="4" t="s">
        <v>1234</v>
      </c>
      <c r="J296" s="4" t="s">
        <v>1235</v>
      </c>
      <c r="K296" s="4" t="s">
        <v>10</v>
      </c>
      <c r="L296" s="4" t="s">
        <v>487</v>
      </c>
      <c r="M296" s="5">
        <v>0</v>
      </c>
      <c r="N296" s="4" t="s">
        <v>1241</v>
      </c>
    </row>
    <row r="297" spans="1:14" x14ac:dyDescent="0.15">
      <c r="A297" s="4" t="s">
        <v>125</v>
      </c>
      <c r="B297" s="4" t="s">
        <v>15</v>
      </c>
      <c r="C297" s="5">
        <v>0.22010050251300001</v>
      </c>
      <c r="D297" s="5">
        <v>1</v>
      </c>
      <c r="E297" s="4" t="s">
        <v>13</v>
      </c>
      <c r="F297" s="5">
        <v>3</v>
      </c>
      <c r="G297" s="5">
        <v>0</v>
      </c>
      <c r="H297" s="4" t="s">
        <v>488</v>
      </c>
      <c r="I297" s="4" t="s">
        <v>1234</v>
      </c>
      <c r="J297" s="4" t="s">
        <v>1235</v>
      </c>
      <c r="K297" s="4" t="s">
        <v>10</v>
      </c>
      <c r="L297" s="4" t="s">
        <v>487</v>
      </c>
      <c r="M297" s="5">
        <v>0</v>
      </c>
      <c r="N297" s="4" t="s">
        <v>1241</v>
      </c>
    </row>
    <row r="298" spans="1:14" x14ac:dyDescent="0.15">
      <c r="A298" s="4" t="s">
        <v>125</v>
      </c>
      <c r="B298" s="4" t="s">
        <v>23</v>
      </c>
      <c r="C298" s="5">
        <v>0.55025125628100002</v>
      </c>
      <c r="D298" s="5">
        <v>1</v>
      </c>
      <c r="E298" s="4" t="s">
        <v>13</v>
      </c>
      <c r="F298" s="5">
        <v>3</v>
      </c>
      <c r="G298" s="5">
        <v>0</v>
      </c>
      <c r="H298" s="4" t="s">
        <v>488</v>
      </c>
      <c r="I298" s="4" t="s">
        <v>1234</v>
      </c>
      <c r="J298" s="4" t="s">
        <v>1235</v>
      </c>
      <c r="K298" s="4" t="s">
        <v>10</v>
      </c>
      <c r="L298" s="4" t="s">
        <v>487</v>
      </c>
      <c r="M298" s="5">
        <v>0</v>
      </c>
      <c r="N298" s="4" t="s">
        <v>1241</v>
      </c>
    </row>
    <row r="299" spans="1:14" x14ac:dyDescent="0.15">
      <c r="A299" s="4" t="s">
        <v>125</v>
      </c>
      <c r="B299" s="4" t="s">
        <v>24</v>
      </c>
      <c r="C299" s="5">
        <v>0.22010050251300001</v>
      </c>
      <c r="D299" s="5">
        <v>1</v>
      </c>
      <c r="E299" s="4" t="s">
        <v>13</v>
      </c>
      <c r="F299" s="5">
        <v>3</v>
      </c>
      <c r="G299" s="5">
        <v>0</v>
      </c>
      <c r="H299" s="4" t="s">
        <v>488</v>
      </c>
      <c r="I299" s="4" t="s">
        <v>1234</v>
      </c>
      <c r="J299" s="4" t="s">
        <v>1235</v>
      </c>
      <c r="K299" s="4" t="s">
        <v>10</v>
      </c>
      <c r="L299" s="4" t="s">
        <v>487</v>
      </c>
      <c r="M299" s="5">
        <v>0</v>
      </c>
      <c r="N299" s="4" t="s">
        <v>1241</v>
      </c>
    </row>
    <row r="300" spans="1:14" x14ac:dyDescent="0.15">
      <c r="A300" s="4" t="s">
        <v>125</v>
      </c>
      <c r="B300" s="4" t="s">
        <v>17</v>
      </c>
      <c r="C300" s="5">
        <v>18.518518518518999</v>
      </c>
      <c r="D300" s="5">
        <v>1000</v>
      </c>
      <c r="E300" s="4" t="s">
        <v>18</v>
      </c>
      <c r="F300" s="5">
        <v>0</v>
      </c>
      <c r="G300" s="5">
        <v>0</v>
      </c>
      <c r="H300" s="4" t="s">
        <v>488</v>
      </c>
      <c r="I300" s="4" t="s">
        <v>1234</v>
      </c>
      <c r="J300" s="4" t="s">
        <v>1235</v>
      </c>
      <c r="K300" s="4" t="s">
        <v>10</v>
      </c>
      <c r="L300" s="4" t="s">
        <v>487</v>
      </c>
      <c r="M300" s="5">
        <v>0</v>
      </c>
      <c r="N300" s="4" t="s">
        <v>1241</v>
      </c>
    </row>
    <row r="301" spans="1:14" x14ac:dyDescent="0.15">
      <c r="A301" s="4" t="s">
        <v>125</v>
      </c>
      <c r="B301" s="4" t="s">
        <v>19</v>
      </c>
      <c r="C301" s="5">
        <v>7</v>
      </c>
      <c r="D301" s="5">
        <v>1</v>
      </c>
      <c r="E301" s="4" t="s">
        <v>18</v>
      </c>
      <c r="F301" s="5">
        <v>0</v>
      </c>
      <c r="G301" s="5">
        <v>0</v>
      </c>
      <c r="H301" s="4" t="s">
        <v>488</v>
      </c>
      <c r="I301" s="4" t="s">
        <v>1236</v>
      </c>
      <c r="J301" s="4" t="s">
        <v>1235</v>
      </c>
      <c r="K301" s="4" t="s">
        <v>10</v>
      </c>
      <c r="L301" s="4" t="s">
        <v>487</v>
      </c>
      <c r="M301" s="5">
        <v>0</v>
      </c>
      <c r="N301" s="4" t="s">
        <v>1241</v>
      </c>
    </row>
    <row r="302" spans="1:14" x14ac:dyDescent="0.15">
      <c r="A302" s="4" t="s">
        <v>126</v>
      </c>
      <c r="B302" s="4" t="s">
        <v>127</v>
      </c>
      <c r="C302" s="5">
        <v>1</v>
      </c>
      <c r="D302" s="5">
        <v>1</v>
      </c>
      <c r="E302" s="4" t="s">
        <v>9</v>
      </c>
      <c r="F302" s="5">
        <v>0</v>
      </c>
      <c r="G302" s="5">
        <v>0</v>
      </c>
      <c r="H302" s="4" t="s">
        <v>488</v>
      </c>
      <c r="I302" s="4" t="s">
        <v>1234</v>
      </c>
      <c r="J302" s="4" t="s">
        <v>1235</v>
      </c>
      <c r="K302" s="4" t="s">
        <v>10</v>
      </c>
      <c r="L302" s="4" t="s">
        <v>487</v>
      </c>
      <c r="M302" s="5">
        <v>0</v>
      </c>
      <c r="N302" s="4" t="s">
        <v>1241</v>
      </c>
    </row>
    <row r="303" spans="1:14" x14ac:dyDescent="0.15">
      <c r="A303" s="4" t="s">
        <v>128</v>
      </c>
      <c r="B303" s="4" t="s">
        <v>127</v>
      </c>
      <c r="C303" s="5">
        <v>2</v>
      </c>
      <c r="D303" s="5">
        <v>1</v>
      </c>
      <c r="E303" s="4" t="s">
        <v>9</v>
      </c>
      <c r="F303" s="5">
        <v>0</v>
      </c>
      <c r="G303" s="5">
        <v>0</v>
      </c>
      <c r="H303" s="4" t="s">
        <v>488</v>
      </c>
      <c r="I303" s="4" t="s">
        <v>1234</v>
      </c>
      <c r="J303" s="4" t="s">
        <v>1235</v>
      </c>
      <c r="K303" s="4" t="s">
        <v>10</v>
      </c>
      <c r="L303" s="4" t="s">
        <v>487</v>
      </c>
      <c r="M303" s="5">
        <v>0</v>
      </c>
      <c r="N303" s="4" t="s">
        <v>1241</v>
      </c>
    </row>
    <row r="304" spans="1:14" x14ac:dyDescent="0.15">
      <c r="A304" s="4" t="s">
        <v>129</v>
      </c>
      <c r="B304" s="4" t="s">
        <v>127</v>
      </c>
      <c r="C304" s="5">
        <v>500</v>
      </c>
      <c r="D304" s="5">
        <v>1000</v>
      </c>
      <c r="E304" s="4" t="s">
        <v>9</v>
      </c>
      <c r="F304" s="5">
        <v>0</v>
      </c>
      <c r="G304" s="5">
        <v>0</v>
      </c>
      <c r="H304" s="4" t="s">
        <v>488</v>
      </c>
      <c r="I304" s="4" t="s">
        <v>1234</v>
      </c>
      <c r="J304" s="4" t="s">
        <v>1235</v>
      </c>
      <c r="K304" s="4" t="s">
        <v>10</v>
      </c>
      <c r="L304" s="4" t="s">
        <v>487</v>
      </c>
      <c r="M304" s="5">
        <v>0</v>
      </c>
      <c r="N304" s="4" t="s">
        <v>1241</v>
      </c>
    </row>
    <row r="305" spans="1:14" x14ac:dyDescent="0.15">
      <c r="A305" s="4" t="s">
        <v>127</v>
      </c>
      <c r="B305" s="4" t="s">
        <v>33</v>
      </c>
      <c r="C305" s="5">
        <v>6</v>
      </c>
      <c r="D305" s="5">
        <v>1</v>
      </c>
      <c r="E305" s="4" t="s">
        <v>9</v>
      </c>
      <c r="F305" s="5">
        <v>3</v>
      </c>
      <c r="G305" s="5">
        <v>0</v>
      </c>
      <c r="H305" s="4" t="s">
        <v>488</v>
      </c>
      <c r="I305" s="4" t="s">
        <v>1234</v>
      </c>
      <c r="J305" s="4" t="s">
        <v>1235</v>
      </c>
      <c r="K305" s="4" t="s">
        <v>10</v>
      </c>
      <c r="L305" s="4" t="s">
        <v>487</v>
      </c>
      <c r="M305" s="5">
        <v>0</v>
      </c>
      <c r="N305" s="4" t="s">
        <v>1241</v>
      </c>
    </row>
    <row r="306" spans="1:14" x14ac:dyDescent="0.15">
      <c r="A306" s="4" t="s">
        <v>127</v>
      </c>
      <c r="B306" s="4" t="s">
        <v>29</v>
      </c>
      <c r="C306" s="5">
        <v>2</v>
      </c>
      <c r="D306" s="5">
        <v>1</v>
      </c>
      <c r="E306" s="4" t="s">
        <v>9</v>
      </c>
      <c r="F306" s="5">
        <v>3</v>
      </c>
      <c r="G306" s="5">
        <v>0</v>
      </c>
      <c r="H306" s="4" t="s">
        <v>488</v>
      </c>
      <c r="I306" s="4" t="s">
        <v>1234</v>
      </c>
      <c r="J306" s="4" t="s">
        <v>1235</v>
      </c>
      <c r="K306" s="4" t="s">
        <v>10</v>
      </c>
      <c r="L306" s="4" t="s">
        <v>487</v>
      </c>
      <c r="M306" s="5">
        <v>0</v>
      </c>
      <c r="N306" s="4" t="s">
        <v>1241</v>
      </c>
    </row>
    <row r="307" spans="1:14" x14ac:dyDescent="0.15">
      <c r="A307" s="4" t="s">
        <v>127</v>
      </c>
      <c r="B307" s="4" t="s">
        <v>12</v>
      </c>
      <c r="C307" s="5">
        <v>0.94974874371899998</v>
      </c>
      <c r="D307" s="5">
        <v>1</v>
      </c>
      <c r="E307" s="4" t="s">
        <v>13</v>
      </c>
      <c r="F307" s="5">
        <v>3</v>
      </c>
      <c r="G307" s="5">
        <v>0</v>
      </c>
      <c r="H307" s="4" t="s">
        <v>488</v>
      </c>
      <c r="I307" s="4" t="s">
        <v>1234</v>
      </c>
      <c r="J307" s="4" t="s">
        <v>1235</v>
      </c>
      <c r="K307" s="4" t="s">
        <v>10</v>
      </c>
      <c r="L307" s="4" t="s">
        <v>487</v>
      </c>
      <c r="M307" s="5">
        <v>0</v>
      </c>
      <c r="N307" s="4" t="s">
        <v>1241</v>
      </c>
    </row>
    <row r="308" spans="1:14" x14ac:dyDescent="0.15">
      <c r="A308" s="4" t="s">
        <v>127</v>
      </c>
      <c r="B308" s="4" t="s">
        <v>14</v>
      </c>
      <c r="C308" s="5">
        <v>1.0552763819100002</v>
      </c>
      <c r="D308" s="5">
        <v>1</v>
      </c>
      <c r="E308" s="4" t="s">
        <v>13</v>
      </c>
      <c r="F308" s="5">
        <v>3</v>
      </c>
      <c r="G308" s="5">
        <v>0</v>
      </c>
      <c r="H308" s="4" t="s">
        <v>488</v>
      </c>
      <c r="I308" s="4" t="s">
        <v>1234</v>
      </c>
      <c r="J308" s="4" t="s">
        <v>1235</v>
      </c>
      <c r="K308" s="4" t="s">
        <v>10</v>
      </c>
      <c r="L308" s="4" t="s">
        <v>487</v>
      </c>
      <c r="M308" s="5">
        <v>0</v>
      </c>
      <c r="N308" s="4" t="s">
        <v>1241</v>
      </c>
    </row>
    <row r="309" spans="1:14" x14ac:dyDescent="0.15">
      <c r="A309" s="4" t="s">
        <v>127</v>
      </c>
      <c r="B309" s="4" t="s">
        <v>15</v>
      </c>
      <c r="C309" s="5">
        <v>21.105527638191003</v>
      </c>
      <c r="D309" s="5">
        <v>1000</v>
      </c>
      <c r="E309" s="4" t="s">
        <v>13</v>
      </c>
      <c r="F309" s="5">
        <v>3</v>
      </c>
      <c r="G309" s="5">
        <v>0</v>
      </c>
      <c r="H309" s="4" t="s">
        <v>488</v>
      </c>
      <c r="I309" s="4" t="s">
        <v>1234</v>
      </c>
      <c r="J309" s="4" t="s">
        <v>1235</v>
      </c>
      <c r="K309" s="4" t="s">
        <v>10</v>
      </c>
      <c r="L309" s="4" t="s">
        <v>487</v>
      </c>
      <c r="M309" s="5">
        <v>0</v>
      </c>
      <c r="N309" s="4" t="s">
        <v>1241</v>
      </c>
    </row>
    <row r="310" spans="1:14" x14ac:dyDescent="0.15">
      <c r="A310" s="4" t="s">
        <v>127</v>
      </c>
      <c r="B310" s="4" t="s">
        <v>23</v>
      </c>
      <c r="C310" s="5">
        <v>52.763819095477004</v>
      </c>
      <c r="D310" s="5">
        <v>1000</v>
      </c>
      <c r="E310" s="4" t="s">
        <v>13</v>
      </c>
      <c r="F310" s="5">
        <v>3</v>
      </c>
      <c r="G310" s="5">
        <v>0</v>
      </c>
      <c r="H310" s="4" t="s">
        <v>488</v>
      </c>
      <c r="I310" s="4" t="s">
        <v>1234</v>
      </c>
      <c r="J310" s="4" t="s">
        <v>1235</v>
      </c>
      <c r="K310" s="4" t="s">
        <v>10</v>
      </c>
      <c r="L310" s="4" t="s">
        <v>487</v>
      </c>
      <c r="M310" s="5">
        <v>0</v>
      </c>
      <c r="N310" s="4" t="s">
        <v>1241</v>
      </c>
    </row>
    <row r="311" spans="1:14" x14ac:dyDescent="0.15">
      <c r="A311" s="4" t="s">
        <v>127</v>
      </c>
      <c r="B311" s="4" t="s">
        <v>24</v>
      </c>
      <c r="C311" s="5">
        <v>21.105527638191003</v>
      </c>
      <c r="D311" s="5">
        <v>1000</v>
      </c>
      <c r="E311" s="4" t="s">
        <v>13</v>
      </c>
      <c r="F311" s="5">
        <v>3</v>
      </c>
      <c r="G311" s="5">
        <v>0</v>
      </c>
      <c r="H311" s="4" t="s">
        <v>488</v>
      </c>
      <c r="I311" s="4" t="s">
        <v>1234</v>
      </c>
      <c r="J311" s="4" t="s">
        <v>1235</v>
      </c>
      <c r="K311" s="4" t="s">
        <v>10</v>
      </c>
      <c r="L311" s="4" t="s">
        <v>487</v>
      </c>
      <c r="M311" s="5">
        <v>0</v>
      </c>
      <c r="N311" s="4" t="s">
        <v>1241</v>
      </c>
    </row>
    <row r="312" spans="1:14" x14ac:dyDescent="0.15">
      <c r="A312" s="4" t="s">
        <v>127</v>
      </c>
      <c r="B312" s="4" t="s">
        <v>17</v>
      </c>
      <c r="C312" s="5">
        <v>8.2508250825080012</v>
      </c>
      <c r="D312" s="5">
        <v>1000</v>
      </c>
      <c r="E312" s="4" t="s">
        <v>18</v>
      </c>
      <c r="F312" s="5">
        <v>0</v>
      </c>
      <c r="G312" s="5">
        <v>0</v>
      </c>
      <c r="H312" s="4" t="s">
        <v>488</v>
      </c>
      <c r="I312" s="4" t="s">
        <v>1234</v>
      </c>
      <c r="J312" s="4" t="s">
        <v>1235</v>
      </c>
      <c r="K312" s="4" t="s">
        <v>10</v>
      </c>
      <c r="L312" s="4" t="s">
        <v>487</v>
      </c>
      <c r="M312" s="5">
        <v>0</v>
      </c>
      <c r="N312" s="4" t="s">
        <v>1241</v>
      </c>
    </row>
    <row r="313" spans="1:14" x14ac:dyDescent="0.15">
      <c r="A313" s="4" t="s">
        <v>127</v>
      </c>
      <c r="B313" s="4" t="s">
        <v>19</v>
      </c>
      <c r="C313" s="5">
        <v>4</v>
      </c>
      <c r="D313" s="5">
        <v>1</v>
      </c>
      <c r="E313" s="4" t="s">
        <v>18</v>
      </c>
      <c r="F313" s="5">
        <v>0</v>
      </c>
      <c r="G313" s="5">
        <v>0</v>
      </c>
      <c r="H313" s="4" t="s">
        <v>488</v>
      </c>
      <c r="I313" s="4" t="s">
        <v>1236</v>
      </c>
      <c r="J313" s="4" t="s">
        <v>1235</v>
      </c>
      <c r="K313" s="4" t="s">
        <v>10</v>
      </c>
      <c r="L313" s="4" t="s">
        <v>487</v>
      </c>
      <c r="M313" s="5">
        <v>0</v>
      </c>
      <c r="N313" s="4" t="s">
        <v>1241</v>
      </c>
    </row>
    <row r="314" spans="1:14" x14ac:dyDescent="0.15">
      <c r="A314" s="4" t="s">
        <v>130</v>
      </c>
      <c r="B314" s="4" t="s">
        <v>131</v>
      </c>
      <c r="C314" s="5">
        <v>1</v>
      </c>
      <c r="D314" s="5">
        <v>1</v>
      </c>
      <c r="E314" s="4" t="s">
        <v>9</v>
      </c>
      <c r="F314" s="5">
        <v>0</v>
      </c>
      <c r="G314" s="5">
        <v>0</v>
      </c>
      <c r="H314" s="4" t="s">
        <v>488</v>
      </c>
      <c r="I314" s="4" t="s">
        <v>1234</v>
      </c>
      <c r="J314" s="4" t="s">
        <v>1235</v>
      </c>
      <c r="K314" s="4" t="s">
        <v>10</v>
      </c>
      <c r="L314" s="4" t="s">
        <v>487</v>
      </c>
      <c r="M314" s="5">
        <v>0</v>
      </c>
      <c r="N314" s="4" t="s">
        <v>1241</v>
      </c>
    </row>
    <row r="315" spans="1:14" x14ac:dyDescent="0.15">
      <c r="A315" s="4" t="s">
        <v>132</v>
      </c>
      <c r="B315" s="4" t="s">
        <v>131</v>
      </c>
      <c r="C315" s="5">
        <v>2</v>
      </c>
      <c r="D315" s="5">
        <v>1</v>
      </c>
      <c r="E315" s="4" t="s">
        <v>9</v>
      </c>
      <c r="F315" s="5">
        <v>0</v>
      </c>
      <c r="G315" s="5">
        <v>0</v>
      </c>
      <c r="H315" s="4" t="s">
        <v>488</v>
      </c>
      <c r="I315" s="4" t="s">
        <v>1234</v>
      </c>
      <c r="J315" s="4" t="s">
        <v>1235</v>
      </c>
      <c r="K315" s="4" t="s">
        <v>10</v>
      </c>
      <c r="L315" s="4" t="s">
        <v>487</v>
      </c>
      <c r="M315" s="5">
        <v>0</v>
      </c>
      <c r="N315" s="4" t="s">
        <v>1241</v>
      </c>
    </row>
    <row r="316" spans="1:14" x14ac:dyDescent="0.15">
      <c r="A316" s="4" t="s">
        <v>133</v>
      </c>
      <c r="B316" s="4" t="s">
        <v>131</v>
      </c>
      <c r="C316" s="5">
        <v>3</v>
      </c>
      <c r="D316" s="5">
        <v>1</v>
      </c>
      <c r="E316" s="4" t="s">
        <v>9</v>
      </c>
      <c r="F316" s="5">
        <v>0</v>
      </c>
      <c r="G316" s="5">
        <v>0</v>
      </c>
      <c r="H316" s="4" t="s">
        <v>488</v>
      </c>
      <c r="I316" s="4" t="s">
        <v>1234</v>
      </c>
      <c r="J316" s="4" t="s">
        <v>1235</v>
      </c>
      <c r="K316" s="4" t="s">
        <v>10</v>
      </c>
      <c r="L316" s="4" t="s">
        <v>487</v>
      </c>
      <c r="M316" s="5">
        <v>0</v>
      </c>
      <c r="N316" s="4" t="s">
        <v>1241</v>
      </c>
    </row>
    <row r="317" spans="1:14" x14ac:dyDescent="0.15">
      <c r="A317" s="4" t="s">
        <v>134</v>
      </c>
      <c r="B317" s="4" t="s">
        <v>131</v>
      </c>
      <c r="C317" s="5">
        <v>500</v>
      </c>
      <c r="D317" s="5">
        <v>1000</v>
      </c>
      <c r="E317" s="4" t="s">
        <v>9</v>
      </c>
      <c r="F317" s="5">
        <v>0</v>
      </c>
      <c r="G317" s="5">
        <v>0</v>
      </c>
      <c r="H317" s="4" t="s">
        <v>488</v>
      </c>
      <c r="I317" s="4" t="s">
        <v>1234</v>
      </c>
      <c r="J317" s="4" t="s">
        <v>1235</v>
      </c>
      <c r="K317" s="4" t="s">
        <v>10</v>
      </c>
      <c r="L317" s="4" t="s">
        <v>487</v>
      </c>
      <c r="M317" s="5">
        <v>0</v>
      </c>
      <c r="N317" s="4" t="s">
        <v>1241</v>
      </c>
    </row>
    <row r="318" spans="1:14" x14ac:dyDescent="0.15">
      <c r="A318" s="4" t="s">
        <v>131</v>
      </c>
      <c r="B318" s="4" t="s">
        <v>33</v>
      </c>
      <c r="C318" s="5">
        <v>5</v>
      </c>
      <c r="D318" s="5">
        <v>1</v>
      </c>
      <c r="E318" s="4" t="s">
        <v>9</v>
      </c>
      <c r="F318" s="5">
        <v>3</v>
      </c>
      <c r="G318" s="5">
        <v>0</v>
      </c>
      <c r="H318" s="4" t="s">
        <v>488</v>
      </c>
      <c r="I318" s="4" t="s">
        <v>1234</v>
      </c>
      <c r="J318" s="4" t="s">
        <v>1235</v>
      </c>
      <c r="K318" s="4" t="s">
        <v>10</v>
      </c>
      <c r="L318" s="4" t="s">
        <v>487</v>
      </c>
      <c r="M318" s="5">
        <v>0</v>
      </c>
      <c r="N318" s="4" t="s">
        <v>1241</v>
      </c>
    </row>
    <row r="319" spans="1:14" x14ac:dyDescent="0.15">
      <c r="A319" s="4" t="s">
        <v>131</v>
      </c>
      <c r="B319" s="4" t="s">
        <v>12</v>
      </c>
      <c r="C319" s="5">
        <v>0.67839195979900002</v>
      </c>
      <c r="D319" s="5">
        <v>1</v>
      </c>
      <c r="E319" s="4" t="s">
        <v>13</v>
      </c>
      <c r="F319" s="5">
        <v>3</v>
      </c>
      <c r="G319" s="5">
        <v>0</v>
      </c>
      <c r="H319" s="4" t="s">
        <v>488</v>
      </c>
      <c r="I319" s="4" t="s">
        <v>1234</v>
      </c>
      <c r="J319" s="4" t="s">
        <v>1235</v>
      </c>
      <c r="K319" s="4" t="s">
        <v>10</v>
      </c>
      <c r="L319" s="4" t="s">
        <v>487</v>
      </c>
      <c r="M319" s="5">
        <v>0</v>
      </c>
      <c r="N319" s="4" t="s">
        <v>1241</v>
      </c>
    </row>
    <row r="320" spans="1:14" x14ac:dyDescent="0.15">
      <c r="A320" s="4" t="s">
        <v>131</v>
      </c>
      <c r="B320" s="4" t="s">
        <v>14</v>
      </c>
      <c r="C320" s="5">
        <v>0.75376884422099999</v>
      </c>
      <c r="D320" s="5">
        <v>1</v>
      </c>
      <c r="E320" s="4" t="s">
        <v>13</v>
      </c>
      <c r="F320" s="5">
        <v>3</v>
      </c>
      <c r="G320" s="5">
        <v>0</v>
      </c>
      <c r="H320" s="4" t="s">
        <v>488</v>
      </c>
      <c r="I320" s="4" t="s">
        <v>1234</v>
      </c>
      <c r="J320" s="4" t="s">
        <v>1235</v>
      </c>
      <c r="K320" s="4" t="s">
        <v>10</v>
      </c>
      <c r="L320" s="4" t="s">
        <v>487</v>
      </c>
      <c r="M320" s="5">
        <v>0</v>
      </c>
      <c r="N320" s="4" t="s">
        <v>1241</v>
      </c>
    </row>
    <row r="321" spans="1:14" x14ac:dyDescent="0.15">
      <c r="A321" s="4" t="s">
        <v>131</v>
      </c>
      <c r="B321" s="4" t="s">
        <v>15</v>
      </c>
      <c r="C321" s="5">
        <v>15.075376884422001</v>
      </c>
      <c r="D321" s="5">
        <v>1000</v>
      </c>
      <c r="E321" s="4" t="s">
        <v>13</v>
      </c>
      <c r="F321" s="5">
        <v>3</v>
      </c>
      <c r="G321" s="5">
        <v>0</v>
      </c>
      <c r="H321" s="4" t="s">
        <v>488</v>
      </c>
      <c r="I321" s="4" t="s">
        <v>1234</v>
      </c>
      <c r="J321" s="4" t="s">
        <v>1235</v>
      </c>
      <c r="K321" s="4" t="s">
        <v>10</v>
      </c>
      <c r="L321" s="4" t="s">
        <v>487</v>
      </c>
      <c r="M321" s="5">
        <v>0</v>
      </c>
      <c r="N321" s="4" t="s">
        <v>1241</v>
      </c>
    </row>
    <row r="322" spans="1:14" x14ac:dyDescent="0.15">
      <c r="A322" s="4" t="s">
        <v>131</v>
      </c>
      <c r="B322" s="4" t="s">
        <v>23</v>
      </c>
      <c r="C322" s="5">
        <v>37.688442211055005</v>
      </c>
      <c r="D322" s="5">
        <v>1000</v>
      </c>
      <c r="E322" s="4" t="s">
        <v>13</v>
      </c>
      <c r="F322" s="5">
        <v>3</v>
      </c>
      <c r="G322" s="5">
        <v>0</v>
      </c>
      <c r="H322" s="4" t="s">
        <v>488</v>
      </c>
      <c r="I322" s="4" t="s">
        <v>1234</v>
      </c>
      <c r="J322" s="4" t="s">
        <v>1235</v>
      </c>
      <c r="K322" s="4" t="s">
        <v>10</v>
      </c>
      <c r="L322" s="4" t="s">
        <v>487</v>
      </c>
      <c r="M322" s="5">
        <v>0</v>
      </c>
      <c r="N322" s="4" t="s">
        <v>1241</v>
      </c>
    </row>
    <row r="323" spans="1:14" x14ac:dyDescent="0.15">
      <c r="A323" s="4" t="s">
        <v>131</v>
      </c>
      <c r="B323" s="4" t="s">
        <v>24</v>
      </c>
      <c r="C323" s="5">
        <v>15.075376884422001</v>
      </c>
      <c r="D323" s="5">
        <v>1000</v>
      </c>
      <c r="E323" s="4" t="s">
        <v>13</v>
      </c>
      <c r="F323" s="5">
        <v>3</v>
      </c>
      <c r="G323" s="5">
        <v>0</v>
      </c>
      <c r="H323" s="4" t="s">
        <v>488</v>
      </c>
      <c r="I323" s="4" t="s">
        <v>1234</v>
      </c>
      <c r="J323" s="4" t="s">
        <v>1235</v>
      </c>
      <c r="K323" s="4" t="s">
        <v>10</v>
      </c>
      <c r="L323" s="4" t="s">
        <v>487</v>
      </c>
      <c r="M323" s="5">
        <v>0</v>
      </c>
      <c r="N323" s="4" t="s">
        <v>1241</v>
      </c>
    </row>
    <row r="324" spans="1:14" x14ac:dyDescent="0.15">
      <c r="A324" s="4" t="s">
        <v>131</v>
      </c>
      <c r="B324" s="4" t="s">
        <v>17</v>
      </c>
      <c r="C324" s="5">
        <v>6.1728395061730001</v>
      </c>
      <c r="D324" s="5">
        <v>1000</v>
      </c>
      <c r="E324" s="4" t="s">
        <v>18</v>
      </c>
      <c r="F324" s="5">
        <v>0</v>
      </c>
      <c r="G324" s="5">
        <v>0</v>
      </c>
      <c r="H324" s="4" t="s">
        <v>488</v>
      </c>
      <c r="I324" s="4" t="s">
        <v>1234</v>
      </c>
      <c r="J324" s="4" t="s">
        <v>1235</v>
      </c>
      <c r="K324" s="4" t="s">
        <v>10</v>
      </c>
      <c r="L324" s="4" t="s">
        <v>487</v>
      </c>
      <c r="M324" s="5">
        <v>0</v>
      </c>
      <c r="N324" s="4" t="s">
        <v>1241</v>
      </c>
    </row>
    <row r="325" spans="1:14" x14ac:dyDescent="0.15">
      <c r="A325" s="4" t="s">
        <v>131</v>
      </c>
      <c r="B325" s="4" t="s">
        <v>19</v>
      </c>
      <c r="C325" s="5">
        <v>4</v>
      </c>
      <c r="D325" s="5">
        <v>1</v>
      </c>
      <c r="E325" s="4" t="s">
        <v>18</v>
      </c>
      <c r="F325" s="5">
        <v>0</v>
      </c>
      <c r="G325" s="5">
        <v>0</v>
      </c>
      <c r="H325" s="4" t="s">
        <v>488</v>
      </c>
      <c r="I325" s="4" t="s">
        <v>1236</v>
      </c>
      <c r="J325" s="4" t="s">
        <v>1235</v>
      </c>
      <c r="K325" s="4" t="s">
        <v>10</v>
      </c>
      <c r="L325" s="4" t="s">
        <v>487</v>
      </c>
      <c r="M325" s="5">
        <v>0</v>
      </c>
      <c r="N325" s="4" t="s">
        <v>1241</v>
      </c>
    </row>
    <row r="326" spans="1:14" x14ac:dyDescent="0.15">
      <c r="A326" s="4" t="s">
        <v>135</v>
      </c>
      <c r="B326" s="4" t="s">
        <v>136</v>
      </c>
      <c r="C326" s="5">
        <v>1</v>
      </c>
      <c r="D326" s="5">
        <v>1</v>
      </c>
      <c r="E326" s="4" t="s">
        <v>9</v>
      </c>
      <c r="F326" s="5">
        <v>0</v>
      </c>
      <c r="G326" s="5">
        <v>0</v>
      </c>
      <c r="H326" s="4" t="s">
        <v>488</v>
      </c>
      <c r="I326" s="4" t="s">
        <v>1234</v>
      </c>
      <c r="J326" s="4" t="s">
        <v>1235</v>
      </c>
      <c r="K326" s="4" t="s">
        <v>10</v>
      </c>
      <c r="L326" s="4" t="s">
        <v>487</v>
      </c>
      <c r="M326" s="5">
        <v>0</v>
      </c>
      <c r="N326" s="4" t="s">
        <v>1241</v>
      </c>
    </row>
    <row r="327" spans="1:14" x14ac:dyDescent="0.15">
      <c r="A327" s="4" t="s">
        <v>137</v>
      </c>
      <c r="B327" s="4" t="s">
        <v>136</v>
      </c>
      <c r="C327" s="5">
        <v>2</v>
      </c>
      <c r="D327" s="5">
        <v>1</v>
      </c>
      <c r="E327" s="4" t="s">
        <v>9</v>
      </c>
      <c r="F327" s="5">
        <v>0</v>
      </c>
      <c r="G327" s="5">
        <v>0</v>
      </c>
      <c r="H327" s="4" t="s">
        <v>488</v>
      </c>
      <c r="I327" s="4" t="s">
        <v>1234</v>
      </c>
      <c r="J327" s="4" t="s">
        <v>1235</v>
      </c>
      <c r="K327" s="4" t="s">
        <v>10</v>
      </c>
      <c r="L327" s="4" t="s">
        <v>487</v>
      </c>
      <c r="M327" s="5">
        <v>0</v>
      </c>
      <c r="N327" s="4" t="s">
        <v>1241</v>
      </c>
    </row>
    <row r="328" spans="1:14" x14ac:dyDescent="0.15">
      <c r="A328" s="4" t="s">
        <v>138</v>
      </c>
      <c r="B328" s="4" t="s">
        <v>136</v>
      </c>
      <c r="C328" s="5">
        <v>500</v>
      </c>
      <c r="D328" s="5">
        <v>1000</v>
      </c>
      <c r="E328" s="4" t="s">
        <v>9</v>
      </c>
      <c r="F328" s="5">
        <v>0</v>
      </c>
      <c r="G328" s="5">
        <v>0</v>
      </c>
      <c r="H328" s="4" t="s">
        <v>488</v>
      </c>
      <c r="I328" s="4" t="s">
        <v>1234</v>
      </c>
      <c r="J328" s="4" t="s">
        <v>1235</v>
      </c>
      <c r="K328" s="4" t="s">
        <v>10</v>
      </c>
      <c r="L328" s="4" t="s">
        <v>487</v>
      </c>
      <c r="M328" s="5">
        <v>0</v>
      </c>
      <c r="N328" s="4" t="s">
        <v>1241</v>
      </c>
    </row>
    <row r="329" spans="1:14" x14ac:dyDescent="0.15">
      <c r="A329" s="4" t="s">
        <v>136</v>
      </c>
      <c r="B329" s="4" t="s">
        <v>33</v>
      </c>
      <c r="C329" s="5">
        <v>6</v>
      </c>
      <c r="D329" s="5">
        <v>1</v>
      </c>
      <c r="E329" s="4" t="s">
        <v>9</v>
      </c>
      <c r="F329" s="5">
        <v>3</v>
      </c>
      <c r="G329" s="5">
        <v>0</v>
      </c>
      <c r="H329" s="4" t="s">
        <v>488</v>
      </c>
      <c r="I329" s="4" t="s">
        <v>1234</v>
      </c>
      <c r="J329" s="4" t="s">
        <v>1235</v>
      </c>
      <c r="K329" s="4" t="s">
        <v>10</v>
      </c>
      <c r="L329" s="4" t="s">
        <v>487</v>
      </c>
      <c r="M329" s="5">
        <v>0</v>
      </c>
      <c r="N329" s="4" t="s">
        <v>1241</v>
      </c>
    </row>
    <row r="330" spans="1:14" x14ac:dyDescent="0.15">
      <c r="A330" s="4" t="s">
        <v>136</v>
      </c>
      <c r="B330" s="4" t="s">
        <v>12</v>
      </c>
      <c r="C330" s="5">
        <v>0.814070351759</v>
      </c>
      <c r="D330" s="5">
        <v>1</v>
      </c>
      <c r="E330" s="4" t="s">
        <v>13</v>
      </c>
      <c r="F330" s="5">
        <v>3</v>
      </c>
      <c r="G330" s="5">
        <v>0</v>
      </c>
      <c r="H330" s="4" t="s">
        <v>488</v>
      </c>
      <c r="I330" s="4" t="s">
        <v>1234</v>
      </c>
      <c r="J330" s="4" t="s">
        <v>1235</v>
      </c>
      <c r="K330" s="4" t="s">
        <v>10</v>
      </c>
      <c r="L330" s="4" t="s">
        <v>487</v>
      </c>
      <c r="M330" s="5">
        <v>0</v>
      </c>
      <c r="N330" s="4" t="s">
        <v>1241</v>
      </c>
    </row>
    <row r="331" spans="1:14" x14ac:dyDescent="0.15">
      <c r="A331" s="4" t="s">
        <v>136</v>
      </c>
      <c r="B331" s="4" t="s">
        <v>14</v>
      </c>
      <c r="C331" s="5">
        <v>0.90452261306500004</v>
      </c>
      <c r="D331" s="5">
        <v>1</v>
      </c>
      <c r="E331" s="4" t="s">
        <v>13</v>
      </c>
      <c r="F331" s="5">
        <v>3</v>
      </c>
      <c r="G331" s="5">
        <v>0</v>
      </c>
      <c r="H331" s="4" t="s">
        <v>488</v>
      </c>
      <c r="I331" s="4" t="s">
        <v>1234</v>
      </c>
      <c r="J331" s="4" t="s">
        <v>1235</v>
      </c>
      <c r="K331" s="4" t="s">
        <v>10</v>
      </c>
      <c r="L331" s="4" t="s">
        <v>487</v>
      </c>
      <c r="M331" s="5">
        <v>0</v>
      </c>
      <c r="N331" s="4" t="s">
        <v>1241</v>
      </c>
    </row>
    <row r="332" spans="1:14" x14ac:dyDescent="0.15">
      <c r="A332" s="4" t="s">
        <v>136</v>
      </c>
      <c r="B332" s="4" t="s">
        <v>15</v>
      </c>
      <c r="C332" s="5">
        <v>18.090452261307</v>
      </c>
      <c r="D332" s="5">
        <v>1000</v>
      </c>
      <c r="E332" s="4" t="s">
        <v>13</v>
      </c>
      <c r="F332" s="5">
        <v>3</v>
      </c>
      <c r="G332" s="5">
        <v>0</v>
      </c>
      <c r="H332" s="4" t="s">
        <v>488</v>
      </c>
      <c r="I332" s="4" t="s">
        <v>1234</v>
      </c>
      <c r="J332" s="4" t="s">
        <v>1235</v>
      </c>
      <c r="K332" s="4" t="s">
        <v>10</v>
      </c>
      <c r="L332" s="4" t="s">
        <v>487</v>
      </c>
      <c r="M332" s="5">
        <v>0</v>
      </c>
      <c r="N332" s="4" t="s">
        <v>1241</v>
      </c>
    </row>
    <row r="333" spans="1:14" x14ac:dyDescent="0.15">
      <c r="A333" s="4" t="s">
        <v>136</v>
      </c>
      <c r="B333" s="4" t="s">
        <v>23</v>
      </c>
      <c r="C333" s="5">
        <v>45.226130653265997</v>
      </c>
      <c r="D333" s="5">
        <v>1000</v>
      </c>
      <c r="E333" s="4" t="s">
        <v>13</v>
      </c>
      <c r="F333" s="5">
        <v>3</v>
      </c>
      <c r="G333" s="5">
        <v>0</v>
      </c>
      <c r="H333" s="4" t="s">
        <v>488</v>
      </c>
      <c r="I333" s="4" t="s">
        <v>1234</v>
      </c>
      <c r="J333" s="4" t="s">
        <v>1235</v>
      </c>
      <c r="K333" s="4" t="s">
        <v>10</v>
      </c>
      <c r="L333" s="4" t="s">
        <v>487</v>
      </c>
      <c r="M333" s="5">
        <v>0</v>
      </c>
      <c r="N333" s="4" t="s">
        <v>1241</v>
      </c>
    </row>
    <row r="334" spans="1:14" x14ac:dyDescent="0.15">
      <c r="A334" s="4" t="s">
        <v>136</v>
      </c>
      <c r="B334" s="4" t="s">
        <v>24</v>
      </c>
      <c r="C334" s="5">
        <v>18.090452261307</v>
      </c>
      <c r="D334" s="5">
        <v>1000</v>
      </c>
      <c r="E334" s="4" t="s">
        <v>13</v>
      </c>
      <c r="F334" s="5">
        <v>3</v>
      </c>
      <c r="G334" s="5">
        <v>0</v>
      </c>
      <c r="H334" s="4" t="s">
        <v>488</v>
      </c>
      <c r="I334" s="4" t="s">
        <v>1234</v>
      </c>
      <c r="J334" s="4" t="s">
        <v>1235</v>
      </c>
      <c r="K334" s="4" t="s">
        <v>10</v>
      </c>
      <c r="L334" s="4" t="s">
        <v>487</v>
      </c>
      <c r="M334" s="5">
        <v>0</v>
      </c>
      <c r="N334" s="4" t="s">
        <v>1241</v>
      </c>
    </row>
    <row r="335" spans="1:14" x14ac:dyDescent="0.15">
      <c r="A335" s="4" t="s">
        <v>136</v>
      </c>
      <c r="B335" s="4" t="s">
        <v>17</v>
      </c>
      <c r="C335" s="5">
        <v>6.4102564102559993</v>
      </c>
      <c r="D335" s="5">
        <v>1000</v>
      </c>
      <c r="E335" s="4" t="s">
        <v>18</v>
      </c>
      <c r="F335" s="5">
        <v>0</v>
      </c>
      <c r="G335" s="5">
        <v>0</v>
      </c>
      <c r="H335" s="4" t="s">
        <v>488</v>
      </c>
      <c r="I335" s="4" t="s">
        <v>1234</v>
      </c>
      <c r="J335" s="4" t="s">
        <v>1235</v>
      </c>
      <c r="K335" s="4" t="s">
        <v>10</v>
      </c>
      <c r="L335" s="4" t="s">
        <v>487</v>
      </c>
      <c r="M335" s="5">
        <v>0</v>
      </c>
      <c r="N335" s="4" t="s">
        <v>1241</v>
      </c>
    </row>
    <row r="336" spans="1:14" x14ac:dyDescent="0.15">
      <c r="A336" s="4" t="s">
        <v>136</v>
      </c>
      <c r="B336" s="4" t="s">
        <v>19</v>
      </c>
      <c r="C336" s="5">
        <v>4</v>
      </c>
      <c r="D336" s="5">
        <v>1</v>
      </c>
      <c r="E336" s="4" t="s">
        <v>18</v>
      </c>
      <c r="F336" s="5">
        <v>0</v>
      </c>
      <c r="G336" s="5">
        <v>0</v>
      </c>
      <c r="H336" s="4" t="s">
        <v>488</v>
      </c>
      <c r="I336" s="4" t="s">
        <v>1236</v>
      </c>
      <c r="J336" s="4" t="s">
        <v>1235</v>
      </c>
      <c r="K336" s="4" t="s">
        <v>10</v>
      </c>
      <c r="L336" s="4" t="s">
        <v>487</v>
      </c>
      <c r="M336" s="5">
        <v>0</v>
      </c>
      <c r="N336" s="4" t="s">
        <v>1241</v>
      </c>
    </row>
    <row r="337" spans="1:14" x14ac:dyDescent="0.15">
      <c r="A337" s="4" t="s">
        <v>139</v>
      </c>
      <c r="B337" s="4" t="s">
        <v>140</v>
      </c>
      <c r="C337" s="5">
        <v>1</v>
      </c>
      <c r="D337" s="5">
        <v>1</v>
      </c>
      <c r="E337" s="4" t="s">
        <v>9</v>
      </c>
      <c r="F337" s="5">
        <v>0</v>
      </c>
      <c r="G337" s="5">
        <v>0</v>
      </c>
      <c r="H337" s="4" t="s">
        <v>488</v>
      </c>
      <c r="I337" s="4" t="s">
        <v>1234</v>
      </c>
      <c r="J337" s="4" t="s">
        <v>1235</v>
      </c>
      <c r="K337" s="4" t="s">
        <v>10</v>
      </c>
      <c r="L337" s="4" t="s">
        <v>487</v>
      </c>
      <c r="M337" s="5">
        <v>0</v>
      </c>
      <c r="N337" s="4" t="s">
        <v>1241</v>
      </c>
    </row>
    <row r="338" spans="1:14" x14ac:dyDescent="0.15">
      <c r="A338" s="4" t="s">
        <v>141</v>
      </c>
      <c r="B338" s="4" t="s">
        <v>140</v>
      </c>
      <c r="C338" s="5">
        <v>2</v>
      </c>
      <c r="D338" s="5">
        <v>1</v>
      </c>
      <c r="E338" s="4" t="s">
        <v>9</v>
      </c>
      <c r="F338" s="5">
        <v>0</v>
      </c>
      <c r="G338" s="5">
        <v>0</v>
      </c>
      <c r="H338" s="4" t="s">
        <v>488</v>
      </c>
      <c r="I338" s="4" t="s">
        <v>1234</v>
      </c>
      <c r="J338" s="4" t="s">
        <v>1235</v>
      </c>
      <c r="K338" s="4" t="s">
        <v>10</v>
      </c>
      <c r="L338" s="4" t="s">
        <v>487</v>
      </c>
      <c r="M338" s="5">
        <v>0</v>
      </c>
      <c r="N338" s="4" t="s">
        <v>1241</v>
      </c>
    </row>
    <row r="339" spans="1:14" x14ac:dyDescent="0.15">
      <c r="A339" s="4" t="s">
        <v>140</v>
      </c>
      <c r="B339" s="4" t="s">
        <v>29</v>
      </c>
      <c r="C339" s="5">
        <v>7</v>
      </c>
      <c r="D339" s="5">
        <v>1</v>
      </c>
      <c r="E339" s="4" t="s">
        <v>9</v>
      </c>
      <c r="F339" s="5">
        <v>3</v>
      </c>
      <c r="G339" s="5">
        <v>0</v>
      </c>
      <c r="H339" s="4" t="s">
        <v>488</v>
      </c>
      <c r="I339" s="4" t="s">
        <v>1234</v>
      </c>
      <c r="J339" s="4" t="s">
        <v>1235</v>
      </c>
      <c r="K339" s="4" t="s">
        <v>10</v>
      </c>
      <c r="L339" s="4" t="s">
        <v>487</v>
      </c>
      <c r="M339" s="5">
        <v>0</v>
      </c>
      <c r="N339" s="4" t="s">
        <v>1241</v>
      </c>
    </row>
    <row r="340" spans="1:14" x14ac:dyDescent="0.15">
      <c r="A340" s="4" t="s">
        <v>140</v>
      </c>
      <c r="B340" s="4" t="s">
        <v>12</v>
      </c>
      <c r="C340" s="5">
        <v>0.474874371859</v>
      </c>
      <c r="D340" s="5">
        <v>1</v>
      </c>
      <c r="E340" s="4" t="s">
        <v>13</v>
      </c>
      <c r="F340" s="5">
        <v>3</v>
      </c>
      <c r="G340" s="5">
        <v>0</v>
      </c>
      <c r="H340" s="4" t="s">
        <v>488</v>
      </c>
      <c r="I340" s="4" t="s">
        <v>1234</v>
      </c>
      <c r="J340" s="4" t="s">
        <v>1235</v>
      </c>
      <c r="K340" s="4" t="s">
        <v>10</v>
      </c>
      <c r="L340" s="4" t="s">
        <v>487</v>
      </c>
      <c r="M340" s="5">
        <v>0</v>
      </c>
      <c r="N340" s="4" t="s">
        <v>1241</v>
      </c>
    </row>
    <row r="341" spans="1:14" x14ac:dyDescent="0.15">
      <c r="A341" s="4" t="s">
        <v>140</v>
      </c>
      <c r="B341" s="4" t="s">
        <v>14</v>
      </c>
      <c r="C341" s="5">
        <v>0.52763819095499997</v>
      </c>
      <c r="D341" s="5">
        <v>1</v>
      </c>
      <c r="E341" s="4" t="s">
        <v>13</v>
      </c>
      <c r="F341" s="5">
        <v>3</v>
      </c>
      <c r="G341" s="5">
        <v>0</v>
      </c>
      <c r="H341" s="4" t="s">
        <v>488</v>
      </c>
      <c r="I341" s="4" t="s">
        <v>1234</v>
      </c>
      <c r="J341" s="4" t="s">
        <v>1235</v>
      </c>
      <c r="K341" s="4" t="s">
        <v>10</v>
      </c>
      <c r="L341" s="4" t="s">
        <v>487</v>
      </c>
      <c r="M341" s="5">
        <v>0</v>
      </c>
      <c r="N341" s="4" t="s">
        <v>1241</v>
      </c>
    </row>
    <row r="342" spans="1:14" x14ac:dyDescent="0.15">
      <c r="A342" s="4" t="s">
        <v>140</v>
      </c>
      <c r="B342" s="4" t="s">
        <v>15</v>
      </c>
      <c r="C342" s="5">
        <v>10.552763819096</v>
      </c>
      <c r="D342" s="5">
        <v>1000</v>
      </c>
      <c r="E342" s="4" t="s">
        <v>13</v>
      </c>
      <c r="F342" s="5">
        <v>3</v>
      </c>
      <c r="G342" s="5">
        <v>0</v>
      </c>
      <c r="H342" s="4" t="s">
        <v>488</v>
      </c>
      <c r="I342" s="4" t="s">
        <v>1234</v>
      </c>
      <c r="J342" s="4" t="s">
        <v>1235</v>
      </c>
      <c r="K342" s="4" t="s">
        <v>10</v>
      </c>
      <c r="L342" s="4" t="s">
        <v>487</v>
      </c>
      <c r="M342" s="5">
        <v>0</v>
      </c>
      <c r="N342" s="4" t="s">
        <v>1241</v>
      </c>
    </row>
    <row r="343" spans="1:14" x14ac:dyDescent="0.15">
      <c r="A343" s="4" t="s">
        <v>140</v>
      </c>
      <c r="B343" s="4" t="s">
        <v>23</v>
      </c>
      <c r="C343" s="5">
        <v>26.381909547738999</v>
      </c>
      <c r="D343" s="5">
        <v>1000</v>
      </c>
      <c r="E343" s="4" t="s">
        <v>13</v>
      </c>
      <c r="F343" s="5">
        <v>3</v>
      </c>
      <c r="G343" s="5">
        <v>0</v>
      </c>
      <c r="H343" s="4" t="s">
        <v>488</v>
      </c>
      <c r="I343" s="4" t="s">
        <v>1234</v>
      </c>
      <c r="J343" s="4" t="s">
        <v>1235</v>
      </c>
      <c r="K343" s="4" t="s">
        <v>10</v>
      </c>
      <c r="L343" s="4" t="s">
        <v>487</v>
      </c>
      <c r="M343" s="5">
        <v>0</v>
      </c>
      <c r="N343" s="4" t="s">
        <v>1241</v>
      </c>
    </row>
    <row r="344" spans="1:14" x14ac:dyDescent="0.15">
      <c r="A344" s="4" t="s">
        <v>140</v>
      </c>
      <c r="B344" s="4" t="s">
        <v>24</v>
      </c>
      <c r="C344" s="5">
        <v>10.552763819096</v>
      </c>
      <c r="D344" s="5">
        <v>1000</v>
      </c>
      <c r="E344" s="4" t="s">
        <v>13</v>
      </c>
      <c r="F344" s="5">
        <v>3</v>
      </c>
      <c r="G344" s="5">
        <v>0</v>
      </c>
      <c r="H344" s="4" t="s">
        <v>488</v>
      </c>
      <c r="I344" s="4" t="s">
        <v>1234</v>
      </c>
      <c r="J344" s="4" t="s">
        <v>1235</v>
      </c>
      <c r="K344" s="4" t="s">
        <v>10</v>
      </c>
      <c r="L344" s="4" t="s">
        <v>487</v>
      </c>
      <c r="M344" s="5">
        <v>0</v>
      </c>
      <c r="N344" s="4" t="s">
        <v>1241</v>
      </c>
    </row>
    <row r="345" spans="1:14" x14ac:dyDescent="0.15">
      <c r="A345" s="4" t="s">
        <v>140</v>
      </c>
      <c r="B345" s="4" t="s">
        <v>17</v>
      </c>
      <c r="C345" s="5">
        <v>7.2463768115939997</v>
      </c>
      <c r="D345" s="5">
        <v>1000</v>
      </c>
      <c r="E345" s="4" t="s">
        <v>18</v>
      </c>
      <c r="F345" s="5">
        <v>0</v>
      </c>
      <c r="G345" s="5">
        <v>0</v>
      </c>
      <c r="H345" s="4" t="s">
        <v>488</v>
      </c>
      <c r="I345" s="4" t="s">
        <v>1234</v>
      </c>
      <c r="J345" s="4" t="s">
        <v>1235</v>
      </c>
      <c r="K345" s="4" t="s">
        <v>10</v>
      </c>
      <c r="L345" s="4" t="s">
        <v>487</v>
      </c>
      <c r="M345" s="5">
        <v>0</v>
      </c>
      <c r="N345" s="4" t="s">
        <v>1241</v>
      </c>
    </row>
    <row r="346" spans="1:14" x14ac:dyDescent="0.15">
      <c r="A346" s="4" t="s">
        <v>140</v>
      </c>
      <c r="B346" s="4" t="s">
        <v>19</v>
      </c>
      <c r="C346" s="5">
        <v>4</v>
      </c>
      <c r="D346" s="5">
        <v>1</v>
      </c>
      <c r="E346" s="4" t="s">
        <v>18</v>
      </c>
      <c r="F346" s="5">
        <v>0</v>
      </c>
      <c r="G346" s="5">
        <v>0</v>
      </c>
      <c r="H346" s="4" t="s">
        <v>488</v>
      </c>
      <c r="I346" s="4" t="s">
        <v>1236</v>
      </c>
      <c r="J346" s="4" t="s">
        <v>1235</v>
      </c>
      <c r="K346" s="4" t="s">
        <v>10</v>
      </c>
      <c r="L346" s="4" t="s">
        <v>487</v>
      </c>
      <c r="M346" s="5">
        <v>0</v>
      </c>
      <c r="N346" s="4" t="s">
        <v>1241</v>
      </c>
    </row>
    <row r="347" spans="1:14" x14ac:dyDescent="0.15">
      <c r="A347" s="4" t="s">
        <v>142</v>
      </c>
      <c r="B347" s="4" t="s">
        <v>143</v>
      </c>
      <c r="C347" s="5">
        <v>1</v>
      </c>
      <c r="D347" s="5">
        <v>1</v>
      </c>
      <c r="E347" s="4" t="s">
        <v>9</v>
      </c>
      <c r="F347" s="5">
        <v>0</v>
      </c>
      <c r="G347" s="5">
        <v>0</v>
      </c>
      <c r="H347" s="4" t="s">
        <v>488</v>
      </c>
      <c r="I347" s="4" t="s">
        <v>1234</v>
      </c>
      <c r="J347" s="4" t="s">
        <v>1235</v>
      </c>
      <c r="K347" s="4" t="s">
        <v>10</v>
      </c>
      <c r="L347" s="4" t="s">
        <v>487</v>
      </c>
      <c r="M347" s="5">
        <v>0</v>
      </c>
      <c r="N347" s="4" t="s">
        <v>1241</v>
      </c>
    </row>
    <row r="348" spans="1:14" x14ac:dyDescent="0.15">
      <c r="A348" s="4" t="s">
        <v>144</v>
      </c>
      <c r="B348" s="4" t="s">
        <v>143</v>
      </c>
      <c r="C348" s="5">
        <v>2</v>
      </c>
      <c r="D348" s="5">
        <v>1</v>
      </c>
      <c r="E348" s="4" t="s">
        <v>9</v>
      </c>
      <c r="F348" s="5">
        <v>0</v>
      </c>
      <c r="G348" s="5">
        <v>0</v>
      </c>
      <c r="H348" s="4" t="s">
        <v>488</v>
      </c>
      <c r="I348" s="4" t="s">
        <v>1234</v>
      </c>
      <c r="J348" s="4" t="s">
        <v>1235</v>
      </c>
      <c r="K348" s="4" t="s">
        <v>10</v>
      </c>
      <c r="L348" s="4" t="s">
        <v>487</v>
      </c>
      <c r="M348" s="5">
        <v>0</v>
      </c>
      <c r="N348" s="4" t="s">
        <v>1241</v>
      </c>
    </row>
    <row r="349" spans="1:14" x14ac:dyDescent="0.15">
      <c r="A349" s="4" t="s">
        <v>145</v>
      </c>
      <c r="B349" s="4" t="s">
        <v>143</v>
      </c>
      <c r="C349" s="5">
        <v>4</v>
      </c>
      <c r="D349" s="5">
        <v>1</v>
      </c>
      <c r="E349" s="4" t="s">
        <v>9</v>
      </c>
      <c r="F349" s="5">
        <v>0</v>
      </c>
      <c r="G349" s="5">
        <v>0</v>
      </c>
      <c r="H349" s="4" t="s">
        <v>488</v>
      </c>
      <c r="I349" s="4" t="s">
        <v>1234</v>
      </c>
      <c r="J349" s="4" t="s">
        <v>1235</v>
      </c>
      <c r="K349" s="4" t="s">
        <v>10</v>
      </c>
      <c r="L349" s="4" t="s">
        <v>487</v>
      </c>
      <c r="M349" s="5">
        <v>0</v>
      </c>
      <c r="N349" s="4" t="s">
        <v>1241</v>
      </c>
    </row>
    <row r="350" spans="1:14" x14ac:dyDescent="0.15">
      <c r="A350" s="4" t="s">
        <v>146</v>
      </c>
      <c r="B350" s="4" t="s">
        <v>143</v>
      </c>
      <c r="C350" s="5">
        <v>500</v>
      </c>
      <c r="D350" s="5">
        <v>1000</v>
      </c>
      <c r="E350" s="4" t="s">
        <v>9</v>
      </c>
      <c r="F350" s="5">
        <v>0</v>
      </c>
      <c r="G350" s="5">
        <v>0</v>
      </c>
      <c r="H350" s="4" t="s">
        <v>488</v>
      </c>
      <c r="I350" s="4" t="s">
        <v>1234</v>
      </c>
      <c r="J350" s="4" t="s">
        <v>1235</v>
      </c>
      <c r="K350" s="4" t="s">
        <v>10</v>
      </c>
      <c r="L350" s="4" t="s">
        <v>487</v>
      </c>
      <c r="M350" s="5">
        <v>0</v>
      </c>
      <c r="N350" s="4" t="s">
        <v>1241</v>
      </c>
    </row>
    <row r="351" spans="1:14" x14ac:dyDescent="0.15">
      <c r="A351" s="4" t="s">
        <v>143</v>
      </c>
      <c r="B351" s="4" t="s">
        <v>33</v>
      </c>
      <c r="C351" s="5">
        <v>8</v>
      </c>
      <c r="D351" s="5">
        <v>1</v>
      </c>
      <c r="E351" s="4" t="s">
        <v>9</v>
      </c>
      <c r="F351" s="5">
        <v>3</v>
      </c>
      <c r="G351" s="5">
        <v>0</v>
      </c>
      <c r="H351" s="4" t="s">
        <v>488</v>
      </c>
      <c r="I351" s="4" t="s">
        <v>1234</v>
      </c>
      <c r="J351" s="4" t="s">
        <v>1235</v>
      </c>
      <c r="K351" s="4" t="s">
        <v>10</v>
      </c>
      <c r="L351" s="4" t="s">
        <v>487</v>
      </c>
      <c r="M351" s="5">
        <v>0</v>
      </c>
      <c r="N351" s="4" t="s">
        <v>1241</v>
      </c>
    </row>
    <row r="352" spans="1:14" x14ac:dyDescent="0.15">
      <c r="A352" s="4" t="s">
        <v>143</v>
      </c>
      <c r="B352" s="4" t="s">
        <v>12</v>
      </c>
      <c r="C352" s="5">
        <v>1.165025125628</v>
      </c>
      <c r="D352" s="5">
        <v>1</v>
      </c>
      <c r="E352" s="4" t="s">
        <v>13</v>
      </c>
      <c r="F352" s="5">
        <v>3</v>
      </c>
      <c r="G352" s="5">
        <v>0</v>
      </c>
      <c r="H352" s="4" t="s">
        <v>488</v>
      </c>
      <c r="I352" s="4" t="s">
        <v>1234</v>
      </c>
      <c r="J352" s="4" t="s">
        <v>1235</v>
      </c>
      <c r="K352" s="4" t="s">
        <v>10</v>
      </c>
      <c r="L352" s="4" t="s">
        <v>487</v>
      </c>
      <c r="M352" s="5">
        <v>0</v>
      </c>
      <c r="N352" s="4" t="s">
        <v>1241</v>
      </c>
    </row>
    <row r="353" spans="1:14" x14ac:dyDescent="0.15">
      <c r="A353" s="4" t="s">
        <v>143</v>
      </c>
      <c r="B353" s="4" t="s">
        <v>14</v>
      </c>
      <c r="C353" s="5">
        <v>1.2944723618089999</v>
      </c>
      <c r="D353" s="5">
        <v>1</v>
      </c>
      <c r="E353" s="4" t="s">
        <v>13</v>
      </c>
      <c r="F353" s="5">
        <v>3</v>
      </c>
      <c r="G353" s="5">
        <v>0</v>
      </c>
      <c r="H353" s="4" t="s">
        <v>488</v>
      </c>
      <c r="I353" s="4" t="s">
        <v>1234</v>
      </c>
      <c r="J353" s="4" t="s">
        <v>1235</v>
      </c>
      <c r="K353" s="4" t="s">
        <v>10</v>
      </c>
      <c r="L353" s="4" t="s">
        <v>487</v>
      </c>
      <c r="M353" s="5">
        <v>0</v>
      </c>
      <c r="N353" s="4" t="s">
        <v>1241</v>
      </c>
    </row>
    <row r="354" spans="1:14" x14ac:dyDescent="0.15">
      <c r="A354" s="4" t="s">
        <v>143</v>
      </c>
      <c r="B354" s="4" t="s">
        <v>15</v>
      </c>
      <c r="C354" s="5">
        <v>25.889447236180999</v>
      </c>
      <c r="D354" s="5">
        <v>1000</v>
      </c>
      <c r="E354" s="4" t="s">
        <v>13</v>
      </c>
      <c r="F354" s="5">
        <v>3</v>
      </c>
      <c r="G354" s="5">
        <v>0</v>
      </c>
      <c r="H354" s="4" t="s">
        <v>488</v>
      </c>
      <c r="I354" s="4" t="s">
        <v>1234</v>
      </c>
      <c r="J354" s="4" t="s">
        <v>1235</v>
      </c>
      <c r="K354" s="4" t="s">
        <v>10</v>
      </c>
      <c r="L354" s="4" t="s">
        <v>487</v>
      </c>
      <c r="M354" s="5">
        <v>0</v>
      </c>
      <c r="N354" s="4" t="s">
        <v>1241</v>
      </c>
    </row>
    <row r="355" spans="1:14" x14ac:dyDescent="0.15">
      <c r="A355" s="4" t="s">
        <v>143</v>
      </c>
      <c r="B355" s="4" t="s">
        <v>23</v>
      </c>
      <c r="C355" s="5">
        <v>64.723618090452007</v>
      </c>
      <c r="D355" s="5">
        <v>1000</v>
      </c>
      <c r="E355" s="4" t="s">
        <v>13</v>
      </c>
      <c r="F355" s="5">
        <v>3</v>
      </c>
      <c r="G355" s="5">
        <v>0</v>
      </c>
      <c r="H355" s="4" t="s">
        <v>488</v>
      </c>
      <c r="I355" s="4" t="s">
        <v>1234</v>
      </c>
      <c r="J355" s="4" t="s">
        <v>1235</v>
      </c>
      <c r="K355" s="4" t="s">
        <v>10</v>
      </c>
      <c r="L355" s="4" t="s">
        <v>487</v>
      </c>
      <c r="M355" s="5">
        <v>0</v>
      </c>
      <c r="N355" s="4" t="s">
        <v>1241</v>
      </c>
    </row>
    <row r="356" spans="1:14" x14ac:dyDescent="0.15">
      <c r="A356" s="4" t="s">
        <v>143</v>
      </c>
      <c r="B356" s="4" t="s">
        <v>24</v>
      </c>
      <c r="C356" s="5">
        <v>25.889447236180999</v>
      </c>
      <c r="D356" s="5">
        <v>1000</v>
      </c>
      <c r="E356" s="4" t="s">
        <v>13</v>
      </c>
      <c r="F356" s="5">
        <v>3</v>
      </c>
      <c r="G356" s="5">
        <v>0</v>
      </c>
      <c r="H356" s="4" t="s">
        <v>488</v>
      </c>
      <c r="I356" s="4" t="s">
        <v>1234</v>
      </c>
      <c r="J356" s="4" t="s">
        <v>1235</v>
      </c>
      <c r="K356" s="4" t="s">
        <v>10</v>
      </c>
      <c r="L356" s="4" t="s">
        <v>487</v>
      </c>
      <c r="M356" s="5">
        <v>0</v>
      </c>
      <c r="N356" s="4" t="s">
        <v>1241</v>
      </c>
    </row>
    <row r="357" spans="1:14" x14ac:dyDescent="0.15">
      <c r="A357" s="4" t="s">
        <v>143</v>
      </c>
      <c r="B357" s="4" t="s">
        <v>17</v>
      </c>
      <c r="C357" s="5">
        <v>6.9444444444440006</v>
      </c>
      <c r="D357" s="5">
        <v>1000</v>
      </c>
      <c r="E357" s="4" t="s">
        <v>18</v>
      </c>
      <c r="F357" s="5">
        <v>0</v>
      </c>
      <c r="G357" s="5">
        <v>0</v>
      </c>
      <c r="H357" s="4" t="s">
        <v>488</v>
      </c>
      <c r="I357" s="4" t="s">
        <v>1234</v>
      </c>
      <c r="J357" s="4" t="s">
        <v>1235</v>
      </c>
      <c r="K357" s="4" t="s">
        <v>10</v>
      </c>
      <c r="L357" s="4" t="s">
        <v>487</v>
      </c>
      <c r="M357" s="5">
        <v>0</v>
      </c>
      <c r="N357" s="4" t="s">
        <v>1241</v>
      </c>
    </row>
    <row r="358" spans="1:14" x14ac:dyDescent="0.15">
      <c r="A358" s="4" t="s">
        <v>143</v>
      </c>
      <c r="B358" s="4" t="s">
        <v>19</v>
      </c>
      <c r="C358" s="5">
        <v>4</v>
      </c>
      <c r="D358" s="5">
        <v>1</v>
      </c>
      <c r="E358" s="4" t="s">
        <v>18</v>
      </c>
      <c r="F358" s="5">
        <v>0</v>
      </c>
      <c r="G358" s="5">
        <v>0</v>
      </c>
      <c r="H358" s="4" t="s">
        <v>488</v>
      </c>
      <c r="I358" s="4" t="s">
        <v>1236</v>
      </c>
      <c r="J358" s="4" t="s">
        <v>1235</v>
      </c>
      <c r="K358" s="4" t="s">
        <v>10</v>
      </c>
      <c r="L358" s="4" t="s">
        <v>487</v>
      </c>
      <c r="M358" s="5">
        <v>0</v>
      </c>
      <c r="N358" s="4" t="s">
        <v>1241</v>
      </c>
    </row>
    <row r="359" spans="1:14" x14ac:dyDescent="0.15">
      <c r="A359" s="4" t="s">
        <v>147</v>
      </c>
      <c r="B359" s="4" t="s">
        <v>148</v>
      </c>
      <c r="C359" s="5">
        <v>1</v>
      </c>
      <c r="D359" s="5">
        <v>1</v>
      </c>
      <c r="E359" s="4" t="s">
        <v>9</v>
      </c>
      <c r="F359" s="5">
        <v>0</v>
      </c>
      <c r="G359" s="5">
        <v>0</v>
      </c>
      <c r="H359" s="4" t="s">
        <v>488</v>
      </c>
      <c r="I359" s="4" t="s">
        <v>1234</v>
      </c>
      <c r="J359" s="4" t="s">
        <v>1235</v>
      </c>
      <c r="K359" s="4" t="s">
        <v>10</v>
      </c>
      <c r="L359" s="4" t="s">
        <v>487</v>
      </c>
      <c r="M359" s="5">
        <v>0</v>
      </c>
      <c r="N359" s="4" t="s">
        <v>1241</v>
      </c>
    </row>
    <row r="360" spans="1:14" x14ac:dyDescent="0.15">
      <c r="A360" s="4" t="s">
        <v>149</v>
      </c>
      <c r="B360" s="4" t="s">
        <v>148</v>
      </c>
      <c r="C360" s="5">
        <v>2</v>
      </c>
      <c r="D360" s="5">
        <v>1</v>
      </c>
      <c r="E360" s="4" t="s">
        <v>9</v>
      </c>
      <c r="F360" s="5">
        <v>0</v>
      </c>
      <c r="G360" s="5">
        <v>0</v>
      </c>
      <c r="H360" s="4" t="s">
        <v>488</v>
      </c>
      <c r="I360" s="4" t="s">
        <v>1234</v>
      </c>
      <c r="J360" s="4" t="s">
        <v>1235</v>
      </c>
      <c r="K360" s="4" t="s">
        <v>10</v>
      </c>
      <c r="L360" s="4" t="s">
        <v>487</v>
      </c>
      <c r="M360" s="5">
        <v>0</v>
      </c>
      <c r="N360" s="4" t="s">
        <v>1241</v>
      </c>
    </row>
    <row r="361" spans="1:14" x14ac:dyDescent="0.15">
      <c r="A361" s="4" t="s">
        <v>150</v>
      </c>
      <c r="B361" s="4" t="s">
        <v>148</v>
      </c>
      <c r="C361" s="5">
        <v>6</v>
      </c>
      <c r="D361" s="5">
        <v>1</v>
      </c>
      <c r="E361" s="4" t="s">
        <v>9</v>
      </c>
      <c r="F361" s="5">
        <v>0</v>
      </c>
      <c r="G361" s="5">
        <v>0</v>
      </c>
      <c r="H361" s="4" t="s">
        <v>488</v>
      </c>
      <c r="I361" s="4" t="s">
        <v>1234</v>
      </c>
      <c r="J361" s="4" t="s">
        <v>1235</v>
      </c>
      <c r="K361" s="4" t="s">
        <v>10</v>
      </c>
      <c r="L361" s="4" t="s">
        <v>487</v>
      </c>
      <c r="M361" s="5">
        <v>0</v>
      </c>
      <c r="N361" s="4" t="s">
        <v>1241</v>
      </c>
    </row>
    <row r="362" spans="1:14" x14ac:dyDescent="0.15">
      <c r="A362" s="4" t="s">
        <v>148</v>
      </c>
      <c r="B362" s="4" t="s">
        <v>22</v>
      </c>
      <c r="C362" s="5">
        <v>6</v>
      </c>
      <c r="D362" s="5">
        <v>1</v>
      </c>
      <c r="E362" s="4" t="s">
        <v>9</v>
      </c>
      <c r="F362" s="5">
        <v>3</v>
      </c>
      <c r="G362" s="5">
        <v>0</v>
      </c>
      <c r="H362" s="4" t="s">
        <v>488</v>
      </c>
      <c r="I362" s="4" t="s">
        <v>1234</v>
      </c>
      <c r="J362" s="4" t="s">
        <v>1235</v>
      </c>
      <c r="K362" s="4" t="s">
        <v>10</v>
      </c>
      <c r="L362" s="4" t="s">
        <v>487</v>
      </c>
      <c r="M362" s="5">
        <v>0</v>
      </c>
      <c r="N362" s="4" t="s">
        <v>1241</v>
      </c>
    </row>
    <row r="363" spans="1:14" x14ac:dyDescent="0.15">
      <c r="A363" s="4" t="s">
        <v>148</v>
      </c>
      <c r="B363" s="4" t="s">
        <v>33</v>
      </c>
      <c r="C363" s="5">
        <v>1</v>
      </c>
      <c r="D363" s="5">
        <v>1</v>
      </c>
      <c r="E363" s="4" t="s">
        <v>9</v>
      </c>
      <c r="F363" s="5">
        <v>3</v>
      </c>
      <c r="G363" s="5">
        <v>0</v>
      </c>
      <c r="H363" s="4" t="s">
        <v>488</v>
      </c>
      <c r="I363" s="4" t="s">
        <v>1234</v>
      </c>
      <c r="J363" s="4" t="s">
        <v>1235</v>
      </c>
      <c r="K363" s="4" t="s">
        <v>10</v>
      </c>
      <c r="L363" s="4" t="s">
        <v>487</v>
      </c>
      <c r="M363" s="5">
        <v>0</v>
      </c>
      <c r="N363" s="4" t="s">
        <v>1241</v>
      </c>
    </row>
    <row r="364" spans="1:14" x14ac:dyDescent="0.15">
      <c r="A364" s="4" t="s">
        <v>148</v>
      </c>
      <c r="B364" s="4" t="s">
        <v>12</v>
      </c>
      <c r="C364" s="5">
        <v>1.814698492462</v>
      </c>
      <c r="D364" s="5">
        <v>1</v>
      </c>
      <c r="E364" s="4" t="s">
        <v>13</v>
      </c>
      <c r="F364" s="5">
        <v>3</v>
      </c>
      <c r="G364" s="5">
        <v>0</v>
      </c>
      <c r="H364" s="4" t="s">
        <v>488</v>
      </c>
      <c r="I364" s="4" t="s">
        <v>1234</v>
      </c>
      <c r="J364" s="4" t="s">
        <v>1235</v>
      </c>
      <c r="K364" s="4" t="s">
        <v>10</v>
      </c>
      <c r="L364" s="4" t="s">
        <v>487</v>
      </c>
      <c r="M364" s="5">
        <v>0</v>
      </c>
      <c r="N364" s="4" t="s">
        <v>1241</v>
      </c>
    </row>
    <row r="365" spans="1:14" x14ac:dyDescent="0.15">
      <c r="A365" s="4" t="s">
        <v>148</v>
      </c>
      <c r="B365" s="4" t="s">
        <v>14</v>
      </c>
      <c r="C365" s="5">
        <v>2.0163316582910005</v>
      </c>
      <c r="D365" s="5">
        <v>1</v>
      </c>
      <c r="E365" s="4" t="s">
        <v>13</v>
      </c>
      <c r="F365" s="5">
        <v>3</v>
      </c>
      <c r="G365" s="5">
        <v>0</v>
      </c>
      <c r="H365" s="4" t="s">
        <v>488</v>
      </c>
      <c r="I365" s="4" t="s">
        <v>1234</v>
      </c>
      <c r="J365" s="4" t="s">
        <v>1235</v>
      </c>
      <c r="K365" s="4" t="s">
        <v>10</v>
      </c>
      <c r="L365" s="4" t="s">
        <v>487</v>
      </c>
      <c r="M365" s="5">
        <v>0</v>
      </c>
      <c r="N365" s="4" t="s">
        <v>1241</v>
      </c>
    </row>
    <row r="366" spans="1:14" x14ac:dyDescent="0.15">
      <c r="A366" s="4" t="s">
        <v>148</v>
      </c>
      <c r="B366" s="4" t="s">
        <v>15</v>
      </c>
      <c r="C366" s="5">
        <v>40.326633165829001</v>
      </c>
      <c r="D366" s="5">
        <v>1000</v>
      </c>
      <c r="E366" s="4" t="s">
        <v>13</v>
      </c>
      <c r="F366" s="5">
        <v>3</v>
      </c>
      <c r="G366" s="5">
        <v>0</v>
      </c>
      <c r="H366" s="4" t="s">
        <v>488</v>
      </c>
      <c r="I366" s="4" t="s">
        <v>1234</v>
      </c>
      <c r="J366" s="4" t="s">
        <v>1235</v>
      </c>
      <c r="K366" s="4" t="s">
        <v>10</v>
      </c>
      <c r="L366" s="4" t="s">
        <v>487</v>
      </c>
      <c r="M366" s="5">
        <v>0</v>
      </c>
      <c r="N366" s="4" t="s">
        <v>1241</v>
      </c>
    </row>
    <row r="367" spans="1:14" x14ac:dyDescent="0.15">
      <c r="A367" s="4" t="s">
        <v>148</v>
      </c>
      <c r="B367" s="4" t="s">
        <v>23</v>
      </c>
      <c r="C367" s="5">
        <v>0.10081658291499999</v>
      </c>
      <c r="D367" s="5">
        <v>1</v>
      </c>
      <c r="E367" s="4" t="s">
        <v>13</v>
      </c>
      <c r="F367" s="5">
        <v>3</v>
      </c>
      <c r="G367" s="5">
        <v>0</v>
      </c>
      <c r="H367" s="4" t="s">
        <v>488</v>
      </c>
      <c r="I367" s="4" t="s">
        <v>1234</v>
      </c>
      <c r="J367" s="4" t="s">
        <v>1235</v>
      </c>
      <c r="K367" s="4" t="s">
        <v>10</v>
      </c>
      <c r="L367" s="4" t="s">
        <v>487</v>
      </c>
      <c r="M367" s="5">
        <v>0</v>
      </c>
      <c r="N367" s="4" t="s">
        <v>1241</v>
      </c>
    </row>
    <row r="368" spans="1:14" x14ac:dyDescent="0.15">
      <c r="A368" s="4" t="s">
        <v>148</v>
      </c>
      <c r="B368" s="4" t="s">
        <v>24</v>
      </c>
      <c r="C368" s="5">
        <v>40.326633165829001</v>
      </c>
      <c r="D368" s="5">
        <v>1000</v>
      </c>
      <c r="E368" s="4" t="s">
        <v>13</v>
      </c>
      <c r="F368" s="5">
        <v>3</v>
      </c>
      <c r="G368" s="5">
        <v>0</v>
      </c>
      <c r="H368" s="4" t="s">
        <v>488</v>
      </c>
      <c r="I368" s="4" t="s">
        <v>1234</v>
      </c>
      <c r="J368" s="4" t="s">
        <v>1235</v>
      </c>
      <c r="K368" s="4" t="s">
        <v>10</v>
      </c>
      <c r="L368" s="4" t="s">
        <v>487</v>
      </c>
      <c r="M368" s="5">
        <v>0</v>
      </c>
      <c r="N368" s="4" t="s">
        <v>1241</v>
      </c>
    </row>
    <row r="369" spans="1:14" x14ac:dyDescent="0.15">
      <c r="A369" s="4" t="s">
        <v>148</v>
      </c>
      <c r="B369" s="4" t="s">
        <v>17</v>
      </c>
      <c r="C369" s="5">
        <v>6.9444444444440006</v>
      </c>
      <c r="D369" s="5">
        <v>1000</v>
      </c>
      <c r="E369" s="4" t="s">
        <v>18</v>
      </c>
      <c r="F369" s="5">
        <v>0</v>
      </c>
      <c r="G369" s="5">
        <v>0</v>
      </c>
      <c r="H369" s="4" t="s">
        <v>488</v>
      </c>
      <c r="I369" s="4" t="s">
        <v>1234</v>
      </c>
      <c r="J369" s="4" t="s">
        <v>1235</v>
      </c>
      <c r="K369" s="4" t="s">
        <v>10</v>
      </c>
      <c r="L369" s="4" t="s">
        <v>487</v>
      </c>
      <c r="M369" s="5">
        <v>0</v>
      </c>
      <c r="N369" s="4" t="s">
        <v>1241</v>
      </c>
    </row>
    <row r="370" spans="1:14" x14ac:dyDescent="0.15">
      <c r="A370" s="4" t="s">
        <v>148</v>
      </c>
      <c r="B370" s="4" t="s">
        <v>19</v>
      </c>
      <c r="C370" s="5">
        <v>4</v>
      </c>
      <c r="D370" s="5">
        <v>1</v>
      </c>
      <c r="E370" s="4" t="s">
        <v>18</v>
      </c>
      <c r="F370" s="5">
        <v>0</v>
      </c>
      <c r="G370" s="5">
        <v>0</v>
      </c>
      <c r="H370" s="4" t="s">
        <v>488</v>
      </c>
      <c r="I370" s="4" t="s">
        <v>1236</v>
      </c>
      <c r="J370" s="4" t="s">
        <v>1235</v>
      </c>
      <c r="K370" s="4" t="s">
        <v>10</v>
      </c>
      <c r="L370" s="4" t="s">
        <v>487</v>
      </c>
      <c r="M370" s="5">
        <v>0</v>
      </c>
      <c r="N370" s="4" t="s">
        <v>1241</v>
      </c>
    </row>
    <row r="371" spans="1:14" x14ac:dyDescent="0.15">
      <c r="A371" s="4" t="s">
        <v>151</v>
      </c>
      <c r="B371" s="4" t="s">
        <v>152</v>
      </c>
      <c r="C371" s="5">
        <v>1</v>
      </c>
      <c r="D371" s="5">
        <v>1</v>
      </c>
      <c r="E371" s="4" t="s">
        <v>9</v>
      </c>
      <c r="F371" s="5">
        <v>0</v>
      </c>
      <c r="G371" s="5">
        <v>0</v>
      </c>
      <c r="H371" s="4" t="s">
        <v>488</v>
      </c>
      <c r="I371" s="4" t="s">
        <v>1234</v>
      </c>
      <c r="J371" s="4" t="s">
        <v>1235</v>
      </c>
      <c r="K371" s="4" t="s">
        <v>10</v>
      </c>
      <c r="L371" s="4" t="s">
        <v>487</v>
      </c>
      <c r="M371" s="5">
        <v>0</v>
      </c>
      <c r="N371" s="4" t="s">
        <v>1241</v>
      </c>
    </row>
    <row r="372" spans="1:14" x14ac:dyDescent="0.15">
      <c r="A372" s="4" t="s">
        <v>153</v>
      </c>
      <c r="B372" s="4" t="s">
        <v>152</v>
      </c>
      <c r="C372" s="5">
        <v>2</v>
      </c>
      <c r="D372" s="5">
        <v>1</v>
      </c>
      <c r="E372" s="4" t="s">
        <v>9</v>
      </c>
      <c r="F372" s="5">
        <v>0</v>
      </c>
      <c r="G372" s="5">
        <v>0</v>
      </c>
      <c r="H372" s="4" t="s">
        <v>488</v>
      </c>
      <c r="I372" s="4" t="s">
        <v>1234</v>
      </c>
      <c r="J372" s="4" t="s">
        <v>1235</v>
      </c>
      <c r="K372" s="4" t="s">
        <v>10</v>
      </c>
      <c r="L372" s="4" t="s">
        <v>487</v>
      </c>
      <c r="M372" s="5">
        <v>0</v>
      </c>
      <c r="N372" s="4" t="s">
        <v>1241</v>
      </c>
    </row>
    <row r="373" spans="1:14" x14ac:dyDescent="0.15">
      <c r="A373" s="4" t="s">
        <v>152</v>
      </c>
      <c r="B373" s="4" t="s">
        <v>33</v>
      </c>
      <c r="C373" s="5">
        <v>62</v>
      </c>
      <c r="D373" s="5">
        <v>1</v>
      </c>
      <c r="E373" s="4" t="s">
        <v>9</v>
      </c>
      <c r="F373" s="5">
        <v>3</v>
      </c>
      <c r="G373" s="5">
        <v>0</v>
      </c>
      <c r="H373" s="4" t="s">
        <v>488</v>
      </c>
      <c r="I373" s="4" t="s">
        <v>1234</v>
      </c>
      <c r="J373" s="4" t="s">
        <v>1235</v>
      </c>
      <c r="K373" s="4" t="s">
        <v>10</v>
      </c>
      <c r="L373" s="4" t="s">
        <v>487</v>
      </c>
      <c r="M373" s="5">
        <v>0</v>
      </c>
      <c r="N373" s="4" t="s">
        <v>1241</v>
      </c>
    </row>
    <row r="374" spans="1:14" x14ac:dyDescent="0.15">
      <c r="A374" s="4" t="s">
        <v>152</v>
      </c>
      <c r="B374" s="4" t="s">
        <v>12</v>
      </c>
      <c r="C374" s="5">
        <v>18.622198492462005</v>
      </c>
      <c r="D374" s="5">
        <v>1</v>
      </c>
      <c r="E374" s="4" t="s">
        <v>13</v>
      </c>
      <c r="F374" s="5">
        <v>3</v>
      </c>
      <c r="G374" s="5">
        <v>0</v>
      </c>
      <c r="H374" s="4" t="s">
        <v>488</v>
      </c>
      <c r="I374" s="4" t="s">
        <v>1234</v>
      </c>
      <c r="J374" s="4" t="s">
        <v>1235</v>
      </c>
      <c r="K374" s="4" t="s">
        <v>10</v>
      </c>
      <c r="L374" s="4" t="s">
        <v>487</v>
      </c>
      <c r="M374" s="5">
        <v>0</v>
      </c>
      <c r="N374" s="4" t="s">
        <v>1241</v>
      </c>
    </row>
    <row r="375" spans="1:14" x14ac:dyDescent="0.15">
      <c r="A375" s="4" t="s">
        <v>152</v>
      </c>
      <c r="B375" s="4" t="s">
        <v>14</v>
      </c>
      <c r="C375" s="5">
        <v>20.691331658292</v>
      </c>
      <c r="D375" s="5">
        <v>1</v>
      </c>
      <c r="E375" s="4" t="s">
        <v>13</v>
      </c>
      <c r="F375" s="5">
        <v>3</v>
      </c>
      <c r="G375" s="5">
        <v>0</v>
      </c>
      <c r="H375" s="4" t="s">
        <v>488</v>
      </c>
      <c r="I375" s="4" t="s">
        <v>1234</v>
      </c>
      <c r="J375" s="4" t="s">
        <v>1235</v>
      </c>
      <c r="K375" s="4" t="s">
        <v>10</v>
      </c>
      <c r="L375" s="4" t="s">
        <v>487</v>
      </c>
      <c r="M375" s="5">
        <v>0</v>
      </c>
      <c r="N375" s="4" t="s">
        <v>1241</v>
      </c>
    </row>
    <row r="376" spans="1:14" x14ac:dyDescent="0.15">
      <c r="A376" s="4" t="s">
        <v>152</v>
      </c>
      <c r="B376" s="4" t="s">
        <v>15</v>
      </c>
      <c r="C376" s="5">
        <v>0.41382663316599999</v>
      </c>
      <c r="D376" s="5">
        <v>1</v>
      </c>
      <c r="E376" s="4" t="s">
        <v>13</v>
      </c>
      <c r="F376" s="5">
        <v>3</v>
      </c>
      <c r="G376" s="5">
        <v>0</v>
      </c>
      <c r="H376" s="4" t="s">
        <v>488</v>
      </c>
      <c r="I376" s="4" t="s">
        <v>1234</v>
      </c>
      <c r="J376" s="4" t="s">
        <v>1235</v>
      </c>
      <c r="K376" s="4" t="s">
        <v>10</v>
      </c>
      <c r="L376" s="4" t="s">
        <v>487</v>
      </c>
      <c r="M376" s="5">
        <v>0</v>
      </c>
      <c r="N376" s="4" t="s">
        <v>1241</v>
      </c>
    </row>
    <row r="377" spans="1:14" x14ac:dyDescent="0.15">
      <c r="A377" s="4" t="s">
        <v>152</v>
      </c>
      <c r="B377" s="4" t="s">
        <v>23</v>
      </c>
      <c r="C377" s="5">
        <v>1.0345665829150001</v>
      </c>
      <c r="D377" s="5">
        <v>1</v>
      </c>
      <c r="E377" s="4" t="s">
        <v>13</v>
      </c>
      <c r="F377" s="5">
        <v>3</v>
      </c>
      <c r="G377" s="5">
        <v>0</v>
      </c>
      <c r="H377" s="4" t="s">
        <v>488</v>
      </c>
      <c r="I377" s="4" t="s">
        <v>1234</v>
      </c>
      <c r="J377" s="4" t="s">
        <v>1235</v>
      </c>
      <c r="K377" s="4" t="s">
        <v>10</v>
      </c>
      <c r="L377" s="4" t="s">
        <v>487</v>
      </c>
      <c r="M377" s="5">
        <v>0</v>
      </c>
      <c r="N377" s="4" t="s">
        <v>1241</v>
      </c>
    </row>
    <row r="378" spans="1:14" x14ac:dyDescent="0.15">
      <c r="A378" s="4" t="s">
        <v>152</v>
      </c>
      <c r="B378" s="4" t="s">
        <v>24</v>
      </c>
      <c r="C378" s="5">
        <v>0.41382663316599999</v>
      </c>
      <c r="D378" s="5">
        <v>1</v>
      </c>
      <c r="E378" s="4" t="s">
        <v>13</v>
      </c>
      <c r="F378" s="5">
        <v>3</v>
      </c>
      <c r="G378" s="5">
        <v>0</v>
      </c>
      <c r="H378" s="4" t="s">
        <v>488</v>
      </c>
      <c r="I378" s="4" t="s">
        <v>1234</v>
      </c>
      <c r="J378" s="4" t="s">
        <v>1235</v>
      </c>
      <c r="K378" s="4" t="s">
        <v>10</v>
      </c>
      <c r="L378" s="4" t="s">
        <v>487</v>
      </c>
      <c r="M378" s="5">
        <v>0</v>
      </c>
      <c r="N378" s="4" t="s">
        <v>1241</v>
      </c>
    </row>
    <row r="379" spans="1:14" x14ac:dyDescent="0.15">
      <c r="A379" s="4" t="s">
        <v>152</v>
      </c>
      <c r="B379" s="4" t="s">
        <v>17</v>
      </c>
      <c r="C379" s="5">
        <v>22.222222222221998</v>
      </c>
      <c r="D379" s="5">
        <v>1000</v>
      </c>
      <c r="E379" s="4" t="s">
        <v>18</v>
      </c>
      <c r="F379" s="5">
        <v>0</v>
      </c>
      <c r="G379" s="5">
        <v>0</v>
      </c>
      <c r="H379" s="4" t="s">
        <v>488</v>
      </c>
      <c r="I379" s="4" t="s">
        <v>1234</v>
      </c>
      <c r="J379" s="4" t="s">
        <v>1235</v>
      </c>
      <c r="K379" s="4" t="s">
        <v>10</v>
      </c>
      <c r="L379" s="4" t="s">
        <v>487</v>
      </c>
      <c r="M379" s="5">
        <v>0</v>
      </c>
      <c r="N379" s="4" t="s">
        <v>1241</v>
      </c>
    </row>
    <row r="380" spans="1:14" x14ac:dyDescent="0.15">
      <c r="A380" s="4" t="s">
        <v>152</v>
      </c>
      <c r="B380" s="4" t="s">
        <v>19</v>
      </c>
      <c r="C380" s="5">
        <v>8</v>
      </c>
      <c r="D380" s="5">
        <v>1</v>
      </c>
      <c r="E380" s="4" t="s">
        <v>18</v>
      </c>
      <c r="F380" s="5">
        <v>0</v>
      </c>
      <c r="G380" s="5">
        <v>0</v>
      </c>
      <c r="H380" s="4" t="s">
        <v>488</v>
      </c>
      <c r="I380" s="4" t="s">
        <v>1236</v>
      </c>
      <c r="J380" s="4" t="s">
        <v>1235</v>
      </c>
      <c r="K380" s="4" t="s">
        <v>10</v>
      </c>
      <c r="L380" s="4" t="s">
        <v>487</v>
      </c>
      <c r="M380" s="5">
        <v>0</v>
      </c>
      <c r="N380" s="4" t="s">
        <v>1241</v>
      </c>
    </row>
    <row r="381" spans="1:14" x14ac:dyDescent="0.15">
      <c r="A381" s="4" t="s">
        <v>154</v>
      </c>
      <c r="B381" s="4" t="s">
        <v>155</v>
      </c>
      <c r="C381" s="5">
        <v>1</v>
      </c>
      <c r="D381" s="5">
        <v>1</v>
      </c>
      <c r="E381" s="4" t="s">
        <v>9</v>
      </c>
      <c r="F381" s="5">
        <v>0</v>
      </c>
      <c r="G381" s="5">
        <v>0</v>
      </c>
      <c r="H381" s="4" t="s">
        <v>488</v>
      </c>
      <c r="I381" s="4" t="s">
        <v>1234</v>
      </c>
      <c r="J381" s="4" t="s">
        <v>1235</v>
      </c>
      <c r="K381" s="4" t="s">
        <v>10</v>
      </c>
      <c r="L381" s="4" t="s">
        <v>487</v>
      </c>
      <c r="M381" s="5">
        <v>0</v>
      </c>
      <c r="N381" s="4" t="s">
        <v>1241</v>
      </c>
    </row>
    <row r="382" spans="1:14" x14ac:dyDescent="0.15">
      <c r="A382" s="4" t="s">
        <v>156</v>
      </c>
      <c r="B382" s="4" t="s">
        <v>155</v>
      </c>
      <c r="C382" s="5">
        <v>2</v>
      </c>
      <c r="D382" s="5">
        <v>1</v>
      </c>
      <c r="E382" s="4" t="s">
        <v>9</v>
      </c>
      <c r="F382" s="5">
        <v>0</v>
      </c>
      <c r="G382" s="5">
        <v>0</v>
      </c>
      <c r="H382" s="4" t="s">
        <v>488</v>
      </c>
      <c r="I382" s="4" t="s">
        <v>1234</v>
      </c>
      <c r="J382" s="4" t="s">
        <v>1235</v>
      </c>
      <c r="K382" s="4" t="s">
        <v>10</v>
      </c>
      <c r="L382" s="4" t="s">
        <v>487</v>
      </c>
      <c r="M382" s="5">
        <v>0</v>
      </c>
      <c r="N382" s="4" t="s">
        <v>1241</v>
      </c>
    </row>
    <row r="383" spans="1:14" x14ac:dyDescent="0.15">
      <c r="A383" s="4" t="s">
        <v>157</v>
      </c>
      <c r="B383" s="4" t="s">
        <v>155</v>
      </c>
      <c r="C383" s="5">
        <v>500</v>
      </c>
      <c r="D383" s="5">
        <v>1000</v>
      </c>
      <c r="E383" s="4" t="s">
        <v>9</v>
      </c>
      <c r="F383" s="5">
        <v>0</v>
      </c>
      <c r="G383" s="5">
        <v>0</v>
      </c>
      <c r="H383" s="4" t="s">
        <v>488</v>
      </c>
      <c r="I383" s="4" t="s">
        <v>1234</v>
      </c>
      <c r="J383" s="4" t="s">
        <v>1235</v>
      </c>
      <c r="K383" s="4" t="s">
        <v>10</v>
      </c>
      <c r="L383" s="4" t="s">
        <v>487</v>
      </c>
      <c r="M383" s="5">
        <v>0</v>
      </c>
      <c r="N383" s="4" t="s">
        <v>1241</v>
      </c>
    </row>
    <row r="384" spans="1:14" x14ac:dyDescent="0.15">
      <c r="A384" s="4" t="s">
        <v>158</v>
      </c>
      <c r="B384" s="4" t="s">
        <v>155</v>
      </c>
      <c r="C384" s="5">
        <v>250</v>
      </c>
      <c r="D384" s="5">
        <v>1</v>
      </c>
      <c r="E384" s="4" t="s">
        <v>9</v>
      </c>
      <c r="F384" s="5">
        <v>0</v>
      </c>
      <c r="G384" s="5">
        <v>0</v>
      </c>
      <c r="H384" s="4" t="s">
        <v>488</v>
      </c>
      <c r="I384" s="4" t="s">
        <v>1234</v>
      </c>
      <c r="J384" s="4" t="s">
        <v>1235</v>
      </c>
      <c r="K384" s="4" t="s">
        <v>10</v>
      </c>
      <c r="L384" s="4" t="s">
        <v>487</v>
      </c>
      <c r="M384" s="5">
        <v>0</v>
      </c>
      <c r="N384" s="4" t="s">
        <v>1241</v>
      </c>
    </row>
    <row r="385" spans="1:14" x14ac:dyDescent="0.15">
      <c r="A385" s="4" t="s">
        <v>155</v>
      </c>
      <c r="B385" s="4" t="s">
        <v>28</v>
      </c>
      <c r="C385" s="5">
        <v>1</v>
      </c>
      <c r="D385" s="5">
        <v>1</v>
      </c>
      <c r="E385" s="4" t="s">
        <v>9</v>
      </c>
      <c r="F385" s="5">
        <v>3</v>
      </c>
      <c r="G385" s="5">
        <v>0</v>
      </c>
      <c r="H385" s="4" t="s">
        <v>488</v>
      </c>
      <c r="I385" s="4" t="s">
        <v>1234</v>
      </c>
      <c r="J385" s="4" t="s">
        <v>1235</v>
      </c>
      <c r="K385" s="4" t="s">
        <v>10</v>
      </c>
      <c r="L385" s="4" t="s">
        <v>487</v>
      </c>
      <c r="M385" s="5">
        <v>0</v>
      </c>
      <c r="N385" s="4" t="s">
        <v>1241</v>
      </c>
    </row>
    <row r="386" spans="1:14" x14ac:dyDescent="0.15">
      <c r="A386" s="4" t="s">
        <v>155</v>
      </c>
      <c r="B386" s="4" t="s">
        <v>12</v>
      </c>
      <c r="C386" s="5">
        <v>12.196356783920001</v>
      </c>
      <c r="D386" s="5">
        <v>1000</v>
      </c>
      <c r="E386" s="4" t="s">
        <v>13</v>
      </c>
      <c r="F386" s="5">
        <v>3</v>
      </c>
      <c r="G386" s="5">
        <v>0</v>
      </c>
      <c r="H386" s="4" t="s">
        <v>488</v>
      </c>
      <c r="I386" s="4" t="s">
        <v>1234</v>
      </c>
      <c r="J386" s="4" t="s">
        <v>1235</v>
      </c>
      <c r="K386" s="4" t="s">
        <v>10</v>
      </c>
      <c r="L386" s="4" t="s">
        <v>487</v>
      </c>
      <c r="M386" s="5">
        <v>0</v>
      </c>
      <c r="N386" s="4" t="s">
        <v>1241</v>
      </c>
    </row>
    <row r="387" spans="1:14" x14ac:dyDescent="0.15">
      <c r="A387" s="4" t="s">
        <v>155</v>
      </c>
      <c r="B387" s="4" t="s">
        <v>14</v>
      </c>
      <c r="C387" s="5">
        <v>13.551507537688002</v>
      </c>
      <c r="D387" s="5">
        <v>1000</v>
      </c>
      <c r="E387" s="4" t="s">
        <v>13</v>
      </c>
      <c r="F387" s="5">
        <v>3</v>
      </c>
      <c r="G387" s="5">
        <v>0</v>
      </c>
      <c r="H387" s="4" t="s">
        <v>488</v>
      </c>
      <c r="I387" s="4" t="s">
        <v>1234</v>
      </c>
      <c r="J387" s="4" t="s">
        <v>1235</v>
      </c>
      <c r="K387" s="4" t="s">
        <v>10</v>
      </c>
      <c r="L387" s="4" t="s">
        <v>487</v>
      </c>
      <c r="M387" s="5">
        <v>0</v>
      </c>
      <c r="N387" s="4" t="s">
        <v>1241</v>
      </c>
    </row>
    <row r="388" spans="1:14" x14ac:dyDescent="0.15">
      <c r="A388" s="4" t="s">
        <v>155</v>
      </c>
      <c r="B388" s="4" t="s">
        <v>15</v>
      </c>
      <c r="C388" s="5">
        <v>0.271030150754</v>
      </c>
      <c r="D388" s="5">
        <v>1000</v>
      </c>
      <c r="E388" s="4" t="s">
        <v>13</v>
      </c>
      <c r="F388" s="5">
        <v>3</v>
      </c>
      <c r="G388" s="5">
        <v>0</v>
      </c>
      <c r="H388" s="4" t="s">
        <v>488</v>
      </c>
      <c r="I388" s="4" t="s">
        <v>1234</v>
      </c>
      <c r="J388" s="4" t="s">
        <v>1235</v>
      </c>
      <c r="K388" s="4" t="s">
        <v>10</v>
      </c>
      <c r="L388" s="4" t="s">
        <v>487</v>
      </c>
      <c r="M388" s="5">
        <v>0</v>
      </c>
      <c r="N388" s="4" t="s">
        <v>1241</v>
      </c>
    </row>
    <row r="389" spans="1:14" x14ac:dyDescent="0.15">
      <c r="A389" s="4" t="s">
        <v>155</v>
      </c>
      <c r="B389" s="4" t="s">
        <v>23</v>
      </c>
      <c r="C389" s="5">
        <v>0.67757537688400005</v>
      </c>
      <c r="D389" s="5">
        <v>1000</v>
      </c>
      <c r="E389" s="4" t="s">
        <v>13</v>
      </c>
      <c r="F389" s="5">
        <v>3</v>
      </c>
      <c r="G389" s="5">
        <v>0</v>
      </c>
      <c r="H389" s="4" t="s">
        <v>488</v>
      </c>
      <c r="I389" s="4" t="s">
        <v>1234</v>
      </c>
      <c r="J389" s="4" t="s">
        <v>1235</v>
      </c>
      <c r="K389" s="4" t="s">
        <v>10</v>
      </c>
      <c r="L389" s="4" t="s">
        <v>487</v>
      </c>
      <c r="M389" s="5">
        <v>0</v>
      </c>
      <c r="N389" s="4" t="s">
        <v>1241</v>
      </c>
    </row>
    <row r="390" spans="1:14" x14ac:dyDescent="0.15">
      <c r="A390" s="4" t="s">
        <v>155</v>
      </c>
      <c r="B390" s="4" t="s">
        <v>24</v>
      </c>
      <c r="C390" s="5">
        <v>0.271030150754</v>
      </c>
      <c r="D390" s="5">
        <v>1000</v>
      </c>
      <c r="E390" s="4" t="s">
        <v>13</v>
      </c>
      <c r="F390" s="5">
        <v>3</v>
      </c>
      <c r="G390" s="5">
        <v>0</v>
      </c>
      <c r="H390" s="4" t="s">
        <v>488</v>
      </c>
      <c r="I390" s="4" t="s">
        <v>1234</v>
      </c>
      <c r="J390" s="4" t="s">
        <v>1235</v>
      </c>
      <c r="K390" s="4" t="s">
        <v>10</v>
      </c>
      <c r="L390" s="4" t="s">
        <v>487</v>
      </c>
      <c r="M390" s="5">
        <v>0</v>
      </c>
      <c r="N390" s="4" t="s">
        <v>1241</v>
      </c>
    </row>
    <row r="391" spans="1:14" x14ac:dyDescent="0.15">
      <c r="A391" s="4" t="s">
        <v>155</v>
      </c>
      <c r="B391" s="4" t="s">
        <v>17</v>
      </c>
      <c r="C391" s="5">
        <v>3.2051282051279997</v>
      </c>
      <c r="D391" s="5">
        <v>1000</v>
      </c>
      <c r="E391" s="4" t="s">
        <v>18</v>
      </c>
      <c r="F391" s="5">
        <v>0</v>
      </c>
      <c r="G391" s="5">
        <v>0</v>
      </c>
      <c r="H391" s="4" t="s">
        <v>488</v>
      </c>
      <c r="I391" s="4" t="s">
        <v>1234</v>
      </c>
      <c r="J391" s="4" t="s">
        <v>1235</v>
      </c>
      <c r="K391" s="4" t="s">
        <v>10</v>
      </c>
      <c r="L391" s="4" t="s">
        <v>487</v>
      </c>
      <c r="M391" s="5">
        <v>0</v>
      </c>
      <c r="N391" s="4" t="s">
        <v>1241</v>
      </c>
    </row>
    <row r="392" spans="1:14" x14ac:dyDescent="0.15">
      <c r="A392" s="4" t="s">
        <v>155</v>
      </c>
      <c r="B392" s="4" t="s">
        <v>19</v>
      </c>
      <c r="C392" s="5">
        <v>3</v>
      </c>
      <c r="D392" s="5">
        <v>1</v>
      </c>
      <c r="E392" s="4" t="s">
        <v>18</v>
      </c>
      <c r="F392" s="5">
        <v>0</v>
      </c>
      <c r="G392" s="5">
        <v>0</v>
      </c>
      <c r="H392" s="4" t="s">
        <v>488</v>
      </c>
      <c r="I392" s="4" t="s">
        <v>1236</v>
      </c>
      <c r="J392" s="4" t="s">
        <v>1235</v>
      </c>
      <c r="K392" s="4" t="s">
        <v>10</v>
      </c>
      <c r="L392" s="4" t="s">
        <v>487</v>
      </c>
      <c r="M392" s="5">
        <v>0</v>
      </c>
      <c r="N392" s="4" t="s">
        <v>1241</v>
      </c>
    </row>
    <row r="393" spans="1:14" x14ac:dyDescent="0.15">
      <c r="A393" s="4" t="s">
        <v>159</v>
      </c>
      <c r="B393" s="4" t="s">
        <v>160</v>
      </c>
      <c r="C393" s="5">
        <v>1</v>
      </c>
      <c r="D393" s="5">
        <v>1</v>
      </c>
      <c r="E393" s="4" t="s">
        <v>9</v>
      </c>
      <c r="F393" s="5">
        <v>0</v>
      </c>
      <c r="G393" s="5">
        <v>0</v>
      </c>
      <c r="H393" s="4" t="s">
        <v>488</v>
      </c>
      <c r="I393" s="4" t="s">
        <v>1234</v>
      </c>
      <c r="J393" s="4" t="s">
        <v>1235</v>
      </c>
      <c r="K393" s="4" t="s">
        <v>10</v>
      </c>
      <c r="L393" s="4" t="s">
        <v>487</v>
      </c>
      <c r="M393" s="5">
        <v>0</v>
      </c>
      <c r="N393" s="4" t="s">
        <v>1241</v>
      </c>
    </row>
    <row r="394" spans="1:14" x14ac:dyDescent="0.15">
      <c r="A394" s="4" t="s">
        <v>161</v>
      </c>
      <c r="B394" s="4" t="s">
        <v>160</v>
      </c>
      <c r="C394" s="5">
        <v>2</v>
      </c>
      <c r="D394" s="5">
        <v>1</v>
      </c>
      <c r="E394" s="4" t="s">
        <v>9</v>
      </c>
      <c r="F394" s="5">
        <v>0</v>
      </c>
      <c r="G394" s="5">
        <v>0</v>
      </c>
      <c r="H394" s="4" t="s">
        <v>488</v>
      </c>
      <c r="I394" s="4" t="s">
        <v>1234</v>
      </c>
      <c r="J394" s="4" t="s">
        <v>1235</v>
      </c>
      <c r="K394" s="4" t="s">
        <v>10</v>
      </c>
      <c r="L394" s="4" t="s">
        <v>487</v>
      </c>
      <c r="M394" s="5">
        <v>0</v>
      </c>
      <c r="N394" s="4" t="s">
        <v>1241</v>
      </c>
    </row>
    <row r="395" spans="1:14" x14ac:dyDescent="0.15">
      <c r="A395" s="4" t="s">
        <v>162</v>
      </c>
      <c r="B395" s="4" t="s">
        <v>160</v>
      </c>
      <c r="C395" s="5">
        <v>500</v>
      </c>
      <c r="D395" s="5">
        <v>1000</v>
      </c>
      <c r="E395" s="4" t="s">
        <v>9</v>
      </c>
      <c r="F395" s="5">
        <v>0</v>
      </c>
      <c r="G395" s="5">
        <v>0</v>
      </c>
      <c r="H395" s="4" t="s">
        <v>488</v>
      </c>
      <c r="I395" s="4" t="s">
        <v>1234</v>
      </c>
      <c r="J395" s="4" t="s">
        <v>1235</v>
      </c>
      <c r="K395" s="4" t="s">
        <v>10</v>
      </c>
      <c r="L395" s="4" t="s">
        <v>487</v>
      </c>
      <c r="M395" s="5">
        <v>0</v>
      </c>
      <c r="N395" s="4" t="s">
        <v>1241</v>
      </c>
    </row>
    <row r="396" spans="1:14" x14ac:dyDescent="0.15">
      <c r="A396" s="4" t="s">
        <v>163</v>
      </c>
      <c r="B396" s="4" t="s">
        <v>160</v>
      </c>
      <c r="C396" s="5">
        <v>250</v>
      </c>
      <c r="D396" s="5">
        <v>1</v>
      </c>
      <c r="E396" s="4" t="s">
        <v>9</v>
      </c>
      <c r="F396" s="5">
        <v>0</v>
      </c>
      <c r="G396" s="5">
        <v>0</v>
      </c>
      <c r="H396" s="4" t="s">
        <v>488</v>
      </c>
      <c r="I396" s="4" t="s">
        <v>1234</v>
      </c>
      <c r="J396" s="4" t="s">
        <v>1235</v>
      </c>
      <c r="K396" s="4" t="s">
        <v>10</v>
      </c>
      <c r="L396" s="4" t="s">
        <v>487</v>
      </c>
      <c r="M396" s="5">
        <v>0</v>
      </c>
      <c r="N396" s="4" t="s">
        <v>1241</v>
      </c>
    </row>
    <row r="397" spans="1:14" x14ac:dyDescent="0.15">
      <c r="A397" s="4" t="s">
        <v>160</v>
      </c>
      <c r="B397" s="4" t="s">
        <v>34</v>
      </c>
      <c r="C397" s="5">
        <v>1</v>
      </c>
      <c r="D397" s="5">
        <v>1</v>
      </c>
      <c r="E397" s="4" t="s">
        <v>9</v>
      </c>
      <c r="F397" s="5">
        <v>3</v>
      </c>
      <c r="G397" s="5">
        <v>0</v>
      </c>
      <c r="H397" s="4" t="s">
        <v>488</v>
      </c>
      <c r="I397" s="4" t="s">
        <v>1234</v>
      </c>
      <c r="J397" s="4" t="s">
        <v>1235</v>
      </c>
      <c r="K397" s="4" t="s">
        <v>10</v>
      </c>
      <c r="L397" s="4" t="s">
        <v>487</v>
      </c>
      <c r="M397" s="5">
        <v>0</v>
      </c>
      <c r="N397" s="4" t="s">
        <v>1241</v>
      </c>
    </row>
    <row r="398" spans="1:14" x14ac:dyDescent="0.15">
      <c r="A398" s="4" t="s">
        <v>160</v>
      </c>
      <c r="B398" s="4" t="s">
        <v>12</v>
      </c>
      <c r="C398" s="5">
        <v>36.407035175879003</v>
      </c>
      <c r="D398" s="5">
        <v>1000</v>
      </c>
      <c r="E398" s="4" t="s">
        <v>13</v>
      </c>
      <c r="F398" s="5">
        <v>3</v>
      </c>
      <c r="G398" s="5">
        <v>0</v>
      </c>
      <c r="H398" s="4" t="s">
        <v>488</v>
      </c>
      <c r="I398" s="4" t="s">
        <v>1234</v>
      </c>
      <c r="J398" s="4" t="s">
        <v>1235</v>
      </c>
      <c r="K398" s="4" t="s">
        <v>10</v>
      </c>
      <c r="L398" s="4" t="s">
        <v>487</v>
      </c>
      <c r="M398" s="5">
        <v>0</v>
      </c>
      <c r="N398" s="4" t="s">
        <v>1241</v>
      </c>
    </row>
    <row r="399" spans="1:14" x14ac:dyDescent="0.15">
      <c r="A399" s="4" t="s">
        <v>160</v>
      </c>
      <c r="B399" s="4" t="s">
        <v>14</v>
      </c>
      <c r="C399" s="5">
        <v>40.452261306533003</v>
      </c>
      <c r="D399" s="5">
        <v>1000</v>
      </c>
      <c r="E399" s="4" t="s">
        <v>13</v>
      </c>
      <c r="F399" s="5">
        <v>3</v>
      </c>
      <c r="G399" s="5">
        <v>0</v>
      </c>
      <c r="H399" s="4" t="s">
        <v>488</v>
      </c>
      <c r="I399" s="4" t="s">
        <v>1234</v>
      </c>
      <c r="J399" s="4" t="s">
        <v>1235</v>
      </c>
      <c r="K399" s="4" t="s">
        <v>10</v>
      </c>
      <c r="L399" s="4" t="s">
        <v>487</v>
      </c>
      <c r="M399" s="5">
        <v>0</v>
      </c>
      <c r="N399" s="4" t="s">
        <v>1241</v>
      </c>
    </row>
    <row r="400" spans="1:14" x14ac:dyDescent="0.15">
      <c r="A400" s="4" t="s">
        <v>160</v>
      </c>
      <c r="B400" s="4" t="s">
        <v>15</v>
      </c>
      <c r="C400" s="5">
        <v>0.80904522613100005</v>
      </c>
      <c r="D400" s="5">
        <v>1000</v>
      </c>
      <c r="E400" s="4" t="s">
        <v>13</v>
      </c>
      <c r="F400" s="5">
        <v>3</v>
      </c>
      <c r="G400" s="5">
        <v>0</v>
      </c>
      <c r="H400" s="4" t="s">
        <v>488</v>
      </c>
      <c r="I400" s="4" t="s">
        <v>1234</v>
      </c>
      <c r="J400" s="4" t="s">
        <v>1235</v>
      </c>
      <c r="K400" s="4" t="s">
        <v>10</v>
      </c>
      <c r="L400" s="4" t="s">
        <v>487</v>
      </c>
      <c r="M400" s="5">
        <v>0</v>
      </c>
      <c r="N400" s="4" t="s">
        <v>1241</v>
      </c>
    </row>
    <row r="401" spans="1:14" x14ac:dyDescent="0.15">
      <c r="A401" s="4" t="s">
        <v>160</v>
      </c>
      <c r="B401" s="4" t="s">
        <v>23</v>
      </c>
      <c r="C401" s="5">
        <v>2.022613065327</v>
      </c>
      <c r="D401" s="5">
        <v>1000</v>
      </c>
      <c r="E401" s="4" t="s">
        <v>13</v>
      </c>
      <c r="F401" s="5">
        <v>3</v>
      </c>
      <c r="G401" s="5">
        <v>0</v>
      </c>
      <c r="H401" s="4" t="s">
        <v>488</v>
      </c>
      <c r="I401" s="4" t="s">
        <v>1234</v>
      </c>
      <c r="J401" s="4" t="s">
        <v>1235</v>
      </c>
      <c r="K401" s="4" t="s">
        <v>10</v>
      </c>
      <c r="L401" s="4" t="s">
        <v>487</v>
      </c>
      <c r="M401" s="5">
        <v>0</v>
      </c>
      <c r="N401" s="4" t="s">
        <v>1241</v>
      </c>
    </row>
    <row r="402" spans="1:14" x14ac:dyDescent="0.15">
      <c r="A402" s="4" t="s">
        <v>160</v>
      </c>
      <c r="B402" s="4" t="s">
        <v>24</v>
      </c>
      <c r="C402" s="5">
        <v>0.80904522613100005</v>
      </c>
      <c r="D402" s="5">
        <v>1000</v>
      </c>
      <c r="E402" s="4" t="s">
        <v>13</v>
      </c>
      <c r="F402" s="5">
        <v>3</v>
      </c>
      <c r="G402" s="5">
        <v>0</v>
      </c>
      <c r="H402" s="4" t="s">
        <v>488</v>
      </c>
      <c r="I402" s="4" t="s">
        <v>1234</v>
      </c>
      <c r="J402" s="4" t="s">
        <v>1235</v>
      </c>
      <c r="K402" s="4" t="s">
        <v>10</v>
      </c>
      <c r="L402" s="4" t="s">
        <v>487</v>
      </c>
      <c r="M402" s="5">
        <v>0</v>
      </c>
      <c r="N402" s="4" t="s">
        <v>1241</v>
      </c>
    </row>
    <row r="403" spans="1:14" x14ac:dyDescent="0.15">
      <c r="A403" s="4" t="s">
        <v>160</v>
      </c>
      <c r="B403" s="4" t="s">
        <v>17</v>
      </c>
      <c r="C403" s="5">
        <v>3.7878787878789999</v>
      </c>
      <c r="D403" s="5">
        <v>1000</v>
      </c>
      <c r="E403" s="4" t="s">
        <v>18</v>
      </c>
      <c r="F403" s="5">
        <v>0</v>
      </c>
      <c r="G403" s="5">
        <v>0</v>
      </c>
      <c r="H403" s="4" t="s">
        <v>488</v>
      </c>
      <c r="I403" s="4" t="s">
        <v>1234</v>
      </c>
      <c r="J403" s="4" t="s">
        <v>1235</v>
      </c>
      <c r="K403" s="4" t="s">
        <v>10</v>
      </c>
      <c r="L403" s="4" t="s">
        <v>487</v>
      </c>
      <c r="M403" s="5">
        <v>0</v>
      </c>
      <c r="N403" s="4" t="s">
        <v>1241</v>
      </c>
    </row>
    <row r="404" spans="1:14" x14ac:dyDescent="0.15">
      <c r="A404" s="4" t="s">
        <v>160</v>
      </c>
      <c r="B404" s="4" t="s">
        <v>19</v>
      </c>
      <c r="C404" s="5">
        <v>3</v>
      </c>
      <c r="D404" s="5">
        <v>1</v>
      </c>
      <c r="E404" s="4" t="s">
        <v>18</v>
      </c>
      <c r="F404" s="5">
        <v>0</v>
      </c>
      <c r="G404" s="5">
        <v>0</v>
      </c>
      <c r="H404" s="4" t="s">
        <v>488</v>
      </c>
      <c r="I404" s="4" t="s">
        <v>1236</v>
      </c>
      <c r="J404" s="4" t="s">
        <v>1235</v>
      </c>
      <c r="K404" s="4" t="s">
        <v>10</v>
      </c>
      <c r="L404" s="4" t="s">
        <v>487</v>
      </c>
      <c r="M404" s="5">
        <v>0</v>
      </c>
      <c r="N404" s="4" t="s">
        <v>1241</v>
      </c>
    </row>
    <row r="405" spans="1:14" x14ac:dyDescent="0.15">
      <c r="A405" s="4" t="s">
        <v>164</v>
      </c>
      <c r="B405" s="4" t="s">
        <v>165</v>
      </c>
      <c r="C405" s="5">
        <v>1</v>
      </c>
      <c r="D405" s="5">
        <v>1</v>
      </c>
      <c r="E405" s="4" t="s">
        <v>9</v>
      </c>
      <c r="F405" s="5">
        <v>0</v>
      </c>
      <c r="G405" s="5">
        <v>0</v>
      </c>
      <c r="H405" s="4" t="s">
        <v>488</v>
      </c>
      <c r="I405" s="4" t="s">
        <v>1234</v>
      </c>
      <c r="J405" s="4" t="s">
        <v>1235</v>
      </c>
      <c r="K405" s="4" t="s">
        <v>10</v>
      </c>
      <c r="L405" s="4" t="s">
        <v>487</v>
      </c>
      <c r="M405" s="5">
        <v>0</v>
      </c>
      <c r="N405" s="4" t="s">
        <v>1241</v>
      </c>
    </row>
    <row r="406" spans="1:14" x14ac:dyDescent="0.15">
      <c r="A406" s="4" t="s">
        <v>166</v>
      </c>
      <c r="B406" s="4" t="s">
        <v>165</v>
      </c>
      <c r="C406" s="5">
        <v>2</v>
      </c>
      <c r="D406" s="5">
        <v>1</v>
      </c>
      <c r="E406" s="4" t="s">
        <v>9</v>
      </c>
      <c r="F406" s="5">
        <v>0</v>
      </c>
      <c r="G406" s="5">
        <v>0</v>
      </c>
      <c r="H406" s="4" t="s">
        <v>488</v>
      </c>
      <c r="I406" s="4" t="s">
        <v>1234</v>
      </c>
      <c r="J406" s="4" t="s">
        <v>1235</v>
      </c>
      <c r="K406" s="4" t="s">
        <v>10</v>
      </c>
      <c r="L406" s="4" t="s">
        <v>487</v>
      </c>
      <c r="M406" s="5">
        <v>0</v>
      </c>
      <c r="N406" s="4" t="s">
        <v>1241</v>
      </c>
    </row>
    <row r="407" spans="1:14" x14ac:dyDescent="0.15">
      <c r="A407" s="4" t="s">
        <v>167</v>
      </c>
      <c r="B407" s="4" t="s">
        <v>165</v>
      </c>
      <c r="C407" s="5">
        <v>500</v>
      </c>
      <c r="D407" s="5">
        <v>1000</v>
      </c>
      <c r="E407" s="4" t="s">
        <v>9</v>
      </c>
      <c r="F407" s="5">
        <v>0</v>
      </c>
      <c r="G407" s="5">
        <v>0</v>
      </c>
      <c r="H407" s="4" t="s">
        <v>488</v>
      </c>
      <c r="I407" s="4" t="s">
        <v>1234</v>
      </c>
      <c r="J407" s="4" t="s">
        <v>1235</v>
      </c>
      <c r="K407" s="4" t="s">
        <v>10</v>
      </c>
      <c r="L407" s="4" t="s">
        <v>487</v>
      </c>
      <c r="M407" s="5">
        <v>0</v>
      </c>
      <c r="N407" s="4" t="s">
        <v>1241</v>
      </c>
    </row>
    <row r="408" spans="1:14" x14ac:dyDescent="0.15">
      <c r="A408" s="4" t="s">
        <v>165</v>
      </c>
      <c r="B408" s="4" t="s">
        <v>34</v>
      </c>
      <c r="C408" s="5">
        <v>2</v>
      </c>
      <c r="D408" s="5">
        <v>1</v>
      </c>
      <c r="E408" s="4" t="s">
        <v>9</v>
      </c>
      <c r="F408" s="5">
        <v>3</v>
      </c>
      <c r="G408" s="5">
        <v>0</v>
      </c>
      <c r="H408" s="4" t="s">
        <v>488</v>
      </c>
      <c r="I408" s="4" t="s">
        <v>1234</v>
      </c>
      <c r="J408" s="4" t="s">
        <v>1235</v>
      </c>
      <c r="K408" s="4" t="s">
        <v>10</v>
      </c>
      <c r="L408" s="4" t="s">
        <v>487</v>
      </c>
      <c r="M408" s="5">
        <v>0</v>
      </c>
      <c r="N408" s="4" t="s">
        <v>1241</v>
      </c>
    </row>
    <row r="409" spans="1:14" x14ac:dyDescent="0.15">
      <c r="A409" s="4" t="s">
        <v>165</v>
      </c>
      <c r="B409" s="4" t="s">
        <v>12</v>
      </c>
      <c r="C409" s="5">
        <v>72.814070351759</v>
      </c>
      <c r="D409" s="5">
        <v>1000</v>
      </c>
      <c r="E409" s="4" t="s">
        <v>13</v>
      </c>
      <c r="F409" s="5">
        <v>3</v>
      </c>
      <c r="G409" s="5">
        <v>0</v>
      </c>
      <c r="H409" s="4" t="s">
        <v>488</v>
      </c>
      <c r="I409" s="4" t="s">
        <v>1234</v>
      </c>
      <c r="J409" s="4" t="s">
        <v>1235</v>
      </c>
      <c r="K409" s="4" t="s">
        <v>10</v>
      </c>
      <c r="L409" s="4" t="s">
        <v>487</v>
      </c>
      <c r="M409" s="5">
        <v>0</v>
      </c>
      <c r="N409" s="4" t="s">
        <v>1241</v>
      </c>
    </row>
    <row r="410" spans="1:14" x14ac:dyDescent="0.15">
      <c r="A410" s="4" t="s">
        <v>165</v>
      </c>
      <c r="B410" s="4" t="s">
        <v>14</v>
      </c>
      <c r="C410" s="5">
        <v>80.904522613064998</v>
      </c>
      <c r="D410" s="5">
        <v>1000</v>
      </c>
      <c r="E410" s="4" t="s">
        <v>13</v>
      </c>
      <c r="F410" s="5">
        <v>3</v>
      </c>
      <c r="G410" s="5">
        <v>0</v>
      </c>
      <c r="H410" s="4" t="s">
        <v>488</v>
      </c>
      <c r="I410" s="4" t="s">
        <v>1234</v>
      </c>
      <c r="J410" s="4" t="s">
        <v>1235</v>
      </c>
      <c r="K410" s="4" t="s">
        <v>10</v>
      </c>
      <c r="L410" s="4" t="s">
        <v>487</v>
      </c>
      <c r="M410" s="5">
        <v>0</v>
      </c>
      <c r="N410" s="4" t="s">
        <v>1241</v>
      </c>
    </row>
    <row r="411" spans="1:14" x14ac:dyDescent="0.15">
      <c r="A411" s="4" t="s">
        <v>165</v>
      </c>
      <c r="B411" s="4" t="s">
        <v>15</v>
      </c>
      <c r="C411" s="5">
        <v>1.618090452261</v>
      </c>
      <c r="D411" s="5">
        <v>1000</v>
      </c>
      <c r="E411" s="4" t="s">
        <v>13</v>
      </c>
      <c r="F411" s="5">
        <v>3</v>
      </c>
      <c r="G411" s="5">
        <v>0</v>
      </c>
      <c r="H411" s="4" t="s">
        <v>488</v>
      </c>
      <c r="I411" s="4" t="s">
        <v>1234</v>
      </c>
      <c r="J411" s="4" t="s">
        <v>1235</v>
      </c>
      <c r="K411" s="4" t="s">
        <v>10</v>
      </c>
      <c r="L411" s="4" t="s">
        <v>487</v>
      </c>
      <c r="M411" s="5">
        <v>0</v>
      </c>
      <c r="N411" s="4" t="s">
        <v>1241</v>
      </c>
    </row>
    <row r="412" spans="1:14" x14ac:dyDescent="0.15">
      <c r="A412" s="4" t="s">
        <v>165</v>
      </c>
      <c r="B412" s="4" t="s">
        <v>23</v>
      </c>
      <c r="C412" s="5">
        <v>4.045226130653</v>
      </c>
      <c r="D412" s="5">
        <v>1000</v>
      </c>
      <c r="E412" s="4" t="s">
        <v>13</v>
      </c>
      <c r="F412" s="5">
        <v>3</v>
      </c>
      <c r="G412" s="5">
        <v>0</v>
      </c>
      <c r="H412" s="4" t="s">
        <v>488</v>
      </c>
      <c r="I412" s="4" t="s">
        <v>1234</v>
      </c>
      <c r="J412" s="4" t="s">
        <v>1235</v>
      </c>
      <c r="K412" s="4" t="s">
        <v>10</v>
      </c>
      <c r="L412" s="4" t="s">
        <v>487</v>
      </c>
      <c r="M412" s="5">
        <v>0</v>
      </c>
      <c r="N412" s="4" t="s">
        <v>1241</v>
      </c>
    </row>
    <row r="413" spans="1:14" x14ac:dyDescent="0.15">
      <c r="A413" s="4" t="s">
        <v>165</v>
      </c>
      <c r="B413" s="4" t="s">
        <v>24</v>
      </c>
      <c r="C413" s="5">
        <v>1.618090452261</v>
      </c>
      <c r="D413" s="5">
        <v>1000</v>
      </c>
      <c r="E413" s="4" t="s">
        <v>13</v>
      </c>
      <c r="F413" s="5">
        <v>3</v>
      </c>
      <c r="G413" s="5">
        <v>0</v>
      </c>
      <c r="H413" s="4" t="s">
        <v>488</v>
      </c>
      <c r="I413" s="4" t="s">
        <v>1234</v>
      </c>
      <c r="J413" s="4" t="s">
        <v>1235</v>
      </c>
      <c r="K413" s="4" t="s">
        <v>10</v>
      </c>
      <c r="L413" s="4" t="s">
        <v>487</v>
      </c>
      <c r="M413" s="5">
        <v>0</v>
      </c>
      <c r="N413" s="4" t="s">
        <v>1241</v>
      </c>
    </row>
    <row r="414" spans="1:14" x14ac:dyDescent="0.15">
      <c r="A414" s="4" t="s">
        <v>165</v>
      </c>
      <c r="B414" s="4" t="s">
        <v>17</v>
      </c>
      <c r="C414" s="5">
        <v>2.9761904761899998</v>
      </c>
      <c r="D414" s="5">
        <v>1000</v>
      </c>
      <c r="E414" s="4" t="s">
        <v>18</v>
      </c>
      <c r="F414" s="5">
        <v>0</v>
      </c>
      <c r="G414" s="5">
        <v>0</v>
      </c>
      <c r="H414" s="4" t="s">
        <v>488</v>
      </c>
      <c r="I414" s="4" t="s">
        <v>1234</v>
      </c>
      <c r="J414" s="4" t="s">
        <v>1235</v>
      </c>
      <c r="K414" s="4" t="s">
        <v>10</v>
      </c>
      <c r="L414" s="4" t="s">
        <v>487</v>
      </c>
      <c r="M414" s="5">
        <v>0</v>
      </c>
      <c r="N414" s="4" t="s">
        <v>1241</v>
      </c>
    </row>
    <row r="415" spans="1:14" x14ac:dyDescent="0.15">
      <c r="A415" s="4" t="s">
        <v>165</v>
      </c>
      <c r="B415" s="4" t="s">
        <v>19</v>
      </c>
      <c r="C415" s="5">
        <v>3</v>
      </c>
      <c r="D415" s="5">
        <v>1</v>
      </c>
      <c r="E415" s="4" t="s">
        <v>18</v>
      </c>
      <c r="F415" s="5">
        <v>0</v>
      </c>
      <c r="G415" s="5">
        <v>0</v>
      </c>
      <c r="H415" s="4" t="s">
        <v>488</v>
      </c>
      <c r="I415" s="4" t="s">
        <v>1236</v>
      </c>
      <c r="J415" s="4" t="s">
        <v>1235</v>
      </c>
      <c r="K415" s="4" t="s">
        <v>10</v>
      </c>
      <c r="L415" s="4" t="s">
        <v>487</v>
      </c>
      <c r="M415" s="5">
        <v>0</v>
      </c>
      <c r="N415" s="4" t="s">
        <v>1241</v>
      </c>
    </row>
    <row r="416" spans="1:14" x14ac:dyDescent="0.15">
      <c r="A416" s="4" t="s">
        <v>168</v>
      </c>
      <c r="B416" s="4" t="s">
        <v>169</v>
      </c>
      <c r="C416" s="5">
        <v>1</v>
      </c>
      <c r="D416" s="5">
        <v>1</v>
      </c>
      <c r="E416" s="4" t="s">
        <v>9</v>
      </c>
      <c r="F416" s="5">
        <v>0</v>
      </c>
      <c r="G416" s="5">
        <v>0</v>
      </c>
      <c r="H416" s="4" t="s">
        <v>488</v>
      </c>
      <c r="I416" s="4" t="s">
        <v>1234</v>
      </c>
      <c r="J416" s="4" t="s">
        <v>1235</v>
      </c>
      <c r="K416" s="4" t="s">
        <v>10</v>
      </c>
      <c r="L416" s="4" t="s">
        <v>487</v>
      </c>
      <c r="M416" s="5">
        <v>0</v>
      </c>
      <c r="N416" s="4" t="s">
        <v>1241</v>
      </c>
    </row>
    <row r="417" spans="1:14" x14ac:dyDescent="0.15">
      <c r="A417" s="4" t="s">
        <v>170</v>
      </c>
      <c r="B417" s="4" t="s">
        <v>169</v>
      </c>
      <c r="C417" s="5">
        <v>2</v>
      </c>
      <c r="D417" s="5">
        <v>1</v>
      </c>
      <c r="E417" s="4" t="s">
        <v>9</v>
      </c>
      <c r="F417" s="5">
        <v>0</v>
      </c>
      <c r="G417" s="5">
        <v>0</v>
      </c>
      <c r="H417" s="4" t="s">
        <v>488</v>
      </c>
      <c r="I417" s="4" t="s">
        <v>1234</v>
      </c>
      <c r="J417" s="4" t="s">
        <v>1235</v>
      </c>
      <c r="K417" s="4" t="s">
        <v>10</v>
      </c>
      <c r="L417" s="4" t="s">
        <v>487</v>
      </c>
      <c r="M417" s="5">
        <v>0</v>
      </c>
      <c r="N417" s="4" t="s">
        <v>1241</v>
      </c>
    </row>
    <row r="418" spans="1:14" x14ac:dyDescent="0.15">
      <c r="A418" s="4" t="s">
        <v>171</v>
      </c>
      <c r="B418" s="4" t="s">
        <v>169</v>
      </c>
      <c r="C418" s="5">
        <v>500</v>
      </c>
      <c r="D418" s="5">
        <v>1000</v>
      </c>
      <c r="E418" s="4" t="s">
        <v>9</v>
      </c>
      <c r="F418" s="5">
        <v>0</v>
      </c>
      <c r="G418" s="5">
        <v>0</v>
      </c>
      <c r="H418" s="4" t="s">
        <v>488</v>
      </c>
      <c r="I418" s="4" t="s">
        <v>1234</v>
      </c>
      <c r="J418" s="4" t="s">
        <v>1235</v>
      </c>
      <c r="K418" s="4" t="s">
        <v>10</v>
      </c>
      <c r="L418" s="4" t="s">
        <v>487</v>
      </c>
      <c r="M418" s="5">
        <v>0</v>
      </c>
      <c r="N418" s="4" t="s">
        <v>1241</v>
      </c>
    </row>
    <row r="419" spans="1:14" x14ac:dyDescent="0.15">
      <c r="A419" s="4" t="s">
        <v>169</v>
      </c>
      <c r="B419" s="4" t="s">
        <v>34</v>
      </c>
      <c r="C419" s="5">
        <v>3</v>
      </c>
      <c r="D419" s="5">
        <v>1</v>
      </c>
      <c r="E419" s="4" t="s">
        <v>9</v>
      </c>
      <c r="F419" s="5">
        <v>3</v>
      </c>
      <c r="G419" s="5">
        <v>0</v>
      </c>
      <c r="H419" s="4" t="s">
        <v>488</v>
      </c>
      <c r="I419" s="4" t="s">
        <v>1234</v>
      </c>
      <c r="J419" s="4" t="s">
        <v>1235</v>
      </c>
      <c r="K419" s="4" t="s">
        <v>10</v>
      </c>
      <c r="L419" s="4" t="s">
        <v>487</v>
      </c>
      <c r="M419" s="5">
        <v>0</v>
      </c>
      <c r="N419" s="4" t="s">
        <v>1241</v>
      </c>
    </row>
    <row r="420" spans="1:14" x14ac:dyDescent="0.15">
      <c r="A420" s="4" t="s">
        <v>169</v>
      </c>
      <c r="B420" s="4" t="s">
        <v>12</v>
      </c>
      <c r="C420" s="5">
        <v>0.109221105528</v>
      </c>
      <c r="D420" s="5">
        <v>1</v>
      </c>
      <c r="E420" s="4" t="s">
        <v>13</v>
      </c>
      <c r="F420" s="5">
        <v>3</v>
      </c>
      <c r="G420" s="5">
        <v>0</v>
      </c>
      <c r="H420" s="4" t="s">
        <v>488</v>
      </c>
      <c r="I420" s="4" t="s">
        <v>1234</v>
      </c>
      <c r="J420" s="4" t="s">
        <v>1235</v>
      </c>
      <c r="K420" s="4" t="s">
        <v>10</v>
      </c>
      <c r="L420" s="4" t="s">
        <v>487</v>
      </c>
      <c r="M420" s="5">
        <v>0</v>
      </c>
      <c r="N420" s="4" t="s">
        <v>1241</v>
      </c>
    </row>
    <row r="421" spans="1:14" x14ac:dyDescent="0.15">
      <c r="A421" s="4" t="s">
        <v>169</v>
      </c>
      <c r="B421" s="4" t="s">
        <v>14</v>
      </c>
      <c r="C421" s="5">
        <v>0.12135678392</v>
      </c>
      <c r="D421" s="5">
        <v>1</v>
      </c>
      <c r="E421" s="4" t="s">
        <v>13</v>
      </c>
      <c r="F421" s="5">
        <v>3</v>
      </c>
      <c r="G421" s="5">
        <v>0</v>
      </c>
      <c r="H421" s="4" t="s">
        <v>488</v>
      </c>
      <c r="I421" s="4" t="s">
        <v>1234</v>
      </c>
      <c r="J421" s="4" t="s">
        <v>1235</v>
      </c>
      <c r="K421" s="4" t="s">
        <v>10</v>
      </c>
      <c r="L421" s="4" t="s">
        <v>487</v>
      </c>
      <c r="M421" s="5">
        <v>0</v>
      </c>
      <c r="N421" s="4" t="s">
        <v>1241</v>
      </c>
    </row>
    <row r="422" spans="1:14" x14ac:dyDescent="0.15">
      <c r="A422" s="4" t="s">
        <v>169</v>
      </c>
      <c r="B422" s="4" t="s">
        <v>15</v>
      </c>
      <c r="C422" s="5">
        <v>2.4271356783920002</v>
      </c>
      <c r="D422" s="5">
        <v>1000</v>
      </c>
      <c r="E422" s="4" t="s">
        <v>13</v>
      </c>
      <c r="F422" s="5">
        <v>3</v>
      </c>
      <c r="G422" s="5">
        <v>0</v>
      </c>
      <c r="H422" s="4" t="s">
        <v>488</v>
      </c>
      <c r="I422" s="4" t="s">
        <v>1234</v>
      </c>
      <c r="J422" s="4" t="s">
        <v>1235</v>
      </c>
      <c r="K422" s="4" t="s">
        <v>10</v>
      </c>
      <c r="L422" s="4" t="s">
        <v>487</v>
      </c>
      <c r="M422" s="5">
        <v>0</v>
      </c>
      <c r="N422" s="4" t="s">
        <v>1241</v>
      </c>
    </row>
    <row r="423" spans="1:14" x14ac:dyDescent="0.15">
      <c r="A423" s="4" t="s">
        <v>169</v>
      </c>
      <c r="B423" s="4" t="s">
        <v>23</v>
      </c>
      <c r="C423" s="5">
        <v>6.0678391959800004</v>
      </c>
      <c r="D423" s="5">
        <v>1000</v>
      </c>
      <c r="E423" s="4" t="s">
        <v>13</v>
      </c>
      <c r="F423" s="5">
        <v>3</v>
      </c>
      <c r="G423" s="5">
        <v>0</v>
      </c>
      <c r="H423" s="4" t="s">
        <v>488</v>
      </c>
      <c r="I423" s="4" t="s">
        <v>1234</v>
      </c>
      <c r="J423" s="4" t="s">
        <v>1235</v>
      </c>
      <c r="K423" s="4" t="s">
        <v>10</v>
      </c>
      <c r="L423" s="4" t="s">
        <v>487</v>
      </c>
      <c r="M423" s="5">
        <v>0</v>
      </c>
      <c r="N423" s="4" t="s">
        <v>1241</v>
      </c>
    </row>
    <row r="424" spans="1:14" x14ac:dyDescent="0.15">
      <c r="A424" s="4" t="s">
        <v>169</v>
      </c>
      <c r="B424" s="4" t="s">
        <v>24</v>
      </c>
      <c r="C424" s="5">
        <v>2.4271356783920002</v>
      </c>
      <c r="D424" s="5">
        <v>1000</v>
      </c>
      <c r="E424" s="4" t="s">
        <v>13</v>
      </c>
      <c r="F424" s="5">
        <v>3</v>
      </c>
      <c r="G424" s="5">
        <v>0</v>
      </c>
      <c r="H424" s="4" t="s">
        <v>488</v>
      </c>
      <c r="I424" s="4" t="s">
        <v>1234</v>
      </c>
      <c r="J424" s="4" t="s">
        <v>1235</v>
      </c>
      <c r="K424" s="4" t="s">
        <v>10</v>
      </c>
      <c r="L424" s="4" t="s">
        <v>487</v>
      </c>
      <c r="M424" s="5">
        <v>0</v>
      </c>
      <c r="N424" s="4" t="s">
        <v>1241</v>
      </c>
    </row>
    <row r="425" spans="1:14" x14ac:dyDescent="0.15">
      <c r="A425" s="4" t="s">
        <v>169</v>
      </c>
      <c r="B425" s="4" t="s">
        <v>17</v>
      </c>
      <c r="C425" s="5">
        <v>5.9523809523809996</v>
      </c>
      <c r="D425" s="5">
        <v>1000</v>
      </c>
      <c r="E425" s="4" t="s">
        <v>18</v>
      </c>
      <c r="F425" s="5">
        <v>0</v>
      </c>
      <c r="G425" s="5">
        <v>0</v>
      </c>
      <c r="H425" s="4" t="s">
        <v>488</v>
      </c>
      <c r="I425" s="4" t="s">
        <v>1234</v>
      </c>
      <c r="J425" s="4" t="s">
        <v>1235</v>
      </c>
      <c r="K425" s="4" t="s">
        <v>10</v>
      </c>
      <c r="L425" s="4" t="s">
        <v>487</v>
      </c>
      <c r="M425" s="5">
        <v>0</v>
      </c>
      <c r="N425" s="4" t="s">
        <v>1241</v>
      </c>
    </row>
    <row r="426" spans="1:14" x14ac:dyDescent="0.15">
      <c r="A426" s="4" t="s">
        <v>169</v>
      </c>
      <c r="B426" s="4" t="s">
        <v>19</v>
      </c>
      <c r="C426" s="5">
        <v>3</v>
      </c>
      <c r="D426" s="5">
        <v>1</v>
      </c>
      <c r="E426" s="4" t="s">
        <v>18</v>
      </c>
      <c r="F426" s="5">
        <v>0</v>
      </c>
      <c r="G426" s="5">
        <v>0</v>
      </c>
      <c r="H426" s="4" t="s">
        <v>488</v>
      </c>
      <c r="I426" s="4" t="s">
        <v>1236</v>
      </c>
      <c r="J426" s="4" t="s">
        <v>1235</v>
      </c>
      <c r="K426" s="4" t="s">
        <v>10</v>
      </c>
      <c r="L426" s="4" t="s">
        <v>487</v>
      </c>
      <c r="M426" s="5">
        <v>0</v>
      </c>
      <c r="N426" s="4" t="s">
        <v>1241</v>
      </c>
    </row>
    <row r="427" spans="1:14" x14ac:dyDescent="0.15">
      <c r="A427" s="4" t="s">
        <v>172</v>
      </c>
      <c r="B427" s="4" t="s">
        <v>173</v>
      </c>
      <c r="C427" s="5">
        <v>1</v>
      </c>
      <c r="D427" s="5">
        <v>1</v>
      </c>
      <c r="E427" s="4" t="s">
        <v>9</v>
      </c>
      <c r="F427" s="5">
        <v>0</v>
      </c>
      <c r="G427" s="5">
        <v>0</v>
      </c>
      <c r="H427" s="4" t="s">
        <v>488</v>
      </c>
      <c r="I427" s="4" t="s">
        <v>1234</v>
      </c>
      <c r="J427" s="4" t="s">
        <v>1235</v>
      </c>
      <c r="K427" s="4" t="s">
        <v>10</v>
      </c>
      <c r="L427" s="4" t="s">
        <v>487</v>
      </c>
      <c r="M427" s="5">
        <v>0</v>
      </c>
      <c r="N427" s="4" t="s">
        <v>1241</v>
      </c>
    </row>
    <row r="428" spans="1:14" x14ac:dyDescent="0.15">
      <c r="A428" s="4" t="s">
        <v>174</v>
      </c>
      <c r="B428" s="4" t="s">
        <v>173</v>
      </c>
      <c r="C428" s="5">
        <v>2</v>
      </c>
      <c r="D428" s="5">
        <v>1</v>
      </c>
      <c r="E428" s="4" t="s">
        <v>9</v>
      </c>
      <c r="F428" s="5">
        <v>0</v>
      </c>
      <c r="G428" s="5">
        <v>0</v>
      </c>
      <c r="H428" s="4" t="s">
        <v>488</v>
      </c>
      <c r="I428" s="4" t="s">
        <v>1234</v>
      </c>
      <c r="J428" s="4" t="s">
        <v>1235</v>
      </c>
      <c r="K428" s="4" t="s">
        <v>10</v>
      </c>
      <c r="L428" s="4" t="s">
        <v>487</v>
      </c>
      <c r="M428" s="5">
        <v>0</v>
      </c>
      <c r="N428" s="4" t="s">
        <v>1241</v>
      </c>
    </row>
    <row r="429" spans="1:14" x14ac:dyDescent="0.15">
      <c r="A429" s="4" t="s">
        <v>175</v>
      </c>
      <c r="B429" s="4" t="s">
        <v>173</v>
      </c>
      <c r="C429" s="5">
        <v>500</v>
      </c>
      <c r="D429" s="5">
        <v>1000</v>
      </c>
      <c r="E429" s="4" t="s">
        <v>9</v>
      </c>
      <c r="F429" s="5">
        <v>0</v>
      </c>
      <c r="G429" s="5">
        <v>0</v>
      </c>
      <c r="H429" s="4" t="s">
        <v>488</v>
      </c>
      <c r="I429" s="4" t="s">
        <v>1234</v>
      </c>
      <c r="J429" s="4" t="s">
        <v>1235</v>
      </c>
      <c r="K429" s="4" t="s">
        <v>10</v>
      </c>
      <c r="L429" s="4" t="s">
        <v>487</v>
      </c>
      <c r="M429" s="5">
        <v>0</v>
      </c>
      <c r="N429" s="4" t="s">
        <v>1241</v>
      </c>
    </row>
    <row r="430" spans="1:14" x14ac:dyDescent="0.15">
      <c r="A430" s="4" t="s">
        <v>173</v>
      </c>
      <c r="B430" s="4" t="s">
        <v>176</v>
      </c>
      <c r="C430" s="5">
        <v>28</v>
      </c>
      <c r="D430" s="5">
        <v>1</v>
      </c>
      <c r="E430" s="4" t="s">
        <v>9</v>
      </c>
      <c r="F430" s="5">
        <v>3</v>
      </c>
      <c r="G430" s="5">
        <v>0</v>
      </c>
      <c r="H430" s="4" t="s">
        <v>488</v>
      </c>
      <c r="I430" s="4" t="s">
        <v>1234</v>
      </c>
      <c r="J430" s="4" t="s">
        <v>1235</v>
      </c>
      <c r="K430" s="4" t="s">
        <v>10</v>
      </c>
      <c r="L430" s="4" t="s">
        <v>487</v>
      </c>
      <c r="M430" s="5">
        <v>0</v>
      </c>
      <c r="N430" s="4" t="s">
        <v>1241</v>
      </c>
    </row>
    <row r="431" spans="1:14" x14ac:dyDescent="0.15">
      <c r="A431" s="4" t="s">
        <v>173</v>
      </c>
      <c r="B431" s="4" t="s">
        <v>12</v>
      </c>
      <c r="C431" s="5">
        <v>14.689447236181</v>
      </c>
      <c r="D431" s="5">
        <v>1</v>
      </c>
      <c r="E431" s="4" t="s">
        <v>13</v>
      </c>
      <c r="F431" s="5">
        <v>3</v>
      </c>
      <c r="G431" s="5">
        <v>0</v>
      </c>
      <c r="H431" s="4" t="s">
        <v>488</v>
      </c>
      <c r="I431" s="4" t="s">
        <v>1234</v>
      </c>
      <c r="J431" s="4" t="s">
        <v>1235</v>
      </c>
      <c r="K431" s="4" t="s">
        <v>10</v>
      </c>
      <c r="L431" s="4" t="s">
        <v>487</v>
      </c>
      <c r="M431" s="5">
        <v>0</v>
      </c>
      <c r="N431" s="4" t="s">
        <v>1241</v>
      </c>
    </row>
    <row r="432" spans="1:14" x14ac:dyDescent="0.15">
      <c r="A432" s="4" t="s">
        <v>173</v>
      </c>
      <c r="B432" s="4" t="s">
        <v>14</v>
      </c>
      <c r="C432" s="5">
        <v>16.321608040201003</v>
      </c>
      <c r="D432" s="5">
        <v>1</v>
      </c>
      <c r="E432" s="4" t="s">
        <v>13</v>
      </c>
      <c r="F432" s="5">
        <v>3</v>
      </c>
      <c r="G432" s="5">
        <v>0</v>
      </c>
      <c r="H432" s="4" t="s">
        <v>488</v>
      </c>
      <c r="I432" s="4" t="s">
        <v>1234</v>
      </c>
      <c r="J432" s="4" t="s">
        <v>1235</v>
      </c>
      <c r="K432" s="4" t="s">
        <v>10</v>
      </c>
      <c r="L432" s="4" t="s">
        <v>487</v>
      </c>
      <c r="M432" s="5">
        <v>0</v>
      </c>
      <c r="N432" s="4" t="s">
        <v>1241</v>
      </c>
    </row>
    <row r="433" spans="1:14" x14ac:dyDescent="0.15">
      <c r="A433" s="4" t="s">
        <v>173</v>
      </c>
      <c r="B433" s="4" t="s">
        <v>15</v>
      </c>
      <c r="C433" s="5">
        <v>0.326432160804</v>
      </c>
      <c r="D433" s="5">
        <v>1</v>
      </c>
      <c r="E433" s="4" t="s">
        <v>13</v>
      </c>
      <c r="F433" s="5">
        <v>3</v>
      </c>
      <c r="G433" s="5">
        <v>0</v>
      </c>
      <c r="H433" s="4" t="s">
        <v>488</v>
      </c>
      <c r="I433" s="4" t="s">
        <v>1234</v>
      </c>
      <c r="J433" s="4" t="s">
        <v>1235</v>
      </c>
      <c r="K433" s="4" t="s">
        <v>10</v>
      </c>
      <c r="L433" s="4" t="s">
        <v>487</v>
      </c>
      <c r="M433" s="5">
        <v>0</v>
      </c>
      <c r="N433" s="4" t="s">
        <v>1241</v>
      </c>
    </row>
    <row r="434" spans="1:14" x14ac:dyDescent="0.15">
      <c r="A434" s="4" t="s">
        <v>173</v>
      </c>
      <c r="B434" s="4" t="s">
        <v>23</v>
      </c>
      <c r="C434" s="5">
        <v>0.81608040200999998</v>
      </c>
      <c r="D434" s="5">
        <v>1</v>
      </c>
      <c r="E434" s="4" t="s">
        <v>13</v>
      </c>
      <c r="F434" s="5">
        <v>3</v>
      </c>
      <c r="G434" s="5">
        <v>0</v>
      </c>
      <c r="H434" s="4" t="s">
        <v>488</v>
      </c>
      <c r="I434" s="4" t="s">
        <v>1234</v>
      </c>
      <c r="J434" s="4" t="s">
        <v>1235</v>
      </c>
      <c r="K434" s="4" t="s">
        <v>10</v>
      </c>
      <c r="L434" s="4" t="s">
        <v>487</v>
      </c>
      <c r="M434" s="5">
        <v>0</v>
      </c>
      <c r="N434" s="4" t="s">
        <v>1241</v>
      </c>
    </row>
    <row r="435" spans="1:14" x14ac:dyDescent="0.15">
      <c r="A435" s="4" t="s">
        <v>173</v>
      </c>
      <c r="B435" s="4" t="s">
        <v>24</v>
      </c>
      <c r="C435" s="5">
        <v>0.326432160804</v>
      </c>
      <c r="D435" s="5">
        <v>1</v>
      </c>
      <c r="E435" s="4" t="s">
        <v>13</v>
      </c>
      <c r="F435" s="5">
        <v>3</v>
      </c>
      <c r="G435" s="5">
        <v>0</v>
      </c>
      <c r="H435" s="4" t="s">
        <v>488</v>
      </c>
      <c r="I435" s="4" t="s">
        <v>1234</v>
      </c>
      <c r="J435" s="4" t="s">
        <v>1235</v>
      </c>
      <c r="K435" s="4" t="s">
        <v>10</v>
      </c>
      <c r="L435" s="4" t="s">
        <v>487</v>
      </c>
      <c r="M435" s="5">
        <v>0</v>
      </c>
      <c r="N435" s="4" t="s">
        <v>1241</v>
      </c>
    </row>
    <row r="436" spans="1:14" x14ac:dyDescent="0.15">
      <c r="A436" s="4" t="s">
        <v>173</v>
      </c>
      <c r="B436" s="4" t="s">
        <v>17</v>
      </c>
      <c r="C436" s="5">
        <v>19.607843137255003</v>
      </c>
      <c r="D436" s="5">
        <v>1000</v>
      </c>
      <c r="E436" s="4" t="s">
        <v>18</v>
      </c>
      <c r="F436" s="5">
        <v>0</v>
      </c>
      <c r="G436" s="5">
        <v>0</v>
      </c>
      <c r="H436" s="4" t="s">
        <v>488</v>
      </c>
      <c r="I436" s="4" t="s">
        <v>1234</v>
      </c>
      <c r="J436" s="4" t="s">
        <v>1235</v>
      </c>
      <c r="K436" s="4" t="s">
        <v>10</v>
      </c>
      <c r="L436" s="4" t="s">
        <v>487</v>
      </c>
      <c r="M436" s="5">
        <v>0</v>
      </c>
      <c r="N436" s="4" t="s">
        <v>1241</v>
      </c>
    </row>
    <row r="437" spans="1:14" x14ac:dyDescent="0.15">
      <c r="A437" s="4" t="s">
        <v>173</v>
      </c>
      <c r="B437" s="4" t="s">
        <v>19</v>
      </c>
      <c r="C437" s="5">
        <v>5</v>
      </c>
      <c r="D437" s="5">
        <v>1</v>
      </c>
      <c r="E437" s="4" t="s">
        <v>18</v>
      </c>
      <c r="F437" s="5">
        <v>0</v>
      </c>
      <c r="G437" s="5">
        <v>0</v>
      </c>
      <c r="H437" s="4" t="s">
        <v>488</v>
      </c>
      <c r="I437" s="4" t="s">
        <v>1236</v>
      </c>
      <c r="J437" s="4" t="s">
        <v>1235</v>
      </c>
      <c r="K437" s="4" t="s">
        <v>10</v>
      </c>
      <c r="L437" s="4" t="s">
        <v>487</v>
      </c>
      <c r="M437" s="5">
        <v>0</v>
      </c>
      <c r="N437" s="4" t="s">
        <v>1241</v>
      </c>
    </row>
    <row r="438" spans="1:14" x14ac:dyDescent="0.15">
      <c r="A438" s="4" t="s">
        <v>177</v>
      </c>
      <c r="B438" s="4" t="s">
        <v>178</v>
      </c>
      <c r="C438" s="5">
        <v>1</v>
      </c>
      <c r="D438" s="5">
        <v>1</v>
      </c>
      <c r="E438" s="4" t="s">
        <v>9</v>
      </c>
      <c r="F438" s="5">
        <v>0</v>
      </c>
      <c r="G438" s="5">
        <v>0</v>
      </c>
      <c r="H438" s="4" t="s">
        <v>488</v>
      </c>
      <c r="I438" s="4" t="s">
        <v>1234</v>
      </c>
      <c r="J438" s="4" t="s">
        <v>1235</v>
      </c>
      <c r="K438" s="4" t="s">
        <v>10</v>
      </c>
      <c r="L438" s="4" t="s">
        <v>487</v>
      </c>
      <c r="M438" s="5">
        <v>0</v>
      </c>
      <c r="N438" s="4" t="s">
        <v>1241</v>
      </c>
    </row>
    <row r="439" spans="1:14" x14ac:dyDescent="0.15">
      <c r="A439" s="4" t="s">
        <v>179</v>
      </c>
      <c r="B439" s="4" t="s">
        <v>178</v>
      </c>
      <c r="C439" s="5">
        <v>500</v>
      </c>
      <c r="D439" s="5">
        <v>1000</v>
      </c>
      <c r="E439" s="4" t="s">
        <v>9</v>
      </c>
      <c r="F439" s="5">
        <v>0</v>
      </c>
      <c r="G439" s="5">
        <v>0</v>
      </c>
      <c r="H439" s="4" t="s">
        <v>488</v>
      </c>
      <c r="I439" s="4" t="s">
        <v>1234</v>
      </c>
      <c r="J439" s="4" t="s">
        <v>1235</v>
      </c>
      <c r="K439" s="4" t="s">
        <v>10</v>
      </c>
      <c r="L439" s="4" t="s">
        <v>487</v>
      </c>
      <c r="M439" s="5">
        <v>0</v>
      </c>
      <c r="N439" s="4" t="s">
        <v>1241</v>
      </c>
    </row>
    <row r="440" spans="1:14" x14ac:dyDescent="0.15">
      <c r="A440" s="4" t="s">
        <v>178</v>
      </c>
      <c r="B440" s="4" t="s">
        <v>176</v>
      </c>
      <c r="C440" s="5">
        <v>34</v>
      </c>
      <c r="D440" s="5">
        <v>1</v>
      </c>
      <c r="E440" s="4" t="s">
        <v>9</v>
      </c>
      <c r="F440" s="5">
        <v>3</v>
      </c>
      <c r="G440" s="5">
        <v>0</v>
      </c>
      <c r="H440" s="4" t="s">
        <v>488</v>
      </c>
      <c r="I440" s="4" t="s">
        <v>1234</v>
      </c>
      <c r="J440" s="4" t="s">
        <v>1235</v>
      </c>
      <c r="K440" s="4" t="s">
        <v>10</v>
      </c>
      <c r="L440" s="4" t="s">
        <v>487</v>
      </c>
      <c r="M440" s="5">
        <v>0</v>
      </c>
      <c r="N440" s="4" t="s">
        <v>1241</v>
      </c>
    </row>
    <row r="441" spans="1:14" x14ac:dyDescent="0.15">
      <c r="A441" s="4" t="s">
        <v>178</v>
      </c>
      <c r="B441" s="4" t="s">
        <v>12</v>
      </c>
      <c r="C441" s="5">
        <v>17.837185929648001</v>
      </c>
      <c r="D441" s="5">
        <v>1</v>
      </c>
      <c r="E441" s="4" t="s">
        <v>13</v>
      </c>
      <c r="F441" s="5">
        <v>3</v>
      </c>
      <c r="G441" s="5">
        <v>0</v>
      </c>
      <c r="H441" s="4" t="s">
        <v>488</v>
      </c>
      <c r="I441" s="4" t="s">
        <v>1234</v>
      </c>
      <c r="J441" s="4" t="s">
        <v>1235</v>
      </c>
      <c r="K441" s="4" t="s">
        <v>10</v>
      </c>
      <c r="L441" s="4" t="s">
        <v>487</v>
      </c>
      <c r="M441" s="5">
        <v>0</v>
      </c>
      <c r="N441" s="4" t="s">
        <v>1241</v>
      </c>
    </row>
    <row r="442" spans="1:14" x14ac:dyDescent="0.15">
      <c r="A442" s="4" t="s">
        <v>178</v>
      </c>
      <c r="B442" s="4" t="s">
        <v>14</v>
      </c>
      <c r="C442" s="5">
        <v>19.819095477386998</v>
      </c>
      <c r="D442" s="5">
        <v>1</v>
      </c>
      <c r="E442" s="4" t="s">
        <v>13</v>
      </c>
      <c r="F442" s="5">
        <v>3</v>
      </c>
      <c r="G442" s="5">
        <v>0</v>
      </c>
      <c r="H442" s="4" t="s">
        <v>488</v>
      </c>
      <c r="I442" s="4" t="s">
        <v>1234</v>
      </c>
      <c r="J442" s="4" t="s">
        <v>1235</v>
      </c>
      <c r="K442" s="4" t="s">
        <v>10</v>
      </c>
      <c r="L442" s="4" t="s">
        <v>487</v>
      </c>
      <c r="M442" s="5">
        <v>0</v>
      </c>
      <c r="N442" s="4" t="s">
        <v>1241</v>
      </c>
    </row>
    <row r="443" spans="1:14" x14ac:dyDescent="0.15">
      <c r="A443" s="4" t="s">
        <v>178</v>
      </c>
      <c r="B443" s="4" t="s">
        <v>15</v>
      </c>
      <c r="C443" s="5">
        <v>0.39638190954800001</v>
      </c>
      <c r="D443" s="5">
        <v>1</v>
      </c>
      <c r="E443" s="4" t="s">
        <v>13</v>
      </c>
      <c r="F443" s="5">
        <v>3</v>
      </c>
      <c r="G443" s="5">
        <v>0</v>
      </c>
      <c r="H443" s="4" t="s">
        <v>488</v>
      </c>
      <c r="I443" s="4" t="s">
        <v>1234</v>
      </c>
      <c r="J443" s="4" t="s">
        <v>1235</v>
      </c>
      <c r="K443" s="4" t="s">
        <v>10</v>
      </c>
      <c r="L443" s="4" t="s">
        <v>487</v>
      </c>
      <c r="M443" s="5">
        <v>0</v>
      </c>
      <c r="N443" s="4" t="s">
        <v>1241</v>
      </c>
    </row>
    <row r="444" spans="1:14" x14ac:dyDescent="0.15">
      <c r="A444" s="4" t="s">
        <v>178</v>
      </c>
      <c r="B444" s="4" t="s">
        <v>23</v>
      </c>
      <c r="C444" s="5">
        <v>0.99095477386899999</v>
      </c>
      <c r="D444" s="5">
        <v>1</v>
      </c>
      <c r="E444" s="4" t="s">
        <v>13</v>
      </c>
      <c r="F444" s="5">
        <v>3</v>
      </c>
      <c r="G444" s="5">
        <v>0</v>
      </c>
      <c r="H444" s="4" t="s">
        <v>488</v>
      </c>
      <c r="I444" s="4" t="s">
        <v>1234</v>
      </c>
      <c r="J444" s="4" t="s">
        <v>1235</v>
      </c>
      <c r="K444" s="4" t="s">
        <v>10</v>
      </c>
      <c r="L444" s="4" t="s">
        <v>487</v>
      </c>
      <c r="M444" s="5">
        <v>0</v>
      </c>
      <c r="N444" s="4" t="s">
        <v>1241</v>
      </c>
    </row>
    <row r="445" spans="1:14" x14ac:dyDescent="0.15">
      <c r="A445" s="4" t="s">
        <v>178</v>
      </c>
      <c r="B445" s="4" t="s">
        <v>24</v>
      </c>
      <c r="C445" s="5">
        <v>0.39638190954800001</v>
      </c>
      <c r="D445" s="5">
        <v>1</v>
      </c>
      <c r="E445" s="4" t="s">
        <v>13</v>
      </c>
      <c r="F445" s="5">
        <v>3</v>
      </c>
      <c r="G445" s="5">
        <v>0</v>
      </c>
      <c r="H445" s="4" t="s">
        <v>488</v>
      </c>
      <c r="I445" s="4" t="s">
        <v>1234</v>
      </c>
      <c r="J445" s="4" t="s">
        <v>1235</v>
      </c>
      <c r="K445" s="4" t="s">
        <v>10</v>
      </c>
      <c r="L445" s="4" t="s">
        <v>487</v>
      </c>
      <c r="M445" s="5">
        <v>0</v>
      </c>
      <c r="N445" s="4" t="s">
        <v>1241</v>
      </c>
    </row>
    <row r="446" spans="1:14" x14ac:dyDescent="0.15">
      <c r="A446" s="4" t="s">
        <v>178</v>
      </c>
      <c r="B446" s="4" t="s">
        <v>17</v>
      </c>
      <c r="C446" s="5">
        <v>20.833333333332998</v>
      </c>
      <c r="D446" s="5">
        <v>1000</v>
      </c>
      <c r="E446" s="4" t="s">
        <v>18</v>
      </c>
      <c r="F446" s="5">
        <v>0</v>
      </c>
      <c r="G446" s="5">
        <v>0</v>
      </c>
      <c r="H446" s="4" t="s">
        <v>488</v>
      </c>
      <c r="I446" s="4" t="s">
        <v>1234</v>
      </c>
      <c r="J446" s="4" t="s">
        <v>1235</v>
      </c>
      <c r="K446" s="4" t="s">
        <v>10</v>
      </c>
      <c r="L446" s="4" t="s">
        <v>487</v>
      </c>
      <c r="M446" s="5">
        <v>0</v>
      </c>
      <c r="N446" s="4" t="s">
        <v>1241</v>
      </c>
    </row>
    <row r="447" spans="1:14" x14ac:dyDescent="0.15">
      <c r="A447" s="4" t="s">
        <v>178</v>
      </c>
      <c r="B447" s="4" t="s">
        <v>19</v>
      </c>
      <c r="C447" s="5">
        <v>5</v>
      </c>
      <c r="D447" s="5">
        <v>1</v>
      </c>
      <c r="E447" s="4" t="s">
        <v>18</v>
      </c>
      <c r="F447" s="5">
        <v>0</v>
      </c>
      <c r="G447" s="5">
        <v>0</v>
      </c>
      <c r="H447" s="4" t="s">
        <v>488</v>
      </c>
      <c r="I447" s="4" t="s">
        <v>1236</v>
      </c>
      <c r="J447" s="4" t="s">
        <v>1235</v>
      </c>
      <c r="K447" s="4" t="s">
        <v>10</v>
      </c>
      <c r="L447" s="4" t="s">
        <v>487</v>
      </c>
      <c r="M447" s="5">
        <v>0</v>
      </c>
      <c r="N447" s="4" t="s">
        <v>1241</v>
      </c>
    </row>
    <row r="448" spans="1:14" x14ac:dyDescent="0.15">
      <c r="A448" s="4" t="s">
        <v>180</v>
      </c>
      <c r="B448" s="4" t="s">
        <v>181</v>
      </c>
      <c r="C448" s="5">
        <v>1</v>
      </c>
      <c r="D448" s="5">
        <v>1</v>
      </c>
      <c r="E448" s="4" t="s">
        <v>9</v>
      </c>
      <c r="F448" s="5">
        <v>0</v>
      </c>
      <c r="G448" s="5">
        <v>0</v>
      </c>
      <c r="H448" s="4" t="s">
        <v>488</v>
      </c>
      <c r="I448" s="4" t="s">
        <v>1234</v>
      </c>
      <c r="J448" s="4" t="s">
        <v>1235</v>
      </c>
      <c r="K448" s="4" t="s">
        <v>10</v>
      </c>
      <c r="L448" s="4" t="s">
        <v>487</v>
      </c>
      <c r="M448" s="5">
        <v>0</v>
      </c>
      <c r="N448" s="4" t="s">
        <v>1241</v>
      </c>
    </row>
    <row r="449" spans="1:14" x14ac:dyDescent="0.15">
      <c r="A449" s="4" t="s">
        <v>182</v>
      </c>
      <c r="B449" s="4" t="s">
        <v>181</v>
      </c>
      <c r="C449" s="5">
        <v>2</v>
      </c>
      <c r="D449" s="5">
        <v>1</v>
      </c>
      <c r="E449" s="4" t="s">
        <v>9</v>
      </c>
      <c r="F449" s="5">
        <v>0</v>
      </c>
      <c r="G449" s="5">
        <v>0</v>
      </c>
      <c r="H449" s="4" t="s">
        <v>488</v>
      </c>
      <c r="I449" s="4" t="s">
        <v>1234</v>
      </c>
      <c r="J449" s="4" t="s">
        <v>1235</v>
      </c>
      <c r="K449" s="4" t="s">
        <v>10</v>
      </c>
      <c r="L449" s="4" t="s">
        <v>487</v>
      </c>
      <c r="M449" s="5">
        <v>0</v>
      </c>
      <c r="N449" s="4" t="s">
        <v>1241</v>
      </c>
    </row>
    <row r="450" spans="1:14" x14ac:dyDescent="0.15">
      <c r="A450" s="4" t="s">
        <v>183</v>
      </c>
      <c r="B450" s="4" t="s">
        <v>181</v>
      </c>
      <c r="C450" s="5">
        <v>5</v>
      </c>
      <c r="D450" s="5">
        <v>1</v>
      </c>
      <c r="E450" s="4" t="s">
        <v>9</v>
      </c>
      <c r="F450" s="5">
        <v>0</v>
      </c>
      <c r="G450" s="5">
        <v>0</v>
      </c>
      <c r="H450" s="4" t="s">
        <v>488</v>
      </c>
      <c r="I450" s="4" t="s">
        <v>1234</v>
      </c>
      <c r="J450" s="4" t="s">
        <v>1235</v>
      </c>
      <c r="K450" s="4" t="s">
        <v>10</v>
      </c>
      <c r="L450" s="4" t="s">
        <v>487</v>
      </c>
      <c r="M450" s="5">
        <v>0</v>
      </c>
      <c r="N450" s="4" t="s">
        <v>1241</v>
      </c>
    </row>
    <row r="451" spans="1:14" x14ac:dyDescent="0.15">
      <c r="A451" s="4" t="s">
        <v>184</v>
      </c>
      <c r="B451" s="4" t="s">
        <v>181</v>
      </c>
      <c r="C451" s="5">
        <v>500</v>
      </c>
      <c r="D451" s="5">
        <v>1000</v>
      </c>
      <c r="E451" s="4" t="s">
        <v>9</v>
      </c>
      <c r="F451" s="5">
        <v>0</v>
      </c>
      <c r="G451" s="5">
        <v>0</v>
      </c>
      <c r="H451" s="4" t="s">
        <v>488</v>
      </c>
      <c r="I451" s="4" t="s">
        <v>1234</v>
      </c>
      <c r="J451" s="4" t="s">
        <v>1235</v>
      </c>
      <c r="K451" s="4" t="s">
        <v>10</v>
      </c>
      <c r="L451" s="4" t="s">
        <v>487</v>
      </c>
      <c r="M451" s="5">
        <v>0</v>
      </c>
      <c r="N451" s="4" t="s">
        <v>1241</v>
      </c>
    </row>
    <row r="452" spans="1:14" x14ac:dyDescent="0.15">
      <c r="A452" s="4" t="s">
        <v>181</v>
      </c>
      <c r="B452" s="4" t="s">
        <v>176</v>
      </c>
      <c r="C452" s="5">
        <v>40</v>
      </c>
      <c r="D452" s="5">
        <v>1</v>
      </c>
      <c r="E452" s="4" t="s">
        <v>9</v>
      </c>
      <c r="F452" s="5">
        <v>3</v>
      </c>
      <c r="G452" s="5">
        <v>0</v>
      </c>
      <c r="H452" s="4" t="s">
        <v>488</v>
      </c>
      <c r="I452" s="4" t="s">
        <v>1234</v>
      </c>
      <c r="J452" s="4" t="s">
        <v>1235</v>
      </c>
      <c r="K452" s="4" t="s">
        <v>10</v>
      </c>
      <c r="L452" s="4" t="s">
        <v>487</v>
      </c>
      <c r="M452" s="5">
        <v>0</v>
      </c>
      <c r="N452" s="4" t="s">
        <v>1241</v>
      </c>
    </row>
    <row r="453" spans="1:14" x14ac:dyDescent="0.15">
      <c r="A453" s="4" t="s">
        <v>181</v>
      </c>
      <c r="B453" s="4" t="s">
        <v>12</v>
      </c>
      <c r="C453" s="5">
        <v>21.312814070352001</v>
      </c>
      <c r="D453" s="5">
        <v>1</v>
      </c>
      <c r="E453" s="4" t="s">
        <v>13</v>
      </c>
      <c r="F453" s="5">
        <v>3</v>
      </c>
      <c r="G453" s="5">
        <v>0</v>
      </c>
      <c r="H453" s="4" t="s">
        <v>488</v>
      </c>
      <c r="I453" s="4" t="s">
        <v>1234</v>
      </c>
      <c r="J453" s="4" t="s">
        <v>1235</v>
      </c>
      <c r="K453" s="4" t="s">
        <v>10</v>
      </c>
      <c r="L453" s="4" t="s">
        <v>487</v>
      </c>
      <c r="M453" s="5">
        <v>0</v>
      </c>
      <c r="N453" s="4" t="s">
        <v>1241</v>
      </c>
    </row>
    <row r="454" spans="1:14" x14ac:dyDescent="0.15">
      <c r="A454" s="4" t="s">
        <v>181</v>
      </c>
      <c r="B454" s="4" t="s">
        <v>14</v>
      </c>
      <c r="C454" s="5">
        <v>23.680904522613002</v>
      </c>
      <c r="D454" s="5">
        <v>1</v>
      </c>
      <c r="E454" s="4" t="s">
        <v>13</v>
      </c>
      <c r="F454" s="5">
        <v>3</v>
      </c>
      <c r="G454" s="5">
        <v>0</v>
      </c>
      <c r="H454" s="4" t="s">
        <v>488</v>
      </c>
      <c r="I454" s="4" t="s">
        <v>1234</v>
      </c>
      <c r="J454" s="4" t="s">
        <v>1235</v>
      </c>
      <c r="K454" s="4" t="s">
        <v>10</v>
      </c>
      <c r="L454" s="4" t="s">
        <v>487</v>
      </c>
      <c r="M454" s="5">
        <v>0</v>
      </c>
      <c r="N454" s="4" t="s">
        <v>1241</v>
      </c>
    </row>
    <row r="455" spans="1:14" x14ac:dyDescent="0.15">
      <c r="A455" s="4" t="s">
        <v>181</v>
      </c>
      <c r="B455" s="4" t="s">
        <v>15</v>
      </c>
      <c r="C455" s="5">
        <v>0.47361809045199998</v>
      </c>
      <c r="D455" s="5">
        <v>1</v>
      </c>
      <c r="E455" s="4" t="s">
        <v>13</v>
      </c>
      <c r="F455" s="5">
        <v>3</v>
      </c>
      <c r="G455" s="5">
        <v>0</v>
      </c>
      <c r="H455" s="4" t="s">
        <v>488</v>
      </c>
      <c r="I455" s="4" t="s">
        <v>1234</v>
      </c>
      <c r="J455" s="4" t="s">
        <v>1235</v>
      </c>
      <c r="K455" s="4" t="s">
        <v>10</v>
      </c>
      <c r="L455" s="4" t="s">
        <v>487</v>
      </c>
      <c r="M455" s="5">
        <v>0</v>
      </c>
      <c r="N455" s="4" t="s">
        <v>1241</v>
      </c>
    </row>
    <row r="456" spans="1:14" x14ac:dyDescent="0.15">
      <c r="A456" s="4" t="s">
        <v>181</v>
      </c>
      <c r="B456" s="4" t="s">
        <v>23</v>
      </c>
      <c r="C456" s="5">
        <v>1.1840452261309999</v>
      </c>
      <c r="D456" s="5">
        <v>1</v>
      </c>
      <c r="E456" s="4" t="s">
        <v>13</v>
      </c>
      <c r="F456" s="5">
        <v>3</v>
      </c>
      <c r="G456" s="5">
        <v>0</v>
      </c>
      <c r="H456" s="4" t="s">
        <v>488</v>
      </c>
      <c r="I456" s="4" t="s">
        <v>1234</v>
      </c>
      <c r="J456" s="4" t="s">
        <v>1235</v>
      </c>
      <c r="K456" s="4" t="s">
        <v>10</v>
      </c>
      <c r="L456" s="4" t="s">
        <v>487</v>
      </c>
      <c r="M456" s="5">
        <v>0</v>
      </c>
      <c r="N456" s="4" t="s">
        <v>1241</v>
      </c>
    </row>
    <row r="457" spans="1:14" x14ac:dyDescent="0.15">
      <c r="A457" s="4" t="s">
        <v>181</v>
      </c>
      <c r="B457" s="4" t="s">
        <v>24</v>
      </c>
      <c r="C457" s="5">
        <v>0.47361809045199998</v>
      </c>
      <c r="D457" s="5">
        <v>1</v>
      </c>
      <c r="E457" s="4" t="s">
        <v>13</v>
      </c>
      <c r="F457" s="5">
        <v>3</v>
      </c>
      <c r="G457" s="5">
        <v>0</v>
      </c>
      <c r="H457" s="4" t="s">
        <v>488</v>
      </c>
      <c r="I457" s="4" t="s">
        <v>1234</v>
      </c>
      <c r="J457" s="4" t="s">
        <v>1235</v>
      </c>
      <c r="K457" s="4" t="s">
        <v>10</v>
      </c>
      <c r="L457" s="4" t="s">
        <v>487</v>
      </c>
      <c r="M457" s="5">
        <v>0</v>
      </c>
      <c r="N457" s="4" t="s">
        <v>1241</v>
      </c>
    </row>
    <row r="458" spans="1:14" x14ac:dyDescent="0.15">
      <c r="A458" s="4" t="s">
        <v>181</v>
      </c>
      <c r="B458" s="4" t="s">
        <v>17</v>
      </c>
      <c r="C458" s="5">
        <v>20.833333333332998</v>
      </c>
      <c r="D458" s="5">
        <v>1000</v>
      </c>
      <c r="E458" s="4" t="s">
        <v>18</v>
      </c>
      <c r="F458" s="5">
        <v>0</v>
      </c>
      <c r="G458" s="5">
        <v>0</v>
      </c>
      <c r="H458" s="4" t="s">
        <v>488</v>
      </c>
      <c r="I458" s="4" t="s">
        <v>1234</v>
      </c>
      <c r="J458" s="4" t="s">
        <v>1235</v>
      </c>
      <c r="K458" s="4" t="s">
        <v>10</v>
      </c>
      <c r="L458" s="4" t="s">
        <v>487</v>
      </c>
      <c r="M458" s="5">
        <v>0</v>
      </c>
      <c r="N458" s="4" t="s">
        <v>1241</v>
      </c>
    </row>
    <row r="459" spans="1:14" x14ac:dyDescent="0.15">
      <c r="A459" s="4" t="s">
        <v>181</v>
      </c>
      <c r="B459" s="4" t="s">
        <v>19</v>
      </c>
      <c r="C459" s="5">
        <v>6</v>
      </c>
      <c r="D459" s="5">
        <v>1</v>
      </c>
      <c r="E459" s="4" t="s">
        <v>18</v>
      </c>
      <c r="F459" s="5">
        <v>0</v>
      </c>
      <c r="G459" s="5">
        <v>0</v>
      </c>
      <c r="H459" s="4" t="s">
        <v>488</v>
      </c>
      <c r="I459" s="4" t="s">
        <v>1236</v>
      </c>
      <c r="J459" s="4" t="s">
        <v>1235</v>
      </c>
      <c r="K459" s="4" t="s">
        <v>10</v>
      </c>
      <c r="L459" s="4" t="s">
        <v>487</v>
      </c>
      <c r="M459" s="5">
        <v>0</v>
      </c>
      <c r="N459" s="4" t="s">
        <v>1241</v>
      </c>
    </row>
    <row r="460" spans="1:14" x14ac:dyDescent="0.15">
      <c r="A460" s="4" t="s">
        <v>185</v>
      </c>
      <c r="B460" s="4" t="s">
        <v>186</v>
      </c>
      <c r="C460" s="5">
        <v>1</v>
      </c>
      <c r="D460" s="5">
        <v>1</v>
      </c>
      <c r="E460" s="4" t="s">
        <v>9</v>
      </c>
      <c r="F460" s="5">
        <v>0</v>
      </c>
      <c r="G460" s="5">
        <v>0</v>
      </c>
      <c r="H460" s="4" t="s">
        <v>488</v>
      </c>
      <c r="I460" s="4" t="s">
        <v>1234</v>
      </c>
      <c r="J460" s="4" t="s">
        <v>1235</v>
      </c>
      <c r="K460" s="4" t="s">
        <v>10</v>
      </c>
      <c r="L460" s="4" t="s">
        <v>487</v>
      </c>
      <c r="M460" s="5">
        <v>0</v>
      </c>
      <c r="N460" s="4" t="s">
        <v>1241</v>
      </c>
    </row>
    <row r="461" spans="1:14" x14ac:dyDescent="0.15">
      <c r="A461" s="4" t="s">
        <v>187</v>
      </c>
      <c r="B461" s="4" t="s">
        <v>186</v>
      </c>
      <c r="C461" s="5">
        <v>2</v>
      </c>
      <c r="D461" s="5">
        <v>1</v>
      </c>
      <c r="E461" s="4" t="s">
        <v>9</v>
      </c>
      <c r="F461" s="5">
        <v>0</v>
      </c>
      <c r="G461" s="5">
        <v>0</v>
      </c>
      <c r="H461" s="4" t="s">
        <v>488</v>
      </c>
      <c r="I461" s="4" t="s">
        <v>1234</v>
      </c>
      <c r="J461" s="4" t="s">
        <v>1235</v>
      </c>
      <c r="K461" s="4" t="s">
        <v>10</v>
      </c>
      <c r="L461" s="4" t="s">
        <v>487</v>
      </c>
      <c r="M461" s="5">
        <v>0</v>
      </c>
      <c r="N461" s="4" t="s">
        <v>1241</v>
      </c>
    </row>
    <row r="462" spans="1:14" x14ac:dyDescent="0.15">
      <c r="A462" s="4" t="s">
        <v>188</v>
      </c>
      <c r="B462" s="4" t="s">
        <v>186</v>
      </c>
      <c r="C462" s="5">
        <v>6</v>
      </c>
      <c r="D462" s="5">
        <v>1</v>
      </c>
      <c r="E462" s="4" t="s">
        <v>9</v>
      </c>
      <c r="F462" s="5">
        <v>0</v>
      </c>
      <c r="G462" s="5">
        <v>0</v>
      </c>
      <c r="H462" s="4" t="s">
        <v>488</v>
      </c>
      <c r="I462" s="4" t="s">
        <v>1234</v>
      </c>
      <c r="J462" s="4" t="s">
        <v>1235</v>
      </c>
      <c r="K462" s="4" t="s">
        <v>10</v>
      </c>
      <c r="L462" s="4" t="s">
        <v>487</v>
      </c>
      <c r="M462" s="5">
        <v>0</v>
      </c>
      <c r="N462" s="4" t="s">
        <v>1241</v>
      </c>
    </row>
    <row r="463" spans="1:14" x14ac:dyDescent="0.15">
      <c r="A463" s="4" t="s">
        <v>186</v>
      </c>
      <c r="B463" s="4" t="s">
        <v>176</v>
      </c>
      <c r="C463" s="5">
        <v>55</v>
      </c>
      <c r="D463" s="5">
        <v>1</v>
      </c>
      <c r="E463" s="4" t="s">
        <v>9</v>
      </c>
      <c r="F463" s="5">
        <v>3</v>
      </c>
      <c r="G463" s="5">
        <v>0</v>
      </c>
      <c r="H463" s="4" t="s">
        <v>488</v>
      </c>
      <c r="I463" s="4" t="s">
        <v>1234</v>
      </c>
      <c r="J463" s="4" t="s">
        <v>1235</v>
      </c>
      <c r="K463" s="4" t="s">
        <v>10</v>
      </c>
      <c r="L463" s="4" t="s">
        <v>487</v>
      </c>
      <c r="M463" s="5">
        <v>0</v>
      </c>
      <c r="N463" s="4" t="s">
        <v>1241</v>
      </c>
    </row>
    <row r="464" spans="1:14" x14ac:dyDescent="0.15">
      <c r="A464" s="4" t="s">
        <v>186</v>
      </c>
      <c r="B464" s="4" t="s">
        <v>12</v>
      </c>
      <c r="C464" s="5">
        <v>28.799858668342004</v>
      </c>
      <c r="D464" s="5">
        <v>1</v>
      </c>
      <c r="E464" s="4" t="s">
        <v>13</v>
      </c>
      <c r="F464" s="5">
        <v>3</v>
      </c>
      <c r="G464" s="5">
        <v>0</v>
      </c>
      <c r="H464" s="4" t="s">
        <v>488</v>
      </c>
      <c r="I464" s="4" t="s">
        <v>1234</v>
      </c>
      <c r="J464" s="4" t="s">
        <v>1235</v>
      </c>
      <c r="K464" s="4" t="s">
        <v>10</v>
      </c>
      <c r="L464" s="4" t="s">
        <v>487</v>
      </c>
      <c r="M464" s="5">
        <v>0</v>
      </c>
      <c r="N464" s="4" t="s">
        <v>1241</v>
      </c>
    </row>
    <row r="465" spans="1:14" x14ac:dyDescent="0.15">
      <c r="A465" s="4" t="s">
        <v>186</v>
      </c>
      <c r="B465" s="4" t="s">
        <v>14</v>
      </c>
      <c r="C465" s="5">
        <v>31.999842964823998</v>
      </c>
      <c r="D465" s="5">
        <v>1</v>
      </c>
      <c r="E465" s="4" t="s">
        <v>13</v>
      </c>
      <c r="F465" s="5">
        <v>3</v>
      </c>
      <c r="G465" s="5">
        <v>0</v>
      </c>
      <c r="H465" s="4" t="s">
        <v>488</v>
      </c>
      <c r="I465" s="4" t="s">
        <v>1234</v>
      </c>
      <c r="J465" s="4" t="s">
        <v>1235</v>
      </c>
      <c r="K465" s="4" t="s">
        <v>10</v>
      </c>
      <c r="L465" s="4" t="s">
        <v>487</v>
      </c>
      <c r="M465" s="5">
        <v>0</v>
      </c>
      <c r="N465" s="4" t="s">
        <v>1241</v>
      </c>
    </row>
    <row r="466" spans="1:14" x14ac:dyDescent="0.15">
      <c r="A466" s="4" t="s">
        <v>186</v>
      </c>
      <c r="B466" s="4" t="s">
        <v>15</v>
      </c>
      <c r="C466" s="5">
        <v>0.63999685929600003</v>
      </c>
      <c r="D466" s="5">
        <v>1</v>
      </c>
      <c r="E466" s="4" t="s">
        <v>13</v>
      </c>
      <c r="F466" s="5">
        <v>3</v>
      </c>
      <c r="G466" s="5">
        <v>0</v>
      </c>
      <c r="H466" s="4" t="s">
        <v>488</v>
      </c>
      <c r="I466" s="4" t="s">
        <v>1234</v>
      </c>
      <c r="J466" s="4" t="s">
        <v>1235</v>
      </c>
      <c r="K466" s="4" t="s">
        <v>10</v>
      </c>
      <c r="L466" s="4" t="s">
        <v>487</v>
      </c>
      <c r="M466" s="5">
        <v>0</v>
      </c>
      <c r="N466" s="4" t="s">
        <v>1241</v>
      </c>
    </row>
    <row r="467" spans="1:14" x14ac:dyDescent="0.15">
      <c r="A467" s="4" t="s">
        <v>186</v>
      </c>
      <c r="B467" s="4" t="s">
        <v>23</v>
      </c>
      <c r="C467" s="5">
        <v>1.599992148241</v>
      </c>
      <c r="D467" s="5">
        <v>1</v>
      </c>
      <c r="E467" s="4" t="s">
        <v>13</v>
      </c>
      <c r="F467" s="5">
        <v>3</v>
      </c>
      <c r="G467" s="5">
        <v>0</v>
      </c>
      <c r="H467" s="4" t="s">
        <v>488</v>
      </c>
      <c r="I467" s="4" t="s">
        <v>1234</v>
      </c>
      <c r="J467" s="4" t="s">
        <v>1235</v>
      </c>
      <c r="K467" s="4" t="s">
        <v>10</v>
      </c>
      <c r="L467" s="4" t="s">
        <v>487</v>
      </c>
      <c r="M467" s="5">
        <v>0</v>
      </c>
      <c r="N467" s="4" t="s">
        <v>1241</v>
      </c>
    </row>
    <row r="468" spans="1:14" x14ac:dyDescent="0.15">
      <c r="A468" s="4" t="s">
        <v>186</v>
      </c>
      <c r="B468" s="4" t="s">
        <v>24</v>
      </c>
      <c r="C468" s="5">
        <v>0.63999685929600003</v>
      </c>
      <c r="D468" s="5">
        <v>1</v>
      </c>
      <c r="E468" s="4" t="s">
        <v>13</v>
      </c>
      <c r="F468" s="5">
        <v>3</v>
      </c>
      <c r="G468" s="5">
        <v>0</v>
      </c>
      <c r="H468" s="4" t="s">
        <v>488</v>
      </c>
      <c r="I468" s="4" t="s">
        <v>1234</v>
      </c>
      <c r="J468" s="4" t="s">
        <v>1235</v>
      </c>
      <c r="K468" s="4" t="s">
        <v>10</v>
      </c>
      <c r="L468" s="4" t="s">
        <v>487</v>
      </c>
      <c r="M468" s="5">
        <v>0</v>
      </c>
      <c r="N468" s="4" t="s">
        <v>1241</v>
      </c>
    </row>
    <row r="469" spans="1:14" x14ac:dyDescent="0.15">
      <c r="A469" s="4" t="s">
        <v>186</v>
      </c>
      <c r="B469" s="4" t="s">
        <v>124</v>
      </c>
      <c r="C469" s="5">
        <v>1.9103906250000002</v>
      </c>
      <c r="D469" s="5">
        <v>1</v>
      </c>
      <c r="E469" s="4" t="s">
        <v>13</v>
      </c>
      <c r="F469" s="5">
        <v>3</v>
      </c>
      <c r="G469" s="5">
        <v>0</v>
      </c>
      <c r="H469" s="4" t="s">
        <v>488</v>
      </c>
      <c r="I469" s="4" t="s">
        <v>1234</v>
      </c>
      <c r="J469" s="4" t="s">
        <v>1235</v>
      </c>
      <c r="K469" s="4" t="s">
        <v>10</v>
      </c>
      <c r="L469" s="4" t="s">
        <v>487</v>
      </c>
      <c r="M469" s="5">
        <v>0</v>
      </c>
      <c r="N469" s="4" t="s">
        <v>1241</v>
      </c>
    </row>
    <row r="470" spans="1:14" x14ac:dyDescent="0.15">
      <c r="A470" s="4" t="s">
        <v>186</v>
      </c>
      <c r="B470" s="4" t="s">
        <v>17</v>
      </c>
      <c r="C470" s="5">
        <v>16.666666666666998</v>
      </c>
      <c r="D470" s="5">
        <v>1000</v>
      </c>
      <c r="E470" s="4" t="s">
        <v>18</v>
      </c>
      <c r="F470" s="5">
        <v>0</v>
      </c>
      <c r="G470" s="5">
        <v>0</v>
      </c>
      <c r="H470" s="4" t="s">
        <v>488</v>
      </c>
      <c r="I470" s="4" t="s">
        <v>1234</v>
      </c>
      <c r="J470" s="4" t="s">
        <v>1235</v>
      </c>
      <c r="K470" s="4" t="s">
        <v>10</v>
      </c>
      <c r="L470" s="4" t="s">
        <v>487</v>
      </c>
      <c r="M470" s="5">
        <v>0</v>
      </c>
      <c r="N470" s="4" t="s">
        <v>1241</v>
      </c>
    </row>
    <row r="471" spans="1:14" x14ac:dyDescent="0.15">
      <c r="A471" s="4" t="s">
        <v>186</v>
      </c>
      <c r="B471" s="4" t="s">
        <v>19</v>
      </c>
      <c r="C471" s="5">
        <v>8</v>
      </c>
      <c r="D471" s="5">
        <v>1</v>
      </c>
      <c r="E471" s="4" t="s">
        <v>18</v>
      </c>
      <c r="F471" s="5">
        <v>0</v>
      </c>
      <c r="G471" s="5">
        <v>0</v>
      </c>
      <c r="H471" s="4" t="s">
        <v>488</v>
      </c>
      <c r="I471" s="4" t="s">
        <v>1236</v>
      </c>
      <c r="J471" s="4" t="s">
        <v>1235</v>
      </c>
      <c r="K471" s="4" t="s">
        <v>10</v>
      </c>
      <c r="L471" s="4" t="s">
        <v>487</v>
      </c>
      <c r="M471" s="5">
        <v>0</v>
      </c>
      <c r="N471" s="4" t="s">
        <v>1241</v>
      </c>
    </row>
    <row r="472" spans="1:14" x14ac:dyDescent="0.15">
      <c r="A472" s="4" t="s">
        <v>189</v>
      </c>
      <c r="B472" s="4" t="s">
        <v>190</v>
      </c>
      <c r="C472" s="5">
        <v>1</v>
      </c>
      <c r="D472" s="5">
        <v>1</v>
      </c>
      <c r="E472" s="4" t="s">
        <v>9</v>
      </c>
      <c r="F472" s="5">
        <v>0</v>
      </c>
      <c r="G472" s="5">
        <v>0</v>
      </c>
      <c r="H472" s="4" t="s">
        <v>488</v>
      </c>
      <c r="I472" s="4" t="s">
        <v>1234</v>
      </c>
      <c r="J472" s="4" t="s">
        <v>1235</v>
      </c>
      <c r="K472" s="4" t="s">
        <v>10</v>
      </c>
      <c r="L472" s="4" t="s">
        <v>487</v>
      </c>
      <c r="M472" s="5">
        <v>0</v>
      </c>
      <c r="N472" s="4" t="s">
        <v>1241</v>
      </c>
    </row>
    <row r="473" spans="1:14" x14ac:dyDescent="0.15">
      <c r="A473" s="4" t="s">
        <v>191</v>
      </c>
      <c r="B473" s="4" t="s">
        <v>190</v>
      </c>
      <c r="C473" s="5">
        <v>2</v>
      </c>
      <c r="D473" s="5">
        <v>1</v>
      </c>
      <c r="E473" s="4" t="s">
        <v>9</v>
      </c>
      <c r="F473" s="5">
        <v>0</v>
      </c>
      <c r="G473" s="5">
        <v>0</v>
      </c>
      <c r="H473" s="4" t="s">
        <v>488</v>
      </c>
      <c r="I473" s="4" t="s">
        <v>1234</v>
      </c>
      <c r="J473" s="4" t="s">
        <v>1235</v>
      </c>
      <c r="K473" s="4" t="s">
        <v>10</v>
      </c>
      <c r="L473" s="4" t="s">
        <v>487</v>
      </c>
      <c r="M473" s="5">
        <v>0</v>
      </c>
      <c r="N473" s="4" t="s">
        <v>1241</v>
      </c>
    </row>
    <row r="474" spans="1:14" x14ac:dyDescent="0.15">
      <c r="A474" s="4" t="s">
        <v>192</v>
      </c>
      <c r="B474" s="4" t="s">
        <v>190</v>
      </c>
      <c r="C474" s="5">
        <v>500</v>
      </c>
      <c r="D474" s="5">
        <v>1000</v>
      </c>
      <c r="E474" s="4" t="s">
        <v>9</v>
      </c>
      <c r="F474" s="5">
        <v>0</v>
      </c>
      <c r="G474" s="5">
        <v>0</v>
      </c>
      <c r="H474" s="4" t="s">
        <v>488</v>
      </c>
      <c r="I474" s="4" t="s">
        <v>1234</v>
      </c>
      <c r="J474" s="4" t="s">
        <v>1235</v>
      </c>
      <c r="K474" s="4" t="s">
        <v>10</v>
      </c>
      <c r="L474" s="4" t="s">
        <v>487</v>
      </c>
      <c r="M474" s="5">
        <v>0</v>
      </c>
      <c r="N474" s="4" t="s">
        <v>1241</v>
      </c>
    </row>
    <row r="475" spans="1:14" x14ac:dyDescent="0.15">
      <c r="A475" s="4" t="s">
        <v>193</v>
      </c>
      <c r="B475" s="4" t="s">
        <v>190</v>
      </c>
      <c r="C475" s="5">
        <v>500</v>
      </c>
      <c r="D475" s="5">
        <v>1</v>
      </c>
      <c r="E475" s="4" t="s">
        <v>9</v>
      </c>
      <c r="F475" s="5">
        <v>0</v>
      </c>
      <c r="G475" s="5">
        <v>0</v>
      </c>
      <c r="H475" s="4" t="s">
        <v>488</v>
      </c>
      <c r="I475" s="4" t="s">
        <v>1234</v>
      </c>
      <c r="J475" s="4" t="s">
        <v>1235</v>
      </c>
      <c r="K475" s="4" t="s">
        <v>10</v>
      </c>
      <c r="L475" s="4" t="s">
        <v>487</v>
      </c>
      <c r="M475" s="5">
        <v>0</v>
      </c>
      <c r="N475" s="4" t="s">
        <v>1241</v>
      </c>
    </row>
    <row r="476" spans="1:14" x14ac:dyDescent="0.15">
      <c r="A476" s="4" t="s">
        <v>190</v>
      </c>
      <c r="B476" s="4" t="s">
        <v>33</v>
      </c>
      <c r="C476" s="5">
        <v>1</v>
      </c>
      <c r="D476" s="5">
        <v>1</v>
      </c>
      <c r="E476" s="4" t="s">
        <v>9</v>
      </c>
      <c r="F476" s="5">
        <v>3</v>
      </c>
      <c r="G476" s="5">
        <v>0</v>
      </c>
      <c r="H476" s="4" t="s">
        <v>488</v>
      </c>
      <c r="I476" s="4" t="s">
        <v>1234</v>
      </c>
      <c r="J476" s="4" t="s">
        <v>1235</v>
      </c>
      <c r="K476" s="4" t="s">
        <v>10</v>
      </c>
      <c r="L476" s="4" t="s">
        <v>487</v>
      </c>
      <c r="M476" s="5">
        <v>0</v>
      </c>
      <c r="N476" s="4" t="s">
        <v>1241</v>
      </c>
    </row>
    <row r="477" spans="1:14" x14ac:dyDescent="0.15">
      <c r="A477" s="4" t="s">
        <v>190</v>
      </c>
      <c r="B477" s="4" t="s">
        <v>12</v>
      </c>
      <c r="C477" s="5">
        <v>0.14562814070399999</v>
      </c>
      <c r="D477" s="5">
        <v>1</v>
      </c>
      <c r="E477" s="4" t="s">
        <v>13</v>
      </c>
      <c r="F477" s="5">
        <v>3</v>
      </c>
      <c r="G477" s="5">
        <v>0</v>
      </c>
      <c r="H477" s="4" t="s">
        <v>488</v>
      </c>
      <c r="I477" s="4" t="s">
        <v>1234</v>
      </c>
      <c r="J477" s="4" t="s">
        <v>1235</v>
      </c>
      <c r="K477" s="4" t="s">
        <v>10</v>
      </c>
      <c r="L477" s="4" t="s">
        <v>487</v>
      </c>
      <c r="M477" s="5">
        <v>0</v>
      </c>
      <c r="N477" s="4" t="s">
        <v>1241</v>
      </c>
    </row>
    <row r="478" spans="1:14" x14ac:dyDescent="0.15">
      <c r="A478" s="4" t="s">
        <v>190</v>
      </c>
      <c r="B478" s="4" t="s">
        <v>14</v>
      </c>
      <c r="C478" s="5">
        <v>0.16180904522600001</v>
      </c>
      <c r="D478" s="5">
        <v>1</v>
      </c>
      <c r="E478" s="4" t="s">
        <v>13</v>
      </c>
      <c r="F478" s="5">
        <v>3</v>
      </c>
      <c r="G478" s="5">
        <v>0</v>
      </c>
      <c r="H478" s="4" t="s">
        <v>488</v>
      </c>
      <c r="I478" s="4" t="s">
        <v>1234</v>
      </c>
      <c r="J478" s="4" t="s">
        <v>1235</v>
      </c>
      <c r="K478" s="4" t="s">
        <v>10</v>
      </c>
      <c r="L478" s="4" t="s">
        <v>487</v>
      </c>
      <c r="M478" s="5">
        <v>0</v>
      </c>
      <c r="N478" s="4" t="s">
        <v>1241</v>
      </c>
    </row>
    <row r="479" spans="1:14" x14ac:dyDescent="0.15">
      <c r="A479" s="4" t="s">
        <v>190</v>
      </c>
      <c r="B479" s="4" t="s">
        <v>15</v>
      </c>
      <c r="C479" s="5">
        <v>3.2361809045230006</v>
      </c>
      <c r="D479" s="5">
        <v>1000</v>
      </c>
      <c r="E479" s="4" t="s">
        <v>13</v>
      </c>
      <c r="F479" s="5">
        <v>3</v>
      </c>
      <c r="G479" s="5">
        <v>0</v>
      </c>
      <c r="H479" s="4" t="s">
        <v>488</v>
      </c>
      <c r="I479" s="4" t="s">
        <v>1234</v>
      </c>
      <c r="J479" s="4" t="s">
        <v>1235</v>
      </c>
      <c r="K479" s="4" t="s">
        <v>10</v>
      </c>
      <c r="L479" s="4" t="s">
        <v>487</v>
      </c>
      <c r="M479" s="5">
        <v>0</v>
      </c>
      <c r="N479" s="4" t="s">
        <v>1241</v>
      </c>
    </row>
    <row r="480" spans="1:14" x14ac:dyDescent="0.15">
      <c r="A480" s="4" t="s">
        <v>190</v>
      </c>
      <c r="B480" s="4" t="s">
        <v>23</v>
      </c>
      <c r="C480" s="5">
        <v>8.090452261307</v>
      </c>
      <c r="D480" s="5">
        <v>1000</v>
      </c>
      <c r="E480" s="4" t="s">
        <v>13</v>
      </c>
      <c r="F480" s="5">
        <v>3</v>
      </c>
      <c r="G480" s="5">
        <v>0</v>
      </c>
      <c r="H480" s="4" t="s">
        <v>488</v>
      </c>
      <c r="I480" s="4" t="s">
        <v>1234</v>
      </c>
      <c r="J480" s="4" t="s">
        <v>1235</v>
      </c>
      <c r="K480" s="4" t="s">
        <v>10</v>
      </c>
      <c r="L480" s="4" t="s">
        <v>487</v>
      </c>
      <c r="M480" s="5">
        <v>0</v>
      </c>
      <c r="N480" s="4" t="s">
        <v>1241</v>
      </c>
    </row>
    <row r="481" spans="1:14" x14ac:dyDescent="0.15">
      <c r="A481" s="4" t="s">
        <v>190</v>
      </c>
      <c r="B481" s="4" t="s">
        <v>24</v>
      </c>
      <c r="C481" s="5">
        <v>3.2361809045230006</v>
      </c>
      <c r="D481" s="5">
        <v>1000</v>
      </c>
      <c r="E481" s="4" t="s">
        <v>13</v>
      </c>
      <c r="F481" s="5">
        <v>3</v>
      </c>
      <c r="G481" s="5">
        <v>0</v>
      </c>
      <c r="H481" s="4" t="s">
        <v>488</v>
      </c>
      <c r="I481" s="4" t="s">
        <v>1234</v>
      </c>
      <c r="J481" s="4" t="s">
        <v>1235</v>
      </c>
      <c r="K481" s="4" t="s">
        <v>10</v>
      </c>
      <c r="L481" s="4" t="s">
        <v>487</v>
      </c>
      <c r="M481" s="5">
        <v>0</v>
      </c>
      <c r="N481" s="4" t="s">
        <v>1241</v>
      </c>
    </row>
    <row r="482" spans="1:14" x14ac:dyDescent="0.15">
      <c r="A482" s="4" t="s">
        <v>190</v>
      </c>
      <c r="B482" s="4" t="s">
        <v>17</v>
      </c>
      <c r="C482" s="5">
        <v>2.8985507246380005</v>
      </c>
      <c r="D482" s="5">
        <v>1000</v>
      </c>
      <c r="E482" s="4" t="s">
        <v>18</v>
      </c>
      <c r="F482" s="5">
        <v>0</v>
      </c>
      <c r="G482" s="5">
        <v>0</v>
      </c>
      <c r="H482" s="4" t="s">
        <v>488</v>
      </c>
      <c r="I482" s="4" t="s">
        <v>1234</v>
      </c>
      <c r="J482" s="4" t="s">
        <v>1235</v>
      </c>
      <c r="K482" s="4" t="s">
        <v>10</v>
      </c>
      <c r="L482" s="4" t="s">
        <v>487</v>
      </c>
      <c r="M482" s="5">
        <v>0</v>
      </c>
      <c r="N482" s="4" t="s">
        <v>1241</v>
      </c>
    </row>
    <row r="483" spans="1:14" x14ac:dyDescent="0.15">
      <c r="A483" s="4" t="s">
        <v>190</v>
      </c>
      <c r="B483" s="4" t="s">
        <v>19</v>
      </c>
      <c r="C483" s="5">
        <v>3</v>
      </c>
      <c r="D483" s="5">
        <v>1</v>
      </c>
      <c r="E483" s="4" t="s">
        <v>18</v>
      </c>
      <c r="F483" s="5">
        <v>0</v>
      </c>
      <c r="G483" s="5">
        <v>0</v>
      </c>
      <c r="H483" s="4" t="s">
        <v>488</v>
      </c>
      <c r="I483" s="4" t="s">
        <v>1236</v>
      </c>
      <c r="J483" s="4" t="s">
        <v>1235</v>
      </c>
      <c r="K483" s="4" t="s">
        <v>10</v>
      </c>
      <c r="L483" s="4" t="s">
        <v>487</v>
      </c>
      <c r="M483" s="5">
        <v>0</v>
      </c>
      <c r="N483" s="4" t="s">
        <v>1241</v>
      </c>
    </row>
    <row r="484" spans="1:14" x14ac:dyDescent="0.15">
      <c r="A484" s="4" t="s">
        <v>194</v>
      </c>
      <c r="B484" s="4" t="s">
        <v>195</v>
      </c>
      <c r="C484" s="5">
        <v>1</v>
      </c>
      <c r="D484" s="5">
        <v>1</v>
      </c>
      <c r="E484" s="4" t="s">
        <v>9</v>
      </c>
      <c r="F484" s="5">
        <v>0</v>
      </c>
      <c r="G484" s="5">
        <v>0</v>
      </c>
      <c r="H484" s="4" t="s">
        <v>488</v>
      </c>
      <c r="I484" s="4" t="s">
        <v>1234</v>
      </c>
      <c r="J484" s="4" t="s">
        <v>1235</v>
      </c>
      <c r="K484" s="4" t="s">
        <v>10</v>
      </c>
      <c r="L484" s="4" t="s">
        <v>487</v>
      </c>
      <c r="M484" s="5">
        <v>0</v>
      </c>
      <c r="N484" s="4" t="s">
        <v>1241</v>
      </c>
    </row>
    <row r="485" spans="1:14" x14ac:dyDescent="0.15">
      <c r="A485" s="4" t="s">
        <v>196</v>
      </c>
      <c r="B485" s="4" t="s">
        <v>195</v>
      </c>
      <c r="C485" s="5">
        <v>2</v>
      </c>
      <c r="D485" s="5">
        <v>1</v>
      </c>
      <c r="E485" s="4" t="s">
        <v>9</v>
      </c>
      <c r="F485" s="5">
        <v>0</v>
      </c>
      <c r="G485" s="5">
        <v>0</v>
      </c>
      <c r="H485" s="4" t="s">
        <v>488</v>
      </c>
      <c r="I485" s="4" t="s">
        <v>1234</v>
      </c>
      <c r="J485" s="4" t="s">
        <v>1235</v>
      </c>
      <c r="K485" s="4" t="s">
        <v>10</v>
      </c>
      <c r="L485" s="4" t="s">
        <v>487</v>
      </c>
      <c r="M485" s="5">
        <v>0</v>
      </c>
      <c r="N485" s="4" t="s">
        <v>1241</v>
      </c>
    </row>
    <row r="486" spans="1:14" x14ac:dyDescent="0.15">
      <c r="A486" s="4" t="s">
        <v>197</v>
      </c>
      <c r="B486" s="4" t="s">
        <v>195</v>
      </c>
      <c r="C486" s="5">
        <v>500</v>
      </c>
      <c r="D486" s="5">
        <v>1000</v>
      </c>
      <c r="E486" s="4" t="s">
        <v>9</v>
      </c>
      <c r="F486" s="5">
        <v>0</v>
      </c>
      <c r="G486" s="5">
        <v>0</v>
      </c>
      <c r="H486" s="4" t="s">
        <v>488</v>
      </c>
      <c r="I486" s="4" t="s">
        <v>1234</v>
      </c>
      <c r="J486" s="4" t="s">
        <v>1235</v>
      </c>
      <c r="K486" s="4" t="s">
        <v>10</v>
      </c>
      <c r="L486" s="4" t="s">
        <v>487</v>
      </c>
      <c r="M486" s="5">
        <v>0</v>
      </c>
      <c r="N486" s="4" t="s">
        <v>1241</v>
      </c>
    </row>
    <row r="487" spans="1:14" x14ac:dyDescent="0.15">
      <c r="A487" s="4" t="s">
        <v>195</v>
      </c>
      <c r="B487" s="4" t="s">
        <v>34</v>
      </c>
      <c r="C487" s="5">
        <v>2</v>
      </c>
      <c r="D487" s="5">
        <v>1</v>
      </c>
      <c r="E487" s="4" t="s">
        <v>9</v>
      </c>
      <c r="F487" s="5">
        <v>3</v>
      </c>
      <c r="G487" s="5">
        <v>0</v>
      </c>
      <c r="H487" s="4" t="s">
        <v>488</v>
      </c>
      <c r="I487" s="4" t="s">
        <v>1234</v>
      </c>
      <c r="J487" s="4" t="s">
        <v>1235</v>
      </c>
      <c r="K487" s="4" t="s">
        <v>10</v>
      </c>
      <c r="L487" s="4" t="s">
        <v>487</v>
      </c>
      <c r="M487" s="5">
        <v>0</v>
      </c>
      <c r="N487" s="4" t="s">
        <v>1241</v>
      </c>
    </row>
    <row r="488" spans="1:14" x14ac:dyDescent="0.15">
      <c r="A488" s="4" t="s">
        <v>195</v>
      </c>
      <c r="B488" s="4" t="s">
        <v>33</v>
      </c>
      <c r="C488" s="5">
        <v>1</v>
      </c>
      <c r="D488" s="5">
        <v>1</v>
      </c>
      <c r="E488" s="4" t="s">
        <v>9</v>
      </c>
      <c r="F488" s="5">
        <v>3</v>
      </c>
      <c r="G488" s="5">
        <v>0</v>
      </c>
      <c r="H488" s="4" t="s">
        <v>488</v>
      </c>
      <c r="I488" s="4" t="s">
        <v>1234</v>
      </c>
      <c r="J488" s="4" t="s">
        <v>1235</v>
      </c>
      <c r="K488" s="4" t="s">
        <v>10</v>
      </c>
      <c r="L488" s="4" t="s">
        <v>487</v>
      </c>
      <c r="M488" s="5">
        <v>0</v>
      </c>
      <c r="N488" s="4" t="s">
        <v>1241</v>
      </c>
    </row>
    <row r="489" spans="1:14" x14ac:dyDescent="0.15">
      <c r="A489" s="4" t="s">
        <v>195</v>
      </c>
      <c r="B489" s="4" t="s">
        <v>12</v>
      </c>
      <c r="C489" s="5">
        <v>0.21708542713599999</v>
      </c>
      <c r="D489" s="5">
        <v>1</v>
      </c>
      <c r="E489" s="4" t="s">
        <v>13</v>
      </c>
      <c r="F489" s="5">
        <v>3</v>
      </c>
      <c r="G489" s="5">
        <v>0</v>
      </c>
      <c r="H489" s="4" t="s">
        <v>488</v>
      </c>
      <c r="I489" s="4" t="s">
        <v>1234</v>
      </c>
      <c r="J489" s="4" t="s">
        <v>1235</v>
      </c>
      <c r="K489" s="4" t="s">
        <v>10</v>
      </c>
      <c r="L489" s="4" t="s">
        <v>487</v>
      </c>
      <c r="M489" s="5">
        <v>0</v>
      </c>
      <c r="N489" s="4" t="s">
        <v>1241</v>
      </c>
    </row>
    <row r="490" spans="1:14" x14ac:dyDescent="0.15">
      <c r="A490" s="4" t="s">
        <v>195</v>
      </c>
      <c r="B490" s="4" t="s">
        <v>14</v>
      </c>
      <c r="C490" s="5">
        <v>0.24120603015100001</v>
      </c>
      <c r="D490" s="5">
        <v>1</v>
      </c>
      <c r="E490" s="4" t="s">
        <v>13</v>
      </c>
      <c r="F490" s="5">
        <v>3</v>
      </c>
      <c r="G490" s="5">
        <v>0</v>
      </c>
      <c r="H490" s="4" t="s">
        <v>488</v>
      </c>
      <c r="I490" s="4" t="s">
        <v>1234</v>
      </c>
      <c r="J490" s="4" t="s">
        <v>1235</v>
      </c>
      <c r="K490" s="4" t="s">
        <v>10</v>
      </c>
      <c r="L490" s="4" t="s">
        <v>487</v>
      </c>
      <c r="M490" s="5">
        <v>0</v>
      </c>
      <c r="N490" s="4" t="s">
        <v>1241</v>
      </c>
    </row>
    <row r="491" spans="1:14" x14ac:dyDescent="0.15">
      <c r="A491" s="4" t="s">
        <v>195</v>
      </c>
      <c r="B491" s="4" t="s">
        <v>15</v>
      </c>
      <c r="C491" s="5">
        <v>4.8241206030149995</v>
      </c>
      <c r="D491" s="5">
        <v>1000</v>
      </c>
      <c r="E491" s="4" t="s">
        <v>13</v>
      </c>
      <c r="F491" s="5">
        <v>3</v>
      </c>
      <c r="G491" s="5">
        <v>0</v>
      </c>
      <c r="H491" s="4" t="s">
        <v>488</v>
      </c>
      <c r="I491" s="4" t="s">
        <v>1234</v>
      </c>
      <c r="J491" s="4" t="s">
        <v>1235</v>
      </c>
      <c r="K491" s="4" t="s">
        <v>10</v>
      </c>
      <c r="L491" s="4" t="s">
        <v>487</v>
      </c>
      <c r="M491" s="5">
        <v>0</v>
      </c>
      <c r="N491" s="4" t="s">
        <v>1241</v>
      </c>
    </row>
    <row r="492" spans="1:14" x14ac:dyDescent="0.15">
      <c r="A492" s="4" t="s">
        <v>195</v>
      </c>
      <c r="B492" s="4" t="s">
        <v>23</v>
      </c>
      <c r="C492" s="5">
        <v>12.060301507538</v>
      </c>
      <c r="D492" s="5">
        <v>1000</v>
      </c>
      <c r="E492" s="4" t="s">
        <v>13</v>
      </c>
      <c r="F492" s="5">
        <v>3</v>
      </c>
      <c r="G492" s="5">
        <v>0</v>
      </c>
      <c r="H492" s="4" t="s">
        <v>488</v>
      </c>
      <c r="I492" s="4" t="s">
        <v>1234</v>
      </c>
      <c r="J492" s="4" t="s">
        <v>1235</v>
      </c>
      <c r="K492" s="4" t="s">
        <v>10</v>
      </c>
      <c r="L492" s="4" t="s">
        <v>487</v>
      </c>
      <c r="M492" s="5">
        <v>0</v>
      </c>
      <c r="N492" s="4" t="s">
        <v>1241</v>
      </c>
    </row>
    <row r="493" spans="1:14" x14ac:dyDescent="0.15">
      <c r="A493" s="4" t="s">
        <v>195</v>
      </c>
      <c r="B493" s="4" t="s">
        <v>24</v>
      </c>
      <c r="C493" s="5">
        <v>4.8241206030149995</v>
      </c>
      <c r="D493" s="5">
        <v>1000</v>
      </c>
      <c r="E493" s="4" t="s">
        <v>13</v>
      </c>
      <c r="F493" s="5">
        <v>3</v>
      </c>
      <c r="G493" s="5">
        <v>0</v>
      </c>
      <c r="H493" s="4" t="s">
        <v>488</v>
      </c>
      <c r="I493" s="4" t="s">
        <v>1234</v>
      </c>
      <c r="J493" s="4" t="s">
        <v>1235</v>
      </c>
      <c r="K493" s="4" t="s">
        <v>10</v>
      </c>
      <c r="L493" s="4" t="s">
        <v>487</v>
      </c>
      <c r="M493" s="5">
        <v>0</v>
      </c>
      <c r="N493" s="4" t="s">
        <v>1241</v>
      </c>
    </row>
    <row r="494" spans="1:14" x14ac:dyDescent="0.15">
      <c r="A494" s="4" t="s">
        <v>195</v>
      </c>
      <c r="B494" s="4" t="s">
        <v>17</v>
      </c>
      <c r="C494" s="5">
        <v>5.9523809523809996</v>
      </c>
      <c r="D494" s="5">
        <v>1000</v>
      </c>
      <c r="E494" s="4" t="s">
        <v>18</v>
      </c>
      <c r="F494" s="5">
        <v>0</v>
      </c>
      <c r="G494" s="5">
        <v>0</v>
      </c>
      <c r="H494" s="4" t="s">
        <v>488</v>
      </c>
      <c r="I494" s="4" t="s">
        <v>1234</v>
      </c>
      <c r="J494" s="4" t="s">
        <v>1235</v>
      </c>
      <c r="K494" s="4" t="s">
        <v>10</v>
      </c>
      <c r="L494" s="4" t="s">
        <v>487</v>
      </c>
      <c r="M494" s="5">
        <v>0</v>
      </c>
      <c r="N494" s="4" t="s">
        <v>1241</v>
      </c>
    </row>
    <row r="495" spans="1:14" x14ac:dyDescent="0.15">
      <c r="A495" s="4" t="s">
        <v>195</v>
      </c>
      <c r="B495" s="4" t="s">
        <v>19</v>
      </c>
      <c r="C495" s="5">
        <v>3</v>
      </c>
      <c r="D495" s="5">
        <v>1</v>
      </c>
      <c r="E495" s="4" t="s">
        <v>18</v>
      </c>
      <c r="F495" s="5">
        <v>0</v>
      </c>
      <c r="G495" s="5">
        <v>0</v>
      </c>
      <c r="H495" s="4" t="s">
        <v>488</v>
      </c>
      <c r="I495" s="4" t="s">
        <v>1236</v>
      </c>
      <c r="J495" s="4" t="s">
        <v>1235</v>
      </c>
      <c r="K495" s="4" t="s">
        <v>10</v>
      </c>
      <c r="L495" s="4" t="s">
        <v>487</v>
      </c>
      <c r="M495" s="5">
        <v>0</v>
      </c>
      <c r="N495" s="4" t="s">
        <v>1241</v>
      </c>
    </row>
    <row r="496" spans="1:14" x14ac:dyDescent="0.15">
      <c r="A496" s="4" t="s">
        <v>198</v>
      </c>
      <c r="B496" s="4" t="s">
        <v>199</v>
      </c>
      <c r="C496" s="5">
        <v>1</v>
      </c>
      <c r="D496" s="5">
        <v>1</v>
      </c>
      <c r="E496" s="4" t="s">
        <v>9</v>
      </c>
      <c r="F496" s="5">
        <v>0</v>
      </c>
      <c r="G496" s="5">
        <v>0</v>
      </c>
      <c r="H496" s="4" t="s">
        <v>488</v>
      </c>
      <c r="I496" s="4" t="s">
        <v>1234</v>
      </c>
      <c r="J496" s="4" t="s">
        <v>1235</v>
      </c>
      <c r="K496" s="4" t="s">
        <v>10</v>
      </c>
      <c r="L496" s="4" t="s">
        <v>487</v>
      </c>
      <c r="M496" s="5">
        <v>0</v>
      </c>
      <c r="N496" s="4" t="s">
        <v>1241</v>
      </c>
    </row>
    <row r="497" spans="1:14" x14ac:dyDescent="0.15">
      <c r="A497" s="4" t="s">
        <v>200</v>
      </c>
      <c r="B497" s="4" t="s">
        <v>199</v>
      </c>
      <c r="C497" s="5">
        <v>2</v>
      </c>
      <c r="D497" s="5">
        <v>1</v>
      </c>
      <c r="E497" s="4" t="s">
        <v>9</v>
      </c>
      <c r="F497" s="5">
        <v>0</v>
      </c>
      <c r="G497" s="5">
        <v>0</v>
      </c>
      <c r="H497" s="4" t="s">
        <v>488</v>
      </c>
      <c r="I497" s="4" t="s">
        <v>1234</v>
      </c>
      <c r="J497" s="4" t="s">
        <v>1235</v>
      </c>
      <c r="K497" s="4" t="s">
        <v>10</v>
      </c>
      <c r="L497" s="4" t="s">
        <v>487</v>
      </c>
      <c r="M497" s="5">
        <v>0</v>
      </c>
      <c r="N497" s="4" t="s">
        <v>1241</v>
      </c>
    </row>
    <row r="498" spans="1:14" x14ac:dyDescent="0.15">
      <c r="A498" s="4" t="s">
        <v>201</v>
      </c>
      <c r="B498" s="4" t="s">
        <v>199</v>
      </c>
      <c r="C498" s="5">
        <v>500</v>
      </c>
      <c r="D498" s="5">
        <v>1000</v>
      </c>
      <c r="E498" s="4" t="s">
        <v>9</v>
      </c>
      <c r="F498" s="5">
        <v>0</v>
      </c>
      <c r="G498" s="5">
        <v>0</v>
      </c>
      <c r="H498" s="4" t="s">
        <v>488</v>
      </c>
      <c r="I498" s="4" t="s">
        <v>1234</v>
      </c>
      <c r="J498" s="4" t="s">
        <v>1235</v>
      </c>
      <c r="K498" s="4" t="s">
        <v>10</v>
      </c>
      <c r="L498" s="4" t="s">
        <v>487</v>
      </c>
      <c r="M498" s="5">
        <v>0</v>
      </c>
      <c r="N498" s="4" t="s">
        <v>1241</v>
      </c>
    </row>
    <row r="499" spans="1:14" x14ac:dyDescent="0.15">
      <c r="A499" s="4" t="s">
        <v>199</v>
      </c>
      <c r="B499" s="4" t="s">
        <v>34</v>
      </c>
      <c r="C499" s="5">
        <v>3</v>
      </c>
      <c r="D499" s="5">
        <v>1</v>
      </c>
      <c r="E499" s="4" t="s">
        <v>9</v>
      </c>
      <c r="F499" s="5">
        <v>3</v>
      </c>
      <c r="G499" s="5">
        <v>0</v>
      </c>
      <c r="H499" s="4" t="s">
        <v>488</v>
      </c>
      <c r="I499" s="4" t="s">
        <v>1234</v>
      </c>
      <c r="J499" s="4" t="s">
        <v>1235</v>
      </c>
      <c r="K499" s="4" t="s">
        <v>10</v>
      </c>
      <c r="L499" s="4" t="s">
        <v>487</v>
      </c>
      <c r="M499" s="5">
        <v>0</v>
      </c>
      <c r="N499" s="4" t="s">
        <v>1241</v>
      </c>
    </row>
    <row r="500" spans="1:14" x14ac:dyDescent="0.15">
      <c r="A500" s="4" t="s">
        <v>199</v>
      </c>
      <c r="B500" s="4" t="s">
        <v>33</v>
      </c>
      <c r="C500" s="5">
        <v>1</v>
      </c>
      <c r="D500" s="5">
        <v>1</v>
      </c>
      <c r="E500" s="4" t="s">
        <v>9</v>
      </c>
      <c r="F500" s="5">
        <v>3</v>
      </c>
      <c r="G500" s="5">
        <v>0</v>
      </c>
      <c r="H500" s="4" t="s">
        <v>488</v>
      </c>
      <c r="I500" s="4" t="s">
        <v>1234</v>
      </c>
      <c r="J500" s="4" t="s">
        <v>1235</v>
      </c>
      <c r="K500" s="4" t="s">
        <v>10</v>
      </c>
      <c r="L500" s="4" t="s">
        <v>487</v>
      </c>
      <c r="M500" s="5">
        <v>0</v>
      </c>
      <c r="N500" s="4" t="s">
        <v>1241</v>
      </c>
    </row>
    <row r="501" spans="1:14" x14ac:dyDescent="0.15">
      <c r="A501" s="4" t="s">
        <v>199</v>
      </c>
      <c r="B501" s="4" t="s">
        <v>12</v>
      </c>
      <c r="C501" s="5">
        <v>0.253266331658</v>
      </c>
      <c r="D501" s="5">
        <v>1</v>
      </c>
      <c r="E501" s="4" t="s">
        <v>13</v>
      </c>
      <c r="F501" s="5">
        <v>3</v>
      </c>
      <c r="G501" s="5">
        <v>0</v>
      </c>
      <c r="H501" s="4" t="s">
        <v>488</v>
      </c>
      <c r="I501" s="4" t="s">
        <v>1234</v>
      </c>
      <c r="J501" s="4" t="s">
        <v>1235</v>
      </c>
      <c r="K501" s="4" t="s">
        <v>10</v>
      </c>
      <c r="L501" s="4" t="s">
        <v>487</v>
      </c>
      <c r="M501" s="5">
        <v>0</v>
      </c>
      <c r="N501" s="4" t="s">
        <v>1241</v>
      </c>
    </row>
    <row r="502" spans="1:14" x14ac:dyDescent="0.15">
      <c r="A502" s="4" t="s">
        <v>199</v>
      </c>
      <c r="B502" s="4" t="s">
        <v>14</v>
      </c>
      <c r="C502" s="5">
        <v>0.28140703517600002</v>
      </c>
      <c r="D502" s="5">
        <v>1</v>
      </c>
      <c r="E502" s="4" t="s">
        <v>13</v>
      </c>
      <c r="F502" s="5">
        <v>3</v>
      </c>
      <c r="G502" s="5">
        <v>0</v>
      </c>
      <c r="H502" s="4" t="s">
        <v>488</v>
      </c>
      <c r="I502" s="4" t="s">
        <v>1234</v>
      </c>
      <c r="J502" s="4" t="s">
        <v>1235</v>
      </c>
      <c r="K502" s="4" t="s">
        <v>10</v>
      </c>
      <c r="L502" s="4" t="s">
        <v>487</v>
      </c>
      <c r="M502" s="5">
        <v>0</v>
      </c>
      <c r="N502" s="4" t="s">
        <v>1241</v>
      </c>
    </row>
    <row r="503" spans="1:14" x14ac:dyDescent="0.15">
      <c r="A503" s="4" t="s">
        <v>199</v>
      </c>
      <c r="B503" s="4" t="s">
        <v>15</v>
      </c>
      <c r="C503" s="5">
        <v>5.6281407035180004</v>
      </c>
      <c r="D503" s="5">
        <v>1000</v>
      </c>
      <c r="E503" s="4" t="s">
        <v>13</v>
      </c>
      <c r="F503" s="5">
        <v>3</v>
      </c>
      <c r="G503" s="5">
        <v>0</v>
      </c>
      <c r="H503" s="4" t="s">
        <v>488</v>
      </c>
      <c r="I503" s="4" t="s">
        <v>1234</v>
      </c>
      <c r="J503" s="4" t="s">
        <v>1235</v>
      </c>
      <c r="K503" s="4" t="s">
        <v>10</v>
      </c>
      <c r="L503" s="4" t="s">
        <v>487</v>
      </c>
      <c r="M503" s="5">
        <v>0</v>
      </c>
      <c r="N503" s="4" t="s">
        <v>1241</v>
      </c>
    </row>
    <row r="504" spans="1:14" x14ac:dyDescent="0.15">
      <c r="A504" s="4" t="s">
        <v>199</v>
      </c>
      <c r="B504" s="4" t="s">
        <v>23</v>
      </c>
      <c r="C504" s="5">
        <v>14.070351758793999</v>
      </c>
      <c r="D504" s="5">
        <v>1000</v>
      </c>
      <c r="E504" s="4" t="s">
        <v>13</v>
      </c>
      <c r="F504" s="5">
        <v>3</v>
      </c>
      <c r="G504" s="5">
        <v>0</v>
      </c>
      <c r="H504" s="4" t="s">
        <v>488</v>
      </c>
      <c r="I504" s="4" t="s">
        <v>1234</v>
      </c>
      <c r="J504" s="4" t="s">
        <v>1235</v>
      </c>
      <c r="K504" s="4" t="s">
        <v>10</v>
      </c>
      <c r="L504" s="4" t="s">
        <v>487</v>
      </c>
      <c r="M504" s="5">
        <v>0</v>
      </c>
      <c r="N504" s="4" t="s">
        <v>1241</v>
      </c>
    </row>
    <row r="505" spans="1:14" x14ac:dyDescent="0.15">
      <c r="A505" s="4" t="s">
        <v>199</v>
      </c>
      <c r="B505" s="4" t="s">
        <v>24</v>
      </c>
      <c r="C505" s="5">
        <v>5.6281407035180004</v>
      </c>
      <c r="D505" s="5">
        <v>1000</v>
      </c>
      <c r="E505" s="4" t="s">
        <v>13</v>
      </c>
      <c r="F505" s="5">
        <v>3</v>
      </c>
      <c r="G505" s="5">
        <v>0</v>
      </c>
      <c r="H505" s="4" t="s">
        <v>488</v>
      </c>
      <c r="I505" s="4" t="s">
        <v>1234</v>
      </c>
      <c r="J505" s="4" t="s">
        <v>1235</v>
      </c>
      <c r="K505" s="4" t="s">
        <v>10</v>
      </c>
      <c r="L505" s="4" t="s">
        <v>487</v>
      </c>
      <c r="M505" s="5">
        <v>0</v>
      </c>
      <c r="N505" s="4" t="s">
        <v>1241</v>
      </c>
    </row>
    <row r="506" spans="1:14" x14ac:dyDescent="0.15">
      <c r="A506" s="4" t="s">
        <v>199</v>
      </c>
      <c r="B506" s="4" t="s">
        <v>17</v>
      </c>
      <c r="C506" s="5">
        <v>5.9523809523809996</v>
      </c>
      <c r="D506" s="5">
        <v>1000</v>
      </c>
      <c r="E506" s="4" t="s">
        <v>18</v>
      </c>
      <c r="F506" s="5">
        <v>0</v>
      </c>
      <c r="G506" s="5">
        <v>0</v>
      </c>
      <c r="H506" s="4" t="s">
        <v>488</v>
      </c>
      <c r="I506" s="4" t="s">
        <v>1234</v>
      </c>
      <c r="J506" s="4" t="s">
        <v>1235</v>
      </c>
      <c r="K506" s="4" t="s">
        <v>10</v>
      </c>
      <c r="L506" s="4" t="s">
        <v>487</v>
      </c>
      <c r="M506" s="5">
        <v>0</v>
      </c>
      <c r="N506" s="4" t="s">
        <v>1241</v>
      </c>
    </row>
    <row r="507" spans="1:14" x14ac:dyDescent="0.15">
      <c r="A507" s="4" t="s">
        <v>199</v>
      </c>
      <c r="B507" s="4" t="s">
        <v>19</v>
      </c>
      <c r="C507" s="5">
        <v>3</v>
      </c>
      <c r="D507" s="5">
        <v>1</v>
      </c>
      <c r="E507" s="4" t="s">
        <v>18</v>
      </c>
      <c r="F507" s="5">
        <v>0</v>
      </c>
      <c r="G507" s="5">
        <v>0</v>
      </c>
      <c r="H507" s="4" t="s">
        <v>488</v>
      </c>
      <c r="I507" s="4" t="s">
        <v>1236</v>
      </c>
      <c r="J507" s="4" t="s">
        <v>1235</v>
      </c>
      <c r="K507" s="4" t="s">
        <v>10</v>
      </c>
      <c r="L507" s="4" t="s">
        <v>487</v>
      </c>
      <c r="M507" s="5">
        <v>0</v>
      </c>
      <c r="N507" s="4" t="s">
        <v>1241</v>
      </c>
    </row>
    <row r="508" spans="1:14" x14ac:dyDescent="0.15">
      <c r="A508" s="4" t="s">
        <v>202</v>
      </c>
      <c r="B508" s="4" t="s">
        <v>203</v>
      </c>
      <c r="C508" s="5">
        <v>1</v>
      </c>
      <c r="D508" s="5">
        <v>1</v>
      </c>
      <c r="E508" s="4" t="s">
        <v>9</v>
      </c>
      <c r="F508" s="5">
        <v>0</v>
      </c>
      <c r="G508" s="5">
        <v>0</v>
      </c>
      <c r="H508" s="4" t="s">
        <v>488</v>
      </c>
      <c r="I508" s="4" t="s">
        <v>1234</v>
      </c>
      <c r="J508" s="4" t="s">
        <v>1235</v>
      </c>
      <c r="K508" s="4" t="s">
        <v>10</v>
      </c>
      <c r="L508" s="4" t="s">
        <v>487</v>
      </c>
      <c r="M508" s="5">
        <v>0</v>
      </c>
      <c r="N508" s="4" t="s">
        <v>1241</v>
      </c>
    </row>
    <row r="509" spans="1:14" x14ac:dyDescent="0.15">
      <c r="A509" s="4" t="s">
        <v>204</v>
      </c>
      <c r="B509" s="4" t="s">
        <v>203</v>
      </c>
      <c r="C509" s="5">
        <v>2</v>
      </c>
      <c r="D509" s="5">
        <v>1</v>
      </c>
      <c r="E509" s="4" t="s">
        <v>9</v>
      </c>
      <c r="F509" s="5">
        <v>0</v>
      </c>
      <c r="G509" s="5">
        <v>0</v>
      </c>
      <c r="H509" s="4" t="s">
        <v>488</v>
      </c>
      <c r="I509" s="4" t="s">
        <v>1234</v>
      </c>
      <c r="J509" s="4" t="s">
        <v>1235</v>
      </c>
      <c r="K509" s="4" t="s">
        <v>10</v>
      </c>
      <c r="L509" s="4" t="s">
        <v>487</v>
      </c>
      <c r="M509" s="5">
        <v>0</v>
      </c>
      <c r="N509" s="4" t="s">
        <v>1241</v>
      </c>
    </row>
    <row r="510" spans="1:14" x14ac:dyDescent="0.15">
      <c r="A510" s="4" t="s">
        <v>205</v>
      </c>
      <c r="B510" s="4" t="s">
        <v>203</v>
      </c>
      <c r="C510" s="5">
        <v>500</v>
      </c>
      <c r="D510" s="5">
        <v>1000</v>
      </c>
      <c r="E510" s="4" t="s">
        <v>9</v>
      </c>
      <c r="F510" s="5">
        <v>0</v>
      </c>
      <c r="G510" s="5">
        <v>0</v>
      </c>
      <c r="H510" s="4" t="s">
        <v>488</v>
      </c>
      <c r="I510" s="4" t="s">
        <v>1234</v>
      </c>
      <c r="J510" s="4" t="s">
        <v>1235</v>
      </c>
      <c r="K510" s="4" t="s">
        <v>10</v>
      </c>
      <c r="L510" s="4" t="s">
        <v>487</v>
      </c>
      <c r="M510" s="5">
        <v>0</v>
      </c>
      <c r="N510" s="4" t="s">
        <v>1241</v>
      </c>
    </row>
    <row r="511" spans="1:14" x14ac:dyDescent="0.15">
      <c r="A511" s="4" t="s">
        <v>206</v>
      </c>
      <c r="B511" s="4" t="s">
        <v>203</v>
      </c>
      <c r="C511" s="5">
        <v>3</v>
      </c>
      <c r="D511" s="5">
        <v>1000</v>
      </c>
      <c r="E511" s="4" t="s">
        <v>9</v>
      </c>
      <c r="F511" s="5">
        <v>0</v>
      </c>
      <c r="G511" s="5">
        <v>0</v>
      </c>
      <c r="H511" s="4" t="s">
        <v>488</v>
      </c>
      <c r="I511" s="4" t="s">
        <v>1234</v>
      </c>
      <c r="J511" s="4" t="s">
        <v>1235</v>
      </c>
      <c r="K511" s="4" t="s">
        <v>10</v>
      </c>
      <c r="L511" s="4" t="s">
        <v>487</v>
      </c>
      <c r="M511" s="5">
        <v>0</v>
      </c>
      <c r="N511" s="4" t="s">
        <v>1241</v>
      </c>
    </row>
    <row r="512" spans="1:14" x14ac:dyDescent="0.15">
      <c r="A512" s="4" t="s">
        <v>207</v>
      </c>
      <c r="B512" s="4" t="s">
        <v>203</v>
      </c>
      <c r="C512" s="5">
        <v>6</v>
      </c>
      <c r="D512" s="5">
        <v>1000</v>
      </c>
      <c r="E512" s="4" t="s">
        <v>9</v>
      </c>
      <c r="F512" s="5">
        <v>0</v>
      </c>
      <c r="G512" s="5">
        <v>0</v>
      </c>
      <c r="H512" s="4" t="s">
        <v>488</v>
      </c>
      <c r="I512" s="4" t="s">
        <v>1234</v>
      </c>
      <c r="J512" s="4" t="s">
        <v>1235</v>
      </c>
      <c r="K512" s="4" t="s">
        <v>10</v>
      </c>
      <c r="L512" s="4" t="s">
        <v>487</v>
      </c>
      <c r="M512" s="5">
        <v>0</v>
      </c>
      <c r="N512" s="4" t="s">
        <v>1241</v>
      </c>
    </row>
    <row r="513" spans="1:14" x14ac:dyDescent="0.15">
      <c r="A513" s="4" t="s">
        <v>208</v>
      </c>
      <c r="B513" s="4" t="s">
        <v>203</v>
      </c>
      <c r="C513" s="5">
        <v>7</v>
      </c>
      <c r="D513" s="5">
        <v>1000</v>
      </c>
      <c r="E513" s="4" t="s">
        <v>9</v>
      </c>
      <c r="F513" s="5">
        <v>0</v>
      </c>
      <c r="G513" s="5">
        <v>0</v>
      </c>
      <c r="H513" s="4" t="s">
        <v>488</v>
      </c>
      <c r="I513" s="4" t="s">
        <v>1234</v>
      </c>
      <c r="J513" s="4" t="s">
        <v>1235</v>
      </c>
      <c r="K513" s="4" t="s">
        <v>10</v>
      </c>
      <c r="L513" s="4" t="s">
        <v>487</v>
      </c>
      <c r="M513" s="5">
        <v>0</v>
      </c>
      <c r="N513" s="4" t="s">
        <v>1241</v>
      </c>
    </row>
    <row r="514" spans="1:14" x14ac:dyDescent="0.15">
      <c r="A514" s="4" t="s">
        <v>209</v>
      </c>
      <c r="B514" s="4" t="s">
        <v>203</v>
      </c>
      <c r="C514" s="5">
        <v>8.5</v>
      </c>
      <c r="D514" s="5">
        <v>1000</v>
      </c>
      <c r="E514" s="4" t="s">
        <v>9</v>
      </c>
      <c r="F514" s="5">
        <v>0</v>
      </c>
      <c r="G514" s="5">
        <v>0</v>
      </c>
      <c r="H514" s="4" t="s">
        <v>488</v>
      </c>
      <c r="I514" s="4" t="s">
        <v>1234</v>
      </c>
      <c r="J514" s="4" t="s">
        <v>1235</v>
      </c>
      <c r="K514" s="4" t="s">
        <v>10</v>
      </c>
      <c r="L514" s="4" t="s">
        <v>487</v>
      </c>
      <c r="M514" s="5">
        <v>0</v>
      </c>
      <c r="N514" s="4" t="s">
        <v>1241</v>
      </c>
    </row>
    <row r="515" spans="1:14" x14ac:dyDescent="0.15">
      <c r="A515" s="4" t="s">
        <v>203</v>
      </c>
      <c r="B515" s="4" t="s">
        <v>34</v>
      </c>
      <c r="C515" s="5">
        <v>1</v>
      </c>
      <c r="D515" s="5">
        <v>1</v>
      </c>
      <c r="E515" s="4" t="s">
        <v>9</v>
      </c>
      <c r="F515" s="5">
        <v>3</v>
      </c>
      <c r="G515" s="5">
        <v>0</v>
      </c>
      <c r="H515" s="4" t="s">
        <v>488</v>
      </c>
      <c r="I515" s="4" t="s">
        <v>1234</v>
      </c>
      <c r="J515" s="4" t="s">
        <v>1235</v>
      </c>
      <c r="K515" s="4" t="s">
        <v>10</v>
      </c>
      <c r="L515" s="4" t="s">
        <v>487</v>
      </c>
      <c r="M515" s="5">
        <v>0</v>
      </c>
      <c r="N515" s="4" t="s">
        <v>1241</v>
      </c>
    </row>
    <row r="516" spans="1:14" x14ac:dyDescent="0.15">
      <c r="A516" s="4" t="s">
        <v>203</v>
      </c>
      <c r="B516" s="4" t="s">
        <v>33</v>
      </c>
      <c r="C516" s="5">
        <v>2</v>
      </c>
      <c r="D516" s="5">
        <v>1</v>
      </c>
      <c r="E516" s="4" t="s">
        <v>9</v>
      </c>
      <c r="F516" s="5">
        <v>3</v>
      </c>
      <c r="G516" s="5">
        <v>0</v>
      </c>
      <c r="H516" s="4" t="s">
        <v>488</v>
      </c>
      <c r="I516" s="4" t="s">
        <v>1234</v>
      </c>
      <c r="J516" s="4" t="s">
        <v>1235</v>
      </c>
      <c r="K516" s="4" t="s">
        <v>10</v>
      </c>
      <c r="L516" s="4" t="s">
        <v>487</v>
      </c>
      <c r="M516" s="5">
        <v>0</v>
      </c>
      <c r="N516" s="4" t="s">
        <v>1241</v>
      </c>
    </row>
    <row r="517" spans="1:14" x14ac:dyDescent="0.15">
      <c r="A517" s="4" t="s">
        <v>203</v>
      </c>
      <c r="B517" s="4" t="s">
        <v>12</v>
      </c>
      <c r="C517" s="5">
        <v>0.32562814070399998</v>
      </c>
      <c r="D517" s="5">
        <v>1</v>
      </c>
      <c r="E517" s="4" t="s">
        <v>13</v>
      </c>
      <c r="F517" s="5">
        <v>3</v>
      </c>
      <c r="G517" s="5">
        <v>0</v>
      </c>
      <c r="H517" s="4" t="s">
        <v>488</v>
      </c>
      <c r="I517" s="4" t="s">
        <v>1234</v>
      </c>
      <c r="J517" s="4" t="s">
        <v>1235</v>
      </c>
      <c r="K517" s="4" t="s">
        <v>10</v>
      </c>
      <c r="L517" s="4" t="s">
        <v>487</v>
      </c>
      <c r="M517" s="5">
        <v>0</v>
      </c>
      <c r="N517" s="4" t="s">
        <v>1241</v>
      </c>
    </row>
    <row r="518" spans="1:14" x14ac:dyDescent="0.15">
      <c r="A518" s="4" t="s">
        <v>203</v>
      </c>
      <c r="B518" s="4" t="s">
        <v>14</v>
      </c>
      <c r="C518" s="5">
        <v>0.36180904522599999</v>
      </c>
      <c r="D518" s="5">
        <v>1</v>
      </c>
      <c r="E518" s="4" t="s">
        <v>13</v>
      </c>
      <c r="F518" s="5">
        <v>3</v>
      </c>
      <c r="G518" s="5">
        <v>0</v>
      </c>
      <c r="H518" s="4" t="s">
        <v>488</v>
      </c>
      <c r="I518" s="4" t="s">
        <v>1234</v>
      </c>
      <c r="J518" s="4" t="s">
        <v>1235</v>
      </c>
      <c r="K518" s="4" t="s">
        <v>10</v>
      </c>
      <c r="L518" s="4" t="s">
        <v>487</v>
      </c>
      <c r="M518" s="5">
        <v>0</v>
      </c>
      <c r="N518" s="4" t="s">
        <v>1241</v>
      </c>
    </row>
    <row r="519" spans="1:14" x14ac:dyDescent="0.15">
      <c r="A519" s="4" t="s">
        <v>203</v>
      </c>
      <c r="B519" s="4" t="s">
        <v>15</v>
      </c>
      <c r="C519" s="5">
        <v>7.2361809045230006</v>
      </c>
      <c r="D519" s="5">
        <v>1000</v>
      </c>
      <c r="E519" s="4" t="s">
        <v>13</v>
      </c>
      <c r="F519" s="5">
        <v>3</v>
      </c>
      <c r="G519" s="5">
        <v>0</v>
      </c>
      <c r="H519" s="4" t="s">
        <v>488</v>
      </c>
      <c r="I519" s="4" t="s">
        <v>1234</v>
      </c>
      <c r="J519" s="4" t="s">
        <v>1235</v>
      </c>
      <c r="K519" s="4" t="s">
        <v>10</v>
      </c>
      <c r="L519" s="4" t="s">
        <v>487</v>
      </c>
      <c r="M519" s="5">
        <v>0</v>
      </c>
      <c r="N519" s="4" t="s">
        <v>1241</v>
      </c>
    </row>
    <row r="520" spans="1:14" x14ac:dyDescent="0.15">
      <c r="A520" s="4" t="s">
        <v>203</v>
      </c>
      <c r="B520" s="4" t="s">
        <v>23</v>
      </c>
      <c r="C520" s="5">
        <v>18.090452261307</v>
      </c>
      <c r="D520" s="5">
        <v>1000</v>
      </c>
      <c r="E520" s="4" t="s">
        <v>13</v>
      </c>
      <c r="F520" s="5">
        <v>3</v>
      </c>
      <c r="G520" s="5">
        <v>0</v>
      </c>
      <c r="H520" s="4" t="s">
        <v>488</v>
      </c>
      <c r="I520" s="4" t="s">
        <v>1234</v>
      </c>
      <c r="J520" s="4" t="s">
        <v>1235</v>
      </c>
      <c r="K520" s="4" t="s">
        <v>10</v>
      </c>
      <c r="L520" s="4" t="s">
        <v>487</v>
      </c>
      <c r="M520" s="5">
        <v>0</v>
      </c>
      <c r="N520" s="4" t="s">
        <v>1241</v>
      </c>
    </row>
    <row r="521" spans="1:14" x14ac:dyDescent="0.15">
      <c r="A521" s="4" t="s">
        <v>203</v>
      </c>
      <c r="B521" s="4" t="s">
        <v>24</v>
      </c>
      <c r="C521" s="5">
        <v>7.2361809045230006</v>
      </c>
      <c r="D521" s="5">
        <v>1000</v>
      </c>
      <c r="E521" s="4" t="s">
        <v>13</v>
      </c>
      <c r="F521" s="5">
        <v>3</v>
      </c>
      <c r="G521" s="5">
        <v>0</v>
      </c>
      <c r="H521" s="4" t="s">
        <v>488</v>
      </c>
      <c r="I521" s="4" t="s">
        <v>1234</v>
      </c>
      <c r="J521" s="4" t="s">
        <v>1235</v>
      </c>
      <c r="K521" s="4" t="s">
        <v>10</v>
      </c>
      <c r="L521" s="4" t="s">
        <v>487</v>
      </c>
      <c r="M521" s="5">
        <v>0</v>
      </c>
      <c r="N521" s="4" t="s">
        <v>1241</v>
      </c>
    </row>
    <row r="522" spans="1:14" x14ac:dyDescent="0.15">
      <c r="A522" s="4" t="s">
        <v>203</v>
      </c>
      <c r="B522" s="4" t="s">
        <v>17</v>
      </c>
      <c r="C522" s="5">
        <v>3.2051282051279997</v>
      </c>
      <c r="D522" s="5">
        <v>1000</v>
      </c>
      <c r="E522" s="4" t="s">
        <v>18</v>
      </c>
      <c r="F522" s="5">
        <v>0</v>
      </c>
      <c r="G522" s="5">
        <v>0</v>
      </c>
      <c r="H522" s="4" t="s">
        <v>488</v>
      </c>
      <c r="I522" s="4" t="s">
        <v>1234</v>
      </c>
      <c r="J522" s="4" t="s">
        <v>1235</v>
      </c>
      <c r="K522" s="4" t="s">
        <v>10</v>
      </c>
      <c r="L522" s="4" t="s">
        <v>487</v>
      </c>
      <c r="M522" s="5">
        <v>0</v>
      </c>
      <c r="N522" s="4" t="s">
        <v>1241</v>
      </c>
    </row>
    <row r="523" spans="1:14" x14ac:dyDescent="0.15">
      <c r="A523" s="4" t="s">
        <v>203</v>
      </c>
      <c r="B523" s="4" t="s">
        <v>19</v>
      </c>
      <c r="C523" s="5">
        <v>3</v>
      </c>
      <c r="D523" s="5">
        <v>1</v>
      </c>
      <c r="E523" s="4" t="s">
        <v>18</v>
      </c>
      <c r="F523" s="5">
        <v>0</v>
      </c>
      <c r="G523" s="5">
        <v>0</v>
      </c>
      <c r="H523" s="4" t="s">
        <v>488</v>
      </c>
      <c r="I523" s="4" t="s">
        <v>1236</v>
      </c>
      <c r="J523" s="4" t="s">
        <v>1235</v>
      </c>
      <c r="K523" s="4" t="s">
        <v>10</v>
      </c>
      <c r="L523" s="4" t="s">
        <v>487</v>
      </c>
      <c r="M523" s="5">
        <v>0</v>
      </c>
      <c r="N523" s="4" t="s">
        <v>1241</v>
      </c>
    </row>
    <row r="524" spans="1:14" x14ac:dyDescent="0.15">
      <c r="A524" s="4" t="s">
        <v>210</v>
      </c>
      <c r="B524" s="4" t="s">
        <v>211</v>
      </c>
      <c r="C524" s="5">
        <v>1</v>
      </c>
      <c r="D524" s="5">
        <v>1</v>
      </c>
      <c r="E524" s="4" t="s">
        <v>9</v>
      </c>
      <c r="F524" s="5">
        <v>0</v>
      </c>
      <c r="G524" s="5">
        <v>0</v>
      </c>
      <c r="H524" s="4" t="s">
        <v>488</v>
      </c>
      <c r="I524" s="4" t="s">
        <v>1234</v>
      </c>
      <c r="J524" s="4" t="s">
        <v>1235</v>
      </c>
      <c r="K524" s="4" t="s">
        <v>10</v>
      </c>
      <c r="L524" s="4" t="s">
        <v>487</v>
      </c>
      <c r="M524" s="5">
        <v>0</v>
      </c>
      <c r="N524" s="4" t="s">
        <v>1241</v>
      </c>
    </row>
    <row r="525" spans="1:14" x14ac:dyDescent="0.15">
      <c r="A525" s="4" t="s">
        <v>212</v>
      </c>
      <c r="B525" s="4" t="s">
        <v>211</v>
      </c>
      <c r="C525" s="5">
        <v>2</v>
      </c>
      <c r="D525" s="5">
        <v>1</v>
      </c>
      <c r="E525" s="4" t="s">
        <v>9</v>
      </c>
      <c r="F525" s="5">
        <v>0</v>
      </c>
      <c r="G525" s="5">
        <v>0</v>
      </c>
      <c r="H525" s="4" t="s">
        <v>488</v>
      </c>
      <c r="I525" s="4" t="s">
        <v>1234</v>
      </c>
      <c r="J525" s="4" t="s">
        <v>1235</v>
      </c>
      <c r="K525" s="4" t="s">
        <v>10</v>
      </c>
      <c r="L525" s="4" t="s">
        <v>487</v>
      </c>
      <c r="M525" s="5">
        <v>0</v>
      </c>
      <c r="N525" s="4" t="s">
        <v>1241</v>
      </c>
    </row>
    <row r="526" spans="1:14" x14ac:dyDescent="0.15">
      <c r="A526" s="4" t="s">
        <v>213</v>
      </c>
      <c r="B526" s="4" t="s">
        <v>211</v>
      </c>
      <c r="C526" s="5">
        <v>500</v>
      </c>
      <c r="D526" s="5">
        <v>1000</v>
      </c>
      <c r="E526" s="4" t="s">
        <v>9</v>
      </c>
      <c r="F526" s="5">
        <v>0</v>
      </c>
      <c r="G526" s="5">
        <v>0</v>
      </c>
      <c r="H526" s="4" t="s">
        <v>488</v>
      </c>
      <c r="I526" s="4" t="s">
        <v>1234</v>
      </c>
      <c r="J526" s="4" t="s">
        <v>1235</v>
      </c>
      <c r="K526" s="4" t="s">
        <v>10</v>
      </c>
      <c r="L526" s="4" t="s">
        <v>487</v>
      </c>
      <c r="M526" s="5">
        <v>0</v>
      </c>
      <c r="N526" s="4" t="s">
        <v>1241</v>
      </c>
    </row>
    <row r="527" spans="1:14" x14ac:dyDescent="0.15">
      <c r="A527" s="4" t="s">
        <v>211</v>
      </c>
      <c r="B527" s="4" t="s">
        <v>34</v>
      </c>
      <c r="C527" s="5">
        <v>1</v>
      </c>
      <c r="D527" s="5">
        <v>1</v>
      </c>
      <c r="E527" s="4" t="s">
        <v>9</v>
      </c>
      <c r="F527" s="5">
        <v>3</v>
      </c>
      <c r="G527" s="5">
        <v>0</v>
      </c>
      <c r="H527" s="4" t="s">
        <v>488</v>
      </c>
      <c r="I527" s="4" t="s">
        <v>1234</v>
      </c>
      <c r="J527" s="4" t="s">
        <v>1235</v>
      </c>
      <c r="K527" s="4" t="s">
        <v>10</v>
      </c>
      <c r="L527" s="4" t="s">
        <v>487</v>
      </c>
      <c r="M527" s="5">
        <v>0</v>
      </c>
      <c r="N527" s="4" t="s">
        <v>1241</v>
      </c>
    </row>
    <row r="528" spans="1:14" x14ac:dyDescent="0.15">
      <c r="A528" s="4" t="s">
        <v>211</v>
      </c>
      <c r="B528" s="4" t="s">
        <v>33</v>
      </c>
      <c r="C528" s="5">
        <v>2</v>
      </c>
      <c r="D528" s="5">
        <v>1</v>
      </c>
      <c r="E528" s="4" t="s">
        <v>9</v>
      </c>
      <c r="F528" s="5">
        <v>3</v>
      </c>
      <c r="G528" s="5">
        <v>0</v>
      </c>
      <c r="H528" s="4" t="s">
        <v>488</v>
      </c>
      <c r="I528" s="4" t="s">
        <v>1234</v>
      </c>
      <c r="J528" s="4" t="s">
        <v>1235</v>
      </c>
      <c r="K528" s="4" t="s">
        <v>10</v>
      </c>
      <c r="L528" s="4" t="s">
        <v>487</v>
      </c>
      <c r="M528" s="5">
        <v>0</v>
      </c>
      <c r="N528" s="4" t="s">
        <v>1241</v>
      </c>
    </row>
    <row r="529" spans="1:14" x14ac:dyDescent="0.15">
      <c r="A529" s="4" t="s">
        <v>211</v>
      </c>
      <c r="B529" s="4" t="s">
        <v>39</v>
      </c>
      <c r="C529" s="5">
        <v>1</v>
      </c>
      <c r="D529" s="5">
        <v>1</v>
      </c>
      <c r="E529" s="4" t="s">
        <v>9</v>
      </c>
      <c r="F529" s="5">
        <v>3</v>
      </c>
      <c r="G529" s="5">
        <v>0</v>
      </c>
      <c r="H529" s="4" t="s">
        <v>488</v>
      </c>
      <c r="I529" s="4" t="s">
        <v>1234</v>
      </c>
      <c r="J529" s="4" t="s">
        <v>1235</v>
      </c>
      <c r="K529" s="4" t="s">
        <v>10</v>
      </c>
      <c r="L529" s="4" t="s">
        <v>487</v>
      </c>
      <c r="M529" s="5">
        <v>0</v>
      </c>
      <c r="N529" s="4" t="s">
        <v>1241</v>
      </c>
    </row>
    <row r="530" spans="1:14" x14ac:dyDescent="0.15">
      <c r="A530" s="4" t="s">
        <v>211</v>
      </c>
      <c r="B530" s="4" t="s">
        <v>12</v>
      </c>
      <c r="C530" s="5">
        <v>0.36067839196000001</v>
      </c>
      <c r="D530" s="5">
        <v>1</v>
      </c>
      <c r="E530" s="4" t="s">
        <v>13</v>
      </c>
      <c r="F530" s="5">
        <v>3</v>
      </c>
      <c r="G530" s="5">
        <v>0</v>
      </c>
      <c r="H530" s="4" t="s">
        <v>488</v>
      </c>
      <c r="I530" s="4" t="s">
        <v>1234</v>
      </c>
      <c r="J530" s="4" t="s">
        <v>1235</v>
      </c>
      <c r="K530" s="4" t="s">
        <v>10</v>
      </c>
      <c r="L530" s="4" t="s">
        <v>487</v>
      </c>
      <c r="M530" s="5">
        <v>0</v>
      </c>
      <c r="N530" s="4" t="s">
        <v>1241</v>
      </c>
    </row>
    <row r="531" spans="1:14" x14ac:dyDescent="0.15">
      <c r="A531" s="4" t="s">
        <v>211</v>
      </c>
      <c r="B531" s="4" t="s">
        <v>14</v>
      </c>
      <c r="C531" s="5">
        <v>0.40075376884399999</v>
      </c>
      <c r="D531" s="5">
        <v>1</v>
      </c>
      <c r="E531" s="4" t="s">
        <v>13</v>
      </c>
      <c r="F531" s="5">
        <v>3</v>
      </c>
      <c r="G531" s="5">
        <v>0</v>
      </c>
      <c r="H531" s="4" t="s">
        <v>488</v>
      </c>
      <c r="I531" s="4" t="s">
        <v>1234</v>
      </c>
      <c r="J531" s="4" t="s">
        <v>1235</v>
      </c>
      <c r="K531" s="4" t="s">
        <v>10</v>
      </c>
      <c r="L531" s="4" t="s">
        <v>487</v>
      </c>
      <c r="M531" s="5">
        <v>0</v>
      </c>
      <c r="N531" s="4" t="s">
        <v>1241</v>
      </c>
    </row>
    <row r="532" spans="1:14" x14ac:dyDescent="0.15">
      <c r="A532" s="4" t="s">
        <v>211</v>
      </c>
      <c r="B532" s="4" t="s">
        <v>15</v>
      </c>
      <c r="C532" s="5">
        <v>8.0150753768840008</v>
      </c>
      <c r="D532" s="5">
        <v>1000</v>
      </c>
      <c r="E532" s="4" t="s">
        <v>13</v>
      </c>
      <c r="F532" s="5">
        <v>3</v>
      </c>
      <c r="G532" s="5">
        <v>0</v>
      </c>
      <c r="H532" s="4" t="s">
        <v>488</v>
      </c>
      <c r="I532" s="4" t="s">
        <v>1234</v>
      </c>
      <c r="J532" s="4" t="s">
        <v>1235</v>
      </c>
      <c r="K532" s="4" t="s">
        <v>10</v>
      </c>
      <c r="L532" s="4" t="s">
        <v>487</v>
      </c>
      <c r="M532" s="5">
        <v>0</v>
      </c>
      <c r="N532" s="4" t="s">
        <v>1241</v>
      </c>
    </row>
    <row r="533" spans="1:14" x14ac:dyDescent="0.15">
      <c r="A533" s="4" t="s">
        <v>211</v>
      </c>
      <c r="B533" s="4" t="s">
        <v>23</v>
      </c>
      <c r="C533" s="5">
        <v>20.037688442211</v>
      </c>
      <c r="D533" s="5">
        <v>1000</v>
      </c>
      <c r="E533" s="4" t="s">
        <v>13</v>
      </c>
      <c r="F533" s="5">
        <v>3</v>
      </c>
      <c r="G533" s="5">
        <v>0</v>
      </c>
      <c r="H533" s="4" t="s">
        <v>488</v>
      </c>
      <c r="I533" s="4" t="s">
        <v>1234</v>
      </c>
      <c r="J533" s="4" t="s">
        <v>1235</v>
      </c>
      <c r="K533" s="4" t="s">
        <v>10</v>
      </c>
      <c r="L533" s="4" t="s">
        <v>487</v>
      </c>
      <c r="M533" s="5">
        <v>0</v>
      </c>
      <c r="N533" s="4" t="s">
        <v>1241</v>
      </c>
    </row>
    <row r="534" spans="1:14" x14ac:dyDescent="0.15">
      <c r="A534" s="4" t="s">
        <v>211</v>
      </c>
      <c r="B534" s="4" t="s">
        <v>24</v>
      </c>
      <c r="C534" s="5">
        <v>8.0150753768840008</v>
      </c>
      <c r="D534" s="5">
        <v>1000</v>
      </c>
      <c r="E534" s="4" t="s">
        <v>13</v>
      </c>
      <c r="F534" s="5">
        <v>3</v>
      </c>
      <c r="G534" s="5">
        <v>0</v>
      </c>
      <c r="H534" s="4" t="s">
        <v>488</v>
      </c>
      <c r="I534" s="4" t="s">
        <v>1234</v>
      </c>
      <c r="J534" s="4" t="s">
        <v>1235</v>
      </c>
      <c r="K534" s="4" t="s">
        <v>10</v>
      </c>
      <c r="L534" s="4" t="s">
        <v>487</v>
      </c>
      <c r="M534" s="5">
        <v>0</v>
      </c>
      <c r="N534" s="4" t="s">
        <v>1241</v>
      </c>
    </row>
    <row r="535" spans="1:14" x14ac:dyDescent="0.15">
      <c r="A535" s="4" t="s">
        <v>211</v>
      </c>
      <c r="B535" s="4" t="s">
        <v>17</v>
      </c>
      <c r="C535" s="5">
        <v>6.1728395061730001</v>
      </c>
      <c r="D535" s="5">
        <v>1000</v>
      </c>
      <c r="E535" s="4" t="s">
        <v>18</v>
      </c>
      <c r="F535" s="5">
        <v>0</v>
      </c>
      <c r="G535" s="5">
        <v>0</v>
      </c>
      <c r="H535" s="4" t="s">
        <v>488</v>
      </c>
      <c r="I535" s="4" t="s">
        <v>1234</v>
      </c>
      <c r="J535" s="4" t="s">
        <v>1235</v>
      </c>
      <c r="K535" s="4" t="s">
        <v>10</v>
      </c>
      <c r="L535" s="4" t="s">
        <v>487</v>
      </c>
      <c r="M535" s="5">
        <v>0</v>
      </c>
      <c r="N535" s="4" t="s">
        <v>1241</v>
      </c>
    </row>
    <row r="536" spans="1:14" x14ac:dyDescent="0.15">
      <c r="A536" s="4" t="s">
        <v>211</v>
      </c>
      <c r="B536" s="4" t="s">
        <v>19</v>
      </c>
      <c r="C536" s="5">
        <v>3</v>
      </c>
      <c r="D536" s="5">
        <v>1</v>
      </c>
      <c r="E536" s="4" t="s">
        <v>18</v>
      </c>
      <c r="F536" s="5">
        <v>0</v>
      </c>
      <c r="G536" s="5">
        <v>0</v>
      </c>
      <c r="H536" s="4" t="s">
        <v>488</v>
      </c>
      <c r="I536" s="4" t="s">
        <v>1236</v>
      </c>
      <c r="J536" s="4" t="s">
        <v>1235</v>
      </c>
      <c r="K536" s="4" t="s">
        <v>10</v>
      </c>
      <c r="L536" s="4" t="s">
        <v>487</v>
      </c>
      <c r="M536" s="5">
        <v>0</v>
      </c>
      <c r="N536" s="4" t="s">
        <v>1241</v>
      </c>
    </row>
    <row r="537" spans="1:14" x14ac:dyDescent="0.15">
      <c r="A537" s="4" t="s">
        <v>214</v>
      </c>
      <c r="B537" s="4" t="s">
        <v>215</v>
      </c>
      <c r="C537" s="5">
        <v>1</v>
      </c>
      <c r="D537" s="5">
        <v>1</v>
      </c>
      <c r="E537" s="4" t="s">
        <v>9</v>
      </c>
      <c r="F537" s="5">
        <v>0</v>
      </c>
      <c r="G537" s="5">
        <v>0</v>
      </c>
      <c r="H537" s="4" t="s">
        <v>488</v>
      </c>
      <c r="I537" s="4" t="s">
        <v>1234</v>
      </c>
      <c r="J537" s="4" t="s">
        <v>1235</v>
      </c>
      <c r="K537" s="4" t="s">
        <v>10</v>
      </c>
      <c r="L537" s="4" t="s">
        <v>487</v>
      </c>
      <c r="M537" s="5">
        <v>0</v>
      </c>
      <c r="N537" s="4" t="s">
        <v>1241</v>
      </c>
    </row>
    <row r="538" spans="1:14" x14ac:dyDescent="0.15">
      <c r="A538" s="4" t="s">
        <v>216</v>
      </c>
      <c r="B538" s="4" t="s">
        <v>215</v>
      </c>
      <c r="C538" s="5">
        <v>2</v>
      </c>
      <c r="D538" s="5">
        <v>1</v>
      </c>
      <c r="E538" s="4" t="s">
        <v>9</v>
      </c>
      <c r="F538" s="5">
        <v>0</v>
      </c>
      <c r="G538" s="5">
        <v>0</v>
      </c>
      <c r="H538" s="4" t="s">
        <v>488</v>
      </c>
      <c r="I538" s="4" t="s">
        <v>1234</v>
      </c>
      <c r="J538" s="4" t="s">
        <v>1235</v>
      </c>
      <c r="K538" s="4" t="s">
        <v>10</v>
      </c>
      <c r="L538" s="4" t="s">
        <v>487</v>
      </c>
      <c r="M538" s="5">
        <v>0</v>
      </c>
      <c r="N538" s="4" t="s">
        <v>1241</v>
      </c>
    </row>
    <row r="539" spans="1:14" x14ac:dyDescent="0.15">
      <c r="A539" s="4" t="s">
        <v>217</v>
      </c>
      <c r="B539" s="4" t="s">
        <v>215</v>
      </c>
      <c r="C539" s="5">
        <v>500</v>
      </c>
      <c r="D539" s="5">
        <v>1000</v>
      </c>
      <c r="E539" s="4" t="s">
        <v>9</v>
      </c>
      <c r="F539" s="5">
        <v>0</v>
      </c>
      <c r="G539" s="5">
        <v>0</v>
      </c>
      <c r="H539" s="4" t="s">
        <v>488</v>
      </c>
      <c r="I539" s="4" t="s">
        <v>1234</v>
      </c>
      <c r="J539" s="4" t="s">
        <v>1235</v>
      </c>
      <c r="K539" s="4" t="s">
        <v>10</v>
      </c>
      <c r="L539" s="4" t="s">
        <v>487</v>
      </c>
      <c r="M539" s="5">
        <v>0</v>
      </c>
      <c r="N539" s="4" t="s">
        <v>1241</v>
      </c>
    </row>
    <row r="540" spans="1:14" x14ac:dyDescent="0.15">
      <c r="A540" s="4" t="s">
        <v>218</v>
      </c>
      <c r="B540" s="4" t="s">
        <v>215</v>
      </c>
      <c r="C540" s="5">
        <v>2.5</v>
      </c>
      <c r="D540" s="5">
        <v>1</v>
      </c>
      <c r="E540" s="4" t="s">
        <v>9</v>
      </c>
      <c r="F540" s="5">
        <v>0</v>
      </c>
      <c r="G540" s="5">
        <v>0</v>
      </c>
      <c r="H540" s="4" t="s">
        <v>488</v>
      </c>
      <c r="I540" s="4" t="s">
        <v>1234</v>
      </c>
      <c r="J540" s="4" t="s">
        <v>1235</v>
      </c>
      <c r="K540" s="4" t="s">
        <v>10</v>
      </c>
      <c r="L540" s="4" t="s">
        <v>487</v>
      </c>
      <c r="M540" s="5">
        <v>0</v>
      </c>
      <c r="N540" s="4" t="s">
        <v>1241</v>
      </c>
    </row>
    <row r="541" spans="1:14" x14ac:dyDescent="0.15">
      <c r="A541" s="4" t="s">
        <v>219</v>
      </c>
      <c r="B541" s="4" t="s">
        <v>215</v>
      </c>
      <c r="C541" s="5">
        <v>110.5</v>
      </c>
      <c r="D541" s="5">
        <v>1000</v>
      </c>
      <c r="E541" s="4" t="s">
        <v>9</v>
      </c>
      <c r="F541" s="5">
        <v>0</v>
      </c>
      <c r="G541" s="5">
        <v>0</v>
      </c>
      <c r="H541" s="4" t="s">
        <v>488</v>
      </c>
      <c r="I541" s="4" t="s">
        <v>1234</v>
      </c>
      <c r="J541" s="4" t="s">
        <v>1235</v>
      </c>
      <c r="K541" s="4" t="s">
        <v>10</v>
      </c>
      <c r="L541" s="4" t="s">
        <v>487</v>
      </c>
      <c r="M541" s="5">
        <v>0</v>
      </c>
      <c r="N541" s="4" t="s">
        <v>1241</v>
      </c>
    </row>
    <row r="542" spans="1:14" x14ac:dyDescent="0.15">
      <c r="A542" s="4" t="s">
        <v>220</v>
      </c>
      <c r="B542" s="4" t="s">
        <v>215</v>
      </c>
      <c r="C542" s="5">
        <v>97.4</v>
      </c>
      <c r="D542" s="5">
        <v>1000</v>
      </c>
      <c r="E542" s="4" t="s">
        <v>9</v>
      </c>
      <c r="F542" s="5">
        <v>0</v>
      </c>
      <c r="G542" s="5">
        <v>0</v>
      </c>
      <c r="H542" s="4" t="s">
        <v>488</v>
      </c>
      <c r="I542" s="4" t="s">
        <v>1234</v>
      </c>
      <c r="J542" s="4" t="s">
        <v>1235</v>
      </c>
      <c r="K542" s="4" t="s">
        <v>10</v>
      </c>
      <c r="L542" s="4" t="s">
        <v>487</v>
      </c>
      <c r="M542" s="5">
        <v>0</v>
      </c>
      <c r="N542" s="4" t="s">
        <v>1241</v>
      </c>
    </row>
    <row r="543" spans="1:14" x14ac:dyDescent="0.15">
      <c r="A543" s="4" t="s">
        <v>221</v>
      </c>
      <c r="B543" s="4" t="s">
        <v>215</v>
      </c>
      <c r="C543" s="5">
        <v>98.5</v>
      </c>
      <c r="D543" s="5">
        <v>1000</v>
      </c>
      <c r="E543" s="4" t="s">
        <v>9</v>
      </c>
      <c r="F543" s="5">
        <v>0</v>
      </c>
      <c r="G543" s="5">
        <v>0</v>
      </c>
      <c r="H543" s="4" t="s">
        <v>488</v>
      </c>
      <c r="I543" s="4" t="s">
        <v>1234</v>
      </c>
      <c r="J543" s="4" t="s">
        <v>1235</v>
      </c>
      <c r="K543" s="4" t="s">
        <v>10</v>
      </c>
      <c r="L543" s="4" t="s">
        <v>487</v>
      </c>
      <c r="M543" s="5">
        <v>0</v>
      </c>
      <c r="N543" s="4" t="s">
        <v>1241</v>
      </c>
    </row>
    <row r="544" spans="1:14" x14ac:dyDescent="0.15">
      <c r="A544" s="4" t="s">
        <v>215</v>
      </c>
      <c r="B544" s="4" t="s">
        <v>29</v>
      </c>
      <c r="C544" s="5">
        <v>1</v>
      </c>
      <c r="D544" s="5">
        <v>1</v>
      </c>
      <c r="E544" s="4" t="s">
        <v>9</v>
      </c>
      <c r="F544" s="5">
        <v>3</v>
      </c>
      <c r="G544" s="5">
        <v>0</v>
      </c>
      <c r="H544" s="4" t="s">
        <v>488</v>
      </c>
      <c r="I544" s="4" t="s">
        <v>1234</v>
      </c>
      <c r="J544" s="4" t="s">
        <v>1235</v>
      </c>
      <c r="K544" s="4" t="s">
        <v>10</v>
      </c>
      <c r="L544" s="4" t="s">
        <v>487</v>
      </c>
      <c r="M544" s="5">
        <v>0</v>
      </c>
      <c r="N544" s="4" t="s">
        <v>1241</v>
      </c>
    </row>
    <row r="545" spans="1:14" x14ac:dyDescent="0.15">
      <c r="A545" s="4" t="s">
        <v>215</v>
      </c>
      <c r="B545" s="4" t="s">
        <v>33</v>
      </c>
      <c r="C545" s="5">
        <v>3</v>
      </c>
      <c r="D545" s="5">
        <v>1</v>
      </c>
      <c r="E545" s="4" t="s">
        <v>9</v>
      </c>
      <c r="F545" s="5">
        <v>3</v>
      </c>
      <c r="G545" s="5">
        <v>0</v>
      </c>
      <c r="H545" s="4" t="s">
        <v>488</v>
      </c>
      <c r="I545" s="4" t="s">
        <v>1234</v>
      </c>
      <c r="J545" s="4" t="s">
        <v>1235</v>
      </c>
      <c r="K545" s="4" t="s">
        <v>10</v>
      </c>
      <c r="L545" s="4" t="s">
        <v>487</v>
      </c>
      <c r="M545" s="5">
        <v>0</v>
      </c>
      <c r="N545" s="4" t="s">
        <v>1241</v>
      </c>
    </row>
    <row r="546" spans="1:14" x14ac:dyDescent="0.15">
      <c r="A546" s="4" t="s">
        <v>215</v>
      </c>
      <c r="B546" s="4" t="s">
        <v>12</v>
      </c>
      <c r="C546" s="5">
        <v>0.45904522613100002</v>
      </c>
      <c r="D546" s="5">
        <v>1</v>
      </c>
      <c r="E546" s="4" t="s">
        <v>13</v>
      </c>
      <c r="F546" s="5">
        <v>3</v>
      </c>
      <c r="G546" s="5">
        <v>0</v>
      </c>
      <c r="H546" s="4" t="s">
        <v>488</v>
      </c>
      <c r="I546" s="4" t="s">
        <v>1234</v>
      </c>
      <c r="J546" s="4" t="s">
        <v>1235</v>
      </c>
      <c r="K546" s="4" t="s">
        <v>10</v>
      </c>
      <c r="L546" s="4" t="s">
        <v>487</v>
      </c>
      <c r="M546" s="5">
        <v>0</v>
      </c>
      <c r="N546" s="4" t="s">
        <v>1241</v>
      </c>
    </row>
    <row r="547" spans="1:14" x14ac:dyDescent="0.15">
      <c r="A547" s="4" t="s">
        <v>215</v>
      </c>
      <c r="B547" s="4" t="s">
        <v>14</v>
      </c>
      <c r="C547" s="5">
        <v>0.51005025125600001</v>
      </c>
      <c r="D547" s="5">
        <v>1</v>
      </c>
      <c r="E547" s="4" t="s">
        <v>13</v>
      </c>
      <c r="F547" s="5">
        <v>3</v>
      </c>
      <c r="G547" s="5">
        <v>0</v>
      </c>
      <c r="H547" s="4" t="s">
        <v>488</v>
      </c>
      <c r="I547" s="4" t="s">
        <v>1234</v>
      </c>
      <c r="J547" s="4" t="s">
        <v>1235</v>
      </c>
      <c r="K547" s="4" t="s">
        <v>10</v>
      </c>
      <c r="L547" s="4" t="s">
        <v>487</v>
      </c>
      <c r="M547" s="5">
        <v>0</v>
      </c>
      <c r="N547" s="4" t="s">
        <v>1241</v>
      </c>
    </row>
    <row r="548" spans="1:14" x14ac:dyDescent="0.15">
      <c r="A548" s="4" t="s">
        <v>215</v>
      </c>
      <c r="B548" s="4" t="s">
        <v>15</v>
      </c>
      <c r="C548" s="5">
        <v>10.201005025126001</v>
      </c>
      <c r="D548" s="5">
        <v>1000</v>
      </c>
      <c r="E548" s="4" t="s">
        <v>13</v>
      </c>
      <c r="F548" s="5">
        <v>3</v>
      </c>
      <c r="G548" s="5">
        <v>0</v>
      </c>
      <c r="H548" s="4" t="s">
        <v>488</v>
      </c>
      <c r="I548" s="4" t="s">
        <v>1234</v>
      </c>
      <c r="J548" s="4" t="s">
        <v>1235</v>
      </c>
      <c r="K548" s="4" t="s">
        <v>10</v>
      </c>
      <c r="L548" s="4" t="s">
        <v>487</v>
      </c>
      <c r="M548" s="5">
        <v>0</v>
      </c>
      <c r="N548" s="4" t="s">
        <v>1241</v>
      </c>
    </row>
    <row r="549" spans="1:14" x14ac:dyDescent="0.15">
      <c r="A549" s="4" t="s">
        <v>215</v>
      </c>
      <c r="B549" s="4" t="s">
        <v>23</v>
      </c>
      <c r="C549" s="5">
        <v>25.502512562814001</v>
      </c>
      <c r="D549" s="5">
        <v>1000</v>
      </c>
      <c r="E549" s="4" t="s">
        <v>13</v>
      </c>
      <c r="F549" s="5">
        <v>3</v>
      </c>
      <c r="G549" s="5">
        <v>0</v>
      </c>
      <c r="H549" s="4" t="s">
        <v>488</v>
      </c>
      <c r="I549" s="4" t="s">
        <v>1234</v>
      </c>
      <c r="J549" s="4" t="s">
        <v>1235</v>
      </c>
      <c r="K549" s="4" t="s">
        <v>10</v>
      </c>
      <c r="L549" s="4" t="s">
        <v>487</v>
      </c>
      <c r="M549" s="5">
        <v>0</v>
      </c>
      <c r="N549" s="4" t="s">
        <v>1241</v>
      </c>
    </row>
    <row r="550" spans="1:14" x14ac:dyDescent="0.15">
      <c r="A550" s="4" t="s">
        <v>215</v>
      </c>
      <c r="B550" s="4" t="s">
        <v>24</v>
      </c>
      <c r="C550" s="5">
        <v>10.201005025126001</v>
      </c>
      <c r="D550" s="5">
        <v>1000</v>
      </c>
      <c r="E550" s="4" t="s">
        <v>13</v>
      </c>
      <c r="F550" s="5">
        <v>3</v>
      </c>
      <c r="G550" s="5">
        <v>0</v>
      </c>
      <c r="H550" s="4" t="s">
        <v>488</v>
      </c>
      <c r="I550" s="4" t="s">
        <v>1234</v>
      </c>
      <c r="J550" s="4" t="s">
        <v>1235</v>
      </c>
      <c r="K550" s="4" t="s">
        <v>10</v>
      </c>
      <c r="L550" s="4" t="s">
        <v>487</v>
      </c>
      <c r="M550" s="5">
        <v>0</v>
      </c>
      <c r="N550" s="4" t="s">
        <v>1241</v>
      </c>
    </row>
    <row r="551" spans="1:14" x14ac:dyDescent="0.15">
      <c r="A551" s="4" t="s">
        <v>215</v>
      </c>
      <c r="B551" s="4" t="s">
        <v>17</v>
      </c>
      <c r="C551" s="5">
        <v>3.2051282051279997</v>
      </c>
      <c r="D551" s="5">
        <v>1000</v>
      </c>
      <c r="E551" s="4" t="s">
        <v>18</v>
      </c>
      <c r="F551" s="5">
        <v>0</v>
      </c>
      <c r="G551" s="5">
        <v>0</v>
      </c>
      <c r="H551" s="4" t="s">
        <v>488</v>
      </c>
      <c r="I551" s="4" t="s">
        <v>1234</v>
      </c>
      <c r="J551" s="4" t="s">
        <v>1235</v>
      </c>
      <c r="K551" s="4" t="s">
        <v>10</v>
      </c>
      <c r="L551" s="4" t="s">
        <v>487</v>
      </c>
      <c r="M551" s="5">
        <v>0</v>
      </c>
      <c r="N551" s="4" t="s">
        <v>1241</v>
      </c>
    </row>
    <row r="552" spans="1:14" x14ac:dyDescent="0.15">
      <c r="A552" s="4" t="s">
        <v>215</v>
      </c>
      <c r="B552" s="4" t="s">
        <v>19</v>
      </c>
      <c r="C552" s="5">
        <v>3</v>
      </c>
      <c r="D552" s="5">
        <v>1</v>
      </c>
      <c r="E552" s="4" t="s">
        <v>18</v>
      </c>
      <c r="F552" s="5">
        <v>0</v>
      </c>
      <c r="G552" s="5">
        <v>0</v>
      </c>
      <c r="H552" s="4" t="s">
        <v>488</v>
      </c>
      <c r="I552" s="4" t="s">
        <v>1236</v>
      </c>
      <c r="J552" s="4" t="s">
        <v>1235</v>
      </c>
      <c r="K552" s="4" t="s">
        <v>10</v>
      </c>
      <c r="L552" s="4" t="s">
        <v>487</v>
      </c>
      <c r="M552" s="5">
        <v>0</v>
      </c>
      <c r="N552" s="4" t="s">
        <v>1241</v>
      </c>
    </row>
    <row r="553" spans="1:14" x14ac:dyDescent="0.15">
      <c r="A553" s="4" t="s">
        <v>222</v>
      </c>
      <c r="B553" s="4" t="s">
        <v>223</v>
      </c>
      <c r="C553" s="5">
        <v>1</v>
      </c>
      <c r="D553" s="5">
        <v>1</v>
      </c>
      <c r="E553" s="4" t="s">
        <v>9</v>
      </c>
      <c r="F553" s="5">
        <v>0</v>
      </c>
      <c r="G553" s="5">
        <v>0</v>
      </c>
      <c r="H553" s="4" t="s">
        <v>488</v>
      </c>
      <c r="I553" s="4" t="s">
        <v>1234</v>
      </c>
      <c r="J553" s="4" t="s">
        <v>1235</v>
      </c>
      <c r="K553" s="4" t="s">
        <v>10</v>
      </c>
      <c r="L553" s="4" t="s">
        <v>487</v>
      </c>
      <c r="M553" s="5">
        <v>0</v>
      </c>
      <c r="N553" s="4" t="s">
        <v>1241</v>
      </c>
    </row>
    <row r="554" spans="1:14" x14ac:dyDescent="0.15">
      <c r="A554" s="4" t="s">
        <v>224</v>
      </c>
      <c r="B554" s="4" t="s">
        <v>223</v>
      </c>
      <c r="C554" s="5">
        <v>2</v>
      </c>
      <c r="D554" s="5">
        <v>1</v>
      </c>
      <c r="E554" s="4" t="s">
        <v>9</v>
      </c>
      <c r="F554" s="5">
        <v>0</v>
      </c>
      <c r="G554" s="5">
        <v>0</v>
      </c>
      <c r="H554" s="4" t="s">
        <v>488</v>
      </c>
      <c r="I554" s="4" t="s">
        <v>1234</v>
      </c>
      <c r="J554" s="4" t="s">
        <v>1235</v>
      </c>
      <c r="K554" s="4" t="s">
        <v>10</v>
      </c>
      <c r="L554" s="4" t="s">
        <v>487</v>
      </c>
      <c r="M554" s="5">
        <v>0</v>
      </c>
      <c r="N554" s="4" t="s">
        <v>1241</v>
      </c>
    </row>
    <row r="555" spans="1:14" x14ac:dyDescent="0.15">
      <c r="A555" s="4" t="s">
        <v>225</v>
      </c>
      <c r="B555" s="4" t="s">
        <v>223</v>
      </c>
      <c r="C555" s="5">
        <v>500</v>
      </c>
      <c r="D555" s="5">
        <v>1000</v>
      </c>
      <c r="E555" s="4" t="s">
        <v>9</v>
      </c>
      <c r="F555" s="5">
        <v>0</v>
      </c>
      <c r="G555" s="5">
        <v>0</v>
      </c>
      <c r="H555" s="4" t="s">
        <v>488</v>
      </c>
      <c r="I555" s="4" t="s">
        <v>1234</v>
      </c>
      <c r="J555" s="4" t="s">
        <v>1235</v>
      </c>
      <c r="K555" s="4" t="s">
        <v>10</v>
      </c>
      <c r="L555" s="4" t="s">
        <v>487</v>
      </c>
      <c r="M555" s="5">
        <v>0</v>
      </c>
      <c r="N555" s="4" t="s">
        <v>1241</v>
      </c>
    </row>
    <row r="556" spans="1:14" x14ac:dyDescent="0.15">
      <c r="A556" s="4" t="s">
        <v>223</v>
      </c>
      <c r="B556" s="4" t="s">
        <v>33</v>
      </c>
      <c r="C556" s="5">
        <v>4</v>
      </c>
      <c r="D556" s="5">
        <v>1</v>
      </c>
      <c r="E556" s="4" t="s">
        <v>9</v>
      </c>
      <c r="F556" s="5">
        <v>3</v>
      </c>
      <c r="G556" s="5">
        <v>0</v>
      </c>
      <c r="H556" s="4" t="s">
        <v>488</v>
      </c>
      <c r="I556" s="4" t="s">
        <v>1234</v>
      </c>
      <c r="J556" s="4" t="s">
        <v>1235</v>
      </c>
      <c r="K556" s="4" t="s">
        <v>10</v>
      </c>
      <c r="L556" s="4" t="s">
        <v>487</v>
      </c>
      <c r="M556" s="5">
        <v>0</v>
      </c>
      <c r="N556" s="4" t="s">
        <v>1241</v>
      </c>
    </row>
    <row r="557" spans="1:14" x14ac:dyDescent="0.15">
      <c r="A557" s="4" t="s">
        <v>223</v>
      </c>
      <c r="B557" s="4" t="s">
        <v>12</v>
      </c>
      <c r="C557" s="5">
        <v>0.58251256281399999</v>
      </c>
      <c r="D557" s="5">
        <v>1</v>
      </c>
      <c r="E557" s="4" t="s">
        <v>13</v>
      </c>
      <c r="F557" s="5">
        <v>3</v>
      </c>
      <c r="G557" s="5">
        <v>0</v>
      </c>
      <c r="H557" s="4" t="s">
        <v>488</v>
      </c>
      <c r="I557" s="4" t="s">
        <v>1234</v>
      </c>
      <c r="J557" s="4" t="s">
        <v>1235</v>
      </c>
      <c r="K557" s="4" t="s">
        <v>10</v>
      </c>
      <c r="L557" s="4" t="s">
        <v>487</v>
      </c>
      <c r="M557" s="5">
        <v>0</v>
      </c>
      <c r="N557" s="4" t="s">
        <v>1241</v>
      </c>
    </row>
    <row r="558" spans="1:14" x14ac:dyDescent="0.15">
      <c r="A558" s="4" t="s">
        <v>223</v>
      </c>
      <c r="B558" s="4" t="s">
        <v>14</v>
      </c>
      <c r="C558" s="5">
        <v>0.64723618090500001</v>
      </c>
      <c r="D558" s="5">
        <v>1</v>
      </c>
      <c r="E558" s="4" t="s">
        <v>13</v>
      </c>
      <c r="F558" s="5">
        <v>3</v>
      </c>
      <c r="G558" s="5">
        <v>0</v>
      </c>
      <c r="H558" s="4" t="s">
        <v>488</v>
      </c>
      <c r="I558" s="4" t="s">
        <v>1234</v>
      </c>
      <c r="J558" s="4" t="s">
        <v>1235</v>
      </c>
      <c r="K558" s="4" t="s">
        <v>10</v>
      </c>
      <c r="L558" s="4" t="s">
        <v>487</v>
      </c>
      <c r="M558" s="5">
        <v>0</v>
      </c>
      <c r="N558" s="4" t="s">
        <v>1241</v>
      </c>
    </row>
    <row r="559" spans="1:14" x14ac:dyDescent="0.15">
      <c r="A559" s="4" t="s">
        <v>223</v>
      </c>
      <c r="B559" s="4" t="s">
        <v>15</v>
      </c>
      <c r="C559" s="5">
        <v>12.944723618091</v>
      </c>
      <c r="D559" s="5">
        <v>1000</v>
      </c>
      <c r="E559" s="4" t="s">
        <v>13</v>
      </c>
      <c r="F559" s="5">
        <v>3</v>
      </c>
      <c r="G559" s="5">
        <v>0</v>
      </c>
      <c r="H559" s="4" t="s">
        <v>488</v>
      </c>
      <c r="I559" s="4" t="s">
        <v>1234</v>
      </c>
      <c r="J559" s="4" t="s">
        <v>1235</v>
      </c>
      <c r="K559" s="4" t="s">
        <v>10</v>
      </c>
      <c r="L559" s="4" t="s">
        <v>487</v>
      </c>
      <c r="M559" s="5">
        <v>0</v>
      </c>
      <c r="N559" s="4" t="s">
        <v>1241</v>
      </c>
    </row>
    <row r="560" spans="1:14" x14ac:dyDescent="0.15">
      <c r="A560" s="4" t="s">
        <v>223</v>
      </c>
      <c r="B560" s="4" t="s">
        <v>23</v>
      </c>
      <c r="C560" s="5">
        <v>32.361809045226003</v>
      </c>
      <c r="D560" s="5">
        <v>1000</v>
      </c>
      <c r="E560" s="4" t="s">
        <v>13</v>
      </c>
      <c r="F560" s="5">
        <v>3</v>
      </c>
      <c r="G560" s="5">
        <v>0</v>
      </c>
      <c r="H560" s="4" t="s">
        <v>488</v>
      </c>
      <c r="I560" s="4" t="s">
        <v>1234</v>
      </c>
      <c r="J560" s="4" t="s">
        <v>1235</v>
      </c>
      <c r="K560" s="4" t="s">
        <v>10</v>
      </c>
      <c r="L560" s="4" t="s">
        <v>487</v>
      </c>
      <c r="M560" s="5">
        <v>0</v>
      </c>
      <c r="N560" s="4" t="s">
        <v>1241</v>
      </c>
    </row>
    <row r="561" spans="1:14" x14ac:dyDescent="0.15">
      <c r="A561" s="4" t="s">
        <v>223</v>
      </c>
      <c r="B561" s="4" t="s">
        <v>24</v>
      </c>
      <c r="C561" s="5">
        <v>12.944723618091</v>
      </c>
      <c r="D561" s="5">
        <v>1000</v>
      </c>
      <c r="E561" s="4" t="s">
        <v>13</v>
      </c>
      <c r="F561" s="5">
        <v>3</v>
      </c>
      <c r="G561" s="5">
        <v>0</v>
      </c>
      <c r="H561" s="4" t="s">
        <v>488</v>
      </c>
      <c r="I561" s="4" t="s">
        <v>1234</v>
      </c>
      <c r="J561" s="4" t="s">
        <v>1235</v>
      </c>
      <c r="K561" s="4" t="s">
        <v>10</v>
      </c>
      <c r="L561" s="4" t="s">
        <v>487</v>
      </c>
      <c r="M561" s="5">
        <v>0</v>
      </c>
      <c r="N561" s="4" t="s">
        <v>1241</v>
      </c>
    </row>
    <row r="562" spans="1:14" x14ac:dyDescent="0.15">
      <c r="A562" s="4" t="s">
        <v>223</v>
      </c>
      <c r="B562" s="4" t="s">
        <v>17</v>
      </c>
      <c r="C562" s="5">
        <v>3.2051282051279997</v>
      </c>
      <c r="D562" s="5">
        <v>1000</v>
      </c>
      <c r="E562" s="4" t="s">
        <v>18</v>
      </c>
      <c r="F562" s="5">
        <v>0</v>
      </c>
      <c r="G562" s="5">
        <v>0</v>
      </c>
      <c r="H562" s="4" t="s">
        <v>488</v>
      </c>
      <c r="I562" s="4" t="s">
        <v>1234</v>
      </c>
      <c r="J562" s="4" t="s">
        <v>1235</v>
      </c>
      <c r="K562" s="4" t="s">
        <v>10</v>
      </c>
      <c r="L562" s="4" t="s">
        <v>487</v>
      </c>
      <c r="M562" s="5">
        <v>0</v>
      </c>
      <c r="N562" s="4" t="s">
        <v>1241</v>
      </c>
    </row>
    <row r="563" spans="1:14" x14ac:dyDescent="0.15">
      <c r="A563" s="4" t="s">
        <v>223</v>
      </c>
      <c r="B563" s="4" t="s">
        <v>19</v>
      </c>
      <c r="C563" s="5">
        <v>4</v>
      </c>
      <c r="D563" s="5">
        <v>1</v>
      </c>
      <c r="E563" s="4" t="s">
        <v>18</v>
      </c>
      <c r="F563" s="5">
        <v>0</v>
      </c>
      <c r="G563" s="5">
        <v>0</v>
      </c>
      <c r="H563" s="4" t="s">
        <v>488</v>
      </c>
      <c r="I563" s="4" t="s">
        <v>1236</v>
      </c>
      <c r="J563" s="4" t="s">
        <v>1235</v>
      </c>
      <c r="K563" s="4" t="s">
        <v>10</v>
      </c>
      <c r="L563" s="4" t="s">
        <v>487</v>
      </c>
      <c r="M563" s="5">
        <v>0</v>
      </c>
      <c r="N563" s="4" t="s">
        <v>1241</v>
      </c>
    </row>
    <row r="564" spans="1:14" x14ac:dyDescent="0.15">
      <c r="A564" s="4" t="s">
        <v>226</v>
      </c>
      <c r="B564" s="4" t="s">
        <v>227</v>
      </c>
      <c r="C564" s="5">
        <v>1</v>
      </c>
      <c r="D564" s="5">
        <v>1</v>
      </c>
      <c r="E564" s="4" t="s">
        <v>9</v>
      </c>
      <c r="F564" s="5">
        <v>0</v>
      </c>
      <c r="G564" s="5">
        <v>0</v>
      </c>
      <c r="H564" s="4" t="s">
        <v>488</v>
      </c>
      <c r="I564" s="4" t="s">
        <v>1234</v>
      </c>
      <c r="J564" s="4" t="s">
        <v>1235</v>
      </c>
      <c r="K564" s="4" t="s">
        <v>10</v>
      </c>
      <c r="L564" s="4" t="s">
        <v>487</v>
      </c>
      <c r="M564" s="5">
        <v>0</v>
      </c>
      <c r="N564" s="4" t="s">
        <v>1241</v>
      </c>
    </row>
    <row r="565" spans="1:14" x14ac:dyDescent="0.15">
      <c r="A565" s="4" t="s">
        <v>228</v>
      </c>
      <c r="B565" s="4" t="s">
        <v>227</v>
      </c>
      <c r="C565" s="5">
        <v>2</v>
      </c>
      <c r="D565" s="5">
        <v>1</v>
      </c>
      <c r="E565" s="4" t="s">
        <v>9</v>
      </c>
      <c r="F565" s="5">
        <v>0</v>
      </c>
      <c r="G565" s="5">
        <v>0</v>
      </c>
      <c r="H565" s="4" t="s">
        <v>488</v>
      </c>
      <c r="I565" s="4" t="s">
        <v>1234</v>
      </c>
      <c r="J565" s="4" t="s">
        <v>1235</v>
      </c>
      <c r="K565" s="4" t="s">
        <v>10</v>
      </c>
      <c r="L565" s="4" t="s">
        <v>487</v>
      </c>
      <c r="M565" s="5">
        <v>0</v>
      </c>
      <c r="N565" s="4" t="s">
        <v>1241</v>
      </c>
    </row>
    <row r="566" spans="1:14" x14ac:dyDescent="0.15">
      <c r="A566" s="4" t="s">
        <v>229</v>
      </c>
      <c r="B566" s="4" t="s">
        <v>227</v>
      </c>
      <c r="C566" s="5">
        <v>500</v>
      </c>
      <c r="D566" s="5">
        <v>1000</v>
      </c>
      <c r="E566" s="4" t="s">
        <v>9</v>
      </c>
      <c r="F566" s="5">
        <v>0</v>
      </c>
      <c r="G566" s="5">
        <v>0</v>
      </c>
      <c r="H566" s="4" t="s">
        <v>488</v>
      </c>
      <c r="I566" s="4" t="s">
        <v>1234</v>
      </c>
      <c r="J566" s="4" t="s">
        <v>1235</v>
      </c>
      <c r="K566" s="4" t="s">
        <v>10</v>
      </c>
      <c r="L566" s="4" t="s">
        <v>487</v>
      </c>
      <c r="M566" s="5">
        <v>0</v>
      </c>
      <c r="N566" s="4" t="s">
        <v>1241</v>
      </c>
    </row>
    <row r="567" spans="1:14" x14ac:dyDescent="0.15">
      <c r="A567" s="4" t="s">
        <v>230</v>
      </c>
      <c r="B567" s="4" t="s">
        <v>227</v>
      </c>
      <c r="C567" s="5">
        <v>81.5</v>
      </c>
      <c r="D567" s="5">
        <v>1000</v>
      </c>
      <c r="E567" s="4" t="s">
        <v>9</v>
      </c>
      <c r="F567" s="5">
        <v>0</v>
      </c>
      <c r="G567" s="5">
        <v>0</v>
      </c>
      <c r="H567" s="4" t="s">
        <v>488</v>
      </c>
      <c r="I567" s="4" t="s">
        <v>1234</v>
      </c>
      <c r="J567" s="4" t="s">
        <v>1235</v>
      </c>
      <c r="K567" s="4" t="s">
        <v>10</v>
      </c>
      <c r="L567" s="4" t="s">
        <v>487</v>
      </c>
      <c r="M567" s="5">
        <v>0</v>
      </c>
      <c r="N567" s="4" t="s">
        <v>1241</v>
      </c>
    </row>
    <row r="568" spans="1:14" x14ac:dyDescent="0.15">
      <c r="A568" s="4" t="s">
        <v>231</v>
      </c>
      <c r="B568" s="4" t="s">
        <v>227</v>
      </c>
      <c r="C568" s="5">
        <v>105</v>
      </c>
      <c r="D568" s="5">
        <v>1000</v>
      </c>
      <c r="E568" s="4" t="s">
        <v>9</v>
      </c>
      <c r="F568" s="5">
        <v>0</v>
      </c>
      <c r="G568" s="5">
        <v>0</v>
      </c>
      <c r="H568" s="4" t="s">
        <v>488</v>
      </c>
      <c r="I568" s="4" t="s">
        <v>1234</v>
      </c>
      <c r="J568" s="4" t="s">
        <v>1235</v>
      </c>
      <c r="K568" s="4" t="s">
        <v>10</v>
      </c>
      <c r="L568" s="4" t="s">
        <v>487</v>
      </c>
      <c r="M568" s="5">
        <v>0</v>
      </c>
      <c r="N568" s="4" t="s">
        <v>1241</v>
      </c>
    </row>
    <row r="569" spans="1:14" x14ac:dyDescent="0.15">
      <c r="A569" s="4" t="s">
        <v>232</v>
      </c>
      <c r="B569" s="4" t="s">
        <v>227</v>
      </c>
      <c r="C569" s="5">
        <v>257</v>
      </c>
      <c r="D569" s="5">
        <v>1000</v>
      </c>
      <c r="E569" s="4" t="s">
        <v>9</v>
      </c>
      <c r="F569" s="5">
        <v>0</v>
      </c>
      <c r="G569" s="5">
        <v>0</v>
      </c>
      <c r="H569" s="4" t="s">
        <v>488</v>
      </c>
      <c r="I569" s="4" t="s">
        <v>1234</v>
      </c>
      <c r="J569" s="4" t="s">
        <v>1235</v>
      </c>
      <c r="K569" s="4" t="s">
        <v>10</v>
      </c>
      <c r="L569" s="4" t="s">
        <v>487</v>
      </c>
      <c r="M569" s="5">
        <v>0</v>
      </c>
      <c r="N569" s="4" t="s">
        <v>1241</v>
      </c>
    </row>
    <row r="570" spans="1:14" x14ac:dyDescent="0.15">
      <c r="A570" s="4" t="s">
        <v>233</v>
      </c>
      <c r="B570" s="4" t="s">
        <v>227</v>
      </c>
      <c r="C570" s="5">
        <v>261</v>
      </c>
      <c r="D570" s="5">
        <v>1000</v>
      </c>
      <c r="E570" s="4" t="s">
        <v>9</v>
      </c>
      <c r="F570" s="5">
        <v>0</v>
      </c>
      <c r="G570" s="5">
        <v>0</v>
      </c>
      <c r="H570" s="4" t="s">
        <v>488</v>
      </c>
      <c r="I570" s="4" t="s">
        <v>1234</v>
      </c>
      <c r="J570" s="4" t="s">
        <v>1235</v>
      </c>
      <c r="K570" s="4" t="s">
        <v>10</v>
      </c>
      <c r="L570" s="4" t="s">
        <v>487</v>
      </c>
      <c r="M570" s="5">
        <v>0</v>
      </c>
      <c r="N570" s="4" t="s">
        <v>1241</v>
      </c>
    </row>
    <row r="571" spans="1:14" x14ac:dyDescent="0.15">
      <c r="A571" s="4" t="s">
        <v>227</v>
      </c>
      <c r="B571" s="4" t="s">
        <v>29</v>
      </c>
      <c r="C571" s="5">
        <v>1</v>
      </c>
      <c r="D571" s="5">
        <v>1</v>
      </c>
      <c r="E571" s="4" t="s">
        <v>9</v>
      </c>
      <c r="F571" s="5">
        <v>3</v>
      </c>
      <c r="G571" s="5">
        <v>0</v>
      </c>
      <c r="H571" s="4" t="s">
        <v>488</v>
      </c>
      <c r="I571" s="4" t="s">
        <v>1234</v>
      </c>
      <c r="J571" s="4" t="s">
        <v>1235</v>
      </c>
      <c r="K571" s="4" t="s">
        <v>10</v>
      </c>
      <c r="L571" s="4" t="s">
        <v>487</v>
      </c>
      <c r="M571" s="5">
        <v>0</v>
      </c>
      <c r="N571" s="4" t="s">
        <v>1241</v>
      </c>
    </row>
    <row r="572" spans="1:14" x14ac:dyDescent="0.15">
      <c r="A572" s="4" t="s">
        <v>227</v>
      </c>
      <c r="B572" s="4" t="s">
        <v>33</v>
      </c>
      <c r="C572" s="5">
        <v>6</v>
      </c>
      <c r="D572" s="5">
        <v>1</v>
      </c>
      <c r="E572" s="4" t="s">
        <v>9</v>
      </c>
      <c r="F572" s="5">
        <v>3</v>
      </c>
      <c r="G572" s="5">
        <v>0</v>
      </c>
      <c r="H572" s="4" t="s">
        <v>488</v>
      </c>
      <c r="I572" s="4" t="s">
        <v>1234</v>
      </c>
      <c r="J572" s="4" t="s">
        <v>1235</v>
      </c>
      <c r="K572" s="4" t="s">
        <v>10</v>
      </c>
      <c r="L572" s="4" t="s">
        <v>487</v>
      </c>
      <c r="M572" s="5">
        <v>0</v>
      </c>
      <c r="N572" s="4" t="s">
        <v>1241</v>
      </c>
    </row>
    <row r="573" spans="1:14" x14ac:dyDescent="0.15">
      <c r="A573" s="4" t="s">
        <v>227</v>
      </c>
      <c r="B573" s="4" t="s">
        <v>12</v>
      </c>
      <c r="C573" s="5">
        <v>0.99949748743699995</v>
      </c>
      <c r="D573" s="5">
        <v>1</v>
      </c>
      <c r="E573" s="4" t="s">
        <v>13</v>
      </c>
      <c r="F573" s="5">
        <v>3</v>
      </c>
      <c r="G573" s="5">
        <v>0</v>
      </c>
      <c r="H573" s="4" t="s">
        <v>488</v>
      </c>
      <c r="I573" s="4" t="s">
        <v>1234</v>
      </c>
      <c r="J573" s="4" t="s">
        <v>1235</v>
      </c>
      <c r="K573" s="4" t="s">
        <v>10</v>
      </c>
      <c r="L573" s="4" t="s">
        <v>487</v>
      </c>
      <c r="M573" s="5">
        <v>0</v>
      </c>
      <c r="N573" s="4" t="s">
        <v>1241</v>
      </c>
    </row>
    <row r="574" spans="1:14" x14ac:dyDescent="0.15">
      <c r="A574" s="4" t="s">
        <v>227</v>
      </c>
      <c r="B574" s="4" t="s">
        <v>14</v>
      </c>
      <c r="C574" s="5">
        <v>1.1105527638189998</v>
      </c>
      <c r="D574" s="5">
        <v>1</v>
      </c>
      <c r="E574" s="4" t="s">
        <v>13</v>
      </c>
      <c r="F574" s="5">
        <v>3</v>
      </c>
      <c r="G574" s="5">
        <v>0</v>
      </c>
      <c r="H574" s="4" t="s">
        <v>488</v>
      </c>
      <c r="I574" s="4" t="s">
        <v>1234</v>
      </c>
      <c r="J574" s="4" t="s">
        <v>1235</v>
      </c>
      <c r="K574" s="4" t="s">
        <v>10</v>
      </c>
      <c r="L574" s="4" t="s">
        <v>487</v>
      </c>
      <c r="M574" s="5">
        <v>0</v>
      </c>
      <c r="N574" s="4" t="s">
        <v>1241</v>
      </c>
    </row>
    <row r="575" spans="1:14" x14ac:dyDescent="0.15">
      <c r="A575" s="4" t="s">
        <v>227</v>
      </c>
      <c r="B575" s="4" t="s">
        <v>15</v>
      </c>
      <c r="C575" s="5">
        <v>22.211055276381998</v>
      </c>
      <c r="D575" s="5">
        <v>1000</v>
      </c>
      <c r="E575" s="4" t="s">
        <v>13</v>
      </c>
      <c r="F575" s="5">
        <v>3</v>
      </c>
      <c r="G575" s="5">
        <v>0</v>
      </c>
      <c r="H575" s="4" t="s">
        <v>488</v>
      </c>
      <c r="I575" s="4" t="s">
        <v>1234</v>
      </c>
      <c r="J575" s="4" t="s">
        <v>1235</v>
      </c>
      <c r="K575" s="4" t="s">
        <v>10</v>
      </c>
      <c r="L575" s="4" t="s">
        <v>487</v>
      </c>
      <c r="M575" s="5">
        <v>0</v>
      </c>
      <c r="N575" s="4" t="s">
        <v>1241</v>
      </c>
    </row>
    <row r="576" spans="1:14" x14ac:dyDescent="0.15">
      <c r="A576" s="4" t="s">
        <v>227</v>
      </c>
      <c r="B576" s="4" t="s">
        <v>23</v>
      </c>
      <c r="C576" s="5">
        <v>55.527638190954995</v>
      </c>
      <c r="D576" s="5">
        <v>1000</v>
      </c>
      <c r="E576" s="4" t="s">
        <v>13</v>
      </c>
      <c r="F576" s="5">
        <v>3</v>
      </c>
      <c r="G576" s="5">
        <v>0</v>
      </c>
      <c r="H576" s="4" t="s">
        <v>488</v>
      </c>
      <c r="I576" s="4" t="s">
        <v>1234</v>
      </c>
      <c r="J576" s="4" t="s">
        <v>1235</v>
      </c>
      <c r="K576" s="4" t="s">
        <v>10</v>
      </c>
      <c r="L576" s="4" t="s">
        <v>487</v>
      </c>
      <c r="M576" s="5">
        <v>0</v>
      </c>
      <c r="N576" s="4" t="s">
        <v>1241</v>
      </c>
    </row>
    <row r="577" spans="1:14" x14ac:dyDescent="0.15">
      <c r="A577" s="4" t="s">
        <v>227</v>
      </c>
      <c r="B577" s="4" t="s">
        <v>24</v>
      </c>
      <c r="C577" s="5">
        <v>22.211055276381998</v>
      </c>
      <c r="D577" s="5">
        <v>1000</v>
      </c>
      <c r="E577" s="4" t="s">
        <v>13</v>
      </c>
      <c r="F577" s="5">
        <v>3</v>
      </c>
      <c r="G577" s="5">
        <v>0</v>
      </c>
      <c r="H577" s="4" t="s">
        <v>488</v>
      </c>
      <c r="I577" s="4" t="s">
        <v>1234</v>
      </c>
      <c r="J577" s="4" t="s">
        <v>1235</v>
      </c>
      <c r="K577" s="4" t="s">
        <v>10</v>
      </c>
      <c r="L577" s="4" t="s">
        <v>487</v>
      </c>
      <c r="M577" s="5">
        <v>0</v>
      </c>
      <c r="N577" s="4" t="s">
        <v>1241</v>
      </c>
    </row>
    <row r="578" spans="1:14" x14ac:dyDescent="0.15">
      <c r="A578" s="4" t="s">
        <v>227</v>
      </c>
      <c r="B578" s="4" t="s">
        <v>17</v>
      </c>
      <c r="C578" s="5">
        <v>3.2051282051279997</v>
      </c>
      <c r="D578" s="5">
        <v>1000</v>
      </c>
      <c r="E578" s="4" t="s">
        <v>18</v>
      </c>
      <c r="F578" s="5">
        <v>0</v>
      </c>
      <c r="G578" s="5">
        <v>0</v>
      </c>
      <c r="H578" s="4" t="s">
        <v>488</v>
      </c>
      <c r="I578" s="4" t="s">
        <v>1234</v>
      </c>
      <c r="J578" s="4" t="s">
        <v>1235</v>
      </c>
      <c r="K578" s="4" t="s">
        <v>10</v>
      </c>
      <c r="L578" s="4" t="s">
        <v>487</v>
      </c>
      <c r="M578" s="5">
        <v>0</v>
      </c>
      <c r="N578" s="4" t="s">
        <v>1241</v>
      </c>
    </row>
    <row r="579" spans="1:14" x14ac:dyDescent="0.15">
      <c r="A579" s="4" t="s">
        <v>227</v>
      </c>
      <c r="B579" s="4" t="s">
        <v>19</v>
      </c>
      <c r="C579" s="5">
        <v>4</v>
      </c>
      <c r="D579" s="5">
        <v>1</v>
      </c>
      <c r="E579" s="4" t="s">
        <v>18</v>
      </c>
      <c r="F579" s="5">
        <v>0</v>
      </c>
      <c r="G579" s="5">
        <v>0</v>
      </c>
      <c r="H579" s="4" t="s">
        <v>488</v>
      </c>
      <c r="I579" s="4" t="s">
        <v>1236</v>
      </c>
      <c r="J579" s="4" t="s">
        <v>1235</v>
      </c>
      <c r="K579" s="4" t="s">
        <v>10</v>
      </c>
      <c r="L579" s="4" t="s">
        <v>487</v>
      </c>
      <c r="M579" s="5">
        <v>0</v>
      </c>
      <c r="N579" s="4" t="s">
        <v>1241</v>
      </c>
    </row>
    <row r="580" spans="1:14" x14ac:dyDescent="0.15">
      <c r="A580" s="4" t="s">
        <v>234</v>
      </c>
      <c r="B580" s="4" t="s">
        <v>235</v>
      </c>
      <c r="C580" s="5">
        <v>293</v>
      </c>
      <c r="D580" s="5">
        <v>1000</v>
      </c>
      <c r="E580" s="4" t="s">
        <v>9</v>
      </c>
      <c r="F580" s="5">
        <v>0</v>
      </c>
      <c r="G580" s="5">
        <v>0</v>
      </c>
      <c r="H580" s="4" t="s">
        <v>488</v>
      </c>
      <c r="I580" s="4" t="s">
        <v>1234</v>
      </c>
      <c r="J580" s="4" t="s">
        <v>1235</v>
      </c>
      <c r="K580" s="4" t="s">
        <v>10</v>
      </c>
      <c r="L580" s="4" t="s">
        <v>487</v>
      </c>
      <c r="M580" s="5">
        <v>0</v>
      </c>
      <c r="N580" s="4" t="s">
        <v>1241</v>
      </c>
    </row>
    <row r="581" spans="1:14" x14ac:dyDescent="0.15">
      <c r="A581" s="4" t="s">
        <v>236</v>
      </c>
      <c r="B581" s="4" t="s">
        <v>237</v>
      </c>
      <c r="C581" s="5">
        <v>1</v>
      </c>
      <c r="D581" s="5">
        <v>1</v>
      </c>
      <c r="E581" s="4" t="s">
        <v>9</v>
      </c>
      <c r="F581" s="5">
        <v>0</v>
      </c>
      <c r="G581" s="5">
        <v>0</v>
      </c>
      <c r="H581" s="4" t="s">
        <v>488</v>
      </c>
      <c r="I581" s="4" t="s">
        <v>1234</v>
      </c>
      <c r="J581" s="4" t="s">
        <v>1235</v>
      </c>
      <c r="K581" s="4" t="s">
        <v>10</v>
      </c>
      <c r="L581" s="4" t="s">
        <v>487</v>
      </c>
      <c r="M581" s="5">
        <v>0</v>
      </c>
      <c r="N581" s="4" t="s">
        <v>1241</v>
      </c>
    </row>
    <row r="582" spans="1:14" x14ac:dyDescent="0.15">
      <c r="A582" s="4" t="s">
        <v>238</v>
      </c>
      <c r="B582" s="4" t="s">
        <v>237</v>
      </c>
      <c r="C582" s="5">
        <v>2</v>
      </c>
      <c r="D582" s="5">
        <v>1</v>
      </c>
      <c r="E582" s="4" t="s">
        <v>9</v>
      </c>
      <c r="F582" s="5">
        <v>0</v>
      </c>
      <c r="G582" s="5">
        <v>0</v>
      </c>
      <c r="H582" s="4" t="s">
        <v>488</v>
      </c>
      <c r="I582" s="4" t="s">
        <v>1234</v>
      </c>
      <c r="J582" s="4" t="s">
        <v>1235</v>
      </c>
      <c r="K582" s="4" t="s">
        <v>10</v>
      </c>
      <c r="L582" s="4" t="s">
        <v>487</v>
      </c>
      <c r="M582" s="5">
        <v>0</v>
      </c>
      <c r="N582" s="4" t="s">
        <v>1241</v>
      </c>
    </row>
    <row r="583" spans="1:14" x14ac:dyDescent="0.15">
      <c r="A583" s="4" t="s">
        <v>239</v>
      </c>
      <c r="B583" s="4" t="s">
        <v>237</v>
      </c>
      <c r="C583" s="5">
        <v>500</v>
      </c>
      <c r="D583" s="5">
        <v>1000</v>
      </c>
      <c r="E583" s="4" t="s">
        <v>9</v>
      </c>
      <c r="F583" s="5">
        <v>0</v>
      </c>
      <c r="G583" s="5">
        <v>0</v>
      </c>
      <c r="H583" s="4" t="s">
        <v>488</v>
      </c>
      <c r="I583" s="4" t="s">
        <v>1234</v>
      </c>
      <c r="J583" s="4" t="s">
        <v>1235</v>
      </c>
      <c r="K583" s="4" t="s">
        <v>10</v>
      </c>
      <c r="L583" s="4" t="s">
        <v>487</v>
      </c>
      <c r="M583" s="5">
        <v>0</v>
      </c>
      <c r="N583" s="4" t="s">
        <v>1241</v>
      </c>
    </row>
    <row r="584" spans="1:14" x14ac:dyDescent="0.15">
      <c r="A584" s="4" t="s">
        <v>237</v>
      </c>
      <c r="B584" s="4" t="s">
        <v>33</v>
      </c>
      <c r="C584" s="5">
        <v>9</v>
      </c>
      <c r="D584" s="5">
        <v>1</v>
      </c>
      <c r="E584" s="4" t="s">
        <v>9</v>
      </c>
      <c r="F584" s="5">
        <v>3</v>
      </c>
      <c r="G584" s="5">
        <v>0</v>
      </c>
      <c r="H584" s="4" t="s">
        <v>488</v>
      </c>
      <c r="I584" s="4" t="s">
        <v>1234</v>
      </c>
      <c r="J584" s="4" t="s">
        <v>1235</v>
      </c>
      <c r="K584" s="4" t="s">
        <v>10</v>
      </c>
      <c r="L584" s="4" t="s">
        <v>487</v>
      </c>
      <c r="M584" s="5">
        <v>0</v>
      </c>
      <c r="N584" s="4" t="s">
        <v>1241</v>
      </c>
    </row>
    <row r="585" spans="1:14" x14ac:dyDescent="0.15">
      <c r="A585" s="4" t="s">
        <v>237</v>
      </c>
      <c r="B585" s="4" t="s">
        <v>12</v>
      </c>
      <c r="C585" s="5">
        <v>1.3106532663319999</v>
      </c>
      <c r="D585" s="5">
        <v>1</v>
      </c>
      <c r="E585" s="4" t="s">
        <v>13</v>
      </c>
      <c r="F585" s="5">
        <v>3</v>
      </c>
      <c r="G585" s="5">
        <v>0</v>
      </c>
      <c r="H585" s="4" t="s">
        <v>488</v>
      </c>
      <c r="I585" s="4" t="s">
        <v>1234</v>
      </c>
      <c r="J585" s="4" t="s">
        <v>1235</v>
      </c>
      <c r="K585" s="4" t="s">
        <v>10</v>
      </c>
      <c r="L585" s="4" t="s">
        <v>487</v>
      </c>
      <c r="M585" s="5">
        <v>0</v>
      </c>
      <c r="N585" s="4" t="s">
        <v>1241</v>
      </c>
    </row>
    <row r="586" spans="1:14" x14ac:dyDescent="0.15">
      <c r="A586" s="4" t="s">
        <v>237</v>
      </c>
      <c r="B586" s="4" t="s">
        <v>14</v>
      </c>
      <c r="C586" s="5">
        <v>1.4562814070350001</v>
      </c>
      <c r="D586" s="5">
        <v>1</v>
      </c>
      <c r="E586" s="4" t="s">
        <v>13</v>
      </c>
      <c r="F586" s="5">
        <v>3</v>
      </c>
      <c r="G586" s="5">
        <v>0</v>
      </c>
      <c r="H586" s="4" t="s">
        <v>488</v>
      </c>
      <c r="I586" s="4" t="s">
        <v>1234</v>
      </c>
      <c r="J586" s="4" t="s">
        <v>1235</v>
      </c>
      <c r="K586" s="4" t="s">
        <v>10</v>
      </c>
      <c r="L586" s="4" t="s">
        <v>487</v>
      </c>
      <c r="M586" s="5">
        <v>0</v>
      </c>
      <c r="N586" s="4" t="s">
        <v>1241</v>
      </c>
    </row>
    <row r="587" spans="1:14" x14ac:dyDescent="0.15">
      <c r="A587" s="4" t="s">
        <v>237</v>
      </c>
      <c r="B587" s="4" t="s">
        <v>15</v>
      </c>
      <c r="C587" s="5">
        <v>29.125628140703999</v>
      </c>
      <c r="D587" s="5">
        <v>1000</v>
      </c>
      <c r="E587" s="4" t="s">
        <v>13</v>
      </c>
      <c r="F587" s="5">
        <v>3</v>
      </c>
      <c r="G587" s="5">
        <v>0</v>
      </c>
      <c r="H587" s="4" t="s">
        <v>488</v>
      </c>
      <c r="I587" s="4" t="s">
        <v>1234</v>
      </c>
      <c r="J587" s="4" t="s">
        <v>1235</v>
      </c>
      <c r="K587" s="4" t="s">
        <v>10</v>
      </c>
      <c r="L587" s="4" t="s">
        <v>487</v>
      </c>
      <c r="M587" s="5">
        <v>0</v>
      </c>
      <c r="N587" s="4" t="s">
        <v>1241</v>
      </c>
    </row>
    <row r="588" spans="1:14" x14ac:dyDescent="0.15">
      <c r="A588" s="4" t="s">
        <v>237</v>
      </c>
      <c r="B588" s="4" t="s">
        <v>23</v>
      </c>
      <c r="C588" s="5">
        <v>72.814070351759</v>
      </c>
      <c r="D588" s="5">
        <v>1000</v>
      </c>
      <c r="E588" s="4" t="s">
        <v>13</v>
      </c>
      <c r="F588" s="5">
        <v>3</v>
      </c>
      <c r="G588" s="5">
        <v>0</v>
      </c>
      <c r="H588" s="4" t="s">
        <v>488</v>
      </c>
      <c r="I588" s="4" t="s">
        <v>1234</v>
      </c>
      <c r="J588" s="4" t="s">
        <v>1235</v>
      </c>
      <c r="K588" s="4" t="s">
        <v>10</v>
      </c>
      <c r="L588" s="4" t="s">
        <v>487</v>
      </c>
      <c r="M588" s="5">
        <v>0</v>
      </c>
      <c r="N588" s="4" t="s">
        <v>1241</v>
      </c>
    </row>
    <row r="589" spans="1:14" x14ac:dyDescent="0.15">
      <c r="A589" s="4" t="s">
        <v>237</v>
      </c>
      <c r="B589" s="4" t="s">
        <v>24</v>
      </c>
      <c r="C589" s="5">
        <v>29.125628140703999</v>
      </c>
      <c r="D589" s="5">
        <v>1000</v>
      </c>
      <c r="E589" s="4" t="s">
        <v>13</v>
      </c>
      <c r="F589" s="5">
        <v>3</v>
      </c>
      <c r="G589" s="5">
        <v>0</v>
      </c>
      <c r="H589" s="4" t="s">
        <v>488</v>
      </c>
      <c r="I589" s="4" t="s">
        <v>1234</v>
      </c>
      <c r="J589" s="4" t="s">
        <v>1235</v>
      </c>
      <c r="K589" s="4" t="s">
        <v>10</v>
      </c>
      <c r="L589" s="4" t="s">
        <v>487</v>
      </c>
      <c r="M589" s="5">
        <v>0</v>
      </c>
      <c r="N589" s="4" t="s">
        <v>1241</v>
      </c>
    </row>
    <row r="590" spans="1:14" x14ac:dyDescent="0.15">
      <c r="A590" s="4" t="s">
        <v>237</v>
      </c>
      <c r="B590" s="4" t="s">
        <v>17</v>
      </c>
      <c r="C590" s="5">
        <v>2.564102564103</v>
      </c>
      <c r="D590" s="5">
        <v>1000</v>
      </c>
      <c r="E590" s="4" t="s">
        <v>18</v>
      </c>
      <c r="F590" s="5">
        <v>0</v>
      </c>
      <c r="G590" s="5">
        <v>0</v>
      </c>
      <c r="H590" s="4" t="s">
        <v>488</v>
      </c>
      <c r="I590" s="4" t="s">
        <v>1234</v>
      </c>
      <c r="J590" s="4" t="s">
        <v>1235</v>
      </c>
      <c r="K590" s="4" t="s">
        <v>10</v>
      </c>
      <c r="L590" s="4" t="s">
        <v>487</v>
      </c>
      <c r="M590" s="5">
        <v>0</v>
      </c>
      <c r="N590" s="4" t="s">
        <v>1241</v>
      </c>
    </row>
    <row r="591" spans="1:14" x14ac:dyDescent="0.15">
      <c r="A591" s="4" t="s">
        <v>237</v>
      </c>
      <c r="B591" s="4" t="s">
        <v>19</v>
      </c>
      <c r="C591" s="5">
        <v>5</v>
      </c>
      <c r="D591" s="5">
        <v>1</v>
      </c>
      <c r="E591" s="4" t="s">
        <v>18</v>
      </c>
      <c r="F591" s="5">
        <v>0</v>
      </c>
      <c r="G591" s="5">
        <v>0</v>
      </c>
      <c r="H591" s="4" t="s">
        <v>488</v>
      </c>
      <c r="I591" s="4" t="s">
        <v>1236</v>
      </c>
      <c r="J591" s="4" t="s">
        <v>1235</v>
      </c>
      <c r="K591" s="4" t="s">
        <v>10</v>
      </c>
      <c r="L591" s="4" t="s">
        <v>487</v>
      </c>
      <c r="M591" s="5">
        <v>0</v>
      </c>
      <c r="N591" s="4" t="s">
        <v>1241</v>
      </c>
    </row>
    <row r="592" spans="1:14" x14ac:dyDescent="0.15">
      <c r="A592" s="4" t="s">
        <v>240</v>
      </c>
      <c r="B592" s="4" t="s">
        <v>241</v>
      </c>
      <c r="C592" s="5">
        <v>1</v>
      </c>
      <c r="D592" s="5">
        <v>1</v>
      </c>
      <c r="E592" s="4" t="s">
        <v>9</v>
      </c>
      <c r="F592" s="5">
        <v>0</v>
      </c>
      <c r="G592" s="5">
        <v>0</v>
      </c>
      <c r="H592" s="4" t="s">
        <v>488</v>
      </c>
      <c r="I592" s="4" t="s">
        <v>1234</v>
      </c>
      <c r="J592" s="4" t="s">
        <v>1235</v>
      </c>
      <c r="K592" s="4" t="s">
        <v>10</v>
      </c>
      <c r="L592" s="4" t="s">
        <v>487</v>
      </c>
      <c r="M592" s="5">
        <v>0</v>
      </c>
      <c r="N592" s="4" t="s">
        <v>1241</v>
      </c>
    </row>
    <row r="593" spans="1:14" x14ac:dyDescent="0.15">
      <c r="A593" s="4" t="s">
        <v>242</v>
      </c>
      <c r="B593" s="4" t="s">
        <v>241</v>
      </c>
      <c r="C593" s="5">
        <v>2</v>
      </c>
      <c r="D593" s="5">
        <v>1</v>
      </c>
      <c r="E593" s="4" t="s">
        <v>9</v>
      </c>
      <c r="F593" s="5">
        <v>0</v>
      </c>
      <c r="G593" s="5">
        <v>0</v>
      </c>
      <c r="H593" s="4" t="s">
        <v>488</v>
      </c>
      <c r="I593" s="4" t="s">
        <v>1234</v>
      </c>
      <c r="J593" s="4" t="s">
        <v>1235</v>
      </c>
      <c r="K593" s="4" t="s">
        <v>10</v>
      </c>
      <c r="L593" s="4" t="s">
        <v>487</v>
      </c>
      <c r="M593" s="5">
        <v>0</v>
      </c>
      <c r="N593" s="4" t="s">
        <v>1241</v>
      </c>
    </row>
    <row r="594" spans="1:14" x14ac:dyDescent="0.15">
      <c r="A594" s="4" t="s">
        <v>243</v>
      </c>
      <c r="B594" s="4" t="s">
        <v>241</v>
      </c>
      <c r="C594" s="5">
        <v>500</v>
      </c>
      <c r="D594" s="5">
        <v>1000</v>
      </c>
      <c r="E594" s="4" t="s">
        <v>9</v>
      </c>
      <c r="F594" s="5">
        <v>0</v>
      </c>
      <c r="G594" s="5">
        <v>0</v>
      </c>
      <c r="H594" s="4" t="s">
        <v>488</v>
      </c>
      <c r="I594" s="4" t="s">
        <v>1234</v>
      </c>
      <c r="J594" s="4" t="s">
        <v>1235</v>
      </c>
      <c r="K594" s="4" t="s">
        <v>10</v>
      </c>
      <c r="L594" s="4" t="s">
        <v>487</v>
      </c>
      <c r="M594" s="5">
        <v>0</v>
      </c>
      <c r="N594" s="4" t="s">
        <v>1241</v>
      </c>
    </row>
    <row r="595" spans="1:14" x14ac:dyDescent="0.15">
      <c r="A595" s="4" t="s">
        <v>241</v>
      </c>
      <c r="B595" s="4" t="s">
        <v>22</v>
      </c>
      <c r="C595" s="5">
        <v>8</v>
      </c>
      <c r="D595" s="5">
        <v>1</v>
      </c>
      <c r="E595" s="4" t="s">
        <v>9</v>
      </c>
      <c r="F595" s="5">
        <v>3</v>
      </c>
      <c r="G595" s="5">
        <v>0</v>
      </c>
      <c r="H595" s="4" t="s">
        <v>488</v>
      </c>
      <c r="I595" s="4" t="s">
        <v>1234</v>
      </c>
      <c r="J595" s="4" t="s">
        <v>1235</v>
      </c>
      <c r="K595" s="4" t="s">
        <v>10</v>
      </c>
      <c r="L595" s="4" t="s">
        <v>487</v>
      </c>
      <c r="M595" s="5">
        <v>0</v>
      </c>
      <c r="N595" s="4" t="s">
        <v>1241</v>
      </c>
    </row>
    <row r="596" spans="1:14" x14ac:dyDescent="0.15">
      <c r="A596" s="4" t="s">
        <v>241</v>
      </c>
      <c r="B596" s="4" t="s">
        <v>33</v>
      </c>
      <c r="C596" s="5">
        <v>1</v>
      </c>
      <c r="D596" s="5">
        <v>1</v>
      </c>
      <c r="E596" s="4" t="s">
        <v>9</v>
      </c>
      <c r="F596" s="5">
        <v>3</v>
      </c>
      <c r="G596" s="5">
        <v>0</v>
      </c>
      <c r="H596" s="4" t="s">
        <v>488</v>
      </c>
      <c r="I596" s="4" t="s">
        <v>1234</v>
      </c>
      <c r="J596" s="4" t="s">
        <v>1235</v>
      </c>
      <c r="K596" s="4" t="s">
        <v>10</v>
      </c>
      <c r="L596" s="4" t="s">
        <v>487</v>
      </c>
      <c r="M596" s="5">
        <v>0</v>
      </c>
      <c r="N596" s="4" t="s">
        <v>1241</v>
      </c>
    </row>
    <row r="597" spans="1:14" x14ac:dyDescent="0.15">
      <c r="A597" s="4" t="s">
        <v>241</v>
      </c>
      <c r="B597" s="4" t="s">
        <v>12</v>
      </c>
      <c r="C597" s="5">
        <v>2.4756783919599998</v>
      </c>
      <c r="D597" s="5">
        <v>1</v>
      </c>
      <c r="E597" s="4" t="s">
        <v>13</v>
      </c>
      <c r="F597" s="5">
        <v>3</v>
      </c>
      <c r="G597" s="5">
        <v>0</v>
      </c>
      <c r="H597" s="4" t="s">
        <v>488</v>
      </c>
      <c r="I597" s="4" t="s">
        <v>1234</v>
      </c>
      <c r="J597" s="4" t="s">
        <v>1235</v>
      </c>
      <c r="K597" s="4" t="s">
        <v>10</v>
      </c>
      <c r="L597" s="4" t="s">
        <v>487</v>
      </c>
      <c r="M597" s="5">
        <v>0</v>
      </c>
      <c r="N597" s="4" t="s">
        <v>1241</v>
      </c>
    </row>
    <row r="598" spans="1:14" x14ac:dyDescent="0.15">
      <c r="A598" s="4" t="s">
        <v>241</v>
      </c>
      <c r="B598" s="4" t="s">
        <v>14</v>
      </c>
      <c r="C598" s="5">
        <v>2.7507537688439996</v>
      </c>
      <c r="D598" s="5">
        <v>1</v>
      </c>
      <c r="E598" s="4" t="s">
        <v>13</v>
      </c>
      <c r="F598" s="5">
        <v>3</v>
      </c>
      <c r="G598" s="5">
        <v>0</v>
      </c>
      <c r="H598" s="4" t="s">
        <v>488</v>
      </c>
      <c r="I598" s="4" t="s">
        <v>1234</v>
      </c>
      <c r="J598" s="4" t="s">
        <v>1235</v>
      </c>
      <c r="K598" s="4" t="s">
        <v>10</v>
      </c>
      <c r="L598" s="4" t="s">
        <v>487</v>
      </c>
      <c r="M598" s="5">
        <v>0</v>
      </c>
      <c r="N598" s="4" t="s">
        <v>1241</v>
      </c>
    </row>
    <row r="599" spans="1:14" x14ac:dyDescent="0.15">
      <c r="A599" s="4" t="s">
        <v>241</v>
      </c>
      <c r="B599" s="4" t="s">
        <v>15</v>
      </c>
      <c r="C599" s="5">
        <v>55.015075376883999</v>
      </c>
      <c r="D599" s="5">
        <v>1000</v>
      </c>
      <c r="E599" s="4" t="s">
        <v>13</v>
      </c>
      <c r="F599" s="5">
        <v>3</v>
      </c>
      <c r="G599" s="5">
        <v>0</v>
      </c>
      <c r="H599" s="4" t="s">
        <v>488</v>
      </c>
      <c r="I599" s="4" t="s">
        <v>1234</v>
      </c>
      <c r="J599" s="4" t="s">
        <v>1235</v>
      </c>
      <c r="K599" s="4" t="s">
        <v>10</v>
      </c>
      <c r="L599" s="4" t="s">
        <v>487</v>
      </c>
      <c r="M599" s="5">
        <v>0</v>
      </c>
      <c r="N599" s="4" t="s">
        <v>1241</v>
      </c>
    </row>
    <row r="600" spans="1:14" x14ac:dyDescent="0.15">
      <c r="A600" s="4" t="s">
        <v>241</v>
      </c>
      <c r="B600" s="4" t="s">
        <v>23</v>
      </c>
      <c r="C600" s="5">
        <v>0.13753768844200001</v>
      </c>
      <c r="D600" s="5">
        <v>1</v>
      </c>
      <c r="E600" s="4" t="s">
        <v>13</v>
      </c>
      <c r="F600" s="5">
        <v>3</v>
      </c>
      <c r="G600" s="5">
        <v>0</v>
      </c>
      <c r="H600" s="4" t="s">
        <v>488</v>
      </c>
      <c r="I600" s="4" t="s">
        <v>1234</v>
      </c>
      <c r="J600" s="4" t="s">
        <v>1235</v>
      </c>
      <c r="K600" s="4" t="s">
        <v>10</v>
      </c>
      <c r="L600" s="4" t="s">
        <v>487</v>
      </c>
      <c r="M600" s="5">
        <v>0</v>
      </c>
      <c r="N600" s="4" t="s">
        <v>1241</v>
      </c>
    </row>
    <row r="601" spans="1:14" x14ac:dyDescent="0.15">
      <c r="A601" s="4" t="s">
        <v>241</v>
      </c>
      <c r="B601" s="4" t="s">
        <v>24</v>
      </c>
      <c r="C601" s="5">
        <v>55.015075376883999</v>
      </c>
      <c r="D601" s="5">
        <v>1000</v>
      </c>
      <c r="E601" s="4" t="s">
        <v>13</v>
      </c>
      <c r="F601" s="5">
        <v>3</v>
      </c>
      <c r="G601" s="5">
        <v>0</v>
      </c>
      <c r="H601" s="4" t="s">
        <v>488</v>
      </c>
      <c r="I601" s="4" t="s">
        <v>1234</v>
      </c>
      <c r="J601" s="4" t="s">
        <v>1235</v>
      </c>
      <c r="K601" s="4" t="s">
        <v>10</v>
      </c>
      <c r="L601" s="4" t="s">
        <v>487</v>
      </c>
      <c r="M601" s="5">
        <v>0</v>
      </c>
      <c r="N601" s="4" t="s">
        <v>1241</v>
      </c>
    </row>
    <row r="602" spans="1:14" x14ac:dyDescent="0.15">
      <c r="A602" s="4" t="s">
        <v>241</v>
      </c>
      <c r="B602" s="4" t="s">
        <v>17</v>
      </c>
      <c r="C602" s="5">
        <v>7.2463768115939997</v>
      </c>
      <c r="D602" s="5">
        <v>1000</v>
      </c>
      <c r="E602" s="4" t="s">
        <v>18</v>
      </c>
      <c r="F602" s="5">
        <v>0</v>
      </c>
      <c r="G602" s="5">
        <v>0</v>
      </c>
      <c r="H602" s="4" t="s">
        <v>488</v>
      </c>
      <c r="I602" s="4" t="s">
        <v>1234</v>
      </c>
      <c r="J602" s="4" t="s">
        <v>1235</v>
      </c>
      <c r="K602" s="4" t="s">
        <v>10</v>
      </c>
      <c r="L602" s="4" t="s">
        <v>487</v>
      </c>
      <c r="M602" s="5">
        <v>0</v>
      </c>
      <c r="N602" s="4" t="s">
        <v>1241</v>
      </c>
    </row>
    <row r="603" spans="1:14" x14ac:dyDescent="0.15">
      <c r="A603" s="4" t="s">
        <v>241</v>
      </c>
      <c r="B603" s="4" t="s">
        <v>19</v>
      </c>
      <c r="C603" s="5">
        <v>4</v>
      </c>
      <c r="D603" s="5">
        <v>1</v>
      </c>
      <c r="E603" s="4" t="s">
        <v>18</v>
      </c>
      <c r="F603" s="5">
        <v>0</v>
      </c>
      <c r="G603" s="5">
        <v>0</v>
      </c>
      <c r="H603" s="4" t="s">
        <v>488</v>
      </c>
      <c r="I603" s="4" t="s">
        <v>1236</v>
      </c>
      <c r="J603" s="4" t="s">
        <v>1235</v>
      </c>
      <c r="K603" s="4" t="s">
        <v>10</v>
      </c>
      <c r="L603" s="4" t="s">
        <v>487</v>
      </c>
      <c r="M603" s="5">
        <v>0</v>
      </c>
      <c r="N603" s="4" t="s">
        <v>1241</v>
      </c>
    </row>
    <row r="604" spans="1:14" x14ac:dyDescent="0.15">
      <c r="A604" s="4" t="s">
        <v>244</v>
      </c>
      <c r="B604" s="4" t="s">
        <v>245</v>
      </c>
      <c r="C604" s="5">
        <v>1</v>
      </c>
      <c r="D604" s="5">
        <v>1</v>
      </c>
      <c r="E604" s="4" t="s">
        <v>9</v>
      </c>
      <c r="F604" s="5">
        <v>0</v>
      </c>
      <c r="G604" s="5">
        <v>0</v>
      </c>
      <c r="H604" s="4" t="s">
        <v>488</v>
      </c>
      <c r="I604" s="4" t="s">
        <v>1234</v>
      </c>
      <c r="J604" s="4" t="s">
        <v>1235</v>
      </c>
      <c r="K604" s="4" t="s">
        <v>10</v>
      </c>
      <c r="L604" s="4" t="s">
        <v>487</v>
      </c>
      <c r="M604" s="5">
        <v>0</v>
      </c>
      <c r="N604" s="4" t="s">
        <v>1241</v>
      </c>
    </row>
    <row r="605" spans="1:14" x14ac:dyDescent="0.15">
      <c r="A605" s="4" t="s">
        <v>246</v>
      </c>
      <c r="B605" s="4" t="s">
        <v>245</v>
      </c>
      <c r="C605" s="5">
        <v>2</v>
      </c>
      <c r="D605" s="5">
        <v>1</v>
      </c>
      <c r="E605" s="4" t="s">
        <v>9</v>
      </c>
      <c r="F605" s="5">
        <v>0</v>
      </c>
      <c r="G605" s="5">
        <v>0</v>
      </c>
      <c r="H605" s="4" t="s">
        <v>488</v>
      </c>
      <c r="I605" s="4" t="s">
        <v>1234</v>
      </c>
      <c r="J605" s="4" t="s">
        <v>1235</v>
      </c>
      <c r="K605" s="4" t="s">
        <v>10</v>
      </c>
      <c r="L605" s="4" t="s">
        <v>487</v>
      </c>
      <c r="M605" s="5">
        <v>0</v>
      </c>
      <c r="N605" s="4" t="s">
        <v>1241</v>
      </c>
    </row>
    <row r="606" spans="1:14" x14ac:dyDescent="0.15">
      <c r="A606" s="4" t="s">
        <v>247</v>
      </c>
      <c r="B606" s="4" t="s">
        <v>245</v>
      </c>
      <c r="C606" s="5">
        <v>500</v>
      </c>
      <c r="D606" s="5">
        <v>1000</v>
      </c>
      <c r="E606" s="4" t="s">
        <v>9</v>
      </c>
      <c r="F606" s="5">
        <v>0</v>
      </c>
      <c r="G606" s="5">
        <v>0</v>
      </c>
      <c r="H606" s="4" t="s">
        <v>488</v>
      </c>
      <c r="I606" s="4" t="s">
        <v>1234</v>
      </c>
      <c r="J606" s="4" t="s">
        <v>1235</v>
      </c>
      <c r="K606" s="4" t="s">
        <v>10</v>
      </c>
      <c r="L606" s="4" t="s">
        <v>487</v>
      </c>
      <c r="M606" s="5">
        <v>0</v>
      </c>
      <c r="N606" s="4" t="s">
        <v>1241</v>
      </c>
    </row>
    <row r="607" spans="1:14" x14ac:dyDescent="0.15">
      <c r="A607" s="4" t="s">
        <v>245</v>
      </c>
      <c r="B607" s="4" t="s">
        <v>22</v>
      </c>
      <c r="C607" s="5">
        <v>13</v>
      </c>
      <c r="D607" s="5">
        <v>1</v>
      </c>
      <c r="E607" s="4" t="s">
        <v>9</v>
      </c>
      <c r="F607" s="5">
        <v>3</v>
      </c>
      <c r="G607" s="5">
        <v>0</v>
      </c>
      <c r="H607" s="4" t="s">
        <v>488</v>
      </c>
      <c r="I607" s="4" t="s">
        <v>1234</v>
      </c>
      <c r="J607" s="4" t="s">
        <v>1235</v>
      </c>
      <c r="K607" s="4" t="s">
        <v>10</v>
      </c>
      <c r="L607" s="4" t="s">
        <v>487</v>
      </c>
      <c r="M607" s="5">
        <v>0</v>
      </c>
      <c r="N607" s="4" t="s">
        <v>1241</v>
      </c>
    </row>
    <row r="608" spans="1:14" x14ac:dyDescent="0.15">
      <c r="A608" s="4" t="s">
        <v>245</v>
      </c>
      <c r="B608" s="4" t="s">
        <v>12</v>
      </c>
      <c r="C608" s="5">
        <v>3.9046545226129998</v>
      </c>
      <c r="D608" s="5">
        <v>1</v>
      </c>
      <c r="E608" s="4" t="s">
        <v>13</v>
      </c>
      <c r="F608" s="5">
        <v>3</v>
      </c>
      <c r="G608" s="5">
        <v>0</v>
      </c>
      <c r="H608" s="4" t="s">
        <v>488</v>
      </c>
      <c r="I608" s="4" t="s">
        <v>1234</v>
      </c>
      <c r="J608" s="4" t="s">
        <v>1235</v>
      </c>
      <c r="K608" s="4" t="s">
        <v>10</v>
      </c>
      <c r="L608" s="4" t="s">
        <v>487</v>
      </c>
      <c r="M608" s="5">
        <v>0</v>
      </c>
      <c r="N608" s="4" t="s">
        <v>1241</v>
      </c>
    </row>
    <row r="609" spans="1:14" x14ac:dyDescent="0.15">
      <c r="A609" s="4" t="s">
        <v>245</v>
      </c>
      <c r="B609" s="4" t="s">
        <v>14</v>
      </c>
      <c r="C609" s="5">
        <v>4.3385050251259996</v>
      </c>
      <c r="D609" s="5">
        <v>1</v>
      </c>
      <c r="E609" s="4" t="s">
        <v>13</v>
      </c>
      <c r="F609" s="5">
        <v>3</v>
      </c>
      <c r="G609" s="5">
        <v>0</v>
      </c>
      <c r="H609" s="4" t="s">
        <v>488</v>
      </c>
      <c r="I609" s="4" t="s">
        <v>1234</v>
      </c>
      <c r="J609" s="4" t="s">
        <v>1235</v>
      </c>
      <c r="K609" s="4" t="s">
        <v>10</v>
      </c>
      <c r="L609" s="4" t="s">
        <v>487</v>
      </c>
      <c r="M609" s="5">
        <v>0</v>
      </c>
      <c r="N609" s="4" t="s">
        <v>1241</v>
      </c>
    </row>
    <row r="610" spans="1:14" x14ac:dyDescent="0.15">
      <c r="A610" s="4" t="s">
        <v>245</v>
      </c>
      <c r="B610" s="4" t="s">
        <v>15</v>
      </c>
      <c r="C610" s="5">
        <v>86.770100502513017</v>
      </c>
      <c r="D610" s="5">
        <v>1000</v>
      </c>
      <c r="E610" s="4" t="s">
        <v>13</v>
      </c>
      <c r="F610" s="5">
        <v>3</v>
      </c>
      <c r="G610" s="5">
        <v>0</v>
      </c>
      <c r="H610" s="4" t="s">
        <v>488</v>
      </c>
      <c r="I610" s="4" t="s">
        <v>1234</v>
      </c>
      <c r="J610" s="4" t="s">
        <v>1235</v>
      </c>
      <c r="K610" s="4" t="s">
        <v>10</v>
      </c>
      <c r="L610" s="4" t="s">
        <v>487</v>
      </c>
      <c r="M610" s="5">
        <v>0</v>
      </c>
      <c r="N610" s="4" t="s">
        <v>1241</v>
      </c>
    </row>
    <row r="611" spans="1:14" x14ac:dyDescent="0.15">
      <c r="A611" s="4" t="s">
        <v>245</v>
      </c>
      <c r="B611" s="4" t="s">
        <v>23</v>
      </c>
      <c r="C611" s="5">
        <v>0.21692525125600001</v>
      </c>
      <c r="D611" s="5">
        <v>1</v>
      </c>
      <c r="E611" s="4" t="s">
        <v>13</v>
      </c>
      <c r="F611" s="5">
        <v>3</v>
      </c>
      <c r="G611" s="5">
        <v>0</v>
      </c>
      <c r="H611" s="4" t="s">
        <v>488</v>
      </c>
      <c r="I611" s="4" t="s">
        <v>1234</v>
      </c>
      <c r="J611" s="4" t="s">
        <v>1235</v>
      </c>
      <c r="K611" s="4" t="s">
        <v>10</v>
      </c>
      <c r="L611" s="4" t="s">
        <v>487</v>
      </c>
      <c r="M611" s="5">
        <v>0</v>
      </c>
      <c r="N611" s="4" t="s">
        <v>1241</v>
      </c>
    </row>
    <row r="612" spans="1:14" x14ac:dyDescent="0.15">
      <c r="A612" s="4" t="s">
        <v>245</v>
      </c>
      <c r="B612" s="4" t="s">
        <v>24</v>
      </c>
      <c r="C612" s="5">
        <v>86.770100502513017</v>
      </c>
      <c r="D612" s="5">
        <v>1000</v>
      </c>
      <c r="E612" s="4" t="s">
        <v>13</v>
      </c>
      <c r="F612" s="5">
        <v>3</v>
      </c>
      <c r="G612" s="5">
        <v>0</v>
      </c>
      <c r="H612" s="4" t="s">
        <v>488</v>
      </c>
      <c r="I612" s="4" t="s">
        <v>1234</v>
      </c>
      <c r="J612" s="4" t="s">
        <v>1235</v>
      </c>
      <c r="K612" s="4" t="s">
        <v>10</v>
      </c>
      <c r="L612" s="4" t="s">
        <v>487</v>
      </c>
      <c r="M612" s="5">
        <v>0</v>
      </c>
      <c r="N612" s="4" t="s">
        <v>1241</v>
      </c>
    </row>
    <row r="613" spans="1:14" x14ac:dyDescent="0.15">
      <c r="A613" s="4" t="s">
        <v>245</v>
      </c>
      <c r="B613" s="4" t="s">
        <v>17</v>
      </c>
      <c r="C613" s="5">
        <v>8.3333333333330017</v>
      </c>
      <c r="D613" s="5">
        <v>1000</v>
      </c>
      <c r="E613" s="4" t="s">
        <v>18</v>
      </c>
      <c r="F613" s="5">
        <v>0</v>
      </c>
      <c r="G613" s="5">
        <v>0</v>
      </c>
      <c r="H613" s="4" t="s">
        <v>488</v>
      </c>
      <c r="I613" s="4" t="s">
        <v>1234</v>
      </c>
      <c r="J613" s="4" t="s">
        <v>1235</v>
      </c>
      <c r="K613" s="4" t="s">
        <v>10</v>
      </c>
      <c r="L613" s="4" t="s">
        <v>487</v>
      </c>
      <c r="M613" s="5">
        <v>0</v>
      </c>
      <c r="N613" s="4" t="s">
        <v>1241</v>
      </c>
    </row>
    <row r="614" spans="1:14" x14ac:dyDescent="0.15">
      <c r="A614" s="4" t="s">
        <v>245</v>
      </c>
      <c r="B614" s="4" t="s">
        <v>19</v>
      </c>
      <c r="C614" s="5">
        <v>4</v>
      </c>
      <c r="D614" s="5">
        <v>1</v>
      </c>
      <c r="E614" s="4" t="s">
        <v>18</v>
      </c>
      <c r="F614" s="5">
        <v>0</v>
      </c>
      <c r="G614" s="5">
        <v>0</v>
      </c>
      <c r="H614" s="4" t="s">
        <v>488</v>
      </c>
      <c r="I614" s="4" t="s">
        <v>1236</v>
      </c>
      <c r="J614" s="4" t="s">
        <v>1235</v>
      </c>
      <c r="K614" s="4" t="s">
        <v>10</v>
      </c>
      <c r="L614" s="4" t="s">
        <v>487</v>
      </c>
      <c r="M614" s="5">
        <v>0</v>
      </c>
      <c r="N614" s="4" t="s">
        <v>1241</v>
      </c>
    </row>
    <row r="615" spans="1:14" x14ac:dyDescent="0.15">
      <c r="A615" s="4" t="s">
        <v>248</v>
      </c>
      <c r="B615" s="4" t="s">
        <v>249</v>
      </c>
      <c r="C615" s="5">
        <v>1</v>
      </c>
      <c r="D615" s="5">
        <v>1</v>
      </c>
      <c r="E615" s="4" t="s">
        <v>9</v>
      </c>
      <c r="F615" s="5">
        <v>0</v>
      </c>
      <c r="G615" s="5">
        <v>0</v>
      </c>
      <c r="H615" s="4" t="s">
        <v>488</v>
      </c>
      <c r="I615" s="4" t="s">
        <v>1234</v>
      </c>
      <c r="J615" s="4" t="s">
        <v>1235</v>
      </c>
      <c r="K615" s="4" t="s">
        <v>10</v>
      </c>
      <c r="L615" s="4" t="s">
        <v>487</v>
      </c>
      <c r="M615" s="5">
        <v>0</v>
      </c>
      <c r="N615" s="4" t="s">
        <v>1241</v>
      </c>
    </row>
    <row r="616" spans="1:14" x14ac:dyDescent="0.15">
      <c r="A616" s="4" t="s">
        <v>250</v>
      </c>
      <c r="B616" s="4" t="s">
        <v>249</v>
      </c>
      <c r="C616" s="5">
        <v>2</v>
      </c>
      <c r="D616" s="5">
        <v>1</v>
      </c>
      <c r="E616" s="4" t="s">
        <v>9</v>
      </c>
      <c r="F616" s="5">
        <v>0</v>
      </c>
      <c r="G616" s="5">
        <v>0</v>
      </c>
      <c r="H616" s="4" t="s">
        <v>488</v>
      </c>
      <c r="I616" s="4" t="s">
        <v>1234</v>
      </c>
      <c r="J616" s="4" t="s">
        <v>1235</v>
      </c>
      <c r="K616" s="4" t="s">
        <v>10</v>
      </c>
      <c r="L616" s="4" t="s">
        <v>487</v>
      </c>
      <c r="M616" s="5">
        <v>0</v>
      </c>
      <c r="N616" s="4" t="s">
        <v>1241</v>
      </c>
    </row>
    <row r="617" spans="1:14" x14ac:dyDescent="0.15">
      <c r="A617" s="4" t="s">
        <v>251</v>
      </c>
      <c r="B617" s="4" t="s">
        <v>249</v>
      </c>
      <c r="C617" s="5">
        <v>500</v>
      </c>
      <c r="D617" s="5">
        <v>1000</v>
      </c>
      <c r="E617" s="4" t="s">
        <v>9</v>
      </c>
      <c r="F617" s="5">
        <v>0</v>
      </c>
      <c r="G617" s="5">
        <v>0</v>
      </c>
      <c r="H617" s="4" t="s">
        <v>488</v>
      </c>
      <c r="I617" s="4" t="s">
        <v>1234</v>
      </c>
      <c r="J617" s="4" t="s">
        <v>1235</v>
      </c>
      <c r="K617" s="4" t="s">
        <v>10</v>
      </c>
      <c r="L617" s="4" t="s">
        <v>487</v>
      </c>
      <c r="M617" s="5">
        <v>0</v>
      </c>
      <c r="N617" s="4" t="s">
        <v>1241</v>
      </c>
    </row>
    <row r="618" spans="1:14" x14ac:dyDescent="0.15">
      <c r="A618" s="4" t="s">
        <v>249</v>
      </c>
      <c r="B618" s="4" t="s">
        <v>22</v>
      </c>
      <c r="C618" s="5">
        <v>20</v>
      </c>
      <c r="D618" s="5">
        <v>1</v>
      </c>
      <c r="E618" s="4" t="s">
        <v>9</v>
      </c>
      <c r="F618" s="5">
        <v>3</v>
      </c>
      <c r="G618" s="5">
        <v>0</v>
      </c>
      <c r="H618" s="4" t="s">
        <v>488</v>
      </c>
      <c r="I618" s="4" t="s">
        <v>1234</v>
      </c>
      <c r="J618" s="4" t="s">
        <v>1235</v>
      </c>
      <c r="K618" s="4" t="s">
        <v>10</v>
      </c>
      <c r="L618" s="4" t="s">
        <v>487</v>
      </c>
      <c r="M618" s="5">
        <v>0</v>
      </c>
      <c r="N618" s="4" t="s">
        <v>1241</v>
      </c>
    </row>
    <row r="619" spans="1:14" x14ac:dyDescent="0.15">
      <c r="A619" s="4" t="s">
        <v>249</v>
      </c>
      <c r="B619" s="4" t="s">
        <v>12</v>
      </c>
      <c r="C619" s="5">
        <v>6.0071608040199997</v>
      </c>
      <c r="D619" s="5">
        <v>1</v>
      </c>
      <c r="E619" s="4" t="s">
        <v>13</v>
      </c>
      <c r="F619" s="5">
        <v>3</v>
      </c>
      <c r="G619" s="5">
        <v>0</v>
      </c>
      <c r="H619" s="4" t="s">
        <v>488</v>
      </c>
      <c r="I619" s="4" t="s">
        <v>1234</v>
      </c>
      <c r="J619" s="4" t="s">
        <v>1235</v>
      </c>
      <c r="K619" s="4" t="s">
        <v>10</v>
      </c>
      <c r="L619" s="4" t="s">
        <v>487</v>
      </c>
      <c r="M619" s="5">
        <v>0</v>
      </c>
      <c r="N619" s="4" t="s">
        <v>1241</v>
      </c>
    </row>
    <row r="620" spans="1:14" x14ac:dyDescent="0.15">
      <c r="A620" s="4" t="s">
        <v>249</v>
      </c>
      <c r="B620" s="4" t="s">
        <v>14</v>
      </c>
      <c r="C620" s="5">
        <v>6.6746231155780009</v>
      </c>
      <c r="D620" s="5">
        <v>1</v>
      </c>
      <c r="E620" s="4" t="s">
        <v>13</v>
      </c>
      <c r="F620" s="5">
        <v>3</v>
      </c>
      <c r="G620" s="5">
        <v>0</v>
      </c>
      <c r="H620" s="4" t="s">
        <v>488</v>
      </c>
      <c r="I620" s="4" t="s">
        <v>1234</v>
      </c>
      <c r="J620" s="4" t="s">
        <v>1235</v>
      </c>
      <c r="K620" s="4" t="s">
        <v>10</v>
      </c>
      <c r="L620" s="4" t="s">
        <v>487</v>
      </c>
      <c r="M620" s="5">
        <v>0</v>
      </c>
      <c r="N620" s="4" t="s">
        <v>1241</v>
      </c>
    </row>
    <row r="621" spans="1:14" x14ac:dyDescent="0.15">
      <c r="A621" s="4" t="s">
        <v>249</v>
      </c>
      <c r="B621" s="4" t="s">
        <v>15</v>
      </c>
      <c r="C621" s="5">
        <v>0.13349246231199999</v>
      </c>
      <c r="D621" s="5">
        <v>1</v>
      </c>
      <c r="E621" s="4" t="s">
        <v>13</v>
      </c>
      <c r="F621" s="5">
        <v>3</v>
      </c>
      <c r="G621" s="5">
        <v>0</v>
      </c>
      <c r="H621" s="4" t="s">
        <v>488</v>
      </c>
      <c r="I621" s="4" t="s">
        <v>1234</v>
      </c>
      <c r="J621" s="4" t="s">
        <v>1235</v>
      </c>
      <c r="K621" s="4" t="s">
        <v>10</v>
      </c>
      <c r="L621" s="4" t="s">
        <v>487</v>
      </c>
      <c r="M621" s="5">
        <v>0</v>
      </c>
      <c r="N621" s="4" t="s">
        <v>1241</v>
      </c>
    </row>
    <row r="622" spans="1:14" x14ac:dyDescent="0.15">
      <c r="A622" s="4" t="s">
        <v>249</v>
      </c>
      <c r="B622" s="4" t="s">
        <v>23</v>
      </c>
      <c r="C622" s="5">
        <v>0.33373115577899998</v>
      </c>
      <c r="D622" s="5">
        <v>1</v>
      </c>
      <c r="E622" s="4" t="s">
        <v>13</v>
      </c>
      <c r="F622" s="5">
        <v>3</v>
      </c>
      <c r="G622" s="5">
        <v>0</v>
      </c>
      <c r="H622" s="4" t="s">
        <v>488</v>
      </c>
      <c r="I622" s="4" t="s">
        <v>1234</v>
      </c>
      <c r="J622" s="4" t="s">
        <v>1235</v>
      </c>
      <c r="K622" s="4" t="s">
        <v>10</v>
      </c>
      <c r="L622" s="4" t="s">
        <v>487</v>
      </c>
      <c r="M622" s="5">
        <v>0</v>
      </c>
      <c r="N622" s="4" t="s">
        <v>1241</v>
      </c>
    </row>
    <row r="623" spans="1:14" x14ac:dyDescent="0.15">
      <c r="A623" s="4" t="s">
        <v>249</v>
      </c>
      <c r="B623" s="4" t="s">
        <v>24</v>
      </c>
      <c r="C623" s="5">
        <v>0.13349246231199999</v>
      </c>
      <c r="D623" s="5">
        <v>1</v>
      </c>
      <c r="E623" s="4" t="s">
        <v>13</v>
      </c>
      <c r="F623" s="5">
        <v>3</v>
      </c>
      <c r="G623" s="5">
        <v>0</v>
      </c>
      <c r="H623" s="4" t="s">
        <v>488</v>
      </c>
      <c r="I623" s="4" t="s">
        <v>1234</v>
      </c>
      <c r="J623" s="4" t="s">
        <v>1235</v>
      </c>
      <c r="K623" s="4" t="s">
        <v>10</v>
      </c>
      <c r="L623" s="4" t="s">
        <v>487</v>
      </c>
      <c r="M623" s="5">
        <v>0</v>
      </c>
      <c r="N623" s="4" t="s">
        <v>1241</v>
      </c>
    </row>
    <row r="624" spans="1:14" x14ac:dyDescent="0.15">
      <c r="A624" s="4" t="s">
        <v>249</v>
      </c>
      <c r="B624" s="4" t="s">
        <v>17</v>
      </c>
      <c r="C624" s="5">
        <v>6.9444444444440006</v>
      </c>
      <c r="D624" s="5">
        <v>1000</v>
      </c>
      <c r="E624" s="4" t="s">
        <v>18</v>
      </c>
      <c r="F624" s="5">
        <v>0</v>
      </c>
      <c r="G624" s="5">
        <v>0</v>
      </c>
      <c r="H624" s="4" t="s">
        <v>488</v>
      </c>
      <c r="I624" s="4" t="s">
        <v>1234</v>
      </c>
      <c r="J624" s="4" t="s">
        <v>1235</v>
      </c>
      <c r="K624" s="4" t="s">
        <v>10</v>
      </c>
      <c r="L624" s="4" t="s">
        <v>487</v>
      </c>
      <c r="M624" s="5">
        <v>0</v>
      </c>
      <c r="N624" s="4" t="s">
        <v>1241</v>
      </c>
    </row>
    <row r="625" spans="1:14" x14ac:dyDescent="0.15">
      <c r="A625" s="4" t="s">
        <v>249</v>
      </c>
      <c r="B625" s="4" t="s">
        <v>19</v>
      </c>
      <c r="C625" s="5">
        <v>4</v>
      </c>
      <c r="D625" s="5">
        <v>1</v>
      </c>
      <c r="E625" s="4" t="s">
        <v>18</v>
      </c>
      <c r="F625" s="5">
        <v>0</v>
      </c>
      <c r="G625" s="5">
        <v>0</v>
      </c>
      <c r="H625" s="4" t="s">
        <v>488</v>
      </c>
      <c r="I625" s="4" t="s">
        <v>1236</v>
      </c>
      <c r="J625" s="4" t="s">
        <v>1235</v>
      </c>
      <c r="K625" s="4" t="s">
        <v>10</v>
      </c>
      <c r="L625" s="4" t="s">
        <v>487</v>
      </c>
      <c r="M625" s="5">
        <v>0</v>
      </c>
      <c r="N625" s="4" t="s">
        <v>1241</v>
      </c>
    </row>
    <row r="626" spans="1:14" x14ac:dyDescent="0.15">
      <c r="A626" s="4" t="s">
        <v>252</v>
      </c>
      <c r="B626" s="4" t="s">
        <v>253</v>
      </c>
      <c r="C626" s="5">
        <v>1</v>
      </c>
      <c r="D626" s="5">
        <v>1</v>
      </c>
      <c r="E626" s="4" t="s">
        <v>9</v>
      </c>
      <c r="F626" s="5">
        <v>0</v>
      </c>
      <c r="G626" s="5">
        <v>0</v>
      </c>
      <c r="H626" s="4" t="s">
        <v>488</v>
      </c>
      <c r="I626" s="4" t="s">
        <v>1234</v>
      </c>
      <c r="J626" s="4" t="s">
        <v>1235</v>
      </c>
      <c r="K626" s="4" t="s">
        <v>10</v>
      </c>
      <c r="L626" s="4" t="s">
        <v>487</v>
      </c>
      <c r="M626" s="5">
        <v>0</v>
      </c>
      <c r="N626" s="4" t="s">
        <v>1241</v>
      </c>
    </row>
    <row r="627" spans="1:14" x14ac:dyDescent="0.15">
      <c r="A627" s="4" t="s">
        <v>254</v>
      </c>
      <c r="B627" s="4" t="s">
        <v>253</v>
      </c>
      <c r="C627" s="5">
        <v>2</v>
      </c>
      <c r="D627" s="5">
        <v>1</v>
      </c>
      <c r="E627" s="4" t="s">
        <v>9</v>
      </c>
      <c r="F627" s="5">
        <v>0</v>
      </c>
      <c r="G627" s="5">
        <v>0</v>
      </c>
      <c r="H627" s="4" t="s">
        <v>488</v>
      </c>
      <c r="I627" s="4" t="s">
        <v>1234</v>
      </c>
      <c r="J627" s="4" t="s">
        <v>1235</v>
      </c>
      <c r="K627" s="4" t="s">
        <v>10</v>
      </c>
      <c r="L627" s="4" t="s">
        <v>487</v>
      </c>
      <c r="M627" s="5">
        <v>0</v>
      </c>
      <c r="N627" s="4" t="s">
        <v>1241</v>
      </c>
    </row>
    <row r="628" spans="1:14" x14ac:dyDescent="0.15">
      <c r="A628" s="4" t="s">
        <v>255</v>
      </c>
      <c r="B628" s="4" t="s">
        <v>253</v>
      </c>
      <c r="C628" s="5">
        <v>500</v>
      </c>
      <c r="D628" s="5">
        <v>1000</v>
      </c>
      <c r="E628" s="4" t="s">
        <v>9</v>
      </c>
      <c r="F628" s="5">
        <v>0</v>
      </c>
      <c r="G628" s="5">
        <v>0</v>
      </c>
      <c r="H628" s="4" t="s">
        <v>488</v>
      </c>
      <c r="I628" s="4" t="s">
        <v>1234</v>
      </c>
      <c r="J628" s="4" t="s">
        <v>1235</v>
      </c>
      <c r="K628" s="4" t="s">
        <v>10</v>
      </c>
      <c r="L628" s="4" t="s">
        <v>487</v>
      </c>
      <c r="M628" s="5">
        <v>0</v>
      </c>
      <c r="N628" s="4" t="s">
        <v>1241</v>
      </c>
    </row>
    <row r="629" spans="1:14" x14ac:dyDescent="0.15">
      <c r="A629" s="4" t="s">
        <v>253</v>
      </c>
      <c r="B629" s="4" t="s">
        <v>123</v>
      </c>
      <c r="C629" s="5">
        <v>26</v>
      </c>
      <c r="D629" s="5">
        <v>1</v>
      </c>
      <c r="E629" s="4" t="s">
        <v>9</v>
      </c>
      <c r="F629" s="5">
        <v>3</v>
      </c>
      <c r="G629" s="5">
        <v>0</v>
      </c>
      <c r="H629" s="4" t="s">
        <v>488</v>
      </c>
      <c r="I629" s="4" t="s">
        <v>1234</v>
      </c>
      <c r="J629" s="4" t="s">
        <v>1235</v>
      </c>
      <c r="K629" s="4" t="s">
        <v>10</v>
      </c>
      <c r="L629" s="4" t="s">
        <v>487</v>
      </c>
      <c r="M629" s="5">
        <v>0</v>
      </c>
      <c r="N629" s="4" t="s">
        <v>1241</v>
      </c>
    </row>
    <row r="630" spans="1:14" x14ac:dyDescent="0.15">
      <c r="A630" s="4" t="s">
        <v>253</v>
      </c>
      <c r="B630" s="4" t="s">
        <v>12</v>
      </c>
      <c r="C630" s="5">
        <v>7.9276319095479995</v>
      </c>
      <c r="D630" s="5">
        <v>1</v>
      </c>
      <c r="E630" s="4" t="s">
        <v>13</v>
      </c>
      <c r="F630" s="5">
        <v>3</v>
      </c>
      <c r="G630" s="5">
        <v>0</v>
      </c>
      <c r="H630" s="4" t="s">
        <v>488</v>
      </c>
      <c r="I630" s="4" t="s">
        <v>1234</v>
      </c>
      <c r="J630" s="4" t="s">
        <v>1235</v>
      </c>
      <c r="K630" s="4" t="s">
        <v>10</v>
      </c>
      <c r="L630" s="4" t="s">
        <v>487</v>
      </c>
      <c r="M630" s="5">
        <v>0</v>
      </c>
      <c r="N630" s="4" t="s">
        <v>1241</v>
      </c>
    </row>
    <row r="631" spans="1:14" x14ac:dyDescent="0.15">
      <c r="A631" s="4" t="s">
        <v>253</v>
      </c>
      <c r="B631" s="4" t="s">
        <v>14</v>
      </c>
      <c r="C631" s="5">
        <v>8.8084798994969979</v>
      </c>
      <c r="D631" s="5">
        <v>1</v>
      </c>
      <c r="E631" s="4" t="s">
        <v>13</v>
      </c>
      <c r="F631" s="5">
        <v>3</v>
      </c>
      <c r="G631" s="5">
        <v>0</v>
      </c>
      <c r="H631" s="4" t="s">
        <v>488</v>
      </c>
      <c r="I631" s="4" t="s">
        <v>1234</v>
      </c>
      <c r="J631" s="4" t="s">
        <v>1235</v>
      </c>
      <c r="K631" s="4" t="s">
        <v>10</v>
      </c>
      <c r="L631" s="4" t="s">
        <v>487</v>
      </c>
      <c r="M631" s="5">
        <v>0</v>
      </c>
      <c r="N631" s="4" t="s">
        <v>1241</v>
      </c>
    </row>
    <row r="632" spans="1:14" x14ac:dyDescent="0.15">
      <c r="A632" s="4" t="s">
        <v>253</v>
      </c>
      <c r="B632" s="4" t="s">
        <v>15</v>
      </c>
      <c r="C632" s="5">
        <v>0.17616959799000001</v>
      </c>
      <c r="D632" s="5">
        <v>1</v>
      </c>
      <c r="E632" s="4" t="s">
        <v>13</v>
      </c>
      <c r="F632" s="5">
        <v>3</v>
      </c>
      <c r="G632" s="5">
        <v>0</v>
      </c>
      <c r="H632" s="4" t="s">
        <v>488</v>
      </c>
      <c r="I632" s="4" t="s">
        <v>1234</v>
      </c>
      <c r="J632" s="4" t="s">
        <v>1235</v>
      </c>
      <c r="K632" s="4" t="s">
        <v>10</v>
      </c>
      <c r="L632" s="4" t="s">
        <v>487</v>
      </c>
      <c r="M632" s="5">
        <v>0</v>
      </c>
      <c r="N632" s="4" t="s">
        <v>1241</v>
      </c>
    </row>
    <row r="633" spans="1:14" x14ac:dyDescent="0.15">
      <c r="A633" s="4" t="s">
        <v>253</v>
      </c>
      <c r="B633" s="4" t="s">
        <v>23</v>
      </c>
      <c r="C633" s="5">
        <v>0.44042399497500001</v>
      </c>
      <c r="D633" s="5">
        <v>1</v>
      </c>
      <c r="E633" s="4" t="s">
        <v>13</v>
      </c>
      <c r="F633" s="5">
        <v>3</v>
      </c>
      <c r="G633" s="5">
        <v>0</v>
      </c>
      <c r="H633" s="4" t="s">
        <v>488</v>
      </c>
      <c r="I633" s="4" t="s">
        <v>1234</v>
      </c>
      <c r="J633" s="4" t="s">
        <v>1235</v>
      </c>
      <c r="K633" s="4" t="s">
        <v>10</v>
      </c>
      <c r="L633" s="4" t="s">
        <v>487</v>
      </c>
      <c r="M633" s="5">
        <v>0</v>
      </c>
      <c r="N633" s="4" t="s">
        <v>1241</v>
      </c>
    </row>
    <row r="634" spans="1:14" x14ac:dyDescent="0.15">
      <c r="A634" s="4" t="s">
        <v>253</v>
      </c>
      <c r="B634" s="4" t="s">
        <v>24</v>
      </c>
      <c r="C634" s="5">
        <v>0.17616959799000001</v>
      </c>
      <c r="D634" s="5">
        <v>1</v>
      </c>
      <c r="E634" s="4" t="s">
        <v>13</v>
      </c>
      <c r="F634" s="5">
        <v>3</v>
      </c>
      <c r="G634" s="5">
        <v>0</v>
      </c>
      <c r="H634" s="4" t="s">
        <v>488</v>
      </c>
      <c r="I634" s="4" t="s">
        <v>1234</v>
      </c>
      <c r="J634" s="4" t="s">
        <v>1235</v>
      </c>
      <c r="K634" s="4" t="s">
        <v>10</v>
      </c>
      <c r="L634" s="4" t="s">
        <v>487</v>
      </c>
      <c r="M634" s="5">
        <v>0</v>
      </c>
      <c r="N634" s="4" t="s">
        <v>1241</v>
      </c>
    </row>
    <row r="635" spans="1:14" x14ac:dyDescent="0.15">
      <c r="A635" s="4" t="s">
        <v>253</v>
      </c>
      <c r="B635" s="4" t="s">
        <v>17</v>
      </c>
      <c r="C635" s="5">
        <v>15.873015873016</v>
      </c>
      <c r="D635" s="5">
        <v>1000</v>
      </c>
      <c r="E635" s="4" t="s">
        <v>18</v>
      </c>
      <c r="F635" s="5">
        <v>0</v>
      </c>
      <c r="G635" s="5">
        <v>0</v>
      </c>
      <c r="H635" s="4" t="s">
        <v>488</v>
      </c>
      <c r="I635" s="4" t="s">
        <v>1234</v>
      </c>
      <c r="J635" s="4" t="s">
        <v>1235</v>
      </c>
      <c r="K635" s="4" t="s">
        <v>10</v>
      </c>
      <c r="L635" s="4" t="s">
        <v>487</v>
      </c>
      <c r="M635" s="5">
        <v>0</v>
      </c>
      <c r="N635" s="4" t="s">
        <v>1241</v>
      </c>
    </row>
    <row r="636" spans="1:14" x14ac:dyDescent="0.15">
      <c r="A636" s="4" t="s">
        <v>253</v>
      </c>
      <c r="B636" s="4" t="s">
        <v>19</v>
      </c>
      <c r="C636" s="5">
        <v>4</v>
      </c>
      <c r="D636" s="5">
        <v>1</v>
      </c>
      <c r="E636" s="4" t="s">
        <v>18</v>
      </c>
      <c r="F636" s="5">
        <v>0</v>
      </c>
      <c r="G636" s="5">
        <v>0</v>
      </c>
      <c r="H636" s="4" t="s">
        <v>488</v>
      </c>
      <c r="I636" s="4" t="s">
        <v>1236</v>
      </c>
      <c r="J636" s="4" t="s">
        <v>1235</v>
      </c>
      <c r="K636" s="4" t="s">
        <v>10</v>
      </c>
      <c r="L636" s="4" t="s">
        <v>487</v>
      </c>
      <c r="M636" s="5">
        <v>0</v>
      </c>
      <c r="N636" s="4" t="s">
        <v>1241</v>
      </c>
    </row>
    <row r="637" spans="1:14" x14ac:dyDescent="0.15">
      <c r="A637" s="4" t="s">
        <v>256</v>
      </c>
      <c r="B637" s="4" t="s">
        <v>257</v>
      </c>
      <c r="C637" s="5">
        <v>1</v>
      </c>
      <c r="D637" s="5">
        <v>1</v>
      </c>
      <c r="E637" s="4" t="s">
        <v>9</v>
      </c>
      <c r="F637" s="5">
        <v>0</v>
      </c>
      <c r="G637" s="5">
        <v>0</v>
      </c>
      <c r="H637" s="4" t="s">
        <v>488</v>
      </c>
      <c r="I637" s="4" t="s">
        <v>1234</v>
      </c>
      <c r="J637" s="4" t="s">
        <v>1235</v>
      </c>
      <c r="K637" s="4" t="s">
        <v>10</v>
      </c>
      <c r="L637" s="4" t="s">
        <v>487</v>
      </c>
      <c r="M637" s="5">
        <v>0</v>
      </c>
      <c r="N637" s="4" t="s">
        <v>1241</v>
      </c>
    </row>
    <row r="638" spans="1:14" x14ac:dyDescent="0.15">
      <c r="A638" s="4" t="s">
        <v>258</v>
      </c>
      <c r="B638" s="4" t="s">
        <v>257</v>
      </c>
      <c r="C638" s="5">
        <v>2</v>
      </c>
      <c r="D638" s="5">
        <v>1</v>
      </c>
      <c r="E638" s="4" t="s">
        <v>9</v>
      </c>
      <c r="F638" s="5">
        <v>0</v>
      </c>
      <c r="G638" s="5">
        <v>0</v>
      </c>
      <c r="H638" s="4" t="s">
        <v>488</v>
      </c>
      <c r="I638" s="4" t="s">
        <v>1234</v>
      </c>
      <c r="J638" s="4" t="s">
        <v>1235</v>
      </c>
      <c r="K638" s="4" t="s">
        <v>10</v>
      </c>
      <c r="L638" s="4" t="s">
        <v>487</v>
      </c>
      <c r="M638" s="5">
        <v>0</v>
      </c>
      <c r="N638" s="4" t="s">
        <v>1241</v>
      </c>
    </row>
    <row r="639" spans="1:14" x14ac:dyDescent="0.15">
      <c r="A639" s="4" t="s">
        <v>259</v>
      </c>
      <c r="B639" s="4" t="s">
        <v>257</v>
      </c>
      <c r="C639" s="5">
        <v>500</v>
      </c>
      <c r="D639" s="5">
        <v>1000</v>
      </c>
      <c r="E639" s="4" t="s">
        <v>9</v>
      </c>
      <c r="F639" s="5">
        <v>0</v>
      </c>
      <c r="G639" s="5">
        <v>0</v>
      </c>
      <c r="H639" s="4" t="s">
        <v>488</v>
      </c>
      <c r="I639" s="4" t="s">
        <v>1234</v>
      </c>
      <c r="J639" s="4" t="s">
        <v>1235</v>
      </c>
      <c r="K639" s="4" t="s">
        <v>10</v>
      </c>
      <c r="L639" s="4" t="s">
        <v>487</v>
      </c>
      <c r="M639" s="5">
        <v>0</v>
      </c>
      <c r="N639" s="4" t="s">
        <v>1241</v>
      </c>
    </row>
    <row r="640" spans="1:14" x14ac:dyDescent="0.15">
      <c r="A640" s="4" t="s">
        <v>257</v>
      </c>
      <c r="B640" s="4" t="s">
        <v>123</v>
      </c>
      <c r="C640" s="5">
        <v>35</v>
      </c>
      <c r="D640" s="5">
        <v>1</v>
      </c>
      <c r="E640" s="4" t="s">
        <v>9</v>
      </c>
      <c r="F640" s="5">
        <v>3</v>
      </c>
      <c r="G640" s="5">
        <v>0</v>
      </c>
      <c r="H640" s="4" t="s">
        <v>488</v>
      </c>
      <c r="I640" s="4" t="s">
        <v>1234</v>
      </c>
      <c r="J640" s="4" t="s">
        <v>1235</v>
      </c>
      <c r="K640" s="4" t="s">
        <v>10</v>
      </c>
      <c r="L640" s="4" t="s">
        <v>487</v>
      </c>
      <c r="M640" s="5">
        <v>0</v>
      </c>
      <c r="N640" s="4" t="s">
        <v>1241</v>
      </c>
    </row>
    <row r="641" spans="1:14" x14ac:dyDescent="0.15">
      <c r="A641" s="4" t="s">
        <v>257</v>
      </c>
      <c r="B641" s="4" t="s">
        <v>12</v>
      </c>
      <c r="C641" s="5">
        <v>9.7942839195979996</v>
      </c>
      <c r="D641" s="5">
        <v>1</v>
      </c>
      <c r="E641" s="4" t="s">
        <v>13</v>
      </c>
      <c r="F641" s="5">
        <v>3</v>
      </c>
      <c r="G641" s="5">
        <v>0</v>
      </c>
      <c r="H641" s="4" t="s">
        <v>488</v>
      </c>
      <c r="I641" s="4" t="s">
        <v>1234</v>
      </c>
      <c r="J641" s="4" t="s">
        <v>1235</v>
      </c>
      <c r="K641" s="4" t="s">
        <v>10</v>
      </c>
      <c r="L641" s="4" t="s">
        <v>487</v>
      </c>
      <c r="M641" s="5">
        <v>0</v>
      </c>
      <c r="N641" s="4" t="s">
        <v>1241</v>
      </c>
    </row>
    <row r="642" spans="1:14" x14ac:dyDescent="0.15">
      <c r="A642" s="4" t="s">
        <v>257</v>
      </c>
      <c r="B642" s="4" t="s">
        <v>14</v>
      </c>
      <c r="C642" s="5">
        <v>10.882537688441998</v>
      </c>
      <c r="D642" s="5">
        <v>1</v>
      </c>
      <c r="E642" s="4" t="s">
        <v>13</v>
      </c>
      <c r="F642" s="5">
        <v>3</v>
      </c>
      <c r="G642" s="5">
        <v>0</v>
      </c>
      <c r="H642" s="4" t="s">
        <v>488</v>
      </c>
      <c r="I642" s="4" t="s">
        <v>1234</v>
      </c>
      <c r="J642" s="4" t="s">
        <v>1235</v>
      </c>
      <c r="K642" s="4" t="s">
        <v>10</v>
      </c>
      <c r="L642" s="4" t="s">
        <v>487</v>
      </c>
      <c r="M642" s="5">
        <v>0</v>
      </c>
      <c r="N642" s="4" t="s">
        <v>1241</v>
      </c>
    </row>
    <row r="643" spans="1:14" x14ac:dyDescent="0.15">
      <c r="A643" s="4" t="s">
        <v>257</v>
      </c>
      <c r="B643" s="4" t="s">
        <v>15</v>
      </c>
      <c r="C643" s="5">
        <v>0.217650753769</v>
      </c>
      <c r="D643" s="5">
        <v>1</v>
      </c>
      <c r="E643" s="4" t="s">
        <v>13</v>
      </c>
      <c r="F643" s="5">
        <v>3</v>
      </c>
      <c r="G643" s="5">
        <v>0</v>
      </c>
      <c r="H643" s="4" t="s">
        <v>488</v>
      </c>
      <c r="I643" s="4" t="s">
        <v>1234</v>
      </c>
      <c r="J643" s="4" t="s">
        <v>1235</v>
      </c>
      <c r="K643" s="4" t="s">
        <v>10</v>
      </c>
      <c r="L643" s="4" t="s">
        <v>487</v>
      </c>
      <c r="M643" s="5">
        <v>0</v>
      </c>
      <c r="N643" s="4" t="s">
        <v>1241</v>
      </c>
    </row>
    <row r="644" spans="1:14" x14ac:dyDescent="0.15">
      <c r="A644" s="4" t="s">
        <v>257</v>
      </c>
      <c r="B644" s="4" t="s">
        <v>23</v>
      </c>
      <c r="C644" s="5">
        <v>0.54412688442199997</v>
      </c>
      <c r="D644" s="5">
        <v>1</v>
      </c>
      <c r="E644" s="4" t="s">
        <v>13</v>
      </c>
      <c r="F644" s="5">
        <v>3</v>
      </c>
      <c r="G644" s="5">
        <v>0</v>
      </c>
      <c r="H644" s="4" t="s">
        <v>488</v>
      </c>
      <c r="I644" s="4" t="s">
        <v>1234</v>
      </c>
      <c r="J644" s="4" t="s">
        <v>1235</v>
      </c>
      <c r="K644" s="4" t="s">
        <v>10</v>
      </c>
      <c r="L644" s="4" t="s">
        <v>487</v>
      </c>
      <c r="M644" s="5">
        <v>0</v>
      </c>
      <c r="N644" s="4" t="s">
        <v>1241</v>
      </c>
    </row>
    <row r="645" spans="1:14" x14ac:dyDescent="0.15">
      <c r="A645" s="4" t="s">
        <v>257</v>
      </c>
      <c r="B645" s="4" t="s">
        <v>24</v>
      </c>
      <c r="C645" s="5">
        <v>0.217650753769</v>
      </c>
      <c r="D645" s="5">
        <v>1</v>
      </c>
      <c r="E645" s="4" t="s">
        <v>13</v>
      </c>
      <c r="F645" s="5">
        <v>3</v>
      </c>
      <c r="G645" s="5">
        <v>0</v>
      </c>
      <c r="H645" s="4" t="s">
        <v>488</v>
      </c>
      <c r="I645" s="4" t="s">
        <v>1234</v>
      </c>
      <c r="J645" s="4" t="s">
        <v>1235</v>
      </c>
      <c r="K645" s="4" t="s">
        <v>10</v>
      </c>
      <c r="L645" s="4" t="s">
        <v>487</v>
      </c>
      <c r="M645" s="5">
        <v>0</v>
      </c>
      <c r="N645" s="4" t="s">
        <v>1241</v>
      </c>
    </row>
    <row r="646" spans="1:14" x14ac:dyDescent="0.15">
      <c r="A646" s="4" t="s">
        <v>257</v>
      </c>
      <c r="B646" s="4" t="s">
        <v>17</v>
      </c>
      <c r="C646" s="5">
        <v>9.8039215686270005</v>
      </c>
      <c r="D646" s="5">
        <v>1000</v>
      </c>
      <c r="E646" s="4" t="s">
        <v>18</v>
      </c>
      <c r="F646" s="5">
        <v>0</v>
      </c>
      <c r="G646" s="5">
        <v>0</v>
      </c>
      <c r="H646" s="4" t="s">
        <v>488</v>
      </c>
      <c r="I646" s="4" t="s">
        <v>1234</v>
      </c>
      <c r="J646" s="4" t="s">
        <v>1235</v>
      </c>
      <c r="K646" s="4" t="s">
        <v>10</v>
      </c>
      <c r="L646" s="4" t="s">
        <v>487</v>
      </c>
      <c r="M646" s="5">
        <v>0</v>
      </c>
      <c r="N646" s="4" t="s">
        <v>1241</v>
      </c>
    </row>
    <row r="647" spans="1:14" x14ac:dyDescent="0.15">
      <c r="A647" s="4" t="s">
        <v>257</v>
      </c>
      <c r="B647" s="4" t="s">
        <v>19</v>
      </c>
      <c r="C647" s="5">
        <v>5</v>
      </c>
      <c r="D647" s="5">
        <v>1</v>
      </c>
      <c r="E647" s="4" t="s">
        <v>18</v>
      </c>
      <c r="F647" s="5">
        <v>0</v>
      </c>
      <c r="G647" s="5">
        <v>0</v>
      </c>
      <c r="H647" s="4" t="s">
        <v>488</v>
      </c>
      <c r="I647" s="4" t="s">
        <v>1236</v>
      </c>
      <c r="J647" s="4" t="s">
        <v>1235</v>
      </c>
      <c r="K647" s="4" t="s">
        <v>10</v>
      </c>
      <c r="L647" s="4" t="s">
        <v>487</v>
      </c>
      <c r="M647" s="5">
        <v>0</v>
      </c>
      <c r="N647" s="4" t="s">
        <v>1241</v>
      </c>
    </row>
    <row r="648" spans="1:14" x14ac:dyDescent="0.15">
      <c r="A648" s="4" t="s">
        <v>260</v>
      </c>
      <c r="B648" s="4" t="s">
        <v>261</v>
      </c>
      <c r="C648" s="5">
        <v>1</v>
      </c>
      <c r="D648" s="5">
        <v>1</v>
      </c>
      <c r="E648" s="4" t="s">
        <v>9</v>
      </c>
      <c r="F648" s="5">
        <v>0</v>
      </c>
      <c r="G648" s="5">
        <v>0</v>
      </c>
      <c r="H648" s="4" t="s">
        <v>488</v>
      </c>
      <c r="I648" s="4" t="s">
        <v>1234</v>
      </c>
      <c r="J648" s="4" t="s">
        <v>1235</v>
      </c>
      <c r="K648" s="4" t="s">
        <v>10</v>
      </c>
      <c r="L648" s="4" t="s">
        <v>487</v>
      </c>
      <c r="M648" s="5">
        <v>0</v>
      </c>
      <c r="N648" s="4" t="s">
        <v>1241</v>
      </c>
    </row>
    <row r="649" spans="1:14" x14ac:dyDescent="0.15">
      <c r="A649" s="4" t="s">
        <v>261</v>
      </c>
      <c r="B649" s="4" t="s">
        <v>33</v>
      </c>
      <c r="C649" s="5">
        <v>13</v>
      </c>
      <c r="D649" s="5">
        <v>1</v>
      </c>
      <c r="E649" s="4" t="s">
        <v>9</v>
      </c>
      <c r="F649" s="5">
        <v>3</v>
      </c>
      <c r="G649" s="5">
        <v>0</v>
      </c>
      <c r="H649" s="4" t="s">
        <v>488</v>
      </c>
      <c r="I649" s="4" t="s">
        <v>1234</v>
      </c>
      <c r="J649" s="4" t="s">
        <v>1235</v>
      </c>
      <c r="K649" s="4" t="s">
        <v>10</v>
      </c>
      <c r="L649" s="4" t="s">
        <v>487</v>
      </c>
      <c r="M649" s="5">
        <v>0</v>
      </c>
      <c r="N649" s="4" t="s">
        <v>1241</v>
      </c>
    </row>
    <row r="650" spans="1:14" x14ac:dyDescent="0.15">
      <c r="A650" s="4" t="s">
        <v>261</v>
      </c>
      <c r="B650" s="4" t="s">
        <v>12</v>
      </c>
      <c r="C650" s="5">
        <v>1.7638190954769997</v>
      </c>
      <c r="D650" s="5">
        <v>1</v>
      </c>
      <c r="E650" s="4" t="s">
        <v>13</v>
      </c>
      <c r="F650" s="5">
        <v>3</v>
      </c>
      <c r="G650" s="5">
        <v>0</v>
      </c>
      <c r="H650" s="4" t="s">
        <v>488</v>
      </c>
      <c r="I650" s="4" t="s">
        <v>1234</v>
      </c>
      <c r="J650" s="4" t="s">
        <v>1235</v>
      </c>
      <c r="K650" s="4" t="s">
        <v>10</v>
      </c>
      <c r="L650" s="4" t="s">
        <v>487</v>
      </c>
      <c r="M650" s="5">
        <v>0</v>
      </c>
      <c r="N650" s="4" t="s">
        <v>1241</v>
      </c>
    </row>
    <row r="651" spans="1:14" x14ac:dyDescent="0.15">
      <c r="A651" s="4" t="s">
        <v>261</v>
      </c>
      <c r="B651" s="4" t="s">
        <v>14</v>
      </c>
      <c r="C651" s="5">
        <v>1.9597989949749999</v>
      </c>
      <c r="D651" s="5">
        <v>1</v>
      </c>
      <c r="E651" s="4" t="s">
        <v>13</v>
      </c>
      <c r="F651" s="5">
        <v>3</v>
      </c>
      <c r="G651" s="5">
        <v>0</v>
      </c>
      <c r="H651" s="4" t="s">
        <v>488</v>
      </c>
      <c r="I651" s="4" t="s">
        <v>1234</v>
      </c>
      <c r="J651" s="4" t="s">
        <v>1235</v>
      </c>
      <c r="K651" s="4" t="s">
        <v>10</v>
      </c>
      <c r="L651" s="4" t="s">
        <v>487</v>
      </c>
      <c r="M651" s="5">
        <v>0</v>
      </c>
      <c r="N651" s="4" t="s">
        <v>1241</v>
      </c>
    </row>
    <row r="652" spans="1:14" x14ac:dyDescent="0.15">
      <c r="A652" s="4" t="s">
        <v>261</v>
      </c>
      <c r="B652" s="4" t="s">
        <v>15</v>
      </c>
      <c r="C652" s="5">
        <v>39.195979899497999</v>
      </c>
      <c r="D652" s="5">
        <v>1000</v>
      </c>
      <c r="E652" s="4" t="s">
        <v>13</v>
      </c>
      <c r="F652" s="5">
        <v>3</v>
      </c>
      <c r="G652" s="5">
        <v>0</v>
      </c>
      <c r="H652" s="4" t="s">
        <v>488</v>
      </c>
      <c r="I652" s="4" t="s">
        <v>1234</v>
      </c>
      <c r="J652" s="4" t="s">
        <v>1235</v>
      </c>
      <c r="K652" s="4" t="s">
        <v>10</v>
      </c>
      <c r="L652" s="4" t="s">
        <v>487</v>
      </c>
      <c r="M652" s="5">
        <v>0</v>
      </c>
      <c r="N652" s="4" t="s">
        <v>1241</v>
      </c>
    </row>
    <row r="653" spans="1:14" x14ac:dyDescent="0.15">
      <c r="A653" s="4" t="s">
        <v>261</v>
      </c>
      <c r="B653" s="4" t="s">
        <v>23</v>
      </c>
      <c r="C653" s="5">
        <v>97.989949748743996</v>
      </c>
      <c r="D653" s="5">
        <v>1000</v>
      </c>
      <c r="E653" s="4" t="s">
        <v>13</v>
      </c>
      <c r="F653" s="5">
        <v>3</v>
      </c>
      <c r="G653" s="5">
        <v>0</v>
      </c>
      <c r="H653" s="4" t="s">
        <v>488</v>
      </c>
      <c r="I653" s="4" t="s">
        <v>1234</v>
      </c>
      <c r="J653" s="4" t="s">
        <v>1235</v>
      </c>
      <c r="K653" s="4" t="s">
        <v>10</v>
      </c>
      <c r="L653" s="4" t="s">
        <v>487</v>
      </c>
      <c r="M653" s="5">
        <v>0</v>
      </c>
      <c r="N653" s="4" t="s">
        <v>1241</v>
      </c>
    </row>
    <row r="654" spans="1:14" x14ac:dyDescent="0.15">
      <c r="A654" s="4" t="s">
        <v>261</v>
      </c>
      <c r="B654" s="4" t="s">
        <v>24</v>
      </c>
      <c r="C654" s="5">
        <v>39.195979899497999</v>
      </c>
      <c r="D654" s="5">
        <v>1000</v>
      </c>
      <c r="E654" s="4" t="s">
        <v>13</v>
      </c>
      <c r="F654" s="5">
        <v>3</v>
      </c>
      <c r="G654" s="5">
        <v>0</v>
      </c>
      <c r="H654" s="4" t="s">
        <v>488</v>
      </c>
      <c r="I654" s="4" t="s">
        <v>1234</v>
      </c>
      <c r="J654" s="4" t="s">
        <v>1235</v>
      </c>
      <c r="K654" s="4" t="s">
        <v>10</v>
      </c>
      <c r="L654" s="4" t="s">
        <v>487</v>
      </c>
      <c r="M654" s="5">
        <v>0</v>
      </c>
      <c r="N654" s="4" t="s">
        <v>1241</v>
      </c>
    </row>
    <row r="655" spans="1:14" x14ac:dyDescent="0.15">
      <c r="A655" s="4" t="s">
        <v>261</v>
      </c>
      <c r="B655" s="4" t="s">
        <v>17</v>
      </c>
      <c r="C655" s="5">
        <v>2.9761904761899998</v>
      </c>
      <c r="D655" s="5">
        <v>1000</v>
      </c>
      <c r="E655" s="4" t="s">
        <v>18</v>
      </c>
      <c r="F655" s="5">
        <v>0</v>
      </c>
      <c r="G655" s="5">
        <v>0</v>
      </c>
      <c r="H655" s="4" t="s">
        <v>488</v>
      </c>
      <c r="I655" s="4" t="s">
        <v>1234</v>
      </c>
      <c r="J655" s="4" t="s">
        <v>1235</v>
      </c>
      <c r="K655" s="4" t="s">
        <v>10</v>
      </c>
      <c r="L655" s="4" t="s">
        <v>487</v>
      </c>
      <c r="M655" s="5">
        <v>0</v>
      </c>
      <c r="N655" s="4" t="s">
        <v>1241</v>
      </c>
    </row>
    <row r="656" spans="1:14" x14ac:dyDescent="0.15">
      <c r="A656" s="4" t="s">
        <v>261</v>
      </c>
      <c r="B656" s="4" t="s">
        <v>19</v>
      </c>
      <c r="C656" s="5">
        <v>6</v>
      </c>
      <c r="D656" s="5">
        <v>1</v>
      </c>
      <c r="E656" s="4" t="s">
        <v>18</v>
      </c>
      <c r="F656" s="5">
        <v>0</v>
      </c>
      <c r="G656" s="5">
        <v>0</v>
      </c>
      <c r="H656" s="4" t="s">
        <v>488</v>
      </c>
      <c r="I656" s="4" t="s">
        <v>1236</v>
      </c>
      <c r="J656" s="4" t="s">
        <v>1235</v>
      </c>
      <c r="K656" s="4" t="s">
        <v>10</v>
      </c>
      <c r="L656" s="4" t="s">
        <v>487</v>
      </c>
      <c r="M656" s="5">
        <v>0</v>
      </c>
      <c r="N656" s="4" t="s">
        <v>1241</v>
      </c>
    </row>
    <row r="657" spans="1:14" x14ac:dyDescent="0.15">
      <c r="A657" s="4" t="s">
        <v>262</v>
      </c>
      <c r="B657" s="4" t="s">
        <v>263</v>
      </c>
      <c r="C657" s="5">
        <v>1</v>
      </c>
      <c r="D657" s="5">
        <v>1</v>
      </c>
      <c r="E657" s="4" t="s">
        <v>9</v>
      </c>
      <c r="F657" s="5">
        <v>0</v>
      </c>
      <c r="G657" s="5">
        <v>0</v>
      </c>
      <c r="H657" s="4" t="s">
        <v>488</v>
      </c>
      <c r="I657" s="4" t="s">
        <v>1234</v>
      </c>
      <c r="J657" s="4" t="s">
        <v>1235</v>
      </c>
      <c r="K657" s="4" t="s">
        <v>10</v>
      </c>
      <c r="L657" s="4" t="s">
        <v>487</v>
      </c>
      <c r="M657" s="5">
        <v>0</v>
      </c>
      <c r="N657" s="4" t="s">
        <v>1241</v>
      </c>
    </row>
    <row r="658" spans="1:14" x14ac:dyDescent="0.15">
      <c r="A658" s="4" t="s">
        <v>264</v>
      </c>
      <c r="B658" s="4" t="s">
        <v>263</v>
      </c>
      <c r="C658" s="5">
        <v>2</v>
      </c>
      <c r="D658" s="5">
        <v>1</v>
      </c>
      <c r="E658" s="4" t="s">
        <v>9</v>
      </c>
      <c r="F658" s="5">
        <v>0</v>
      </c>
      <c r="G658" s="5">
        <v>0</v>
      </c>
      <c r="H658" s="4" t="s">
        <v>488</v>
      </c>
      <c r="I658" s="4" t="s">
        <v>1234</v>
      </c>
      <c r="J658" s="4" t="s">
        <v>1235</v>
      </c>
      <c r="K658" s="4" t="s">
        <v>10</v>
      </c>
      <c r="L658" s="4" t="s">
        <v>487</v>
      </c>
      <c r="M658" s="5">
        <v>0</v>
      </c>
      <c r="N658" s="4" t="s">
        <v>1241</v>
      </c>
    </row>
    <row r="659" spans="1:14" x14ac:dyDescent="0.15">
      <c r="A659" s="4" t="s">
        <v>265</v>
      </c>
      <c r="B659" s="4" t="s">
        <v>263</v>
      </c>
      <c r="C659" s="5">
        <v>500</v>
      </c>
      <c r="D659" s="5">
        <v>1000</v>
      </c>
      <c r="E659" s="4" t="s">
        <v>9</v>
      </c>
      <c r="F659" s="5">
        <v>0</v>
      </c>
      <c r="G659" s="5">
        <v>0</v>
      </c>
      <c r="H659" s="4" t="s">
        <v>488</v>
      </c>
      <c r="I659" s="4" t="s">
        <v>1234</v>
      </c>
      <c r="J659" s="4" t="s">
        <v>1235</v>
      </c>
      <c r="K659" s="4" t="s">
        <v>10</v>
      </c>
      <c r="L659" s="4" t="s">
        <v>487</v>
      </c>
      <c r="M659" s="5">
        <v>0</v>
      </c>
      <c r="N659" s="4" t="s">
        <v>1241</v>
      </c>
    </row>
    <row r="660" spans="1:14" x14ac:dyDescent="0.15">
      <c r="A660" s="4" t="s">
        <v>263</v>
      </c>
      <c r="B660" s="4" t="s">
        <v>22</v>
      </c>
      <c r="C660" s="5">
        <v>10</v>
      </c>
      <c r="D660" s="5">
        <v>1</v>
      </c>
      <c r="E660" s="4" t="s">
        <v>9</v>
      </c>
      <c r="F660" s="5">
        <v>3</v>
      </c>
      <c r="G660" s="5">
        <v>0</v>
      </c>
      <c r="H660" s="4" t="s">
        <v>488</v>
      </c>
      <c r="I660" s="4" t="s">
        <v>1234</v>
      </c>
      <c r="J660" s="4" t="s">
        <v>1235</v>
      </c>
      <c r="K660" s="4" t="s">
        <v>10</v>
      </c>
      <c r="L660" s="4" t="s">
        <v>487</v>
      </c>
      <c r="M660" s="5">
        <v>0</v>
      </c>
      <c r="N660" s="4" t="s">
        <v>1241</v>
      </c>
    </row>
    <row r="661" spans="1:14" x14ac:dyDescent="0.15">
      <c r="A661" s="4" t="s">
        <v>263</v>
      </c>
      <c r="B661" s="4" t="s">
        <v>12</v>
      </c>
      <c r="C661" s="5">
        <v>2.798366834171</v>
      </c>
      <c r="D661" s="5">
        <v>1</v>
      </c>
      <c r="E661" s="4" t="s">
        <v>13</v>
      </c>
      <c r="F661" s="5">
        <v>3</v>
      </c>
      <c r="G661" s="5">
        <v>0</v>
      </c>
      <c r="H661" s="4" t="s">
        <v>488</v>
      </c>
      <c r="I661" s="4" t="s">
        <v>1234</v>
      </c>
      <c r="J661" s="4" t="s">
        <v>1235</v>
      </c>
      <c r="K661" s="4" t="s">
        <v>10</v>
      </c>
      <c r="L661" s="4" t="s">
        <v>487</v>
      </c>
      <c r="M661" s="5">
        <v>0</v>
      </c>
      <c r="N661" s="4" t="s">
        <v>1241</v>
      </c>
    </row>
    <row r="662" spans="1:14" x14ac:dyDescent="0.15">
      <c r="A662" s="4" t="s">
        <v>263</v>
      </c>
      <c r="B662" s="4" t="s">
        <v>14</v>
      </c>
      <c r="C662" s="5">
        <v>3.1092964824119997</v>
      </c>
      <c r="D662" s="5">
        <v>1</v>
      </c>
      <c r="E662" s="4" t="s">
        <v>13</v>
      </c>
      <c r="F662" s="5">
        <v>3</v>
      </c>
      <c r="G662" s="5">
        <v>0</v>
      </c>
      <c r="H662" s="4" t="s">
        <v>488</v>
      </c>
      <c r="I662" s="4" t="s">
        <v>1234</v>
      </c>
      <c r="J662" s="4" t="s">
        <v>1235</v>
      </c>
      <c r="K662" s="4" t="s">
        <v>10</v>
      </c>
      <c r="L662" s="4" t="s">
        <v>487</v>
      </c>
      <c r="M662" s="5">
        <v>0</v>
      </c>
      <c r="N662" s="4" t="s">
        <v>1241</v>
      </c>
    </row>
    <row r="663" spans="1:14" x14ac:dyDescent="0.15">
      <c r="A663" s="4" t="s">
        <v>263</v>
      </c>
      <c r="B663" s="4" t="s">
        <v>15</v>
      </c>
      <c r="C663" s="5">
        <v>62.185929648241</v>
      </c>
      <c r="D663" s="5">
        <v>1000</v>
      </c>
      <c r="E663" s="4" t="s">
        <v>13</v>
      </c>
      <c r="F663" s="5">
        <v>3</v>
      </c>
      <c r="G663" s="5">
        <v>0</v>
      </c>
      <c r="H663" s="4" t="s">
        <v>488</v>
      </c>
      <c r="I663" s="4" t="s">
        <v>1234</v>
      </c>
      <c r="J663" s="4" t="s">
        <v>1235</v>
      </c>
      <c r="K663" s="4" t="s">
        <v>10</v>
      </c>
      <c r="L663" s="4" t="s">
        <v>487</v>
      </c>
      <c r="M663" s="5">
        <v>0</v>
      </c>
      <c r="N663" s="4" t="s">
        <v>1241</v>
      </c>
    </row>
    <row r="664" spans="1:14" x14ac:dyDescent="0.15">
      <c r="A664" s="4" t="s">
        <v>263</v>
      </c>
      <c r="B664" s="4" t="s">
        <v>23</v>
      </c>
      <c r="C664" s="5">
        <v>0.15546482412099999</v>
      </c>
      <c r="D664" s="5">
        <v>1</v>
      </c>
      <c r="E664" s="4" t="s">
        <v>13</v>
      </c>
      <c r="F664" s="5">
        <v>3</v>
      </c>
      <c r="G664" s="5">
        <v>0</v>
      </c>
      <c r="H664" s="4" t="s">
        <v>488</v>
      </c>
      <c r="I664" s="4" t="s">
        <v>1234</v>
      </c>
      <c r="J664" s="4" t="s">
        <v>1235</v>
      </c>
      <c r="K664" s="4" t="s">
        <v>10</v>
      </c>
      <c r="L664" s="4" t="s">
        <v>487</v>
      </c>
      <c r="M664" s="5">
        <v>0</v>
      </c>
      <c r="N664" s="4" t="s">
        <v>1241</v>
      </c>
    </row>
    <row r="665" spans="1:14" x14ac:dyDescent="0.15">
      <c r="A665" s="4" t="s">
        <v>263</v>
      </c>
      <c r="B665" s="4" t="s">
        <v>24</v>
      </c>
      <c r="C665" s="5">
        <v>62.185929648241</v>
      </c>
      <c r="D665" s="5">
        <v>1000</v>
      </c>
      <c r="E665" s="4" t="s">
        <v>13</v>
      </c>
      <c r="F665" s="5">
        <v>3</v>
      </c>
      <c r="G665" s="5">
        <v>0</v>
      </c>
      <c r="H665" s="4" t="s">
        <v>488</v>
      </c>
      <c r="I665" s="4" t="s">
        <v>1234</v>
      </c>
      <c r="J665" s="4" t="s">
        <v>1235</v>
      </c>
      <c r="K665" s="4" t="s">
        <v>10</v>
      </c>
      <c r="L665" s="4" t="s">
        <v>487</v>
      </c>
      <c r="M665" s="5">
        <v>0</v>
      </c>
      <c r="N665" s="4" t="s">
        <v>1241</v>
      </c>
    </row>
    <row r="666" spans="1:14" x14ac:dyDescent="0.15">
      <c r="A666" s="4" t="s">
        <v>263</v>
      </c>
      <c r="B666" s="4" t="s">
        <v>17</v>
      </c>
      <c r="C666" s="5">
        <v>12.820512820513002</v>
      </c>
      <c r="D666" s="5">
        <v>1000</v>
      </c>
      <c r="E666" s="4" t="s">
        <v>18</v>
      </c>
      <c r="F666" s="5">
        <v>0</v>
      </c>
      <c r="G666" s="5">
        <v>0</v>
      </c>
      <c r="H666" s="4" t="s">
        <v>488</v>
      </c>
      <c r="I666" s="4" t="s">
        <v>1234</v>
      </c>
      <c r="J666" s="4" t="s">
        <v>1235</v>
      </c>
      <c r="K666" s="4" t="s">
        <v>10</v>
      </c>
      <c r="L666" s="4" t="s">
        <v>487</v>
      </c>
      <c r="M666" s="5">
        <v>0</v>
      </c>
      <c r="N666" s="4" t="s">
        <v>1241</v>
      </c>
    </row>
    <row r="667" spans="1:14" x14ac:dyDescent="0.15">
      <c r="A667" s="4" t="s">
        <v>263</v>
      </c>
      <c r="B667" s="4" t="s">
        <v>19</v>
      </c>
      <c r="C667" s="5">
        <v>5</v>
      </c>
      <c r="D667" s="5">
        <v>1</v>
      </c>
      <c r="E667" s="4" t="s">
        <v>18</v>
      </c>
      <c r="F667" s="5">
        <v>0</v>
      </c>
      <c r="G667" s="5">
        <v>0</v>
      </c>
      <c r="H667" s="4" t="s">
        <v>488</v>
      </c>
      <c r="I667" s="4" t="s">
        <v>1236</v>
      </c>
      <c r="J667" s="4" t="s">
        <v>1235</v>
      </c>
      <c r="K667" s="4" t="s">
        <v>10</v>
      </c>
      <c r="L667" s="4" t="s">
        <v>487</v>
      </c>
      <c r="M667" s="5">
        <v>0</v>
      </c>
      <c r="N667" s="4" t="s">
        <v>1241</v>
      </c>
    </row>
    <row r="668" spans="1:14" x14ac:dyDescent="0.15">
      <c r="A668" s="4" t="s">
        <v>266</v>
      </c>
      <c r="B668" s="4" t="s">
        <v>267</v>
      </c>
      <c r="C668" s="5">
        <v>1</v>
      </c>
      <c r="D668" s="5">
        <v>1</v>
      </c>
      <c r="E668" s="4" t="s">
        <v>9</v>
      </c>
      <c r="F668" s="5">
        <v>0</v>
      </c>
      <c r="G668" s="5">
        <v>0</v>
      </c>
      <c r="H668" s="4" t="s">
        <v>488</v>
      </c>
      <c r="I668" s="4" t="s">
        <v>1234</v>
      </c>
      <c r="J668" s="4" t="s">
        <v>1235</v>
      </c>
      <c r="K668" s="4" t="s">
        <v>10</v>
      </c>
      <c r="L668" s="4" t="s">
        <v>487</v>
      </c>
      <c r="M668" s="5">
        <v>0</v>
      </c>
      <c r="N668" s="4" t="s">
        <v>1241</v>
      </c>
    </row>
    <row r="669" spans="1:14" x14ac:dyDescent="0.15">
      <c r="A669" s="4" t="s">
        <v>268</v>
      </c>
      <c r="B669" s="4" t="s">
        <v>267</v>
      </c>
      <c r="C669" s="5">
        <v>2</v>
      </c>
      <c r="D669" s="5">
        <v>1</v>
      </c>
      <c r="E669" s="4" t="s">
        <v>9</v>
      </c>
      <c r="F669" s="5">
        <v>0</v>
      </c>
      <c r="G669" s="5">
        <v>0</v>
      </c>
      <c r="H669" s="4" t="s">
        <v>488</v>
      </c>
      <c r="I669" s="4" t="s">
        <v>1234</v>
      </c>
      <c r="J669" s="4" t="s">
        <v>1235</v>
      </c>
      <c r="K669" s="4" t="s">
        <v>10</v>
      </c>
      <c r="L669" s="4" t="s">
        <v>487</v>
      </c>
      <c r="M669" s="5">
        <v>0</v>
      </c>
      <c r="N669" s="4" t="s">
        <v>1241</v>
      </c>
    </row>
    <row r="670" spans="1:14" x14ac:dyDescent="0.15">
      <c r="A670" s="4" t="s">
        <v>269</v>
      </c>
      <c r="B670" s="4" t="s">
        <v>267</v>
      </c>
      <c r="C670" s="5">
        <v>500</v>
      </c>
      <c r="D670" s="5">
        <v>1000</v>
      </c>
      <c r="E670" s="4" t="s">
        <v>9</v>
      </c>
      <c r="F670" s="5">
        <v>0</v>
      </c>
      <c r="G670" s="5">
        <v>0</v>
      </c>
      <c r="H670" s="4" t="s">
        <v>488</v>
      </c>
      <c r="I670" s="4" t="s">
        <v>1234</v>
      </c>
      <c r="J670" s="4" t="s">
        <v>1235</v>
      </c>
      <c r="K670" s="4" t="s">
        <v>10</v>
      </c>
      <c r="L670" s="4" t="s">
        <v>487</v>
      </c>
      <c r="M670" s="5">
        <v>0</v>
      </c>
      <c r="N670" s="4" t="s">
        <v>1241</v>
      </c>
    </row>
    <row r="671" spans="1:14" x14ac:dyDescent="0.15">
      <c r="A671" s="4" t="s">
        <v>267</v>
      </c>
      <c r="B671" s="4" t="s">
        <v>22</v>
      </c>
      <c r="C671" s="5">
        <v>24</v>
      </c>
      <c r="D671" s="5">
        <v>1</v>
      </c>
      <c r="E671" s="4" t="s">
        <v>9</v>
      </c>
      <c r="F671" s="5">
        <v>3</v>
      </c>
      <c r="G671" s="5">
        <v>0</v>
      </c>
      <c r="H671" s="4" t="s">
        <v>488</v>
      </c>
      <c r="I671" s="4" t="s">
        <v>1234</v>
      </c>
      <c r="J671" s="4" t="s">
        <v>1235</v>
      </c>
      <c r="K671" s="4" t="s">
        <v>10</v>
      </c>
      <c r="L671" s="4" t="s">
        <v>487</v>
      </c>
      <c r="M671" s="5">
        <v>0</v>
      </c>
      <c r="N671" s="4" t="s">
        <v>1241</v>
      </c>
    </row>
    <row r="672" spans="1:14" x14ac:dyDescent="0.15">
      <c r="A672" s="4" t="s">
        <v>267</v>
      </c>
      <c r="B672" s="4" t="s">
        <v>12</v>
      </c>
      <c r="C672" s="5">
        <v>6.7160804020099985</v>
      </c>
      <c r="D672" s="5">
        <v>1</v>
      </c>
      <c r="E672" s="4" t="s">
        <v>13</v>
      </c>
      <c r="F672" s="5">
        <v>3</v>
      </c>
      <c r="G672" s="5">
        <v>0</v>
      </c>
      <c r="H672" s="4" t="s">
        <v>488</v>
      </c>
      <c r="I672" s="4" t="s">
        <v>1234</v>
      </c>
      <c r="J672" s="4" t="s">
        <v>1235</v>
      </c>
      <c r="K672" s="4" t="s">
        <v>10</v>
      </c>
      <c r="L672" s="4" t="s">
        <v>487</v>
      </c>
      <c r="M672" s="5">
        <v>0</v>
      </c>
      <c r="N672" s="4" t="s">
        <v>1241</v>
      </c>
    </row>
    <row r="673" spans="1:14" x14ac:dyDescent="0.15">
      <c r="A673" s="4" t="s">
        <v>267</v>
      </c>
      <c r="B673" s="4" t="s">
        <v>14</v>
      </c>
      <c r="C673" s="5">
        <v>7.4623115577889987</v>
      </c>
      <c r="D673" s="5">
        <v>1</v>
      </c>
      <c r="E673" s="4" t="s">
        <v>13</v>
      </c>
      <c r="F673" s="5">
        <v>3</v>
      </c>
      <c r="G673" s="5">
        <v>0</v>
      </c>
      <c r="H673" s="4" t="s">
        <v>488</v>
      </c>
      <c r="I673" s="4" t="s">
        <v>1234</v>
      </c>
      <c r="J673" s="4" t="s">
        <v>1235</v>
      </c>
      <c r="K673" s="4" t="s">
        <v>10</v>
      </c>
      <c r="L673" s="4" t="s">
        <v>487</v>
      </c>
      <c r="M673" s="5">
        <v>0</v>
      </c>
      <c r="N673" s="4" t="s">
        <v>1241</v>
      </c>
    </row>
    <row r="674" spans="1:14" x14ac:dyDescent="0.15">
      <c r="A674" s="4" t="s">
        <v>267</v>
      </c>
      <c r="B674" s="4" t="s">
        <v>15</v>
      </c>
      <c r="C674" s="5">
        <v>0.149246231156</v>
      </c>
      <c r="D674" s="5">
        <v>1</v>
      </c>
      <c r="E674" s="4" t="s">
        <v>13</v>
      </c>
      <c r="F674" s="5">
        <v>3</v>
      </c>
      <c r="G674" s="5">
        <v>0</v>
      </c>
      <c r="H674" s="4" t="s">
        <v>488</v>
      </c>
      <c r="I674" s="4" t="s">
        <v>1234</v>
      </c>
      <c r="J674" s="4" t="s">
        <v>1235</v>
      </c>
      <c r="K674" s="4" t="s">
        <v>10</v>
      </c>
      <c r="L674" s="4" t="s">
        <v>487</v>
      </c>
      <c r="M674" s="5">
        <v>0</v>
      </c>
      <c r="N674" s="4" t="s">
        <v>1241</v>
      </c>
    </row>
    <row r="675" spans="1:14" x14ac:dyDescent="0.15">
      <c r="A675" s="4" t="s">
        <v>267</v>
      </c>
      <c r="B675" s="4" t="s">
        <v>23</v>
      </c>
      <c r="C675" s="5">
        <v>0.37311557788900002</v>
      </c>
      <c r="D675" s="5">
        <v>1</v>
      </c>
      <c r="E675" s="4" t="s">
        <v>13</v>
      </c>
      <c r="F675" s="5">
        <v>3</v>
      </c>
      <c r="G675" s="5">
        <v>0</v>
      </c>
      <c r="H675" s="4" t="s">
        <v>488</v>
      </c>
      <c r="I675" s="4" t="s">
        <v>1234</v>
      </c>
      <c r="J675" s="4" t="s">
        <v>1235</v>
      </c>
      <c r="K675" s="4" t="s">
        <v>10</v>
      </c>
      <c r="L675" s="4" t="s">
        <v>487</v>
      </c>
      <c r="M675" s="5">
        <v>0</v>
      </c>
      <c r="N675" s="4" t="s">
        <v>1241</v>
      </c>
    </row>
    <row r="676" spans="1:14" x14ac:dyDescent="0.15">
      <c r="A676" s="4" t="s">
        <v>267</v>
      </c>
      <c r="B676" s="4" t="s">
        <v>24</v>
      </c>
      <c r="C676" s="5">
        <v>0.149246231156</v>
      </c>
      <c r="D676" s="5">
        <v>1</v>
      </c>
      <c r="E676" s="4" t="s">
        <v>13</v>
      </c>
      <c r="F676" s="5">
        <v>3</v>
      </c>
      <c r="G676" s="5">
        <v>0</v>
      </c>
      <c r="H676" s="4" t="s">
        <v>488</v>
      </c>
      <c r="I676" s="4" t="s">
        <v>1234</v>
      </c>
      <c r="J676" s="4" t="s">
        <v>1235</v>
      </c>
      <c r="K676" s="4" t="s">
        <v>10</v>
      </c>
      <c r="L676" s="4" t="s">
        <v>487</v>
      </c>
      <c r="M676" s="5">
        <v>0</v>
      </c>
      <c r="N676" s="4" t="s">
        <v>1241</v>
      </c>
    </row>
    <row r="677" spans="1:14" x14ac:dyDescent="0.15">
      <c r="A677" s="4" t="s">
        <v>267</v>
      </c>
      <c r="B677" s="4" t="s">
        <v>17</v>
      </c>
      <c r="C677" s="5">
        <v>16.666666666666998</v>
      </c>
      <c r="D677" s="5">
        <v>1000</v>
      </c>
      <c r="E677" s="4" t="s">
        <v>18</v>
      </c>
      <c r="F677" s="5">
        <v>0</v>
      </c>
      <c r="G677" s="5">
        <v>0</v>
      </c>
      <c r="H677" s="4" t="s">
        <v>488</v>
      </c>
      <c r="I677" s="4" t="s">
        <v>1234</v>
      </c>
      <c r="J677" s="4" t="s">
        <v>1235</v>
      </c>
      <c r="K677" s="4" t="s">
        <v>10</v>
      </c>
      <c r="L677" s="4" t="s">
        <v>487</v>
      </c>
      <c r="M677" s="5">
        <v>0</v>
      </c>
      <c r="N677" s="4" t="s">
        <v>1241</v>
      </c>
    </row>
    <row r="678" spans="1:14" x14ac:dyDescent="0.15">
      <c r="A678" s="4" t="s">
        <v>267</v>
      </c>
      <c r="B678" s="4" t="s">
        <v>19</v>
      </c>
      <c r="C678" s="5">
        <v>5</v>
      </c>
      <c r="D678" s="5">
        <v>1</v>
      </c>
      <c r="E678" s="4" t="s">
        <v>18</v>
      </c>
      <c r="F678" s="5">
        <v>0</v>
      </c>
      <c r="G678" s="5">
        <v>0</v>
      </c>
      <c r="H678" s="4" t="s">
        <v>488</v>
      </c>
      <c r="I678" s="4" t="s">
        <v>1236</v>
      </c>
      <c r="J678" s="4" t="s">
        <v>1235</v>
      </c>
      <c r="K678" s="4" t="s">
        <v>10</v>
      </c>
      <c r="L678" s="4" t="s">
        <v>487</v>
      </c>
      <c r="M678" s="5">
        <v>0</v>
      </c>
      <c r="N678" s="4" t="s">
        <v>1241</v>
      </c>
    </row>
    <row r="679" spans="1:14" x14ac:dyDescent="0.15">
      <c r="A679" s="4" t="s">
        <v>270</v>
      </c>
      <c r="B679" s="4" t="s">
        <v>271</v>
      </c>
      <c r="C679" s="5">
        <v>1</v>
      </c>
      <c r="D679" s="5">
        <v>1</v>
      </c>
      <c r="E679" s="4" t="s">
        <v>9</v>
      </c>
      <c r="F679" s="5">
        <v>0</v>
      </c>
      <c r="G679" s="5">
        <v>0</v>
      </c>
      <c r="H679" s="4" t="s">
        <v>488</v>
      </c>
      <c r="I679" s="4" t="s">
        <v>1234</v>
      </c>
      <c r="J679" s="4" t="s">
        <v>1235</v>
      </c>
      <c r="K679" s="4" t="s">
        <v>10</v>
      </c>
      <c r="L679" s="4" t="s">
        <v>487</v>
      </c>
      <c r="M679" s="5">
        <v>0</v>
      </c>
      <c r="N679" s="4" t="s">
        <v>1241</v>
      </c>
    </row>
    <row r="680" spans="1:14" x14ac:dyDescent="0.15">
      <c r="A680" s="4" t="s">
        <v>272</v>
      </c>
      <c r="B680" s="4" t="s">
        <v>271</v>
      </c>
      <c r="C680" s="5">
        <v>2</v>
      </c>
      <c r="D680" s="5">
        <v>1</v>
      </c>
      <c r="E680" s="4" t="s">
        <v>9</v>
      </c>
      <c r="F680" s="5">
        <v>0</v>
      </c>
      <c r="G680" s="5">
        <v>0</v>
      </c>
      <c r="H680" s="4" t="s">
        <v>488</v>
      </c>
      <c r="I680" s="4" t="s">
        <v>1234</v>
      </c>
      <c r="J680" s="4" t="s">
        <v>1235</v>
      </c>
      <c r="K680" s="4" t="s">
        <v>10</v>
      </c>
      <c r="L680" s="4" t="s">
        <v>487</v>
      </c>
      <c r="M680" s="5">
        <v>0</v>
      </c>
      <c r="N680" s="4" t="s">
        <v>1241</v>
      </c>
    </row>
    <row r="681" spans="1:14" x14ac:dyDescent="0.15">
      <c r="A681" s="4" t="s">
        <v>273</v>
      </c>
      <c r="B681" s="4" t="s">
        <v>271</v>
      </c>
      <c r="C681" s="5">
        <v>500</v>
      </c>
      <c r="D681" s="5">
        <v>1000</v>
      </c>
      <c r="E681" s="4" t="s">
        <v>9</v>
      </c>
      <c r="F681" s="5">
        <v>0</v>
      </c>
      <c r="G681" s="5">
        <v>0</v>
      </c>
      <c r="H681" s="4" t="s">
        <v>488</v>
      </c>
      <c r="I681" s="4" t="s">
        <v>1234</v>
      </c>
      <c r="J681" s="4" t="s">
        <v>1235</v>
      </c>
      <c r="K681" s="4" t="s">
        <v>10</v>
      </c>
      <c r="L681" s="4" t="s">
        <v>487</v>
      </c>
      <c r="M681" s="5">
        <v>0</v>
      </c>
      <c r="N681" s="4" t="s">
        <v>1241</v>
      </c>
    </row>
    <row r="682" spans="1:14" x14ac:dyDescent="0.15">
      <c r="A682" s="4" t="s">
        <v>271</v>
      </c>
      <c r="B682" s="4" t="s">
        <v>22</v>
      </c>
      <c r="C682" s="5">
        <v>44</v>
      </c>
      <c r="D682" s="5">
        <v>1</v>
      </c>
      <c r="E682" s="4" t="s">
        <v>9</v>
      </c>
      <c r="F682" s="5">
        <v>3</v>
      </c>
      <c r="G682" s="5">
        <v>0</v>
      </c>
      <c r="H682" s="4" t="s">
        <v>488</v>
      </c>
      <c r="I682" s="4" t="s">
        <v>1234</v>
      </c>
      <c r="J682" s="4" t="s">
        <v>1235</v>
      </c>
      <c r="K682" s="4" t="s">
        <v>10</v>
      </c>
      <c r="L682" s="4" t="s">
        <v>487</v>
      </c>
      <c r="M682" s="5">
        <v>0</v>
      </c>
      <c r="N682" s="4" t="s">
        <v>1241</v>
      </c>
    </row>
    <row r="683" spans="1:14" x14ac:dyDescent="0.15">
      <c r="A683" s="4" t="s">
        <v>271</v>
      </c>
      <c r="B683" s="4" t="s">
        <v>12</v>
      </c>
      <c r="C683" s="5">
        <v>12.312814070351999</v>
      </c>
      <c r="D683" s="5">
        <v>1</v>
      </c>
      <c r="E683" s="4" t="s">
        <v>13</v>
      </c>
      <c r="F683" s="5">
        <v>3</v>
      </c>
      <c r="G683" s="5">
        <v>0</v>
      </c>
      <c r="H683" s="4" t="s">
        <v>488</v>
      </c>
      <c r="I683" s="4" t="s">
        <v>1234</v>
      </c>
      <c r="J683" s="4" t="s">
        <v>1235</v>
      </c>
      <c r="K683" s="4" t="s">
        <v>10</v>
      </c>
      <c r="L683" s="4" t="s">
        <v>487</v>
      </c>
      <c r="M683" s="5">
        <v>0</v>
      </c>
      <c r="N683" s="4" t="s">
        <v>1241</v>
      </c>
    </row>
    <row r="684" spans="1:14" x14ac:dyDescent="0.15">
      <c r="A684" s="4" t="s">
        <v>271</v>
      </c>
      <c r="B684" s="4" t="s">
        <v>14</v>
      </c>
      <c r="C684" s="5">
        <v>13.680904522613</v>
      </c>
      <c r="D684" s="5">
        <v>1</v>
      </c>
      <c r="E684" s="4" t="s">
        <v>13</v>
      </c>
      <c r="F684" s="5">
        <v>3</v>
      </c>
      <c r="G684" s="5">
        <v>0</v>
      </c>
      <c r="H684" s="4" t="s">
        <v>488</v>
      </c>
      <c r="I684" s="4" t="s">
        <v>1234</v>
      </c>
      <c r="J684" s="4" t="s">
        <v>1235</v>
      </c>
      <c r="K684" s="4" t="s">
        <v>10</v>
      </c>
      <c r="L684" s="4" t="s">
        <v>487</v>
      </c>
      <c r="M684" s="5">
        <v>0</v>
      </c>
      <c r="N684" s="4" t="s">
        <v>1241</v>
      </c>
    </row>
    <row r="685" spans="1:14" x14ac:dyDescent="0.15">
      <c r="A685" s="4" t="s">
        <v>271</v>
      </c>
      <c r="B685" s="4" t="s">
        <v>15</v>
      </c>
      <c r="C685" s="5">
        <v>0.27361809045199997</v>
      </c>
      <c r="D685" s="5">
        <v>1</v>
      </c>
      <c r="E685" s="4" t="s">
        <v>13</v>
      </c>
      <c r="F685" s="5">
        <v>3</v>
      </c>
      <c r="G685" s="5">
        <v>0</v>
      </c>
      <c r="H685" s="4" t="s">
        <v>488</v>
      </c>
      <c r="I685" s="4" t="s">
        <v>1234</v>
      </c>
      <c r="J685" s="4" t="s">
        <v>1235</v>
      </c>
      <c r="K685" s="4" t="s">
        <v>10</v>
      </c>
      <c r="L685" s="4" t="s">
        <v>487</v>
      </c>
      <c r="M685" s="5">
        <v>0</v>
      </c>
      <c r="N685" s="4" t="s">
        <v>1241</v>
      </c>
    </row>
    <row r="686" spans="1:14" x14ac:dyDescent="0.15">
      <c r="A686" s="4" t="s">
        <v>271</v>
      </c>
      <c r="B686" s="4" t="s">
        <v>23</v>
      </c>
      <c r="C686" s="5">
        <v>0.68404522613100005</v>
      </c>
      <c r="D686" s="5">
        <v>1</v>
      </c>
      <c r="E686" s="4" t="s">
        <v>13</v>
      </c>
      <c r="F686" s="5">
        <v>3</v>
      </c>
      <c r="G686" s="5">
        <v>0</v>
      </c>
      <c r="H686" s="4" t="s">
        <v>488</v>
      </c>
      <c r="I686" s="4" t="s">
        <v>1234</v>
      </c>
      <c r="J686" s="4" t="s">
        <v>1235</v>
      </c>
      <c r="K686" s="4" t="s">
        <v>10</v>
      </c>
      <c r="L686" s="4" t="s">
        <v>487</v>
      </c>
      <c r="M686" s="5">
        <v>0</v>
      </c>
      <c r="N686" s="4" t="s">
        <v>1241</v>
      </c>
    </row>
    <row r="687" spans="1:14" x14ac:dyDescent="0.15">
      <c r="A687" s="4" t="s">
        <v>271</v>
      </c>
      <c r="B687" s="4" t="s">
        <v>24</v>
      </c>
      <c r="C687" s="5">
        <v>0.27361809045199997</v>
      </c>
      <c r="D687" s="5">
        <v>1</v>
      </c>
      <c r="E687" s="4" t="s">
        <v>13</v>
      </c>
      <c r="F687" s="5">
        <v>3</v>
      </c>
      <c r="G687" s="5">
        <v>0</v>
      </c>
      <c r="H687" s="4" t="s">
        <v>488</v>
      </c>
      <c r="I687" s="4" t="s">
        <v>1234</v>
      </c>
      <c r="J687" s="4" t="s">
        <v>1235</v>
      </c>
      <c r="K687" s="4" t="s">
        <v>10</v>
      </c>
      <c r="L687" s="4" t="s">
        <v>487</v>
      </c>
      <c r="M687" s="5">
        <v>0</v>
      </c>
      <c r="N687" s="4" t="s">
        <v>1241</v>
      </c>
    </row>
    <row r="688" spans="1:14" x14ac:dyDescent="0.15">
      <c r="A688" s="4" t="s">
        <v>271</v>
      </c>
      <c r="B688" s="4" t="s">
        <v>17</v>
      </c>
      <c r="C688" s="5">
        <v>16.666666666666998</v>
      </c>
      <c r="D688" s="5">
        <v>1000</v>
      </c>
      <c r="E688" s="4" t="s">
        <v>18</v>
      </c>
      <c r="F688" s="5">
        <v>0</v>
      </c>
      <c r="G688" s="5">
        <v>0</v>
      </c>
      <c r="H688" s="4" t="s">
        <v>488</v>
      </c>
      <c r="I688" s="4" t="s">
        <v>1234</v>
      </c>
      <c r="J688" s="4" t="s">
        <v>1235</v>
      </c>
      <c r="K688" s="4" t="s">
        <v>10</v>
      </c>
      <c r="L688" s="4" t="s">
        <v>487</v>
      </c>
      <c r="M688" s="5">
        <v>0</v>
      </c>
      <c r="N688" s="4" t="s">
        <v>1241</v>
      </c>
    </row>
    <row r="689" spans="1:14" x14ac:dyDescent="0.15">
      <c r="A689" s="4" t="s">
        <v>271</v>
      </c>
      <c r="B689" s="4" t="s">
        <v>19</v>
      </c>
      <c r="C689" s="5">
        <v>5</v>
      </c>
      <c r="D689" s="5">
        <v>1</v>
      </c>
      <c r="E689" s="4" t="s">
        <v>18</v>
      </c>
      <c r="F689" s="5">
        <v>0</v>
      </c>
      <c r="G689" s="5">
        <v>0</v>
      </c>
      <c r="H689" s="4" t="s">
        <v>488</v>
      </c>
      <c r="I689" s="4" t="s">
        <v>1236</v>
      </c>
      <c r="J689" s="4" t="s">
        <v>1235</v>
      </c>
      <c r="K689" s="4" t="s">
        <v>10</v>
      </c>
      <c r="L689" s="4" t="s">
        <v>487</v>
      </c>
      <c r="M689" s="5">
        <v>0</v>
      </c>
      <c r="N689" s="4" t="s">
        <v>1241</v>
      </c>
    </row>
    <row r="690" spans="1:14" x14ac:dyDescent="0.15">
      <c r="A690" s="4" t="s">
        <v>274</v>
      </c>
      <c r="B690" s="4" t="s">
        <v>275</v>
      </c>
      <c r="C690" s="5">
        <v>1</v>
      </c>
      <c r="D690" s="5">
        <v>1</v>
      </c>
      <c r="E690" s="4" t="s">
        <v>9</v>
      </c>
      <c r="F690" s="5">
        <v>0</v>
      </c>
      <c r="G690" s="5">
        <v>0</v>
      </c>
      <c r="H690" s="4" t="s">
        <v>488</v>
      </c>
      <c r="I690" s="4" t="s">
        <v>1234</v>
      </c>
      <c r="J690" s="4" t="s">
        <v>1235</v>
      </c>
      <c r="K690" s="4" t="s">
        <v>10</v>
      </c>
      <c r="L690" s="4" t="s">
        <v>487</v>
      </c>
      <c r="M690" s="5">
        <v>0</v>
      </c>
      <c r="N690" s="4" t="s">
        <v>1241</v>
      </c>
    </row>
    <row r="691" spans="1:14" x14ac:dyDescent="0.15">
      <c r="A691" s="4" t="s">
        <v>276</v>
      </c>
      <c r="B691" s="4" t="s">
        <v>275</v>
      </c>
      <c r="C691" s="5">
        <v>250</v>
      </c>
      <c r="D691" s="5">
        <v>1</v>
      </c>
      <c r="E691" s="4" t="s">
        <v>9</v>
      </c>
      <c r="F691" s="5">
        <v>0</v>
      </c>
      <c r="G691" s="5">
        <v>0</v>
      </c>
      <c r="H691" s="4" t="s">
        <v>488</v>
      </c>
      <c r="I691" s="4" t="s">
        <v>1234</v>
      </c>
      <c r="J691" s="4" t="s">
        <v>1235</v>
      </c>
      <c r="K691" s="4" t="s">
        <v>10</v>
      </c>
      <c r="L691" s="4" t="s">
        <v>487</v>
      </c>
      <c r="M691" s="5">
        <v>0</v>
      </c>
      <c r="N691" s="4" t="s">
        <v>1241</v>
      </c>
    </row>
    <row r="692" spans="1:14" x14ac:dyDescent="0.15">
      <c r="A692" s="4" t="s">
        <v>275</v>
      </c>
      <c r="B692" s="4" t="s">
        <v>28</v>
      </c>
      <c r="C692" s="5">
        <v>2</v>
      </c>
      <c r="D692" s="5">
        <v>1</v>
      </c>
      <c r="E692" s="4" t="s">
        <v>9</v>
      </c>
      <c r="F692" s="5">
        <v>3</v>
      </c>
      <c r="G692" s="5">
        <v>0</v>
      </c>
      <c r="H692" s="4" t="s">
        <v>488</v>
      </c>
      <c r="I692" s="4" t="s">
        <v>1234</v>
      </c>
      <c r="J692" s="4" t="s">
        <v>1235</v>
      </c>
      <c r="K692" s="4" t="s">
        <v>10</v>
      </c>
      <c r="L692" s="4" t="s">
        <v>487</v>
      </c>
      <c r="M692" s="5">
        <v>0</v>
      </c>
      <c r="N692" s="4" t="s">
        <v>1241</v>
      </c>
    </row>
    <row r="693" spans="1:14" x14ac:dyDescent="0.15">
      <c r="A693" s="4" t="s">
        <v>275</v>
      </c>
      <c r="B693" s="4" t="s">
        <v>12</v>
      </c>
      <c r="C693" s="5">
        <v>23.483668341708999</v>
      </c>
      <c r="D693" s="5">
        <v>1000</v>
      </c>
      <c r="E693" s="4" t="s">
        <v>13</v>
      </c>
      <c r="F693" s="5">
        <v>3</v>
      </c>
      <c r="G693" s="5">
        <v>0</v>
      </c>
      <c r="H693" s="4" t="s">
        <v>488</v>
      </c>
      <c r="I693" s="4" t="s">
        <v>1234</v>
      </c>
      <c r="J693" s="4" t="s">
        <v>1235</v>
      </c>
      <c r="K693" s="4" t="s">
        <v>10</v>
      </c>
      <c r="L693" s="4" t="s">
        <v>487</v>
      </c>
      <c r="M693" s="5">
        <v>0</v>
      </c>
      <c r="N693" s="4" t="s">
        <v>1241</v>
      </c>
    </row>
    <row r="694" spans="1:14" x14ac:dyDescent="0.15">
      <c r="A694" s="4" t="s">
        <v>275</v>
      </c>
      <c r="B694" s="4" t="s">
        <v>14</v>
      </c>
      <c r="C694" s="5">
        <v>26.092964824121001</v>
      </c>
      <c r="D694" s="5">
        <v>1000</v>
      </c>
      <c r="E694" s="4" t="s">
        <v>13</v>
      </c>
      <c r="F694" s="5">
        <v>3</v>
      </c>
      <c r="G694" s="5">
        <v>0</v>
      </c>
      <c r="H694" s="4" t="s">
        <v>488</v>
      </c>
      <c r="I694" s="4" t="s">
        <v>1234</v>
      </c>
      <c r="J694" s="4" t="s">
        <v>1235</v>
      </c>
      <c r="K694" s="4" t="s">
        <v>10</v>
      </c>
      <c r="L694" s="4" t="s">
        <v>487</v>
      </c>
      <c r="M694" s="5">
        <v>0</v>
      </c>
      <c r="N694" s="4" t="s">
        <v>1241</v>
      </c>
    </row>
    <row r="695" spans="1:14" x14ac:dyDescent="0.15">
      <c r="A695" s="4" t="s">
        <v>275</v>
      </c>
      <c r="B695" s="4" t="s">
        <v>15</v>
      </c>
      <c r="C695" s="5">
        <v>0.52185929648200002</v>
      </c>
      <c r="D695" s="5">
        <v>1000</v>
      </c>
      <c r="E695" s="4" t="s">
        <v>13</v>
      </c>
      <c r="F695" s="5">
        <v>3</v>
      </c>
      <c r="G695" s="5">
        <v>0</v>
      </c>
      <c r="H695" s="4" t="s">
        <v>488</v>
      </c>
      <c r="I695" s="4" t="s">
        <v>1234</v>
      </c>
      <c r="J695" s="4" t="s">
        <v>1235</v>
      </c>
      <c r="K695" s="4" t="s">
        <v>10</v>
      </c>
      <c r="L695" s="4" t="s">
        <v>487</v>
      </c>
      <c r="M695" s="5">
        <v>0</v>
      </c>
      <c r="N695" s="4" t="s">
        <v>1241</v>
      </c>
    </row>
    <row r="696" spans="1:14" x14ac:dyDescent="0.15">
      <c r="A696" s="4" t="s">
        <v>275</v>
      </c>
      <c r="B696" s="4" t="s">
        <v>23</v>
      </c>
      <c r="C696" s="5">
        <v>1.3046482412059999</v>
      </c>
      <c r="D696" s="5">
        <v>1000</v>
      </c>
      <c r="E696" s="4" t="s">
        <v>13</v>
      </c>
      <c r="F696" s="5">
        <v>3</v>
      </c>
      <c r="G696" s="5">
        <v>0</v>
      </c>
      <c r="H696" s="4" t="s">
        <v>488</v>
      </c>
      <c r="I696" s="4" t="s">
        <v>1234</v>
      </c>
      <c r="J696" s="4" t="s">
        <v>1235</v>
      </c>
      <c r="K696" s="4" t="s">
        <v>10</v>
      </c>
      <c r="L696" s="4" t="s">
        <v>487</v>
      </c>
      <c r="M696" s="5">
        <v>0</v>
      </c>
      <c r="N696" s="4" t="s">
        <v>1241</v>
      </c>
    </row>
    <row r="697" spans="1:14" x14ac:dyDescent="0.15">
      <c r="A697" s="4" t="s">
        <v>275</v>
      </c>
      <c r="B697" s="4" t="s">
        <v>24</v>
      </c>
      <c r="C697" s="5">
        <v>0.52185929648200002</v>
      </c>
      <c r="D697" s="5">
        <v>1000</v>
      </c>
      <c r="E697" s="4" t="s">
        <v>13</v>
      </c>
      <c r="F697" s="5">
        <v>3</v>
      </c>
      <c r="G697" s="5">
        <v>0</v>
      </c>
      <c r="H697" s="4" t="s">
        <v>488</v>
      </c>
      <c r="I697" s="4" t="s">
        <v>1234</v>
      </c>
      <c r="J697" s="4" t="s">
        <v>1235</v>
      </c>
      <c r="K697" s="4" t="s">
        <v>10</v>
      </c>
      <c r="L697" s="4" t="s">
        <v>487</v>
      </c>
      <c r="M697" s="5">
        <v>0</v>
      </c>
      <c r="N697" s="4" t="s">
        <v>1241</v>
      </c>
    </row>
    <row r="698" spans="1:14" x14ac:dyDescent="0.15">
      <c r="A698" s="4" t="s">
        <v>275</v>
      </c>
      <c r="B698" s="4" t="s">
        <v>17</v>
      </c>
      <c r="C698" s="5">
        <v>4.166666666667</v>
      </c>
      <c r="D698" s="5">
        <v>1000</v>
      </c>
      <c r="E698" s="4" t="s">
        <v>18</v>
      </c>
      <c r="F698" s="5">
        <v>0</v>
      </c>
      <c r="G698" s="5">
        <v>0</v>
      </c>
      <c r="H698" s="4" t="s">
        <v>488</v>
      </c>
      <c r="I698" s="4" t="s">
        <v>1234</v>
      </c>
      <c r="J698" s="4" t="s">
        <v>1235</v>
      </c>
      <c r="K698" s="4" t="s">
        <v>10</v>
      </c>
      <c r="L698" s="4" t="s">
        <v>487</v>
      </c>
      <c r="M698" s="5">
        <v>0</v>
      </c>
      <c r="N698" s="4" t="s">
        <v>1241</v>
      </c>
    </row>
    <row r="699" spans="1:14" x14ac:dyDescent="0.15">
      <c r="A699" s="4" t="s">
        <v>275</v>
      </c>
      <c r="B699" s="4" t="s">
        <v>19</v>
      </c>
      <c r="C699" s="5">
        <v>3</v>
      </c>
      <c r="D699" s="5">
        <v>1</v>
      </c>
      <c r="E699" s="4" t="s">
        <v>18</v>
      </c>
      <c r="F699" s="5">
        <v>0</v>
      </c>
      <c r="G699" s="5">
        <v>0</v>
      </c>
      <c r="H699" s="4" t="s">
        <v>488</v>
      </c>
      <c r="I699" s="4" t="s">
        <v>1236</v>
      </c>
      <c r="J699" s="4" t="s">
        <v>1235</v>
      </c>
      <c r="K699" s="4" t="s">
        <v>10</v>
      </c>
      <c r="L699" s="4" t="s">
        <v>487</v>
      </c>
      <c r="M699" s="5">
        <v>0</v>
      </c>
      <c r="N699" s="4" t="s">
        <v>1241</v>
      </c>
    </row>
    <row r="700" spans="1:14" x14ac:dyDescent="0.15">
      <c r="A700" s="4" t="s">
        <v>277</v>
      </c>
      <c r="B700" s="4" t="s">
        <v>278</v>
      </c>
      <c r="C700" s="5">
        <v>1</v>
      </c>
      <c r="D700" s="5">
        <v>1</v>
      </c>
      <c r="E700" s="4" t="s">
        <v>9</v>
      </c>
      <c r="F700" s="5">
        <v>0</v>
      </c>
      <c r="G700" s="5">
        <v>0</v>
      </c>
      <c r="H700" s="4" t="s">
        <v>488</v>
      </c>
      <c r="I700" s="4" t="s">
        <v>1234</v>
      </c>
      <c r="J700" s="4" t="s">
        <v>1235</v>
      </c>
      <c r="K700" s="4" t="s">
        <v>10</v>
      </c>
      <c r="L700" s="4" t="s">
        <v>487</v>
      </c>
      <c r="M700" s="5">
        <v>0</v>
      </c>
      <c r="N700" s="4" t="s">
        <v>1241</v>
      </c>
    </row>
    <row r="701" spans="1:14" x14ac:dyDescent="0.15">
      <c r="A701" s="4" t="s">
        <v>279</v>
      </c>
      <c r="B701" s="4" t="s">
        <v>278</v>
      </c>
      <c r="C701" s="5">
        <v>250</v>
      </c>
      <c r="D701" s="5">
        <v>1</v>
      </c>
      <c r="E701" s="4" t="s">
        <v>9</v>
      </c>
      <c r="F701" s="5">
        <v>0</v>
      </c>
      <c r="G701" s="5">
        <v>0</v>
      </c>
      <c r="H701" s="4" t="s">
        <v>488</v>
      </c>
      <c r="I701" s="4" t="s">
        <v>1234</v>
      </c>
      <c r="J701" s="4" t="s">
        <v>1235</v>
      </c>
      <c r="K701" s="4" t="s">
        <v>10</v>
      </c>
      <c r="L701" s="4" t="s">
        <v>487</v>
      </c>
      <c r="M701" s="5">
        <v>0</v>
      </c>
      <c r="N701" s="4" t="s">
        <v>1241</v>
      </c>
    </row>
    <row r="702" spans="1:14" x14ac:dyDescent="0.15">
      <c r="A702" s="4" t="s">
        <v>278</v>
      </c>
      <c r="B702" s="4" t="s">
        <v>34</v>
      </c>
      <c r="C702" s="5">
        <v>1</v>
      </c>
      <c r="D702" s="5">
        <v>1</v>
      </c>
      <c r="E702" s="4" t="s">
        <v>9</v>
      </c>
      <c r="F702" s="5">
        <v>3</v>
      </c>
      <c r="G702" s="5">
        <v>0</v>
      </c>
      <c r="H702" s="4" t="s">
        <v>488</v>
      </c>
      <c r="I702" s="4" t="s">
        <v>1234</v>
      </c>
      <c r="J702" s="4" t="s">
        <v>1235</v>
      </c>
      <c r="K702" s="4" t="s">
        <v>10</v>
      </c>
      <c r="L702" s="4" t="s">
        <v>487</v>
      </c>
      <c r="M702" s="5">
        <v>0</v>
      </c>
      <c r="N702" s="4" t="s">
        <v>1241</v>
      </c>
    </row>
    <row r="703" spans="1:14" x14ac:dyDescent="0.15">
      <c r="A703" s="4" t="s">
        <v>278</v>
      </c>
      <c r="B703" s="4" t="s">
        <v>12</v>
      </c>
      <c r="C703" s="5">
        <v>35.050251256281001</v>
      </c>
      <c r="D703" s="5">
        <v>1000</v>
      </c>
      <c r="E703" s="4" t="s">
        <v>13</v>
      </c>
      <c r="F703" s="5">
        <v>3</v>
      </c>
      <c r="G703" s="5">
        <v>0</v>
      </c>
      <c r="H703" s="4" t="s">
        <v>488</v>
      </c>
      <c r="I703" s="4" t="s">
        <v>1234</v>
      </c>
      <c r="J703" s="4" t="s">
        <v>1235</v>
      </c>
      <c r="K703" s="4" t="s">
        <v>10</v>
      </c>
      <c r="L703" s="4" t="s">
        <v>487</v>
      </c>
      <c r="M703" s="5">
        <v>0</v>
      </c>
      <c r="N703" s="4" t="s">
        <v>1241</v>
      </c>
    </row>
    <row r="704" spans="1:14" x14ac:dyDescent="0.15">
      <c r="A704" s="4" t="s">
        <v>278</v>
      </c>
      <c r="B704" s="4" t="s">
        <v>14</v>
      </c>
      <c r="C704" s="5">
        <v>38.944723618091004</v>
      </c>
      <c r="D704" s="5">
        <v>1000</v>
      </c>
      <c r="E704" s="4" t="s">
        <v>13</v>
      </c>
      <c r="F704" s="5">
        <v>3</v>
      </c>
      <c r="G704" s="5">
        <v>0</v>
      </c>
      <c r="H704" s="4" t="s">
        <v>488</v>
      </c>
      <c r="I704" s="4" t="s">
        <v>1234</v>
      </c>
      <c r="J704" s="4" t="s">
        <v>1235</v>
      </c>
      <c r="K704" s="4" t="s">
        <v>10</v>
      </c>
      <c r="L704" s="4" t="s">
        <v>487</v>
      </c>
      <c r="M704" s="5">
        <v>0</v>
      </c>
      <c r="N704" s="4" t="s">
        <v>1241</v>
      </c>
    </row>
    <row r="705" spans="1:14" x14ac:dyDescent="0.15">
      <c r="A705" s="4" t="s">
        <v>278</v>
      </c>
      <c r="B705" s="4" t="s">
        <v>15</v>
      </c>
      <c r="C705" s="5">
        <v>0.77889447236200005</v>
      </c>
      <c r="D705" s="5">
        <v>1000</v>
      </c>
      <c r="E705" s="4" t="s">
        <v>13</v>
      </c>
      <c r="F705" s="5">
        <v>3</v>
      </c>
      <c r="G705" s="5">
        <v>0</v>
      </c>
      <c r="H705" s="4" t="s">
        <v>488</v>
      </c>
      <c r="I705" s="4" t="s">
        <v>1234</v>
      </c>
      <c r="J705" s="4" t="s">
        <v>1235</v>
      </c>
      <c r="K705" s="4" t="s">
        <v>10</v>
      </c>
      <c r="L705" s="4" t="s">
        <v>487</v>
      </c>
      <c r="M705" s="5">
        <v>0</v>
      </c>
      <c r="N705" s="4" t="s">
        <v>1241</v>
      </c>
    </row>
    <row r="706" spans="1:14" x14ac:dyDescent="0.15">
      <c r="A706" s="4" t="s">
        <v>278</v>
      </c>
      <c r="B706" s="4" t="s">
        <v>23</v>
      </c>
      <c r="C706" s="5">
        <v>1.9472361809050001</v>
      </c>
      <c r="D706" s="5">
        <v>1000</v>
      </c>
      <c r="E706" s="4" t="s">
        <v>13</v>
      </c>
      <c r="F706" s="5">
        <v>3</v>
      </c>
      <c r="G706" s="5">
        <v>0</v>
      </c>
      <c r="H706" s="4" t="s">
        <v>488</v>
      </c>
      <c r="I706" s="4" t="s">
        <v>1234</v>
      </c>
      <c r="J706" s="4" t="s">
        <v>1235</v>
      </c>
      <c r="K706" s="4" t="s">
        <v>10</v>
      </c>
      <c r="L706" s="4" t="s">
        <v>487</v>
      </c>
      <c r="M706" s="5">
        <v>0</v>
      </c>
      <c r="N706" s="4" t="s">
        <v>1241</v>
      </c>
    </row>
    <row r="707" spans="1:14" x14ac:dyDescent="0.15">
      <c r="A707" s="4" t="s">
        <v>278</v>
      </c>
      <c r="B707" s="4" t="s">
        <v>24</v>
      </c>
      <c r="C707" s="5">
        <v>0.77889447236200005</v>
      </c>
      <c r="D707" s="5">
        <v>1000</v>
      </c>
      <c r="E707" s="4" t="s">
        <v>13</v>
      </c>
      <c r="F707" s="5">
        <v>3</v>
      </c>
      <c r="G707" s="5">
        <v>0</v>
      </c>
      <c r="H707" s="4" t="s">
        <v>488</v>
      </c>
      <c r="I707" s="4" t="s">
        <v>1234</v>
      </c>
      <c r="J707" s="4" t="s">
        <v>1235</v>
      </c>
      <c r="K707" s="4" t="s">
        <v>10</v>
      </c>
      <c r="L707" s="4" t="s">
        <v>487</v>
      </c>
      <c r="M707" s="5">
        <v>0</v>
      </c>
      <c r="N707" s="4" t="s">
        <v>1241</v>
      </c>
    </row>
    <row r="708" spans="1:14" x14ac:dyDescent="0.15">
      <c r="A708" s="4" t="s">
        <v>278</v>
      </c>
      <c r="B708" s="4" t="s">
        <v>17</v>
      </c>
      <c r="C708" s="5">
        <v>4.166666666667</v>
      </c>
      <c r="D708" s="5">
        <v>1000</v>
      </c>
      <c r="E708" s="4" t="s">
        <v>18</v>
      </c>
      <c r="F708" s="5">
        <v>0</v>
      </c>
      <c r="G708" s="5">
        <v>0</v>
      </c>
      <c r="H708" s="4" t="s">
        <v>488</v>
      </c>
      <c r="I708" s="4" t="s">
        <v>1234</v>
      </c>
      <c r="J708" s="4" t="s">
        <v>1235</v>
      </c>
      <c r="K708" s="4" t="s">
        <v>10</v>
      </c>
      <c r="L708" s="4" t="s">
        <v>487</v>
      </c>
      <c r="M708" s="5">
        <v>0</v>
      </c>
      <c r="N708" s="4" t="s">
        <v>1241</v>
      </c>
    </row>
    <row r="709" spans="1:14" x14ac:dyDescent="0.15">
      <c r="A709" s="4" t="s">
        <v>278</v>
      </c>
      <c r="B709" s="4" t="s">
        <v>19</v>
      </c>
      <c r="C709" s="5">
        <v>3</v>
      </c>
      <c r="D709" s="5">
        <v>1</v>
      </c>
      <c r="E709" s="4" t="s">
        <v>18</v>
      </c>
      <c r="F709" s="5">
        <v>0</v>
      </c>
      <c r="G709" s="5">
        <v>0</v>
      </c>
      <c r="H709" s="4" t="s">
        <v>488</v>
      </c>
      <c r="I709" s="4" t="s">
        <v>1236</v>
      </c>
      <c r="J709" s="4" t="s">
        <v>1235</v>
      </c>
      <c r="K709" s="4" t="s">
        <v>10</v>
      </c>
      <c r="L709" s="4" t="s">
        <v>487</v>
      </c>
      <c r="M709" s="5">
        <v>0</v>
      </c>
      <c r="N709" s="4" t="s">
        <v>1241</v>
      </c>
    </row>
    <row r="710" spans="1:14" x14ac:dyDescent="0.15">
      <c r="A710" s="4" t="s">
        <v>280</v>
      </c>
      <c r="B710" s="4" t="s">
        <v>281</v>
      </c>
      <c r="C710" s="5">
        <v>1</v>
      </c>
      <c r="D710" s="5">
        <v>1</v>
      </c>
      <c r="E710" s="4" t="s">
        <v>9</v>
      </c>
      <c r="F710" s="5">
        <v>0</v>
      </c>
      <c r="G710" s="5">
        <v>0</v>
      </c>
      <c r="H710" s="4" t="s">
        <v>488</v>
      </c>
      <c r="I710" s="4" t="s">
        <v>1234</v>
      </c>
      <c r="J710" s="4" t="s">
        <v>1235</v>
      </c>
      <c r="K710" s="4" t="s">
        <v>10</v>
      </c>
      <c r="L710" s="4" t="s">
        <v>487</v>
      </c>
      <c r="M710" s="5">
        <v>0</v>
      </c>
      <c r="N710" s="4" t="s">
        <v>1241</v>
      </c>
    </row>
    <row r="711" spans="1:14" x14ac:dyDescent="0.15">
      <c r="A711" s="4" t="s">
        <v>282</v>
      </c>
      <c r="B711" s="4" t="s">
        <v>281</v>
      </c>
      <c r="C711" s="5">
        <v>500</v>
      </c>
      <c r="D711" s="5">
        <v>1000</v>
      </c>
      <c r="E711" s="4" t="s">
        <v>9</v>
      </c>
      <c r="F711" s="5">
        <v>0</v>
      </c>
      <c r="G711" s="5">
        <v>0</v>
      </c>
      <c r="H711" s="4" t="s">
        <v>488</v>
      </c>
      <c r="I711" s="4" t="s">
        <v>1234</v>
      </c>
      <c r="J711" s="4" t="s">
        <v>1235</v>
      </c>
      <c r="K711" s="4" t="s">
        <v>10</v>
      </c>
      <c r="L711" s="4" t="s">
        <v>487</v>
      </c>
      <c r="M711" s="5">
        <v>0</v>
      </c>
      <c r="N711" s="4" t="s">
        <v>1241</v>
      </c>
    </row>
    <row r="712" spans="1:14" x14ac:dyDescent="0.15">
      <c r="A712" s="4" t="s">
        <v>283</v>
      </c>
      <c r="B712" s="4" t="s">
        <v>281</v>
      </c>
      <c r="C712" s="5">
        <v>250</v>
      </c>
      <c r="D712" s="5">
        <v>1</v>
      </c>
      <c r="E712" s="4" t="s">
        <v>9</v>
      </c>
      <c r="F712" s="5">
        <v>0</v>
      </c>
      <c r="G712" s="5">
        <v>0</v>
      </c>
      <c r="H712" s="4" t="s">
        <v>488</v>
      </c>
      <c r="I712" s="4" t="s">
        <v>1234</v>
      </c>
      <c r="J712" s="4" t="s">
        <v>1235</v>
      </c>
      <c r="K712" s="4" t="s">
        <v>10</v>
      </c>
      <c r="L712" s="4" t="s">
        <v>487</v>
      </c>
      <c r="M712" s="5">
        <v>0</v>
      </c>
      <c r="N712" s="4" t="s">
        <v>1241</v>
      </c>
    </row>
    <row r="713" spans="1:14" x14ac:dyDescent="0.15">
      <c r="A713" s="4" t="s">
        <v>281</v>
      </c>
      <c r="B713" s="4" t="s">
        <v>34</v>
      </c>
      <c r="C713" s="5">
        <v>1</v>
      </c>
      <c r="D713" s="5">
        <v>1</v>
      </c>
      <c r="E713" s="4" t="s">
        <v>9</v>
      </c>
      <c r="F713" s="5">
        <v>3</v>
      </c>
      <c r="G713" s="5">
        <v>0</v>
      </c>
      <c r="H713" s="4" t="s">
        <v>488</v>
      </c>
      <c r="I713" s="4" t="s">
        <v>1234</v>
      </c>
      <c r="J713" s="4" t="s">
        <v>1235</v>
      </c>
      <c r="K713" s="4" t="s">
        <v>10</v>
      </c>
      <c r="L713" s="4" t="s">
        <v>487</v>
      </c>
      <c r="M713" s="5">
        <v>0</v>
      </c>
      <c r="N713" s="4" t="s">
        <v>1241</v>
      </c>
    </row>
    <row r="714" spans="1:14" x14ac:dyDescent="0.15">
      <c r="A714" s="4" t="s">
        <v>281</v>
      </c>
      <c r="B714" s="4" t="s">
        <v>28</v>
      </c>
      <c r="C714" s="5">
        <v>1</v>
      </c>
      <c r="D714" s="5">
        <v>1</v>
      </c>
      <c r="E714" s="4" t="s">
        <v>9</v>
      </c>
      <c r="F714" s="5">
        <v>3</v>
      </c>
      <c r="G714" s="5">
        <v>0</v>
      </c>
      <c r="H714" s="4" t="s">
        <v>488</v>
      </c>
      <c r="I714" s="4" t="s">
        <v>1234</v>
      </c>
      <c r="J714" s="4" t="s">
        <v>1235</v>
      </c>
      <c r="K714" s="4" t="s">
        <v>10</v>
      </c>
      <c r="L714" s="4" t="s">
        <v>487</v>
      </c>
      <c r="M714" s="5">
        <v>0</v>
      </c>
      <c r="N714" s="4" t="s">
        <v>1241</v>
      </c>
    </row>
    <row r="715" spans="1:14" x14ac:dyDescent="0.15">
      <c r="A715" s="4" t="s">
        <v>281</v>
      </c>
      <c r="B715" s="4" t="s">
        <v>12</v>
      </c>
      <c r="C715" s="5">
        <v>48.603391959798998</v>
      </c>
      <c r="D715" s="5">
        <v>1000</v>
      </c>
      <c r="E715" s="4" t="s">
        <v>13</v>
      </c>
      <c r="F715" s="5">
        <v>3</v>
      </c>
      <c r="G715" s="5">
        <v>0</v>
      </c>
      <c r="H715" s="4" t="s">
        <v>488</v>
      </c>
      <c r="I715" s="4" t="s">
        <v>1234</v>
      </c>
      <c r="J715" s="4" t="s">
        <v>1235</v>
      </c>
      <c r="K715" s="4" t="s">
        <v>10</v>
      </c>
      <c r="L715" s="4" t="s">
        <v>487</v>
      </c>
      <c r="M715" s="5">
        <v>0</v>
      </c>
      <c r="N715" s="4" t="s">
        <v>1241</v>
      </c>
    </row>
    <row r="716" spans="1:14" x14ac:dyDescent="0.15">
      <c r="A716" s="4" t="s">
        <v>281</v>
      </c>
      <c r="B716" s="4" t="s">
        <v>14</v>
      </c>
      <c r="C716" s="5">
        <v>54.003768844221007</v>
      </c>
      <c r="D716" s="5">
        <v>1000</v>
      </c>
      <c r="E716" s="4" t="s">
        <v>13</v>
      </c>
      <c r="F716" s="5">
        <v>3</v>
      </c>
      <c r="G716" s="5">
        <v>0</v>
      </c>
      <c r="H716" s="4" t="s">
        <v>488</v>
      </c>
      <c r="I716" s="4" t="s">
        <v>1234</v>
      </c>
      <c r="J716" s="4" t="s">
        <v>1235</v>
      </c>
      <c r="K716" s="4" t="s">
        <v>10</v>
      </c>
      <c r="L716" s="4" t="s">
        <v>487</v>
      </c>
      <c r="M716" s="5">
        <v>0</v>
      </c>
      <c r="N716" s="4" t="s">
        <v>1241</v>
      </c>
    </row>
    <row r="717" spans="1:14" x14ac:dyDescent="0.15">
      <c r="A717" s="4" t="s">
        <v>281</v>
      </c>
      <c r="B717" s="4" t="s">
        <v>15</v>
      </c>
      <c r="C717" s="5">
        <v>1.0800753768839999</v>
      </c>
      <c r="D717" s="5">
        <v>1000</v>
      </c>
      <c r="E717" s="4" t="s">
        <v>13</v>
      </c>
      <c r="F717" s="5">
        <v>3</v>
      </c>
      <c r="G717" s="5">
        <v>0</v>
      </c>
      <c r="H717" s="4" t="s">
        <v>488</v>
      </c>
      <c r="I717" s="4" t="s">
        <v>1234</v>
      </c>
      <c r="J717" s="4" t="s">
        <v>1235</v>
      </c>
      <c r="K717" s="4" t="s">
        <v>10</v>
      </c>
      <c r="L717" s="4" t="s">
        <v>487</v>
      </c>
      <c r="M717" s="5">
        <v>0</v>
      </c>
      <c r="N717" s="4" t="s">
        <v>1241</v>
      </c>
    </row>
    <row r="718" spans="1:14" x14ac:dyDescent="0.15">
      <c r="A718" s="4" t="s">
        <v>281</v>
      </c>
      <c r="B718" s="4" t="s">
        <v>23</v>
      </c>
      <c r="C718" s="5">
        <v>2.7001884422109996</v>
      </c>
      <c r="D718" s="5">
        <v>1000</v>
      </c>
      <c r="E718" s="4" t="s">
        <v>13</v>
      </c>
      <c r="F718" s="5">
        <v>3</v>
      </c>
      <c r="G718" s="5">
        <v>0</v>
      </c>
      <c r="H718" s="4" t="s">
        <v>488</v>
      </c>
      <c r="I718" s="4" t="s">
        <v>1234</v>
      </c>
      <c r="J718" s="4" t="s">
        <v>1235</v>
      </c>
      <c r="K718" s="4" t="s">
        <v>10</v>
      </c>
      <c r="L718" s="4" t="s">
        <v>487</v>
      </c>
      <c r="M718" s="5">
        <v>0</v>
      </c>
      <c r="N718" s="4" t="s">
        <v>1241</v>
      </c>
    </row>
    <row r="719" spans="1:14" x14ac:dyDescent="0.15">
      <c r="A719" s="4" t="s">
        <v>281</v>
      </c>
      <c r="B719" s="4" t="s">
        <v>24</v>
      </c>
      <c r="C719" s="5">
        <v>1.0800753768839999</v>
      </c>
      <c r="D719" s="5">
        <v>1000</v>
      </c>
      <c r="E719" s="4" t="s">
        <v>13</v>
      </c>
      <c r="F719" s="5">
        <v>3</v>
      </c>
      <c r="G719" s="5">
        <v>0</v>
      </c>
      <c r="H719" s="4" t="s">
        <v>488</v>
      </c>
      <c r="I719" s="4" t="s">
        <v>1234</v>
      </c>
      <c r="J719" s="4" t="s">
        <v>1235</v>
      </c>
      <c r="K719" s="4" t="s">
        <v>10</v>
      </c>
      <c r="L719" s="4" t="s">
        <v>487</v>
      </c>
      <c r="M719" s="5">
        <v>0</v>
      </c>
      <c r="N719" s="4" t="s">
        <v>1241</v>
      </c>
    </row>
    <row r="720" spans="1:14" x14ac:dyDescent="0.15">
      <c r="A720" s="4" t="s">
        <v>281</v>
      </c>
      <c r="B720" s="4" t="s">
        <v>17</v>
      </c>
      <c r="C720" s="5">
        <v>4.166666666667</v>
      </c>
      <c r="D720" s="5">
        <v>1000</v>
      </c>
      <c r="E720" s="4" t="s">
        <v>18</v>
      </c>
      <c r="F720" s="5">
        <v>0</v>
      </c>
      <c r="G720" s="5">
        <v>0</v>
      </c>
      <c r="H720" s="4" t="s">
        <v>488</v>
      </c>
      <c r="I720" s="4" t="s">
        <v>1234</v>
      </c>
      <c r="J720" s="4" t="s">
        <v>1235</v>
      </c>
      <c r="K720" s="4" t="s">
        <v>10</v>
      </c>
      <c r="L720" s="4" t="s">
        <v>487</v>
      </c>
      <c r="M720" s="5">
        <v>0</v>
      </c>
      <c r="N720" s="4" t="s">
        <v>1241</v>
      </c>
    </row>
    <row r="721" spans="1:14" x14ac:dyDescent="0.15">
      <c r="A721" s="4" t="s">
        <v>281</v>
      </c>
      <c r="B721" s="4" t="s">
        <v>19</v>
      </c>
      <c r="C721" s="5">
        <v>3</v>
      </c>
      <c r="D721" s="5">
        <v>1</v>
      </c>
      <c r="E721" s="4" t="s">
        <v>18</v>
      </c>
      <c r="F721" s="5">
        <v>0</v>
      </c>
      <c r="G721" s="5">
        <v>0</v>
      </c>
      <c r="H721" s="4" t="s">
        <v>488</v>
      </c>
      <c r="I721" s="4" t="s">
        <v>1236</v>
      </c>
      <c r="J721" s="4" t="s">
        <v>1235</v>
      </c>
      <c r="K721" s="4" t="s">
        <v>10</v>
      </c>
      <c r="L721" s="4" t="s">
        <v>487</v>
      </c>
      <c r="M721" s="5">
        <v>0</v>
      </c>
      <c r="N721" s="4" t="s">
        <v>1241</v>
      </c>
    </row>
    <row r="722" spans="1:14" x14ac:dyDescent="0.15">
      <c r="A722" s="4" t="s">
        <v>284</v>
      </c>
      <c r="B722" s="4" t="s">
        <v>285</v>
      </c>
      <c r="C722" s="5">
        <v>1</v>
      </c>
      <c r="D722" s="5">
        <v>1</v>
      </c>
      <c r="E722" s="4" t="s">
        <v>9</v>
      </c>
      <c r="F722" s="5">
        <v>0</v>
      </c>
      <c r="G722" s="5">
        <v>0</v>
      </c>
      <c r="H722" s="4" t="s">
        <v>488</v>
      </c>
      <c r="I722" s="4" t="s">
        <v>1234</v>
      </c>
      <c r="J722" s="4" t="s">
        <v>1235</v>
      </c>
      <c r="K722" s="4" t="s">
        <v>10</v>
      </c>
      <c r="L722" s="4" t="s">
        <v>487</v>
      </c>
      <c r="M722" s="5">
        <v>0</v>
      </c>
      <c r="N722" s="4" t="s">
        <v>1241</v>
      </c>
    </row>
    <row r="723" spans="1:14" x14ac:dyDescent="0.15">
      <c r="A723" s="4" t="s">
        <v>286</v>
      </c>
      <c r="B723" s="4" t="s">
        <v>285</v>
      </c>
      <c r="C723" s="5">
        <v>500</v>
      </c>
      <c r="D723" s="5">
        <v>1000</v>
      </c>
      <c r="E723" s="4" t="s">
        <v>9</v>
      </c>
      <c r="F723" s="5">
        <v>0</v>
      </c>
      <c r="G723" s="5">
        <v>0</v>
      </c>
      <c r="H723" s="4" t="s">
        <v>488</v>
      </c>
      <c r="I723" s="4" t="s">
        <v>1234</v>
      </c>
      <c r="J723" s="4" t="s">
        <v>1235</v>
      </c>
      <c r="K723" s="4" t="s">
        <v>10</v>
      </c>
      <c r="L723" s="4" t="s">
        <v>487</v>
      </c>
      <c r="M723" s="5">
        <v>0</v>
      </c>
      <c r="N723" s="4" t="s">
        <v>1241</v>
      </c>
    </row>
    <row r="724" spans="1:14" x14ac:dyDescent="0.15">
      <c r="A724" s="4" t="s">
        <v>287</v>
      </c>
      <c r="B724" s="4" t="s">
        <v>285</v>
      </c>
      <c r="C724" s="5">
        <v>250</v>
      </c>
      <c r="D724" s="5">
        <v>1</v>
      </c>
      <c r="E724" s="4" t="s">
        <v>9</v>
      </c>
      <c r="F724" s="5">
        <v>0</v>
      </c>
      <c r="G724" s="5">
        <v>0</v>
      </c>
      <c r="H724" s="4" t="s">
        <v>488</v>
      </c>
      <c r="I724" s="4" t="s">
        <v>1234</v>
      </c>
      <c r="J724" s="4" t="s">
        <v>1235</v>
      </c>
      <c r="K724" s="4" t="s">
        <v>10</v>
      </c>
      <c r="L724" s="4" t="s">
        <v>487</v>
      </c>
      <c r="M724" s="5">
        <v>0</v>
      </c>
      <c r="N724" s="4" t="s">
        <v>1241</v>
      </c>
    </row>
    <row r="725" spans="1:14" x14ac:dyDescent="0.15">
      <c r="A725" s="4" t="s">
        <v>285</v>
      </c>
      <c r="B725" s="4" t="s">
        <v>34</v>
      </c>
      <c r="C725" s="5">
        <v>2</v>
      </c>
      <c r="D725" s="5">
        <v>1</v>
      </c>
      <c r="E725" s="4" t="s">
        <v>9</v>
      </c>
      <c r="F725" s="5">
        <v>3</v>
      </c>
      <c r="G725" s="5">
        <v>0</v>
      </c>
      <c r="H725" s="4" t="s">
        <v>488</v>
      </c>
      <c r="I725" s="4" t="s">
        <v>1234</v>
      </c>
      <c r="J725" s="4" t="s">
        <v>1235</v>
      </c>
      <c r="K725" s="4" t="s">
        <v>10</v>
      </c>
      <c r="L725" s="4" t="s">
        <v>487</v>
      </c>
      <c r="M725" s="5">
        <v>0</v>
      </c>
      <c r="N725" s="4" t="s">
        <v>1241</v>
      </c>
    </row>
    <row r="726" spans="1:14" x14ac:dyDescent="0.15">
      <c r="A726" s="4" t="s">
        <v>285</v>
      </c>
      <c r="B726" s="4" t="s">
        <v>12</v>
      </c>
      <c r="C726" s="5">
        <v>65.577889447236004</v>
      </c>
      <c r="D726" s="5">
        <v>1000</v>
      </c>
      <c r="E726" s="4" t="s">
        <v>13</v>
      </c>
      <c r="F726" s="5">
        <v>3</v>
      </c>
      <c r="G726" s="5">
        <v>0</v>
      </c>
      <c r="H726" s="4" t="s">
        <v>488</v>
      </c>
      <c r="I726" s="4" t="s">
        <v>1234</v>
      </c>
      <c r="J726" s="4" t="s">
        <v>1235</v>
      </c>
      <c r="K726" s="4" t="s">
        <v>10</v>
      </c>
      <c r="L726" s="4" t="s">
        <v>487</v>
      </c>
      <c r="M726" s="5">
        <v>0</v>
      </c>
      <c r="N726" s="4" t="s">
        <v>1241</v>
      </c>
    </row>
    <row r="727" spans="1:14" x14ac:dyDescent="0.15">
      <c r="A727" s="4" t="s">
        <v>285</v>
      </c>
      <c r="B727" s="4" t="s">
        <v>14</v>
      </c>
      <c r="C727" s="5">
        <v>72.864321608040015</v>
      </c>
      <c r="D727" s="5">
        <v>1000</v>
      </c>
      <c r="E727" s="4" t="s">
        <v>13</v>
      </c>
      <c r="F727" s="5">
        <v>3</v>
      </c>
      <c r="G727" s="5">
        <v>0</v>
      </c>
      <c r="H727" s="4" t="s">
        <v>488</v>
      </c>
      <c r="I727" s="4" t="s">
        <v>1234</v>
      </c>
      <c r="J727" s="4" t="s">
        <v>1235</v>
      </c>
      <c r="K727" s="4" t="s">
        <v>10</v>
      </c>
      <c r="L727" s="4" t="s">
        <v>487</v>
      </c>
      <c r="M727" s="5">
        <v>0</v>
      </c>
      <c r="N727" s="4" t="s">
        <v>1241</v>
      </c>
    </row>
    <row r="728" spans="1:14" x14ac:dyDescent="0.15">
      <c r="A728" s="4" t="s">
        <v>285</v>
      </c>
      <c r="B728" s="4" t="s">
        <v>15</v>
      </c>
      <c r="C728" s="5">
        <v>1.457286432161</v>
      </c>
      <c r="D728" s="5">
        <v>1000</v>
      </c>
      <c r="E728" s="4" t="s">
        <v>13</v>
      </c>
      <c r="F728" s="5">
        <v>3</v>
      </c>
      <c r="G728" s="5">
        <v>0</v>
      </c>
      <c r="H728" s="4" t="s">
        <v>488</v>
      </c>
      <c r="I728" s="4" t="s">
        <v>1234</v>
      </c>
      <c r="J728" s="4" t="s">
        <v>1235</v>
      </c>
      <c r="K728" s="4" t="s">
        <v>10</v>
      </c>
      <c r="L728" s="4" t="s">
        <v>487</v>
      </c>
      <c r="M728" s="5">
        <v>0</v>
      </c>
      <c r="N728" s="4" t="s">
        <v>1241</v>
      </c>
    </row>
    <row r="729" spans="1:14" x14ac:dyDescent="0.15">
      <c r="A729" s="4" t="s">
        <v>285</v>
      </c>
      <c r="B729" s="4" t="s">
        <v>23</v>
      </c>
      <c r="C729" s="5">
        <v>3.6432160804020008</v>
      </c>
      <c r="D729" s="5">
        <v>1000</v>
      </c>
      <c r="E729" s="4" t="s">
        <v>13</v>
      </c>
      <c r="F729" s="5">
        <v>3</v>
      </c>
      <c r="G729" s="5">
        <v>0</v>
      </c>
      <c r="H729" s="4" t="s">
        <v>488</v>
      </c>
      <c r="I729" s="4" t="s">
        <v>1234</v>
      </c>
      <c r="J729" s="4" t="s">
        <v>1235</v>
      </c>
      <c r="K729" s="4" t="s">
        <v>10</v>
      </c>
      <c r="L729" s="4" t="s">
        <v>487</v>
      </c>
      <c r="M729" s="5">
        <v>0</v>
      </c>
      <c r="N729" s="4" t="s">
        <v>1241</v>
      </c>
    </row>
    <row r="730" spans="1:14" x14ac:dyDescent="0.15">
      <c r="A730" s="4" t="s">
        <v>285</v>
      </c>
      <c r="B730" s="4" t="s">
        <v>24</v>
      </c>
      <c r="C730" s="5">
        <v>1.457286432161</v>
      </c>
      <c r="D730" s="5">
        <v>1000</v>
      </c>
      <c r="E730" s="4" t="s">
        <v>13</v>
      </c>
      <c r="F730" s="5">
        <v>3</v>
      </c>
      <c r="G730" s="5">
        <v>0</v>
      </c>
      <c r="H730" s="4" t="s">
        <v>488</v>
      </c>
      <c r="I730" s="4" t="s">
        <v>1234</v>
      </c>
      <c r="J730" s="4" t="s">
        <v>1235</v>
      </c>
      <c r="K730" s="4" t="s">
        <v>10</v>
      </c>
      <c r="L730" s="4" t="s">
        <v>487</v>
      </c>
      <c r="M730" s="5">
        <v>0</v>
      </c>
      <c r="N730" s="4" t="s">
        <v>1241</v>
      </c>
    </row>
    <row r="731" spans="1:14" x14ac:dyDescent="0.15">
      <c r="A731" s="4" t="s">
        <v>285</v>
      </c>
      <c r="B731" s="4" t="s">
        <v>17</v>
      </c>
      <c r="C731" s="5">
        <v>4.166666666667</v>
      </c>
      <c r="D731" s="5">
        <v>1000</v>
      </c>
      <c r="E731" s="4" t="s">
        <v>18</v>
      </c>
      <c r="F731" s="5">
        <v>0</v>
      </c>
      <c r="G731" s="5">
        <v>0</v>
      </c>
      <c r="H731" s="4" t="s">
        <v>488</v>
      </c>
      <c r="I731" s="4" t="s">
        <v>1234</v>
      </c>
      <c r="J731" s="4" t="s">
        <v>1235</v>
      </c>
      <c r="K731" s="4" t="s">
        <v>10</v>
      </c>
      <c r="L731" s="4" t="s">
        <v>487</v>
      </c>
      <c r="M731" s="5">
        <v>0</v>
      </c>
      <c r="N731" s="4" t="s">
        <v>1241</v>
      </c>
    </row>
    <row r="732" spans="1:14" x14ac:dyDescent="0.15">
      <c r="A732" s="4" t="s">
        <v>285</v>
      </c>
      <c r="B732" s="4" t="s">
        <v>19</v>
      </c>
      <c r="C732" s="5">
        <v>3</v>
      </c>
      <c r="D732" s="5">
        <v>1</v>
      </c>
      <c r="E732" s="4" t="s">
        <v>18</v>
      </c>
      <c r="F732" s="5">
        <v>0</v>
      </c>
      <c r="G732" s="5">
        <v>0</v>
      </c>
      <c r="H732" s="4" t="s">
        <v>488</v>
      </c>
      <c r="I732" s="4" t="s">
        <v>1236</v>
      </c>
      <c r="J732" s="4" t="s">
        <v>1235</v>
      </c>
      <c r="K732" s="4" t="s">
        <v>10</v>
      </c>
      <c r="L732" s="4" t="s">
        <v>487</v>
      </c>
      <c r="M732" s="5">
        <v>0</v>
      </c>
      <c r="N732" s="4" t="s">
        <v>1241</v>
      </c>
    </row>
    <row r="733" spans="1:14" x14ac:dyDescent="0.15">
      <c r="A733" s="4" t="s">
        <v>288</v>
      </c>
      <c r="B733" s="4" t="s">
        <v>289</v>
      </c>
      <c r="C733" s="5">
        <v>1</v>
      </c>
      <c r="D733" s="5">
        <v>1</v>
      </c>
      <c r="E733" s="4" t="s">
        <v>9</v>
      </c>
      <c r="F733" s="5">
        <v>0</v>
      </c>
      <c r="G733" s="5">
        <v>0</v>
      </c>
      <c r="H733" s="4" t="s">
        <v>488</v>
      </c>
      <c r="I733" s="4" t="s">
        <v>1234</v>
      </c>
      <c r="J733" s="4" t="s">
        <v>1235</v>
      </c>
      <c r="K733" s="4" t="s">
        <v>10</v>
      </c>
      <c r="L733" s="4" t="s">
        <v>487</v>
      </c>
      <c r="M733" s="5">
        <v>0</v>
      </c>
      <c r="N733" s="4" t="s">
        <v>1241</v>
      </c>
    </row>
    <row r="734" spans="1:14" x14ac:dyDescent="0.15">
      <c r="A734" s="4" t="s">
        <v>290</v>
      </c>
      <c r="B734" s="4" t="s">
        <v>289</v>
      </c>
      <c r="C734" s="5">
        <v>2</v>
      </c>
      <c r="D734" s="5">
        <v>1</v>
      </c>
      <c r="E734" s="4" t="s">
        <v>9</v>
      </c>
      <c r="F734" s="5">
        <v>0</v>
      </c>
      <c r="G734" s="5">
        <v>0</v>
      </c>
      <c r="H734" s="4" t="s">
        <v>488</v>
      </c>
      <c r="I734" s="4" t="s">
        <v>1234</v>
      </c>
      <c r="J734" s="4" t="s">
        <v>1235</v>
      </c>
      <c r="K734" s="4" t="s">
        <v>10</v>
      </c>
      <c r="L734" s="4" t="s">
        <v>487</v>
      </c>
      <c r="M734" s="5">
        <v>0</v>
      </c>
      <c r="N734" s="4" t="s">
        <v>1241</v>
      </c>
    </row>
    <row r="735" spans="1:14" x14ac:dyDescent="0.15">
      <c r="A735" s="4" t="s">
        <v>291</v>
      </c>
      <c r="B735" s="4" t="s">
        <v>289</v>
      </c>
      <c r="C735" s="5">
        <v>500</v>
      </c>
      <c r="D735" s="5">
        <v>1000</v>
      </c>
      <c r="E735" s="4" t="s">
        <v>9</v>
      </c>
      <c r="F735" s="5">
        <v>0</v>
      </c>
      <c r="G735" s="5">
        <v>0</v>
      </c>
      <c r="H735" s="4" t="s">
        <v>488</v>
      </c>
      <c r="I735" s="4" t="s">
        <v>1234</v>
      </c>
      <c r="J735" s="4" t="s">
        <v>1235</v>
      </c>
      <c r="K735" s="4" t="s">
        <v>10</v>
      </c>
      <c r="L735" s="4" t="s">
        <v>487</v>
      </c>
      <c r="M735" s="5">
        <v>0</v>
      </c>
      <c r="N735" s="4" t="s">
        <v>1241</v>
      </c>
    </row>
    <row r="736" spans="1:14" x14ac:dyDescent="0.15">
      <c r="A736" s="4" t="s">
        <v>289</v>
      </c>
      <c r="B736" s="4" t="s">
        <v>29</v>
      </c>
      <c r="C736" s="5">
        <v>2</v>
      </c>
      <c r="D736" s="5">
        <v>1</v>
      </c>
      <c r="E736" s="4" t="s">
        <v>9</v>
      </c>
      <c r="F736" s="5">
        <v>3</v>
      </c>
      <c r="G736" s="5">
        <v>0</v>
      </c>
      <c r="H736" s="4" t="s">
        <v>488</v>
      </c>
      <c r="I736" s="4" t="s">
        <v>1234</v>
      </c>
      <c r="J736" s="4" t="s">
        <v>1235</v>
      </c>
      <c r="K736" s="4" t="s">
        <v>10</v>
      </c>
      <c r="L736" s="4" t="s">
        <v>487</v>
      </c>
      <c r="M736" s="5">
        <v>0</v>
      </c>
      <c r="N736" s="4" t="s">
        <v>1241</v>
      </c>
    </row>
    <row r="737" spans="1:14" x14ac:dyDescent="0.15">
      <c r="A737" s="4" t="s">
        <v>289</v>
      </c>
      <c r="B737" s="4" t="s">
        <v>12</v>
      </c>
      <c r="C737" s="5">
        <v>0.14562814070399999</v>
      </c>
      <c r="D737" s="5">
        <v>1</v>
      </c>
      <c r="E737" s="4" t="s">
        <v>13</v>
      </c>
      <c r="F737" s="5">
        <v>3</v>
      </c>
      <c r="G737" s="5">
        <v>0</v>
      </c>
      <c r="H737" s="4" t="s">
        <v>488</v>
      </c>
      <c r="I737" s="4" t="s">
        <v>1234</v>
      </c>
      <c r="J737" s="4" t="s">
        <v>1235</v>
      </c>
      <c r="K737" s="4" t="s">
        <v>10</v>
      </c>
      <c r="L737" s="4" t="s">
        <v>487</v>
      </c>
      <c r="M737" s="5">
        <v>0</v>
      </c>
      <c r="N737" s="4" t="s">
        <v>1241</v>
      </c>
    </row>
    <row r="738" spans="1:14" x14ac:dyDescent="0.15">
      <c r="A738" s="4" t="s">
        <v>289</v>
      </c>
      <c r="B738" s="4" t="s">
        <v>14</v>
      </c>
      <c r="C738" s="5">
        <v>0.16180904522600001</v>
      </c>
      <c r="D738" s="5">
        <v>1</v>
      </c>
      <c r="E738" s="4" t="s">
        <v>13</v>
      </c>
      <c r="F738" s="5">
        <v>3</v>
      </c>
      <c r="G738" s="5">
        <v>0</v>
      </c>
      <c r="H738" s="4" t="s">
        <v>488</v>
      </c>
      <c r="I738" s="4" t="s">
        <v>1234</v>
      </c>
      <c r="J738" s="4" t="s">
        <v>1235</v>
      </c>
      <c r="K738" s="4" t="s">
        <v>10</v>
      </c>
      <c r="L738" s="4" t="s">
        <v>487</v>
      </c>
      <c r="M738" s="5">
        <v>0</v>
      </c>
      <c r="N738" s="4" t="s">
        <v>1241</v>
      </c>
    </row>
    <row r="739" spans="1:14" x14ac:dyDescent="0.15">
      <c r="A739" s="4" t="s">
        <v>289</v>
      </c>
      <c r="B739" s="4" t="s">
        <v>15</v>
      </c>
      <c r="C739" s="5">
        <v>3.2361809045230006</v>
      </c>
      <c r="D739" s="5">
        <v>1000</v>
      </c>
      <c r="E739" s="4" t="s">
        <v>13</v>
      </c>
      <c r="F739" s="5">
        <v>3</v>
      </c>
      <c r="G739" s="5">
        <v>0</v>
      </c>
      <c r="H739" s="4" t="s">
        <v>488</v>
      </c>
      <c r="I739" s="4" t="s">
        <v>1234</v>
      </c>
      <c r="J739" s="4" t="s">
        <v>1235</v>
      </c>
      <c r="K739" s="4" t="s">
        <v>10</v>
      </c>
      <c r="L739" s="4" t="s">
        <v>487</v>
      </c>
      <c r="M739" s="5">
        <v>0</v>
      </c>
      <c r="N739" s="4" t="s">
        <v>1241</v>
      </c>
    </row>
    <row r="740" spans="1:14" x14ac:dyDescent="0.15">
      <c r="A740" s="4" t="s">
        <v>289</v>
      </c>
      <c r="B740" s="4" t="s">
        <v>23</v>
      </c>
      <c r="C740" s="5">
        <v>8.090452261307</v>
      </c>
      <c r="D740" s="5">
        <v>1000</v>
      </c>
      <c r="E740" s="4" t="s">
        <v>13</v>
      </c>
      <c r="F740" s="5">
        <v>3</v>
      </c>
      <c r="G740" s="5">
        <v>0</v>
      </c>
      <c r="H740" s="4" t="s">
        <v>488</v>
      </c>
      <c r="I740" s="4" t="s">
        <v>1234</v>
      </c>
      <c r="J740" s="4" t="s">
        <v>1235</v>
      </c>
      <c r="K740" s="4" t="s">
        <v>10</v>
      </c>
      <c r="L740" s="4" t="s">
        <v>487</v>
      </c>
      <c r="M740" s="5">
        <v>0</v>
      </c>
      <c r="N740" s="4" t="s">
        <v>1241</v>
      </c>
    </row>
    <row r="741" spans="1:14" x14ac:dyDescent="0.15">
      <c r="A741" s="4" t="s">
        <v>289</v>
      </c>
      <c r="B741" s="4" t="s">
        <v>24</v>
      </c>
      <c r="C741" s="5">
        <v>3.2361809045230006</v>
      </c>
      <c r="D741" s="5">
        <v>1000</v>
      </c>
      <c r="E741" s="4" t="s">
        <v>13</v>
      </c>
      <c r="F741" s="5">
        <v>3</v>
      </c>
      <c r="G741" s="5">
        <v>0</v>
      </c>
      <c r="H741" s="4" t="s">
        <v>488</v>
      </c>
      <c r="I741" s="4" t="s">
        <v>1234</v>
      </c>
      <c r="J741" s="4" t="s">
        <v>1235</v>
      </c>
      <c r="K741" s="4" t="s">
        <v>10</v>
      </c>
      <c r="L741" s="4" t="s">
        <v>487</v>
      </c>
      <c r="M741" s="5">
        <v>0</v>
      </c>
      <c r="N741" s="4" t="s">
        <v>1241</v>
      </c>
    </row>
    <row r="742" spans="1:14" x14ac:dyDescent="0.15">
      <c r="A742" s="4" t="s">
        <v>289</v>
      </c>
      <c r="B742" s="4" t="s">
        <v>17</v>
      </c>
      <c r="C742" s="5">
        <v>13.888888888889001</v>
      </c>
      <c r="D742" s="5">
        <v>1000</v>
      </c>
      <c r="E742" s="4" t="s">
        <v>18</v>
      </c>
      <c r="F742" s="5">
        <v>0</v>
      </c>
      <c r="G742" s="5">
        <v>0</v>
      </c>
      <c r="H742" s="4" t="s">
        <v>488</v>
      </c>
      <c r="I742" s="4" t="s">
        <v>1234</v>
      </c>
      <c r="J742" s="4" t="s">
        <v>1235</v>
      </c>
      <c r="K742" s="4" t="s">
        <v>10</v>
      </c>
      <c r="L742" s="4" t="s">
        <v>487</v>
      </c>
      <c r="M742" s="5">
        <v>0</v>
      </c>
      <c r="N742" s="4" t="s">
        <v>1241</v>
      </c>
    </row>
    <row r="743" spans="1:14" x14ac:dyDescent="0.15">
      <c r="A743" s="4" t="s">
        <v>289</v>
      </c>
      <c r="B743" s="4" t="s">
        <v>19</v>
      </c>
      <c r="C743" s="5">
        <v>3</v>
      </c>
      <c r="D743" s="5">
        <v>1</v>
      </c>
      <c r="E743" s="4" t="s">
        <v>18</v>
      </c>
      <c r="F743" s="5">
        <v>0</v>
      </c>
      <c r="G743" s="5">
        <v>0</v>
      </c>
      <c r="H743" s="4" t="s">
        <v>488</v>
      </c>
      <c r="I743" s="4" t="s">
        <v>1236</v>
      </c>
      <c r="J743" s="4" t="s">
        <v>1235</v>
      </c>
      <c r="K743" s="4" t="s">
        <v>10</v>
      </c>
      <c r="L743" s="4" t="s">
        <v>487</v>
      </c>
      <c r="M743" s="5">
        <v>0</v>
      </c>
      <c r="N743" s="4" t="s">
        <v>1241</v>
      </c>
    </row>
    <row r="744" spans="1:14" x14ac:dyDescent="0.15">
      <c r="A744" s="4" t="s">
        <v>292</v>
      </c>
      <c r="B744" s="4" t="s">
        <v>293</v>
      </c>
      <c r="C744" s="5">
        <v>1</v>
      </c>
      <c r="D744" s="5">
        <v>1</v>
      </c>
      <c r="E744" s="4" t="s">
        <v>9</v>
      </c>
      <c r="F744" s="5">
        <v>0</v>
      </c>
      <c r="G744" s="5">
        <v>0</v>
      </c>
      <c r="H744" s="4" t="s">
        <v>488</v>
      </c>
      <c r="I744" s="4" t="s">
        <v>1234</v>
      </c>
      <c r="J744" s="4" t="s">
        <v>1235</v>
      </c>
      <c r="K744" s="4" t="s">
        <v>10</v>
      </c>
      <c r="L744" s="4" t="s">
        <v>487</v>
      </c>
      <c r="M744" s="5">
        <v>0</v>
      </c>
      <c r="N744" s="4" t="s">
        <v>1241</v>
      </c>
    </row>
    <row r="745" spans="1:14" x14ac:dyDescent="0.15">
      <c r="A745" s="4" t="s">
        <v>294</v>
      </c>
      <c r="B745" s="4" t="s">
        <v>293</v>
      </c>
      <c r="C745" s="5">
        <v>2</v>
      </c>
      <c r="D745" s="5">
        <v>1</v>
      </c>
      <c r="E745" s="4" t="s">
        <v>9</v>
      </c>
      <c r="F745" s="5">
        <v>0</v>
      </c>
      <c r="G745" s="5">
        <v>0</v>
      </c>
      <c r="H745" s="4" t="s">
        <v>488</v>
      </c>
      <c r="I745" s="4" t="s">
        <v>1234</v>
      </c>
      <c r="J745" s="4" t="s">
        <v>1235</v>
      </c>
      <c r="K745" s="4" t="s">
        <v>10</v>
      </c>
      <c r="L745" s="4" t="s">
        <v>487</v>
      </c>
      <c r="M745" s="5">
        <v>0</v>
      </c>
      <c r="N745" s="4" t="s">
        <v>1241</v>
      </c>
    </row>
    <row r="746" spans="1:14" x14ac:dyDescent="0.15">
      <c r="A746" s="4" t="s">
        <v>295</v>
      </c>
      <c r="B746" s="4" t="s">
        <v>293</v>
      </c>
      <c r="C746" s="5">
        <v>500</v>
      </c>
      <c r="D746" s="5">
        <v>1000</v>
      </c>
      <c r="E746" s="4" t="s">
        <v>9</v>
      </c>
      <c r="F746" s="5">
        <v>0</v>
      </c>
      <c r="G746" s="5">
        <v>0</v>
      </c>
      <c r="H746" s="4" t="s">
        <v>488</v>
      </c>
      <c r="I746" s="4" t="s">
        <v>1234</v>
      </c>
      <c r="J746" s="4" t="s">
        <v>1235</v>
      </c>
      <c r="K746" s="4" t="s">
        <v>10</v>
      </c>
      <c r="L746" s="4" t="s">
        <v>487</v>
      </c>
      <c r="M746" s="5">
        <v>0</v>
      </c>
      <c r="N746" s="4" t="s">
        <v>1241</v>
      </c>
    </row>
    <row r="747" spans="1:14" x14ac:dyDescent="0.15">
      <c r="A747" s="4" t="s">
        <v>293</v>
      </c>
      <c r="B747" s="4" t="s">
        <v>33</v>
      </c>
      <c r="C747" s="5">
        <v>2</v>
      </c>
      <c r="D747" s="5">
        <v>1</v>
      </c>
      <c r="E747" s="4" t="s">
        <v>9</v>
      </c>
      <c r="F747" s="5">
        <v>3</v>
      </c>
      <c r="G747" s="5">
        <v>0</v>
      </c>
      <c r="H747" s="4" t="s">
        <v>488</v>
      </c>
      <c r="I747" s="4" t="s">
        <v>1234</v>
      </c>
      <c r="J747" s="4" t="s">
        <v>1235</v>
      </c>
      <c r="K747" s="4" t="s">
        <v>10</v>
      </c>
      <c r="L747" s="4" t="s">
        <v>487</v>
      </c>
      <c r="M747" s="5">
        <v>0</v>
      </c>
      <c r="N747" s="4" t="s">
        <v>1241</v>
      </c>
    </row>
    <row r="748" spans="1:14" x14ac:dyDescent="0.15">
      <c r="A748" s="4" t="s">
        <v>293</v>
      </c>
      <c r="B748" s="4" t="s">
        <v>29</v>
      </c>
      <c r="C748" s="5">
        <v>1</v>
      </c>
      <c r="D748" s="5">
        <v>1</v>
      </c>
      <c r="E748" s="4" t="s">
        <v>9</v>
      </c>
      <c r="F748" s="5">
        <v>3</v>
      </c>
      <c r="G748" s="5">
        <v>0</v>
      </c>
      <c r="H748" s="4" t="s">
        <v>488</v>
      </c>
      <c r="I748" s="4" t="s">
        <v>1234</v>
      </c>
      <c r="J748" s="4" t="s">
        <v>1235</v>
      </c>
      <c r="K748" s="4" t="s">
        <v>10</v>
      </c>
      <c r="L748" s="4" t="s">
        <v>487</v>
      </c>
      <c r="M748" s="5">
        <v>0</v>
      </c>
      <c r="N748" s="4" t="s">
        <v>1241</v>
      </c>
    </row>
    <row r="749" spans="1:14" x14ac:dyDescent="0.15">
      <c r="A749" s="4" t="s">
        <v>293</v>
      </c>
      <c r="B749" s="4" t="s">
        <v>12</v>
      </c>
      <c r="C749" s="5">
        <v>0.36180904522599999</v>
      </c>
      <c r="D749" s="5">
        <v>1</v>
      </c>
      <c r="E749" s="4" t="s">
        <v>13</v>
      </c>
      <c r="F749" s="5">
        <v>3</v>
      </c>
      <c r="G749" s="5">
        <v>0</v>
      </c>
      <c r="H749" s="4" t="s">
        <v>488</v>
      </c>
      <c r="I749" s="4" t="s">
        <v>1234</v>
      </c>
      <c r="J749" s="4" t="s">
        <v>1235</v>
      </c>
      <c r="K749" s="4" t="s">
        <v>10</v>
      </c>
      <c r="L749" s="4" t="s">
        <v>487</v>
      </c>
      <c r="M749" s="5">
        <v>0</v>
      </c>
      <c r="N749" s="4" t="s">
        <v>1241</v>
      </c>
    </row>
    <row r="750" spans="1:14" x14ac:dyDescent="0.15">
      <c r="A750" s="4" t="s">
        <v>293</v>
      </c>
      <c r="B750" s="4" t="s">
        <v>14</v>
      </c>
      <c r="C750" s="5">
        <v>0.40201005025100001</v>
      </c>
      <c r="D750" s="5">
        <v>1</v>
      </c>
      <c r="E750" s="4" t="s">
        <v>13</v>
      </c>
      <c r="F750" s="5">
        <v>3</v>
      </c>
      <c r="G750" s="5">
        <v>0</v>
      </c>
      <c r="H750" s="4" t="s">
        <v>488</v>
      </c>
      <c r="I750" s="4" t="s">
        <v>1234</v>
      </c>
      <c r="J750" s="4" t="s">
        <v>1235</v>
      </c>
      <c r="K750" s="4" t="s">
        <v>10</v>
      </c>
      <c r="L750" s="4" t="s">
        <v>487</v>
      </c>
      <c r="M750" s="5">
        <v>0</v>
      </c>
      <c r="N750" s="4" t="s">
        <v>1241</v>
      </c>
    </row>
    <row r="751" spans="1:14" x14ac:dyDescent="0.15">
      <c r="A751" s="4" t="s">
        <v>293</v>
      </c>
      <c r="B751" s="4" t="s">
        <v>15</v>
      </c>
      <c r="C751" s="5">
        <v>8.0402010050250006</v>
      </c>
      <c r="D751" s="5">
        <v>1000</v>
      </c>
      <c r="E751" s="4" t="s">
        <v>13</v>
      </c>
      <c r="F751" s="5">
        <v>3</v>
      </c>
      <c r="G751" s="5">
        <v>0</v>
      </c>
      <c r="H751" s="4" t="s">
        <v>488</v>
      </c>
      <c r="I751" s="4" t="s">
        <v>1234</v>
      </c>
      <c r="J751" s="4" t="s">
        <v>1235</v>
      </c>
      <c r="K751" s="4" t="s">
        <v>10</v>
      </c>
      <c r="L751" s="4" t="s">
        <v>487</v>
      </c>
      <c r="M751" s="5">
        <v>0</v>
      </c>
      <c r="N751" s="4" t="s">
        <v>1241</v>
      </c>
    </row>
    <row r="752" spans="1:14" x14ac:dyDescent="0.15">
      <c r="A752" s="4" t="s">
        <v>293</v>
      </c>
      <c r="B752" s="4" t="s">
        <v>23</v>
      </c>
      <c r="C752" s="5">
        <v>20.100502512563001</v>
      </c>
      <c r="D752" s="5">
        <v>1000</v>
      </c>
      <c r="E752" s="4" t="s">
        <v>13</v>
      </c>
      <c r="F752" s="5">
        <v>3</v>
      </c>
      <c r="G752" s="5">
        <v>0</v>
      </c>
      <c r="H752" s="4" t="s">
        <v>488</v>
      </c>
      <c r="I752" s="4" t="s">
        <v>1234</v>
      </c>
      <c r="J752" s="4" t="s">
        <v>1235</v>
      </c>
      <c r="K752" s="4" t="s">
        <v>10</v>
      </c>
      <c r="L752" s="4" t="s">
        <v>487</v>
      </c>
      <c r="M752" s="5">
        <v>0</v>
      </c>
      <c r="N752" s="4" t="s">
        <v>1241</v>
      </c>
    </row>
    <row r="753" spans="1:14" x14ac:dyDescent="0.15">
      <c r="A753" s="4" t="s">
        <v>293</v>
      </c>
      <c r="B753" s="4" t="s">
        <v>24</v>
      </c>
      <c r="C753" s="5">
        <v>8.0402010050250006</v>
      </c>
      <c r="D753" s="5">
        <v>1000</v>
      </c>
      <c r="E753" s="4" t="s">
        <v>13</v>
      </c>
      <c r="F753" s="5">
        <v>3</v>
      </c>
      <c r="G753" s="5">
        <v>0</v>
      </c>
      <c r="H753" s="4" t="s">
        <v>488</v>
      </c>
      <c r="I753" s="4" t="s">
        <v>1234</v>
      </c>
      <c r="J753" s="4" t="s">
        <v>1235</v>
      </c>
      <c r="K753" s="4" t="s">
        <v>10</v>
      </c>
      <c r="L753" s="4" t="s">
        <v>487</v>
      </c>
      <c r="M753" s="5">
        <v>0</v>
      </c>
      <c r="N753" s="4" t="s">
        <v>1241</v>
      </c>
    </row>
    <row r="754" spans="1:14" x14ac:dyDescent="0.15">
      <c r="A754" s="4" t="s">
        <v>293</v>
      </c>
      <c r="B754" s="4" t="s">
        <v>17</v>
      </c>
      <c r="C754" s="5">
        <v>12.820512820513002</v>
      </c>
      <c r="D754" s="5">
        <v>1000</v>
      </c>
      <c r="E754" s="4" t="s">
        <v>18</v>
      </c>
      <c r="F754" s="5">
        <v>0</v>
      </c>
      <c r="G754" s="5">
        <v>0</v>
      </c>
      <c r="H754" s="4" t="s">
        <v>488</v>
      </c>
      <c r="I754" s="4" t="s">
        <v>1234</v>
      </c>
      <c r="J754" s="4" t="s">
        <v>1235</v>
      </c>
      <c r="K754" s="4" t="s">
        <v>10</v>
      </c>
      <c r="L754" s="4" t="s">
        <v>487</v>
      </c>
      <c r="M754" s="5">
        <v>0</v>
      </c>
      <c r="N754" s="4" t="s">
        <v>1241</v>
      </c>
    </row>
    <row r="755" spans="1:14" x14ac:dyDescent="0.15">
      <c r="A755" s="4" t="s">
        <v>293</v>
      </c>
      <c r="B755" s="4" t="s">
        <v>19</v>
      </c>
      <c r="C755" s="5">
        <v>3</v>
      </c>
      <c r="D755" s="5">
        <v>1</v>
      </c>
      <c r="E755" s="4" t="s">
        <v>18</v>
      </c>
      <c r="F755" s="5">
        <v>0</v>
      </c>
      <c r="G755" s="5">
        <v>0</v>
      </c>
      <c r="H755" s="4" t="s">
        <v>488</v>
      </c>
      <c r="I755" s="4" t="s">
        <v>1236</v>
      </c>
      <c r="J755" s="4" t="s">
        <v>1235</v>
      </c>
      <c r="K755" s="4" t="s">
        <v>10</v>
      </c>
      <c r="L755" s="4" t="s">
        <v>487</v>
      </c>
      <c r="M755" s="5">
        <v>0</v>
      </c>
      <c r="N755" s="4" t="s">
        <v>1241</v>
      </c>
    </row>
    <row r="756" spans="1:14" x14ac:dyDescent="0.15">
      <c r="A756" s="4" t="s">
        <v>296</v>
      </c>
      <c r="B756" s="4" t="s">
        <v>297</v>
      </c>
      <c r="C756" s="5">
        <v>1</v>
      </c>
      <c r="D756" s="5">
        <v>1</v>
      </c>
      <c r="E756" s="4" t="s">
        <v>9</v>
      </c>
      <c r="F756" s="5">
        <v>0</v>
      </c>
      <c r="G756" s="5">
        <v>0</v>
      </c>
      <c r="H756" s="4" t="s">
        <v>488</v>
      </c>
      <c r="I756" s="4" t="s">
        <v>1234</v>
      </c>
      <c r="J756" s="4" t="s">
        <v>1235</v>
      </c>
      <c r="K756" s="4" t="s">
        <v>10</v>
      </c>
      <c r="L756" s="4" t="s">
        <v>487</v>
      </c>
      <c r="M756" s="5">
        <v>0</v>
      </c>
      <c r="N756" s="4" t="s">
        <v>1241</v>
      </c>
    </row>
    <row r="757" spans="1:14" x14ac:dyDescent="0.15">
      <c r="A757" s="4" t="s">
        <v>298</v>
      </c>
      <c r="B757" s="4" t="s">
        <v>297</v>
      </c>
      <c r="C757" s="5">
        <v>2</v>
      </c>
      <c r="D757" s="5">
        <v>1</v>
      </c>
      <c r="E757" s="4" t="s">
        <v>9</v>
      </c>
      <c r="F757" s="5">
        <v>0</v>
      </c>
      <c r="G757" s="5">
        <v>0</v>
      </c>
      <c r="H757" s="4" t="s">
        <v>488</v>
      </c>
      <c r="I757" s="4" t="s">
        <v>1234</v>
      </c>
      <c r="J757" s="4" t="s">
        <v>1235</v>
      </c>
      <c r="K757" s="4" t="s">
        <v>10</v>
      </c>
      <c r="L757" s="4" t="s">
        <v>487</v>
      </c>
      <c r="M757" s="5">
        <v>0</v>
      </c>
      <c r="N757" s="4" t="s">
        <v>1241</v>
      </c>
    </row>
    <row r="758" spans="1:14" x14ac:dyDescent="0.15">
      <c r="A758" s="4" t="s">
        <v>299</v>
      </c>
      <c r="B758" s="4" t="s">
        <v>297</v>
      </c>
      <c r="C758" s="5">
        <v>500</v>
      </c>
      <c r="D758" s="5">
        <v>1000</v>
      </c>
      <c r="E758" s="4" t="s">
        <v>9</v>
      </c>
      <c r="F758" s="5">
        <v>0</v>
      </c>
      <c r="G758" s="5">
        <v>0</v>
      </c>
      <c r="H758" s="4" t="s">
        <v>488</v>
      </c>
      <c r="I758" s="4" t="s">
        <v>1234</v>
      </c>
      <c r="J758" s="4" t="s">
        <v>1235</v>
      </c>
      <c r="K758" s="4" t="s">
        <v>10</v>
      </c>
      <c r="L758" s="4" t="s">
        <v>487</v>
      </c>
      <c r="M758" s="5">
        <v>0</v>
      </c>
      <c r="N758" s="4" t="s">
        <v>1241</v>
      </c>
    </row>
    <row r="759" spans="1:14" x14ac:dyDescent="0.15">
      <c r="A759" s="4" t="s">
        <v>297</v>
      </c>
      <c r="B759" s="4" t="s">
        <v>34</v>
      </c>
      <c r="C759" s="5">
        <v>1</v>
      </c>
      <c r="D759" s="5">
        <v>1</v>
      </c>
      <c r="E759" s="4" t="s">
        <v>9</v>
      </c>
      <c r="F759" s="5">
        <v>3</v>
      </c>
      <c r="G759" s="5">
        <v>0</v>
      </c>
      <c r="H759" s="4" t="s">
        <v>488</v>
      </c>
      <c r="I759" s="4" t="s">
        <v>1234</v>
      </c>
      <c r="J759" s="4" t="s">
        <v>1235</v>
      </c>
      <c r="K759" s="4" t="s">
        <v>10</v>
      </c>
      <c r="L759" s="4" t="s">
        <v>487</v>
      </c>
      <c r="M759" s="5">
        <v>0</v>
      </c>
      <c r="N759" s="4" t="s">
        <v>1241</v>
      </c>
    </row>
    <row r="760" spans="1:14" x14ac:dyDescent="0.15">
      <c r="A760" s="4" t="s">
        <v>297</v>
      </c>
      <c r="B760" s="4" t="s">
        <v>33</v>
      </c>
      <c r="C760" s="5">
        <v>3</v>
      </c>
      <c r="D760" s="5">
        <v>1</v>
      </c>
      <c r="E760" s="4" t="s">
        <v>9</v>
      </c>
      <c r="F760" s="5">
        <v>3</v>
      </c>
      <c r="G760" s="5">
        <v>0</v>
      </c>
      <c r="H760" s="4" t="s">
        <v>488</v>
      </c>
      <c r="I760" s="4" t="s">
        <v>1234</v>
      </c>
      <c r="J760" s="4" t="s">
        <v>1235</v>
      </c>
      <c r="K760" s="4" t="s">
        <v>10</v>
      </c>
      <c r="L760" s="4" t="s">
        <v>487</v>
      </c>
      <c r="M760" s="5">
        <v>0</v>
      </c>
      <c r="N760" s="4" t="s">
        <v>1241</v>
      </c>
    </row>
    <row r="761" spans="1:14" x14ac:dyDescent="0.15">
      <c r="A761" s="4" t="s">
        <v>297</v>
      </c>
      <c r="B761" s="4" t="s">
        <v>29</v>
      </c>
      <c r="C761" s="5">
        <v>1</v>
      </c>
      <c r="D761" s="5">
        <v>1</v>
      </c>
      <c r="E761" s="4" t="s">
        <v>9</v>
      </c>
      <c r="F761" s="5">
        <v>3</v>
      </c>
      <c r="G761" s="5">
        <v>0</v>
      </c>
      <c r="H761" s="4" t="s">
        <v>488</v>
      </c>
      <c r="I761" s="4" t="s">
        <v>1234</v>
      </c>
      <c r="J761" s="4" t="s">
        <v>1235</v>
      </c>
      <c r="K761" s="4" t="s">
        <v>10</v>
      </c>
      <c r="L761" s="4" t="s">
        <v>487</v>
      </c>
      <c r="M761" s="5">
        <v>0</v>
      </c>
      <c r="N761" s="4" t="s">
        <v>1241</v>
      </c>
    </row>
    <row r="762" spans="1:14" x14ac:dyDescent="0.15">
      <c r="A762" s="4" t="s">
        <v>297</v>
      </c>
      <c r="B762" s="4" t="s">
        <v>12</v>
      </c>
      <c r="C762" s="5">
        <v>0.54271356783900004</v>
      </c>
      <c r="D762" s="5">
        <v>1</v>
      </c>
      <c r="E762" s="4" t="s">
        <v>13</v>
      </c>
      <c r="F762" s="5">
        <v>3</v>
      </c>
      <c r="G762" s="5">
        <v>0</v>
      </c>
      <c r="H762" s="4" t="s">
        <v>488</v>
      </c>
      <c r="I762" s="4" t="s">
        <v>1234</v>
      </c>
      <c r="J762" s="4" t="s">
        <v>1235</v>
      </c>
      <c r="K762" s="4" t="s">
        <v>10</v>
      </c>
      <c r="L762" s="4" t="s">
        <v>487</v>
      </c>
      <c r="M762" s="5">
        <v>0</v>
      </c>
      <c r="N762" s="4" t="s">
        <v>1241</v>
      </c>
    </row>
    <row r="763" spans="1:14" x14ac:dyDescent="0.15">
      <c r="A763" s="4" t="s">
        <v>297</v>
      </c>
      <c r="B763" s="4" t="s">
        <v>14</v>
      </c>
      <c r="C763" s="5">
        <v>0.60301507537700005</v>
      </c>
      <c r="D763" s="5">
        <v>1</v>
      </c>
      <c r="E763" s="4" t="s">
        <v>13</v>
      </c>
      <c r="F763" s="5">
        <v>3</v>
      </c>
      <c r="G763" s="5">
        <v>0</v>
      </c>
      <c r="H763" s="4" t="s">
        <v>488</v>
      </c>
      <c r="I763" s="4" t="s">
        <v>1234</v>
      </c>
      <c r="J763" s="4" t="s">
        <v>1235</v>
      </c>
      <c r="K763" s="4" t="s">
        <v>10</v>
      </c>
      <c r="L763" s="4" t="s">
        <v>487</v>
      </c>
      <c r="M763" s="5">
        <v>0</v>
      </c>
      <c r="N763" s="4" t="s">
        <v>1241</v>
      </c>
    </row>
    <row r="764" spans="1:14" x14ac:dyDescent="0.15">
      <c r="A764" s="4" t="s">
        <v>297</v>
      </c>
      <c r="B764" s="4" t="s">
        <v>15</v>
      </c>
      <c r="C764" s="5">
        <v>12.060301507538</v>
      </c>
      <c r="D764" s="5">
        <v>1000</v>
      </c>
      <c r="E764" s="4" t="s">
        <v>13</v>
      </c>
      <c r="F764" s="5">
        <v>3</v>
      </c>
      <c r="G764" s="5">
        <v>0</v>
      </c>
      <c r="H764" s="4" t="s">
        <v>488</v>
      </c>
      <c r="I764" s="4" t="s">
        <v>1234</v>
      </c>
      <c r="J764" s="4" t="s">
        <v>1235</v>
      </c>
      <c r="K764" s="4" t="s">
        <v>10</v>
      </c>
      <c r="L764" s="4" t="s">
        <v>487</v>
      </c>
      <c r="M764" s="5">
        <v>0</v>
      </c>
      <c r="N764" s="4" t="s">
        <v>1241</v>
      </c>
    </row>
    <row r="765" spans="1:14" x14ac:dyDescent="0.15">
      <c r="A765" s="4" t="s">
        <v>297</v>
      </c>
      <c r="B765" s="4" t="s">
        <v>23</v>
      </c>
      <c r="C765" s="5">
        <v>30.150753768844002</v>
      </c>
      <c r="D765" s="5">
        <v>1000</v>
      </c>
      <c r="E765" s="4" t="s">
        <v>13</v>
      </c>
      <c r="F765" s="5">
        <v>3</v>
      </c>
      <c r="G765" s="5">
        <v>0</v>
      </c>
      <c r="H765" s="4" t="s">
        <v>488</v>
      </c>
      <c r="I765" s="4" t="s">
        <v>1234</v>
      </c>
      <c r="J765" s="4" t="s">
        <v>1235</v>
      </c>
      <c r="K765" s="4" t="s">
        <v>10</v>
      </c>
      <c r="L765" s="4" t="s">
        <v>487</v>
      </c>
      <c r="M765" s="5">
        <v>0</v>
      </c>
      <c r="N765" s="4" t="s">
        <v>1241</v>
      </c>
    </row>
    <row r="766" spans="1:14" x14ac:dyDescent="0.15">
      <c r="A766" s="4" t="s">
        <v>297</v>
      </c>
      <c r="B766" s="4" t="s">
        <v>24</v>
      </c>
      <c r="C766" s="5">
        <v>12.060301507538</v>
      </c>
      <c r="D766" s="5">
        <v>1000</v>
      </c>
      <c r="E766" s="4" t="s">
        <v>13</v>
      </c>
      <c r="F766" s="5">
        <v>3</v>
      </c>
      <c r="G766" s="5">
        <v>0</v>
      </c>
      <c r="H766" s="4" t="s">
        <v>488</v>
      </c>
      <c r="I766" s="4" t="s">
        <v>1234</v>
      </c>
      <c r="J766" s="4" t="s">
        <v>1235</v>
      </c>
      <c r="K766" s="4" t="s">
        <v>10</v>
      </c>
      <c r="L766" s="4" t="s">
        <v>487</v>
      </c>
      <c r="M766" s="5">
        <v>0</v>
      </c>
      <c r="N766" s="4" t="s">
        <v>1241</v>
      </c>
    </row>
    <row r="767" spans="1:14" x14ac:dyDescent="0.15">
      <c r="A767" s="4" t="s">
        <v>297</v>
      </c>
      <c r="B767" s="4" t="s">
        <v>17</v>
      </c>
      <c r="C767" s="5">
        <v>14.492753623188001</v>
      </c>
      <c r="D767" s="5">
        <v>1000</v>
      </c>
      <c r="E767" s="4" t="s">
        <v>18</v>
      </c>
      <c r="F767" s="5">
        <v>0</v>
      </c>
      <c r="G767" s="5">
        <v>0</v>
      </c>
      <c r="H767" s="4" t="s">
        <v>488</v>
      </c>
      <c r="I767" s="4" t="s">
        <v>1234</v>
      </c>
      <c r="J767" s="4" t="s">
        <v>1235</v>
      </c>
      <c r="K767" s="4" t="s">
        <v>10</v>
      </c>
      <c r="L767" s="4" t="s">
        <v>487</v>
      </c>
      <c r="M767" s="5">
        <v>0</v>
      </c>
      <c r="N767" s="4" t="s">
        <v>1241</v>
      </c>
    </row>
    <row r="768" spans="1:14" x14ac:dyDescent="0.15">
      <c r="A768" s="4" t="s">
        <v>297</v>
      </c>
      <c r="B768" s="4" t="s">
        <v>19</v>
      </c>
      <c r="C768" s="5">
        <v>3</v>
      </c>
      <c r="D768" s="5">
        <v>1</v>
      </c>
      <c r="E768" s="4" t="s">
        <v>18</v>
      </c>
      <c r="F768" s="5">
        <v>0</v>
      </c>
      <c r="G768" s="5">
        <v>0</v>
      </c>
      <c r="H768" s="4" t="s">
        <v>488</v>
      </c>
      <c r="I768" s="4" t="s">
        <v>1236</v>
      </c>
      <c r="J768" s="4" t="s">
        <v>1235</v>
      </c>
      <c r="K768" s="4" t="s">
        <v>10</v>
      </c>
      <c r="L768" s="4" t="s">
        <v>487</v>
      </c>
      <c r="M768" s="5">
        <v>0</v>
      </c>
      <c r="N768" s="4" t="s">
        <v>1241</v>
      </c>
    </row>
    <row r="769" spans="1:14" x14ac:dyDescent="0.15">
      <c r="A769" s="4" t="s">
        <v>300</v>
      </c>
      <c r="B769" s="4" t="s">
        <v>301</v>
      </c>
      <c r="C769" s="5">
        <v>1</v>
      </c>
      <c r="D769" s="5">
        <v>1</v>
      </c>
      <c r="E769" s="4" t="s">
        <v>9</v>
      </c>
      <c r="F769" s="5">
        <v>0</v>
      </c>
      <c r="G769" s="5">
        <v>0</v>
      </c>
      <c r="H769" s="4" t="s">
        <v>488</v>
      </c>
      <c r="I769" s="4" t="s">
        <v>1234</v>
      </c>
      <c r="J769" s="4" t="s">
        <v>1235</v>
      </c>
      <c r="K769" s="4" t="s">
        <v>10</v>
      </c>
      <c r="L769" s="4" t="s">
        <v>487</v>
      </c>
      <c r="M769" s="5">
        <v>0</v>
      </c>
      <c r="N769" s="4" t="s">
        <v>1241</v>
      </c>
    </row>
    <row r="770" spans="1:14" x14ac:dyDescent="0.15">
      <c r="A770" s="4" t="s">
        <v>302</v>
      </c>
      <c r="B770" s="4" t="s">
        <v>301</v>
      </c>
      <c r="C770" s="5">
        <v>2</v>
      </c>
      <c r="D770" s="5">
        <v>1</v>
      </c>
      <c r="E770" s="4" t="s">
        <v>9</v>
      </c>
      <c r="F770" s="5">
        <v>0</v>
      </c>
      <c r="G770" s="5">
        <v>0</v>
      </c>
      <c r="H770" s="4" t="s">
        <v>488</v>
      </c>
      <c r="I770" s="4" t="s">
        <v>1234</v>
      </c>
      <c r="J770" s="4" t="s">
        <v>1235</v>
      </c>
      <c r="K770" s="4" t="s">
        <v>10</v>
      </c>
      <c r="L770" s="4" t="s">
        <v>487</v>
      </c>
      <c r="M770" s="5">
        <v>0</v>
      </c>
      <c r="N770" s="4" t="s">
        <v>1241</v>
      </c>
    </row>
    <row r="771" spans="1:14" x14ac:dyDescent="0.15">
      <c r="A771" s="4" t="s">
        <v>303</v>
      </c>
      <c r="B771" s="4" t="s">
        <v>301</v>
      </c>
      <c r="C771" s="5">
        <v>500</v>
      </c>
      <c r="D771" s="5">
        <v>1000</v>
      </c>
      <c r="E771" s="4" t="s">
        <v>9</v>
      </c>
      <c r="F771" s="5">
        <v>0</v>
      </c>
      <c r="G771" s="5">
        <v>0</v>
      </c>
      <c r="H771" s="4" t="s">
        <v>488</v>
      </c>
      <c r="I771" s="4" t="s">
        <v>1234</v>
      </c>
      <c r="J771" s="4" t="s">
        <v>1235</v>
      </c>
      <c r="K771" s="4" t="s">
        <v>10</v>
      </c>
      <c r="L771" s="4" t="s">
        <v>487</v>
      </c>
      <c r="M771" s="5">
        <v>0</v>
      </c>
      <c r="N771" s="4" t="s">
        <v>1241</v>
      </c>
    </row>
    <row r="772" spans="1:14" x14ac:dyDescent="0.15">
      <c r="A772" s="4" t="s">
        <v>301</v>
      </c>
      <c r="B772" s="4" t="s">
        <v>33</v>
      </c>
      <c r="C772" s="5">
        <v>12</v>
      </c>
      <c r="D772" s="5">
        <v>1</v>
      </c>
      <c r="E772" s="4" t="s">
        <v>9</v>
      </c>
      <c r="F772" s="5">
        <v>3</v>
      </c>
      <c r="G772" s="5">
        <v>0</v>
      </c>
      <c r="H772" s="4" t="s">
        <v>488</v>
      </c>
      <c r="I772" s="4" t="s">
        <v>1234</v>
      </c>
      <c r="J772" s="4" t="s">
        <v>1235</v>
      </c>
      <c r="K772" s="4" t="s">
        <v>10</v>
      </c>
      <c r="L772" s="4" t="s">
        <v>487</v>
      </c>
      <c r="M772" s="5">
        <v>0</v>
      </c>
      <c r="N772" s="4" t="s">
        <v>1241</v>
      </c>
    </row>
    <row r="773" spans="1:14" x14ac:dyDescent="0.15">
      <c r="A773" s="4" t="s">
        <v>301</v>
      </c>
      <c r="B773" s="4" t="s">
        <v>12</v>
      </c>
      <c r="C773" s="5">
        <v>1.7475376884420002</v>
      </c>
      <c r="D773" s="5">
        <v>1</v>
      </c>
      <c r="E773" s="4" t="s">
        <v>13</v>
      </c>
      <c r="F773" s="5">
        <v>3</v>
      </c>
      <c r="G773" s="5">
        <v>0</v>
      </c>
      <c r="H773" s="4" t="s">
        <v>488</v>
      </c>
      <c r="I773" s="4" t="s">
        <v>1234</v>
      </c>
      <c r="J773" s="4" t="s">
        <v>1235</v>
      </c>
      <c r="K773" s="4" t="s">
        <v>10</v>
      </c>
      <c r="L773" s="4" t="s">
        <v>487</v>
      </c>
      <c r="M773" s="5">
        <v>0</v>
      </c>
      <c r="N773" s="4" t="s">
        <v>1241</v>
      </c>
    </row>
    <row r="774" spans="1:14" x14ac:dyDescent="0.15">
      <c r="A774" s="4" t="s">
        <v>301</v>
      </c>
      <c r="B774" s="4" t="s">
        <v>14</v>
      </c>
      <c r="C774" s="5">
        <v>1.9417085427140002</v>
      </c>
      <c r="D774" s="5">
        <v>1</v>
      </c>
      <c r="E774" s="4" t="s">
        <v>13</v>
      </c>
      <c r="F774" s="5">
        <v>3</v>
      </c>
      <c r="G774" s="5">
        <v>0</v>
      </c>
      <c r="H774" s="4" t="s">
        <v>488</v>
      </c>
      <c r="I774" s="4" t="s">
        <v>1234</v>
      </c>
      <c r="J774" s="4" t="s">
        <v>1235</v>
      </c>
      <c r="K774" s="4" t="s">
        <v>10</v>
      </c>
      <c r="L774" s="4" t="s">
        <v>487</v>
      </c>
      <c r="M774" s="5">
        <v>0</v>
      </c>
      <c r="N774" s="4" t="s">
        <v>1241</v>
      </c>
    </row>
    <row r="775" spans="1:14" x14ac:dyDescent="0.15">
      <c r="A775" s="4" t="s">
        <v>301</v>
      </c>
      <c r="B775" s="4" t="s">
        <v>15</v>
      </c>
      <c r="C775" s="5">
        <v>38.834170854271001</v>
      </c>
      <c r="D775" s="5">
        <v>1000</v>
      </c>
      <c r="E775" s="4" t="s">
        <v>13</v>
      </c>
      <c r="F775" s="5">
        <v>3</v>
      </c>
      <c r="G775" s="5">
        <v>0</v>
      </c>
      <c r="H775" s="4" t="s">
        <v>488</v>
      </c>
      <c r="I775" s="4" t="s">
        <v>1234</v>
      </c>
      <c r="J775" s="4" t="s">
        <v>1235</v>
      </c>
      <c r="K775" s="4" t="s">
        <v>10</v>
      </c>
      <c r="L775" s="4" t="s">
        <v>487</v>
      </c>
      <c r="M775" s="5">
        <v>0</v>
      </c>
      <c r="N775" s="4" t="s">
        <v>1241</v>
      </c>
    </row>
    <row r="776" spans="1:14" x14ac:dyDescent="0.15">
      <c r="A776" s="4" t="s">
        <v>301</v>
      </c>
      <c r="B776" s="4" t="s">
        <v>23</v>
      </c>
      <c r="C776" s="5">
        <v>97.085427135678003</v>
      </c>
      <c r="D776" s="5">
        <v>1000</v>
      </c>
      <c r="E776" s="4" t="s">
        <v>13</v>
      </c>
      <c r="F776" s="5">
        <v>3</v>
      </c>
      <c r="G776" s="5">
        <v>0</v>
      </c>
      <c r="H776" s="4" t="s">
        <v>488</v>
      </c>
      <c r="I776" s="4" t="s">
        <v>1234</v>
      </c>
      <c r="J776" s="4" t="s">
        <v>1235</v>
      </c>
      <c r="K776" s="4" t="s">
        <v>10</v>
      </c>
      <c r="L776" s="4" t="s">
        <v>487</v>
      </c>
      <c r="M776" s="5">
        <v>0</v>
      </c>
      <c r="N776" s="4" t="s">
        <v>1241</v>
      </c>
    </row>
    <row r="777" spans="1:14" x14ac:dyDescent="0.15">
      <c r="A777" s="4" t="s">
        <v>301</v>
      </c>
      <c r="B777" s="4" t="s">
        <v>24</v>
      </c>
      <c r="C777" s="5">
        <v>38.834170854271001</v>
      </c>
      <c r="D777" s="5">
        <v>1000</v>
      </c>
      <c r="E777" s="4" t="s">
        <v>13</v>
      </c>
      <c r="F777" s="5">
        <v>3</v>
      </c>
      <c r="G777" s="5">
        <v>0</v>
      </c>
      <c r="H777" s="4" t="s">
        <v>488</v>
      </c>
      <c r="I777" s="4" t="s">
        <v>1234</v>
      </c>
      <c r="J777" s="4" t="s">
        <v>1235</v>
      </c>
      <c r="K777" s="4" t="s">
        <v>10</v>
      </c>
      <c r="L777" s="4" t="s">
        <v>487</v>
      </c>
      <c r="M777" s="5">
        <v>0</v>
      </c>
      <c r="N777" s="4" t="s">
        <v>1241</v>
      </c>
    </row>
    <row r="778" spans="1:14" x14ac:dyDescent="0.15">
      <c r="A778" s="4" t="s">
        <v>301</v>
      </c>
      <c r="B778" s="4" t="s">
        <v>17</v>
      </c>
      <c r="C778" s="5">
        <v>12.820512820513002</v>
      </c>
      <c r="D778" s="5">
        <v>1000</v>
      </c>
      <c r="E778" s="4" t="s">
        <v>18</v>
      </c>
      <c r="F778" s="5">
        <v>0</v>
      </c>
      <c r="G778" s="5">
        <v>0</v>
      </c>
      <c r="H778" s="4" t="s">
        <v>488</v>
      </c>
      <c r="I778" s="4" t="s">
        <v>1234</v>
      </c>
      <c r="J778" s="4" t="s">
        <v>1235</v>
      </c>
      <c r="K778" s="4" t="s">
        <v>10</v>
      </c>
      <c r="L778" s="4" t="s">
        <v>487</v>
      </c>
      <c r="M778" s="5">
        <v>0</v>
      </c>
      <c r="N778" s="4" t="s">
        <v>1241</v>
      </c>
    </row>
    <row r="779" spans="1:14" x14ac:dyDescent="0.15">
      <c r="A779" s="4" t="s">
        <v>301</v>
      </c>
      <c r="B779" s="4" t="s">
        <v>19</v>
      </c>
      <c r="C779" s="5">
        <v>3</v>
      </c>
      <c r="D779" s="5">
        <v>1</v>
      </c>
      <c r="E779" s="4" t="s">
        <v>18</v>
      </c>
      <c r="F779" s="5">
        <v>0</v>
      </c>
      <c r="G779" s="5">
        <v>0</v>
      </c>
      <c r="H779" s="4" t="s">
        <v>488</v>
      </c>
      <c r="I779" s="4" t="s">
        <v>1236</v>
      </c>
      <c r="J779" s="4" t="s">
        <v>1235</v>
      </c>
      <c r="K779" s="4" t="s">
        <v>10</v>
      </c>
      <c r="L779" s="4" t="s">
        <v>487</v>
      </c>
      <c r="M779" s="5">
        <v>0</v>
      </c>
      <c r="N779" s="4" t="s">
        <v>1241</v>
      </c>
    </row>
    <row r="780" spans="1:14" x14ac:dyDescent="0.15">
      <c r="A780" s="4" t="s">
        <v>304</v>
      </c>
      <c r="B780" s="4" t="s">
        <v>305</v>
      </c>
      <c r="C780" s="5">
        <v>1</v>
      </c>
      <c r="D780" s="5">
        <v>1</v>
      </c>
      <c r="E780" s="4" t="s">
        <v>9</v>
      </c>
      <c r="F780" s="5">
        <v>0</v>
      </c>
      <c r="G780" s="5">
        <v>0</v>
      </c>
      <c r="H780" s="4" t="s">
        <v>488</v>
      </c>
      <c r="I780" s="4" t="s">
        <v>1234</v>
      </c>
      <c r="J780" s="4" t="s">
        <v>1235</v>
      </c>
      <c r="K780" s="4" t="s">
        <v>10</v>
      </c>
      <c r="L780" s="4" t="s">
        <v>487</v>
      </c>
      <c r="M780" s="5">
        <v>0</v>
      </c>
      <c r="N780" s="4" t="s">
        <v>1241</v>
      </c>
    </row>
    <row r="781" spans="1:14" x14ac:dyDescent="0.15">
      <c r="A781" s="4" t="s">
        <v>306</v>
      </c>
      <c r="B781" s="4" t="s">
        <v>305</v>
      </c>
      <c r="C781" s="5">
        <v>2</v>
      </c>
      <c r="D781" s="5">
        <v>1</v>
      </c>
      <c r="E781" s="4" t="s">
        <v>9</v>
      </c>
      <c r="F781" s="5">
        <v>0</v>
      </c>
      <c r="G781" s="5">
        <v>0</v>
      </c>
      <c r="H781" s="4" t="s">
        <v>488</v>
      </c>
      <c r="I781" s="4" t="s">
        <v>1234</v>
      </c>
      <c r="J781" s="4" t="s">
        <v>1235</v>
      </c>
      <c r="K781" s="4" t="s">
        <v>10</v>
      </c>
      <c r="L781" s="4" t="s">
        <v>487</v>
      </c>
      <c r="M781" s="5">
        <v>0</v>
      </c>
      <c r="N781" s="4" t="s">
        <v>1241</v>
      </c>
    </row>
    <row r="782" spans="1:14" x14ac:dyDescent="0.15">
      <c r="A782" s="4" t="s">
        <v>307</v>
      </c>
      <c r="B782" s="4" t="s">
        <v>305</v>
      </c>
      <c r="C782" s="5">
        <v>500</v>
      </c>
      <c r="D782" s="5">
        <v>1000</v>
      </c>
      <c r="E782" s="4" t="s">
        <v>9</v>
      </c>
      <c r="F782" s="5">
        <v>0</v>
      </c>
      <c r="G782" s="5">
        <v>0</v>
      </c>
      <c r="H782" s="4" t="s">
        <v>488</v>
      </c>
      <c r="I782" s="4" t="s">
        <v>1234</v>
      </c>
      <c r="J782" s="4" t="s">
        <v>1235</v>
      </c>
      <c r="K782" s="4" t="s">
        <v>10</v>
      </c>
      <c r="L782" s="4" t="s">
        <v>487</v>
      </c>
      <c r="M782" s="5">
        <v>0</v>
      </c>
      <c r="N782" s="4" t="s">
        <v>1241</v>
      </c>
    </row>
    <row r="783" spans="1:14" x14ac:dyDescent="0.15">
      <c r="A783" s="4" t="s">
        <v>305</v>
      </c>
      <c r="B783" s="4" t="s">
        <v>22</v>
      </c>
      <c r="C783" s="5">
        <v>12</v>
      </c>
      <c r="D783" s="5">
        <v>1</v>
      </c>
      <c r="E783" s="4" t="s">
        <v>9</v>
      </c>
      <c r="F783" s="5">
        <v>3</v>
      </c>
      <c r="G783" s="5">
        <v>0</v>
      </c>
      <c r="H783" s="4" t="s">
        <v>488</v>
      </c>
      <c r="I783" s="4" t="s">
        <v>1234</v>
      </c>
      <c r="J783" s="4" t="s">
        <v>1235</v>
      </c>
      <c r="K783" s="4" t="s">
        <v>10</v>
      </c>
      <c r="L783" s="4" t="s">
        <v>487</v>
      </c>
      <c r="M783" s="5">
        <v>0</v>
      </c>
      <c r="N783" s="4" t="s">
        <v>1241</v>
      </c>
    </row>
    <row r="784" spans="1:14" x14ac:dyDescent="0.15">
      <c r="A784" s="4" t="s">
        <v>305</v>
      </c>
      <c r="B784" s="4" t="s">
        <v>12</v>
      </c>
      <c r="C784" s="5">
        <v>3.6042964824119998</v>
      </c>
      <c r="D784" s="5">
        <v>1</v>
      </c>
      <c r="E784" s="4" t="s">
        <v>13</v>
      </c>
      <c r="F784" s="5">
        <v>3</v>
      </c>
      <c r="G784" s="5">
        <v>0</v>
      </c>
      <c r="H784" s="4" t="s">
        <v>488</v>
      </c>
      <c r="I784" s="4" t="s">
        <v>1234</v>
      </c>
      <c r="J784" s="4" t="s">
        <v>1235</v>
      </c>
      <c r="K784" s="4" t="s">
        <v>10</v>
      </c>
      <c r="L784" s="4" t="s">
        <v>487</v>
      </c>
      <c r="M784" s="5">
        <v>0</v>
      </c>
      <c r="N784" s="4" t="s">
        <v>1241</v>
      </c>
    </row>
    <row r="785" spans="1:14" x14ac:dyDescent="0.15">
      <c r="A785" s="4" t="s">
        <v>305</v>
      </c>
      <c r="B785" s="4" t="s">
        <v>14</v>
      </c>
      <c r="C785" s="5">
        <v>4.0047738693469999</v>
      </c>
      <c r="D785" s="5">
        <v>1</v>
      </c>
      <c r="E785" s="4" t="s">
        <v>13</v>
      </c>
      <c r="F785" s="5">
        <v>3</v>
      </c>
      <c r="G785" s="5">
        <v>0</v>
      </c>
      <c r="H785" s="4" t="s">
        <v>488</v>
      </c>
      <c r="I785" s="4" t="s">
        <v>1234</v>
      </c>
      <c r="J785" s="4" t="s">
        <v>1235</v>
      </c>
      <c r="K785" s="4" t="s">
        <v>10</v>
      </c>
      <c r="L785" s="4" t="s">
        <v>487</v>
      </c>
      <c r="M785" s="5">
        <v>0</v>
      </c>
      <c r="N785" s="4" t="s">
        <v>1241</v>
      </c>
    </row>
    <row r="786" spans="1:14" x14ac:dyDescent="0.15">
      <c r="A786" s="4" t="s">
        <v>305</v>
      </c>
      <c r="B786" s="4" t="s">
        <v>15</v>
      </c>
      <c r="C786" s="5">
        <v>80.095477386935002</v>
      </c>
      <c r="D786" s="5">
        <v>1000</v>
      </c>
      <c r="E786" s="4" t="s">
        <v>13</v>
      </c>
      <c r="F786" s="5">
        <v>3</v>
      </c>
      <c r="G786" s="5">
        <v>0</v>
      </c>
      <c r="H786" s="4" t="s">
        <v>488</v>
      </c>
      <c r="I786" s="4" t="s">
        <v>1234</v>
      </c>
      <c r="J786" s="4" t="s">
        <v>1235</v>
      </c>
      <c r="K786" s="4" t="s">
        <v>10</v>
      </c>
      <c r="L786" s="4" t="s">
        <v>487</v>
      </c>
      <c r="M786" s="5">
        <v>0</v>
      </c>
      <c r="N786" s="4" t="s">
        <v>1241</v>
      </c>
    </row>
    <row r="787" spans="1:14" x14ac:dyDescent="0.15">
      <c r="A787" s="4" t="s">
        <v>305</v>
      </c>
      <c r="B787" s="4" t="s">
        <v>23</v>
      </c>
      <c r="C787" s="5">
        <v>0.20023869346699999</v>
      </c>
      <c r="D787" s="5">
        <v>1</v>
      </c>
      <c r="E787" s="4" t="s">
        <v>13</v>
      </c>
      <c r="F787" s="5">
        <v>3</v>
      </c>
      <c r="G787" s="5">
        <v>0</v>
      </c>
      <c r="H787" s="4" t="s">
        <v>488</v>
      </c>
      <c r="I787" s="4" t="s">
        <v>1234</v>
      </c>
      <c r="J787" s="4" t="s">
        <v>1235</v>
      </c>
      <c r="K787" s="4" t="s">
        <v>10</v>
      </c>
      <c r="L787" s="4" t="s">
        <v>487</v>
      </c>
      <c r="M787" s="5">
        <v>0</v>
      </c>
      <c r="N787" s="4" t="s">
        <v>1241</v>
      </c>
    </row>
    <row r="788" spans="1:14" x14ac:dyDescent="0.15">
      <c r="A788" s="4" t="s">
        <v>305</v>
      </c>
      <c r="B788" s="4" t="s">
        <v>24</v>
      </c>
      <c r="C788" s="5">
        <v>80.095477386935002</v>
      </c>
      <c r="D788" s="5">
        <v>1000</v>
      </c>
      <c r="E788" s="4" t="s">
        <v>13</v>
      </c>
      <c r="F788" s="5">
        <v>3</v>
      </c>
      <c r="G788" s="5">
        <v>0</v>
      </c>
      <c r="H788" s="4" t="s">
        <v>488</v>
      </c>
      <c r="I788" s="4" t="s">
        <v>1234</v>
      </c>
      <c r="J788" s="4" t="s">
        <v>1235</v>
      </c>
      <c r="K788" s="4" t="s">
        <v>10</v>
      </c>
      <c r="L788" s="4" t="s">
        <v>487</v>
      </c>
      <c r="M788" s="5">
        <v>0</v>
      </c>
      <c r="N788" s="4" t="s">
        <v>1241</v>
      </c>
    </row>
    <row r="789" spans="1:14" x14ac:dyDescent="0.15">
      <c r="A789" s="4" t="s">
        <v>305</v>
      </c>
      <c r="B789" s="4" t="s">
        <v>17</v>
      </c>
      <c r="C789" s="5">
        <v>13.888888888889001</v>
      </c>
      <c r="D789" s="5">
        <v>1000</v>
      </c>
      <c r="E789" s="4" t="s">
        <v>18</v>
      </c>
      <c r="F789" s="5">
        <v>0</v>
      </c>
      <c r="G789" s="5">
        <v>0</v>
      </c>
      <c r="H789" s="4" t="s">
        <v>488</v>
      </c>
      <c r="I789" s="4" t="s">
        <v>1234</v>
      </c>
      <c r="J789" s="4" t="s">
        <v>1235</v>
      </c>
      <c r="K789" s="4" t="s">
        <v>10</v>
      </c>
      <c r="L789" s="4" t="s">
        <v>487</v>
      </c>
      <c r="M789" s="5">
        <v>0</v>
      </c>
      <c r="N789" s="4" t="s">
        <v>1241</v>
      </c>
    </row>
    <row r="790" spans="1:14" x14ac:dyDescent="0.15">
      <c r="A790" s="4" t="s">
        <v>305</v>
      </c>
      <c r="B790" s="4" t="s">
        <v>19</v>
      </c>
      <c r="C790" s="5">
        <v>4</v>
      </c>
      <c r="D790" s="5">
        <v>1</v>
      </c>
      <c r="E790" s="4" t="s">
        <v>18</v>
      </c>
      <c r="F790" s="5">
        <v>0</v>
      </c>
      <c r="G790" s="5">
        <v>0</v>
      </c>
      <c r="H790" s="4" t="s">
        <v>488</v>
      </c>
      <c r="I790" s="4" t="s">
        <v>1236</v>
      </c>
      <c r="J790" s="4" t="s">
        <v>1235</v>
      </c>
      <c r="K790" s="4" t="s">
        <v>10</v>
      </c>
      <c r="L790" s="4" t="s">
        <v>487</v>
      </c>
      <c r="M790" s="5">
        <v>0</v>
      </c>
      <c r="N790" s="4" t="s">
        <v>1241</v>
      </c>
    </row>
    <row r="791" spans="1:14" x14ac:dyDescent="0.15">
      <c r="A791" s="4" t="s">
        <v>690</v>
      </c>
      <c r="B791" s="4" t="s">
        <v>22</v>
      </c>
      <c r="C791" s="5">
        <v>12</v>
      </c>
      <c r="D791" s="5">
        <v>1</v>
      </c>
      <c r="E791" s="4" t="s">
        <v>9</v>
      </c>
      <c r="F791" s="5">
        <v>3</v>
      </c>
      <c r="G791" s="5">
        <v>0</v>
      </c>
      <c r="H791" s="4" t="s">
        <v>488</v>
      </c>
      <c r="I791" s="4" t="s">
        <v>1234</v>
      </c>
      <c r="J791" s="4" t="s">
        <v>1235</v>
      </c>
      <c r="K791" s="4" t="s">
        <v>10</v>
      </c>
      <c r="L791" s="4" t="s">
        <v>487</v>
      </c>
      <c r="M791" s="5">
        <v>0</v>
      </c>
      <c r="N791" s="4" t="s">
        <v>1241</v>
      </c>
    </row>
    <row r="792" spans="1:14" x14ac:dyDescent="0.15">
      <c r="A792" s="4" t="s">
        <v>690</v>
      </c>
      <c r="B792" s="4" t="s">
        <v>12</v>
      </c>
      <c r="C792" s="5">
        <v>3.6042964824119998</v>
      </c>
      <c r="D792" s="5">
        <v>1</v>
      </c>
      <c r="E792" s="4" t="s">
        <v>13</v>
      </c>
      <c r="F792" s="5">
        <v>3</v>
      </c>
      <c r="G792" s="5">
        <v>0</v>
      </c>
      <c r="H792" s="4" t="s">
        <v>488</v>
      </c>
      <c r="I792" s="4" t="s">
        <v>1234</v>
      </c>
      <c r="J792" s="4" t="s">
        <v>1235</v>
      </c>
      <c r="K792" s="4" t="s">
        <v>10</v>
      </c>
      <c r="L792" s="4" t="s">
        <v>487</v>
      </c>
      <c r="M792" s="5">
        <v>0</v>
      </c>
      <c r="N792" s="4" t="s">
        <v>1241</v>
      </c>
    </row>
    <row r="793" spans="1:14" x14ac:dyDescent="0.15">
      <c r="A793" s="4" t="s">
        <v>690</v>
      </c>
      <c r="B793" s="4" t="s">
        <v>14</v>
      </c>
      <c r="C793" s="5">
        <v>4.0047738693469999</v>
      </c>
      <c r="D793" s="5">
        <v>1</v>
      </c>
      <c r="E793" s="4" t="s">
        <v>13</v>
      </c>
      <c r="F793" s="5">
        <v>3</v>
      </c>
      <c r="G793" s="5">
        <v>0</v>
      </c>
      <c r="H793" s="4" t="s">
        <v>488</v>
      </c>
      <c r="I793" s="4" t="s">
        <v>1234</v>
      </c>
      <c r="J793" s="4" t="s">
        <v>1235</v>
      </c>
      <c r="K793" s="4" t="s">
        <v>10</v>
      </c>
      <c r="L793" s="4" t="s">
        <v>487</v>
      </c>
      <c r="M793" s="5">
        <v>0</v>
      </c>
      <c r="N793" s="4" t="s">
        <v>1241</v>
      </c>
    </row>
    <row r="794" spans="1:14" x14ac:dyDescent="0.15">
      <c r="A794" s="4" t="s">
        <v>690</v>
      </c>
      <c r="B794" s="4" t="s">
        <v>15</v>
      </c>
      <c r="C794" s="5">
        <v>80.095477386935002</v>
      </c>
      <c r="D794" s="5">
        <v>1000</v>
      </c>
      <c r="E794" s="4" t="s">
        <v>13</v>
      </c>
      <c r="F794" s="5">
        <v>3</v>
      </c>
      <c r="G794" s="5">
        <v>0</v>
      </c>
      <c r="H794" s="4" t="s">
        <v>488</v>
      </c>
      <c r="I794" s="4" t="s">
        <v>1234</v>
      </c>
      <c r="J794" s="4" t="s">
        <v>1235</v>
      </c>
      <c r="K794" s="4" t="s">
        <v>10</v>
      </c>
      <c r="L794" s="4" t="s">
        <v>487</v>
      </c>
      <c r="M794" s="5">
        <v>0</v>
      </c>
      <c r="N794" s="4" t="s">
        <v>1241</v>
      </c>
    </row>
    <row r="795" spans="1:14" x14ac:dyDescent="0.15">
      <c r="A795" s="4" t="s">
        <v>690</v>
      </c>
      <c r="B795" s="4" t="s">
        <v>23</v>
      </c>
      <c r="C795" s="5">
        <v>0.20023869346699999</v>
      </c>
      <c r="D795" s="5">
        <v>1</v>
      </c>
      <c r="E795" s="4" t="s">
        <v>13</v>
      </c>
      <c r="F795" s="5">
        <v>3</v>
      </c>
      <c r="G795" s="5">
        <v>0</v>
      </c>
      <c r="H795" s="4" t="s">
        <v>488</v>
      </c>
      <c r="I795" s="4" t="s">
        <v>1234</v>
      </c>
      <c r="J795" s="4" t="s">
        <v>1235</v>
      </c>
      <c r="K795" s="4" t="s">
        <v>10</v>
      </c>
      <c r="L795" s="4" t="s">
        <v>487</v>
      </c>
      <c r="M795" s="5">
        <v>0</v>
      </c>
      <c r="N795" s="4" t="s">
        <v>1241</v>
      </c>
    </row>
    <row r="796" spans="1:14" x14ac:dyDescent="0.15">
      <c r="A796" s="4" t="s">
        <v>690</v>
      </c>
      <c r="B796" s="4" t="s">
        <v>24</v>
      </c>
      <c r="C796" s="5">
        <v>80.095477386935002</v>
      </c>
      <c r="D796" s="5">
        <v>1000</v>
      </c>
      <c r="E796" s="4" t="s">
        <v>13</v>
      </c>
      <c r="F796" s="5">
        <v>3</v>
      </c>
      <c r="G796" s="5">
        <v>0</v>
      </c>
      <c r="H796" s="4" t="s">
        <v>488</v>
      </c>
      <c r="I796" s="4" t="s">
        <v>1234</v>
      </c>
      <c r="J796" s="4" t="s">
        <v>1235</v>
      </c>
      <c r="K796" s="4" t="s">
        <v>10</v>
      </c>
      <c r="L796" s="4" t="s">
        <v>487</v>
      </c>
      <c r="M796" s="5">
        <v>0</v>
      </c>
      <c r="N796" s="4" t="s">
        <v>1241</v>
      </c>
    </row>
    <row r="797" spans="1:14" x14ac:dyDescent="0.15">
      <c r="A797" s="4" t="s">
        <v>690</v>
      </c>
      <c r="B797" s="4" t="s">
        <v>17</v>
      </c>
      <c r="C797" s="5">
        <v>13.888888888889001</v>
      </c>
      <c r="D797" s="5">
        <v>1000</v>
      </c>
      <c r="E797" s="4" t="s">
        <v>18</v>
      </c>
      <c r="F797" s="5">
        <v>0</v>
      </c>
      <c r="G797" s="5">
        <v>0</v>
      </c>
      <c r="H797" s="4" t="s">
        <v>488</v>
      </c>
      <c r="I797" s="4" t="s">
        <v>1234</v>
      </c>
      <c r="J797" s="4" t="s">
        <v>1235</v>
      </c>
      <c r="K797" s="4" t="s">
        <v>10</v>
      </c>
      <c r="L797" s="4" t="s">
        <v>487</v>
      </c>
      <c r="M797" s="5">
        <v>0</v>
      </c>
      <c r="N797" s="4" t="s">
        <v>1241</v>
      </c>
    </row>
    <row r="798" spans="1:14" x14ac:dyDescent="0.15">
      <c r="A798" s="4" t="s">
        <v>690</v>
      </c>
      <c r="B798" s="4" t="s">
        <v>19</v>
      </c>
      <c r="C798" s="5">
        <v>4</v>
      </c>
      <c r="D798" s="5">
        <v>1</v>
      </c>
      <c r="E798" s="4" t="s">
        <v>18</v>
      </c>
      <c r="F798" s="5">
        <v>0</v>
      </c>
      <c r="G798" s="5">
        <v>0</v>
      </c>
      <c r="H798" s="4" t="s">
        <v>488</v>
      </c>
      <c r="I798" s="4" t="s">
        <v>1236</v>
      </c>
      <c r="J798" s="4" t="s">
        <v>1235</v>
      </c>
      <c r="K798" s="4" t="s">
        <v>10</v>
      </c>
      <c r="L798" s="4" t="s">
        <v>487</v>
      </c>
      <c r="M798" s="5">
        <v>0</v>
      </c>
      <c r="N798" s="4" t="s">
        <v>1241</v>
      </c>
    </row>
    <row r="799" spans="1:14" x14ac:dyDescent="0.15">
      <c r="A799" s="4" t="s">
        <v>308</v>
      </c>
      <c r="B799" s="4" t="s">
        <v>309</v>
      </c>
      <c r="C799" s="5">
        <v>1</v>
      </c>
      <c r="D799" s="5">
        <v>1</v>
      </c>
      <c r="E799" s="4" t="s">
        <v>9</v>
      </c>
      <c r="F799" s="5">
        <v>0</v>
      </c>
      <c r="G799" s="5">
        <v>0</v>
      </c>
      <c r="H799" s="4" t="s">
        <v>488</v>
      </c>
      <c r="I799" s="4" t="s">
        <v>1234</v>
      </c>
      <c r="J799" s="4" t="s">
        <v>1235</v>
      </c>
      <c r="K799" s="4" t="s">
        <v>10</v>
      </c>
      <c r="L799" s="4" t="s">
        <v>487</v>
      </c>
      <c r="M799" s="5">
        <v>0</v>
      </c>
      <c r="N799" s="4" t="s">
        <v>1241</v>
      </c>
    </row>
    <row r="800" spans="1:14" x14ac:dyDescent="0.15">
      <c r="A800" s="4" t="s">
        <v>310</v>
      </c>
      <c r="B800" s="4" t="s">
        <v>309</v>
      </c>
      <c r="C800" s="5">
        <v>2</v>
      </c>
      <c r="D800" s="5">
        <v>1</v>
      </c>
      <c r="E800" s="4" t="s">
        <v>9</v>
      </c>
      <c r="F800" s="5">
        <v>0</v>
      </c>
      <c r="G800" s="5">
        <v>0</v>
      </c>
      <c r="H800" s="4" t="s">
        <v>488</v>
      </c>
      <c r="I800" s="4" t="s">
        <v>1234</v>
      </c>
      <c r="J800" s="4" t="s">
        <v>1235</v>
      </c>
      <c r="K800" s="4" t="s">
        <v>10</v>
      </c>
      <c r="L800" s="4" t="s">
        <v>487</v>
      </c>
      <c r="M800" s="5">
        <v>0</v>
      </c>
      <c r="N800" s="4" t="s">
        <v>1241</v>
      </c>
    </row>
    <row r="801" spans="1:14" x14ac:dyDescent="0.15">
      <c r="A801" s="4" t="s">
        <v>311</v>
      </c>
      <c r="B801" s="4" t="s">
        <v>309</v>
      </c>
      <c r="C801" s="5">
        <v>500</v>
      </c>
      <c r="D801" s="5">
        <v>1000</v>
      </c>
      <c r="E801" s="4" t="s">
        <v>9</v>
      </c>
      <c r="F801" s="5">
        <v>0</v>
      </c>
      <c r="G801" s="5">
        <v>0</v>
      </c>
      <c r="H801" s="4" t="s">
        <v>488</v>
      </c>
      <c r="I801" s="4" t="s">
        <v>1234</v>
      </c>
      <c r="J801" s="4" t="s">
        <v>1235</v>
      </c>
      <c r="K801" s="4" t="s">
        <v>10</v>
      </c>
      <c r="L801" s="4" t="s">
        <v>487</v>
      </c>
      <c r="M801" s="5">
        <v>0</v>
      </c>
      <c r="N801" s="4" t="s">
        <v>1241</v>
      </c>
    </row>
    <row r="802" spans="1:14" x14ac:dyDescent="0.15">
      <c r="A802" s="4" t="s">
        <v>309</v>
      </c>
      <c r="B802" s="4" t="s">
        <v>22</v>
      </c>
      <c r="C802" s="5">
        <v>16</v>
      </c>
      <c r="D802" s="5">
        <v>1</v>
      </c>
      <c r="E802" s="4" t="s">
        <v>9</v>
      </c>
      <c r="F802" s="5">
        <v>3</v>
      </c>
      <c r="G802" s="5">
        <v>0</v>
      </c>
      <c r="H802" s="4" t="s">
        <v>488</v>
      </c>
      <c r="I802" s="4" t="s">
        <v>1234</v>
      </c>
      <c r="J802" s="4" t="s">
        <v>1235</v>
      </c>
      <c r="K802" s="4" t="s">
        <v>10</v>
      </c>
      <c r="L802" s="4" t="s">
        <v>487</v>
      </c>
      <c r="M802" s="5">
        <v>0</v>
      </c>
      <c r="N802" s="4" t="s">
        <v>1241</v>
      </c>
    </row>
    <row r="803" spans="1:14" x14ac:dyDescent="0.15">
      <c r="A803" s="4" t="s">
        <v>309</v>
      </c>
      <c r="B803" s="4" t="s">
        <v>12</v>
      </c>
      <c r="C803" s="5">
        <v>4.4773869346729995</v>
      </c>
      <c r="D803" s="5">
        <v>1</v>
      </c>
      <c r="E803" s="4" t="s">
        <v>13</v>
      </c>
      <c r="F803" s="5">
        <v>3</v>
      </c>
      <c r="G803" s="5">
        <v>0</v>
      </c>
      <c r="H803" s="4" t="s">
        <v>488</v>
      </c>
      <c r="I803" s="4" t="s">
        <v>1234</v>
      </c>
      <c r="J803" s="4" t="s">
        <v>1235</v>
      </c>
      <c r="K803" s="4" t="s">
        <v>10</v>
      </c>
      <c r="L803" s="4" t="s">
        <v>487</v>
      </c>
      <c r="M803" s="5">
        <v>0</v>
      </c>
      <c r="N803" s="4" t="s">
        <v>1241</v>
      </c>
    </row>
    <row r="804" spans="1:14" x14ac:dyDescent="0.15">
      <c r="A804" s="4" t="s">
        <v>309</v>
      </c>
      <c r="B804" s="4" t="s">
        <v>14</v>
      </c>
      <c r="C804" s="5">
        <v>4.9748743718589994</v>
      </c>
      <c r="D804" s="5">
        <v>1</v>
      </c>
      <c r="E804" s="4" t="s">
        <v>13</v>
      </c>
      <c r="F804" s="5">
        <v>3</v>
      </c>
      <c r="G804" s="5">
        <v>0</v>
      </c>
      <c r="H804" s="4" t="s">
        <v>488</v>
      </c>
      <c r="I804" s="4" t="s">
        <v>1234</v>
      </c>
      <c r="J804" s="4" t="s">
        <v>1235</v>
      </c>
      <c r="K804" s="4" t="s">
        <v>10</v>
      </c>
      <c r="L804" s="4" t="s">
        <v>487</v>
      </c>
      <c r="M804" s="5">
        <v>0</v>
      </c>
      <c r="N804" s="4" t="s">
        <v>1241</v>
      </c>
    </row>
    <row r="805" spans="1:14" x14ac:dyDescent="0.15">
      <c r="A805" s="4" t="s">
        <v>309</v>
      </c>
      <c r="B805" s="4" t="s">
        <v>15</v>
      </c>
      <c r="C805" s="5">
        <v>99.49748743718601</v>
      </c>
      <c r="D805" s="5">
        <v>1000</v>
      </c>
      <c r="E805" s="4" t="s">
        <v>13</v>
      </c>
      <c r="F805" s="5">
        <v>3</v>
      </c>
      <c r="G805" s="5">
        <v>0</v>
      </c>
      <c r="H805" s="4" t="s">
        <v>488</v>
      </c>
      <c r="I805" s="4" t="s">
        <v>1234</v>
      </c>
      <c r="J805" s="4" t="s">
        <v>1235</v>
      </c>
      <c r="K805" s="4" t="s">
        <v>10</v>
      </c>
      <c r="L805" s="4" t="s">
        <v>487</v>
      </c>
      <c r="M805" s="5">
        <v>0</v>
      </c>
      <c r="N805" s="4" t="s">
        <v>1241</v>
      </c>
    </row>
    <row r="806" spans="1:14" x14ac:dyDescent="0.15">
      <c r="A806" s="4" t="s">
        <v>309</v>
      </c>
      <c r="B806" s="4" t="s">
        <v>23</v>
      </c>
      <c r="C806" s="5">
        <v>0.24874371859300001</v>
      </c>
      <c r="D806" s="5">
        <v>1</v>
      </c>
      <c r="E806" s="4" t="s">
        <v>13</v>
      </c>
      <c r="F806" s="5">
        <v>3</v>
      </c>
      <c r="G806" s="5">
        <v>0</v>
      </c>
      <c r="H806" s="4" t="s">
        <v>488</v>
      </c>
      <c r="I806" s="4" t="s">
        <v>1234</v>
      </c>
      <c r="J806" s="4" t="s">
        <v>1235</v>
      </c>
      <c r="K806" s="4" t="s">
        <v>10</v>
      </c>
      <c r="L806" s="4" t="s">
        <v>487</v>
      </c>
      <c r="M806" s="5">
        <v>0</v>
      </c>
      <c r="N806" s="4" t="s">
        <v>1241</v>
      </c>
    </row>
    <row r="807" spans="1:14" x14ac:dyDescent="0.15">
      <c r="A807" s="4" t="s">
        <v>309</v>
      </c>
      <c r="B807" s="4" t="s">
        <v>24</v>
      </c>
      <c r="C807" s="5">
        <v>99.49748743718601</v>
      </c>
      <c r="D807" s="5">
        <v>1000</v>
      </c>
      <c r="E807" s="4" t="s">
        <v>13</v>
      </c>
      <c r="F807" s="5">
        <v>3</v>
      </c>
      <c r="G807" s="5">
        <v>0</v>
      </c>
      <c r="H807" s="4" t="s">
        <v>488</v>
      </c>
      <c r="I807" s="4" t="s">
        <v>1234</v>
      </c>
      <c r="J807" s="4" t="s">
        <v>1235</v>
      </c>
      <c r="K807" s="4" t="s">
        <v>10</v>
      </c>
      <c r="L807" s="4" t="s">
        <v>487</v>
      </c>
      <c r="M807" s="5">
        <v>0</v>
      </c>
      <c r="N807" s="4" t="s">
        <v>1241</v>
      </c>
    </row>
    <row r="808" spans="1:14" x14ac:dyDescent="0.15">
      <c r="A808" s="4" t="s">
        <v>309</v>
      </c>
      <c r="B808" s="4" t="s">
        <v>17</v>
      </c>
      <c r="C808" s="5">
        <v>13.888888888889001</v>
      </c>
      <c r="D808" s="5">
        <v>1000</v>
      </c>
      <c r="E808" s="4" t="s">
        <v>18</v>
      </c>
      <c r="F808" s="5">
        <v>0</v>
      </c>
      <c r="G808" s="5">
        <v>0</v>
      </c>
      <c r="H808" s="4" t="s">
        <v>488</v>
      </c>
      <c r="I808" s="4" t="s">
        <v>1234</v>
      </c>
      <c r="J808" s="4" t="s">
        <v>1235</v>
      </c>
      <c r="K808" s="4" t="s">
        <v>10</v>
      </c>
      <c r="L808" s="4" t="s">
        <v>487</v>
      </c>
      <c r="M808" s="5">
        <v>0</v>
      </c>
      <c r="N808" s="4" t="s">
        <v>1241</v>
      </c>
    </row>
    <row r="809" spans="1:14" x14ac:dyDescent="0.15">
      <c r="A809" s="4" t="s">
        <v>309</v>
      </c>
      <c r="B809" s="4" t="s">
        <v>19</v>
      </c>
      <c r="C809" s="5">
        <v>4</v>
      </c>
      <c r="D809" s="5">
        <v>1</v>
      </c>
      <c r="E809" s="4" t="s">
        <v>18</v>
      </c>
      <c r="F809" s="5">
        <v>0</v>
      </c>
      <c r="G809" s="5">
        <v>0</v>
      </c>
      <c r="H809" s="4" t="s">
        <v>488</v>
      </c>
      <c r="I809" s="4" t="s">
        <v>1236</v>
      </c>
      <c r="J809" s="4" t="s">
        <v>1235</v>
      </c>
      <c r="K809" s="4" t="s">
        <v>10</v>
      </c>
      <c r="L809" s="4" t="s">
        <v>487</v>
      </c>
      <c r="M809" s="5">
        <v>0</v>
      </c>
      <c r="N809" s="4" t="s">
        <v>1241</v>
      </c>
    </row>
    <row r="810" spans="1:14" x14ac:dyDescent="0.15">
      <c r="A810" s="4" t="s">
        <v>312</v>
      </c>
      <c r="B810" s="4" t="s">
        <v>313</v>
      </c>
      <c r="C810" s="5">
        <v>1</v>
      </c>
      <c r="D810" s="5">
        <v>1</v>
      </c>
      <c r="E810" s="4" t="s">
        <v>9</v>
      </c>
      <c r="F810" s="5">
        <v>0</v>
      </c>
      <c r="G810" s="5">
        <v>0</v>
      </c>
      <c r="H810" s="4" t="s">
        <v>488</v>
      </c>
      <c r="I810" s="4" t="s">
        <v>1234</v>
      </c>
      <c r="J810" s="4" t="s">
        <v>1235</v>
      </c>
      <c r="K810" s="4" t="s">
        <v>10</v>
      </c>
      <c r="L810" s="4" t="s">
        <v>487</v>
      </c>
      <c r="M810" s="5">
        <v>0</v>
      </c>
      <c r="N810" s="4" t="s">
        <v>1241</v>
      </c>
    </row>
    <row r="811" spans="1:14" x14ac:dyDescent="0.15">
      <c r="A811" s="4" t="s">
        <v>314</v>
      </c>
      <c r="B811" s="4" t="s">
        <v>313</v>
      </c>
      <c r="C811" s="5">
        <v>2</v>
      </c>
      <c r="D811" s="5">
        <v>1</v>
      </c>
      <c r="E811" s="4" t="s">
        <v>9</v>
      </c>
      <c r="F811" s="5">
        <v>0</v>
      </c>
      <c r="G811" s="5">
        <v>0</v>
      </c>
      <c r="H811" s="4" t="s">
        <v>488</v>
      </c>
      <c r="I811" s="4" t="s">
        <v>1234</v>
      </c>
      <c r="J811" s="4" t="s">
        <v>1235</v>
      </c>
      <c r="K811" s="4" t="s">
        <v>10</v>
      </c>
      <c r="L811" s="4" t="s">
        <v>487</v>
      </c>
      <c r="M811" s="5">
        <v>0</v>
      </c>
      <c r="N811" s="4" t="s">
        <v>1241</v>
      </c>
    </row>
    <row r="812" spans="1:14" x14ac:dyDescent="0.15">
      <c r="A812" s="4" t="s">
        <v>315</v>
      </c>
      <c r="B812" s="4" t="s">
        <v>313</v>
      </c>
      <c r="C812" s="5">
        <v>500</v>
      </c>
      <c r="D812" s="5">
        <v>1000</v>
      </c>
      <c r="E812" s="4" t="s">
        <v>9</v>
      </c>
      <c r="F812" s="5">
        <v>0</v>
      </c>
      <c r="G812" s="5">
        <v>0</v>
      </c>
      <c r="H812" s="4" t="s">
        <v>488</v>
      </c>
      <c r="I812" s="4" t="s">
        <v>1234</v>
      </c>
      <c r="J812" s="4" t="s">
        <v>1235</v>
      </c>
      <c r="K812" s="4" t="s">
        <v>10</v>
      </c>
      <c r="L812" s="4" t="s">
        <v>487</v>
      </c>
      <c r="M812" s="5">
        <v>0</v>
      </c>
      <c r="N812" s="4" t="s">
        <v>1241</v>
      </c>
    </row>
    <row r="813" spans="1:14" x14ac:dyDescent="0.15">
      <c r="A813" s="4" t="s">
        <v>313</v>
      </c>
      <c r="B813" s="4" t="s">
        <v>28</v>
      </c>
      <c r="C813" s="5">
        <v>5</v>
      </c>
      <c r="D813" s="5">
        <v>1</v>
      </c>
      <c r="E813" s="4" t="s">
        <v>9</v>
      </c>
      <c r="F813" s="5">
        <v>3</v>
      </c>
      <c r="G813" s="5">
        <v>0</v>
      </c>
      <c r="H813" s="4" t="s">
        <v>488</v>
      </c>
      <c r="I813" s="4" t="s">
        <v>1234</v>
      </c>
      <c r="J813" s="4" t="s">
        <v>1235</v>
      </c>
      <c r="K813" s="4" t="s">
        <v>10</v>
      </c>
      <c r="L813" s="4" t="s">
        <v>487</v>
      </c>
      <c r="M813" s="5">
        <v>0</v>
      </c>
      <c r="N813" s="4" t="s">
        <v>1241</v>
      </c>
    </row>
    <row r="814" spans="1:14" x14ac:dyDescent="0.15">
      <c r="A814" s="4" t="s">
        <v>313</v>
      </c>
      <c r="B814" s="4" t="s">
        <v>12</v>
      </c>
      <c r="C814" s="5">
        <v>56.815326633165995</v>
      </c>
      <c r="D814" s="5">
        <v>1000</v>
      </c>
      <c r="E814" s="4" t="s">
        <v>13</v>
      </c>
      <c r="F814" s="5">
        <v>3</v>
      </c>
      <c r="G814" s="5">
        <v>0</v>
      </c>
      <c r="H814" s="4" t="s">
        <v>488</v>
      </c>
      <c r="I814" s="4" t="s">
        <v>1234</v>
      </c>
      <c r="J814" s="4" t="s">
        <v>1235</v>
      </c>
      <c r="K814" s="4" t="s">
        <v>10</v>
      </c>
      <c r="L814" s="4" t="s">
        <v>487</v>
      </c>
      <c r="M814" s="5">
        <v>0</v>
      </c>
      <c r="N814" s="4" t="s">
        <v>1241</v>
      </c>
    </row>
    <row r="815" spans="1:14" x14ac:dyDescent="0.15">
      <c r="A815" s="4" t="s">
        <v>313</v>
      </c>
      <c r="B815" s="4" t="s">
        <v>14</v>
      </c>
      <c r="C815" s="5">
        <v>63.128140703518</v>
      </c>
      <c r="D815" s="5">
        <v>1000</v>
      </c>
      <c r="E815" s="4" t="s">
        <v>13</v>
      </c>
      <c r="F815" s="5">
        <v>3</v>
      </c>
      <c r="G815" s="5">
        <v>0</v>
      </c>
      <c r="H815" s="4" t="s">
        <v>488</v>
      </c>
      <c r="I815" s="4" t="s">
        <v>1234</v>
      </c>
      <c r="J815" s="4" t="s">
        <v>1235</v>
      </c>
      <c r="K815" s="4" t="s">
        <v>10</v>
      </c>
      <c r="L815" s="4" t="s">
        <v>487</v>
      </c>
      <c r="M815" s="5">
        <v>0</v>
      </c>
      <c r="N815" s="4" t="s">
        <v>1241</v>
      </c>
    </row>
    <row r="816" spans="1:14" x14ac:dyDescent="0.15">
      <c r="A816" s="4" t="s">
        <v>313</v>
      </c>
      <c r="B816" s="4" t="s">
        <v>15</v>
      </c>
      <c r="C816" s="5">
        <v>1.2625628140699998</v>
      </c>
      <c r="D816" s="5">
        <v>1000</v>
      </c>
      <c r="E816" s="4" t="s">
        <v>13</v>
      </c>
      <c r="F816" s="5">
        <v>3</v>
      </c>
      <c r="G816" s="5">
        <v>0</v>
      </c>
      <c r="H816" s="4" t="s">
        <v>488</v>
      </c>
      <c r="I816" s="4" t="s">
        <v>1234</v>
      </c>
      <c r="J816" s="4" t="s">
        <v>1235</v>
      </c>
      <c r="K816" s="4" t="s">
        <v>10</v>
      </c>
      <c r="L816" s="4" t="s">
        <v>487</v>
      </c>
      <c r="M816" s="5">
        <v>0</v>
      </c>
      <c r="N816" s="4" t="s">
        <v>1241</v>
      </c>
    </row>
    <row r="817" spans="1:14" x14ac:dyDescent="0.15">
      <c r="A817" s="4" t="s">
        <v>313</v>
      </c>
      <c r="B817" s="4" t="s">
        <v>23</v>
      </c>
      <c r="C817" s="5">
        <v>3.1564070351760001</v>
      </c>
      <c r="D817" s="5">
        <v>1000</v>
      </c>
      <c r="E817" s="4" t="s">
        <v>13</v>
      </c>
      <c r="F817" s="5">
        <v>3</v>
      </c>
      <c r="G817" s="5">
        <v>0</v>
      </c>
      <c r="H817" s="4" t="s">
        <v>488</v>
      </c>
      <c r="I817" s="4" t="s">
        <v>1234</v>
      </c>
      <c r="J817" s="4" t="s">
        <v>1235</v>
      </c>
      <c r="K817" s="4" t="s">
        <v>10</v>
      </c>
      <c r="L817" s="4" t="s">
        <v>487</v>
      </c>
      <c r="M817" s="5">
        <v>0</v>
      </c>
      <c r="N817" s="4" t="s">
        <v>1241</v>
      </c>
    </row>
    <row r="818" spans="1:14" x14ac:dyDescent="0.15">
      <c r="A818" s="4" t="s">
        <v>313</v>
      </c>
      <c r="B818" s="4" t="s">
        <v>24</v>
      </c>
      <c r="C818" s="5">
        <v>1.2625628140699998</v>
      </c>
      <c r="D818" s="5">
        <v>1000</v>
      </c>
      <c r="E818" s="4" t="s">
        <v>13</v>
      </c>
      <c r="F818" s="5">
        <v>3</v>
      </c>
      <c r="G818" s="5">
        <v>0</v>
      </c>
      <c r="H818" s="4" t="s">
        <v>488</v>
      </c>
      <c r="I818" s="4" t="s">
        <v>1234</v>
      </c>
      <c r="J818" s="4" t="s">
        <v>1235</v>
      </c>
      <c r="K818" s="4" t="s">
        <v>10</v>
      </c>
      <c r="L818" s="4" t="s">
        <v>487</v>
      </c>
      <c r="M818" s="5">
        <v>0</v>
      </c>
      <c r="N818" s="4" t="s">
        <v>1241</v>
      </c>
    </row>
    <row r="819" spans="1:14" x14ac:dyDescent="0.15">
      <c r="A819" s="4" t="s">
        <v>313</v>
      </c>
      <c r="B819" s="4" t="s">
        <v>17</v>
      </c>
      <c r="C819" s="5">
        <v>7.9365079365080007</v>
      </c>
      <c r="D819" s="5">
        <v>1000</v>
      </c>
      <c r="E819" s="4" t="s">
        <v>18</v>
      </c>
      <c r="F819" s="5">
        <v>0</v>
      </c>
      <c r="G819" s="5">
        <v>0</v>
      </c>
      <c r="H819" s="4" t="s">
        <v>488</v>
      </c>
      <c r="I819" s="4" t="s">
        <v>1234</v>
      </c>
      <c r="J819" s="4" t="s">
        <v>1235</v>
      </c>
      <c r="K819" s="4" t="s">
        <v>10</v>
      </c>
      <c r="L819" s="4" t="s">
        <v>487</v>
      </c>
      <c r="M819" s="5">
        <v>0</v>
      </c>
      <c r="N819" s="4" t="s">
        <v>1241</v>
      </c>
    </row>
    <row r="820" spans="1:14" x14ac:dyDescent="0.15">
      <c r="A820" s="4" t="s">
        <v>313</v>
      </c>
      <c r="B820" s="4" t="s">
        <v>19</v>
      </c>
      <c r="C820" s="5">
        <v>3</v>
      </c>
      <c r="D820" s="5">
        <v>1</v>
      </c>
      <c r="E820" s="4" t="s">
        <v>18</v>
      </c>
      <c r="F820" s="5">
        <v>0</v>
      </c>
      <c r="G820" s="5">
        <v>0</v>
      </c>
      <c r="H820" s="4" t="s">
        <v>488</v>
      </c>
      <c r="I820" s="4" t="s">
        <v>1236</v>
      </c>
      <c r="J820" s="4" t="s">
        <v>1235</v>
      </c>
      <c r="K820" s="4" t="s">
        <v>10</v>
      </c>
      <c r="L820" s="4" t="s">
        <v>487</v>
      </c>
      <c r="M820" s="5">
        <v>0</v>
      </c>
      <c r="N820" s="4" t="s">
        <v>1241</v>
      </c>
    </row>
    <row r="821" spans="1:14" x14ac:dyDescent="0.15">
      <c r="A821" s="4" t="s">
        <v>316</v>
      </c>
      <c r="B821" s="4" t="s">
        <v>317</v>
      </c>
      <c r="C821" s="5">
        <v>1</v>
      </c>
      <c r="D821" s="5">
        <v>1</v>
      </c>
      <c r="E821" s="4" t="s">
        <v>9</v>
      </c>
      <c r="F821" s="5">
        <v>0</v>
      </c>
      <c r="G821" s="5">
        <v>0</v>
      </c>
      <c r="H821" s="4" t="s">
        <v>488</v>
      </c>
      <c r="I821" s="4" t="s">
        <v>1234</v>
      </c>
      <c r="J821" s="4" t="s">
        <v>1235</v>
      </c>
      <c r="K821" s="4" t="s">
        <v>10</v>
      </c>
      <c r="L821" s="4" t="s">
        <v>487</v>
      </c>
      <c r="M821" s="5">
        <v>0</v>
      </c>
      <c r="N821" s="4" t="s">
        <v>1241</v>
      </c>
    </row>
    <row r="822" spans="1:14" x14ac:dyDescent="0.15">
      <c r="A822" s="4" t="s">
        <v>318</v>
      </c>
      <c r="B822" s="4" t="s">
        <v>317</v>
      </c>
      <c r="C822" s="5">
        <v>2</v>
      </c>
      <c r="D822" s="5">
        <v>1</v>
      </c>
      <c r="E822" s="4" t="s">
        <v>9</v>
      </c>
      <c r="F822" s="5">
        <v>0</v>
      </c>
      <c r="G822" s="5">
        <v>0</v>
      </c>
      <c r="H822" s="4" t="s">
        <v>488</v>
      </c>
      <c r="I822" s="4" t="s">
        <v>1234</v>
      </c>
      <c r="J822" s="4" t="s">
        <v>1235</v>
      </c>
      <c r="K822" s="4" t="s">
        <v>10</v>
      </c>
      <c r="L822" s="4" t="s">
        <v>487</v>
      </c>
      <c r="M822" s="5">
        <v>0</v>
      </c>
      <c r="N822" s="4" t="s">
        <v>1241</v>
      </c>
    </row>
    <row r="823" spans="1:14" x14ac:dyDescent="0.15">
      <c r="A823" s="4" t="s">
        <v>319</v>
      </c>
      <c r="B823" s="4" t="s">
        <v>317</v>
      </c>
      <c r="C823" s="5">
        <v>500</v>
      </c>
      <c r="D823" s="5">
        <v>1000</v>
      </c>
      <c r="E823" s="4" t="s">
        <v>9</v>
      </c>
      <c r="F823" s="5">
        <v>0</v>
      </c>
      <c r="G823" s="5">
        <v>0</v>
      </c>
      <c r="H823" s="4" t="s">
        <v>488</v>
      </c>
      <c r="I823" s="4" t="s">
        <v>1234</v>
      </c>
      <c r="J823" s="4" t="s">
        <v>1235</v>
      </c>
      <c r="K823" s="4" t="s">
        <v>10</v>
      </c>
      <c r="L823" s="4" t="s">
        <v>487</v>
      </c>
      <c r="M823" s="5">
        <v>0</v>
      </c>
      <c r="N823" s="4" t="s">
        <v>1241</v>
      </c>
    </row>
    <row r="824" spans="1:14" x14ac:dyDescent="0.15">
      <c r="A824" s="4" t="s">
        <v>317</v>
      </c>
      <c r="B824" s="4" t="s">
        <v>22</v>
      </c>
      <c r="C824" s="5">
        <v>18</v>
      </c>
      <c r="D824" s="5">
        <v>1</v>
      </c>
      <c r="E824" s="4" t="s">
        <v>9</v>
      </c>
      <c r="F824" s="5">
        <v>3</v>
      </c>
      <c r="G824" s="5">
        <v>0</v>
      </c>
      <c r="H824" s="4" t="s">
        <v>488</v>
      </c>
      <c r="I824" s="4" t="s">
        <v>1234</v>
      </c>
      <c r="J824" s="4" t="s">
        <v>1235</v>
      </c>
      <c r="K824" s="4" t="s">
        <v>10</v>
      </c>
      <c r="L824" s="4" t="s">
        <v>487</v>
      </c>
      <c r="M824" s="5">
        <v>0</v>
      </c>
      <c r="N824" s="4" t="s">
        <v>1241</v>
      </c>
    </row>
    <row r="825" spans="1:14" x14ac:dyDescent="0.15">
      <c r="A825" s="4" t="s">
        <v>317</v>
      </c>
      <c r="B825" s="4" t="s">
        <v>12</v>
      </c>
      <c r="C825" s="5">
        <v>5.2049623115579999</v>
      </c>
      <c r="D825" s="5">
        <v>1</v>
      </c>
      <c r="E825" s="4" t="s">
        <v>13</v>
      </c>
      <c r="F825" s="5">
        <v>3</v>
      </c>
      <c r="G825" s="5">
        <v>0</v>
      </c>
      <c r="H825" s="4" t="s">
        <v>488</v>
      </c>
      <c r="I825" s="4" t="s">
        <v>1234</v>
      </c>
      <c r="J825" s="4" t="s">
        <v>1235</v>
      </c>
      <c r="K825" s="4" t="s">
        <v>10</v>
      </c>
      <c r="L825" s="4" t="s">
        <v>487</v>
      </c>
      <c r="M825" s="5">
        <v>0</v>
      </c>
      <c r="N825" s="4" t="s">
        <v>1241</v>
      </c>
    </row>
    <row r="826" spans="1:14" x14ac:dyDescent="0.15">
      <c r="A826" s="4" t="s">
        <v>317</v>
      </c>
      <c r="B826" s="4" t="s">
        <v>14</v>
      </c>
      <c r="C826" s="5">
        <v>5.7832914572859995</v>
      </c>
      <c r="D826" s="5">
        <v>1</v>
      </c>
      <c r="E826" s="4" t="s">
        <v>13</v>
      </c>
      <c r="F826" s="5">
        <v>3</v>
      </c>
      <c r="G826" s="5">
        <v>0</v>
      </c>
      <c r="H826" s="4" t="s">
        <v>488</v>
      </c>
      <c r="I826" s="4" t="s">
        <v>1234</v>
      </c>
      <c r="J826" s="4" t="s">
        <v>1235</v>
      </c>
      <c r="K826" s="4" t="s">
        <v>10</v>
      </c>
      <c r="L826" s="4" t="s">
        <v>487</v>
      </c>
      <c r="M826" s="5">
        <v>0</v>
      </c>
      <c r="N826" s="4" t="s">
        <v>1241</v>
      </c>
    </row>
    <row r="827" spans="1:14" x14ac:dyDescent="0.15">
      <c r="A827" s="4" t="s">
        <v>317</v>
      </c>
      <c r="B827" s="4" t="s">
        <v>15</v>
      </c>
      <c r="C827" s="5">
        <v>0.115665829146</v>
      </c>
      <c r="D827" s="5">
        <v>1</v>
      </c>
      <c r="E827" s="4" t="s">
        <v>13</v>
      </c>
      <c r="F827" s="5">
        <v>3</v>
      </c>
      <c r="G827" s="5">
        <v>0</v>
      </c>
      <c r="H827" s="4" t="s">
        <v>488</v>
      </c>
      <c r="I827" s="4" t="s">
        <v>1234</v>
      </c>
      <c r="J827" s="4" t="s">
        <v>1235</v>
      </c>
      <c r="K827" s="4" t="s">
        <v>10</v>
      </c>
      <c r="L827" s="4" t="s">
        <v>487</v>
      </c>
      <c r="M827" s="5">
        <v>0</v>
      </c>
      <c r="N827" s="4" t="s">
        <v>1241</v>
      </c>
    </row>
    <row r="828" spans="1:14" x14ac:dyDescent="0.15">
      <c r="A828" s="4" t="s">
        <v>317</v>
      </c>
      <c r="B828" s="4" t="s">
        <v>23</v>
      </c>
      <c r="C828" s="5">
        <v>0.28916457286399999</v>
      </c>
      <c r="D828" s="5">
        <v>1</v>
      </c>
      <c r="E828" s="4" t="s">
        <v>13</v>
      </c>
      <c r="F828" s="5">
        <v>3</v>
      </c>
      <c r="G828" s="5">
        <v>0</v>
      </c>
      <c r="H828" s="4" t="s">
        <v>488</v>
      </c>
      <c r="I828" s="4" t="s">
        <v>1234</v>
      </c>
      <c r="J828" s="4" t="s">
        <v>1235</v>
      </c>
      <c r="K828" s="4" t="s">
        <v>10</v>
      </c>
      <c r="L828" s="4" t="s">
        <v>487</v>
      </c>
      <c r="M828" s="5">
        <v>0</v>
      </c>
      <c r="N828" s="4" t="s">
        <v>1241</v>
      </c>
    </row>
    <row r="829" spans="1:14" x14ac:dyDescent="0.15">
      <c r="A829" s="4" t="s">
        <v>317</v>
      </c>
      <c r="B829" s="4" t="s">
        <v>24</v>
      </c>
      <c r="C829" s="5">
        <v>0.115665829146</v>
      </c>
      <c r="D829" s="5">
        <v>1</v>
      </c>
      <c r="E829" s="4" t="s">
        <v>13</v>
      </c>
      <c r="F829" s="5">
        <v>3</v>
      </c>
      <c r="G829" s="5">
        <v>0</v>
      </c>
      <c r="H829" s="4" t="s">
        <v>488</v>
      </c>
      <c r="I829" s="4" t="s">
        <v>1234</v>
      </c>
      <c r="J829" s="4" t="s">
        <v>1235</v>
      </c>
      <c r="K829" s="4" t="s">
        <v>10</v>
      </c>
      <c r="L829" s="4" t="s">
        <v>487</v>
      </c>
      <c r="M829" s="5">
        <v>0</v>
      </c>
      <c r="N829" s="4" t="s">
        <v>1241</v>
      </c>
    </row>
    <row r="830" spans="1:14" x14ac:dyDescent="0.15">
      <c r="A830" s="4" t="s">
        <v>317</v>
      </c>
      <c r="B830" s="4" t="s">
        <v>17</v>
      </c>
      <c r="C830" s="5">
        <v>18.518518518518999</v>
      </c>
      <c r="D830" s="5">
        <v>1000</v>
      </c>
      <c r="E830" s="4" t="s">
        <v>18</v>
      </c>
      <c r="F830" s="5">
        <v>0</v>
      </c>
      <c r="G830" s="5">
        <v>0</v>
      </c>
      <c r="H830" s="4" t="s">
        <v>488</v>
      </c>
      <c r="I830" s="4" t="s">
        <v>1234</v>
      </c>
      <c r="J830" s="4" t="s">
        <v>1235</v>
      </c>
      <c r="K830" s="4" t="s">
        <v>10</v>
      </c>
      <c r="L830" s="4" t="s">
        <v>487</v>
      </c>
      <c r="M830" s="5">
        <v>0</v>
      </c>
      <c r="N830" s="4" t="s">
        <v>1241</v>
      </c>
    </row>
    <row r="831" spans="1:14" x14ac:dyDescent="0.15">
      <c r="A831" s="4" t="s">
        <v>317</v>
      </c>
      <c r="B831" s="4" t="s">
        <v>19</v>
      </c>
      <c r="C831" s="5">
        <v>4</v>
      </c>
      <c r="D831" s="5">
        <v>1</v>
      </c>
      <c r="E831" s="4" t="s">
        <v>18</v>
      </c>
      <c r="F831" s="5">
        <v>0</v>
      </c>
      <c r="G831" s="5">
        <v>0</v>
      </c>
      <c r="H831" s="4" t="s">
        <v>488</v>
      </c>
      <c r="I831" s="4" t="s">
        <v>1236</v>
      </c>
      <c r="J831" s="4" t="s">
        <v>1235</v>
      </c>
      <c r="K831" s="4" t="s">
        <v>10</v>
      </c>
      <c r="L831" s="4" t="s">
        <v>487</v>
      </c>
      <c r="M831" s="5">
        <v>0</v>
      </c>
      <c r="N831" s="4" t="s">
        <v>1241</v>
      </c>
    </row>
    <row r="832" spans="1:14" x14ac:dyDescent="0.15">
      <c r="A832" s="4" t="s">
        <v>320</v>
      </c>
      <c r="B832" s="4" t="s">
        <v>321</v>
      </c>
      <c r="C832" s="5">
        <v>1</v>
      </c>
      <c r="D832" s="5">
        <v>1</v>
      </c>
      <c r="E832" s="4" t="s">
        <v>9</v>
      </c>
      <c r="F832" s="5">
        <v>0</v>
      </c>
      <c r="G832" s="5">
        <v>0</v>
      </c>
      <c r="H832" s="4" t="s">
        <v>488</v>
      </c>
      <c r="I832" s="4" t="s">
        <v>1234</v>
      </c>
      <c r="J832" s="4" t="s">
        <v>1235</v>
      </c>
      <c r="K832" s="4" t="s">
        <v>10</v>
      </c>
      <c r="L832" s="4" t="s">
        <v>487</v>
      </c>
      <c r="M832" s="5">
        <v>0</v>
      </c>
      <c r="N832" s="4" t="s">
        <v>1241</v>
      </c>
    </row>
    <row r="833" spans="1:14" x14ac:dyDescent="0.15">
      <c r="A833" s="4" t="s">
        <v>322</v>
      </c>
      <c r="B833" s="4" t="s">
        <v>321</v>
      </c>
      <c r="C833" s="5">
        <v>2</v>
      </c>
      <c r="D833" s="5">
        <v>1</v>
      </c>
      <c r="E833" s="4" t="s">
        <v>9</v>
      </c>
      <c r="F833" s="5">
        <v>0</v>
      </c>
      <c r="G833" s="5">
        <v>0</v>
      </c>
      <c r="H833" s="4" t="s">
        <v>488</v>
      </c>
      <c r="I833" s="4" t="s">
        <v>1234</v>
      </c>
      <c r="J833" s="4" t="s">
        <v>1235</v>
      </c>
      <c r="K833" s="4" t="s">
        <v>10</v>
      </c>
      <c r="L833" s="4" t="s">
        <v>487</v>
      </c>
      <c r="M833" s="5">
        <v>0</v>
      </c>
      <c r="N833" s="4" t="s">
        <v>1241</v>
      </c>
    </row>
    <row r="834" spans="1:14" x14ac:dyDescent="0.15">
      <c r="A834" s="4" t="s">
        <v>323</v>
      </c>
      <c r="B834" s="4" t="s">
        <v>321</v>
      </c>
      <c r="C834" s="5">
        <v>500</v>
      </c>
      <c r="D834" s="5">
        <v>1000</v>
      </c>
      <c r="E834" s="4" t="s">
        <v>9</v>
      </c>
      <c r="F834" s="5">
        <v>0</v>
      </c>
      <c r="G834" s="5">
        <v>0</v>
      </c>
      <c r="H834" s="4" t="s">
        <v>488</v>
      </c>
      <c r="I834" s="4" t="s">
        <v>1234</v>
      </c>
      <c r="J834" s="4" t="s">
        <v>1235</v>
      </c>
      <c r="K834" s="4" t="s">
        <v>10</v>
      </c>
      <c r="L834" s="4" t="s">
        <v>487</v>
      </c>
      <c r="M834" s="5">
        <v>0</v>
      </c>
      <c r="N834" s="4" t="s">
        <v>1241</v>
      </c>
    </row>
    <row r="835" spans="1:14" x14ac:dyDescent="0.15">
      <c r="A835" s="4" t="s">
        <v>321</v>
      </c>
      <c r="B835" s="4" t="s">
        <v>22</v>
      </c>
      <c r="C835" s="5">
        <v>22</v>
      </c>
      <c r="D835" s="5">
        <v>1</v>
      </c>
      <c r="E835" s="4" t="s">
        <v>9</v>
      </c>
      <c r="F835" s="5">
        <v>3</v>
      </c>
      <c r="G835" s="5">
        <v>0</v>
      </c>
      <c r="H835" s="4" t="s">
        <v>488</v>
      </c>
      <c r="I835" s="4" t="s">
        <v>1234</v>
      </c>
      <c r="J835" s="4" t="s">
        <v>1235</v>
      </c>
      <c r="K835" s="4" t="s">
        <v>10</v>
      </c>
      <c r="L835" s="4" t="s">
        <v>487</v>
      </c>
      <c r="M835" s="5">
        <v>0</v>
      </c>
      <c r="N835" s="4" t="s">
        <v>1241</v>
      </c>
    </row>
    <row r="836" spans="1:14" x14ac:dyDescent="0.15">
      <c r="A836" s="4" t="s">
        <v>321</v>
      </c>
      <c r="B836" s="4" t="s">
        <v>12</v>
      </c>
      <c r="C836" s="5">
        <v>6.361620603015</v>
      </c>
      <c r="D836" s="5">
        <v>1</v>
      </c>
      <c r="E836" s="4" t="s">
        <v>13</v>
      </c>
      <c r="F836" s="5">
        <v>3</v>
      </c>
      <c r="G836" s="5">
        <v>0</v>
      </c>
      <c r="H836" s="4" t="s">
        <v>488</v>
      </c>
      <c r="I836" s="4" t="s">
        <v>1234</v>
      </c>
      <c r="J836" s="4" t="s">
        <v>1235</v>
      </c>
      <c r="K836" s="4" t="s">
        <v>10</v>
      </c>
      <c r="L836" s="4" t="s">
        <v>487</v>
      </c>
      <c r="M836" s="5">
        <v>0</v>
      </c>
      <c r="N836" s="4" t="s">
        <v>1241</v>
      </c>
    </row>
    <row r="837" spans="1:14" x14ac:dyDescent="0.15">
      <c r="A837" s="4" t="s">
        <v>321</v>
      </c>
      <c r="B837" s="4" t="s">
        <v>14</v>
      </c>
      <c r="C837" s="5">
        <v>7.0684673366829998</v>
      </c>
      <c r="D837" s="5">
        <v>1</v>
      </c>
      <c r="E837" s="4" t="s">
        <v>13</v>
      </c>
      <c r="F837" s="5">
        <v>3</v>
      </c>
      <c r="G837" s="5">
        <v>0</v>
      </c>
      <c r="H837" s="4" t="s">
        <v>488</v>
      </c>
      <c r="I837" s="4" t="s">
        <v>1234</v>
      </c>
      <c r="J837" s="4" t="s">
        <v>1235</v>
      </c>
      <c r="K837" s="4" t="s">
        <v>10</v>
      </c>
      <c r="L837" s="4" t="s">
        <v>487</v>
      </c>
      <c r="M837" s="5">
        <v>0</v>
      </c>
      <c r="N837" s="4" t="s">
        <v>1241</v>
      </c>
    </row>
    <row r="838" spans="1:14" x14ac:dyDescent="0.15">
      <c r="A838" s="4" t="s">
        <v>321</v>
      </c>
      <c r="B838" s="4" t="s">
        <v>15</v>
      </c>
      <c r="C838" s="5">
        <v>0.14136934673400001</v>
      </c>
      <c r="D838" s="5">
        <v>1</v>
      </c>
      <c r="E838" s="4" t="s">
        <v>13</v>
      </c>
      <c r="F838" s="5">
        <v>3</v>
      </c>
      <c r="G838" s="5">
        <v>0</v>
      </c>
      <c r="H838" s="4" t="s">
        <v>488</v>
      </c>
      <c r="I838" s="4" t="s">
        <v>1234</v>
      </c>
      <c r="J838" s="4" t="s">
        <v>1235</v>
      </c>
      <c r="K838" s="4" t="s">
        <v>10</v>
      </c>
      <c r="L838" s="4" t="s">
        <v>487</v>
      </c>
      <c r="M838" s="5">
        <v>0</v>
      </c>
      <c r="N838" s="4" t="s">
        <v>1241</v>
      </c>
    </row>
    <row r="839" spans="1:14" x14ac:dyDescent="0.15">
      <c r="A839" s="4" t="s">
        <v>321</v>
      </c>
      <c r="B839" s="4" t="s">
        <v>23</v>
      </c>
      <c r="C839" s="5">
        <v>0.353423366834</v>
      </c>
      <c r="D839" s="5">
        <v>1</v>
      </c>
      <c r="E839" s="4" t="s">
        <v>13</v>
      </c>
      <c r="F839" s="5">
        <v>3</v>
      </c>
      <c r="G839" s="5">
        <v>0</v>
      </c>
      <c r="H839" s="4" t="s">
        <v>488</v>
      </c>
      <c r="I839" s="4" t="s">
        <v>1234</v>
      </c>
      <c r="J839" s="4" t="s">
        <v>1235</v>
      </c>
      <c r="K839" s="4" t="s">
        <v>10</v>
      </c>
      <c r="L839" s="4" t="s">
        <v>487</v>
      </c>
      <c r="M839" s="5">
        <v>0</v>
      </c>
      <c r="N839" s="4" t="s">
        <v>1241</v>
      </c>
    </row>
    <row r="840" spans="1:14" x14ac:dyDescent="0.15">
      <c r="A840" s="4" t="s">
        <v>321</v>
      </c>
      <c r="B840" s="4" t="s">
        <v>24</v>
      </c>
      <c r="C840" s="5">
        <v>0.14136934673400001</v>
      </c>
      <c r="D840" s="5">
        <v>1</v>
      </c>
      <c r="E840" s="4" t="s">
        <v>13</v>
      </c>
      <c r="F840" s="5">
        <v>3</v>
      </c>
      <c r="G840" s="5">
        <v>0</v>
      </c>
      <c r="H840" s="4" t="s">
        <v>488</v>
      </c>
      <c r="I840" s="4" t="s">
        <v>1234</v>
      </c>
      <c r="J840" s="4" t="s">
        <v>1235</v>
      </c>
      <c r="K840" s="4" t="s">
        <v>10</v>
      </c>
      <c r="L840" s="4" t="s">
        <v>487</v>
      </c>
      <c r="M840" s="5">
        <v>0</v>
      </c>
      <c r="N840" s="4" t="s">
        <v>1241</v>
      </c>
    </row>
    <row r="841" spans="1:14" x14ac:dyDescent="0.15">
      <c r="A841" s="4" t="s">
        <v>321</v>
      </c>
      <c r="B841" s="4" t="s">
        <v>17</v>
      </c>
      <c r="C841" s="5">
        <v>16.666666666666998</v>
      </c>
      <c r="D841" s="5">
        <v>1000</v>
      </c>
      <c r="E841" s="4" t="s">
        <v>18</v>
      </c>
      <c r="F841" s="5">
        <v>0</v>
      </c>
      <c r="G841" s="5">
        <v>0</v>
      </c>
      <c r="H841" s="4" t="s">
        <v>488</v>
      </c>
      <c r="I841" s="4" t="s">
        <v>1234</v>
      </c>
      <c r="J841" s="4" t="s">
        <v>1235</v>
      </c>
      <c r="K841" s="4" t="s">
        <v>10</v>
      </c>
      <c r="L841" s="4" t="s">
        <v>487</v>
      </c>
      <c r="M841" s="5">
        <v>0</v>
      </c>
      <c r="N841" s="4" t="s">
        <v>1241</v>
      </c>
    </row>
    <row r="842" spans="1:14" x14ac:dyDescent="0.15">
      <c r="A842" s="4" t="s">
        <v>321</v>
      </c>
      <c r="B842" s="4" t="s">
        <v>19</v>
      </c>
      <c r="C842" s="5">
        <v>5</v>
      </c>
      <c r="D842" s="5">
        <v>1</v>
      </c>
      <c r="E842" s="4" t="s">
        <v>18</v>
      </c>
      <c r="F842" s="5">
        <v>0</v>
      </c>
      <c r="G842" s="5">
        <v>0</v>
      </c>
      <c r="H842" s="4" t="s">
        <v>488</v>
      </c>
      <c r="I842" s="4" t="s">
        <v>1236</v>
      </c>
      <c r="J842" s="4" t="s">
        <v>1235</v>
      </c>
      <c r="K842" s="4" t="s">
        <v>10</v>
      </c>
      <c r="L842" s="4" t="s">
        <v>487</v>
      </c>
      <c r="M842" s="5">
        <v>0</v>
      </c>
      <c r="N842" s="4" t="s">
        <v>1241</v>
      </c>
    </row>
    <row r="843" spans="1:14" x14ac:dyDescent="0.15">
      <c r="A843" s="4" t="s">
        <v>324</v>
      </c>
      <c r="B843" s="4" t="s">
        <v>325</v>
      </c>
      <c r="C843" s="5">
        <v>1</v>
      </c>
      <c r="D843" s="5">
        <v>1</v>
      </c>
      <c r="E843" s="4" t="s">
        <v>9</v>
      </c>
      <c r="F843" s="5">
        <v>0</v>
      </c>
      <c r="G843" s="5">
        <v>0</v>
      </c>
      <c r="H843" s="4" t="s">
        <v>488</v>
      </c>
      <c r="I843" s="4" t="s">
        <v>1234</v>
      </c>
      <c r="J843" s="4" t="s">
        <v>1235</v>
      </c>
      <c r="K843" s="4" t="s">
        <v>10</v>
      </c>
      <c r="L843" s="4" t="s">
        <v>487</v>
      </c>
      <c r="M843" s="5">
        <v>0</v>
      </c>
      <c r="N843" s="4" t="s">
        <v>1241</v>
      </c>
    </row>
    <row r="844" spans="1:14" x14ac:dyDescent="0.15">
      <c r="A844" s="4" t="s">
        <v>326</v>
      </c>
      <c r="B844" s="4" t="s">
        <v>325</v>
      </c>
      <c r="C844" s="5">
        <v>2</v>
      </c>
      <c r="D844" s="5">
        <v>1</v>
      </c>
      <c r="E844" s="4" t="s">
        <v>9</v>
      </c>
      <c r="F844" s="5">
        <v>0</v>
      </c>
      <c r="G844" s="5">
        <v>0</v>
      </c>
      <c r="H844" s="4" t="s">
        <v>488</v>
      </c>
      <c r="I844" s="4" t="s">
        <v>1234</v>
      </c>
      <c r="J844" s="4" t="s">
        <v>1235</v>
      </c>
      <c r="K844" s="4" t="s">
        <v>10</v>
      </c>
      <c r="L844" s="4" t="s">
        <v>487</v>
      </c>
      <c r="M844" s="5">
        <v>0</v>
      </c>
      <c r="N844" s="4" t="s">
        <v>1241</v>
      </c>
    </row>
    <row r="845" spans="1:14" x14ac:dyDescent="0.15">
      <c r="A845" s="4" t="s">
        <v>327</v>
      </c>
      <c r="B845" s="4" t="s">
        <v>325</v>
      </c>
      <c r="C845" s="5">
        <v>500</v>
      </c>
      <c r="D845" s="5">
        <v>1000</v>
      </c>
      <c r="E845" s="4" t="s">
        <v>9</v>
      </c>
      <c r="F845" s="5">
        <v>0</v>
      </c>
      <c r="G845" s="5">
        <v>0</v>
      </c>
      <c r="H845" s="4" t="s">
        <v>488</v>
      </c>
      <c r="I845" s="4" t="s">
        <v>1234</v>
      </c>
      <c r="J845" s="4" t="s">
        <v>1235</v>
      </c>
      <c r="K845" s="4" t="s">
        <v>10</v>
      </c>
      <c r="L845" s="4" t="s">
        <v>487</v>
      </c>
      <c r="M845" s="5">
        <v>0</v>
      </c>
      <c r="N845" s="4" t="s">
        <v>1241</v>
      </c>
    </row>
    <row r="846" spans="1:14" x14ac:dyDescent="0.15">
      <c r="A846" s="4" t="s">
        <v>325</v>
      </c>
      <c r="B846" s="4" t="s">
        <v>34</v>
      </c>
      <c r="C846" s="5">
        <v>3</v>
      </c>
      <c r="D846" s="5">
        <v>1</v>
      </c>
      <c r="E846" s="4" t="s">
        <v>9</v>
      </c>
      <c r="F846" s="5">
        <v>3</v>
      </c>
      <c r="G846" s="5">
        <v>0</v>
      </c>
      <c r="H846" s="4" t="s">
        <v>488</v>
      </c>
      <c r="I846" s="4" t="s">
        <v>1234</v>
      </c>
      <c r="J846" s="4" t="s">
        <v>1235</v>
      </c>
      <c r="K846" s="4" t="s">
        <v>10</v>
      </c>
      <c r="L846" s="4" t="s">
        <v>487</v>
      </c>
      <c r="M846" s="5">
        <v>0</v>
      </c>
      <c r="N846" s="4" t="s">
        <v>1241</v>
      </c>
    </row>
    <row r="847" spans="1:14" x14ac:dyDescent="0.15">
      <c r="A847" s="4" t="s">
        <v>325</v>
      </c>
      <c r="B847" s="4" t="s">
        <v>12</v>
      </c>
      <c r="C847" s="5">
        <v>0.10175879397</v>
      </c>
      <c r="D847" s="5">
        <v>1</v>
      </c>
      <c r="E847" s="4" t="s">
        <v>13</v>
      </c>
      <c r="F847" s="5">
        <v>3</v>
      </c>
      <c r="G847" s="5">
        <v>0</v>
      </c>
      <c r="H847" s="4" t="s">
        <v>488</v>
      </c>
      <c r="I847" s="4" t="s">
        <v>1234</v>
      </c>
      <c r="J847" s="4" t="s">
        <v>1235</v>
      </c>
      <c r="K847" s="4" t="s">
        <v>10</v>
      </c>
      <c r="L847" s="4" t="s">
        <v>487</v>
      </c>
      <c r="M847" s="5">
        <v>0</v>
      </c>
      <c r="N847" s="4" t="s">
        <v>1241</v>
      </c>
    </row>
    <row r="848" spans="1:14" x14ac:dyDescent="0.15">
      <c r="A848" s="4" t="s">
        <v>325</v>
      </c>
      <c r="B848" s="4" t="s">
        <v>14</v>
      </c>
      <c r="C848" s="5">
        <v>0.11306532663299999</v>
      </c>
      <c r="D848" s="5">
        <v>1</v>
      </c>
      <c r="E848" s="4" t="s">
        <v>13</v>
      </c>
      <c r="F848" s="5">
        <v>3</v>
      </c>
      <c r="G848" s="5">
        <v>0</v>
      </c>
      <c r="H848" s="4" t="s">
        <v>488</v>
      </c>
      <c r="I848" s="4" t="s">
        <v>1234</v>
      </c>
      <c r="J848" s="4" t="s">
        <v>1235</v>
      </c>
      <c r="K848" s="4" t="s">
        <v>10</v>
      </c>
      <c r="L848" s="4" t="s">
        <v>487</v>
      </c>
      <c r="M848" s="5">
        <v>0</v>
      </c>
      <c r="N848" s="4" t="s">
        <v>1241</v>
      </c>
    </row>
    <row r="849" spans="1:14" x14ac:dyDescent="0.15">
      <c r="A849" s="4" t="s">
        <v>325</v>
      </c>
      <c r="B849" s="4" t="s">
        <v>15</v>
      </c>
      <c r="C849" s="5">
        <v>2.2613065326630002</v>
      </c>
      <c r="D849" s="5">
        <v>1000</v>
      </c>
      <c r="E849" s="4" t="s">
        <v>13</v>
      </c>
      <c r="F849" s="5">
        <v>3</v>
      </c>
      <c r="G849" s="5">
        <v>0</v>
      </c>
      <c r="H849" s="4" t="s">
        <v>488</v>
      </c>
      <c r="I849" s="4" t="s">
        <v>1234</v>
      </c>
      <c r="J849" s="4" t="s">
        <v>1235</v>
      </c>
      <c r="K849" s="4" t="s">
        <v>10</v>
      </c>
      <c r="L849" s="4" t="s">
        <v>487</v>
      </c>
      <c r="M849" s="5">
        <v>0</v>
      </c>
      <c r="N849" s="4" t="s">
        <v>1241</v>
      </c>
    </row>
    <row r="850" spans="1:14" x14ac:dyDescent="0.15">
      <c r="A850" s="4" t="s">
        <v>325</v>
      </c>
      <c r="B850" s="4" t="s">
        <v>23</v>
      </c>
      <c r="C850" s="5">
        <v>5.6532663316580001</v>
      </c>
      <c r="D850" s="5">
        <v>1000</v>
      </c>
      <c r="E850" s="4" t="s">
        <v>13</v>
      </c>
      <c r="F850" s="5">
        <v>3</v>
      </c>
      <c r="G850" s="5">
        <v>0</v>
      </c>
      <c r="H850" s="4" t="s">
        <v>488</v>
      </c>
      <c r="I850" s="4" t="s">
        <v>1234</v>
      </c>
      <c r="J850" s="4" t="s">
        <v>1235</v>
      </c>
      <c r="K850" s="4" t="s">
        <v>10</v>
      </c>
      <c r="L850" s="4" t="s">
        <v>487</v>
      </c>
      <c r="M850" s="5">
        <v>0</v>
      </c>
      <c r="N850" s="4" t="s">
        <v>1241</v>
      </c>
    </row>
    <row r="851" spans="1:14" x14ac:dyDescent="0.15">
      <c r="A851" s="4" t="s">
        <v>325</v>
      </c>
      <c r="B851" s="4" t="s">
        <v>24</v>
      </c>
      <c r="C851" s="5">
        <v>2.2613065326630002</v>
      </c>
      <c r="D851" s="5">
        <v>1000</v>
      </c>
      <c r="E851" s="4" t="s">
        <v>13</v>
      </c>
      <c r="F851" s="5">
        <v>3</v>
      </c>
      <c r="G851" s="5">
        <v>0</v>
      </c>
      <c r="H851" s="4" t="s">
        <v>488</v>
      </c>
      <c r="I851" s="4" t="s">
        <v>1234</v>
      </c>
      <c r="J851" s="4" t="s">
        <v>1235</v>
      </c>
      <c r="K851" s="4" t="s">
        <v>10</v>
      </c>
      <c r="L851" s="4" t="s">
        <v>487</v>
      </c>
      <c r="M851" s="5">
        <v>0</v>
      </c>
      <c r="N851" s="4" t="s">
        <v>1241</v>
      </c>
    </row>
    <row r="852" spans="1:14" x14ac:dyDescent="0.15">
      <c r="A852" s="4" t="s">
        <v>325</v>
      </c>
      <c r="B852" s="4" t="s">
        <v>17</v>
      </c>
      <c r="C852" s="5">
        <v>7.9365079365080007</v>
      </c>
      <c r="D852" s="5">
        <v>1000</v>
      </c>
      <c r="E852" s="4" t="s">
        <v>18</v>
      </c>
      <c r="F852" s="5">
        <v>0</v>
      </c>
      <c r="G852" s="5">
        <v>0</v>
      </c>
      <c r="H852" s="4" t="s">
        <v>488</v>
      </c>
      <c r="I852" s="4" t="s">
        <v>1234</v>
      </c>
      <c r="J852" s="4" t="s">
        <v>1235</v>
      </c>
      <c r="K852" s="4" t="s">
        <v>10</v>
      </c>
      <c r="L852" s="4" t="s">
        <v>487</v>
      </c>
      <c r="M852" s="5">
        <v>0</v>
      </c>
      <c r="N852" s="4" t="s">
        <v>1241</v>
      </c>
    </row>
    <row r="853" spans="1:14" x14ac:dyDescent="0.15">
      <c r="A853" s="4" t="s">
        <v>325</v>
      </c>
      <c r="B853" s="4" t="s">
        <v>19</v>
      </c>
      <c r="C853" s="5">
        <v>3</v>
      </c>
      <c r="D853" s="5">
        <v>1</v>
      </c>
      <c r="E853" s="4" t="s">
        <v>18</v>
      </c>
      <c r="F853" s="5">
        <v>0</v>
      </c>
      <c r="G853" s="5">
        <v>0</v>
      </c>
      <c r="H853" s="4" t="s">
        <v>488</v>
      </c>
      <c r="I853" s="4" t="s">
        <v>1236</v>
      </c>
      <c r="J853" s="4" t="s">
        <v>1235</v>
      </c>
      <c r="K853" s="4" t="s">
        <v>10</v>
      </c>
      <c r="L853" s="4" t="s">
        <v>487</v>
      </c>
      <c r="M853" s="5">
        <v>0</v>
      </c>
      <c r="N853" s="4" t="s">
        <v>1241</v>
      </c>
    </row>
    <row r="854" spans="1:14" x14ac:dyDescent="0.15">
      <c r="A854" s="4" t="s">
        <v>328</v>
      </c>
      <c r="B854" s="4" t="s">
        <v>329</v>
      </c>
      <c r="C854" s="5">
        <v>1</v>
      </c>
      <c r="D854" s="5">
        <v>1</v>
      </c>
      <c r="E854" s="4" t="s">
        <v>9</v>
      </c>
      <c r="F854" s="5">
        <v>0</v>
      </c>
      <c r="G854" s="5">
        <v>0</v>
      </c>
      <c r="H854" s="4" t="s">
        <v>488</v>
      </c>
      <c r="I854" s="4" t="s">
        <v>1234</v>
      </c>
      <c r="J854" s="4" t="s">
        <v>1235</v>
      </c>
      <c r="K854" s="4" t="s">
        <v>10</v>
      </c>
      <c r="L854" s="4" t="s">
        <v>487</v>
      </c>
      <c r="M854" s="5">
        <v>0</v>
      </c>
      <c r="N854" s="4" t="s">
        <v>1241</v>
      </c>
    </row>
    <row r="855" spans="1:14" x14ac:dyDescent="0.15">
      <c r="A855" s="4" t="s">
        <v>330</v>
      </c>
      <c r="B855" s="4" t="s">
        <v>329</v>
      </c>
      <c r="C855" s="5">
        <v>2</v>
      </c>
      <c r="D855" s="5">
        <v>1</v>
      </c>
      <c r="E855" s="4" t="s">
        <v>9</v>
      </c>
      <c r="F855" s="5">
        <v>0</v>
      </c>
      <c r="G855" s="5">
        <v>0</v>
      </c>
      <c r="H855" s="4" t="s">
        <v>488</v>
      </c>
      <c r="I855" s="4" t="s">
        <v>1234</v>
      </c>
      <c r="J855" s="4" t="s">
        <v>1235</v>
      </c>
      <c r="K855" s="4" t="s">
        <v>10</v>
      </c>
      <c r="L855" s="4" t="s">
        <v>487</v>
      </c>
      <c r="M855" s="5">
        <v>0</v>
      </c>
      <c r="N855" s="4" t="s">
        <v>1241</v>
      </c>
    </row>
    <row r="856" spans="1:14" x14ac:dyDescent="0.15">
      <c r="A856" s="4" t="s">
        <v>331</v>
      </c>
      <c r="B856" s="4" t="s">
        <v>329</v>
      </c>
      <c r="C856" s="5">
        <v>500</v>
      </c>
      <c r="D856" s="5">
        <v>1000</v>
      </c>
      <c r="E856" s="4" t="s">
        <v>9</v>
      </c>
      <c r="F856" s="5">
        <v>0</v>
      </c>
      <c r="G856" s="5">
        <v>0</v>
      </c>
      <c r="H856" s="4" t="s">
        <v>488</v>
      </c>
      <c r="I856" s="4" t="s">
        <v>1234</v>
      </c>
      <c r="J856" s="4" t="s">
        <v>1235</v>
      </c>
      <c r="K856" s="4" t="s">
        <v>10</v>
      </c>
      <c r="L856" s="4" t="s">
        <v>487</v>
      </c>
      <c r="M856" s="5">
        <v>0</v>
      </c>
      <c r="N856" s="4" t="s">
        <v>1241</v>
      </c>
    </row>
    <row r="857" spans="1:14" x14ac:dyDescent="0.15">
      <c r="A857" s="4" t="s">
        <v>332</v>
      </c>
      <c r="B857" s="4" t="s">
        <v>329</v>
      </c>
      <c r="C857" s="5">
        <v>3</v>
      </c>
      <c r="D857" s="5">
        <v>1000</v>
      </c>
      <c r="E857" s="4" t="s">
        <v>9</v>
      </c>
      <c r="F857" s="5">
        <v>0</v>
      </c>
      <c r="G857" s="5">
        <v>0</v>
      </c>
      <c r="H857" s="4" t="s">
        <v>488</v>
      </c>
      <c r="I857" s="4" t="s">
        <v>1234</v>
      </c>
      <c r="J857" s="4" t="s">
        <v>1235</v>
      </c>
      <c r="K857" s="4" t="s">
        <v>10</v>
      </c>
      <c r="L857" s="4" t="s">
        <v>487</v>
      </c>
      <c r="M857" s="5">
        <v>0</v>
      </c>
      <c r="N857" s="4" t="s">
        <v>1241</v>
      </c>
    </row>
    <row r="858" spans="1:14" x14ac:dyDescent="0.15">
      <c r="A858" s="4" t="s">
        <v>333</v>
      </c>
      <c r="B858" s="4" t="s">
        <v>329</v>
      </c>
      <c r="C858" s="5">
        <v>6</v>
      </c>
      <c r="D858" s="5">
        <v>1000</v>
      </c>
      <c r="E858" s="4" t="s">
        <v>9</v>
      </c>
      <c r="F858" s="5">
        <v>0</v>
      </c>
      <c r="G858" s="5">
        <v>0</v>
      </c>
      <c r="H858" s="4" t="s">
        <v>488</v>
      </c>
      <c r="I858" s="4" t="s">
        <v>1234</v>
      </c>
      <c r="J858" s="4" t="s">
        <v>1235</v>
      </c>
      <c r="K858" s="4" t="s">
        <v>10</v>
      </c>
      <c r="L858" s="4" t="s">
        <v>487</v>
      </c>
      <c r="M858" s="5">
        <v>0</v>
      </c>
      <c r="N858" s="4" t="s">
        <v>1241</v>
      </c>
    </row>
    <row r="859" spans="1:14" x14ac:dyDescent="0.15">
      <c r="A859" s="4" t="s">
        <v>334</v>
      </c>
      <c r="B859" s="4" t="s">
        <v>329</v>
      </c>
      <c r="C859" s="5">
        <v>7</v>
      </c>
      <c r="D859" s="5">
        <v>1000</v>
      </c>
      <c r="E859" s="4" t="s">
        <v>9</v>
      </c>
      <c r="F859" s="5">
        <v>0</v>
      </c>
      <c r="G859" s="5">
        <v>0</v>
      </c>
      <c r="H859" s="4" t="s">
        <v>488</v>
      </c>
      <c r="I859" s="4" t="s">
        <v>1234</v>
      </c>
      <c r="J859" s="4" t="s">
        <v>1235</v>
      </c>
      <c r="K859" s="4" t="s">
        <v>10</v>
      </c>
      <c r="L859" s="4" t="s">
        <v>487</v>
      </c>
      <c r="M859" s="5">
        <v>0</v>
      </c>
      <c r="N859" s="4" t="s">
        <v>1241</v>
      </c>
    </row>
    <row r="860" spans="1:14" x14ac:dyDescent="0.15">
      <c r="A860" s="4" t="s">
        <v>329</v>
      </c>
      <c r="B860" s="4" t="s">
        <v>34</v>
      </c>
      <c r="C860" s="5">
        <v>3</v>
      </c>
      <c r="D860" s="5">
        <v>1</v>
      </c>
      <c r="E860" s="4" t="s">
        <v>9</v>
      </c>
      <c r="F860" s="5">
        <v>3</v>
      </c>
      <c r="G860" s="5">
        <v>0</v>
      </c>
      <c r="H860" s="4" t="s">
        <v>488</v>
      </c>
      <c r="I860" s="4" t="s">
        <v>1234</v>
      </c>
      <c r="J860" s="4" t="s">
        <v>1235</v>
      </c>
      <c r="K860" s="4" t="s">
        <v>10</v>
      </c>
      <c r="L860" s="4" t="s">
        <v>487</v>
      </c>
      <c r="M860" s="5">
        <v>0</v>
      </c>
      <c r="N860" s="4" t="s">
        <v>1241</v>
      </c>
    </row>
    <row r="861" spans="1:14" x14ac:dyDescent="0.15">
      <c r="A861" s="4" t="s">
        <v>329</v>
      </c>
      <c r="B861" s="4" t="s">
        <v>39</v>
      </c>
      <c r="C861" s="5">
        <v>2</v>
      </c>
      <c r="D861" s="5">
        <v>1</v>
      </c>
      <c r="E861" s="4" t="s">
        <v>9</v>
      </c>
      <c r="F861" s="5">
        <v>3</v>
      </c>
      <c r="G861" s="5">
        <v>0</v>
      </c>
      <c r="H861" s="4" t="s">
        <v>488</v>
      </c>
      <c r="I861" s="4" t="s">
        <v>1234</v>
      </c>
      <c r="J861" s="4" t="s">
        <v>1235</v>
      </c>
      <c r="K861" s="4" t="s">
        <v>10</v>
      </c>
      <c r="L861" s="4" t="s">
        <v>487</v>
      </c>
      <c r="M861" s="5">
        <v>0</v>
      </c>
      <c r="N861" s="4" t="s">
        <v>1241</v>
      </c>
    </row>
    <row r="862" spans="1:14" x14ac:dyDescent="0.15">
      <c r="A862" s="4" t="s">
        <v>329</v>
      </c>
      <c r="B862" s="4" t="s">
        <v>12</v>
      </c>
      <c r="C862" s="5">
        <v>0.253266331658</v>
      </c>
      <c r="D862" s="5">
        <v>1</v>
      </c>
      <c r="E862" s="4" t="s">
        <v>13</v>
      </c>
      <c r="F862" s="5">
        <v>3</v>
      </c>
      <c r="G862" s="5">
        <v>0</v>
      </c>
      <c r="H862" s="4" t="s">
        <v>488</v>
      </c>
      <c r="I862" s="4" t="s">
        <v>1234</v>
      </c>
      <c r="J862" s="4" t="s">
        <v>1235</v>
      </c>
      <c r="K862" s="4" t="s">
        <v>10</v>
      </c>
      <c r="L862" s="4" t="s">
        <v>487</v>
      </c>
      <c r="M862" s="5">
        <v>0</v>
      </c>
      <c r="N862" s="4" t="s">
        <v>1241</v>
      </c>
    </row>
    <row r="863" spans="1:14" x14ac:dyDescent="0.15">
      <c r="A863" s="4" t="s">
        <v>329</v>
      </c>
      <c r="B863" s="4" t="s">
        <v>14</v>
      </c>
      <c r="C863" s="5">
        <v>0.28140703517600002</v>
      </c>
      <c r="D863" s="5">
        <v>1</v>
      </c>
      <c r="E863" s="4" t="s">
        <v>13</v>
      </c>
      <c r="F863" s="5">
        <v>3</v>
      </c>
      <c r="G863" s="5">
        <v>0</v>
      </c>
      <c r="H863" s="4" t="s">
        <v>488</v>
      </c>
      <c r="I863" s="4" t="s">
        <v>1234</v>
      </c>
      <c r="J863" s="4" t="s">
        <v>1235</v>
      </c>
      <c r="K863" s="4" t="s">
        <v>10</v>
      </c>
      <c r="L863" s="4" t="s">
        <v>487</v>
      </c>
      <c r="M863" s="5">
        <v>0</v>
      </c>
      <c r="N863" s="4" t="s">
        <v>1241</v>
      </c>
    </row>
    <row r="864" spans="1:14" x14ac:dyDescent="0.15">
      <c r="A864" s="4" t="s">
        <v>329</v>
      </c>
      <c r="B864" s="4" t="s">
        <v>15</v>
      </c>
      <c r="C864" s="5">
        <v>5.6281407035180004</v>
      </c>
      <c r="D864" s="5">
        <v>1000</v>
      </c>
      <c r="E864" s="4" t="s">
        <v>13</v>
      </c>
      <c r="F864" s="5">
        <v>3</v>
      </c>
      <c r="G864" s="5">
        <v>0</v>
      </c>
      <c r="H864" s="4" t="s">
        <v>488</v>
      </c>
      <c r="I864" s="4" t="s">
        <v>1234</v>
      </c>
      <c r="J864" s="4" t="s">
        <v>1235</v>
      </c>
      <c r="K864" s="4" t="s">
        <v>10</v>
      </c>
      <c r="L864" s="4" t="s">
        <v>487</v>
      </c>
      <c r="M864" s="5">
        <v>0</v>
      </c>
      <c r="N864" s="4" t="s">
        <v>1241</v>
      </c>
    </row>
    <row r="865" spans="1:14" x14ac:dyDescent="0.15">
      <c r="A865" s="4" t="s">
        <v>329</v>
      </c>
      <c r="B865" s="4" t="s">
        <v>23</v>
      </c>
      <c r="C865" s="5">
        <v>14.070351758793999</v>
      </c>
      <c r="D865" s="5">
        <v>1000</v>
      </c>
      <c r="E865" s="4" t="s">
        <v>13</v>
      </c>
      <c r="F865" s="5">
        <v>3</v>
      </c>
      <c r="G865" s="5">
        <v>0</v>
      </c>
      <c r="H865" s="4" t="s">
        <v>488</v>
      </c>
      <c r="I865" s="4" t="s">
        <v>1234</v>
      </c>
      <c r="J865" s="4" t="s">
        <v>1235</v>
      </c>
      <c r="K865" s="4" t="s">
        <v>10</v>
      </c>
      <c r="L865" s="4" t="s">
        <v>487</v>
      </c>
      <c r="M865" s="5">
        <v>0</v>
      </c>
      <c r="N865" s="4" t="s">
        <v>1241</v>
      </c>
    </row>
    <row r="866" spans="1:14" x14ac:dyDescent="0.15">
      <c r="A866" s="4" t="s">
        <v>329</v>
      </c>
      <c r="B866" s="4" t="s">
        <v>24</v>
      </c>
      <c r="C866" s="5">
        <v>5.6281407035180004</v>
      </c>
      <c r="D866" s="5">
        <v>1000</v>
      </c>
      <c r="E866" s="4" t="s">
        <v>13</v>
      </c>
      <c r="F866" s="5">
        <v>3</v>
      </c>
      <c r="G866" s="5">
        <v>0</v>
      </c>
      <c r="H866" s="4" t="s">
        <v>488</v>
      </c>
      <c r="I866" s="4" t="s">
        <v>1234</v>
      </c>
      <c r="J866" s="4" t="s">
        <v>1235</v>
      </c>
      <c r="K866" s="4" t="s">
        <v>10</v>
      </c>
      <c r="L866" s="4" t="s">
        <v>487</v>
      </c>
      <c r="M866" s="5">
        <v>0</v>
      </c>
      <c r="N866" s="4" t="s">
        <v>1241</v>
      </c>
    </row>
    <row r="867" spans="1:14" x14ac:dyDescent="0.15">
      <c r="A867" s="4" t="s">
        <v>329</v>
      </c>
      <c r="B867" s="4" t="s">
        <v>17</v>
      </c>
      <c r="C867" s="5">
        <v>7.5757575757579998</v>
      </c>
      <c r="D867" s="5">
        <v>1000</v>
      </c>
      <c r="E867" s="4" t="s">
        <v>18</v>
      </c>
      <c r="F867" s="5">
        <v>0</v>
      </c>
      <c r="G867" s="5">
        <v>0</v>
      </c>
      <c r="H867" s="4" t="s">
        <v>488</v>
      </c>
      <c r="I867" s="4" t="s">
        <v>1234</v>
      </c>
      <c r="J867" s="4" t="s">
        <v>1235</v>
      </c>
      <c r="K867" s="4" t="s">
        <v>10</v>
      </c>
      <c r="L867" s="4" t="s">
        <v>487</v>
      </c>
      <c r="M867" s="5">
        <v>0</v>
      </c>
      <c r="N867" s="4" t="s">
        <v>1241</v>
      </c>
    </row>
    <row r="868" spans="1:14" x14ac:dyDescent="0.15">
      <c r="A868" s="4" t="s">
        <v>329</v>
      </c>
      <c r="B868" s="4" t="s">
        <v>19</v>
      </c>
      <c r="C868" s="5">
        <v>3</v>
      </c>
      <c r="D868" s="5">
        <v>1</v>
      </c>
      <c r="E868" s="4" t="s">
        <v>18</v>
      </c>
      <c r="F868" s="5">
        <v>0</v>
      </c>
      <c r="G868" s="5">
        <v>0</v>
      </c>
      <c r="H868" s="4" t="s">
        <v>488</v>
      </c>
      <c r="I868" s="4" t="s">
        <v>1236</v>
      </c>
      <c r="J868" s="4" t="s">
        <v>1235</v>
      </c>
      <c r="K868" s="4" t="s">
        <v>10</v>
      </c>
      <c r="L868" s="4" t="s">
        <v>487</v>
      </c>
      <c r="M868" s="5">
        <v>0</v>
      </c>
      <c r="N868" s="4" t="s">
        <v>1241</v>
      </c>
    </row>
    <row r="869" spans="1:14" x14ac:dyDescent="0.15">
      <c r="A869" s="4" t="s">
        <v>335</v>
      </c>
      <c r="B869" s="4" t="s">
        <v>336</v>
      </c>
      <c r="C869" s="5">
        <v>1</v>
      </c>
      <c r="D869" s="5">
        <v>1</v>
      </c>
      <c r="E869" s="4" t="s">
        <v>9</v>
      </c>
      <c r="F869" s="5">
        <v>0</v>
      </c>
      <c r="G869" s="5">
        <v>0</v>
      </c>
      <c r="H869" s="4" t="s">
        <v>488</v>
      </c>
      <c r="I869" s="4" t="s">
        <v>1234</v>
      </c>
      <c r="J869" s="4" t="s">
        <v>1235</v>
      </c>
      <c r="K869" s="4" t="s">
        <v>10</v>
      </c>
      <c r="L869" s="4" t="s">
        <v>487</v>
      </c>
      <c r="M869" s="5">
        <v>0</v>
      </c>
      <c r="N869" s="4" t="s">
        <v>1241</v>
      </c>
    </row>
    <row r="870" spans="1:14" x14ac:dyDescent="0.15">
      <c r="A870" s="4" t="s">
        <v>337</v>
      </c>
      <c r="B870" s="4" t="s">
        <v>336</v>
      </c>
      <c r="C870" s="5">
        <v>2</v>
      </c>
      <c r="D870" s="5">
        <v>1</v>
      </c>
      <c r="E870" s="4" t="s">
        <v>9</v>
      </c>
      <c r="F870" s="5">
        <v>0</v>
      </c>
      <c r="G870" s="5">
        <v>0</v>
      </c>
      <c r="H870" s="4" t="s">
        <v>488</v>
      </c>
      <c r="I870" s="4" t="s">
        <v>1234</v>
      </c>
      <c r="J870" s="4" t="s">
        <v>1235</v>
      </c>
      <c r="K870" s="4" t="s">
        <v>10</v>
      </c>
      <c r="L870" s="4" t="s">
        <v>487</v>
      </c>
      <c r="M870" s="5">
        <v>0</v>
      </c>
      <c r="N870" s="4" t="s">
        <v>1241</v>
      </c>
    </row>
    <row r="871" spans="1:14" x14ac:dyDescent="0.15">
      <c r="A871" s="4" t="s">
        <v>338</v>
      </c>
      <c r="B871" s="4" t="s">
        <v>336</v>
      </c>
      <c r="C871" s="5">
        <v>500</v>
      </c>
      <c r="D871" s="5">
        <v>1000</v>
      </c>
      <c r="E871" s="4" t="s">
        <v>9</v>
      </c>
      <c r="F871" s="5">
        <v>0</v>
      </c>
      <c r="G871" s="5">
        <v>0</v>
      </c>
      <c r="H871" s="4" t="s">
        <v>488</v>
      </c>
      <c r="I871" s="4" t="s">
        <v>1234</v>
      </c>
      <c r="J871" s="4" t="s">
        <v>1235</v>
      </c>
      <c r="K871" s="4" t="s">
        <v>10</v>
      </c>
      <c r="L871" s="4" t="s">
        <v>487</v>
      </c>
      <c r="M871" s="5">
        <v>0</v>
      </c>
      <c r="N871" s="4" t="s">
        <v>1241</v>
      </c>
    </row>
    <row r="872" spans="1:14" x14ac:dyDescent="0.15">
      <c r="A872" s="4" t="s">
        <v>336</v>
      </c>
      <c r="B872" s="4" t="s">
        <v>33</v>
      </c>
      <c r="C872" s="5">
        <v>3</v>
      </c>
      <c r="D872" s="5">
        <v>1</v>
      </c>
      <c r="E872" s="4" t="s">
        <v>9</v>
      </c>
      <c r="F872" s="5">
        <v>3</v>
      </c>
      <c r="G872" s="5">
        <v>0</v>
      </c>
      <c r="H872" s="4" t="s">
        <v>488</v>
      </c>
      <c r="I872" s="4" t="s">
        <v>1234</v>
      </c>
      <c r="J872" s="4" t="s">
        <v>1235</v>
      </c>
      <c r="K872" s="4" t="s">
        <v>10</v>
      </c>
      <c r="L872" s="4" t="s">
        <v>487</v>
      </c>
      <c r="M872" s="5">
        <v>0</v>
      </c>
      <c r="N872" s="4" t="s">
        <v>1241</v>
      </c>
    </row>
    <row r="873" spans="1:14" x14ac:dyDescent="0.15">
      <c r="A873" s="4" t="s">
        <v>336</v>
      </c>
      <c r="B873" s="4" t="s">
        <v>12</v>
      </c>
      <c r="C873" s="5">
        <v>0.43688442211099998</v>
      </c>
      <c r="D873" s="5">
        <v>1</v>
      </c>
      <c r="E873" s="4" t="s">
        <v>13</v>
      </c>
      <c r="F873" s="5">
        <v>3</v>
      </c>
      <c r="G873" s="5">
        <v>0</v>
      </c>
      <c r="H873" s="4" t="s">
        <v>488</v>
      </c>
      <c r="I873" s="4" t="s">
        <v>1234</v>
      </c>
      <c r="J873" s="4" t="s">
        <v>1235</v>
      </c>
      <c r="K873" s="4" t="s">
        <v>10</v>
      </c>
      <c r="L873" s="4" t="s">
        <v>487</v>
      </c>
      <c r="M873" s="5">
        <v>0</v>
      </c>
      <c r="N873" s="4" t="s">
        <v>1241</v>
      </c>
    </row>
    <row r="874" spans="1:14" x14ac:dyDescent="0.15">
      <c r="A874" s="4" t="s">
        <v>336</v>
      </c>
      <c r="B874" s="4" t="s">
        <v>14</v>
      </c>
      <c r="C874" s="5">
        <v>0.485427135678</v>
      </c>
      <c r="D874" s="5">
        <v>1</v>
      </c>
      <c r="E874" s="4" t="s">
        <v>13</v>
      </c>
      <c r="F874" s="5">
        <v>3</v>
      </c>
      <c r="G874" s="5">
        <v>0</v>
      </c>
      <c r="H874" s="4" t="s">
        <v>488</v>
      </c>
      <c r="I874" s="4" t="s">
        <v>1234</v>
      </c>
      <c r="J874" s="4" t="s">
        <v>1235</v>
      </c>
      <c r="K874" s="4" t="s">
        <v>10</v>
      </c>
      <c r="L874" s="4" t="s">
        <v>487</v>
      </c>
      <c r="M874" s="5">
        <v>0</v>
      </c>
      <c r="N874" s="4" t="s">
        <v>1241</v>
      </c>
    </row>
    <row r="875" spans="1:14" x14ac:dyDescent="0.15">
      <c r="A875" s="4" t="s">
        <v>336</v>
      </c>
      <c r="B875" s="4" t="s">
        <v>15</v>
      </c>
      <c r="C875" s="5">
        <v>9.7085427135680007</v>
      </c>
      <c r="D875" s="5">
        <v>1000</v>
      </c>
      <c r="E875" s="4" t="s">
        <v>13</v>
      </c>
      <c r="F875" s="5">
        <v>3</v>
      </c>
      <c r="G875" s="5">
        <v>0</v>
      </c>
      <c r="H875" s="4" t="s">
        <v>488</v>
      </c>
      <c r="I875" s="4" t="s">
        <v>1234</v>
      </c>
      <c r="J875" s="4" t="s">
        <v>1235</v>
      </c>
      <c r="K875" s="4" t="s">
        <v>10</v>
      </c>
      <c r="L875" s="4" t="s">
        <v>487</v>
      </c>
      <c r="M875" s="5">
        <v>0</v>
      </c>
      <c r="N875" s="4" t="s">
        <v>1241</v>
      </c>
    </row>
    <row r="876" spans="1:14" x14ac:dyDescent="0.15">
      <c r="A876" s="4" t="s">
        <v>336</v>
      </c>
      <c r="B876" s="4" t="s">
        <v>23</v>
      </c>
      <c r="C876" s="5">
        <v>24.271356783920002</v>
      </c>
      <c r="D876" s="5">
        <v>1000</v>
      </c>
      <c r="E876" s="4" t="s">
        <v>13</v>
      </c>
      <c r="F876" s="5">
        <v>3</v>
      </c>
      <c r="G876" s="5">
        <v>0</v>
      </c>
      <c r="H876" s="4" t="s">
        <v>488</v>
      </c>
      <c r="I876" s="4" t="s">
        <v>1234</v>
      </c>
      <c r="J876" s="4" t="s">
        <v>1235</v>
      </c>
      <c r="K876" s="4" t="s">
        <v>10</v>
      </c>
      <c r="L876" s="4" t="s">
        <v>487</v>
      </c>
      <c r="M876" s="5">
        <v>0</v>
      </c>
      <c r="N876" s="4" t="s">
        <v>1241</v>
      </c>
    </row>
    <row r="877" spans="1:14" x14ac:dyDescent="0.15">
      <c r="A877" s="4" t="s">
        <v>336</v>
      </c>
      <c r="B877" s="4" t="s">
        <v>24</v>
      </c>
      <c r="C877" s="5">
        <v>9.7085427135680007</v>
      </c>
      <c r="D877" s="5">
        <v>1000</v>
      </c>
      <c r="E877" s="4" t="s">
        <v>13</v>
      </c>
      <c r="F877" s="5">
        <v>3</v>
      </c>
      <c r="G877" s="5">
        <v>0</v>
      </c>
      <c r="H877" s="4" t="s">
        <v>488</v>
      </c>
      <c r="I877" s="4" t="s">
        <v>1234</v>
      </c>
      <c r="J877" s="4" t="s">
        <v>1235</v>
      </c>
      <c r="K877" s="4" t="s">
        <v>10</v>
      </c>
      <c r="L877" s="4" t="s">
        <v>487</v>
      </c>
      <c r="M877" s="5">
        <v>0</v>
      </c>
      <c r="N877" s="4" t="s">
        <v>1241</v>
      </c>
    </row>
    <row r="878" spans="1:14" x14ac:dyDescent="0.15">
      <c r="A878" s="4" t="s">
        <v>336</v>
      </c>
      <c r="B878" s="4" t="s">
        <v>17</v>
      </c>
      <c r="C878" s="5">
        <v>6.9444444444440006</v>
      </c>
      <c r="D878" s="5">
        <v>1000</v>
      </c>
      <c r="E878" s="4" t="s">
        <v>18</v>
      </c>
      <c r="F878" s="5">
        <v>0</v>
      </c>
      <c r="G878" s="5">
        <v>0</v>
      </c>
      <c r="H878" s="4" t="s">
        <v>488</v>
      </c>
      <c r="I878" s="4" t="s">
        <v>1234</v>
      </c>
      <c r="J878" s="4" t="s">
        <v>1235</v>
      </c>
      <c r="K878" s="4" t="s">
        <v>10</v>
      </c>
      <c r="L878" s="4" t="s">
        <v>487</v>
      </c>
      <c r="M878" s="5">
        <v>0</v>
      </c>
      <c r="N878" s="4" t="s">
        <v>1241</v>
      </c>
    </row>
    <row r="879" spans="1:14" x14ac:dyDescent="0.15">
      <c r="A879" s="4" t="s">
        <v>336</v>
      </c>
      <c r="B879" s="4" t="s">
        <v>19</v>
      </c>
      <c r="C879" s="5">
        <v>3</v>
      </c>
      <c r="D879" s="5">
        <v>1</v>
      </c>
      <c r="E879" s="4" t="s">
        <v>18</v>
      </c>
      <c r="F879" s="5">
        <v>0</v>
      </c>
      <c r="G879" s="5">
        <v>0</v>
      </c>
      <c r="H879" s="4" t="s">
        <v>488</v>
      </c>
      <c r="I879" s="4" t="s">
        <v>1236</v>
      </c>
      <c r="J879" s="4" t="s">
        <v>1235</v>
      </c>
      <c r="K879" s="4" t="s">
        <v>10</v>
      </c>
      <c r="L879" s="4" t="s">
        <v>487</v>
      </c>
      <c r="M879" s="5">
        <v>0</v>
      </c>
      <c r="N879" s="4" t="s">
        <v>1241</v>
      </c>
    </row>
    <row r="880" spans="1:14" x14ac:dyDescent="0.15">
      <c r="A880" s="4" t="s">
        <v>339</v>
      </c>
      <c r="B880" s="4" t="s">
        <v>340</v>
      </c>
      <c r="C880" s="5">
        <v>1</v>
      </c>
      <c r="D880" s="5">
        <v>1</v>
      </c>
      <c r="E880" s="4" t="s">
        <v>9</v>
      </c>
      <c r="F880" s="5">
        <v>0</v>
      </c>
      <c r="G880" s="5">
        <v>0</v>
      </c>
      <c r="H880" s="4" t="s">
        <v>488</v>
      </c>
      <c r="I880" s="4" t="s">
        <v>1234</v>
      </c>
      <c r="J880" s="4" t="s">
        <v>1235</v>
      </c>
      <c r="K880" s="4" t="s">
        <v>10</v>
      </c>
      <c r="L880" s="4" t="s">
        <v>487</v>
      </c>
      <c r="M880" s="5">
        <v>0</v>
      </c>
      <c r="N880" s="4" t="s">
        <v>1241</v>
      </c>
    </row>
    <row r="881" spans="1:14" x14ac:dyDescent="0.15">
      <c r="A881" s="4" t="s">
        <v>341</v>
      </c>
      <c r="B881" s="4" t="s">
        <v>340</v>
      </c>
      <c r="C881" s="5">
        <v>2</v>
      </c>
      <c r="D881" s="5">
        <v>1</v>
      </c>
      <c r="E881" s="4" t="s">
        <v>9</v>
      </c>
      <c r="F881" s="5">
        <v>0</v>
      </c>
      <c r="G881" s="5">
        <v>0</v>
      </c>
      <c r="H881" s="4" t="s">
        <v>488</v>
      </c>
      <c r="I881" s="4" t="s">
        <v>1234</v>
      </c>
      <c r="J881" s="4" t="s">
        <v>1235</v>
      </c>
      <c r="K881" s="4" t="s">
        <v>10</v>
      </c>
      <c r="L881" s="4" t="s">
        <v>487</v>
      </c>
      <c r="M881" s="5">
        <v>0</v>
      </c>
      <c r="N881" s="4" t="s">
        <v>1241</v>
      </c>
    </row>
    <row r="882" spans="1:14" x14ac:dyDescent="0.15">
      <c r="A882" s="4" t="s">
        <v>342</v>
      </c>
      <c r="B882" s="4" t="s">
        <v>340</v>
      </c>
      <c r="C882" s="5">
        <v>500</v>
      </c>
      <c r="D882" s="5">
        <v>1000</v>
      </c>
      <c r="E882" s="4" t="s">
        <v>9</v>
      </c>
      <c r="F882" s="5">
        <v>0</v>
      </c>
      <c r="G882" s="5">
        <v>0</v>
      </c>
      <c r="H882" s="4" t="s">
        <v>488</v>
      </c>
      <c r="I882" s="4" t="s">
        <v>1234</v>
      </c>
      <c r="J882" s="4" t="s">
        <v>1235</v>
      </c>
      <c r="K882" s="4" t="s">
        <v>10</v>
      </c>
      <c r="L882" s="4" t="s">
        <v>487</v>
      </c>
      <c r="M882" s="5">
        <v>0</v>
      </c>
      <c r="N882" s="4" t="s">
        <v>1241</v>
      </c>
    </row>
    <row r="883" spans="1:14" x14ac:dyDescent="0.15">
      <c r="A883" s="4" t="s">
        <v>340</v>
      </c>
      <c r="B883" s="4" t="s">
        <v>33</v>
      </c>
      <c r="C883" s="5">
        <v>4</v>
      </c>
      <c r="D883" s="5">
        <v>1</v>
      </c>
      <c r="E883" s="4" t="s">
        <v>9</v>
      </c>
      <c r="F883" s="5">
        <v>3</v>
      </c>
      <c r="G883" s="5">
        <v>0</v>
      </c>
      <c r="H883" s="4" t="s">
        <v>488</v>
      </c>
      <c r="I883" s="4" t="s">
        <v>1234</v>
      </c>
      <c r="J883" s="4" t="s">
        <v>1235</v>
      </c>
      <c r="K883" s="4" t="s">
        <v>10</v>
      </c>
      <c r="L883" s="4" t="s">
        <v>487</v>
      </c>
      <c r="M883" s="5">
        <v>0</v>
      </c>
      <c r="N883" s="4" t="s">
        <v>1241</v>
      </c>
    </row>
    <row r="884" spans="1:14" x14ac:dyDescent="0.15">
      <c r="A884" s="4" t="s">
        <v>340</v>
      </c>
      <c r="B884" s="4" t="s">
        <v>12</v>
      </c>
      <c r="C884" s="5">
        <v>0.58251256281399999</v>
      </c>
      <c r="D884" s="5">
        <v>1</v>
      </c>
      <c r="E884" s="4" t="s">
        <v>13</v>
      </c>
      <c r="F884" s="5">
        <v>3</v>
      </c>
      <c r="G884" s="5">
        <v>0</v>
      </c>
      <c r="H884" s="4" t="s">
        <v>488</v>
      </c>
      <c r="I884" s="4" t="s">
        <v>1234</v>
      </c>
      <c r="J884" s="4" t="s">
        <v>1235</v>
      </c>
      <c r="K884" s="4" t="s">
        <v>10</v>
      </c>
      <c r="L884" s="4" t="s">
        <v>487</v>
      </c>
      <c r="M884" s="5">
        <v>0</v>
      </c>
      <c r="N884" s="4" t="s">
        <v>1241</v>
      </c>
    </row>
    <row r="885" spans="1:14" x14ac:dyDescent="0.15">
      <c r="A885" s="4" t="s">
        <v>340</v>
      </c>
      <c r="B885" s="4" t="s">
        <v>14</v>
      </c>
      <c r="C885" s="5">
        <v>0.64723618090500001</v>
      </c>
      <c r="D885" s="5">
        <v>1</v>
      </c>
      <c r="E885" s="4" t="s">
        <v>13</v>
      </c>
      <c r="F885" s="5">
        <v>3</v>
      </c>
      <c r="G885" s="5">
        <v>0</v>
      </c>
      <c r="H885" s="4" t="s">
        <v>488</v>
      </c>
      <c r="I885" s="4" t="s">
        <v>1234</v>
      </c>
      <c r="J885" s="4" t="s">
        <v>1235</v>
      </c>
      <c r="K885" s="4" t="s">
        <v>10</v>
      </c>
      <c r="L885" s="4" t="s">
        <v>487</v>
      </c>
      <c r="M885" s="5">
        <v>0</v>
      </c>
      <c r="N885" s="4" t="s">
        <v>1241</v>
      </c>
    </row>
    <row r="886" spans="1:14" x14ac:dyDescent="0.15">
      <c r="A886" s="4" t="s">
        <v>340</v>
      </c>
      <c r="B886" s="4" t="s">
        <v>15</v>
      </c>
      <c r="C886" s="5">
        <v>12.944723618091</v>
      </c>
      <c r="D886" s="5">
        <v>1000</v>
      </c>
      <c r="E886" s="4" t="s">
        <v>13</v>
      </c>
      <c r="F886" s="5">
        <v>3</v>
      </c>
      <c r="G886" s="5">
        <v>0</v>
      </c>
      <c r="H886" s="4" t="s">
        <v>488</v>
      </c>
      <c r="I886" s="4" t="s">
        <v>1234</v>
      </c>
      <c r="J886" s="4" t="s">
        <v>1235</v>
      </c>
      <c r="K886" s="4" t="s">
        <v>10</v>
      </c>
      <c r="L886" s="4" t="s">
        <v>487</v>
      </c>
      <c r="M886" s="5">
        <v>0</v>
      </c>
      <c r="N886" s="4" t="s">
        <v>1241</v>
      </c>
    </row>
    <row r="887" spans="1:14" x14ac:dyDescent="0.15">
      <c r="A887" s="4" t="s">
        <v>340</v>
      </c>
      <c r="B887" s="4" t="s">
        <v>23</v>
      </c>
      <c r="C887" s="5">
        <v>32.361809045226003</v>
      </c>
      <c r="D887" s="5">
        <v>1000</v>
      </c>
      <c r="E887" s="4" t="s">
        <v>13</v>
      </c>
      <c r="F887" s="5">
        <v>3</v>
      </c>
      <c r="G887" s="5">
        <v>0</v>
      </c>
      <c r="H887" s="4" t="s">
        <v>488</v>
      </c>
      <c r="I887" s="4" t="s">
        <v>1234</v>
      </c>
      <c r="J887" s="4" t="s">
        <v>1235</v>
      </c>
      <c r="K887" s="4" t="s">
        <v>10</v>
      </c>
      <c r="L887" s="4" t="s">
        <v>487</v>
      </c>
      <c r="M887" s="5">
        <v>0</v>
      </c>
      <c r="N887" s="4" t="s">
        <v>1241</v>
      </c>
    </row>
    <row r="888" spans="1:14" x14ac:dyDescent="0.15">
      <c r="A888" s="4" t="s">
        <v>340</v>
      </c>
      <c r="B888" s="4" t="s">
        <v>24</v>
      </c>
      <c r="C888" s="5">
        <v>12.944723618091</v>
      </c>
      <c r="D888" s="5">
        <v>1000</v>
      </c>
      <c r="E888" s="4" t="s">
        <v>13</v>
      </c>
      <c r="F888" s="5">
        <v>3</v>
      </c>
      <c r="G888" s="5">
        <v>0</v>
      </c>
      <c r="H888" s="4" t="s">
        <v>488</v>
      </c>
      <c r="I888" s="4" t="s">
        <v>1234</v>
      </c>
      <c r="J888" s="4" t="s">
        <v>1235</v>
      </c>
      <c r="K888" s="4" t="s">
        <v>10</v>
      </c>
      <c r="L888" s="4" t="s">
        <v>487</v>
      </c>
      <c r="M888" s="5">
        <v>0</v>
      </c>
      <c r="N888" s="4" t="s">
        <v>1241</v>
      </c>
    </row>
    <row r="889" spans="1:14" x14ac:dyDescent="0.15">
      <c r="A889" s="4" t="s">
        <v>340</v>
      </c>
      <c r="B889" s="4" t="s">
        <v>17</v>
      </c>
      <c r="C889" s="5">
        <v>7.5757575757579998</v>
      </c>
      <c r="D889" s="5">
        <v>1000</v>
      </c>
      <c r="E889" s="4" t="s">
        <v>18</v>
      </c>
      <c r="F889" s="5">
        <v>0</v>
      </c>
      <c r="G889" s="5">
        <v>0</v>
      </c>
      <c r="H889" s="4" t="s">
        <v>488</v>
      </c>
      <c r="I889" s="4" t="s">
        <v>1234</v>
      </c>
      <c r="J889" s="4" t="s">
        <v>1235</v>
      </c>
      <c r="K889" s="4" t="s">
        <v>10</v>
      </c>
      <c r="L889" s="4" t="s">
        <v>487</v>
      </c>
      <c r="M889" s="5">
        <v>0</v>
      </c>
      <c r="N889" s="4" t="s">
        <v>1241</v>
      </c>
    </row>
    <row r="890" spans="1:14" x14ac:dyDescent="0.15">
      <c r="A890" s="4" t="s">
        <v>340</v>
      </c>
      <c r="B890" s="4" t="s">
        <v>19</v>
      </c>
      <c r="C890" s="5">
        <v>3</v>
      </c>
      <c r="D890" s="5">
        <v>1</v>
      </c>
      <c r="E890" s="4" t="s">
        <v>18</v>
      </c>
      <c r="F890" s="5">
        <v>0</v>
      </c>
      <c r="G890" s="5">
        <v>0</v>
      </c>
      <c r="H890" s="4" t="s">
        <v>488</v>
      </c>
      <c r="I890" s="4" t="s">
        <v>1236</v>
      </c>
      <c r="J890" s="4" t="s">
        <v>1235</v>
      </c>
      <c r="K890" s="4" t="s">
        <v>10</v>
      </c>
      <c r="L890" s="4" t="s">
        <v>487</v>
      </c>
      <c r="M890" s="5">
        <v>0</v>
      </c>
      <c r="N890" s="4" t="s">
        <v>1241</v>
      </c>
    </row>
    <row r="891" spans="1:14" x14ac:dyDescent="0.15">
      <c r="A891" s="4" t="s">
        <v>343</v>
      </c>
      <c r="B891" s="4" t="s">
        <v>344</v>
      </c>
      <c r="C891" s="5">
        <v>1</v>
      </c>
      <c r="D891" s="5">
        <v>1</v>
      </c>
      <c r="E891" s="4" t="s">
        <v>9</v>
      </c>
      <c r="F891" s="5">
        <v>0</v>
      </c>
      <c r="G891" s="5">
        <v>0</v>
      </c>
      <c r="H891" s="4" t="s">
        <v>488</v>
      </c>
      <c r="I891" s="4" t="s">
        <v>1234</v>
      </c>
      <c r="J891" s="4" t="s">
        <v>1235</v>
      </c>
      <c r="K891" s="4" t="s">
        <v>10</v>
      </c>
      <c r="L891" s="4" t="s">
        <v>487</v>
      </c>
      <c r="M891" s="5">
        <v>0</v>
      </c>
      <c r="N891" s="4" t="s">
        <v>1241</v>
      </c>
    </row>
    <row r="892" spans="1:14" x14ac:dyDescent="0.15">
      <c r="A892" s="4" t="s">
        <v>345</v>
      </c>
      <c r="B892" s="4" t="s">
        <v>344</v>
      </c>
      <c r="C892" s="5">
        <v>2</v>
      </c>
      <c r="D892" s="5">
        <v>1</v>
      </c>
      <c r="E892" s="4" t="s">
        <v>9</v>
      </c>
      <c r="F892" s="5">
        <v>0</v>
      </c>
      <c r="G892" s="5">
        <v>0</v>
      </c>
      <c r="H892" s="4" t="s">
        <v>488</v>
      </c>
      <c r="I892" s="4" t="s">
        <v>1234</v>
      </c>
      <c r="J892" s="4" t="s">
        <v>1235</v>
      </c>
      <c r="K892" s="4" t="s">
        <v>10</v>
      </c>
      <c r="L892" s="4" t="s">
        <v>487</v>
      </c>
      <c r="M892" s="5">
        <v>0</v>
      </c>
      <c r="N892" s="4" t="s">
        <v>1241</v>
      </c>
    </row>
    <row r="893" spans="1:14" x14ac:dyDescent="0.15">
      <c r="A893" s="4" t="s">
        <v>346</v>
      </c>
      <c r="B893" s="4" t="s">
        <v>344</v>
      </c>
      <c r="C893" s="5">
        <v>500</v>
      </c>
      <c r="D893" s="5">
        <v>1000</v>
      </c>
      <c r="E893" s="4" t="s">
        <v>9</v>
      </c>
      <c r="F893" s="5">
        <v>0</v>
      </c>
      <c r="G893" s="5">
        <v>0</v>
      </c>
      <c r="H893" s="4" t="s">
        <v>488</v>
      </c>
      <c r="I893" s="4" t="s">
        <v>1234</v>
      </c>
      <c r="J893" s="4" t="s">
        <v>1235</v>
      </c>
      <c r="K893" s="4" t="s">
        <v>10</v>
      </c>
      <c r="L893" s="4" t="s">
        <v>487</v>
      </c>
      <c r="M893" s="5">
        <v>0</v>
      </c>
      <c r="N893" s="4" t="s">
        <v>1241</v>
      </c>
    </row>
    <row r="894" spans="1:14" x14ac:dyDescent="0.15">
      <c r="A894" s="4" t="s">
        <v>344</v>
      </c>
      <c r="B894" s="4" t="s">
        <v>33</v>
      </c>
      <c r="C894" s="5">
        <v>5</v>
      </c>
      <c r="D894" s="5">
        <v>1</v>
      </c>
      <c r="E894" s="4" t="s">
        <v>9</v>
      </c>
      <c r="F894" s="5">
        <v>3</v>
      </c>
      <c r="G894" s="5">
        <v>0</v>
      </c>
      <c r="H894" s="4" t="s">
        <v>488</v>
      </c>
      <c r="I894" s="4" t="s">
        <v>1234</v>
      </c>
      <c r="J894" s="4" t="s">
        <v>1235</v>
      </c>
      <c r="K894" s="4" t="s">
        <v>10</v>
      </c>
      <c r="L894" s="4" t="s">
        <v>487</v>
      </c>
      <c r="M894" s="5">
        <v>0</v>
      </c>
      <c r="N894" s="4" t="s">
        <v>1241</v>
      </c>
    </row>
    <row r="895" spans="1:14" x14ac:dyDescent="0.15">
      <c r="A895" s="4" t="s">
        <v>344</v>
      </c>
      <c r="B895" s="4" t="s">
        <v>12</v>
      </c>
      <c r="C895" s="5">
        <v>0.72814070351799998</v>
      </c>
      <c r="D895" s="5">
        <v>1</v>
      </c>
      <c r="E895" s="4" t="s">
        <v>13</v>
      </c>
      <c r="F895" s="5">
        <v>3</v>
      </c>
      <c r="G895" s="5">
        <v>0</v>
      </c>
      <c r="H895" s="4" t="s">
        <v>488</v>
      </c>
      <c r="I895" s="4" t="s">
        <v>1234</v>
      </c>
      <c r="J895" s="4" t="s">
        <v>1235</v>
      </c>
      <c r="K895" s="4" t="s">
        <v>10</v>
      </c>
      <c r="L895" s="4" t="s">
        <v>487</v>
      </c>
      <c r="M895" s="5">
        <v>0</v>
      </c>
      <c r="N895" s="4" t="s">
        <v>1241</v>
      </c>
    </row>
    <row r="896" spans="1:14" x14ac:dyDescent="0.15">
      <c r="A896" s="4" t="s">
        <v>344</v>
      </c>
      <c r="B896" s="4" t="s">
        <v>14</v>
      </c>
      <c r="C896" s="5">
        <v>0.80904522613100005</v>
      </c>
      <c r="D896" s="5">
        <v>1</v>
      </c>
      <c r="E896" s="4" t="s">
        <v>13</v>
      </c>
      <c r="F896" s="5">
        <v>3</v>
      </c>
      <c r="G896" s="5">
        <v>0</v>
      </c>
      <c r="H896" s="4" t="s">
        <v>488</v>
      </c>
      <c r="I896" s="4" t="s">
        <v>1234</v>
      </c>
      <c r="J896" s="4" t="s">
        <v>1235</v>
      </c>
      <c r="K896" s="4" t="s">
        <v>10</v>
      </c>
      <c r="L896" s="4" t="s">
        <v>487</v>
      </c>
      <c r="M896" s="5">
        <v>0</v>
      </c>
      <c r="N896" s="4" t="s">
        <v>1241</v>
      </c>
    </row>
    <row r="897" spans="1:14" x14ac:dyDescent="0.15">
      <c r="A897" s="4" t="s">
        <v>344</v>
      </c>
      <c r="B897" s="4" t="s">
        <v>15</v>
      </c>
      <c r="C897" s="5">
        <v>16.180904522613002</v>
      </c>
      <c r="D897" s="5">
        <v>1000</v>
      </c>
      <c r="E897" s="4" t="s">
        <v>13</v>
      </c>
      <c r="F897" s="5">
        <v>3</v>
      </c>
      <c r="G897" s="5">
        <v>0</v>
      </c>
      <c r="H897" s="4" t="s">
        <v>488</v>
      </c>
      <c r="I897" s="4" t="s">
        <v>1234</v>
      </c>
      <c r="J897" s="4" t="s">
        <v>1235</v>
      </c>
      <c r="K897" s="4" t="s">
        <v>10</v>
      </c>
      <c r="L897" s="4" t="s">
        <v>487</v>
      </c>
      <c r="M897" s="5">
        <v>0</v>
      </c>
      <c r="N897" s="4" t="s">
        <v>1241</v>
      </c>
    </row>
    <row r="898" spans="1:14" x14ac:dyDescent="0.15">
      <c r="A898" s="4" t="s">
        <v>344</v>
      </c>
      <c r="B898" s="4" t="s">
        <v>23</v>
      </c>
      <c r="C898" s="5">
        <v>40.452261306533003</v>
      </c>
      <c r="D898" s="5">
        <v>1000</v>
      </c>
      <c r="E898" s="4" t="s">
        <v>13</v>
      </c>
      <c r="F898" s="5">
        <v>3</v>
      </c>
      <c r="G898" s="5">
        <v>0</v>
      </c>
      <c r="H898" s="4" t="s">
        <v>488</v>
      </c>
      <c r="I898" s="4" t="s">
        <v>1234</v>
      </c>
      <c r="J898" s="4" t="s">
        <v>1235</v>
      </c>
      <c r="K898" s="4" t="s">
        <v>10</v>
      </c>
      <c r="L898" s="4" t="s">
        <v>487</v>
      </c>
      <c r="M898" s="5">
        <v>0</v>
      </c>
      <c r="N898" s="4" t="s">
        <v>1241</v>
      </c>
    </row>
    <row r="899" spans="1:14" x14ac:dyDescent="0.15">
      <c r="A899" s="4" t="s">
        <v>344</v>
      </c>
      <c r="B899" s="4" t="s">
        <v>24</v>
      </c>
      <c r="C899" s="5">
        <v>16.180904522613002</v>
      </c>
      <c r="D899" s="5">
        <v>1000</v>
      </c>
      <c r="E899" s="4" t="s">
        <v>13</v>
      </c>
      <c r="F899" s="5">
        <v>3</v>
      </c>
      <c r="G899" s="5">
        <v>0</v>
      </c>
      <c r="H899" s="4" t="s">
        <v>488</v>
      </c>
      <c r="I899" s="4" t="s">
        <v>1234</v>
      </c>
      <c r="J899" s="4" t="s">
        <v>1235</v>
      </c>
      <c r="K899" s="4" t="s">
        <v>10</v>
      </c>
      <c r="L899" s="4" t="s">
        <v>487</v>
      </c>
      <c r="M899" s="5">
        <v>0</v>
      </c>
      <c r="N899" s="4" t="s">
        <v>1241</v>
      </c>
    </row>
    <row r="900" spans="1:14" x14ac:dyDescent="0.15">
      <c r="A900" s="4" t="s">
        <v>344</v>
      </c>
      <c r="B900" s="4" t="s">
        <v>17</v>
      </c>
      <c r="C900" s="5">
        <v>6.4102564102559993</v>
      </c>
      <c r="D900" s="5">
        <v>1000</v>
      </c>
      <c r="E900" s="4" t="s">
        <v>18</v>
      </c>
      <c r="F900" s="5">
        <v>0</v>
      </c>
      <c r="G900" s="5">
        <v>0</v>
      </c>
      <c r="H900" s="4" t="s">
        <v>488</v>
      </c>
      <c r="I900" s="4" t="s">
        <v>1234</v>
      </c>
      <c r="J900" s="4" t="s">
        <v>1235</v>
      </c>
      <c r="K900" s="4" t="s">
        <v>10</v>
      </c>
      <c r="L900" s="4" t="s">
        <v>487</v>
      </c>
      <c r="M900" s="5">
        <v>0</v>
      </c>
      <c r="N900" s="4" t="s">
        <v>1241</v>
      </c>
    </row>
    <row r="901" spans="1:14" x14ac:dyDescent="0.15">
      <c r="A901" s="4" t="s">
        <v>344</v>
      </c>
      <c r="B901" s="4" t="s">
        <v>19</v>
      </c>
      <c r="C901" s="5">
        <v>3</v>
      </c>
      <c r="D901" s="5">
        <v>1</v>
      </c>
      <c r="E901" s="4" t="s">
        <v>18</v>
      </c>
      <c r="F901" s="5">
        <v>0</v>
      </c>
      <c r="G901" s="5">
        <v>0</v>
      </c>
      <c r="H901" s="4" t="s">
        <v>488</v>
      </c>
      <c r="I901" s="4" t="s">
        <v>1236</v>
      </c>
      <c r="J901" s="4" t="s">
        <v>1235</v>
      </c>
      <c r="K901" s="4" t="s">
        <v>10</v>
      </c>
      <c r="L901" s="4" t="s">
        <v>487</v>
      </c>
      <c r="M901" s="5">
        <v>0</v>
      </c>
      <c r="N901" s="4" t="s">
        <v>1241</v>
      </c>
    </row>
    <row r="902" spans="1:14" x14ac:dyDescent="0.15">
      <c r="A902" s="4" t="s">
        <v>347</v>
      </c>
      <c r="B902" s="4" t="s">
        <v>348</v>
      </c>
      <c r="C902" s="5">
        <v>1</v>
      </c>
      <c r="D902" s="5">
        <v>1</v>
      </c>
      <c r="E902" s="4" t="s">
        <v>9</v>
      </c>
      <c r="F902" s="5">
        <v>0</v>
      </c>
      <c r="G902" s="5">
        <v>0</v>
      </c>
      <c r="H902" s="4" t="s">
        <v>488</v>
      </c>
      <c r="I902" s="4" t="s">
        <v>1234</v>
      </c>
      <c r="J902" s="4" t="s">
        <v>1235</v>
      </c>
      <c r="K902" s="4" t="s">
        <v>10</v>
      </c>
      <c r="L902" s="4" t="s">
        <v>487</v>
      </c>
      <c r="M902" s="5">
        <v>0</v>
      </c>
      <c r="N902" s="4" t="s">
        <v>1241</v>
      </c>
    </row>
    <row r="903" spans="1:14" x14ac:dyDescent="0.15">
      <c r="A903" s="4" t="s">
        <v>349</v>
      </c>
      <c r="B903" s="4" t="s">
        <v>348</v>
      </c>
      <c r="C903" s="5">
        <v>2</v>
      </c>
      <c r="D903" s="5">
        <v>1</v>
      </c>
      <c r="E903" s="4" t="s">
        <v>9</v>
      </c>
      <c r="F903" s="5">
        <v>0</v>
      </c>
      <c r="G903" s="5">
        <v>0</v>
      </c>
      <c r="H903" s="4" t="s">
        <v>488</v>
      </c>
      <c r="I903" s="4" t="s">
        <v>1234</v>
      </c>
      <c r="J903" s="4" t="s">
        <v>1235</v>
      </c>
      <c r="K903" s="4" t="s">
        <v>10</v>
      </c>
      <c r="L903" s="4" t="s">
        <v>487</v>
      </c>
      <c r="M903" s="5">
        <v>0</v>
      </c>
      <c r="N903" s="4" t="s">
        <v>1241</v>
      </c>
    </row>
    <row r="904" spans="1:14" x14ac:dyDescent="0.15">
      <c r="A904" s="4" t="s">
        <v>350</v>
      </c>
      <c r="B904" s="4" t="s">
        <v>348</v>
      </c>
      <c r="C904" s="5">
        <v>500</v>
      </c>
      <c r="D904" s="5">
        <v>1000</v>
      </c>
      <c r="E904" s="4" t="s">
        <v>9</v>
      </c>
      <c r="F904" s="5">
        <v>0</v>
      </c>
      <c r="G904" s="5">
        <v>0</v>
      </c>
      <c r="H904" s="4" t="s">
        <v>488</v>
      </c>
      <c r="I904" s="4" t="s">
        <v>1234</v>
      </c>
      <c r="J904" s="4" t="s">
        <v>1235</v>
      </c>
      <c r="K904" s="4" t="s">
        <v>10</v>
      </c>
      <c r="L904" s="4" t="s">
        <v>487</v>
      </c>
      <c r="M904" s="5">
        <v>0</v>
      </c>
      <c r="N904" s="4" t="s">
        <v>1241</v>
      </c>
    </row>
    <row r="905" spans="1:14" x14ac:dyDescent="0.15">
      <c r="A905" s="4" t="s">
        <v>351</v>
      </c>
      <c r="B905" s="4" t="s">
        <v>348</v>
      </c>
      <c r="C905" s="5">
        <v>105</v>
      </c>
      <c r="D905" s="5">
        <v>1000</v>
      </c>
      <c r="E905" s="4" t="s">
        <v>9</v>
      </c>
      <c r="F905" s="5">
        <v>0</v>
      </c>
      <c r="G905" s="5">
        <v>0</v>
      </c>
      <c r="H905" s="4" t="s">
        <v>488</v>
      </c>
      <c r="I905" s="4" t="s">
        <v>1234</v>
      </c>
      <c r="J905" s="4" t="s">
        <v>1235</v>
      </c>
      <c r="K905" s="4" t="s">
        <v>10</v>
      </c>
      <c r="L905" s="4" t="s">
        <v>487</v>
      </c>
      <c r="M905" s="5">
        <v>0</v>
      </c>
      <c r="N905" s="4" t="s">
        <v>1241</v>
      </c>
    </row>
    <row r="906" spans="1:14" x14ac:dyDescent="0.15">
      <c r="A906" s="4" t="s">
        <v>348</v>
      </c>
      <c r="B906" s="4" t="s">
        <v>33</v>
      </c>
      <c r="C906" s="5">
        <v>10</v>
      </c>
      <c r="D906" s="5">
        <v>1</v>
      </c>
      <c r="E906" s="4" t="s">
        <v>9</v>
      </c>
      <c r="F906" s="5">
        <v>3</v>
      </c>
      <c r="G906" s="5">
        <v>0</v>
      </c>
      <c r="H906" s="4" t="s">
        <v>488</v>
      </c>
      <c r="I906" s="4" t="s">
        <v>1234</v>
      </c>
      <c r="J906" s="4" t="s">
        <v>1235</v>
      </c>
      <c r="K906" s="4" t="s">
        <v>10</v>
      </c>
      <c r="L906" s="4" t="s">
        <v>487</v>
      </c>
      <c r="M906" s="5">
        <v>0</v>
      </c>
      <c r="N906" s="4" t="s">
        <v>1241</v>
      </c>
    </row>
    <row r="907" spans="1:14" x14ac:dyDescent="0.15">
      <c r="A907" s="4" t="s">
        <v>348</v>
      </c>
      <c r="B907" s="4" t="s">
        <v>12</v>
      </c>
      <c r="C907" s="5">
        <v>1.4562814070350001</v>
      </c>
      <c r="D907" s="5">
        <v>1</v>
      </c>
      <c r="E907" s="4" t="s">
        <v>13</v>
      </c>
      <c r="F907" s="5">
        <v>3</v>
      </c>
      <c r="G907" s="5">
        <v>0</v>
      </c>
      <c r="H907" s="4" t="s">
        <v>488</v>
      </c>
      <c r="I907" s="4" t="s">
        <v>1234</v>
      </c>
      <c r="J907" s="4" t="s">
        <v>1235</v>
      </c>
      <c r="K907" s="4" t="s">
        <v>10</v>
      </c>
      <c r="L907" s="4" t="s">
        <v>487</v>
      </c>
      <c r="M907" s="5">
        <v>0</v>
      </c>
      <c r="N907" s="4" t="s">
        <v>1241</v>
      </c>
    </row>
    <row r="908" spans="1:14" x14ac:dyDescent="0.15">
      <c r="A908" s="4" t="s">
        <v>348</v>
      </c>
      <c r="B908" s="4" t="s">
        <v>14</v>
      </c>
      <c r="C908" s="5">
        <v>1.618090452261</v>
      </c>
      <c r="D908" s="5">
        <v>1</v>
      </c>
      <c r="E908" s="4" t="s">
        <v>13</v>
      </c>
      <c r="F908" s="5">
        <v>3</v>
      </c>
      <c r="G908" s="5">
        <v>0</v>
      </c>
      <c r="H908" s="4" t="s">
        <v>488</v>
      </c>
      <c r="I908" s="4" t="s">
        <v>1234</v>
      </c>
      <c r="J908" s="4" t="s">
        <v>1235</v>
      </c>
      <c r="K908" s="4" t="s">
        <v>10</v>
      </c>
      <c r="L908" s="4" t="s">
        <v>487</v>
      </c>
      <c r="M908" s="5">
        <v>0</v>
      </c>
      <c r="N908" s="4" t="s">
        <v>1241</v>
      </c>
    </row>
    <row r="909" spans="1:14" x14ac:dyDescent="0.15">
      <c r="A909" s="4" t="s">
        <v>348</v>
      </c>
      <c r="B909" s="4" t="s">
        <v>15</v>
      </c>
      <c r="C909" s="5">
        <v>32.361809045226003</v>
      </c>
      <c r="D909" s="5">
        <v>1000</v>
      </c>
      <c r="E909" s="4" t="s">
        <v>13</v>
      </c>
      <c r="F909" s="5">
        <v>3</v>
      </c>
      <c r="G909" s="5">
        <v>0</v>
      </c>
      <c r="H909" s="4" t="s">
        <v>488</v>
      </c>
      <c r="I909" s="4" t="s">
        <v>1234</v>
      </c>
      <c r="J909" s="4" t="s">
        <v>1235</v>
      </c>
      <c r="K909" s="4" t="s">
        <v>10</v>
      </c>
      <c r="L909" s="4" t="s">
        <v>487</v>
      </c>
      <c r="M909" s="5">
        <v>0</v>
      </c>
      <c r="N909" s="4" t="s">
        <v>1241</v>
      </c>
    </row>
    <row r="910" spans="1:14" x14ac:dyDescent="0.15">
      <c r="A910" s="4" t="s">
        <v>348</v>
      </c>
      <c r="B910" s="4" t="s">
        <v>23</v>
      </c>
      <c r="C910" s="5">
        <v>80.904522613064998</v>
      </c>
      <c r="D910" s="5">
        <v>1000</v>
      </c>
      <c r="E910" s="4" t="s">
        <v>13</v>
      </c>
      <c r="F910" s="5">
        <v>3</v>
      </c>
      <c r="G910" s="5">
        <v>0</v>
      </c>
      <c r="H910" s="4" t="s">
        <v>488</v>
      </c>
      <c r="I910" s="4" t="s">
        <v>1234</v>
      </c>
      <c r="J910" s="4" t="s">
        <v>1235</v>
      </c>
      <c r="K910" s="4" t="s">
        <v>10</v>
      </c>
      <c r="L910" s="4" t="s">
        <v>487</v>
      </c>
      <c r="M910" s="5">
        <v>0</v>
      </c>
      <c r="N910" s="4" t="s">
        <v>1241</v>
      </c>
    </row>
    <row r="911" spans="1:14" x14ac:dyDescent="0.15">
      <c r="A911" s="4" t="s">
        <v>348</v>
      </c>
      <c r="B911" s="4" t="s">
        <v>24</v>
      </c>
      <c r="C911" s="5">
        <v>32.361809045226003</v>
      </c>
      <c r="D911" s="5">
        <v>1000</v>
      </c>
      <c r="E911" s="4" t="s">
        <v>13</v>
      </c>
      <c r="F911" s="5">
        <v>3</v>
      </c>
      <c r="G911" s="5">
        <v>0</v>
      </c>
      <c r="H911" s="4" t="s">
        <v>488</v>
      </c>
      <c r="I911" s="4" t="s">
        <v>1234</v>
      </c>
      <c r="J911" s="4" t="s">
        <v>1235</v>
      </c>
      <c r="K911" s="4" t="s">
        <v>10</v>
      </c>
      <c r="L911" s="4" t="s">
        <v>487</v>
      </c>
      <c r="M911" s="5">
        <v>0</v>
      </c>
      <c r="N911" s="4" t="s">
        <v>1241</v>
      </c>
    </row>
    <row r="912" spans="1:14" x14ac:dyDescent="0.15">
      <c r="A912" s="4" t="s">
        <v>348</v>
      </c>
      <c r="B912" s="4" t="s">
        <v>17</v>
      </c>
      <c r="C912" s="5">
        <v>6.4102564102559993</v>
      </c>
      <c r="D912" s="5">
        <v>1000</v>
      </c>
      <c r="E912" s="4" t="s">
        <v>18</v>
      </c>
      <c r="F912" s="5">
        <v>0</v>
      </c>
      <c r="G912" s="5">
        <v>0</v>
      </c>
      <c r="H912" s="4" t="s">
        <v>488</v>
      </c>
      <c r="I912" s="4" t="s">
        <v>1234</v>
      </c>
      <c r="J912" s="4" t="s">
        <v>1235</v>
      </c>
      <c r="K912" s="4" t="s">
        <v>10</v>
      </c>
      <c r="L912" s="4" t="s">
        <v>487</v>
      </c>
      <c r="M912" s="5">
        <v>0</v>
      </c>
      <c r="N912" s="4" t="s">
        <v>1241</v>
      </c>
    </row>
    <row r="913" spans="1:14" x14ac:dyDescent="0.15">
      <c r="A913" s="4" t="s">
        <v>348</v>
      </c>
      <c r="B913" s="4" t="s">
        <v>19</v>
      </c>
      <c r="C913" s="5">
        <v>4</v>
      </c>
      <c r="D913" s="5">
        <v>1</v>
      </c>
      <c r="E913" s="4" t="s">
        <v>18</v>
      </c>
      <c r="F913" s="5">
        <v>0</v>
      </c>
      <c r="G913" s="5">
        <v>0</v>
      </c>
      <c r="H913" s="4" t="s">
        <v>488</v>
      </c>
      <c r="I913" s="4" t="s">
        <v>1236</v>
      </c>
      <c r="J913" s="4" t="s">
        <v>1235</v>
      </c>
      <c r="K913" s="4" t="s">
        <v>10</v>
      </c>
      <c r="L913" s="4" t="s">
        <v>487</v>
      </c>
      <c r="M913" s="5">
        <v>0</v>
      </c>
      <c r="N913" s="4" t="s">
        <v>1241</v>
      </c>
    </row>
    <row r="914" spans="1:14" x14ac:dyDescent="0.15">
      <c r="A914" s="4" t="s">
        <v>352</v>
      </c>
      <c r="B914" s="4" t="s">
        <v>353</v>
      </c>
      <c r="C914" s="5">
        <v>1</v>
      </c>
      <c r="D914" s="5">
        <v>1</v>
      </c>
      <c r="E914" s="4" t="s">
        <v>9</v>
      </c>
      <c r="F914" s="5">
        <v>0</v>
      </c>
      <c r="G914" s="5">
        <v>0</v>
      </c>
      <c r="H914" s="4" t="s">
        <v>488</v>
      </c>
      <c r="I914" s="4" t="s">
        <v>1234</v>
      </c>
      <c r="J914" s="4" t="s">
        <v>1235</v>
      </c>
      <c r="K914" s="4" t="s">
        <v>10</v>
      </c>
      <c r="L914" s="4" t="s">
        <v>487</v>
      </c>
      <c r="M914" s="5">
        <v>0</v>
      </c>
      <c r="N914" s="4" t="s">
        <v>1241</v>
      </c>
    </row>
    <row r="915" spans="1:14" x14ac:dyDescent="0.15">
      <c r="A915" s="4" t="s">
        <v>354</v>
      </c>
      <c r="B915" s="4" t="s">
        <v>353</v>
      </c>
      <c r="C915" s="5">
        <v>2</v>
      </c>
      <c r="D915" s="5">
        <v>1</v>
      </c>
      <c r="E915" s="4" t="s">
        <v>9</v>
      </c>
      <c r="F915" s="5">
        <v>0</v>
      </c>
      <c r="G915" s="5">
        <v>0</v>
      </c>
      <c r="H915" s="4" t="s">
        <v>488</v>
      </c>
      <c r="I915" s="4" t="s">
        <v>1234</v>
      </c>
      <c r="J915" s="4" t="s">
        <v>1235</v>
      </c>
      <c r="K915" s="4" t="s">
        <v>10</v>
      </c>
      <c r="L915" s="4" t="s">
        <v>487</v>
      </c>
      <c r="M915" s="5">
        <v>0</v>
      </c>
      <c r="N915" s="4" t="s">
        <v>1241</v>
      </c>
    </row>
    <row r="916" spans="1:14" x14ac:dyDescent="0.15">
      <c r="A916" s="4" t="s">
        <v>355</v>
      </c>
      <c r="B916" s="4" t="s">
        <v>353</v>
      </c>
      <c r="C916" s="5">
        <v>500</v>
      </c>
      <c r="D916" s="5">
        <v>1000</v>
      </c>
      <c r="E916" s="4" t="s">
        <v>9</v>
      </c>
      <c r="F916" s="5">
        <v>0</v>
      </c>
      <c r="G916" s="5">
        <v>0</v>
      </c>
      <c r="H916" s="4" t="s">
        <v>488</v>
      </c>
      <c r="I916" s="4" t="s">
        <v>1234</v>
      </c>
      <c r="J916" s="4" t="s">
        <v>1235</v>
      </c>
      <c r="K916" s="4" t="s">
        <v>10</v>
      </c>
      <c r="L916" s="4" t="s">
        <v>487</v>
      </c>
      <c r="M916" s="5">
        <v>0</v>
      </c>
      <c r="N916" s="4" t="s">
        <v>1241</v>
      </c>
    </row>
    <row r="917" spans="1:14" x14ac:dyDescent="0.15">
      <c r="A917" s="4" t="s">
        <v>353</v>
      </c>
      <c r="B917" s="4" t="s">
        <v>33</v>
      </c>
      <c r="C917" s="5">
        <v>7</v>
      </c>
      <c r="D917" s="5">
        <v>1</v>
      </c>
      <c r="E917" s="4" t="s">
        <v>9</v>
      </c>
      <c r="F917" s="5">
        <v>3</v>
      </c>
      <c r="G917" s="5">
        <v>0</v>
      </c>
      <c r="H917" s="4" t="s">
        <v>488</v>
      </c>
      <c r="I917" s="4" t="s">
        <v>1234</v>
      </c>
      <c r="J917" s="4" t="s">
        <v>1235</v>
      </c>
      <c r="K917" s="4" t="s">
        <v>10</v>
      </c>
      <c r="L917" s="4" t="s">
        <v>487</v>
      </c>
      <c r="M917" s="5">
        <v>0</v>
      </c>
      <c r="N917" s="4" t="s">
        <v>1241</v>
      </c>
    </row>
    <row r="918" spans="1:14" x14ac:dyDescent="0.15">
      <c r="A918" s="4" t="s">
        <v>353</v>
      </c>
      <c r="B918" s="4" t="s">
        <v>12</v>
      </c>
      <c r="C918" s="5">
        <v>1.019396984925</v>
      </c>
      <c r="D918" s="5">
        <v>1</v>
      </c>
      <c r="E918" s="4" t="s">
        <v>13</v>
      </c>
      <c r="F918" s="5">
        <v>3</v>
      </c>
      <c r="G918" s="5">
        <v>0</v>
      </c>
      <c r="H918" s="4" t="s">
        <v>488</v>
      </c>
      <c r="I918" s="4" t="s">
        <v>1234</v>
      </c>
      <c r="J918" s="4" t="s">
        <v>1235</v>
      </c>
      <c r="K918" s="4" t="s">
        <v>10</v>
      </c>
      <c r="L918" s="4" t="s">
        <v>487</v>
      </c>
      <c r="M918" s="5">
        <v>0</v>
      </c>
      <c r="N918" s="4" t="s">
        <v>1241</v>
      </c>
    </row>
    <row r="919" spans="1:14" x14ac:dyDescent="0.15">
      <c r="A919" s="4" t="s">
        <v>353</v>
      </c>
      <c r="B919" s="4" t="s">
        <v>14</v>
      </c>
      <c r="C919" s="5">
        <v>1.1326633165829998</v>
      </c>
      <c r="D919" s="5">
        <v>1</v>
      </c>
      <c r="E919" s="4" t="s">
        <v>13</v>
      </c>
      <c r="F919" s="5">
        <v>3</v>
      </c>
      <c r="G919" s="5">
        <v>0</v>
      </c>
      <c r="H919" s="4" t="s">
        <v>488</v>
      </c>
      <c r="I919" s="4" t="s">
        <v>1234</v>
      </c>
      <c r="J919" s="4" t="s">
        <v>1235</v>
      </c>
      <c r="K919" s="4" t="s">
        <v>10</v>
      </c>
      <c r="L919" s="4" t="s">
        <v>487</v>
      </c>
      <c r="M919" s="5">
        <v>0</v>
      </c>
      <c r="N919" s="4" t="s">
        <v>1241</v>
      </c>
    </row>
    <row r="920" spans="1:14" x14ac:dyDescent="0.15">
      <c r="A920" s="4" t="s">
        <v>353</v>
      </c>
      <c r="B920" s="4" t="s">
        <v>15</v>
      </c>
      <c r="C920" s="5">
        <v>22.653266331657996</v>
      </c>
      <c r="D920" s="5">
        <v>1000</v>
      </c>
      <c r="E920" s="4" t="s">
        <v>13</v>
      </c>
      <c r="F920" s="5">
        <v>3</v>
      </c>
      <c r="G920" s="5">
        <v>0</v>
      </c>
      <c r="H920" s="4" t="s">
        <v>488</v>
      </c>
      <c r="I920" s="4" t="s">
        <v>1234</v>
      </c>
      <c r="J920" s="4" t="s">
        <v>1235</v>
      </c>
      <c r="K920" s="4" t="s">
        <v>10</v>
      </c>
      <c r="L920" s="4" t="s">
        <v>487</v>
      </c>
      <c r="M920" s="5">
        <v>0</v>
      </c>
      <c r="N920" s="4" t="s">
        <v>1241</v>
      </c>
    </row>
    <row r="921" spans="1:14" x14ac:dyDescent="0.15">
      <c r="A921" s="4" t="s">
        <v>353</v>
      </c>
      <c r="B921" s="4" t="s">
        <v>23</v>
      </c>
      <c r="C921" s="5">
        <v>56.633165829146002</v>
      </c>
      <c r="D921" s="5">
        <v>1000</v>
      </c>
      <c r="E921" s="4" t="s">
        <v>13</v>
      </c>
      <c r="F921" s="5">
        <v>3</v>
      </c>
      <c r="G921" s="5">
        <v>0</v>
      </c>
      <c r="H921" s="4" t="s">
        <v>488</v>
      </c>
      <c r="I921" s="4" t="s">
        <v>1234</v>
      </c>
      <c r="J921" s="4" t="s">
        <v>1235</v>
      </c>
      <c r="K921" s="4" t="s">
        <v>10</v>
      </c>
      <c r="L921" s="4" t="s">
        <v>487</v>
      </c>
      <c r="M921" s="5">
        <v>0</v>
      </c>
      <c r="N921" s="4" t="s">
        <v>1241</v>
      </c>
    </row>
    <row r="922" spans="1:14" x14ac:dyDescent="0.15">
      <c r="A922" s="4" t="s">
        <v>353</v>
      </c>
      <c r="B922" s="4" t="s">
        <v>24</v>
      </c>
      <c r="C922" s="5">
        <v>22.653266331657996</v>
      </c>
      <c r="D922" s="5">
        <v>1000</v>
      </c>
      <c r="E922" s="4" t="s">
        <v>13</v>
      </c>
      <c r="F922" s="5">
        <v>3</v>
      </c>
      <c r="G922" s="5">
        <v>0</v>
      </c>
      <c r="H922" s="4" t="s">
        <v>488</v>
      </c>
      <c r="I922" s="4" t="s">
        <v>1234</v>
      </c>
      <c r="J922" s="4" t="s">
        <v>1235</v>
      </c>
      <c r="K922" s="4" t="s">
        <v>10</v>
      </c>
      <c r="L922" s="4" t="s">
        <v>487</v>
      </c>
      <c r="M922" s="5">
        <v>0</v>
      </c>
      <c r="N922" s="4" t="s">
        <v>1241</v>
      </c>
    </row>
    <row r="923" spans="1:14" x14ac:dyDescent="0.15">
      <c r="A923" s="4" t="s">
        <v>353</v>
      </c>
      <c r="B923" s="4" t="s">
        <v>17</v>
      </c>
      <c r="C923" s="5">
        <v>6.9444444444440006</v>
      </c>
      <c r="D923" s="5">
        <v>1000</v>
      </c>
      <c r="E923" s="4" t="s">
        <v>18</v>
      </c>
      <c r="F923" s="5">
        <v>0</v>
      </c>
      <c r="G923" s="5">
        <v>0</v>
      </c>
      <c r="H923" s="4" t="s">
        <v>488</v>
      </c>
      <c r="I923" s="4" t="s">
        <v>1234</v>
      </c>
      <c r="J923" s="4" t="s">
        <v>1235</v>
      </c>
      <c r="K923" s="4" t="s">
        <v>10</v>
      </c>
      <c r="L923" s="4" t="s">
        <v>487</v>
      </c>
      <c r="M923" s="5">
        <v>0</v>
      </c>
      <c r="N923" s="4" t="s">
        <v>1241</v>
      </c>
    </row>
    <row r="924" spans="1:14" x14ac:dyDescent="0.15">
      <c r="A924" s="4" t="s">
        <v>353</v>
      </c>
      <c r="B924" s="4" t="s">
        <v>19</v>
      </c>
      <c r="C924" s="5">
        <v>4</v>
      </c>
      <c r="D924" s="5">
        <v>1</v>
      </c>
      <c r="E924" s="4" t="s">
        <v>18</v>
      </c>
      <c r="F924" s="5">
        <v>0</v>
      </c>
      <c r="G924" s="5">
        <v>0</v>
      </c>
      <c r="H924" s="4" t="s">
        <v>488</v>
      </c>
      <c r="I924" s="4" t="s">
        <v>1236</v>
      </c>
      <c r="J924" s="4" t="s">
        <v>1235</v>
      </c>
      <c r="K924" s="4" t="s">
        <v>10</v>
      </c>
      <c r="L924" s="4" t="s">
        <v>487</v>
      </c>
      <c r="M924" s="5">
        <v>0</v>
      </c>
      <c r="N924" s="4" t="s">
        <v>1241</v>
      </c>
    </row>
    <row r="925" spans="1:14" x14ac:dyDescent="0.15">
      <c r="A925" s="4" t="s">
        <v>356</v>
      </c>
      <c r="B925" s="4" t="s">
        <v>357</v>
      </c>
      <c r="C925" s="5">
        <v>1</v>
      </c>
      <c r="D925" s="5">
        <v>1</v>
      </c>
      <c r="E925" s="4" t="s">
        <v>9</v>
      </c>
      <c r="F925" s="5">
        <v>0</v>
      </c>
      <c r="G925" s="5">
        <v>0</v>
      </c>
      <c r="H925" s="4" t="s">
        <v>488</v>
      </c>
      <c r="I925" s="4" t="s">
        <v>1234</v>
      </c>
      <c r="J925" s="4" t="s">
        <v>1235</v>
      </c>
      <c r="K925" s="4" t="s">
        <v>10</v>
      </c>
      <c r="L925" s="4" t="s">
        <v>487</v>
      </c>
      <c r="M925" s="5">
        <v>0</v>
      </c>
      <c r="N925" s="4" t="s">
        <v>1241</v>
      </c>
    </row>
    <row r="926" spans="1:14" x14ac:dyDescent="0.15">
      <c r="A926" s="4" t="s">
        <v>358</v>
      </c>
      <c r="B926" s="4" t="s">
        <v>357</v>
      </c>
      <c r="C926" s="5">
        <v>2</v>
      </c>
      <c r="D926" s="5">
        <v>1</v>
      </c>
      <c r="E926" s="4" t="s">
        <v>9</v>
      </c>
      <c r="F926" s="5">
        <v>0</v>
      </c>
      <c r="G926" s="5">
        <v>0</v>
      </c>
      <c r="H926" s="4" t="s">
        <v>488</v>
      </c>
      <c r="I926" s="4" t="s">
        <v>1234</v>
      </c>
      <c r="J926" s="4" t="s">
        <v>1235</v>
      </c>
      <c r="K926" s="4" t="s">
        <v>10</v>
      </c>
      <c r="L926" s="4" t="s">
        <v>487</v>
      </c>
      <c r="M926" s="5">
        <v>0</v>
      </c>
      <c r="N926" s="4" t="s">
        <v>1241</v>
      </c>
    </row>
    <row r="927" spans="1:14" x14ac:dyDescent="0.15">
      <c r="A927" s="4" t="s">
        <v>359</v>
      </c>
      <c r="B927" s="4" t="s">
        <v>357</v>
      </c>
      <c r="C927" s="5">
        <v>500</v>
      </c>
      <c r="D927" s="5">
        <v>1000</v>
      </c>
      <c r="E927" s="4" t="s">
        <v>9</v>
      </c>
      <c r="F927" s="5">
        <v>0</v>
      </c>
      <c r="G927" s="5">
        <v>0</v>
      </c>
      <c r="H927" s="4" t="s">
        <v>488</v>
      </c>
      <c r="I927" s="4" t="s">
        <v>1234</v>
      </c>
      <c r="J927" s="4" t="s">
        <v>1235</v>
      </c>
      <c r="K927" s="4" t="s">
        <v>10</v>
      </c>
      <c r="L927" s="4" t="s">
        <v>487</v>
      </c>
      <c r="M927" s="5">
        <v>0</v>
      </c>
      <c r="N927" s="4" t="s">
        <v>1241</v>
      </c>
    </row>
    <row r="928" spans="1:14" x14ac:dyDescent="0.15">
      <c r="A928" s="4" t="s">
        <v>357</v>
      </c>
      <c r="B928" s="4" t="s">
        <v>33</v>
      </c>
      <c r="C928" s="5">
        <v>10</v>
      </c>
      <c r="D928" s="5">
        <v>1</v>
      </c>
      <c r="E928" s="4" t="s">
        <v>9</v>
      </c>
      <c r="F928" s="5">
        <v>3</v>
      </c>
      <c r="G928" s="5">
        <v>0</v>
      </c>
      <c r="H928" s="4" t="s">
        <v>488</v>
      </c>
      <c r="I928" s="4" t="s">
        <v>1234</v>
      </c>
      <c r="J928" s="4" t="s">
        <v>1235</v>
      </c>
      <c r="K928" s="4" t="s">
        <v>10</v>
      </c>
      <c r="L928" s="4" t="s">
        <v>487</v>
      </c>
      <c r="M928" s="5">
        <v>0</v>
      </c>
      <c r="N928" s="4" t="s">
        <v>1241</v>
      </c>
    </row>
    <row r="929" spans="1:14" x14ac:dyDescent="0.15">
      <c r="A929" s="4" t="s">
        <v>357</v>
      </c>
      <c r="B929" s="4" t="s">
        <v>12</v>
      </c>
      <c r="C929" s="5">
        <v>1.4562814070350001</v>
      </c>
      <c r="D929" s="5">
        <v>1</v>
      </c>
      <c r="E929" s="4" t="s">
        <v>13</v>
      </c>
      <c r="F929" s="5">
        <v>3</v>
      </c>
      <c r="G929" s="5">
        <v>0</v>
      </c>
      <c r="H929" s="4" t="s">
        <v>488</v>
      </c>
      <c r="I929" s="4" t="s">
        <v>1234</v>
      </c>
      <c r="J929" s="4" t="s">
        <v>1235</v>
      </c>
      <c r="K929" s="4" t="s">
        <v>10</v>
      </c>
      <c r="L929" s="4" t="s">
        <v>487</v>
      </c>
      <c r="M929" s="5">
        <v>0</v>
      </c>
      <c r="N929" s="4" t="s">
        <v>1241</v>
      </c>
    </row>
    <row r="930" spans="1:14" x14ac:dyDescent="0.15">
      <c r="A930" s="4" t="s">
        <v>357</v>
      </c>
      <c r="B930" s="4" t="s">
        <v>14</v>
      </c>
      <c r="C930" s="5">
        <v>1.618090452261</v>
      </c>
      <c r="D930" s="5">
        <v>1</v>
      </c>
      <c r="E930" s="4" t="s">
        <v>13</v>
      </c>
      <c r="F930" s="5">
        <v>3</v>
      </c>
      <c r="G930" s="5">
        <v>0</v>
      </c>
      <c r="H930" s="4" t="s">
        <v>488</v>
      </c>
      <c r="I930" s="4" t="s">
        <v>1234</v>
      </c>
      <c r="J930" s="4" t="s">
        <v>1235</v>
      </c>
      <c r="K930" s="4" t="s">
        <v>10</v>
      </c>
      <c r="L930" s="4" t="s">
        <v>487</v>
      </c>
      <c r="M930" s="5">
        <v>0</v>
      </c>
      <c r="N930" s="4" t="s">
        <v>1241</v>
      </c>
    </row>
    <row r="931" spans="1:14" x14ac:dyDescent="0.15">
      <c r="A931" s="4" t="s">
        <v>357</v>
      </c>
      <c r="B931" s="4" t="s">
        <v>15</v>
      </c>
      <c r="C931" s="5">
        <v>32.361809045226003</v>
      </c>
      <c r="D931" s="5">
        <v>1000</v>
      </c>
      <c r="E931" s="4" t="s">
        <v>13</v>
      </c>
      <c r="F931" s="5">
        <v>3</v>
      </c>
      <c r="G931" s="5">
        <v>0</v>
      </c>
      <c r="H931" s="4" t="s">
        <v>488</v>
      </c>
      <c r="I931" s="4" t="s">
        <v>1234</v>
      </c>
      <c r="J931" s="4" t="s">
        <v>1235</v>
      </c>
      <c r="K931" s="4" t="s">
        <v>10</v>
      </c>
      <c r="L931" s="4" t="s">
        <v>487</v>
      </c>
      <c r="M931" s="5">
        <v>0</v>
      </c>
      <c r="N931" s="4" t="s">
        <v>1241</v>
      </c>
    </row>
    <row r="932" spans="1:14" x14ac:dyDescent="0.15">
      <c r="A932" s="4" t="s">
        <v>357</v>
      </c>
      <c r="B932" s="4" t="s">
        <v>23</v>
      </c>
      <c r="C932" s="5">
        <v>80.904522613064998</v>
      </c>
      <c r="D932" s="5">
        <v>1000</v>
      </c>
      <c r="E932" s="4" t="s">
        <v>13</v>
      </c>
      <c r="F932" s="5">
        <v>3</v>
      </c>
      <c r="G932" s="5">
        <v>0</v>
      </c>
      <c r="H932" s="4" t="s">
        <v>488</v>
      </c>
      <c r="I932" s="4" t="s">
        <v>1234</v>
      </c>
      <c r="J932" s="4" t="s">
        <v>1235</v>
      </c>
      <c r="K932" s="4" t="s">
        <v>10</v>
      </c>
      <c r="L932" s="4" t="s">
        <v>487</v>
      </c>
      <c r="M932" s="5">
        <v>0</v>
      </c>
      <c r="N932" s="4" t="s">
        <v>1241</v>
      </c>
    </row>
    <row r="933" spans="1:14" x14ac:dyDescent="0.15">
      <c r="A933" s="4" t="s">
        <v>357</v>
      </c>
      <c r="B933" s="4" t="s">
        <v>24</v>
      </c>
      <c r="C933" s="5">
        <v>32.361809045226003</v>
      </c>
      <c r="D933" s="5">
        <v>1000</v>
      </c>
      <c r="E933" s="4" t="s">
        <v>13</v>
      </c>
      <c r="F933" s="5">
        <v>3</v>
      </c>
      <c r="G933" s="5">
        <v>0</v>
      </c>
      <c r="H933" s="4" t="s">
        <v>488</v>
      </c>
      <c r="I933" s="4" t="s">
        <v>1234</v>
      </c>
      <c r="J933" s="4" t="s">
        <v>1235</v>
      </c>
      <c r="K933" s="4" t="s">
        <v>10</v>
      </c>
      <c r="L933" s="4" t="s">
        <v>487</v>
      </c>
      <c r="M933" s="5">
        <v>0</v>
      </c>
      <c r="N933" s="4" t="s">
        <v>1241</v>
      </c>
    </row>
    <row r="934" spans="1:14" x14ac:dyDescent="0.15">
      <c r="A934" s="4" t="s">
        <v>357</v>
      </c>
      <c r="B934" s="4" t="s">
        <v>17</v>
      </c>
      <c r="C934" s="5">
        <v>7.5757575757579998</v>
      </c>
      <c r="D934" s="5">
        <v>1000</v>
      </c>
      <c r="E934" s="4" t="s">
        <v>18</v>
      </c>
      <c r="F934" s="5">
        <v>0</v>
      </c>
      <c r="G934" s="5">
        <v>0</v>
      </c>
      <c r="H934" s="4" t="s">
        <v>488</v>
      </c>
      <c r="I934" s="4" t="s">
        <v>1234</v>
      </c>
      <c r="J934" s="4" t="s">
        <v>1235</v>
      </c>
      <c r="K934" s="4" t="s">
        <v>10</v>
      </c>
      <c r="L934" s="4" t="s">
        <v>487</v>
      </c>
      <c r="M934" s="5">
        <v>0</v>
      </c>
      <c r="N934" s="4" t="s">
        <v>1241</v>
      </c>
    </row>
    <row r="935" spans="1:14" x14ac:dyDescent="0.15">
      <c r="A935" s="4" t="s">
        <v>357</v>
      </c>
      <c r="B935" s="4" t="s">
        <v>19</v>
      </c>
      <c r="C935" s="5">
        <v>4</v>
      </c>
      <c r="D935" s="5">
        <v>1</v>
      </c>
      <c r="E935" s="4" t="s">
        <v>18</v>
      </c>
      <c r="F935" s="5">
        <v>0</v>
      </c>
      <c r="G935" s="5">
        <v>0</v>
      </c>
      <c r="H935" s="4" t="s">
        <v>488</v>
      </c>
      <c r="I935" s="4" t="s">
        <v>1236</v>
      </c>
      <c r="J935" s="4" t="s">
        <v>1235</v>
      </c>
      <c r="K935" s="4" t="s">
        <v>10</v>
      </c>
      <c r="L935" s="4" t="s">
        <v>487</v>
      </c>
      <c r="M935" s="5">
        <v>0</v>
      </c>
      <c r="N935" s="4" t="s">
        <v>1241</v>
      </c>
    </row>
    <row r="936" spans="1:14" x14ac:dyDescent="0.15">
      <c r="A936" s="4" t="s">
        <v>360</v>
      </c>
      <c r="B936" s="4" t="s">
        <v>361</v>
      </c>
      <c r="C936" s="5">
        <v>1</v>
      </c>
      <c r="D936" s="5">
        <v>1</v>
      </c>
      <c r="E936" s="4" t="s">
        <v>9</v>
      </c>
      <c r="F936" s="5">
        <v>0</v>
      </c>
      <c r="G936" s="5">
        <v>0</v>
      </c>
      <c r="H936" s="4" t="s">
        <v>488</v>
      </c>
      <c r="I936" s="4" t="s">
        <v>1234</v>
      </c>
      <c r="J936" s="4" t="s">
        <v>1235</v>
      </c>
      <c r="K936" s="4" t="s">
        <v>10</v>
      </c>
      <c r="L936" s="4" t="s">
        <v>487</v>
      </c>
      <c r="M936" s="5">
        <v>0</v>
      </c>
      <c r="N936" s="4" t="s">
        <v>1241</v>
      </c>
    </row>
    <row r="937" spans="1:14" x14ac:dyDescent="0.15">
      <c r="A937" s="4" t="s">
        <v>362</v>
      </c>
      <c r="B937" s="4" t="s">
        <v>361</v>
      </c>
      <c r="C937" s="5">
        <v>2</v>
      </c>
      <c r="D937" s="5">
        <v>1</v>
      </c>
      <c r="E937" s="4" t="s">
        <v>9</v>
      </c>
      <c r="F937" s="5">
        <v>0</v>
      </c>
      <c r="G937" s="5">
        <v>0</v>
      </c>
      <c r="H937" s="4" t="s">
        <v>488</v>
      </c>
      <c r="I937" s="4" t="s">
        <v>1234</v>
      </c>
      <c r="J937" s="4" t="s">
        <v>1235</v>
      </c>
      <c r="K937" s="4" t="s">
        <v>10</v>
      </c>
      <c r="L937" s="4" t="s">
        <v>487</v>
      </c>
      <c r="M937" s="5">
        <v>0</v>
      </c>
      <c r="N937" s="4" t="s">
        <v>1241</v>
      </c>
    </row>
    <row r="938" spans="1:14" x14ac:dyDescent="0.15">
      <c r="A938" s="4" t="s">
        <v>363</v>
      </c>
      <c r="B938" s="4" t="s">
        <v>361</v>
      </c>
      <c r="C938" s="5">
        <v>500</v>
      </c>
      <c r="D938" s="5">
        <v>1000</v>
      </c>
      <c r="E938" s="4" t="s">
        <v>9</v>
      </c>
      <c r="F938" s="5">
        <v>0</v>
      </c>
      <c r="G938" s="5">
        <v>0</v>
      </c>
      <c r="H938" s="4" t="s">
        <v>488</v>
      </c>
      <c r="I938" s="4" t="s">
        <v>1234</v>
      </c>
      <c r="J938" s="4" t="s">
        <v>1235</v>
      </c>
      <c r="K938" s="4" t="s">
        <v>10</v>
      </c>
      <c r="L938" s="4" t="s">
        <v>487</v>
      </c>
      <c r="M938" s="5">
        <v>0</v>
      </c>
      <c r="N938" s="4" t="s">
        <v>1241</v>
      </c>
    </row>
    <row r="939" spans="1:14" x14ac:dyDescent="0.15">
      <c r="A939" s="4" t="s">
        <v>364</v>
      </c>
      <c r="B939" s="4" t="s">
        <v>361</v>
      </c>
      <c r="C939" s="5">
        <v>700</v>
      </c>
      <c r="D939" s="5">
        <v>1000</v>
      </c>
      <c r="E939" s="4" t="s">
        <v>9</v>
      </c>
      <c r="F939" s="5">
        <v>0</v>
      </c>
      <c r="G939" s="5">
        <v>0</v>
      </c>
      <c r="H939" s="4" t="s">
        <v>488</v>
      </c>
      <c r="I939" s="4" t="s">
        <v>1234</v>
      </c>
      <c r="J939" s="4" t="s">
        <v>1235</v>
      </c>
      <c r="K939" s="4" t="s">
        <v>10</v>
      </c>
      <c r="L939" s="4" t="s">
        <v>487</v>
      </c>
      <c r="M939" s="5">
        <v>0</v>
      </c>
      <c r="N939" s="4" t="s">
        <v>1241</v>
      </c>
    </row>
    <row r="940" spans="1:14" x14ac:dyDescent="0.15">
      <c r="A940" s="4" t="s">
        <v>365</v>
      </c>
      <c r="B940" s="4" t="s">
        <v>361</v>
      </c>
      <c r="C940" s="5">
        <v>800</v>
      </c>
      <c r="D940" s="5">
        <v>1000</v>
      </c>
      <c r="E940" s="4" t="s">
        <v>9</v>
      </c>
      <c r="F940" s="5">
        <v>0</v>
      </c>
      <c r="G940" s="5">
        <v>0</v>
      </c>
      <c r="H940" s="4" t="s">
        <v>488</v>
      </c>
      <c r="I940" s="4" t="s">
        <v>1234</v>
      </c>
      <c r="J940" s="4" t="s">
        <v>1235</v>
      </c>
      <c r="K940" s="4" t="s">
        <v>10</v>
      </c>
      <c r="L940" s="4" t="s">
        <v>487</v>
      </c>
      <c r="M940" s="5">
        <v>0</v>
      </c>
      <c r="N940" s="4" t="s">
        <v>1241</v>
      </c>
    </row>
    <row r="941" spans="1:14" x14ac:dyDescent="0.15">
      <c r="A941" s="4" t="s">
        <v>366</v>
      </c>
      <c r="B941" s="4" t="s">
        <v>361</v>
      </c>
      <c r="C941" s="5">
        <v>900</v>
      </c>
      <c r="D941" s="5">
        <v>1000</v>
      </c>
      <c r="E941" s="4" t="s">
        <v>9</v>
      </c>
      <c r="F941" s="5">
        <v>0</v>
      </c>
      <c r="G941" s="5">
        <v>0</v>
      </c>
      <c r="H941" s="4" t="s">
        <v>488</v>
      </c>
      <c r="I941" s="4" t="s">
        <v>1234</v>
      </c>
      <c r="J941" s="4" t="s">
        <v>1235</v>
      </c>
      <c r="K941" s="4" t="s">
        <v>10</v>
      </c>
      <c r="L941" s="4" t="s">
        <v>487</v>
      </c>
      <c r="M941" s="5">
        <v>0</v>
      </c>
      <c r="N941" s="4" t="s">
        <v>1241</v>
      </c>
    </row>
    <row r="942" spans="1:14" x14ac:dyDescent="0.15">
      <c r="A942" s="4" t="s">
        <v>367</v>
      </c>
      <c r="B942" s="4" t="s">
        <v>361</v>
      </c>
      <c r="C942" s="5">
        <v>1</v>
      </c>
      <c r="D942" s="5">
        <v>1</v>
      </c>
      <c r="E942" s="4" t="s">
        <v>9</v>
      </c>
      <c r="F942" s="5">
        <v>0</v>
      </c>
      <c r="G942" s="5">
        <v>0</v>
      </c>
      <c r="H942" s="4" t="s">
        <v>488</v>
      </c>
      <c r="I942" s="4" t="s">
        <v>1234</v>
      </c>
      <c r="J942" s="4" t="s">
        <v>1235</v>
      </c>
      <c r="K942" s="4" t="s">
        <v>10</v>
      </c>
      <c r="L942" s="4" t="s">
        <v>487</v>
      </c>
      <c r="M942" s="5">
        <v>0</v>
      </c>
      <c r="N942" s="4" t="s">
        <v>1241</v>
      </c>
    </row>
    <row r="943" spans="1:14" x14ac:dyDescent="0.15">
      <c r="A943" s="4" t="s">
        <v>361</v>
      </c>
      <c r="B943" s="4" t="s">
        <v>123</v>
      </c>
      <c r="C943" s="5">
        <v>8</v>
      </c>
      <c r="D943" s="5">
        <v>1</v>
      </c>
      <c r="E943" s="4" t="s">
        <v>9</v>
      </c>
      <c r="F943" s="5">
        <v>3</v>
      </c>
      <c r="G943" s="5">
        <v>0</v>
      </c>
      <c r="H943" s="4" t="s">
        <v>488</v>
      </c>
      <c r="I943" s="4" t="s">
        <v>1234</v>
      </c>
      <c r="J943" s="4" t="s">
        <v>1235</v>
      </c>
      <c r="K943" s="4" t="s">
        <v>10</v>
      </c>
      <c r="L943" s="4" t="s">
        <v>487</v>
      </c>
      <c r="M943" s="5">
        <v>0</v>
      </c>
      <c r="N943" s="4" t="s">
        <v>1241</v>
      </c>
    </row>
    <row r="944" spans="1:14" x14ac:dyDescent="0.15">
      <c r="A944" s="4" t="s">
        <v>361</v>
      </c>
      <c r="B944" s="4" t="s">
        <v>12</v>
      </c>
      <c r="C944" s="5">
        <v>2.2726130653269996</v>
      </c>
      <c r="D944" s="5">
        <v>1</v>
      </c>
      <c r="E944" s="4" t="s">
        <v>13</v>
      </c>
      <c r="F944" s="5">
        <v>3</v>
      </c>
      <c r="G944" s="5">
        <v>0</v>
      </c>
      <c r="H944" s="4" t="s">
        <v>488</v>
      </c>
      <c r="I944" s="4" t="s">
        <v>1234</v>
      </c>
      <c r="J944" s="4" t="s">
        <v>1235</v>
      </c>
      <c r="K944" s="4" t="s">
        <v>10</v>
      </c>
      <c r="L944" s="4" t="s">
        <v>487</v>
      </c>
      <c r="M944" s="5">
        <v>0</v>
      </c>
      <c r="N944" s="4" t="s">
        <v>1241</v>
      </c>
    </row>
    <row r="945" spans="1:14" x14ac:dyDescent="0.15">
      <c r="A945" s="4" t="s">
        <v>361</v>
      </c>
      <c r="B945" s="4" t="s">
        <v>14</v>
      </c>
      <c r="C945" s="5">
        <v>2.5251256281410002</v>
      </c>
      <c r="D945" s="5">
        <v>1</v>
      </c>
      <c r="E945" s="4" t="s">
        <v>13</v>
      </c>
      <c r="F945" s="5">
        <v>3</v>
      </c>
      <c r="G945" s="5">
        <v>0</v>
      </c>
      <c r="H945" s="4" t="s">
        <v>488</v>
      </c>
      <c r="I945" s="4" t="s">
        <v>1234</v>
      </c>
      <c r="J945" s="4" t="s">
        <v>1235</v>
      </c>
      <c r="K945" s="4" t="s">
        <v>10</v>
      </c>
      <c r="L945" s="4" t="s">
        <v>487</v>
      </c>
      <c r="M945" s="5">
        <v>0</v>
      </c>
      <c r="N945" s="4" t="s">
        <v>1241</v>
      </c>
    </row>
    <row r="946" spans="1:14" x14ac:dyDescent="0.15">
      <c r="A946" s="4" t="s">
        <v>361</v>
      </c>
      <c r="B946" s="4" t="s">
        <v>15</v>
      </c>
      <c r="C946" s="5">
        <v>50.502512562813997</v>
      </c>
      <c r="D946" s="5">
        <v>1000</v>
      </c>
      <c r="E946" s="4" t="s">
        <v>13</v>
      </c>
      <c r="F946" s="5">
        <v>3</v>
      </c>
      <c r="G946" s="5">
        <v>0</v>
      </c>
      <c r="H946" s="4" t="s">
        <v>488</v>
      </c>
      <c r="I946" s="4" t="s">
        <v>1234</v>
      </c>
      <c r="J946" s="4" t="s">
        <v>1235</v>
      </c>
      <c r="K946" s="4" t="s">
        <v>10</v>
      </c>
      <c r="L946" s="4" t="s">
        <v>487</v>
      </c>
      <c r="M946" s="5">
        <v>0</v>
      </c>
      <c r="N946" s="4" t="s">
        <v>1241</v>
      </c>
    </row>
    <row r="947" spans="1:14" x14ac:dyDescent="0.15">
      <c r="A947" s="4" t="s">
        <v>361</v>
      </c>
      <c r="B947" s="4" t="s">
        <v>23</v>
      </c>
      <c r="C947" s="5">
        <v>0.12625628140699999</v>
      </c>
      <c r="D947" s="5">
        <v>1</v>
      </c>
      <c r="E947" s="4" t="s">
        <v>13</v>
      </c>
      <c r="F947" s="5">
        <v>3</v>
      </c>
      <c r="G947" s="5">
        <v>0</v>
      </c>
      <c r="H947" s="4" t="s">
        <v>488</v>
      </c>
      <c r="I947" s="4" t="s">
        <v>1234</v>
      </c>
      <c r="J947" s="4" t="s">
        <v>1235</v>
      </c>
      <c r="K947" s="4" t="s">
        <v>10</v>
      </c>
      <c r="L947" s="4" t="s">
        <v>487</v>
      </c>
      <c r="M947" s="5">
        <v>0</v>
      </c>
      <c r="N947" s="4" t="s">
        <v>1241</v>
      </c>
    </row>
    <row r="948" spans="1:14" x14ac:dyDescent="0.15">
      <c r="A948" s="4" t="s">
        <v>361</v>
      </c>
      <c r="B948" s="4" t="s">
        <v>24</v>
      </c>
      <c r="C948" s="5">
        <v>50.502512562813997</v>
      </c>
      <c r="D948" s="5">
        <v>1000</v>
      </c>
      <c r="E948" s="4" t="s">
        <v>13</v>
      </c>
      <c r="F948" s="5">
        <v>3</v>
      </c>
      <c r="G948" s="5">
        <v>0</v>
      </c>
      <c r="H948" s="4" t="s">
        <v>488</v>
      </c>
      <c r="I948" s="4" t="s">
        <v>1234</v>
      </c>
      <c r="J948" s="4" t="s">
        <v>1235</v>
      </c>
      <c r="K948" s="4" t="s">
        <v>10</v>
      </c>
      <c r="L948" s="4" t="s">
        <v>487</v>
      </c>
      <c r="M948" s="5">
        <v>0</v>
      </c>
      <c r="N948" s="4" t="s">
        <v>1241</v>
      </c>
    </row>
    <row r="949" spans="1:14" x14ac:dyDescent="0.15">
      <c r="A949" s="4" t="s">
        <v>361</v>
      </c>
      <c r="B949" s="4" t="s">
        <v>17</v>
      </c>
      <c r="C949" s="5">
        <v>6.9444444444440006</v>
      </c>
      <c r="D949" s="5">
        <v>1000</v>
      </c>
      <c r="E949" s="4" t="s">
        <v>18</v>
      </c>
      <c r="F949" s="5">
        <v>0</v>
      </c>
      <c r="G949" s="5">
        <v>0</v>
      </c>
      <c r="H949" s="4" t="s">
        <v>488</v>
      </c>
      <c r="I949" s="4" t="s">
        <v>1234</v>
      </c>
      <c r="J949" s="4" t="s">
        <v>1235</v>
      </c>
      <c r="K949" s="4" t="s">
        <v>10</v>
      </c>
      <c r="L949" s="4" t="s">
        <v>487</v>
      </c>
      <c r="M949" s="5">
        <v>0</v>
      </c>
      <c r="N949" s="4" t="s">
        <v>1241</v>
      </c>
    </row>
    <row r="950" spans="1:14" x14ac:dyDescent="0.15">
      <c r="A950" s="4" t="s">
        <v>361</v>
      </c>
      <c r="B950" s="4" t="s">
        <v>19</v>
      </c>
      <c r="C950" s="5">
        <v>4</v>
      </c>
      <c r="D950" s="5">
        <v>1</v>
      </c>
      <c r="E950" s="4" t="s">
        <v>18</v>
      </c>
      <c r="F950" s="5">
        <v>0</v>
      </c>
      <c r="G950" s="5">
        <v>0</v>
      </c>
      <c r="H950" s="4" t="s">
        <v>488</v>
      </c>
      <c r="I950" s="4" t="s">
        <v>1236</v>
      </c>
      <c r="J950" s="4" t="s">
        <v>1235</v>
      </c>
      <c r="K950" s="4" t="s">
        <v>10</v>
      </c>
      <c r="L950" s="4" t="s">
        <v>487</v>
      </c>
      <c r="M950" s="5">
        <v>0</v>
      </c>
      <c r="N950" s="4" t="s">
        <v>1241</v>
      </c>
    </row>
    <row r="951" spans="1:14" x14ac:dyDescent="0.15">
      <c r="A951" s="4" t="s">
        <v>368</v>
      </c>
      <c r="B951" s="4" t="s">
        <v>369</v>
      </c>
      <c r="C951" s="5">
        <v>1</v>
      </c>
      <c r="D951" s="5">
        <v>1</v>
      </c>
      <c r="E951" s="4" t="s">
        <v>9</v>
      </c>
      <c r="F951" s="5">
        <v>0</v>
      </c>
      <c r="G951" s="5">
        <v>0</v>
      </c>
      <c r="H951" s="4" t="s">
        <v>488</v>
      </c>
      <c r="I951" s="4" t="s">
        <v>1234</v>
      </c>
      <c r="J951" s="4" t="s">
        <v>1235</v>
      </c>
      <c r="K951" s="4" t="s">
        <v>10</v>
      </c>
      <c r="L951" s="4" t="s">
        <v>487</v>
      </c>
      <c r="M951" s="5">
        <v>0</v>
      </c>
      <c r="N951" s="4" t="s">
        <v>1241</v>
      </c>
    </row>
    <row r="952" spans="1:14" x14ac:dyDescent="0.15">
      <c r="A952" s="4" t="s">
        <v>370</v>
      </c>
      <c r="B952" s="4" t="s">
        <v>369</v>
      </c>
      <c r="C952" s="5">
        <v>2</v>
      </c>
      <c r="D952" s="5">
        <v>1</v>
      </c>
      <c r="E952" s="4" t="s">
        <v>9</v>
      </c>
      <c r="F952" s="5">
        <v>0</v>
      </c>
      <c r="G952" s="5">
        <v>0</v>
      </c>
      <c r="H952" s="4" t="s">
        <v>488</v>
      </c>
      <c r="I952" s="4" t="s">
        <v>1234</v>
      </c>
      <c r="J952" s="4" t="s">
        <v>1235</v>
      </c>
      <c r="K952" s="4" t="s">
        <v>10</v>
      </c>
      <c r="L952" s="4" t="s">
        <v>487</v>
      </c>
      <c r="M952" s="5">
        <v>0</v>
      </c>
      <c r="N952" s="4" t="s">
        <v>1241</v>
      </c>
    </row>
    <row r="953" spans="1:14" x14ac:dyDescent="0.15">
      <c r="A953" s="4" t="s">
        <v>371</v>
      </c>
      <c r="B953" s="4" t="s">
        <v>369</v>
      </c>
      <c r="C953" s="5">
        <v>500</v>
      </c>
      <c r="D953" s="5">
        <v>1000</v>
      </c>
      <c r="E953" s="4" t="s">
        <v>9</v>
      </c>
      <c r="F953" s="5">
        <v>0</v>
      </c>
      <c r="G953" s="5">
        <v>0</v>
      </c>
      <c r="H953" s="4" t="s">
        <v>488</v>
      </c>
      <c r="I953" s="4" t="s">
        <v>1234</v>
      </c>
      <c r="J953" s="4" t="s">
        <v>1235</v>
      </c>
      <c r="K953" s="4" t="s">
        <v>10</v>
      </c>
      <c r="L953" s="4" t="s">
        <v>487</v>
      </c>
      <c r="M953" s="5">
        <v>0</v>
      </c>
      <c r="N953" s="4" t="s">
        <v>1241</v>
      </c>
    </row>
    <row r="954" spans="1:14" x14ac:dyDescent="0.15">
      <c r="A954" s="4" t="s">
        <v>372</v>
      </c>
      <c r="B954" s="4" t="s">
        <v>369</v>
      </c>
      <c r="C954" s="5">
        <v>100</v>
      </c>
      <c r="D954" s="5">
        <v>1000</v>
      </c>
      <c r="E954" s="4" t="s">
        <v>9</v>
      </c>
      <c r="F954" s="5">
        <v>0</v>
      </c>
      <c r="G954" s="5">
        <v>0</v>
      </c>
      <c r="H954" s="4" t="s">
        <v>488</v>
      </c>
      <c r="I954" s="4" t="s">
        <v>1234</v>
      </c>
      <c r="J954" s="4" t="s">
        <v>1235</v>
      </c>
      <c r="K954" s="4" t="s">
        <v>10</v>
      </c>
      <c r="L954" s="4" t="s">
        <v>487</v>
      </c>
      <c r="M954" s="5">
        <v>0</v>
      </c>
      <c r="N954" s="4" t="s">
        <v>1241</v>
      </c>
    </row>
    <row r="955" spans="1:14" x14ac:dyDescent="0.15">
      <c r="A955" s="4" t="s">
        <v>373</v>
      </c>
      <c r="B955" s="4" t="s">
        <v>369</v>
      </c>
      <c r="C955" s="5">
        <v>32</v>
      </c>
      <c r="D955" s="5">
        <v>1000</v>
      </c>
      <c r="E955" s="4" t="s">
        <v>9</v>
      </c>
      <c r="F955" s="5">
        <v>0</v>
      </c>
      <c r="G955" s="5">
        <v>0</v>
      </c>
      <c r="H955" s="4" t="s">
        <v>488</v>
      </c>
      <c r="I955" s="4" t="s">
        <v>1234</v>
      </c>
      <c r="J955" s="4" t="s">
        <v>1235</v>
      </c>
      <c r="K955" s="4" t="s">
        <v>10</v>
      </c>
      <c r="L955" s="4" t="s">
        <v>487</v>
      </c>
      <c r="M955" s="5">
        <v>0</v>
      </c>
      <c r="N955" s="4" t="s">
        <v>1241</v>
      </c>
    </row>
    <row r="956" spans="1:14" x14ac:dyDescent="0.15">
      <c r="A956" s="4" t="s">
        <v>369</v>
      </c>
      <c r="B956" s="4" t="s">
        <v>29</v>
      </c>
      <c r="C956" s="5">
        <v>8</v>
      </c>
      <c r="D956" s="5">
        <v>1</v>
      </c>
      <c r="E956" s="4" t="s">
        <v>9</v>
      </c>
      <c r="F956" s="5">
        <v>3</v>
      </c>
      <c r="G956" s="5">
        <v>0</v>
      </c>
      <c r="H956" s="4" t="s">
        <v>488</v>
      </c>
      <c r="I956" s="4" t="s">
        <v>1234</v>
      </c>
      <c r="J956" s="4" t="s">
        <v>1235</v>
      </c>
      <c r="K956" s="4" t="s">
        <v>10</v>
      </c>
      <c r="L956" s="4" t="s">
        <v>487</v>
      </c>
      <c r="M956" s="5">
        <v>0</v>
      </c>
      <c r="N956" s="4" t="s">
        <v>1241</v>
      </c>
    </row>
    <row r="957" spans="1:14" x14ac:dyDescent="0.15">
      <c r="A957" s="4" t="s">
        <v>369</v>
      </c>
      <c r="B957" s="4" t="s">
        <v>33</v>
      </c>
      <c r="C957" s="5">
        <v>8</v>
      </c>
      <c r="D957" s="5">
        <v>1</v>
      </c>
      <c r="E957" s="4" t="s">
        <v>9</v>
      </c>
      <c r="F957" s="5">
        <v>3</v>
      </c>
      <c r="G957" s="5">
        <v>0</v>
      </c>
      <c r="H957" s="4" t="s">
        <v>488</v>
      </c>
      <c r="I957" s="4" t="s">
        <v>1234</v>
      </c>
      <c r="J957" s="4" t="s">
        <v>1235</v>
      </c>
      <c r="K957" s="4" t="s">
        <v>10</v>
      </c>
      <c r="L957" s="4" t="s">
        <v>487</v>
      </c>
      <c r="M957" s="5">
        <v>0</v>
      </c>
      <c r="N957" s="4" t="s">
        <v>1241</v>
      </c>
    </row>
    <row r="958" spans="1:14" x14ac:dyDescent="0.15">
      <c r="A958" s="4" t="s">
        <v>369</v>
      </c>
      <c r="B958" s="4" t="s">
        <v>12</v>
      </c>
      <c r="C958" s="5">
        <v>1.7366834170850001</v>
      </c>
      <c r="D958" s="5">
        <v>1</v>
      </c>
      <c r="E958" s="4" t="s">
        <v>13</v>
      </c>
      <c r="F958" s="5">
        <v>3</v>
      </c>
      <c r="G958" s="5">
        <v>0</v>
      </c>
      <c r="H958" s="4" t="s">
        <v>488</v>
      </c>
      <c r="I958" s="4" t="s">
        <v>1234</v>
      </c>
      <c r="J958" s="4" t="s">
        <v>1235</v>
      </c>
      <c r="K958" s="4" t="s">
        <v>10</v>
      </c>
      <c r="L958" s="4" t="s">
        <v>487</v>
      </c>
      <c r="M958" s="5">
        <v>0</v>
      </c>
      <c r="N958" s="4" t="s">
        <v>1241</v>
      </c>
    </row>
    <row r="959" spans="1:14" x14ac:dyDescent="0.15">
      <c r="A959" s="4" t="s">
        <v>369</v>
      </c>
      <c r="B959" s="4" t="s">
        <v>14</v>
      </c>
      <c r="C959" s="5">
        <v>1.9296482412060001</v>
      </c>
      <c r="D959" s="5">
        <v>1</v>
      </c>
      <c r="E959" s="4" t="s">
        <v>13</v>
      </c>
      <c r="F959" s="5">
        <v>3</v>
      </c>
      <c r="G959" s="5">
        <v>0</v>
      </c>
      <c r="H959" s="4" t="s">
        <v>488</v>
      </c>
      <c r="I959" s="4" t="s">
        <v>1234</v>
      </c>
      <c r="J959" s="4" t="s">
        <v>1235</v>
      </c>
      <c r="K959" s="4" t="s">
        <v>10</v>
      </c>
      <c r="L959" s="4" t="s">
        <v>487</v>
      </c>
      <c r="M959" s="5">
        <v>0</v>
      </c>
      <c r="N959" s="4" t="s">
        <v>1241</v>
      </c>
    </row>
    <row r="960" spans="1:14" x14ac:dyDescent="0.15">
      <c r="A960" s="4" t="s">
        <v>369</v>
      </c>
      <c r="B960" s="4" t="s">
        <v>15</v>
      </c>
      <c r="C960" s="5">
        <v>38.592964824120997</v>
      </c>
      <c r="D960" s="5">
        <v>1000</v>
      </c>
      <c r="E960" s="4" t="s">
        <v>13</v>
      </c>
      <c r="F960" s="5">
        <v>3</v>
      </c>
      <c r="G960" s="5">
        <v>0</v>
      </c>
      <c r="H960" s="4" t="s">
        <v>488</v>
      </c>
      <c r="I960" s="4" t="s">
        <v>1234</v>
      </c>
      <c r="J960" s="4" t="s">
        <v>1235</v>
      </c>
      <c r="K960" s="4" t="s">
        <v>10</v>
      </c>
      <c r="L960" s="4" t="s">
        <v>487</v>
      </c>
      <c r="M960" s="5">
        <v>0</v>
      </c>
      <c r="N960" s="4" t="s">
        <v>1241</v>
      </c>
    </row>
    <row r="961" spans="1:14" x14ac:dyDescent="0.15">
      <c r="A961" s="4" t="s">
        <v>369</v>
      </c>
      <c r="B961" s="4" t="s">
        <v>23</v>
      </c>
      <c r="C961" s="5">
        <v>96.482412060302011</v>
      </c>
      <c r="D961" s="5">
        <v>1000</v>
      </c>
      <c r="E961" s="4" t="s">
        <v>13</v>
      </c>
      <c r="F961" s="5">
        <v>3</v>
      </c>
      <c r="G961" s="5">
        <v>0</v>
      </c>
      <c r="H961" s="4" t="s">
        <v>488</v>
      </c>
      <c r="I961" s="4" t="s">
        <v>1234</v>
      </c>
      <c r="J961" s="4" t="s">
        <v>1235</v>
      </c>
      <c r="K961" s="4" t="s">
        <v>10</v>
      </c>
      <c r="L961" s="4" t="s">
        <v>487</v>
      </c>
      <c r="M961" s="5">
        <v>0</v>
      </c>
      <c r="N961" s="4" t="s">
        <v>1241</v>
      </c>
    </row>
    <row r="962" spans="1:14" x14ac:dyDescent="0.15">
      <c r="A962" s="4" t="s">
        <v>369</v>
      </c>
      <c r="B962" s="4" t="s">
        <v>24</v>
      </c>
      <c r="C962" s="5">
        <v>38.592964824120997</v>
      </c>
      <c r="D962" s="5">
        <v>1000</v>
      </c>
      <c r="E962" s="4" t="s">
        <v>13</v>
      </c>
      <c r="F962" s="5">
        <v>3</v>
      </c>
      <c r="G962" s="5">
        <v>0</v>
      </c>
      <c r="H962" s="4" t="s">
        <v>488</v>
      </c>
      <c r="I962" s="4" t="s">
        <v>1234</v>
      </c>
      <c r="J962" s="4" t="s">
        <v>1235</v>
      </c>
      <c r="K962" s="4" t="s">
        <v>10</v>
      </c>
      <c r="L962" s="4" t="s">
        <v>487</v>
      </c>
      <c r="M962" s="5">
        <v>0</v>
      </c>
      <c r="N962" s="4" t="s">
        <v>1241</v>
      </c>
    </row>
    <row r="963" spans="1:14" x14ac:dyDescent="0.15">
      <c r="A963" s="4" t="s">
        <v>369</v>
      </c>
      <c r="B963" s="4" t="s">
        <v>17</v>
      </c>
      <c r="C963" s="5">
        <v>14.492753623188001</v>
      </c>
      <c r="D963" s="5">
        <v>1000</v>
      </c>
      <c r="E963" s="4" t="s">
        <v>18</v>
      </c>
      <c r="F963" s="5">
        <v>0</v>
      </c>
      <c r="G963" s="5">
        <v>0</v>
      </c>
      <c r="H963" s="4" t="s">
        <v>488</v>
      </c>
      <c r="I963" s="4" t="s">
        <v>1234</v>
      </c>
      <c r="J963" s="4" t="s">
        <v>1235</v>
      </c>
      <c r="K963" s="4" t="s">
        <v>10</v>
      </c>
      <c r="L963" s="4" t="s">
        <v>487</v>
      </c>
      <c r="M963" s="5">
        <v>0</v>
      </c>
      <c r="N963" s="4" t="s">
        <v>1241</v>
      </c>
    </row>
    <row r="964" spans="1:14" x14ac:dyDescent="0.15">
      <c r="A964" s="4" t="s">
        <v>369</v>
      </c>
      <c r="B964" s="4" t="s">
        <v>19</v>
      </c>
      <c r="C964" s="5">
        <v>4</v>
      </c>
      <c r="D964" s="5">
        <v>1</v>
      </c>
      <c r="E964" s="4" t="s">
        <v>18</v>
      </c>
      <c r="F964" s="5">
        <v>0</v>
      </c>
      <c r="G964" s="5">
        <v>0</v>
      </c>
      <c r="H964" s="4" t="s">
        <v>488</v>
      </c>
      <c r="I964" s="4" t="s">
        <v>1236</v>
      </c>
      <c r="J964" s="4" t="s">
        <v>1235</v>
      </c>
      <c r="K964" s="4" t="s">
        <v>10</v>
      </c>
      <c r="L964" s="4" t="s">
        <v>487</v>
      </c>
      <c r="M964" s="5">
        <v>0</v>
      </c>
      <c r="N964" s="4" t="s">
        <v>1241</v>
      </c>
    </row>
    <row r="965" spans="1:14" x14ac:dyDescent="0.15">
      <c r="A965" s="4" t="s">
        <v>374</v>
      </c>
      <c r="B965" s="4" t="s">
        <v>375</v>
      </c>
      <c r="C965" s="5">
        <v>1</v>
      </c>
      <c r="D965" s="5">
        <v>1</v>
      </c>
      <c r="E965" s="4" t="s">
        <v>9</v>
      </c>
      <c r="F965" s="5">
        <v>0</v>
      </c>
      <c r="G965" s="5">
        <v>0</v>
      </c>
      <c r="H965" s="4" t="s">
        <v>488</v>
      </c>
      <c r="I965" s="4" t="s">
        <v>1234</v>
      </c>
      <c r="J965" s="4" t="s">
        <v>1235</v>
      </c>
      <c r="K965" s="4" t="s">
        <v>10</v>
      </c>
      <c r="L965" s="4" t="s">
        <v>487</v>
      </c>
      <c r="M965" s="5">
        <v>0</v>
      </c>
      <c r="N965" s="4" t="s">
        <v>1241</v>
      </c>
    </row>
    <row r="966" spans="1:14" x14ac:dyDescent="0.15">
      <c r="A966" s="4" t="s">
        <v>376</v>
      </c>
      <c r="B966" s="4" t="s">
        <v>375</v>
      </c>
      <c r="C966" s="5">
        <v>2</v>
      </c>
      <c r="D966" s="5">
        <v>1</v>
      </c>
      <c r="E966" s="4" t="s">
        <v>9</v>
      </c>
      <c r="F966" s="5">
        <v>0</v>
      </c>
      <c r="G966" s="5">
        <v>0</v>
      </c>
      <c r="H966" s="4" t="s">
        <v>488</v>
      </c>
      <c r="I966" s="4" t="s">
        <v>1234</v>
      </c>
      <c r="J966" s="4" t="s">
        <v>1235</v>
      </c>
      <c r="K966" s="4" t="s">
        <v>10</v>
      </c>
      <c r="L966" s="4" t="s">
        <v>487</v>
      </c>
      <c r="M966" s="5">
        <v>0</v>
      </c>
      <c r="N966" s="4" t="s">
        <v>1241</v>
      </c>
    </row>
    <row r="967" spans="1:14" x14ac:dyDescent="0.15">
      <c r="A967" s="4" t="s">
        <v>377</v>
      </c>
      <c r="B967" s="4" t="s">
        <v>375</v>
      </c>
      <c r="C967" s="5">
        <v>500</v>
      </c>
      <c r="D967" s="5">
        <v>1000</v>
      </c>
      <c r="E967" s="4" t="s">
        <v>9</v>
      </c>
      <c r="F967" s="5">
        <v>0</v>
      </c>
      <c r="G967" s="5">
        <v>0</v>
      </c>
      <c r="H967" s="4" t="s">
        <v>488</v>
      </c>
      <c r="I967" s="4" t="s">
        <v>1234</v>
      </c>
      <c r="J967" s="4" t="s">
        <v>1235</v>
      </c>
      <c r="K967" s="4" t="s">
        <v>10</v>
      </c>
      <c r="L967" s="4" t="s">
        <v>487</v>
      </c>
      <c r="M967" s="5">
        <v>0</v>
      </c>
      <c r="N967" s="4" t="s">
        <v>1241</v>
      </c>
    </row>
    <row r="968" spans="1:14" x14ac:dyDescent="0.15">
      <c r="A968" s="4" t="s">
        <v>375</v>
      </c>
      <c r="B968" s="4" t="s">
        <v>22</v>
      </c>
      <c r="C968" s="5">
        <v>10</v>
      </c>
      <c r="D968" s="5">
        <v>1</v>
      </c>
      <c r="E968" s="4" t="s">
        <v>9</v>
      </c>
      <c r="F968" s="5">
        <v>3</v>
      </c>
      <c r="G968" s="5">
        <v>0</v>
      </c>
      <c r="H968" s="4" t="s">
        <v>488</v>
      </c>
      <c r="I968" s="4" t="s">
        <v>1234</v>
      </c>
      <c r="J968" s="4" t="s">
        <v>1235</v>
      </c>
      <c r="K968" s="4" t="s">
        <v>10</v>
      </c>
      <c r="L968" s="4" t="s">
        <v>487</v>
      </c>
      <c r="M968" s="5">
        <v>0</v>
      </c>
      <c r="N968" s="4" t="s">
        <v>1241</v>
      </c>
    </row>
    <row r="969" spans="1:14" x14ac:dyDescent="0.15">
      <c r="A969" s="4" t="s">
        <v>375</v>
      </c>
      <c r="B969" s="4" t="s">
        <v>12</v>
      </c>
      <c r="C969" s="5">
        <v>2.798366834171</v>
      </c>
      <c r="D969" s="5">
        <v>1</v>
      </c>
      <c r="E969" s="4" t="s">
        <v>13</v>
      </c>
      <c r="F969" s="5">
        <v>3</v>
      </c>
      <c r="G969" s="5">
        <v>0</v>
      </c>
      <c r="H969" s="4" t="s">
        <v>488</v>
      </c>
      <c r="I969" s="4" t="s">
        <v>1234</v>
      </c>
      <c r="J969" s="4" t="s">
        <v>1235</v>
      </c>
      <c r="K969" s="4" t="s">
        <v>10</v>
      </c>
      <c r="L969" s="4" t="s">
        <v>487</v>
      </c>
      <c r="M969" s="5">
        <v>0</v>
      </c>
      <c r="N969" s="4" t="s">
        <v>1241</v>
      </c>
    </row>
    <row r="970" spans="1:14" x14ac:dyDescent="0.15">
      <c r="A970" s="4" t="s">
        <v>375</v>
      </c>
      <c r="B970" s="4" t="s">
        <v>14</v>
      </c>
      <c r="C970" s="5">
        <v>3.1092964824119997</v>
      </c>
      <c r="D970" s="5">
        <v>1</v>
      </c>
      <c r="E970" s="4" t="s">
        <v>13</v>
      </c>
      <c r="F970" s="5">
        <v>3</v>
      </c>
      <c r="G970" s="5">
        <v>0</v>
      </c>
      <c r="H970" s="4" t="s">
        <v>488</v>
      </c>
      <c r="I970" s="4" t="s">
        <v>1234</v>
      </c>
      <c r="J970" s="4" t="s">
        <v>1235</v>
      </c>
      <c r="K970" s="4" t="s">
        <v>10</v>
      </c>
      <c r="L970" s="4" t="s">
        <v>487</v>
      </c>
      <c r="M970" s="5">
        <v>0</v>
      </c>
      <c r="N970" s="4" t="s">
        <v>1241</v>
      </c>
    </row>
    <row r="971" spans="1:14" x14ac:dyDescent="0.15">
      <c r="A971" s="4" t="s">
        <v>375</v>
      </c>
      <c r="B971" s="4" t="s">
        <v>15</v>
      </c>
      <c r="C971" s="5">
        <v>62.185929648241</v>
      </c>
      <c r="D971" s="5">
        <v>1000</v>
      </c>
      <c r="E971" s="4" t="s">
        <v>13</v>
      </c>
      <c r="F971" s="5">
        <v>3</v>
      </c>
      <c r="G971" s="5">
        <v>0</v>
      </c>
      <c r="H971" s="4" t="s">
        <v>488</v>
      </c>
      <c r="I971" s="4" t="s">
        <v>1234</v>
      </c>
      <c r="J971" s="4" t="s">
        <v>1235</v>
      </c>
      <c r="K971" s="4" t="s">
        <v>10</v>
      </c>
      <c r="L971" s="4" t="s">
        <v>487</v>
      </c>
      <c r="M971" s="5">
        <v>0</v>
      </c>
      <c r="N971" s="4" t="s">
        <v>1241</v>
      </c>
    </row>
    <row r="972" spans="1:14" x14ac:dyDescent="0.15">
      <c r="A972" s="4" t="s">
        <v>375</v>
      </c>
      <c r="B972" s="4" t="s">
        <v>23</v>
      </c>
      <c r="C972" s="5">
        <v>0.15546482412099999</v>
      </c>
      <c r="D972" s="5">
        <v>1</v>
      </c>
      <c r="E972" s="4" t="s">
        <v>13</v>
      </c>
      <c r="F972" s="5">
        <v>3</v>
      </c>
      <c r="G972" s="5">
        <v>0</v>
      </c>
      <c r="H972" s="4" t="s">
        <v>488</v>
      </c>
      <c r="I972" s="4" t="s">
        <v>1234</v>
      </c>
      <c r="J972" s="4" t="s">
        <v>1235</v>
      </c>
      <c r="K972" s="4" t="s">
        <v>10</v>
      </c>
      <c r="L972" s="4" t="s">
        <v>487</v>
      </c>
      <c r="M972" s="5">
        <v>0</v>
      </c>
      <c r="N972" s="4" t="s">
        <v>1241</v>
      </c>
    </row>
    <row r="973" spans="1:14" x14ac:dyDescent="0.15">
      <c r="A973" s="4" t="s">
        <v>375</v>
      </c>
      <c r="B973" s="4" t="s">
        <v>24</v>
      </c>
      <c r="C973" s="5">
        <v>62.185929648241</v>
      </c>
      <c r="D973" s="5">
        <v>1000</v>
      </c>
      <c r="E973" s="4" t="s">
        <v>13</v>
      </c>
      <c r="F973" s="5">
        <v>3</v>
      </c>
      <c r="G973" s="5">
        <v>0</v>
      </c>
      <c r="H973" s="4" t="s">
        <v>488</v>
      </c>
      <c r="I973" s="4" t="s">
        <v>1234</v>
      </c>
      <c r="J973" s="4" t="s">
        <v>1235</v>
      </c>
      <c r="K973" s="4" t="s">
        <v>10</v>
      </c>
      <c r="L973" s="4" t="s">
        <v>487</v>
      </c>
      <c r="M973" s="5">
        <v>0</v>
      </c>
      <c r="N973" s="4" t="s">
        <v>1241</v>
      </c>
    </row>
    <row r="974" spans="1:14" x14ac:dyDescent="0.15">
      <c r="A974" s="4" t="s">
        <v>375</v>
      </c>
      <c r="B974" s="4" t="s">
        <v>17</v>
      </c>
      <c r="C974" s="5">
        <v>13.888888888889001</v>
      </c>
      <c r="D974" s="5">
        <v>1000</v>
      </c>
      <c r="E974" s="4" t="s">
        <v>18</v>
      </c>
      <c r="F974" s="5">
        <v>0</v>
      </c>
      <c r="G974" s="5">
        <v>0</v>
      </c>
      <c r="H974" s="4" t="s">
        <v>488</v>
      </c>
      <c r="I974" s="4" t="s">
        <v>1234</v>
      </c>
      <c r="J974" s="4" t="s">
        <v>1235</v>
      </c>
      <c r="K974" s="4" t="s">
        <v>10</v>
      </c>
      <c r="L974" s="4" t="s">
        <v>487</v>
      </c>
      <c r="M974" s="5">
        <v>0</v>
      </c>
      <c r="N974" s="4" t="s">
        <v>1241</v>
      </c>
    </row>
    <row r="975" spans="1:14" x14ac:dyDescent="0.15">
      <c r="A975" s="4" t="s">
        <v>375</v>
      </c>
      <c r="B975" s="4" t="s">
        <v>19</v>
      </c>
      <c r="C975" s="5">
        <v>4</v>
      </c>
      <c r="D975" s="5">
        <v>1</v>
      </c>
      <c r="E975" s="4" t="s">
        <v>18</v>
      </c>
      <c r="F975" s="5">
        <v>0</v>
      </c>
      <c r="G975" s="5">
        <v>0</v>
      </c>
      <c r="H975" s="4" t="s">
        <v>488</v>
      </c>
      <c r="I975" s="4" t="s">
        <v>1236</v>
      </c>
      <c r="J975" s="4" t="s">
        <v>1235</v>
      </c>
      <c r="K975" s="4" t="s">
        <v>10</v>
      </c>
      <c r="L975" s="4" t="s">
        <v>487</v>
      </c>
      <c r="M975" s="5">
        <v>0</v>
      </c>
      <c r="N975" s="4" t="s">
        <v>1241</v>
      </c>
    </row>
    <row r="976" spans="1:14" x14ac:dyDescent="0.15">
      <c r="A976" s="4" t="s">
        <v>378</v>
      </c>
      <c r="B976" s="4" t="s">
        <v>379</v>
      </c>
      <c r="C976" s="5">
        <v>1</v>
      </c>
      <c r="D976" s="5">
        <v>1</v>
      </c>
      <c r="E976" s="4" t="s">
        <v>9</v>
      </c>
      <c r="F976" s="5">
        <v>0</v>
      </c>
      <c r="G976" s="5">
        <v>0</v>
      </c>
      <c r="H976" s="4" t="s">
        <v>488</v>
      </c>
      <c r="I976" s="4" t="s">
        <v>1234</v>
      </c>
      <c r="J976" s="4" t="s">
        <v>1235</v>
      </c>
      <c r="K976" s="4" t="s">
        <v>10</v>
      </c>
      <c r="L976" s="4" t="s">
        <v>487</v>
      </c>
      <c r="M976" s="5">
        <v>0</v>
      </c>
      <c r="N976" s="4" t="s">
        <v>1241</v>
      </c>
    </row>
    <row r="977" spans="1:14" x14ac:dyDescent="0.15">
      <c r="A977" s="4" t="s">
        <v>380</v>
      </c>
      <c r="B977" s="4" t="s">
        <v>379</v>
      </c>
      <c r="C977" s="5">
        <v>2</v>
      </c>
      <c r="D977" s="5">
        <v>1</v>
      </c>
      <c r="E977" s="4" t="s">
        <v>9</v>
      </c>
      <c r="F977" s="5">
        <v>0</v>
      </c>
      <c r="G977" s="5">
        <v>0</v>
      </c>
      <c r="H977" s="4" t="s">
        <v>488</v>
      </c>
      <c r="I977" s="4" t="s">
        <v>1234</v>
      </c>
      <c r="J977" s="4" t="s">
        <v>1235</v>
      </c>
      <c r="K977" s="4" t="s">
        <v>10</v>
      </c>
      <c r="L977" s="4" t="s">
        <v>487</v>
      </c>
      <c r="M977" s="5">
        <v>0</v>
      </c>
      <c r="N977" s="4" t="s">
        <v>1241</v>
      </c>
    </row>
    <row r="978" spans="1:14" x14ac:dyDescent="0.15">
      <c r="A978" s="4" t="s">
        <v>381</v>
      </c>
      <c r="B978" s="4" t="s">
        <v>379</v>
      </c>
      <c r="C978" s="5">
        <v>500</v>
      </c>
      <c r="D978" s="5">
        <v>1000</v>
      </c>
      <c r="E978" s="4" t="s">
        <v>9</v>
      </c>
      <c r="F978" s="5">
        <v>0</v>
      </c>
      <c r="G978" s="5">
        <v>0</v>
      </c>
      <c r="H978" s="4" t="s">
        <v>488</v>
      </c>
      <c r="I978" s="4" t="s">
        <v>1234</v>
      </c>
      <c r="J978" s="4" t="s">
        <v>1235</v>
      </c>
      <c r="K978" s="4" t="s">
        <v>10</v>
      </c>
      <c r="L978" s="4" t="s">
        <v>487</v>
      </c>
      <c r="M978" s="5">
        <v>0</v>
      </c>
      <c r="N978" s="4" t="s">
        <v>1241</v>
      </c>
    </row>
    <row r="979" spans="1:14" x14ac:dyDescent="0.15">
      <c r="A979" s="4" t="s">
        <v>379</v>
      </c>
      <c r="B979" s="4" t="s">
        <v>22</v>
      </c>
      <c r="C979" s="5">
        <v>13</v>
      </c>
      <c r="D979" s="5">
        <v>1</v>
      </c>
      <c r="E979" s="4" t="s">
        <v>9</v>
      </c>
      <c r="F979" s="5">
        <v>3</v>
      </c>
      <c r="G979" s="5">
        <v>0</v>
      </c>
      <c r="H979" s="4" t="s">
        <v>488</v>
      </c>
      <c r="I979" s="4" t="s">
        <v>1234</v>
      </c>
      <c r="J979" s="4" t="s">
        <v>1235</v>
      </c>
      <c r="K979" s="4" t="s">
        <v>10</v>
      </c>
      <c r="L979" s="4" t="s">
        <v>487</v>
      </c>
      <c r="M979" s="5">
        <v>0</v>
      </c>
      <c r="N979" s="4" t="s">
        <v>1241</v>
      </c>
    </row>
    <row r="980" spans="1:14" x14ac:dyDescent="0.15">
      <c r="A980" s="4" t="s">
        <v>379</v>
      </c>
      <c r="B980" s="4" t="s">
        <v>12</v>
      </c>
      <c r="C980" s="5">
        <v>3.637876884422</v>
      </c>
      <c r="D980" s="5">
        <v>1</v>
      </c>
      <c r="E980" s="4" t="s">
        <v>13</v>
      </c>
      <c r="F980" s="5">
        <v>3</v>
      </c>
      <c r="G980" s="5">
        <v>0</v>
      </c>
      <c r="H980" s="4" t="s">
        <v>488</v>
      </c>
      <c r="I980" s="4" t="s">
        <v>1234</v>
      </c>
      <c r="J980" s="4" t="s">
        <v>1235</v>
      </c>
      <c r="K980" s="4" t="s">
        <v>10</v>
      </c>
      <c r="L980" s="4" t="s">
        <v>487</v>
      </c>
      <c r="M980" s="5">
        <v>0</v>
      </c>
      <c r="N980" s="4" t="s">
        <v>1241</v>
      </c>
    </row>
    <row r="981" spans="1:14" x14ac:dyDescent="0.15">
      <c r="A981" s="4" t="s">
        <v>379</v>
      </c>
      <c r="B981" s="4" t="s">
        <v>14</v>
      </c>
      <c r="C981" s="5">
        <v>4.0420854271360005</v>
      </c>
      <c r="D981" s="5">
        <v>1</v>
      </c>
      <c r="E981" s="4" t="s">
        <v>13</v>
      </c>
      <c r="F981" s="5">
        <v>3</v>
      </c>
      <c r="G981" s="5">
        <v>0</v>
      </c>
      <c r="H981" s="4" t="s">
        <v>488</v>
      </c>
      <c r="I981" s="4" t="s">
        <v>1234</v>
      </c>
      <c r="J981" s="4" t="s">
        <v>1235</v>
      </c>
      <c r="K981" s="4" t="s">
        <v>10</v>
      </c>
      <c r="L981" s="4" t="s">
        <v>487</v>
      </c>
      <c r="M981" s="5">
        <v>0</v>
      </c>
      <c r="N981" s="4" t="s">
        <v>1241</v>
      </c>
    </row>
    <row r="982" spans="1:14" x14ac:dyDescent="0.15">
      <c r="A982" s="4" t="s">
        <v>379</v>
      </c>
      <c r="B982" s="4" t="s">
        <v>15</v>
      </c>
      <c r="C982" s="5">
        <v>80.841708542714002</v>
      </c>
      <c r="D982" s="5">
        <v>1000</v>
      </c>
      <c r="E982" s="4" t="s">
        <v>13</v>
      </c>
      <c r="F982" s="5">
        <v>3</v>
      </c>
      <c r="G982" s="5">
        <v>0</v>
      </c>
      <c r="H982" s="4" t="s">
        <v>488</v>
      </c>
      <c r="I982" s="4" t="s">
        <v>1234</v>
      </c>
      <c r="J982" s="4" t="s">
        <v>1235</v>
      </c>
      <c r="K982" s="4" t="s">
        <v>10</v>
      </c>
      <c r="L982" s="4" t="s">
        <v>487</v>
      </c>
      <c r="M982" s="5">
        <v>0</v>
      </c>
      <c r="N982" s="4" t="s">
        <v>1241</v>
      </c>
    </row>
    <row r="983" spans="1:14" x14ac:dyDescent="0.15">
      <c r="A983" s="4" t="s">
        <v>379</v>
      </c>
      <c r="B983" s="4" t="s">
        <v>23</v>
      </c>
      <c r="C983" s="5">
        <v>0.20210427135699999</v>
      </c>
      <c r="D983" s="5">
        <v>1</v>
      </c>
      <c r="E983" s="4" t="s">
        <v>13</v>
      </c>
      <c r="F983" s="5">
        <v>3</v>
      </c>
      <c r="G983" s="5">
        <v>0</v>
      </c>
      <c r="H983" s="4" t="s">
        <v>488</v>
      </c>
      <c r="I983" s="4" t="s">
        <v>1234</v>
      </c>
      <c r="J983" s="4" t="s">
        <v>1235</v>
      </c>
      <c r="K983" s="4" t="s">
        <v>10</v>
      </c>
      <c r="L983" s="4" t="s">
        <v>487</v>
      </c>
      <c r="M983" s="5">
        <v>0</v>
      </c>
      <c r="N983" s="4" t="s">
        <v>1241</v>
      </c>
    </row>
    <row r="984" spans="1:14" x14ac:dyDescent="0.15">
      <c r="A984" s="4" t="s">
        <v>379</v>
      </c>
      <c r="B984" s="4" t="s">
        <v>24</v>
      </c>
      <c r="C984" s="5">
        <v>80.841708542714002</v>
      </c>
      <c r="D984" s="5">
        <v>1000</v>
      </c>
      <c r="E984" s="4" t="s">
        <v>13</v>
      </c>
      <c r="F984" s="5">
        <v>3</v>
      </c>
      <c r="G984" s="5">
        <v>0</v>
      </c>
      <c r="H984" s="4" t="s">
        <v>488</v>
      </c>
      <c r="I984" s="4" t="s">
        <v>1234</v>
      </c>
      <c r="J984" s="4" t="s">
        <v>1235</v>
      </c>
      <c r="K984" s="4" t="s">
        <v>10</v>
      </c>
      <c r="L984" s="4" t="s">
        <v>487</v>
      </c>
      <c r="M984" s="5">
        <v>0</v>
      </c>
      <c r="N984" s="4" t="s">
        <v>1241</v>
      </c>
    </row>
    <row r="985" spans="1:14" x14ac:dyDescent="0.15">
      <c r="A985" s="4" t="s">
        <v>379</v>
      </c>
      <c r="B985" s="4" t="s">
        <v>17</v>
      </c>
      <c r="C985" s="5">
        <v>15.151515151515</v>
      </c>
      <c r="D985" s="5">
        <v>1000</v>
      </c>
      <c r="E985" s="4" t="s">
        <v>18</v>
      </c>
      <c r="F985" s="5">
        <v>0</v>
      </c>
      <c r="G985" s="5">
        <v>0</v>
      </c>
      <c r="H985" s="4" t="s">
        <v>488</v>
      </c>
      <c r="I985" s="4" t="s">
        <v>1234</v>
      </c>
      <c r="J985" s="4" t="s">
        <v>1235</v>
      </c>
      <c r="K985" s="4" t="s">
        <v>10</v>
      </c>
      <c r="L985" s="4" t="s">
        <v>487</v>
      </c>
      <c r="M985" s="5">
        <v>0</v>
      </c>
      <c r="N985" s="4" t="s">
        <v>1241</v>
      </c>
    </row>
    <row r="986" spans="1:14" x14ac:dyDescent="0.15">
      <c r="A986" s="4" t="s">
        <v>379</v>
      </c>
      <c r="B986" s="4" t="s">
        <v>19</v>
      </c>
      <c r="C986" s="5">
        <v>4</v>
      </c>
      <c r="D986" s="5">
        <v>1</v>
      </c>
      <c r="E986" s="4" t="s">
        <v>18</v>
      </c>
      <c r="F986" s="5">
        <v>0</v>
      </c>
      <c r="G986" s="5">
        <v>0</v>
      </c>
      <c r="H986" s="4" t="s">
        <v>488</v>
      </c>
      <c r="I986" s="4" t="s">
        <v>1236</v>
      </c>
      <c r="J986" s="4" t="s">
        <v>1235</v>
      </c>
      <c r="K986" s="4" t="s">
        <v>10</v>
      </c>
      <c r="L986" s="4" t="s">
        <v>487</v>
      </c>
      <c r="M986" s="5">
        <v>0</v>
      </c>
      <c r="N986" s="4" t="s">
        <v>1241</v>
      </c>
    </row>
    <row r="987" spans="1:14" x14ac:dyDescent="0.15">
      <c r="A987" s="4" t="s">
        <v>382</v>
      </c>
      <c r="B987" s="4" t="s">
        <v>383</v>
      </c>
      <c r="C987" s="5">
        <v>1</v>
      </c>
      <c r="D987" s="5">
        <v>1</v>
      </c>
      <c r="E987" s="4" t="s">
        <v>9</v>
      </c>
      <c r="F987" s="5">
        <v>0</v>
      </c>
      <c r="G987" s="5">
        <v>0</v>
      </c>
      <c r="H987" s="4" t="s">
        <v>488</v>
      </c>
      <c r="I987" s="4" t="s">
        <v>1234</v>
      </c>
      <c r="J987" s="4" t="s">
        <v>1235</v>
      </c>
      <c r="K987" s="4" t="s">
        <v>10</v>
      </c>
      <c r="L987" s="4" t="s">
        <v>487</v>
      </c>
      <c r="M987" s="5">
        <v>0</v>
      </c>
      <c r="N987" s="4" t="s">
        <v>1241</v>
      </c>
    </row>
    <row r="988" spans="1:14" x14ac:dyDescent="0.15">
      <c r="A988" s="4" t="s">
        <v>384</v>
      </c>
      <c r="B988" s="4" t="s">
        <v>383</v>
      </c>
      <c r="C988" s="5">
        <v>2</v>
      </c>
      <c r="D988" s="5">
        <v>1</v>
      </c>
      <c r="E988" s="4" t="s">
        <v>9</v>
      </c>
      <c r="F988" s="5">
        <v>0</v>
      </c>
      <c r="G988" s="5">
        <v>0</v>
      </c>
      <c r="H988" s="4" t="s">
        <v>488</v>
      </c>
      <c r="I988" s="4" t="s">
        <v>1234</v>
      </c>
      <c r="J988" s="4" t="s">
        <v>1235</v>
      </c>
      <c r="K988" s="4" t="s">
        <v>10</v>
      </c>
      <c r="L988" s="4" t="s">
        <v>487</v>
      </c>
      <c r="M988" s="5">
        <v>0</v>
      </c>
      <c r="N988" s="4" t="s">
        <v>1241</v>
      </c>
    </row>
    <row r="989" spans="1:14" x14ac:dyDescent="0.15">
      <c r="A989" s="4" t="s">
        <v>385</v>
      </c>
      <c r="B989" s="4" t="s">
        <v>383</v>
      </c>
      <c r="C989" s="5">
        <v>500</v>
      </c>
      <c r="D989" s="5">
        <v>1000</v>
      </c>
      <c r="E989" s="4" t="s">
        <v>9</v>
      </c>
      <c r="F989" s="5">
        <v>0</v>
      </c>
      <c r="G989" s="5">
        <v>0</v>
      </c>
      <c r="H989" s="4" t="s">
        <v>488</v>
      </c>
      <c r="I989" s="4" t="s">
        <v>1234</v>
      </c>
      <c r="J989" s="4" t="s">
        <v>1235</v>
      </c>
      <c r="K989" s="4" t="s">
        <v>10</v>
      </c>
      <c r="L989" s="4" t="s">
        <v>487</v>
      </c>
      <c r="M989" s="5">
        <v>0</v>
      </c>
      <c r="N989" s="4" t="s">
        <v>1241</v>
      </c>
    </row>
    <row r="990" spans="1:14" x14ac:dyDescent="0.15">
      <c r="A990" s="4" t="s">
        <v>383</v>
      </c>
      <c r="B990" s="4" t="s">
        <v>33</v>
      </c>
      <c r="C990" s="5">
        <v>16</v>
      </c>
      <c r="D990" s="5">
        <v>1</v>
      </c>
      <c r="E990" s="4" t="s">
        <v>9</v>
      </c>
      <c r="F990" s="5">
        <v>3</v>
      </c>
      <c r="G990" s="5">
        <v>0</v>
      </c>
      <c r="H990" s="4" t="s">
        <v>488</v>
      </c>
      <c r="I990" s="4" t="s">
        <v>1234</v>
      </c>
      <c r="J990" s="4" t="s">
        <v>1235</v>
      </c>
      <c r="K990" s="4" t="s">
        <v>10</v>
      </c>
      <c r="L990" s="4" t="s">
        <v>487</v>
      </c>
      <c r="M990" s="5">
        <v>0</v>
      </c>
      <c r="N990" s="4" t="s">
        <v>1241</v>
      </c>
    </row>
    <row r="991" spans="1:14" x14ac:dyDescent="0.15">
      <c r="A991" s="4" t="s">
        <v>383</v>
      </c>
      <c r="B991" s="4" t="s">
        <v>12</v>
      </c>
      <c r="C991" s="5">
        <v>2.3155778894469998</v>
      </c>
      <c r="D991" s="5">
        <v>1</v>
      </c>
      <c r="E991" s="4" t="s">
        <v>13</v>
      </c>
      <c r="F991" s="5">
        <v>3</v>
      </c>
      <c r="G991" s="5">
        <v>0</v>
      </c>
      <c r="H991" s="4" t="s">
        <v>488</v>
      </c>
      <c r="I991" s="4" t="s">
        <v>1234</v>
      </c>
      <c r="J991" s="4" t="s">
        <v>1235</v>
      </c>
      <c r="K991" s="4" t="s">
        <v>10</v>
      </c>
      <c r="L991" s="4" t="s">
        <v>487</v>
      </c>
      <c r="M991" s="5">
        <v>0</v>
      </c>
      <c r="N991" s="4" t="s">
        <v>1241</v>
      </c>
    </row>
    <row r="992" spans="1:14" x14ac:dyDescent="0.15">
      <c r="A992" s="4" t="s">
        <v>383</v>
      </c>
      <c r="B992" s="4" t="s">
        <v>14</v>
      </c>
      <c r="C992" s="5">
        <v>2.5728643216079998</v>
      </c>
      <c r="D992" s="5">
        <v>1</v>
      </c>
      <c r="E992" s="4" t="s">
        <v>13</v>
      </c>
      <c r="F992" s="5">
        <v>3</v>
      </c>
      <c r="G992" s="5">
        <v>0</v>
      </c>
      <c r="H992" s="4" t="s">
        <v>488</v>
      </c>
      <c r="I992" s="4" t="s">
        <v>1234</v>
      </c>
      <c r="J992" s="4" t="s">
        <v>1235</v>
      </c>
      <c r="K992" s="4" t="s">
        <v>10</v>
      </c>
      <c r="L992" s="4" t="s">
        <v>487</v>
      </c>
      <c r="M992" s="5">
        <v>0</v>
      </c>
      <c r="N992" s="4" t="s">
        <v>1241</v>
      </c>
    </row>
    <row r="993" spans="1:14" x14ac:dyDescent="0.15">
      <c r="A993" s="4" t="s">
        <v>383</v>
      </c>
      <c r="B993" s="4" t="s">
        <v>15</v>
      </c>
      <c r="C993" s="5">
        <v>51.457286432160998</v>
      </c>
      <c r="D993" s="5">
        <v>1000</v>
      </c>
      <c r="E993" s="4" t="s">
        <v>13</v>
      </c>
      <c r="F993" s="5">
        <v>3</v>
      </c>
      <c r="G993" s="5">
        <v>0</v>
      </c>
      <c r="H993" s="4" t="s">
        <v>488</v>
      </c>
      <c r="I993" s="4" t="s">
        <v>1234</v>
      </c>
      <c r="J993" s="4" t="s">
        <v>1235</v>
      </c>
      <c r="K993" s="4" t="s">
        <v>10</v>
      </c>
      <c r="L993" s="4" t="s">
        <v>487</v>
      </c>
      <c r="M993" s="5">
        <v>0</v>
      </c>
      <c r="N993" s="4" t="s">
        <v>1241</v>
      </c>
    </row>
    <row r="994" spans="1:14" x14ac:dyDescent="0.15">
      <c r="A994" s="4" t="s">
        <v>383</v>
      </c>
      <c r="B994" s="4" t="s">
        <v>23</v>
      </c>
      <c r="C994" s="5">
        <v>0.12864321608000001</v>
      </c>
      <c r="D994" s="5">
        <v>1</v>
      </c>
      <c r="E994" s="4" t="s">
        <v>13</v>
      </c>
      <c r="F994" s="5">
        <v>3</v>
      </c>
      <c r="G994" s="5">
        <v>0</v>
      </c>
      <c r="H994" s="4" t="s">
        <v>488</v>
      </c>
      <c r="I994" s="4" t="s">
        <v>1234</v>
      </c>
      <c r="J994" s="4" t="s">
        <v>1235</v>
      </c>
      <c r="K994" s="4" t="s">
        <v>10</v>
      </c>
      <c r="L994" s="4" t="s">
        <v>487</v>
      </c>
      <c r="M994" s="5">
        <v>0</v>
      </c>
      <c r="N994" s="4" t="s">
        <v>1241</v>
      </c>
    </row>
    <row r="995" spans="1:14" x14ac:dyDescent="0.15">
      <c r="A995" s="4" t="s">
        <v>383</v>
      </c>
      <c r="B995" s="4" t="s">
        <v>24</v>
      </c>
      <c r="C995" s="5">
        <v>51.457286432160998</v>
      </c>
      <c r="D995" s="5">
        <v>1000</v>
      </c>
      <c r="E995" s="4" t="s">
        <v>13</v>
      </c>
      <c r="F995" s="5">
        <v>3</v>
      </c>
      <c r="G995" s="5">
        <v>0</v>
      </c>
      <c r="H995" s="4" t="s">
        <v>488</v>
      </c>
      <c r="I995" s="4" t="s">
        <v>1234</v>
      </c>
      <c r="J995" s="4" t="s">
        <v>1235</v>
      </c>
      <c r="K995" s="4" t="s">
        <v>10</v>
      </c>
      <c r="L995" s="4" t="s">
        <v>487</v>
      </c>
      <c r="M995" s="5">
        <v>0</v>
      </c>
      <c r="N995" s="4" t="s">
        <v>1241</v>
      </c>
    </row>
    <row r="996" spans="1:14" x14ac:dyDescent="0.15">
      <c r="A996" s="4" t="s">
        <v>383</v>
      </c>
      <c r="B996" s="4" t="s">
        <v>17</v>
      </c>
      <c r="C996" s="5">
        <v>13.888888888889001</v>
      </c>
      <c r="D996" s="5">
        <v>1000</v>
      </c>
      <c r="E996" s="4" t="s">
        <v>18</v>
      </c>
      <c r="F996" s="5">
        <v>0</v>
      </c>
      <c r="G996" s="5">
        <v>0</v>
      </c>
      <c r="H996" s="4" t="s">
        <v>488</v>
      </c>
      <c r="I996" s="4" t="s">
        <v>1234</v>
      </c>
      <c r="J996" s="4" t="s">
        <v>1235</v>
      </c>
      <c r="K996" s="4" t="s">
        <v>10</v>
      </c>
      <c r="L996" s="4" t="s">
        <v>487</v>
      </c>
      <c r="M996" s="5">
        <v>0</v>
      </c>
      <c r="N996" s="4" t="s">
        <v>1241</v>
      </c>
    </row>
    <row r="997" spans="1:14" x14ac:dyDescent="0.15">
      <c r="A997" s="4" t="s">
        <v>383</v>
      </c>
      <c r="B997" s="4" t="s">
        <v>19</v>
      </c>
      <c r="C997" s="5">
        <v>4</v>
      </c>
      <c r="D997" s="5">
        <v>1</v>
      </c>
      <c r="E997" s="4" t="s">
        <v>18</v>
      </c>
      <c r="F997" s="5">
        <v>0</v>
      </c>
      <c r="G997" s="5">
        <v>0</v>
      </c>
      <c r="H997" s="4" t="s">
        <v>488</v>
      </c>
      <c r="I997" s="4" t="s">
        <v>1236</v>
      </c>
      <c r="J997" s="4" t="s">
        <v>1235</v>
      </c>
      <c r="K997" s="4" t="s">
        <v>10</v>
      </c>
      <c r="L997" s="4" t="s">
        <v>487</v>
      </c>
      <c r="M997" s="5">
        <v>0</v>
      </c>
      <c r="N997" s="4" t="s">
        <v>1241</v>
      </c>
    </row>
    <row r="998" spans="1:14" x14ac:dyDescent="0.15">
      <c r="A998" s="4" t="s">
        <v>386</v>
      </c>
      <c r="B998" s="4" t="s">
        <v>387</v>
      </c>
      <c r="C998" s="5">
        <v>1</v>
      </c>
      <c r="D998" s="5">
        <v>1</v>
      </c>
      <c r="E998" s="4" t="s">
        <v>9</v>
      </c>
      <c r="F998" s="5">
        <v>0</v>
      </c>
      <c r="G998" s="5">
        <v>0</v>
      </c>
      <c r="H998" s="4" t="s">
        <v>488</v>
      </c>
      <c r="I998" s="4" t="s">
        <v>1234</v>
      </c>
      <c r="J998" s="4" t="s">
        <v>1235</v>
      </c>
      <c r="K998" s="4" t="s">
        <v>10</v>
      </c>
      <c r="L998" s="4" t="s">
        <v>487</v>
      </c>
      <c r="M998" s="5">
        <v>0</v>
      </c>
      <c r="N998" s="4" t="s">
        <v>1241</v>
      </c>
    </row>
    <row r="999" spans="1:14" x14ac:dyDescent="0.15">
      <c r="A999" s="4" t="s">
        <v>388</v>
      </c>
      <c r="B999" s="4" t="s">
        <v>387</v>
      </c>
      <c r="C999" s="5">
        <v>2</v>
      </c>
      <c r="D999" s="5">
        <v>1</v>
      </c>
      <c r="E999" s="4" t="s">
        <v>9</v>
      </c>
      <c r="F999" s="5">
        <v>0</v>
      </c>
      <c r="G999" s="5">
        <v>0</v>
      </c>
      <c r="H999" s="4" t="s">
        <v>488</v>
      </c>
      <c r="I999" s="4" t="s">
        <v>1234</v>
      </c>
      <c r="J999" s="4" t="s">
        <v>1235</v>
      </c>
      <c r="K999" s="4" t="s">
        <v>10</v>
      </c>
      <c r="L999" s="4" t="s">
        <v>487</v>
      </c>
      <c r="M999" s="5">
        <v>0</v>
      </c>
      <c r="N999" s="4" t="s">
        <v>1241</v>
      </c>
    </row>
    <row r="1000" spans="1:14" x14ac:dyDescent="0.15">
      <c r="A1000" s="4" t="s">
        <v>389</v>
      </c>
      <c r="B1000" s="4" t="s">
        <v>387</v>
      </c>
      <c r="C1000" s="5">
        <v>500</v>
      </c>
      <c r="D1000" s="5">
        <v>1000</v>
      </c>
      <c r="E1000" s="4" t="s">
        <v>9</v>
      </c>
      <c r="F1000" s="5">
        <v>0</v>
      </c>
      <c r="G1000" s="5">
        <v>0</v>
      </c>
      <c r="H1000" s="4" t="s">
        <v>488</v>
      </c>
      <c r="I1000" s="4" t="s">
        <v>1234</v>
      </c>
      <c r="J1000" s="4" t="s">
        <v>1235</v>
      </c>
      <c r="K1000" s="4" t="s">
        <v>10</v>
      </c>
      <c r="L1000" s="4" t="s">
        <v>487</v>
      </c>
      <c r="M1000" s="5">
        <v>0</v>
      </c>
      <c r="N1000" s="4" t="s">
        <v>1241</v>
      </c>
    </row>
    <row r="1001" spans="1:14" x14ac:dyDescent="0.15">
      <c r="A1001" s="4" t="s">
        <v>387</v>
      </c>
      <c r="B1001" s="4" t="s">
        <v>22</v>
      </c>
      <c r="C1001" s="5">
        <v>13</v>
      </c>
      <c r="D1001" s="5">
        <v>1</v>
      </c>
      <c r="E1001" s="4" t="s">
        <v>9</v>
      </c>
      <c r="F1001" s="5">
        <v>3</v>
      </c>
      <c r="G1001" s="5">
        <v>0</v>
      </c>
      <c r="H1001" s="4" t="s">
        <v>488</v>
      </c>
      <c r="I1001" s="4" t="s">
        <v>1234</v>
      </c>
      <c r="J1001" s="4" t="s">
        <v>1235</v>
      </c>
      <c r="K1001" s="4" t="s">
        <v>10</v>
      </c>
      <c r="L1001" s="4" t="s">
        <v>487</v>
      </c>
      <c r="M1001" s="5">
        <v>0</v>
      </c>
      <c r="N1001" s="4" t="s">
        <v>1241</v>
      </c>
    </row>
    <row r="1002" spans="1:14" x14ac:dyDescent="0.15">
      <c r="A1002" s="4" t="s">
        <v>387</v>
      </c>
      <c r="B1002" s="4" t="s">
        <v>33</v>
      </c>
      <c r="C1002" s="5">
        <v>3</v>
      </c>
      <c r="D1002" s="5">
        <v>1</v>
      </c>
      <c r="E1002" s="4" t="s">
        <v>9</v>
      </c>
      <c r="F1002" s="5">
        <v>3</v>
      </c>
      <c r="G1002" s="5">
        <v>0</v>
      </c>
      <c r="H1002" s="4" t="s">
        <v>488</v>
      </c>
      <c r="I1002" s="4" t="s">
        <v>1234</v>
      </c>
      <c r="J1002" s="4" t="s">
        <v>1235</v>
      </c>
      <c r="K1002" s="4" t="s">
        <v>10</v>
      </c>
      <c r="L1002" s="4" t="s">
        <v>487</v>
      </c>
      <c r="M1002" s="5">
        <v>0</v>
      </c>
      <c r="N1002" s="4" t="s">
        <v>1241</v>
      </c>
    </row>
    <row r="1003" spans="1:14" x14ac:dyDescent="0.15">
      <c r="A1003" s="4" t="s">
        <v>387</v>
      </c>
      <c r="B1003" s="4" t="s">
        <v>12</v>
      </c>
      <c r="C1003" s="5">
        <v>4.196984924623</v>
      </c>
      <c r="D1003" s="5">
        <v>1</v>
      </c>
      <c r="E1003" s="4" t="s">
        <v>13</v>
      </c>
      <c r="F1003" s="5">
        <v>3</v>
      </c>
      <c r="G1003" s="5">
        <v>0</v>
      </c>
      <c r="H1003" s="4" t="s">
        <v>488</v>
      </c>
      <c r="I1003" s="4" t="s">
        <v>1234</v>
      </c>
      <c r="J1003" s="4" t="s">
        <v>1235</v>
      </c>
      <c r="K1003" s="4" t="s">
        <v>10</v>
      </c>
      <c r="L1003" s="4" t="s">
        <v>487</v>
      </c>
      <c r="M1003" s="5">
        <v>0</v>
      </c>
      <c r="N1003" s="4" t="s">
        <v>1241</v>
      </c>
    </row>
    <row r="1004" spans="1:14" x14ac:dyDescent="0.15">
      <c r="A1004" s="4" t="s">
        <v>387</v>
      </c>
      <c r="B1004" s="4" t="s">
        <v>14</v>
      </c>
      <c r="C1004" s="5">
        <v>4.6633165829149998</v>
      </c>
      <c r="D1004" s="5">
        <v>1</v>
      </c>
      <c r="E1004" s="4" t="s">
        <v>13</v>
      </c>
      <c r="F1004" s="5">
        <v>3</v>
      </c>
      <c r="G1004" s="5">
        <v>0</v>
      </c>
      <c r="H1004" s="4" t="s">
        <v>488</v>
      </c>
      <c r="I1004" s="4" t="s">
        <v>1234</v>
      </c>
      <c r="J1004" s="4" t="s">
        <v>1235</v>
      </c>
      <c r="K1004" s="4" t="s">
        <v>10</v>
      </c>
      <c r="L1004" s="4" t="s">
        <v>487</v>
      </c>
      <c r="M1004" s="5">
        <v>0</v>
      </c>
      <c r="N1004" s="4" t="s">
        <v>1241</v>
      </c>
    </row>
    <row r="1005" spans="1:14" x14ac:dyDescent="0.15">
      <c r="A1005" s="4" t="s">
        <v>387</v>
      </c>
      <c r="B1005" s="4" t="s">
        <v>15</v>
      </c>
      <c r="C1005" s="5">
        <v>93.266331658292003</v>
      </c>
      <c r="D1005" s="5">
        <v>1000</v>
      </c>
      <c r="E1005" s="4" t="s">
        <v>13</v>
      </c>
      <c r="F1005" s="5">
        <v>3</v>
      </c>
      <c r="G1005" s="5">
        <v>0</v>
      </c>
      <c r="H1005" s="4" t="s">
        <v>488</v>
      </c>
      <c r="I1005" s="4" t="s">
        <v>1234</v>
      </c>
      <c r="J1005" s="4" t="s">
        <v>1235</v>
      </c>
      <c r="K1005" s="4" t="s">
        <v>10</v>
      </c>
      <c r="L1005" s="4" t="s">
        <v>487</v>
      </c>
      <c r="M1005" s="5">
        <v>0</v>
      </c>
      <c r="N1005" s="4" t="s">
        <v>1241</v>
      </c>
    </row>
    <row r="1006" spans="1:14" x14ac:dyDescent="0.15">
      <c r="A1006" s="4" t="s">
        <v>387</v>
      </c>
      <c r="B1006" s="4" t="s">
        <v>23</v>
      </c>
      <c r="C1006" s="5">
        <v>0.23316582914600001</v>
      </c>
      <c r="D1006" s="5">
        <v>1</v>
      </c>
      <c r="E1006" s="4" t="s">
        <v>13</v>
      </c>
      <c r="F1006" s="5">
        <v>3</v>
      </c>
      <c r="G1006" s="5">
        <v>0</v>
      </c>
      <c r="H1006" s="4" t="s">
        <v>488</v>
      </c>
      <c r="I1006" s="4" t="s">
        <v>1234</v>
      </c>
      <c r="J1006" s="4" t="s">
        <v>1235</v>
      </c>
      <c r="K1006" s="4" t="s">
        <v>10</v>
      </c>
      <c r="L1006" s="4" t="s">
        <v>487</v>
      </c>
      <c r="M1006" s="5">
        <v>0</v>
      </c>
      <c r="N1006" s="4" t="s">
        <v>1241</v>
      </c>
    </row>
    <row r="1007" spans="1:14" x14ac:dyDescent="0.15">
      <c r="A1007" s="4" t="s">
        <v>387</v>
      </c>
      <c r="B1007" s="4" t="s">
        <v>24</v>
      </c>
      <c r="C1007" s="5">
        <v>93.266331658292003</v>
      </c>
      <c r="D1007" s="5">
        <v>1000</v>
      </c>
      <c r="E1007" s="4" t="s">
        <v>13</v>
      </c>
      <c r="F1007" s="5">
        <v>3</v>
      </c>
      <c r="G1007" s="5">
        <v>0</v>
      </c>
      <c r="H1007" s="4" t="s">
        <v>488</v>
      </c>
      <c r="I1007" s="4" t="s">
        <v>1234</v>
      </c>
      <c r="J1007" s="4" t="s">
        <v>1235</v>
      </c>
      <c r="K1007" s="4" t="s">
        <v>10</v>
      </c>
      <c r="L1007" s="4" t="s">
        <v>487</v>
      </c>
      <c r="M1007" s="5">
        <v>0</v>
      </c>
      <c r="N1007" s="4" t="s">
        <v>1241</v>
      </c>
    </row>
    <row r="1008" spans="1:14" x14ac:dyDescent="0.15">
      <c r="A1008" s="4" t="s">
        <v>387</v>
      </c>
      <c r="B1008" s="4" t="s">
        <v>17</v>
      </c>
      <c r="C1008" s="5">
        <v>15.151515151515</v>
      </c>
      <c r="D1008" s="5">
        <v>1000</v>
      </c>
      <c r="E1008" s="4" t="s">
        <v>18</v>
      </c>
      <c r="F1008" s="5">
        <v>0</v>
      </c>
      <c r="G1008" s="5">
        <v>0</v>
      </c>
      <c r="H1008" s="4" t="s">
        <v>488</v>
      </c>
      <c r="I1008" s="4" t="s">
        <v>1234</v>
      </c>
      <c r="J1008" s="4" t="s">
        <v>1235</v>
      </c>
      <c r="K1008" s="4" t="s">
        <v>10</v>
      </c>
      <c r="L1008" s="4" t="s">
        <v>487</v>
      </c>
      <c r="M1008" s="5">
        <v>0</v>
      </c>
      <c r="N1008" s="4" t="s">
        <v>1241</v>
      </c>
    </row>
    <row r="1009" spans="1:14" x14ac:dyDescent="0.15">
      <c r="A1009" s="4" t="s">
        <v>387</v>
      </c>
      <c r="B1009" s="4" t="s">
        <v>19</v>
      </c>
      <c r="C1009" s="5">
        <v>4</v>
      </c>
      <c r="D1009" s="5">
        <v>1</v>
      </c>
      <c r="E1009" s="4" t="s">
        <v>18</v>
      </c>
      <c r="F1009" s="5">
        <v>0</v>
      </c>
      <c r="G1009" s="5">
        <v>0</v>
      </c>
      <c r="H1009" s="4" t="s">
        <v>488</v>
      </c>
      <c r="I1009" s="4" t="s">
        <v>1236</v>
      </c>
      <c r="J1009" s="4" t="s">
        <v>1235</v>
      </c>
      <c r="K1009" s="4" t="s">
        <v>10</v>
      </c>
      <c r="L1009" s="4" t="s">
        <v>487</v>
      </c>
      <c r="M1009" s="5">
        <v>0</v>
      </c>
      <c r="N1009" s="4" t="s">
        <v>1241</v>
      </c>
    </row>
    <row r="1010" spans="1:14" x14ac:dyDescent="0.15">
      <c r="A1010" s="4" t="s">
        <v>390</v>
      </c>
      <c r="B1010" s="4" t="s">
        <v>391</v>
      </c>
      <c r="C1010" s="5">
        <v>1</v>
      </c>
      <c r="D1010" s="5">
        <v>1</v>
      </c>
      <c r="E1010" s="4" t="s">
        <v>9</v>
      </c>
      <c r="F1010" s="5">
        <v>0</v>
      </c>
      <c r="G1010" s="5">
        <v>0</v>
      </c>
      <c r="H1010" s="4" t="s">
        <v>488</v>
      </c>
      <c r="I1010" s="4" t="s">
        <v>1234</v>
      </c>
      <c r="J1010" s="4" t="s">
        <v>1235</v>
      </c>
      <c r="K1010" s="4" t="s">
        <v>10</v>
      </c>
      <c r="L1010" s="4" t="s">
        <v>487</v>
      </c>
      <c r="M1010" s="5">
        <v>0</v>
      </c>
      <c r="N1010" s="4" t="s">
        <v>1241</v>
      </c>
    </row>
    <row r="1011" spans="1:14" x14ac:dyDescent="0.15">
      <c r="A1011" s="4" t="s">
        <v>391</v>
      </c>
      <c r="B1011" s="4" t="s">
        <v>392</v>
      </c>
      <c r="C1011" s="5">
        <v>1</v>
      </c>
      <c r="D1011" s="5">
        <v>1</v>
      </c>
      <c r="E1011" s="4" t="s">
        <v>9</v>
      </c>
      <c r="F1011" s="5">
        <v>3</v>
      </c>
      <c r="G1011" s="5">
        <v>0</v>
      </c>
      <c r="H1011" s="4" t="s">
        <v>488</v>
      </c>
      <c r="I1011" s="4" t="s">
        <v>1234</v>
      </c>
      <c r="J1011" s="4" t="s">
        <v>1235</v>
      </c>
      <c r="K1011" s="4" t="s">
        <v>10</v>
      </c>
      <c r="L1011" s="4" t="s">
        <v>487</v>
      </c>
      <c r="M1011" s="5">
        <v>0</v>
      </c>
      <c r="N1011" s="4" t="s">
        <v>1241</v>
      </c>
    </row>
    <row r="1012" spans="1:14" x14ac:dyDescent="0.15">
      <c r="A1012" s="4" t="s">
        <v>391</v>
      </c>
      <c r="B1012" s="4" t="s">
        <v>393</v>
      </c>
      <c r="C1012" s="5">
        <v>22.333333333332998</v>
      </c>
      <c r="D1012" s="5">
        <v>1000</v>
      </c>
      <c r="E1012" s="4" t="s">
        <v>13</v>
      </c>
      <c r="F1012" s="5">
        <v>3</v>
      </c>
      <c r="G1012" s="5">
        <v>0</v>
      </c>
      <c r="H1012" s="4" t="s">
        <v>488</v>
      </c>
      <c r="I1012" s="4" t="s">
        <v>1234</v>
      </c>
      <c r="J1012" s="4" t="s">
        <v>1235</v>
      </c>
      <c r="K1012" s="4" t="s">
        <v>10</v>
      </c>
      <c r="L1012" s="4" t="s">
        <v>487</v>
      </c>
      <c r="M1012" s="5">
        <v>0</v>
      </c>
      <c r="N1012" s="4" t="s">
        <v>1241</v>
      </c>
    </row>
    <row r="1013" spans="1:14" x14ac:dyDescent="0.15">
      <c r="A1013" s="4" t="s">
        <v>391</v>
      </c>
      <c r="B1013" s="4" t="s">
        <v>17</v>
      </c>
      <c r="C1013" s="5">
        <v>4.3859649122809996</v>
      </c>
      <c r="D1013" s="5">
        <v>1000</v>
      </c>
      <c r="E1013" s="4" t="s">
        <v>18</v>
      </c>
      <c r="F1013" s="5">
        <v>0</v>
      </c>
      <c r="G1013" s="5">
        <v>0</v>
      </c>
      <c r="H1013" s="4" t="s">
        <v>488</v>
      </c>
      <c r="I1013" s="4" t="s">
        <v>1234</v>
      </c>
      <c r="J1013" s="4" t="s">
        <v>1235</v>
      </c>
      <c r="K1013" s="4" t="s">
        <v>10</v>
      </c>
      <c r="L1013" s="4" t="s">
        <v>487</v>
      </c>
      <c r="M1013" s="5">
        <v>0</v>
      </c>
      <c r="N1013" s="4" t="s">
        <v>1241</v>
      </c>
    </row>
    <row r="1014" spans="1:14" x14ac:dyDescent="0.15">
      <c r="A1014" s="4" t="s">
        <v>391</v>
      </c>
      <c r="B1014" s="4" t="s">
        <v>19</v>
      </c>
      <c r="C1014" s="5">
        <v>6</v>
      </c>
      <c r="D1014" s="5">
        <v>1</v>
      </c>
      <c r="E1014" s="4" t="s">
        <v>18</v>
      </c>
      <c r="F1014" s="5">
        <v>0</v>
      </c>
      <c r="G1014" s="5">
        <v>0</v>
      </c>
      <c r="H1014" s="4" t="s">
        <v>488</v>
      </c>
      <c r="I1014" s="4" t="s">
        <v>1236</v>
      </c>
      <c r="J1014" s="4" t="s">
        <v>1235</v>
      </c>
      <c r="K1014" s="4" t="s">
        <v>10</v>
      </c>
      <c r="L1014" s="4" t="s">
        <v>487</v>
      </c>
      <c r="M1014" s="5">
        <v>0</v>
      </c>
      <c r="N1014" s="4" t="s">
        <v>1241</v>
      </c>
    </row>
    <row r="1015" spans="1:14" x14ac:dyDescent="0.15">
      <c r="A1015" s="4" t="s">
        <v>394</v>
      </c>
      <c r="B1015" s="4" t="s">
        <v>395</v>
      </c>
      <c r="C1015" s="5">
        <v>1.54</v>
      </c>
      <c r="D1015" s="5">
        <v>1</v>
      </c>
      <c r="E1015" s="4" t="s">
        <v>9</v>
      </c>
      <c r="F1015" s="5">
        <v>0</v>
      </c>
      <c r="G1015" s="5">
        <v>0</v>
      </c>
      <c r="H1015" s="4" t="s">
        <v>488</v>
      </c>
      <c r="I1015" s="4" t="s">
        <v>1234</v>
      </c>
      <c r="J1015" s="4" t="s">
        <v>1235</v>
      </c>
      <c r="K1015" s="4" t="s">
        <v>10</v>
      </c>
      <c r="L1015" s="4" t="s">
        <v>487</v>
      </c>
      <c r="M1015" s="5">
        <v>0</v>
      </c>
      <c r="N1015" s="4" t="s">
        <v>1241</v>
      </c>
    </row>
    <row r="1016" spans="1:14" x14ac:dyDescent="0.15">
      <c r="A1016" s="4" t="s">
        <v>396</v>
      </c>
      <c r="B1016" s="4" t="s">
        <v>395</v>
      </c>
      <c r="C1016" s="5">
        <v>1.575</v>
      </c>
      <c r="D1016" s="5">
        <v>1</v>
      </c>
      <c r="E1016" s="4" t="s">
        <v>9</v>
      </c>
      <c r="F1016" s="5">
        <v>0</v>
      </c>
      <c r="G1016" s="5">
        <v>0</v>
      </c>
      <c r="H1016" s="4" t="s">
        <v>488</v>
      </c>
      <c r="I1016" s="4" t="s">
        <v>1234</v>
      </c>
      <c r="J1016" s="4" t="s">
        <v>1235</v>
      </c>
      <c r="K1016" s="4" t="s">
        <v>10</v>
      </c>
      <c r="L1016" s="4" t="s">
        <v>487</v>
      </c>
      <c r="M1016" s="5">
        <v>0</v>
      </c>
      <c r="N1016" s="4" t="s">
        <v>1241</v>
      </c>
    </row>
    <row r="1017" spans="1:14" x14ac:dyDescent="0.15">
      <c r="A1017" s="4" t="s">
        <v>397</v>
      </c>
      <c r="B1017" s="4" t="s">
        <v>395</v>
      </c>
      <c r="C1017" s="5">
        <v>1.6649999999999998</v>
      </c>
      <c r="D1017" s="5">
        <v>1</v>
      </c>
      <c r="E1017" s="4" t="s">
        <v>9</v>
      </c>
      <c r="F1017" s="5">
        <v>0</v>
      </c>
      <c r="G1017" s="5">
        <v>0</v>
      </c>
      <c r="H1017" s="4" t="s">
        <v>488</v>
      </c>
      <c r="I1017" s="4" t="s">
        <v>1234</v>
      </c>
      <c r="J1017" s="4" t="s">
        <v>1235</v>
      </c>
      <c r="K1017" s="4" t="s">
        <v>10</v>
      </c>
      <c r="L1017" s="4" t="s">
        <v>487</v>
      </c>
      <c r="M1017" s="5">
        <v>0</v>
      </c>
      <c r="N1017" s="4" t="s">
        <v>1241</v>
      </c>
    </row>
    <row r="1018" spans="1:14" x14ac:dyDescent="0.15">
      <c r="A1018" s="4" t="s">
        <v>398</v>
      </c>
      <c r="B1018" s="4" t="s">
        <v>395</v>
      </c>
      <c r="C1018" s="5">
        <v>1.7649999999999999</v>
      </c>
      <c r="D1018" s="5">
        <v>1</v>
      </c>
      <c r="E1018" s="4" t="s">
        <v>9</v>
      </c>
      <c r="F1018" s="5">
        <v>0</v>
      </c>
      <c r="G1018" s="5">
        <v>0</v>
      </c>
      <c r="H1018" s="4" t="s">
        <v>488</v>
      </c>
      <c r="I1018" s="4" t="s">
        <v>1234</v>
      </c>
      <c r="J1018" s="4" t="s">
        <v>1235</v>
      </c>
      <c r="K1018" s="4" t="s">
        <v>10</v>
      </c>
      <c r="L1018" s="4" t="s">
        <v>487</v>
      </c>
      <c r="M1018" s="5">
        <v>0</v>
      </c>
      <c r="N1018" s="4" t="s">
        <v>1241</v>
      </c>
    </row>
    <row r="1019" spans="1:14" x14ac:dyDescent="0.15">
      <c r="A1019" s="4" t="s">
        <v>399</v>
      </c>
      <c r="B1019" s="4" t="s">
        <v>395</v>
      </c>
      <c r="C1019" s="5">
        <v>2.1019999999999999</v>
      </c>
      <c r="D1019" s="5">
        <v>1</v>
      </c>
      <c r="E1019" s="4" t="s">
        <v>9</v>
      </c>
      <c r="F1019" s="5">
        <v>0</v>
      </c>
      <c r="G1019" s="5">
        <v>0</v>
      </c>
      <c r="H1019" s="4" t="s">
        <v>488</v>
      </c>
      <c r="I1019" s="4" t="s">
        <v>1234</v>
      </c>
      <c r="J1019" s="4" t="s">
        <v>1235</v>
      </c>
      <c r="K1019" s="4" t="s">
        <v>10</v>
      </c>
      <c r="L1019" s="4" t="s">
        <v>487</v>
      </c>
      <c r="M1019" s="5">
        <v>0</v>
      </c>
      <c r="N1019" s="4" t="s">
        <v>1241</v>
      </c>
    </row>
    <row r="1020" spans="1:14" x14ac:dyDescent="0.15">
      <c r="A1020" s="4" t="s">
        <v>400</v>
      </c>
      <c r="B1020" s="4" t="s">
        <v>395</v>
      </c>
      <c r="C1020" s="5">
        <v>5.5600000000000005</v>
      </c>
      <c r="D1020" s="5">
        <v>1</v>
      </c>
      <c r="E1020" s="4" t="s">
        <v>9</v>
      </c>
      <c r="F1020" s="5">
        <v>0</v>
      </c>
      <c r="G1020" s="5">
        <v>0</v>
      </c>
      <c r="H1020" s="4" t="s">
        <v>488</v>
      </c>
      <c r="I1020" s="4" t="s">
        <v>1234</v>
      </c>
      <c r="J1020" s="4" t="s">
        <v>1235</v>
      </c>
      <c r="K1020" s="4" t="s">
        <v>10</v>
      </c>
      <c r="L1020" s="4" t="s">
        <v>487</v>
      </c>
      <c r="M1020" s="5">
        <v>0</v>
      </c>
      <c r="N1020" s="4" t="s">
        <v>1241</v>
      </c>
    </row>
    <row r="1021" spans="1:14" x14ac:dyDescent="0.15">
      <c r="A1021" s="4" t="s">
        <v>401</v>
      </c>
      <c r="B1021" s="4" t="s">
        <v>395</v>
      </c>
      <c r="C1021" s="5">
        <v>608</v>
      </c>
      <c r="D1021" s="5">
        <v>1000</v>
      </c>
      <c r="E1021" s="4" t="s">
        <v>9</v>
      </c>
      <c r="F1021" s="5">
        <v>0</v>
      </c>
      <c r="G1021" s="5">
        <v>0</v>
      </c>
      <c r="H1021" s="4" t="s">
        <v>488</v>
      </c>
      <c r="I1021" s="4" t="s">
        <v>1234</v>
      </c>
      <c r="J1021" s="4" t="s">
        <v>1235</v>
      </c>
      <c r="K1021" s="4" t="s">
        <v>10</v>
      </c>
      <c r="L1021" s="4" t="s">
        <v>487</v>
      </c>
      <c r="M1021" s="5">
        <v>0</v>
      </c>
      <c r="N1021" s="4" t="s">
        <v>1241</v>
      </c>
    </row>
    <row r="1022" spans="1:14" x14ac:dyDescent="0.15">
      <c r="A1022" s="4" t="s">
        <v>402</v>
      </c>
      <c r="B1022" s="4" t="s">
        <v>395</v>
      </c>
      <c r="C1022" s="5">
        <v>833</v>
      </c>
      <c r="D1022" s="5">
        <v>1000</v>
      </c>
      <c r="E1022" s="4" t="s">
        <v>9</v>
      </c>
      <c r="F1022" s="5">
        <v>0</v>
      </c>
      <c r="G1022" s="5">
        <v>0</v>
      </c>
      <c r="H1022" s="4" t="s">
        <v>488</v>
      </c>
      <c r="I1022" s="4" t="s">
        <v>1234</v>
      </c>
      <c r="J1022" s="4" t="s">
        <v>1235</v>
      </c>
      <c r="K1022" s="4" t="s">
        <v>10</v>
      </c>
      <c r="L1022" s="4" t="s">
        <v>487</v>
      </c>
      <c r="M1022" s="5">
        <v>0</v>
      </c>
      <c r="N1022" s="4" t="s">
        <v>1241</v>
      </c>
    </row>
    <row r="1023" spans="1:14" x14ac:dyDescent="0.15">
      <c r="A1023" s="4" t="s">
        <v>395</v>
      </c>
      <c r="B1023" s="4" t="s">
        <v>176</v>
      </c>
      <c r="C1023" s="5">
        <v>49</v>
      </c>
      <c r="D1023" s="5">
        <v>1</v>
      </c>
      <c r="E1023" s="4" t="s">
        <v>9</v>
      </c>
      <c r="F1023" s="5">
        <v>3</v>
      </c>
      <c r="G1023" s="5">
        <v>0</v>
      </c>
      <c r="H1023" s="4" t="s">
        <v>488</v>
      </c>
      <c r="I1023" s="4" t="s">
        <v>1234</v>
      </c>
      <c r="J1023" s="4" t="s">
        <v>1235</v>
      </c>
      <c r="K1023" s="4" t="s">
        <v>10</v>
      </c>
      <c r="L1023" s="4" t="s">
        <v>487</v>
      </c>
      <c r="M1023" s="5">
        <v>0</v>
      </c>
      <c r="N1023" s="4" t="s">
        <v>1241</v>
      </c>
    </row>
    <row r="1024" spans="1:14" x14ac:dyDescent="0.15">
      <c r="A1024" s="4" t="s">
        <v>395</v>
      </c>
      <c r="B1024" s="4" t="s">
        <v>12</v>
      </c>
      <c r="C1024" s="5">
        <v>28.809045226130998</v>
      </c>
      <c r="D1024" s="5">
        <v>1</v>
      </c>
      <c r="E1024" s="4" t="s">
        <v>13</v>
      </c>
      <c r="F1024" s="5">
        <v>3</v>
      </c>
      <c r="G1024" s="5">
        <v>0</v>
      </c>
      <c r="H1024" s="4" t="s">
        <v>488</v>
      </c>
      <c r="I1024" s="4" t="s">
        <v>1234</v>
      </c>
      <c r="J1024" s="4" t="s">
        <v>1235</v>
      </c>
      <c r="K1024" s="4" t="s">
        <v>10</v>
      </c>
      <c r="L1024" s="4" t="s">
        <v>487</v>
      </c>
      <c r="M1024" s="5">
        <v>0</v>
      </c>
      <c r="N1024" s="4" t="s">
        <v>1241</v>
      </c>
    </row>
    <row r="1025" spans="1:14" x14ac:dyDescent="0.15">
      <c r="A1025" s="4" t="s">
        <v>395</v>
      </c>
      <c r="B1025" s="4" t="s">
        <v>14</v>
      </c>
      <c r="C1025" s="5">
        <v>32.010050251256004</v>
      </c>
      <c r="D1025" s="5">
        <v>1</v>
      </c>
      <c r="E1025" s="4" t="s">
        <v>13</v>
      </c>
      <c r="F1025" s="5">
        <v>3</v>
      </c>
      <c r="G1025" s="5">
        <v>0</v>
      </c>
      <c r="H1025" s="4" t="s">
        <v>488</v>
      </c>
      <c r="I1025" s="4" t="s">
        <v>1234</v>
      </c>
      <c r="J1025" s="4" t="s">
        <v>1235</v>
      </c>
      <c r="K1025" s="4" t="s">
        <v>10</v>
      </c>
      <c r="L1025" s="4" t="s">
        <v>487</v>
      </c>
      <c r="M1025" s="5">
        <v>0</v>
      </c>
      <c r="N1025" s="4" t="s">
        <v>1241</v>
      </c>
    </row>
    <row r="1026" spans="1:14" x14ac:dyDescent="0.15">
      <c r="A1026" s="4" t="s">
        <v>395</v>
      </c>
      <c r="B1026" s="4" t="s">
        <v>15</v>
      </c>
      <c r="C1026" s="5">
        <v>0.64020100502499999</v>
      </c>
      <c r="D1026" s="5">
        <v>1</v>
      </c>
      <c r="E1026" s="4" t="s">
        <v>13</v>
      </c>
      <c r="F1026" s="5">
        <v>3</v>
      </c>
      <c r="G1026" s="5">
        <v>0</v>
      </c>
      <c r="H1026" s="4" t="s">
        <v>488</v>
      </c>
      <c r="I1026" s="4" t="s">
        <v>1234</v>
      </c>
      <c r="J1026" s="4" t="s">
        <v>1235</v>
      </c>
      <c r="K1026" s="4" t="s">
        <v>10</v>
      </c>
      <c r="L1026" s="4" t="s">
        <v>487</v>
      </c>
      <c r="M1026" s="5">
        <v>0</v>
      </c>
      <c r="N1026" s="4" t="s">
        <v>1241</v>
      </c>
    </row>
    <row r="1027" spans="1:14" x14ac:dyDescent="0.15">
      <c r="A1027" s="4" t="s">
        <v>395</v>
      </c>
      <c r="B1027" s="4" t="s">
        <v>23</v>
      </c>
      <c r="C1027" s="5">
        <v>1.6005025125629999</v>
      </c>
      <c r="D1027" s="5">
        <v>1</v>
      </c>
      <c r="E1027" s="4" t="s">
        <v>13</v>
      </c>
      <c r="F1027" s="5">
        <v>3</v>
      </c>
      <c r="G1027" s="5">
        <v>0</v>
      </c>
      <c r="H1027" s="4" t="s">
        <v>488</v>
      </c>
      <c r="I1027" s="4" t="s">
        <v>1234</v>
      </c>
      <c r="J1027" s="4" t="s">
        <v>1235</v>
      </c>
      <c r="K1027" s="4" t="s">
        <v>10</v>
      </c>
      <c r="L1027" s="4" t="s">
        <v>487</v>
      </c>
      <c r="M1027" s="5">
        <v>0</v>
      </c>
      <c r="N1027" s="4" t="s">
        <v>1241</v>
      </c>
    </row>
    <row r="1028" spans="1:14" x14ac:dyDescent="0.15">
      <c r="A1028" s="4" t="s">
        <v>395</v>
      </c>
      <c r="B1028" s="4" t="s">
        <v>24</v>
      </c>
      <c r="C1028" s="5">
        <v>0.64020100502499999</v>
      </c>
      <c r="D1028" s="5">
        <v>1</v>
      </c>
      <c r="E1028" s="4" t="s">
        <v>13</v>
      </c>
      <c r="F1028" s="5">
        <v>3</v>
      </c>
      <c r="G1028" s="5">
        <v>0</v>
      </c>
      <c r="H1028" s="4" t="s">
        <v>488</v>
      </c>
      <c r="I1028" s="4" t="s">
        <v>1234</v>
      </c>
      <c r="J1028" s="4" t="s">
        <v>1235</v>
      </c>
      <c r="K1028" s="4" t="s">
        <v>10</v>
      </c>
      <c r="L1028" s="4" t="s">
        <v>487</v>
      </c>
      <c r="M1028" s="5">
        <v>0</v>
      </c>
      <c r="N1028" s="4" t="s">
        <v>1241</v>
      </c>
    </row>
    <row r="1029" spans="1:14" x14ac:dyDescent="0.15">
      <c r="A1029" s="4" t="s">
        <v>395</v>
      </c>
      <c r="B1029" s="4" t="s">
        <v>124</v>
      </c>
      <c r="C1029" s="5">
        <v>1.911</v>
      </c>
      <c r="D1029" s="5">
        <v>1</v>
      </c>
      <c r="E1029" s="4" t="s">
        <v>13</v>
      </c>
      <c r="F1029" s="5">
        <v>3</v>
      </c>
      <c r="G1029" s="5">
        <v>0</v>
      </c>
      <c r="H1029" s="4" t="s">
        <v>488</v>
      </c>
      <c r="I1029" s="4" t="s">
        <v>1234</v>
      </c>
      <c r="J1029" s="4" t="s">
        <v>1235</v>
      </c>
      <c r="K1029" s="4" t="s">
        <v>10</v>
      </c>
      <c r="L1029" s="4" t="s">
        <v>487</v>
      </c>
      <c r="M1029" s="5">
        <v>0</v>
      </c>
      <c r="N1029" s="4" t="s">
        <v>1241</v>
      </c>
    </row>
    <row r="1030" spans="1:14" x14ac:dyDescent="0.15">
      <c r="A1030" s="4" t="s">
        <v>395</v>
      </c>
      <c r="B1030" s="4" t="s">
        <v>17</v>
      </c>
      <c r="C1030" s="5">
        <v>16.666666666666998</v>
      </c>
      <c r="D1030" s="5">
        <v>1000</v>
      </c>
      <c r="E1030" s="4" t="s">
        <v>18</v>
      </c>
      <c r="F1030" s="5">
        <v>0</v>
      </c>
      <c r="G1030" s="5">
        <v>0</v>
      </c>
      <c r="H1030" s="4" t="s">
        <v>488</v>
      </c>
      <c r="I1030" s="4" t="s">
        <v>1234</v>
      </c>
      <c r="J1030" s="4" t="s">
        <v>1235</v>
      </c>
      <c r="K1030" s="4" t="s">
        <v>10</v>
      </c>
      <c r="L1030" s="4" t="s">
        <v>487</v>
      </c>
      <c r="M1030" s="5">
        <v>0</v>
      </c>
      <c r="N1030" s="4" t="s">
        <v>1241</v>
      </c>
    </row>
    <row r="1031" spans="1:14" x14ac:dyDescent="0.15">
      <c r="A1031" s="4" t="s">
        <v>395</v>
      </c>
      <c r="B1031" s="4" t="s">
        <v>19</v>
      </c>
      <c r="C1031" s="5">
        <v>5.1948051948049994</v>
      </c>
      <c r="D1031" s="5">
        <v>1</v>
      </c>
      <c r="E1031" s="4" t="s">
        <v>18</v>
      </c>
      <c r="F1031" s="5">
        <v>0</v>
      </c>
      <c r="G1031" s="5">
        <v>0</v>
      </c>
      <c r="H1031" s="4" t="s">
        <v>488</v>
      </c>
      <c r="I1031" s="4" t="s">
        <v>1236</v>
      </c>
      <c r="J1031" s="4" t="s">
        <v>1235</v>
      </c>
      <c r="K1031" s="4" t="s">
        <v>10</v>
      </c>
      <c r="L1031" s="4" t="s">
        <v>487</v>
      </c>
      <c r="M1031" s="5">
        <v>0</v>
      </c>
      <c r="N1031" s="4" t="s">
        <v>1241</v>
      </c>
    </row>
    <row r="1032" spans="1:14" x14ac:dyDescent="0.15">
      <c r="A1032" s="4" t="s">
        <v>403</v>
      </c>
      <c r="B1032" s="4" t="s">
        <v>404</v>
      </c>
      <c r="C1032" s="5">
        <v>2</v>
      </c>
      <c r="D1032" s="5">
        <v>1</v>
      </c>
      <c r="E1032" s="4" t="s">
        <v>9</v>
      </c>
      <c r="F1032" s="5">
        <v>0</v>
      </c>
      <c r="G1032" s="5">
        <v>0</v>
      </c>
      <c r="H1032" s="4" t="s">
        <v>488</v>
      </c>
      <c r="I1032" s="4" t="s">
        <v>1234</v>
      </c>
      <c r="J1032" s="4" t="s">
        <v>1235</v>
      </c>
      <c r="K1032" s="4" t="s">
        <v>10</v>
      </c>
      <c r="L1032" s="4" t="s">
        <v>487</v>
      </c>
      <c r="M1032" s="5">
        <v>0</v>
      </c>
      <c r="N1032" s="4" t="s">
        <v>1241</v>
      </c>
    </row>
    <row r="1033" spans="1:14" x14ac:dyDescent="0.15">
      <c r="A1033" s="4" t="s">
        <v>404</v>
      </c>
      <c r="B1033" s="4" t="s">
        <v>22</v>
      </c>
      <c r="C1033" s="5">
        <v>54</v>
      </c>
      <c r="D1033" s="5">
        <v>1</v>
      </c>
      <c r="E1033" s="4" t="s">
        <v>9</v>
      </c>
      <c r="F1033" s="5">
        <v>3</v>
      </c>
      <c r="G1033" s="5">
        <v>0</v>
      </c>
      <c r="H1033" s="4" t="s">
        <v>488</v>
      </c>
      <c r="I1033" s="4" t="s">
        <v>1234</v>
      </c>
      <c r="J1033" s="4" t="s">
        <v>1235</v>
      </c>
      <c r="K1033" s="4" t="s">
        <v>10</v>
      </c>
      <c r="L1033" s="4" t="s">
        <v>487</v>
      </c>
      <c r="M1033" s="5">
        <v>0</v>
      </c>
      <c r="N1033" s="4" t="s">
        <v>1241</v>
      </c>
    </row>
    <row r="1034" spans="1:14" x14ac:dyDescent="0.15">
      <c r="A1034" s="4" t="s">
        <v>404</v>
      </c>
      <c r="B1034" s="4" t="s">
        <v>12</v>
      </c>
      <c r="C1034" s="5">
        <v>14.607474874371999</v>
      </c>
      <c r="D1034" s="5">
        <v>1</v>
      </c>
      <c r="E1034" s="4" t="s">
        <v>13</v>
      </c>
      <c r="F1034" s="5">
        <v>3</v>
      </c>
      <c r="G1034" s="5">
        <v>0</v>
      </c>
      <c r="H1034" s="4" t="s">
        <v>488</v>
      </c>
      <c r="I1034" s="4" t="s">
        <v>1234</v>
      </c>
      <c r="J1034" s="4" t="s">
        <v>1235</v>
      </c>
      <c r="K1034" s="4" t="s">
        <v>10</v>
      </c>
      <c r="L1034" s="4" t="s">
        <v>487</v>
      </c>
      <c r="M1034" s="5">
        <v>0</v>
      </c>
      <c r="N1034" s="4" t="s">
        <v>1241</v>
      </c>
    </row>
    <row r="1035" spans="1:14" x14ac:dyDescent="0.15">
      <c r="A1035" s="4" t="s">
        <v>404</v>
      </c>
      <c r="B1035" s="4" t="s">
        <v>14</v>
      </c>
      <c r="C1035" s="5">
        <v>16.230527638190999</v>
      </c>
      <c r="D1035" s="5">
        <v>1</v>
      </c>
      <c r="E1035" s="4" t="s">
        <v>13</v>
      </c>
      <c r="F1035" s="5">
        <v>3</v>
      </c>
      <c r="G1035" s="5">
        <v>0</v>
      </c>
      <c r="H1035" s="4" t="s">
        <v>488</v>
      </c>
      <c r="I1035" s="4" t="s">
        <v>1234</v>
      </c>
      <c r="J1035" s="4" t="s">
        <v>1235</v>
      </c>
      <c r="K1035" s="4" t="s">
        <v>10</v>
      </c>
      <c r="L1035" s="4" t="s">
        <v>487</v>
      </c>
      <c r="M1035" s="5">
        <v>0</v>
      </c>
      <c r="N1035" s="4" t="s">
        <v>1241</v>
      </c>
    </row>
    <row r="1036" spans="1:14" x14ac:dyDescent="0.15">
      <c r="A1036" s="4" t="s">
        <v>404</v>
      </c>
      <c r="B1036" s="4" t="s">
        <v>15</v>
      </c>
      <c r="C1036" s="5">
        <v>0.32461055276400003</v>
      </c>
      <c r="D1036" s="5">
        <v>1</v>
      </c>
      <c r="E1036" s="4" t="s">
        <v>13</v>
      </c>
      <c r="F1036" s="5">
        <v>3</v>
      </c>
      <c r="G1036" s="5">
        <v>0</v>
      </c>
      <c r="H1036" s="4" t="s">
        <v>488</v>
      </c>
      <c r="I1036" s="4" t="s">
        <v>1234</v>
      </c>
      <c r="J1036" s="4" t="s">
        <v>1235</v>
      </c>
      <c r="K1036" s="4" t="s">
        <v>10</v>
      </c>
      <c r="L1036" s="4" t="s">
        <v>487</v>
      </c>
      <c r="M1036" s="5">
        <v>0</v>
      </c>
      <c r="N1036" s="4" t="s">
        <v>1241</v>
      </c>
    </row>
    <row r="1037" spans="1:14" x14ac:dyDescent="0.15">
      <c r="A1037" s="4" t="s">
        <v>404</v>
      </c>
      <c r="B1037" s="4" t="s">
        <v>23</v>
      </c>
      <c r="C1037" s="5">
        <v>0.81152638191000004</v>
      </c>
      <c r="D1037" s="5">
        <v>1</v>
      </c>
      <c r="E1037" s="4" t="s">
        <v>13</v>
      </c>
      <c r="F1037" s="5">
        <v>3</v>
      </c>
      <c r="G1037" s="5">
        <v>0</v>
      </c>
      <c r="H1037" s="4" t="s">
        <v>488</v>
      </c>
      <c r="I1037" s="4" t="s">
        <v>1234</v>
      </c>
      <c r="J1037" s="4" t="s">
        <v>1235</v>
      </c>
      <c r="K1037" s="4" t="s">
        <v>10</v>
      </c>
      <c r="L1037" s="4" t="s">
        <v>487</v>
      </c>
      <c r="M1037" s="5">
        <v>0</v>
      </c>
      <c r="N1037" s="4" t="s">
        <v>1241</v>
      </c>
    </row>
    <row r="1038" spans="1:14" x14ac:dyDescent="0.15">
      <c r="A1038" s="4" t="s">
        <v>404</v>
      </c>
      <c r="B1038" s="4" t="s">
        <v>24</v>
      </c>
      <c r="C1038" s="5">
        <v>0.32461055276400003</v>
      </c>
      <c r="D1038" s="5">
        <v>1</v>
      </c>
      <c r="E1038" s="4" t="s">
        <v>13</v>
      </c>
      <c r="F1038" s="5">
        <v>3</v>
      </c>
      <c r="G1038" s="5">
        <v>0</v>
      </c>
      <c r="H1038" s="4" t="s">
        <v>488</v>
      </c>
      <c r="I1038" s="4" t="s">
        <v>1234</v>
      </c>
      <c r="J1038" s="4" t="s">
        <v>1235</v>
      </c>
      <c r="K1038" s="4" t="s">
        <v>10</v>
      </c>
      <c r="L1038" s="4" t="s">
        <v>487</v>
      </c>
      <c r="M1038" s="5">
        <v>0</v>
      </c>
      <c r="N1038" s="4" t="s">
        <v>1241</v>
      </c>
    </row>
    <row r="1039" spans="1:14" x14ac:dyDescent="0.15">
      <c r="A1039" s="4" t="s">
        <v>404</v>
      </c>
      <c r="B1039" s="4" t="s">
        <v>17</v>
      </c>
      <c r="C1039" s="5">
        <v>18.518518518518999</v>
      </c>
      <c r="D1039" s="5">
        <v>1000</v>
      </c>
      <c r="E1039" s="4" t="s">
        <v>18</v>
      </c>
      <c r="F1039" s="5">
        <v>0</v>
      </c>
      <c r="G1039" s="5">
        <v>0</v>
      </c>
      <c r="H1039" s="4" t="s">
        <v>488</v>
      </c>
      <c r="I1039" s="4" t="s">
        <v>1234</v>
      </c>
      <c r="J1039" s="4" t="s">
        <v>1235</v>
      </c>
      <c r="K1039" s="4" t="s">
        <v>10</v>
      </c>
      <c r="L1039" s="4" t="s">
        <v>487</v>
      </c>
      <c r="M1039" s="5">
        <v>0</v>
      </c>
      <c r="N1039" s="4" t="s">
        <v>1241</v>
      </c>
    </row>
    <row r="1040" spans="1:14" x14ac:dyDescent="0.15">
      <c r="A1040" s="4" t="s">
        <v>404</v>
      </c>
      <c r="B1040" s="4" t="s">
        <v>19</v>
      </c>
      <c r="C1040" s="5">
        <v>2.5</v>
      </c>
      <c r="D1040" s="5">
        <v>1</v>
      </c>
      <c r="E1040" s="4" t="s">
        <v>18</v>
      </c>
      <c r="F1040" s="5">
        <v>0</v>
      </c>
      <c r="G1040" s="5">
        <v>0</v>
      </c>
      <c r="H1040" s="4" t="s">
        <v>488</v>
      </c>
      <c r="I1040" s="4" t="s">
        <v>1236</v>
      </c>
      <c r="J1040" s="4" t="s">
        <v>1235</v>
      </c>
      <c r="K1040" s="4" t="s">
        <v>10</v>
      </c>
      <c r="L1040" s="4" t="s">
        <v>487</v>
      </c>
      <c r="M1040" s="5">
        <v>0</v>
      </c>
      <c r="N1040" s="4" t="s">
        <v>1241</v>
      </c>
    </row>
    <row r="1041" spans="1:14" x14ac:dyDescent="0.15">
      <c r="A1041" s="4" t="s">
        <v>405</v>
      </c>
      <c r="B1041" s="4" t="s">
        <v>406</v>
      </c>
      <c r="C1041" s="5">
        <v>2</v>
      </c>
      <c r="D1041" s="5">
        <v>1</v>
      </c>
      <c r="E1041" s="4" t="s">
        <v>9</v>
      </c>
      <c r="F1041" s="5">
        <v>0</v>
      </c>
      <c r="G1041" s="5">
        <v>0</v>
      </c>
      <c r="H1041" s="4" t="s">
        <v>488</v>
      </c>
      <c r="I1041" s="4" t="s">
        <v>1234</v>
      </c>
      <c r="J1041" s="4" t="s">
        <v>1235</v>
      </c>
      <c r="K1041" s="4" t="s">
        <v>10</v>
      </c>
      <c r="L1041" s="4" t="s">
        <v>487</v>
      </c>
      <c r="M1041" s="5">
        <v>0</v>
      </c>
      <c r="N1041" s="4" t="s">
        <v>1241</v>
      </c>
    </row>
    <row r="1042" spans="1:14" x14ac:dyDescent="0.15">
      <c r="A1042" s="4" t="s">
        <v>406</v>
      </c>
      <c r="B1042" s="4" t="s">
        <v>22</v>
      </c>
      <c r="C1042" s="5">
        <v>79</v>
      </c>
      <c r="D1042" s="5">
        <v>1</v>
      </c>
      <c r="E1042" s="4" t="s">
        <v>9</v>
      </c>
      <c r="F1042" s="5">
        <v>3</v>
      </c>
      <c r="G1042" s="5">
        <v>0</v>
      </c>
      <c r="H1042" s="4" t="s">
        <v>488</v>
      </c>
      <c r="I1042" s="4" t="s">
        <v>1234</v>
      </c>
      <c r="J1042" s="4" t="s">
        <v>1235</v>
      </c>
      <c r="K1042" s="4" t="s">
        <v>10</v>
      </c>
      <c r="L1042" s="4" t="s">
        <v>487</v>
      </c>
      <c r="M1042" s="5">
        <v>0</v>
      </c>
      <c r="N1042" s="4" t="s">
        <v>1241</v>
      </c>
    </row>
    <row r="1043" spans="1:14" x14ac:dyDescent="0.15">
      <c r="A1043" s="4" t="s">
        <v>406</v>
      </c>
      <c r="B1043" s="4" t="s">
        <v>12</v>
      </c>
      <c r="C1043" s="5">
        <v>21.370194723618003</v>
      </c>
      <c r="D1043" s="5">
        <v>1</v>
      </c>
      <c r="E1043" s="4" t="s">
        <v>13</v>
      </c>
      <c r="F1043" s="5">
        <v>3</v>
      </c>
      <c r="G1043" s="5">
        <v>0</v>
      </c>
      <c r="H1043" s="4" t="s">
        <v>488</v>
      </c>
      <c r="I1043" s="4" t="s">
        <v>1234</v>
      </c>
      <c r="J1043" s="4" t="s">
        <v>1235</v>
      </c>
      <c r="K1043" s="4" t="s">
        <v>10</v>
      </c>
      <c r="L1043" s="4" t="s">
        <v>487</v>
      </c>
      <c r="M1043" s="5">
        <v>0</v>
      </c>
      <c r="N1043" s="4" t="s">
        <v>1241</v>
      </c>
    </row>
    <row r="1044" spans="1:14" x14ac:dyDescent="0.15">
      <c r="A1044" s="4" t="s">
        <v>406</v>
      </c>
      <c r="B1044" s="4" t="s">
        <v>14</v>
      </c>
      <c r="C1044" s="5">
        <v>23.74466080402</v>
      </c>
      <c r="D1044" s="5">
        <v>1</v>
      </c>
      <c r="E1044" s="4" t="s">
        <v>13</v>
      </c>
      <c r="F1044" s="5">
        <v>3</v>
      </c>
      <c r="G1044" s="5">
        <v>0</v>
      </c>
      <c r="H1044" s="4" t="s">
        <v>488</v>
      </c>
      <c r="I1044" s="4" t="s">
        <v>1234</v>
      </c>
      <c r="J1044" s="4" t="s">
        <v>1235</v>
      </c>
      <c r="K1044" s="4" t="s">
        <v>10</v>
      </c>
      <c r="L1044" s="4" t="s">
        <v>487</v>
      </c>
      <c r="M1044" s="5">
        <v>0</v>
      </c>
      <c r="N1044" s="4" t="s">
        <v>1241</v>
      </c>
    </row>
    <row r="1045" spans="1:14" x14ac:dyDescent="0.15">
      <c r="A1045" s="4" t="s">
        <v>406</v>
      </c>
      <c r="B1045" s="4" t="s">
        <v>15</v>
      </c>
      <c r="C1045" s="5">
        <v>0.47489321608000001</v>
      </c>
      <c r="D1045" s="5">
        <v>1</v>
      </c>
      <c r="E1045" s="4" t="s">
        <v>13</v>
      </c>
      <c r="F1045" s="5">
        <v>3</v>
      </c>
      <c r="G1045" s="5">
        <v>0</v>
      </c>
      <c r="H1045" s="4" t="s">
        <v>488</v>
      </c>
      <c r="I1045" s="4" t="s">
        <v>1234</v>
      </c>
      <c r="J1045" s="4" t="s">
        <v>1235</v>
      </c>
      <c r="K1045" s="4" t="s">
        <v>10</v>
      </c>
      <c r="L1045" s="4" t="s">
        <v>487</v>
      </c>
      <c r="M1045" s="5">
        <v>0</v>
      </c>
      <c r="N1045" s="4" t="s">
        <v>1241</v>
      </c>
    </row>
    <row r="1046" spans="1:14" x14ac:dyDescent="0.15">
      <c r="A1046" s="4" t="s">
        <v>406</v>
      </c>
      <c r="B1046" s="4" t="s">
        <v>23</v>
      </c>
      <c r="C1046" s="5">
        <v>1.1872330402010001</v>
      </c>
      <c r="D1046" s="5">
        <v>1</v>
      </c>
      <c r="E1046" s="4" t="s">
        <v>13</v>
      </c>
      <c r="F1046" s="5">
        <v>3</v>
      </c>
      <c r="G1046" s="5">
        <v>0</v>
      </c>
      <c r="H1046" s="4" t="s">
        <v>488</v>
      </c>
      <c r="I1046" s="4" t="s">
        <v>1234</v>
      </c>
      <c r="J1046" s="4" t="s">
        <v>1235</v>
      </c>
      <c r="K1046" s="4" t="s">
        <v>10</v>
      </c>
      <c r="L1046" s="4" t="s">
        <v>487</v>
      </c>
      <c r="M1046" s="5">
        <v>0</v>
      </c>
      <c r="N1046" s="4" t="s">
        <v>1241</v>
      </c>
    </row>
    <row r="1047" spans="1:14" x14ac:dyDescent="0.15">
      <c r="A1047" s="4" t="s">
        <v>406</v>
      </c>
      <c r="B1047" s="4" t="s">
        <v>24</v>
      </c>
      <c r="C1047" s="5">
        <v>0.47489321608000001</v>
      </c>
      <c r="D1047" s="5">
        <v>1</v>
      </c>
      <c r="E1047" s="4" t="s">
        <v>13</v>
      </c>
      <c r="F1047" s="5">
        <v>3</v>
      </c>
      <c r="G1047" s="5">
        <v>0</v>
      </c>
      <c r="H1047" s="4" t="s">
        <v>488</v>
      </c>
      <c r="I1047" s="4" t="s">
        <v>1234</v>
      </c>
      <c r="J1047" s="4" t="s">
        <v>1235</v>
      </c>
      <c r="K1047" s="4" t="s">
        <v>10</v>
      </c>
      <c r="L1047" s="4" t="s">
        <v>487</v>
      </c>
      <c r="M1047" s="5">
        <v>0</v>
      </c>
      <c r="N1047" s="4" t="s">
        <v>1241</v>
      </c>
    </row>
    <row r="1048" spans="1:14" x14ac:dyDescent="0.15">
      <c r="A1048" s="4" t="s">
        <v>406</v>
      </c>
      <c r="B1048" s="4" t="s">
        <v>17</v>
      </c>
      <c r="C1048" s="5">
        <v>19.607843137255003</v>
      </c>
      <c r="D1048" s="5">
        <v>1000</v>
      </c>
      <c r="E1048" s="4" t="s">
        <v>18</v>
      </c>
      <c r="F1048" s="5">
        <v>0</v>
      </c>
      <c r="G1048" s="5">
        <v>0</v>
      </c>
      <c r="H1048" s="4" t="s">
        <v>488</v>
      </c>
      <c r="I1048" s="4" t="s">
        <v>1234</v>
      </c>
      <c r="J1048" s="4" t="s">
        <v>1235</v>
      </c>
      <c r="K1048" s="4" t="s">
        <v>10</v>
      </c>
      <c r="L1048" s="4" t="s">
        <v>487</v>
      </c>
      <c r="M1048" s="5">
        <v>0</v>
      </c>
      <c r="N1048" s="4" t="s">
        <v>1241</v>
      </c>
    </row>
    <row r="1049" spans="1:14" x14ac:dyDescent="0.15">
      <c r="A1049" s="4" t="s">
        <v>406</v>
      </c>
      <c r="B1049" s="4" t="s">
        <v>19</v>
      </c>
      <c r="C1049" s="5">
        <v>3</v>
      </c>
      <c r="D1049" s="5">
        <v>1</v>
      </c>
      <c r="E1049" s="4" t="s">
        <v>18</v>
      </c>
      <c r="F1049" s="5">
        <v>0</v>
      </c>
      <c r="G1049" s="5">
        <v>0</v>
      </c>
      <c r="H1049" s="4" t="s">
        <v>488</v>
      </c>
      <c r="I1049" s="4" t="s">
        <v>1236</v>
      </c>
      <c r="J1049" s="4" t="s">
        <v>1235</v>
      </c>
      <c r="K1049" s="4" t="s">
        <v>10</v>
      </c>
      <c r="L1049" s="4" t="s">
        <v>487</v>
      </c>
      <c r="M1049" s="5">
        <v>0</v>
      </c>
      <c r="N1049" s="4" t="s">
        <v>1241</v>
      </c>
    </row>
    <row r="1050" spans="1:14" x14ac:dyDescent="0.15">
      <c r="A1050" s="4" t="s">
        <v>407</v>
      </c>
      <c r="B1050" s="4" t="s">
        <v>408</v>
      </c>
      <c r="C1050" s="5">
        <v>2</v>
      </c>
      <c r="D1050" s="5">
        <v>1</v>
      </c>
      <c r="E1050" s="4" t="s">
        <v>9</v>
      </c>
      <c r="F1050" s="5">
        <v>0</v>
      </c>
      <c r="G1050" s="5">
        <v>0</v>
      </c>
      <c r="H1050" s="4" t="s">
        <v>488</v>
      </c>
      <c r="I1050" s="4" t="s">
        <v>1234</v>
      </c>
      <c r="J1050" s="4" t="s">
        <v>1235</v>
      </c>
      <c r="K1050" s="4" t="s">
        <v>10</v>
      </c>
      <c r="L1050" s="4" t="s">
        <v>487</v>
      </c>
      <c r="M1050" s="5">
        <v>0</v>
      </c>
      <c r="N1050" s="4" t="s">
        <v>1241</v>
      </c>
    </row>
    <row r="1051" spans="1:14" x14ac:dyDescent="0.15">
      <c r="A1051" s="4" t="s">
        <v>408</v>
      </c>
      <c r="B1051" s="4" t="s">
        <v>22</v>
      </c>
      <c r="C1051" s="5">
        <v>20</v>
      </c>
      <c r="D1051" s="5">
        <v>1</v>
      </c>
      <c r="E1051" s="4" t="s">
        <v>9</v>
      </c>
      <c r="F1051" s="5">
        <v>3</v>
      </c>
      <c r="G1051" s="5">
        <v>0</v>
      </c>
      <c r="H1051" s="4" t="s">
        <v>488</v>
      </c>
      <c r="I1051" s="4" t="s">
        <v>1234</v>
      </c>
      <c r="J1051" s="4" t="s">
        <v>1235</v>
      </c>
      <c r="K1051" s="4" t="s">
        <v>10</v>
      </c>
      <c r="L1051" s="4" t="s">
        <v>487</v>
      </c>
      <c r="M1051" s="5">
        <v>0</v>
      </c>
      <c r="N1051" s="4" t="s">
        <v>1241</v>
      </c>
    </row>
    <row r="1052" spans="1:14" x14ac:dyDescent="0.15">
      <c r="A1052" s="4" t="s">
        <v>408</v>
      </c>
      <c r="B1052" s="4" t="s">
        <v>12</v>
      </c>
      <c r="C1052" s="5">
        <v>6.0071608040199997</v>
      </c>
      <c r="D1052" s="5">
        <v>1</v>
      </c>
      <c r="E1052" s="4" t="s">
        <v>13</v>
      </c>
      <c r="F1052" s="5">
        <v>3</v>
      </c>
      <c r="G1052" s="5">
        <v>0</v>
      </c>
      <c r="H1052" s="4" t="s">
        <v>488</v>
      </c>
      <c r="I1052" s="4" t="s">
        <v>1234</v>
      </c>
      <c r="J1052" s="4" t="s">
        <v>1235</v>
      </c>
      <c r="K1052" s="4" t="s">
        <v>10</v>
      </c>
      <c r="L1052" s="4" t="s">
        <v>487</v>
      </c>
      <c r="M1052" s="5">
        <v>0</v>
      </c>
      <c r="N1052" s="4" t="s">
        <v>1241</v>
      </c>
    </row>
    <row r="1053" spans="1:14" x14ac:dyDescent="0.15">
      <c r="A1053" s="4" t="s">
        <v>408</v>
      </c>
      <c r="B1053" s="4" t="s">
        <v>14</v>
      </c>
      <c r="C1053" s="5">
        <v>6.6746231155780009</v>
      </c>
      <c r="D1053" s="5">
        <v>1</v>
      </c>
      <c r="E1053" s="4" t="s">
        <v>13</v>
      </c>
      <c r="F1053" s="5">
        <v>3</v>
      </c>
      <c r="G1053" s="5">
        <v>0</v>
      </c>
      <c r="H1053" s="4" t="s">
        <v>488</v>
      </c>
      <c r="I1053" s="4" t="s">
        <v>1234</v>
      </c>
      <c r="J1053" s="4" t="s">
        <v>1235</v>
      </c>
      <c r="K1053" s="4" t="s">
        <v>10</v>
      </c>
      <c r="L1053" s="4" t="s">
        <v>487</v>
      </c>
      <c r="M1053" s="5">
        <v>0</v>
      </c>
      <c r="N1053" s="4" t="s">
        <v>1241</v>
      </c>
    </row>
    <row r="1054" spans="1:14" x14ac:dyDescent="0.15">
      <c r="A1054" s="4" t="s">
        <v>408</v>
      </c>
      <c r="B1054" s="4" t="s">
        <v>15</v>
      </c>
      <c r="C1054" s="5">
        <v>0.13349246231199999</v>
      </c>
      <c r="D1054" s="5">
        <v>1</v>
      </c>
      <c r="E1054" s="4" t="s">
        <v>13</v>
      </c>
      <c r="F1054" s="5">
        <v>3</v>
      </c>
      <c r="G1054" s="5">
        <v>0</v>
      </c>
      <c r="H1054" s="4" t="s">
        <v>488</v>
      </c>
      <c r="I1054" s="4" t="s">
        <v>1234</v>
      </c>
      <c r="J1054" s="4" t="s">
        <v>1235</v>
      </c>
      <c r="K1054" s="4" t="s">
        <v>10</v>
      </c>
      <c r="L1054" s="4" t="s">
        <v>487</v>
      </c>
      <c r="M1054" s="5">
        <v>0</v>
      </c>
      <c r="N1054" s="4" t="s">
        <v>1241</v>
      </c>
    </row>
    <row r="1055" spans="1:14" x14ac:dyDescent="0.15">
      <c r="A1055" s="4" t="s">
        <v>408</v>
      </c>
      <c r="B1055" s="4" t="s">
        <v>23</v>
      </c>
      <c r="C1055" s="5">
        <v>0.33373115577899998</v>
      </c>
      <c r="D1055" s="5">
        <v>1</v>
      </c>
      <c r="E1055" s="4" t="s">
        <v>13</v>
      </c>
      <c r="F1055" s="5">
        <v>3</v>
      </c>
      <c r="G1055" s="5">
        <v>0</v>
      </c>
      <c r="H1055" s="4" t="s">
        <v>488</v>
      </c>
      <c r="I1055" s="4" t="s">
        <v>1234</v>
      </c>
      <c r="J1055" s="4" t="s">
        <v>1235</v>
      </c>
      <c r="K1055" s="4" t="s">
        <v>10</v>
      </c>
      <c r="L1055" s="4" t="s">
        <v>487</v>
      </c>
      <c r="M1055" s="5">
        <v>0</v>
      </c>
      <c r="N1055" s="4" t="s">
        <v>1241</v>
      </c>
    </row>
    <row r="1056" spans="1:14" x14ac:dyDescent="0.15">
      <c r="A1056" s="4" t="s">
        <v>408</v>
      </c>
      <c r="B1056" s="4" t="s">
        <v>24</v>
      </c>
      <c r="C1056" s="5">
        <v>0.13349246231199999</v>
      </c>
      <c r="D1056" s="5">
        <v>1</v>
      </c>
      <c r="E1056" s="4" t="s">
        <v>13</v>
      </c>
      <c r="F1056" s="5">
        <v>3</v>
      </c>
      <c r="G1056" s="5">
        <v>0</v>
      </c>
      <c r="H1056" s="4" t="s">
        <v>488</v>
      </c>
      <c r="I1056" s="4" t="s">
        <v>1234</v>
      </c>
      <c r="J1056" s="4" t="s">
        <v>1235</v>
      </c>
      <c r="K1056" s="4" t="s">
        <v>10</v>
      </c>
      <c r="L1056" s="4" t="s">
        <v>487</v>
      </c>
      <c r="M1056" s="5">
        <v>0</v>
      </c>
      <c r="N1056" s="4" t="s">
        <v>1241</v>
      </c>
    </row>
    <row r="1057" spans="1:14" x14ac:dyDescent="0.15">
      <c r="A1057" s="4" t="s">
        <v>408</v>
      </c>
      <c r="B1057" s="4" t="s">
        <v>17</v>
      </c>
      <c r="C1057" s="5">
        <v>6.9444444444440006</v>
      </c>
      <c r="D1057" s="5">
        <v>1000</v>
      </c>
      <c r="E1057" s="4" t="s">
        <v>18</v>
      </c>
      <c r="F1057" s="5">
        <v>0</v>
      </c>
      <c r="G1057" s="5">
        <v>0</v>
      </c>
      <c r="H1057" s="4" t="s">
        <v>488</v>
      </c>
      <c r="I1057" s="4" t="s">
        <v>1234</v>
      </c>
      <c r="J1057" s="4" t="s">
        <v>1235</v>
      </c>
      <c r="K1057" s="4" t="s">
        <v>10</v>
      </c>
      <c r="L1057" s="4" t="s">
        <v>487</v>
      </c>
      <c r="M1057" s="5">
        <v>0</v>
      </c>
      <c r="N1057" s="4" t="s">
        <v>1241</v>
      </c>
    </row>
    <row r="1058" spans="1:14" x14ac:dyDescent="0.15">
      <c r="A1058" s="4" t="s">
        <v>408</v>
      </c>
      <c r="B1058" s="4" t="s">
        <v>19</v>
      </c>
      <c r="C1058" s="5">
        <v>2</v>
      </c>
      <c r="D1058" s="5">
        <v>1</v>
      </c>
      <c r="E1058" s="4" t="s">
        <v>18</v>
      </c>
      <c r="F1058" s="5">
        <v>0</v>
      </c>
      <c r="G1058" s="5">
        <v>0</v>
      </c>
      <c r="H1058" s="4" t="s">
        <v>488</v>
      </c>
      <c r="I1058" s="4" t="s">
        <v>1236</v>
      </c>
      <c r="J1058" s="4" t="s">
        <v>1235</v>
      </c>
      <c r="K1058" s="4" t="s">
        <v>10</v>
      </c>
      <c r="L1058" s="4" t="s">
        <v>487</v>
      </c>
      <c r="M1058" s="5">
        <v>0</v>
      </c>
      <c r="N1058" s="4" t="s">
        <v>1241</v>
      </c>
    </row>
    <row r="1059" spans="1:14" x14ac:dyDescent="0.15">
      <c r="A1059" s="4" t="s">
        <v>409</v>
      </c>
      <c r="B1059" s="4" t="s">
        <v>22</v>
      </c>
      <c r="C1059" s="5">
        <v>126</v>
      </c>
      <c r="D1059" s="5">
        <v>1</v>
      </c>
      <c r="E1059" s="4" t="s">
        <v>9</v>
      </c>
      <c r="F1059" s="5">
        <v>3</v>
      </c>
      <c r="G1059" s="5">
        <v>0</v>
      </c>
      <c r="H1059" s="4" t="s">
        <v>488</v>
      </c>
      <c r="I1059" s="4" t="s">
        <v>1234</v>
      </c>
      <c r="J1059" s="4" t="s">
        <v>1235</v>
      </c>
      <c r="K1059" s="4" t="s">
        <v>10</v>
      </c>
      <c r="L1059" s="4" t="s">
        <v>487</v>
      </c>
      <c r="M1059" s="5">
        <v>0</v>
      </c>
      <c r="N1059" s="4" t="s">
        <v>1241</v>
      </c>
    </row>
    <row r="1060" spans="1:14" x14ac:dyDescent="0.15">
      <c r="A1060" s="4" t="s">
        <v>409</v>
      </c>
      <c r="B1060" s="4" t="s">
        <v>12</v>
      </c>
      <c r="C1060" s="5">
        <v>10.018662060302001</v>
      </c>
      <c r="D1060" s="5">
        <v>1</v>
      </c>
      <c r="E1060" s="4" t="s">
        <v>13</v>
      </c>
      <c r="F1060" s="5">
        <v>3</v>
      </c>
      <c r="G1060" s="5">
        <v>0</v>
      </c>
      <c r="H1060" s="4" t="s">
        <v>488</v>
      </c>
      <c r="I1060" s="4" t="s">
        <v>1234</v>
      </c>
      <c r="J1060" s="4" t="s">
        <v>1235</v>
      </c>
      <c r="K1060" s="4" t="s">
        <v>10</v>
      </c>
      <c r="L1060" s="4" t="s">
        <v>487</v>
      </c>
      <c r="M1060" s="5">
        <v>0</v>
      </c>
      <c r="N1060" s="4" t="s">
        <v>1241</v>
      </c>
    </row>
    <row r="1061" spans="1:14" x14ac:dyDescent="0.15">
      <c r="A1061" s="4" t="s">
        <v>409</v>
      </c>
      <c r="B1061" s="4" t="s">
        <v>14</v>
      </c>
      <c r="C1061" s="5">
        <v>11.131846733667999</v>
      </c>
      <c r="D1061" s="5">
        <v>1</v>
      </c>
      <c r="E1061" s="4" t="s">
        <v>13</v>
      </c>
      <c r="F1061" s="5">
        <v>3</v>
      </c>
      <c r="G1061" s="5">
        <v>0</v>
      </c>
      <c r="H1061" s="4" t="s">
        <v>488</v>
      </c>
      <c r="I1061" s="4" t="s">
        <v>1234</v>
      </c>
      <c r="J1061" s="4" t="s">
        <v>1235</v>
      </c>
      <c r="K1061" s="4" t="s">
        <v>10</v>
      </c>
      <c r="L1061" s="4" t="s">
        <v>487</v>
      </c>
      <c r="M1061" s="5">
        <v>0</v>
      </c>
      <c r="N1061" s="4" t="s">
        <v>1241</v>
      </c>
    </row>
    <row r="1062" spans="1:14" x14ac:dyDescent="0.15">
      <c r="A1062" s="4" t="s">
        <v>409</v>
      </c>
      <c r="B1062" s="4" t="s">
        <v>15</v>
      </c>
      <c r="C1062" s="5">
        <v>0.222636934673</v>
      </c>
      <c r="D1062" s="5">
        <v>1</v>
      </c>
      <c r="E1062" s="4" t="s">
        <v>13</v>
      </c>
      <c r="F1062" s="5">
        <v>3</v>
      </c>
      <c r="G1062" s="5">
        <v>0</v>
      </c>
      <c r="H1062" s="4" t="s">
        <v>488</v>
      </c>
      <c r="I1062" s="4" t="s">
        <v>1234</v>
      </c>
      <c r="J1062" s="4" t="s">
        <v>1235</v>
      </c>
      <c r="K1062" s="4" t="s">
        <v>10</v>
      </c>
      <c r="L1062" s="4" t="s">
        <v>487</v>
      </c>
      <c r="M1062" s="5">
        <v>0</v>
      </c>
      <c r="N1062" s="4" t="s">
        <v>1241</v>
      </c>
    </row>
    <row r="1063" spans="1:14" x14ac:dyDescent="0.15">
      <c r="A1063" s="4" t="s">
        <v>409</v>
      </c>
      <c r="B1063" s="4" t="s">
        <v>23</v>
      </c>
      <c r="C1063" s="5">
        <v>0.55659233668300001</v>
      </c>
      <c r="D1063" s="5">
        <v>1</v>
      </c>
      <c r="E1063" s="4" t="s">
        <v>13</v>
      </c>
      <c r="F1063" s="5">
        <v>3</v>
      </c>
      <c r="G1063" s="5">
        <v>0</v>
      </c>
      <c r="H1063" s="4" t="s">
        <v>488</v>
      </c>
      <c r="I1063" s="4" t="s">
        <v>1234</v>
      </c>
      <c r="J1063" s="4" t="s">
        <v>1235</v>
      </c>
      <c r="K1063" s="4" t="s">
        <v>10</v>
      </c>
      <c r="L1063" s="4" t="s">
        <v>487</v>
      </c>
      <c r="M1063" s="5">
        <v>0</v>
      </c>
      <c r="N1063" s="4" t="s">
        <v>1241</v>
      </c>
    </row>
    <row r="1064" spans="1:14" x14ac:dyDescent="0.15">
      <c r="A1064" s="4" t="s">
        <v>409</v>
      </c>
      <c r="B1064" s="4" t="s">
        <v>24</v>
      </c>
      <c r="C1064" s="5">
        <v>0.222636934673</v>
      </c>
      <c r="D1064" s="5">
        <v>1</v>
      </c>
      <c r="E1064" s="4" t="s">
        <v>13</v>
      </c>
      <c r="F1064" s="5">
        <v>3</v>
      </c>
      <c r="G1064" s="5">
        <v>0</v>
      </c>
      <c r="H1064" s="4" t="s">
        <v>488</v>
      </c>
      <c r="I1064" s="4" t="s">
        <v>1234</v>
      </c>
      <c r="J1064" s="4" t="s">
        <v>1235</v>
      </c>
      <c r="K1064" s="4" t="s">
        <v>10</v>
      </c>
      <c r="L1064" s="4" t="s">
        <v>487</v>
      </c>
      <c r="M1064" s="5">
        <v>0</v>
      </c>
      <c r="N1064" s="4" t="s">
        <v>1241</v>
      </c>
    </row>
    <row r="1065" spans="1:14" x14ac:dyDescent="0.15">
      <c r="A1065" s="4" t="s">
        <v>409</v>
      </c>
      <c r="B1065" s="4" t="s">
        <v>17</v>
      </c>
      <c r="C1065" s="5">
        <v>22.222222222221998</v>
      </c>
      <c r="D1065" s="5">
        <v>1000</v>
      </c>
      <c r="E1065" s="4" t="s">
        <v>18</v>
      </c>
      <c r="F1065" s="5">
        <v>0</v>
      </c>
      <c r="G1065" s="5">
        <v>0</v>
      </c>
      <c r="H1065" s="4" t="s">
        <v>488</v>
      </c>
      <c r="I1065" s="4" t="s">
        <v>1234</v>
      </c>
      <c r="J1065" s="4" t="s">
        <v>1235</v>
      </c>
      <c r="K1065" s="4" t="s">
        <v>10</v>
      </c>
      <c r="L1065" s="4" t="s">
        <v>487</v>
      </c>
      <c r="M1065" s="5">
        <v>0</v>
      </c>
      <c r="N1065" s="4" t="s">
        <v>1241</v>
      </c>
    </row>
    <row r="1066" spans="1:14" x14ac:dyDescent="0.15">
      <c r="A1066" s="4" t="s">
        <v>409</v>
      </c>
      <c r="B1066" s="4" t="s">
        <v>19</v>
      </c>
      <c r="C1066" s="5">
        <v>8</v>
      </c>
      <c r="D1066" s="5">
        <v>1</v>
      </c>
      <c r="E1066" s="4" t="s">
        <v>18</v>
      </c>
      <c r="F1066" s="5">
        <v>0</v>
      </c>
      <c r="G1066" s="5">
        <v>0</v>
      </c>
      <c r="H1066" s="4" t="s">
        <v>488</v>
      </c>
      <c r="I1066" s="4" t="s">
        <v>1236</v>
      </c>
      <c r="J1066" s="4" t="s">
        <v>1235</v>
      </c>
      <c r="K1066" s="4" t="s">
        <v>10</v>
      </c>
      <c r="L1066" s="4" t="s">
        <v>487</v>
      </c>
      <c r="M1066" s="5">
        <v>0</v>
      </c>
      <c r="N1066" s="4" t="s">
        <v>1241</v>
      </c>
    </row>
    <row r="1067" spans="1:14" x14ac:dyDescent="0.15">
      <c r="A1067" s="4" t="s">
        <v>410</v>
      </c>
      <c r="B1067" s="4" t="s">
        <v>411</v>
      </c>
      <c r="C1067" s="5">
        <v>440</v>
      </c>
      <c r="D1067" s="5">
        <v>1</v>
      </c>
      <c r="E1067" s="4" t="s">
        <v>9</v>
      </c>
      <c r="F1067" s="5">
        <v>0</v>
      </c>
      <c r="G1067" s="5">
        <v>0</v>
      </c>
      <c r="H1067" s="4" t="s">
        <v>488</v>
      </c>
      <c r="I1067" s="4" t="s">
        <v>1234</v>
      </c>
      <c r="J1067" s="4" t="s">
        <v>1235</v>
      </c>
      <c r="K1067" s="4" t="s">
        <v>10</v>
      </c>
      <c r="L1067" s="4" t="s">
        <v>487</v>
      </c>
      <c r="M1067" s="5">
        <v>0</v>
      </c>
      <c r="N1067" s="4" t="s">
        <v>1241</v>
      </c>
    </row>
    <row r="1068" spans="1:14" x14ac:dyDescent="0.15">
      <c r="A1068" s="4" t="s">
        <v>411</v>
      </c>
      <c r="B1068" s="4" t="s">
        <v>412</v>
      </c>
      <c r="C1068" s="5">
        <v>1</v>
      </c>
      <c r="D1068" s="5">
        <v>1</v>
      </c>
      <c r="E1068" s="4" t="s">
        <v>9</v>
      </c>
      <c r="F1068" s="5">
        <v>3</v>
      </c>
      <c r="G1068" s="5">
        <v>0</v>
      </c>
      <c r="H1068" s="4" t="s">
        <v>488</v>
      </c>
      <c r="I1068" s="4" t="s">
        <v>1234</v>
      </c>
      <c r="J1068" s="4" t="s">
        <v>1235</v>
      </c>
      <c r="K1068" s="4" t="s">
        <v>10</v>
      </c>
      <c r="L1068" s="4" t="s">
        <v>487</v>
      </c>
      <c r="M1068" s="5">
        <v>0</v>
      </c>
      <c r="N1068" s="4" t="s">
        <v>1241</v>
      </c>
    </row>
    <row r="1069" spans="1:14" x14ac:dyDescent="0.15">
      <c r="A1069" s="4" t="s">
        <v>411</v>
      </c>
      <c r="B1069" s="4" t="s">
        <v>12</v>
      </c>
      <c r="C1069" s="5">
        <v>5.4101758793970003</v>
      </c>
      <c r="D1069" s="5">
        <v>1000</v>
      </c>
      <c r="E1069" s="4" t="s">
        <v>13</v>
      </c>
      <c r="F1069" s="5">
        <v>3</v>
      </c>
      <c r="G1069" s="5">
        <v>0</v>
      </c>
      <c r="H1069" s="4" t="s">
        <v>488</v>
      </c>
      <c r="I1069" s="4" t="s">
        <v>1234</v>
      </c>
      <c r="J1069" s="4" t="s">
        <v>1235</v>
      </c>
      <c r="K1069" s="4" t="s">
        <v>10</v>
      </c>
      <c r="L1069" s="4" t="s">
        <v>487</v>
      </c>
      <c r="M1069" s="5">
        <v>0</v>
      </c>
      <c r="N1069" s="4" t="s">
        <v>1241</v>
      </c>
    </row>
    <row r="1070" spans="1:14" x14ac:dyDescent="0.15">
      <c r="A1070" s="4" t="s">
        <v>411</v>
      </c>
      <c r="B1070" s="4" t="s">
        <v>14</v>
      </c>
      <c r="C1070" s="5">
        <v>6.0113065326629993</v>
      </c>
      <c r="D1070" s="5">
        <v>1000</v>
      </c>
      <c r="E1070" s="4" t="s">
        <v>13</v>
      </c>
      <c r="F1070" s="5">
        <v>3</v>
      </c>
      <c r="G1070" s="5">
        <v>0</v>
      </c>
      <c r="H1070" s="4" t="s">
        <v>488</v>
      </c>
      <c r="I1070" s="4" t="s">
        <v>1234</v>
      </c>
      <c r="J1070" s="4" t="s">
        <v>1235</v>
      </c>
      <c r="K1070" s="4" t="s">
        <v>10</v>
      </c>
      <c r="L1070" s="4" t="s">
        <v>487</v>
      </c>
      <c r="M1070" s="5">
        <v>0</v>
      </c>
      <c r="N1070" s="4" t="s">
        <v>1241</v>
      </c>
    </row>
    <row r="1071" spans="1:14" x14ac:dyDescent="0.15">
      <c r="A1071" s="4" t="s">
        <v>411</v>
      </c>
      <c r="B1071" s="4" t="s">
        <v>15</v>
      </c>
      <c r="C1071" s="5">
        <v>0.120226130653</v>
      </c>
      <c r="D1071" s="5">
        <v>1000</v>
      </c>
      <c r="E1071" s="4" t="s">
        <v>13</v>
      </c>
      <c r="F1071" s="5">
        <v>3</v>
      </c>
      <c r="G1071" s="5">
        <v>0</v>
      </c>
      <c r="H1071" s="4" t="s">
        <v>488</v>
      </c>
      <c r="I1071" s="4" t="s">
        <v>1234</v>
      </c>
      <c r="J1071" s="4" t="s">
        <v>1235</v>
      </c>
      <c r="K1071" s="4" t="s">
        <v>10</v>
      </c>
      <c r="L1071" s="4" t="s">
        <v>487</v>
      </c>
      <c r="M1071" s="5">
        <v>0</v>
      </c>
      <c r="N1071" s="4" t="s">
        <v>1241</v>
      </c>
    </row>
    <row r="1072" spans="1:14" x14ac:dyDescent="0.15">
      <c r="A1072" s="4" t="s">
        <v>411</v>
      </c>
      <c r="B1072" s="4" t="s">
        <v>23</v>
      </c>
      <c r="C1072" s="5">
        <v>0.30056532663300001</v>
      </c>
      <c r="D1072" s="5">
        <v>1000</v>
      </c>
      <c r="E1072" s="4" t="s">
        <v>13</v>
      </c>
      <c r="F1072" s="5">
        <v>3</v>
      </c>
      <c r="G1072" s="5">
        <v>0</v>
      </c>
      <c r="H1072" s="4" t="s">
        <v>488</v>
      </c>
      <c r="I1072" s="4" t="s">
        <v>1234</v>
      </c>
      <c r="J1072" s="4" t="s">
        <v>1235</v>
      </c>
      <c r="K1072" s="4" t="s">
        <v>10</v>
      </c>
      <c r="L1072" s="4" t="s">
        <v>487</v>
      </c>
      <c r="M1072" s="5">
        <v>0</v>
      </c>
      <c r="N1072" s="4" t="s">
        <v>1241</v>
      </c>
    </row>
    <row r="1073" spans="1:14" x14ac:dyDescent="0.15">
      <c r="A1073" s="4" t="s">
        <v>411</v>
      </c>
      <c r="B1073" s="4" t="s">
        <v>24</v>
      </c>
      <c r="C1073" s="5">
        <v>0.120226130653</v>
      </c>
      <c r="D1073" s="5">
        <v>1000</v>
      </c>
      <c r="E1073" s="4" t="s">
        <v>13</v>
      </c>
      <c r="F1073" s="5">
        <v>3</v>
      </c>
      <c r="G1073" s="5">
        <v>0</v>
      </c>
      <c r="H1073" s="4" t="s">
        <v>488</v>
      </c>
      <c r="I1073" s="4" t="s">
        <v>1234</v>
      </c>
      <c r="J1073" s="4" t="s">
        <v>1235</v>
      </c>
      <c r="K1073" s="4" t="s">
        <v>10</v>
      </c>
      <c r="L1073" s="4" t="s">
        <v>487</v>
      </c>
      <c r="M1073" s="5">
        <v>0</v>
      </c>
      <c r="N1073" s="4" t="s">
        <v>1241</v>
      </c>
    </row>
    <row r="1074" spans="1:14" x14ac:dyDescent="0.15">
      <c r="A1074" s="4" t="s">
        <v>411</v>
      </c>
      <c r="B1074" s="4" t="s">
        <v>17</v>
      </c>
      <c r="C1074" s="5">
        <v>5.1679586563309998</v>
      </c>
      <c r="D1074" s="5">
        <v>1000</v>
      </c>
      <c r="E1074" s="4" t="s">
        <v>18</v>
      </c>
      <c r="F1074" s="5">
        <v>0</v>
      </c>
      <c r="G1074" s="5">
        <v>0</v>
      </c>
      <c r="H1074" s="4" t="s">
        <v>488</v>
      </c>
      <c r="I1074" s="4" t="s">
        <v>1234</v>
      </c>
      <c r="J1074" s="4" t="s">
        <v>1235</v>
      </c>
      <c r="K1074" s="4" t="s">
        <v>10</v>
      </c>
      <c r="L1074" s="4" t="s">
        <v>487</v>
      </c>
      <c r="M1074" s="5">
        <v>0</v>
      </c>
      <c r="N1074" s="4" t="s">
        <v>1241</v>
      </c>
    </row>
    <row r="1075" spans="1:14" x14ac:dyDescent="0.15">
      <c r="A1075" s="4" t="s">
        <v>411</v>
      </c>
      <c r="B1075" s="4" t="s">
        <v>19</v>
      </c>
      <c r="C1075" s="5">
        <v>8</v>
      </c>
      <c r="D1075" s="5">
        <v>1</v>
      </c>
      <c r="E1075" s="4" t="s">
        <v>18</v>
      </c>
      <c r="F1075" s="5">
        <v>0</v>
      </c>
      <c r="G1075" s="5">
        <v>0</v>
      </c>
      <c r="H1075" s="4" t="s">
        <v>488</v>
      </c>
      <c r="I1075" s="4" t="s">
        <v>1236</v>
      </c>
      <c r="J1075" s="4" t="s">
        <v>1235</v>
      </c>
      <c r="K1075" s="4" t="s">
        <v>10</v>
      </c>
      <c r="L1075" s="4" t="s">
        <v>487</v>
      </c>
      <c r="M1075" s="5">
        <v>0</v>
      </c>
      <c r="N1075" s="4" t="s">
        <v>1241</v>
      </c>
    </row>
    <row r="1076" spans="1:14" x14ac:dyDescent="0.15">
      <c r="A1076" s="4" t="s">
        <v>413</v>
      </c>
      <c r="B1076" s="4" t="s">
        <v>414</v>
      </c>
      <c r="C1076" s="5">
        <v>1.8620000000000001</v>
      </c>
      <c r="D1076" s="5">
        <v>1</v>
      </c>
      <c r="E1076" s="4" t="s">
        <v>9</v>
      </c>
      <c r="F1076" s="5">
        <v>0</v>
      </c>
      <c r="G1076" s="5">
        <v>0</v>
      </c>
      <c r="H1076" s="4" t="s">
        <v>488</v>
      </c>
      <c r="I1076" s="4" t="s">
        <v>1234</v>
      </c>
      <c r="J1076" s="4" t="s">
        <v>1235</v>
      </c>
      <c r="K1076" s="4" t="s">
        <v>10</v>
      </c>
      <c r="L1076" s="4" t="s">
        <v>487</v>
      </c>
      <c r="M1076" s="5">
        <v>0</v>
      </c>
      <c r="N1076" s="4" t="s">
        <v>1241</v>
      </c>
    </row>
    <row r="1077" spans="1:14" x14ac:dyDescent="0.15">
      <c r="A1077" s="4" t="s">
        <v>415</v>
      </c>
      <c r="B1077" s="4" t="s">
        <v>414</v>
      </c>
      <c r="C1077" s="5">
        <v>2.0620000000000003</v>
      </c>
      <c r="D1077" s="5">
        <v>1</v>
      </c>
      <c r="E1077" s="4" t="s">
        <v>9</v>
      </c>
      <c r="F1077" s="5">
        <v>0</v>
      </c>
      <c r="G1077" s="5">
        <v>0</v>
      </c>
      <c r="H1077" s="4" t="s">
        <v>488</v>
      </c>
      <c r="I1077" s="4" t="s">
        <v>1234</v>
      </c>
      <c r="J1077" s="4" t="s">
        <v>1235</v>
      </c>
      <c r="K1077" s="4" t="s">
        <v>10</v>
      </c>
      <c r="L1077" s="4" t="s">
        <v>487</v>
      </c>
      <c r="M1077" s="5">
        <v>0</v>
      </c>
      <c r="N1077" s="4" t="s">
        <v>1241</v>
      </c>
    </row>
    <row r="1078" spans="1:14" x14ac:dyDescent="0.15">
      <c r="A1078" s="4" t="s">
        <v>416</v>
      </c>
      <c r="B1078" s="4" t="s">
        <v>414</v>
      </c>
      <c r="C1078" s="5">
        <v>2.1619999999999999</v>
      </c>
      <c r="D1078" s="5">
        <v>1</v>
      </c>
      <c r="E1078" s="4" t="s">
        <v>9</v>
      </c>
      <c r="F1078" s="5">
        <v>0</v>
      </c>
      <c r="G1078" s="5">
        <v>0</v>
      </c>
      <c r="H1078" s="4" t="s">
        <v>488</v>
      </c>
      <c r="I1078" s="4" t="s">
        <v>1234</v>
      </c>
      <c r="J1078" s="4" t="s">
        <v>1235</v>
      </c>
      <c r="K1078" s="4" t="s">
        <v>10</v>
      </c>
      <c r="L1078" s="4" t="s">
        <v>487</v>
      </c>
      <c r="M1078" s="5">
        <v>0</v>
      </c>
      <c r="N1078" s="4" t="s">
        <v>1241</v>
      </c>
    </row>
    <row r="1079" spans="1:14" x14ac:dyDescent="0.15">
      <c r="A1079" s="4" t="s">
        <v>417</v>
      </c>
      <c r="B1079" s="4" t="s">
        <v>414</v>
      </c>
      <c r="C1079" s="5">
        <v>2.262</v>
      </c>
      <c r="D1079" s="5">
        <v>1</v>
      </c>
      <c r="E1079" s="4" t="s">
        <v>9</v>
      </c>
      <c r="F1079" s="5">
        <v>0</v>
      </c>
      <c r="G1079" s="5">
        <v>0</v>
      </c>
      <c r="H1079" s="4" t="s">
        <v>488</v>
      </c>
      <c r="I1079" s="4" t="s">
        <v>1234</v>
      </c>
      <c r="J1079" s="4" t="s">
        <v>1235</v>
      </c>
      <c r="K1079" s="4" t="s">
        <v>10</v>
      </c>
      <c r="L1079" s="4" t="s">
        <v>487</v>
      </c>
      <c r="M1079" s="5">
        <v>0</v>
      </c>
      <c r="N1079" s="4" t="s">
        <v>1241</v>
      </c>
    </row>
    <row r="1080" spans="1:14" x14ac:dyDescent="0.15">
      <c r="A1080" s="4" t="s">
        <v>418</v>
      </c>
      <c r="B1080" s="4" t="s">
        <v>414</v>
      </c>
      <c r="C1080" s="5">
        <v>2.4620000000000002</v>
      </c>
      <c r="D1080" s="5">
        <v>1</v>
      </c>
      <c r="E1080" s="4" t="s">
        <v>9</v>
      </c>
      <c r="F1080" s="5">
        <v>0</v>
      </c>
      <c r="G1080" s="5">
        <v>0</v>
      </c>
      <c r="H1080" s="4" t="s">
        <v>488</v>
      </c>
      <c r="I1080" s="4" t="s">
        <v>1234</v>
      </c>
      <c r="J1080" s="4" t="s">
        <v>1235</v>
      </c>
      <c r="K1080" s="4" t="s">
        <v>10</v>
      </c>
      <c r="L1080" s="4" t="s">
        <v>487</v>
      </c>
      <c r="M1080" s="5">
        <v>0</v>
      </c>
      <c r="N1080" s="4" t="s">
        <v>1241</v>
      </c>
    </row>
    <row r="1081" spans="1:14" x14ac:dyDescent="0.15">
      <c r="A1081" s="4" t="s">
        <v>419</v>
      </c>
      <c r="B1081" s="4" t="s">
        <v>414</v>
      </c>
      <c r="C1081" s="5">
        <v>2.762</v>
      </c>
      <c r="D1081" s="5">
        <v>1</v>
      </c>
      <c r="E1081" s="4" t="s">
        <v>9</v>
      </c>
      <c r="F1081" s="5">
        <v>0</v>
      </c>
      <c r="G1081" s="5">
        <v>0</v>
      </c>
      <c r="H1081" s="4" t="s">
        <v>488</v>
      </c>
      <c r="I1081" s="4" t="s">
        <v>1234</v>
      </c>
      <c r="J1081" s="4" t="s">
        <v>1235</v>
      </c>
      <c r="K1081" s="4" t="s">
        <v>10</v>
      </c>
      <c r="L1081" s="4" t="s">
        <v>487</v>
      </c>
      <c r="M1081" s="5">
        <v>0</v>
      </c>
      <c r="N1081" s="4" t="s">
        <v>1241</v>
      </c>
    </row>
    <row r="1082" spans="1:14" x14ac:dyDescent="0.15">
      <c r="A1082" s="4" t="s">
        <v>420</v>
      </c>
      <c r="B1082" s="4" t="s">
        <v>414</v>
      </c>
      <c r="C1082" s="5">
        <v>2.9620000000000002</v>
      </c>
      <c r="D1082" s="5">
        <v>1</v>
      </c>
      <c r="E1082" s="4" t="s">
        <v>9</v>
      </c>
      <c r="F1082" s="5">
        <v>0</v>
      </c>
      <c r="G1082" s="5">
        <v>0</v>
      </c>
      <c r="H1082" s="4" t="s">
        <v>488</v>
      </c>
      <c r="I1082" s="4" t="s">
        <v>1234</v>
      </c>
      <c r="J1082" s="4" t="s">
        <v>1235</v>
      </c>
      <c r="K1082" s="4" t="s">
        <v>10</v>
      </c>
      <c r="L1082" s="4" t="s">
        <v>487</v>
      </c>
      <c r="M1082" s="5">
        <v>0</v>
      </c>
      <c r="N1082" s="4" t="s">
        <v>1241</v>
      </c>
    </row>
    <row r="1083" spans="1:14" x14ac:dyDescent="0.15">
      <c r="A1083" s="4" t="s">
        <v>421</v>
      </c>
      <c r="B1083" s="4" t="s">
        <v>414</v>
      </c>
      <c r="C1083" s="5">
        <v>3.1619999999999999</v>
      </c>
      <c r="D1083" s="5">
        <v>1</v>
      </c>
      <c r="E1083" s="4" t="s">
        <v>9</v>
      </c>
      <c r="F1083" s="5">
        <v>0</v>
      </c>
      <c r="G1083" s="5">
        <v>0</v>
      </c>
      <c r="H1083" s="4" t="s">
        <v>488</v>
      </c>
      <c r="I1083" s="4" t="s">
        <v>1234</v>
      </c>
      <c r="J1083" s="4" t="s">
        <v>1235</v>
      </c>
      <c r="K1083" s="4" t="s">
        <v>10</v>
      </c>
      <c r="L1083" s="4" t="s">
        <v>487</v>
      </c>
      <c r="M1083" s="5">
        <v>0</v>
      </c>
      <c r="N1083" s="4" t="s">
        <v>1241</v>
      </c>
    </row>
    <row r="1084" spans="1:14" x14ac:dyDescent="0.15">
      <c r="A1084" s="4" t="s">
        <v>422</v>
      </c>
      <c r="B1084" s="4" t="s">
        <v>414</v>
      </c>
      <c r="C1084" s="5">
        <v>3.3619999999999997</v>
      </c>
      <c r="D1084" s="5">
        <v>1</v>
      </c>
      <c r="E1084" s="4" t="s">
        <v>9</v>
      </c>
      <c r="F1084" s="5">
        <v>0</v>
      </c>
      <c r="G1084" s="5">
        <v>0</v>
      </c>
      <c r="H1084" s="4" t="s">
        <v>488</v>
      </c>
      <c r="I1084" s="4" t="s">
        <v>1234</v>
      </c>
      <c r="J1084" s="4" t="s">
        <v>1235</v>
      </c>
      <c r="K1084" s="4" t="s">
        <v>10</v>
      </c>
      <c r="L1084" s="4" t="s">
        <v>487</v>
      </c>
      <c r="M1084" s="5">
        <v>0</v>
      </c>
      <c r="N1084" s="4" t="s">
        <v>1241</v>
      </c>
    </row>
    <row r="1085" spans="1:14" x14ac:dyDescent="0.15">
      <c r="A1085" s="4" t="s">
        <v>423</v>
      </c>
      <c r="B1085" s="4" t="s">
        <v>414</v>
      </c>
      <c r="C1085" s="5">
        <v>3.5619999999999998</v>
      </c>
      <c r="D1085" s="5">
        <v>1</v>
      </c>
      <c r="E1085" s="4" t="s">
        <v>9</v>
      </c>
      <c r="F1085" s="5">
        <v>0</v>
      </c>
      <c r="G1085" s="5">
        <v>0</v>
      </c>
      <c r="H1085" s="4" t="s">
        <v>488</v>
      </c>
      <c r="I1085" s="4" t="s">
        <v>1234</v>
      </c>
      <c r="J1085" s="4" t="s">
        <v>1235</v>
      </c>
      <c r="K1085" s="4" t="s">
        <v>10</v>
      </c>
      <c r="L1085" s="4" t="s">
        <v>487</v>
      </c>
      <c r="M1085" s="5">
        <v>0</v>
      </c>
      <c r="N1085" s="4" t="s">
        <v>1241</v>
      </c>
    </row>
    <row r="1086" spans="1:14" x14ac:dyDescent="0.15">
      <c r="A1086" s="4" t="s">
        <v>424</v>
      </c>
      <c r="B1086" s="4" t="s">
        <v>414</v>
      </c>
      <c r="C1086" s="5">
        <v>3.7619999999999996</v>
      </c>
      <c r="D1086" s="5">
        <v>1</v>
      </c>
      <c r="E1086" s="4" t="s">
        <v>9</v>
      </c>
      <c r="F1086" s="5">
        <v>0</v>
      </c>
      <c r="G1086" s="5">
        <v>0</v>
      </c>
      <c r="H1086" s="4" t="s">
        <v>488</v>
      </c>
      <c r="I1086" s="4" t="s">
        <v>1234</v>
      </c>
      <c r="J1086" s="4" t="s">
        <v>1235</v>
      </c>
      <c r="K1086" s="4" t="s">
        <v>10</v>
      </c>
      <c r="L1086" s="4" t="s">
        <v>487</v>
      </c>
      <c r="M1086" s="5">
        <v>0</v>
      </c>
      <c r="N1086" s="4" t="s">
        <v>1241</v>
      </c>
    </row>
    <row r="1087" spans="1:14" x14ac:dyDescent="0.15">
      <c r="A1087" s="4" t="s">
        <v>425</v>
      </c>
      <c r="B1087" s="4" t="s">
        <v>414</v>
      </c>
      <c r="C1087" s="5">
        <v>4.5619999999999994</v>
      </c>
      <c r="D1087" s="5">
        <v>1</v>
      </c>
      <c r="E1087" s="4" t="s">
        <v>9</v>
      </c>
      <c r="F1087" s="5">
        <v>0</v>
      </c>
      <c r="G1087" s="5">
        <v>0</v>
      </c>
      <c r="H1087" s="4" t="s">
        <v>488</v>
      </c>
      <c r="I1087" s="4" t="s">
        <v>1234</v>
      </c>
      <c r="J1087" s="4" t="s">
        <v>1235</v>
      </c>
      <c r="K1087" s="4" t="s">
        <v>10</v>
      </c>
      <c r="L1087" s="4" t="s">
        <v>487</v>
      </c>
      <c r="M1087" s="5">
        <v>0</v>
      </c>
      <c r="N1087" s="4" t="s">
        <v>1241</v>
      </c>
    </row>
    <row r="1088" spans="1:14" x14ac:dyDescent="0.15">
      <c r="A1088" s="4" t="s">
        <v>426</v>
      </c>
      <c r="B1088" s="4" t="s">
        <v>414</v>
      </c>
      <c r="C1088" s="5">
        <v>1.629</v>
      </c>
      <c r="D1088" s="5">
        <v>1</v>
      </c>
      <c r="E1088" s="4" t="s">
        <v>9</v>
      </c>
      <c r="F1088" s="5">
        <v>0</v>
      </c>
      <c r="G1088" s="5">
        <v>0</v>
      </c>
      <c r="H1088" s="4" t="s">
        <v>488</v>
      </c>
      <c r="I1088" s="4" t="s">
        <v>1234</v>
      </c>
      <c r="J1088" s="4" t="s">
        <v>1235</v>
      </c>
      <c r="K1088" s="4" t="s">
        <v>10</v>
      </c>
      <c r="L1088" s="4" t="s">
        <v>487</v>
      </c>
      <c r="M1088" s="5">
        <v>0</v>
      </c>
      <c r="N1088" s="4" t="s">
        <v>1241</v>
      </c>
    </row>
    <row r="1089" spans="1:14" x14ac:dyDescent="0.15">
      <c r="A1089" s="4" t="s">
        <v>427</v>
      </c>
      <c r="B1089" s="4" t="s">
        <v>414</v>
      </c>
      <c r="C1089" s="5">
        <v>1.7739999999999998</v>
      </c>
      <c r="D1089" s="5">
        <v>1</v>
      </c>
      <c r="E1089" s="4" t="s">
        <v>9</v>
      </c>
      <c r="F1089" s="5">
        <v>0</v>
      </c>
      <c r="G1089" s="5">
        <v>0</v>
      </c>
      <c r="H1089" s="4" t="s">
        <v>488</v>
      </c>
      <c r="I1089" s="4" t="s">
        <v>1234</v>
      </c>
      <c r="J1089" s="4" t="s">
        <v>1235</v>
      </c>
      <c r="K1089" s="4" t="s">
        <v>10</v>
      </c>
      <c r="L1089" s="4" t="s">
        <v>487</v>
      </c>
      <c r="M1089" s="5">
        <v>0</v>
      </c>
      <c r="N1089" s="4" t="s">
        <v>1241</v>
      </c>
    </row>
    <row r="1090" spans="1:14" x14ac:dyDescent="0.15">
      <c r="A1090" s="4" t="s">
        <v>428</v>
      </c>
      <c r="B1090" s="4" t="s">
        <v>414</v>
      </c>
      <c r="C1090" s="5">
        <v>1.8109999999999999</v>
      </c>
      <c r="D1090" s="5">
        <v>1</v>
      </c>
      <c r="E1090" s="4" t="s">
        <v>9</v>
      </c>
      <c r="F1090" s="5">
        <v>0</v>
      </c>
      <c r="G1090" s="5">
        <v>0</v>
      </c>
      <c r="H1090" s="4" t="s">
        <v>488</v>
      </c>
      <c r="I1090" s="4" t="s">
        <v>1234</v>
      </c>
      <c r="J1090" s="4" t="s">
        <v>1235</v>
      </c>
      <c r="K1090" s="4" t="s">
        <v>10</v>
      </c>
      <c r="L1090" s="4" t="s">
        <v>487</v>
      </c>
      <c r="M1090" s="5">
        <v>0</v>
      </c>
      <c r="N1090" s="4" t="s">
        <v>1241</v>
      </c>
    </row>
    <row r="1091" spans="1:14" x14ac:dyDescent="0.15">
      <c r="A1091" s="4" t="s">
        <v>429</v>
      </c>
      <c r="B1091" s="4" t="s">
        <v>414</v>
      </c>
      <c r="C1091" s="5">
        <v>1.829</v>
      </c>
      <c r="D1091" s="5">
        <v>1</v>
      </c>
      <c r="E1091" s="4" t="s">
        <v>9</v>
      </c>
      <c r="F1091" s="5">
        <v>0</v>
      </c>
      <c r="G1091" s="5">
        <v>0</v>
      </c>
      <c r="H1091" s="4" t="s">
        <v>488</v>
      </c>
      <c r="I1091" s="4" t="s">
        <v>1234</v>
      </c>
      <c r="J1091" s="4" t="s">
        <v>1235</v>
      </c>
      <c r="K1091" s="4" t="s">
        <v>10</v>
      </c>
      <c r="L1091" s="4" t="s">
        <v>487</v>
      </c>
      <c r="M1091" s="5">
        <v>0</v>
      </c>
      <c r="N1091" s="4" t="s">
        <v>1241</v>
      </c>
    </row>
    <row r="1092" spans="1:14" x14ac:dyDescent="0.15">
      <c r="A1092" s="4" t="s">
        <v>430</v>
      </c>
      <c r="B1092" s="4" t="s">
        <v>414</v>
      </c>
      <c r="C1092" s="5">
        <v>1.8460000000000001</v>
      </c>
      <c r="D1092" s="5">
        <v>1</v>
      </c>
      <c r="E1092" s="4" t="s">
        <v>9</v>
      </c>
      <c r="F1092" s="5">
        <v>0</v>
      </c>
      <c r="G1092" s="5">
        <v>0</v>
      </c>
      <c r="H1092" s="4" t="s">
        <v>488</v>
      </c>
      <c r="I1092" s="4" t="s">
        <v>1234</v>
      </c>
      <c r="J1092" s="4" t="s">
        <v>1235</v>
      </c>
      <c r="K1092" s="4" t="s">
        <v>10</v>
      </c>
      <c r="L1092" s="4" t="s">
        <v>487</v>
      </c>
      <c r="M1092" s="5">
        <v>0</v>
      </c>
      <c r="N1092" s="4" t="s">
        <v>1241</v>
      </c>
    </row>
    <row r="1093" spans="1:14" x14ac:dyDescent="0.15">
      <c r="A1093" s="4" t="s">
        <v>431</v>
      </c>
      <c r="B1093" s="4" t="s">
        <v>414</v>
      </c>
      <c r="C1093" s="5">
        <v>1.9289999999999998</v>
      </c>
      <c r="D1093" s="5">
        <v>1</v>
      </c>
      <c r="E1093" s="4" t="s">
        <v>9</v>
      </c>
      <c r="F1093" s="5">
        <v>0</v>
      </c>
      <c r="G1093" s="5">
        <v>0</v>
      </c>
      <c r="H1093" s="4" t="s">
        <v>488</v>
      </c>
      <c r="I1093" s="4" t="s">
        <v>1234</v>
      </c>
      <c r="J1093" s="4" t="s">
        <v>1235</v>
      </c>
      <c r="K1093" s="4" t="s">
        <v>10</v>
      </c>
      <c r="L1093" s="4" t="s">
        <v>487</v>
      </c>
      <c r="M1093" s="5">
        <v>0</v>
      </c>
      <c r="N1093" s="4" t="s">
        <v>1241</v>
      </c>
    </row>
    <row r="1094" spans="1:14" x14ac:dyDescent="0.15">
      <c r="A1094" s="4" t="s">
        <v>432</v>
      </c>
      <c r="B1094" s="4" t="s">
        <v>414</v>
      </c>
      <c r="C1094" s="5">
        <v>1.9739999999999998</v>
      </c>
      <c r="D1094" s="5">
        <v>1</v>
      </c>
      <c r="E1094" s="4" t="s">
        <v>9</v>
      </c>
      <c r="F1094" s="5">
        <v>0</v>
      </c>
      <c r="G1094" s="5">
        <v>0</v>
      </c>
      <c r="H1094" s="4" t="s">
        <v>488</v>
      </c>
      <c r="I1094" s="4" t="s">
        <v>1234</v>
      </c>
      <c r="J1094" s="4" t="s">
        <v>1235</v>
      </c>
      <c r="K1094" s="4" t="s">
        <v>10</v>
      </c>
      <c r="L1094" s="4" t="s">
        <v>487</v>
      </c>
      <c r="M1094" s="5">
        <v>0</v>
      </c>
      <c r="N1094" s="4" t="s">
        <v>1241</v>
      </c>
    </row>
    <row r="1095" spans="1:14" x14ac:dyDescent="0.15">
      <c r="A1095" s="4" t="s">
        <v>433</v>
      </c>
      <c r="B1095" s="4" t="s">
        <v>414</v>
      </c>
      <c r="C1095" s="5">
        <v>2.0460000000000003</v>
      </c>
      <c r="D1095" s="5">
        <v>1</v>
      </c>
      <c r="E1095" s="4" t="s">
        <v>9</v>
      </c>
      <c r="F1095" s="5">
        <v>0</v>
      </c>
      <c r="G1095" s="5">
        <v>0</v>
      </c>
      <c r="H1095" s="4" t="s">
        <v>488</v>
      </c>
      <c r="I1095" s="4" t="s">
        <v>1234</v>
      </c>
      <c r="J1095" s="4" t="s">
        <v>1235</v>
      </c>
      <c r="K1095" s="4" t="s">
        <v>10</v>
      </c>
      <c r="L1095" s="4" t="s">
        <v>487</v>
      </c>
      <c r="M1095" s="5">
        <v>0</v>
      </c>
      <c r="N1095" s="4" t="s">
        <v>1241</v>
      </c>
    </row>
    <row r="1096" spans="1:14" x14ac:dyDescent="0.15">
      <c r="A1096" s="4" t="s">
        <v>434</v>
      </c>
      <c r="B1096" s="4" t="s">
        <v>414</v>
      </c>
      <c r="C1096" s="5">
        <v>2.0739999999999998</v>
      </c>
      <c r="D1096" s="5">
        <v>1</v>
      </c>
      <c r="E1096" s="4" t="s">
        <v>9</v>
      </c>
      <c r="F1096" s="5">
        <v>0</v>
      </c>
      <c r="G1096" s="5">
        <v>0</v>
      </c>
      <c r="H1096" s="4" t="s">
        <v>488</v>
      </c>
      <c r="I1096" s="4" t="s">
        <v>1234</v>
      </c>
      <c r="J1096" s="4" t="s">
        <v>1235</v>
      </c>
      <c r="K1096" s="4" t="s">
        <v>10</v>
      </c>
      <c r="L1096" s="4" t="s">
        <v>487</v>
      </c>
      <c r="M1096" s="5">
        <v>0</v>
      </c>
      <c r="N1096" s="4" t="s">
        <v>1241</v>
      </c>
    </row>
    <row r="1097" spans="1:14" x14ac:dyDescent="0.15">
      <c r="A1097" s="4" t="s">
        <v>435</v>
      </c>
      <c r="B1097" s="4" t="s">
        <v>414</v>
      </c>
      <c r="C1097" s="5">
        <v>2.2109999999999999</v>
      </c>
      <c r="D1097" s="5">
        <v>1</v>
      </c>
      <c r="E1097" s="4" t="s">
        <v>9</v>
      </c>
      <c r="F1097" s="5">
        <v>0</v>
      </c>
      <c r="G1097" s="5">
        <v>0</v>
      </c>
      <c r="H1097" s="4" t="s">
        <v>488</v>
      </c>
      <c r="I1097" s="4" t="s">
        <v>1234</v>
      </c>
      <c r="J1097" s="4" t="s">
        <v>1235</v>
      </c>
      <c r="K1097" s="4" t="s">
        <v>10</v>
      </c>
      <c r="L1097" s="4" t="s">
        <v>487</v>
      </c>
      <c r="M1097" s="5">
        <v>0</v>
      </c>
      <c r="N1097" s="4" t="s">
        <v>1241</v>
      </c>
    </row>
    <row r="1098" spans="1:14" x14ac:dyDescent="0.15">
      <c r="A1098" s="4" t="s">
        <v>436</v>
      </c>
      <c r="B1098" s="4" t="s">
        <v>414</v>
      </c>
      <c r="C1098" s="5">
        <v>2.6909999999999998</v>
      </c>
      <c r="D1098" s="5">
        <v>1</v>
      </c>
      <c r="E1098" s="4" t="s">
        <v>9</v>
      </c>
      <c r="F1098" s="5">
        <v>0</v>
      </c>
      <c r="G1098" s="5">
        <v>0</v>
      </c>
      <c r="H1098" s="4" t="s">
        <v>488</v>
      </c>
      <c r="I1098" s="4" t="s">
        <v>1234</v>
      </c>
      <c r="J1098" s="4" t="s">
        <v>1235</v>
      </c>
      <c r="K1098" s="4" t="s">
        <v>10</v>
      </c>
      <c r="L1098" s="4" t="s">
        <v>487</v>
      </c>
      <c r="M1098" s="5">
        <v>0</v>
      </c>
      <c r="N1098" s="4" t="s">
        <v>1241</v>
      </c>
    </row>
    <row r="1099" spans="1:14" x14ac:dyDescent="0.15">
      <c r="A1099" s="4" t="s">
        <v>437</v>
      </c>
      <c r="B1099" s="4" t="s">
        <v>414</v>
      </c>
      <c r="C1099" s="5">
        <v>2.8739999999999997</v>
      </c>
      <c r="D1099" s="5">
        <v>1</v>
      </c>
      <c r="E1099" s="4" t="s">
        <v>9</v>
      </c>
      <c r="F1099" s="5">
        <v>0</v>
      </c>
      <c r="G1099" s="5">
        <v>0</v>
      </c>
      <c r="H1099" s="4" t="s">
        <v>488</v>
      </c>
      <c r="I1099" s="4" t="s">
        <v>1234</v>
      </c>
      <c r="J1099" s="4" t="s">
        <v>1235</v>
      </c>
      <c r="K1099" s="4" t="s">
        <v>10</v>
      </c>
      <c r="L1099" s="4" t="s">
        <v>487</v>
      </c>
      <c r="M1099" s="5">
        <v>0</v>
      </c>
      <c r="N1099" s="4" t="s">
        <v>1241</v>
      </c>
    </row>
    <row r="1100" spans="1:14" x14ac:dyDescent="0.15">
      <c r="A1100" s="4" t="s">
        <v>438</v>
      </c>
      <c r="B1100" s="4" t="s">
        <v>414</v>
      </c>
      <c r="C1100" s="5">
        <v>3.3460000000000001</v>
      </c>
      <c r="D1100" s="5">
        <v>1</v>
      </c>
      <c r="E1100" s="4" t="s">
        <v>9</v>
      </c>
      <c r="F1100" s="5">
        <v>0</v>
      </c>
      <c r="G1100" s="5">
        <v>0</v>
      </c>
      <c r="H1100" s="4" t="s">
        <v>488</v>
      </c>
      <c r="I1100" s="4" t="s">
        <v>1234</v>
      </c>
      <c r="J1100" s="4" t="s">
        <v>1235</v>
      </c>
      <c r="K1100" s="4" t="s">
        <v>10</v>
      </c>
      <c r="L1100" s="4" t="s">
        <v>487</v>
      </c>
      <c r="M1100" s="5">
        <v>0</v>
      </c>
      <c r="N1100" s="4" t="s">
        <v>1241</v>
      </c>
    </row>
    <row r="1101" spans="1:14" x14ac:dyDescent="0.15">
      <c r="A1101" s="4" t="s">
        <v>439</v>
      </c>
      <c r="B1101" s="4" t="s">
        <v>414</v>
      </c>
      <c r="C1101" s="5">
        <v>3.3609999999999998</v>
      </c>
      <c r="D1101" s="5">
        <v>1</v>
      </c>
      <c r="E1101" s="4" t="s">
        <v>9</v>
      </c>
      <c r="F1101" s="5">
        <v>0</v>
      </c>
      <c r="G1101" s="5">
        <v>0</v>
      </c>
      <c r="H1101" s="4" t="s">
        <v>488</v>
      </c>
      <c r="I1101" s="4" t="s">
        <v>1234</v>
      </c>
      <c r="J1101" s="4" t="s">
        <v>1235</v>
      </c>
      <c r="K1101" s="4" t="s">
        <v>10</v>
      </c>
      <c r="L1101" s="4" t="s">
        <v>487</v>
      </c>
      <c r="M1101" s="5">
        <v>0</v>
      </c>
      <c r="N1101" s="4" t="s">
        <v>1241</v>
      </c>
    </row>
    <row r="1102" spans="1:14" x14ac:dyDescent="0.15">
      <c r="A1102" s="4" t="s">
        <v>440</v>
      </c>
      <c r="B1102" s="4" t="s">
        <v>414</v>
      </c>
      <c r="C1102" s="5">
        <v>3.4740000000000002</v>
      </c>
      <c r="D1102" s="5">
        <v>1</v>
      </c>
      <c r="E1102" s="4" t="s">
        <v>9</v>
      </c>
      <c r="F1102" s="5">
        <v>0</v>
      </c>
      <c r="G1102" s="5">
        <v>0</v>
      </c>
      <c r="H1102" s="4" t="s">
        <v>488</v>
      </c>
      <c r="I1102" s="4" t="s">
        <v>1234</v>
      </c>
      <c r="J1102" s="4" t="s">
        <v>1235</v>
      </c>
      <c r="K1102" s="4" t="s">
        <v>10</v>
      </c>
      <c r="L1102" s="4" t="s">
        <v>487</v>
      </c>
      <c r="M1102" s="5">
        <v>0</v>
      </c>
      <c r="N1102" s="4" t="s">
        <v>1241</v>
      </c>
    </row>
    <row r="1103" spans="1:14" x14ac:dyDescent="0.15">
      <c r="A1103" s="4" t="s">
        <v>414</v>
      </c>
      <c r="B1103" s="4" t="s">
        <v>22</v>
      </c>
      <c r="C1103" s="5">
        <v>40</v>
      </c>
      <c r="D1103" s="5">
        <v>1</v>
      </c>
      <c r="E1103" s="4" t="s">
        <v>9</v>
      </c>
      <c r="F1103" s="5">
        <v>3</v>
      </c>
      <c r="G1103" s="5">
        <v>0</v>
      </c>
      <c r="H1103" s="4" t="s">
        <v>488</v>
      </c>
      <c r="I1103" s="4" t="s">
        <v>1234</v>
      </c>
      <c r="J1103" s="4" t="s">
        <v>1235</v>
      </c>
      <c r="K1103" s="4" t="s">
        <v>10</v>
      </c>
      <c r="L1103" s="4" t="s">
        <v>487</v>
      </c>
      <c r="M1103" s="5">
        <v>0</v>
      </c>
      <c r="N1103" s="4" t="s">
        <v>1241</v>
      </c>
    </row>
    <row r="1104" spans="1:14" x14ac:dyDescent="0.15">
      <c r="A1104" s="4" t="s">
        <v>414</v>
      </c>
      <c r="B1104" s="4" t="s">
        <v>12</v>
      </c>
      <c r="C1104" s="5">
        <v>10.447236180905</v>
      </c>
      <c r="D1104" s="5">
        <v>1</v>
      </c>
      <c r="E1104" s="4" t="s">
        <v>13</v>
      </c>
      <c r="F1104" s="5">
        <v>3</v>
      </c>
      <c r="G1104" s="5">
        <v>0</v>
      </c>
      <c r="H1104" s="4" t="s">
        <v>488</v>
      </c>
      <c r="I1104" s="4" t="s">
        <v>1234</v>
      </c>
      <c r="J1104" s="4" t="s">
        <v>1235</v>
      </c>
      <c r="K1104" s="4" t="s">
        <v>10</v>
      </c>
      <c r="L1104" s="4" t="s">
        <v>487</v>
      </c>
      <c r="M1104" s="5">
        <v>0</v>
      </c>
      <c r="N1104" s="4" t="s">
        <v>1241</v>
      </c>
    </row>
    <row r="1105" spans="1:14" x14ac:dyDescent="0.15">
      <c r="A1105" s="4" t="s">
        <v>414</v>
      </c>
      <c r="B1105" s="4" t="s">
        <v>14</v>
      </c>
      <c r="C1105" s="5">
        <v>11.608040201005002</v>
      </c>
      <c r="D1105" s="5">
        <v>1</v>
      </c>
      <c r="E1105" s="4" t="s">
        <v>13</v>
      </c>
      <c r="F1105" s="5">
        <v>3</v>
      </c>
      <c r="G1105" s="5">
        <v>0</v>
      </c>
      <c r="H1105" s="4" t="s">
        <v>488</v>
      </c>
      <c r="I1105" s="4" t="s">
        <v>1234</v>
      </c>
      <c r="J1105" s="4" t="s">
        <v>1235</v>
      </c>
      <c r="K1105" s="4" t="s">
        <v>10</v>
      </c>
      <c r="L1105" s="4" t="s">
        <v>487</v>
      </c>
      <c r="M1105" s="5">
        <v>0</v>
      </c>
      <c r="N1105" s="4" t="s">
        <v>1241</v>
      </c>
    </row>
    <row r="1106" spans="1:14" x14ac:dyDescent="0.15">
      <c r="A1106" s="4" t="s">
        <v>414</v>
      </c>
      <c r="B1106" s="4" t="s">
        <v>15</v>
      </c>
      <c r="C1106" s="5">
        <v>0.23216080402</v>
      </c>
      <c r="D1106" s="5">
        <v>1</v>
      </c>
      <c r="E1106" s="4" t="s">
        <v>13</v>
      </c>
      <c r="F1106" s="5">
        <v>3</v>
      </c>
      <c r="G1106" s="5">
        <v>0</v>
      </c>
      <c r="H1106" s="4" t="s">
        <v>488</v>
      </c>
      <c r="I1106" s="4" t="s">
        <v>1234</v>
      </c>
      <c r="J1106" s="4" t="s">
        <v>1235</v>
      </c>
      <c r="K1106" s="4" t="s">
        <v>10</v>
      </c>
      <c r="L1106" s="4" t="s">
        <v>487</v>
      </c>
      <c r="M1106" s="5">
        <v>0</v>
      </c>
      <c r="N1106" s="4" t="s">
        <v>1241</v>
      </c>
    </row>
    <row r="1107" spans="1:14" x14ac:dyDescent="0.15">
      <c r="A1107" s="4" t="s">
        <v>414</v>
      </c>
      <c r="B1107" s="4" t="s">
        <v>23</v>
      </c>
      <c r="C1107" s="5">
        <v>0.58040201005000003</v>
      </c>
      <c r="D1107" s="5">
        <v>1</v>
      </c>
      <c r="E1107" s="4" t="s">
        <v>13</v>
      </c>
      <c r="F1107" s="5">
        <v>3</v>
      </c>
      <c r="G1107" s="5">
        <v>0</v>
      </c>
      <c r="H1107" s="4" t="s">
        <v>488</v>
      </c>
      <c r="I1107" s="4" t="s">
        <v>1234</v>
      </c>
      <c r="J1107" s="4" t="s">
        <v>1235</v>
      </c>
      <c r="K1107" s="4" t="s">
        <v>10</v>
      </c>
      <c r="L1107" s="4" t="s">
        <v>487</v>
      </c>
      <c r="M1107" s="5">
        <v>0</v>
      </c>
      <c r="N1107" s="4" t="s">
        <v>1241</v>
      </c>
    </row>
    <row r="1108" spans="1:14" x14ac:dyDescent="0.15">
      <c r="A1108" s="4" t="s">
        <v>414</v>
      </c>
      <c r="B1108" s="4" t="s">
        <v>24</v>
      </c>
      <c r="C1108" s="5">
        <v>0.23216080402</v>
      </c>
      <c r="D1108" s="5">
        <v>1</v>
      </c>
      <c r="E1108" s="4" t="s">
        <v>13</v>
      </c>
      <c r="F1108" s="5">
        <v>3</v>
      </c>
      <c r="G1108" s="5">
        <v>0</v>
      </c>
      <c r="H1108" s="4" t="s">
        <v>488</v>
      </c>
      <c r="I1108" s="4" t="s">
        <v>1234</v>
      </c>
      <c r="J1108" s="4" t="s">
        <v>1235</v>
      </c>
      <c r="K1108" s="4" t="s">
        <v>10</v>
      </c>
      <c r="L1108" s="4" t="s">
        <v>487</v>
      </c>
      <c r="M1108" s="5">
        <v>0</v>
      </c>
      <c r="N1108" s="4" t="s">
        <v>1241</v>
      </c>
    </row>
    <row r="1109" spans="1:14" x14ac:dyDescent="0.15">
      <c r="A1109" s="4" t="s">
        <v>414</v>
      </c>
      <c r="B1109" s="4" t="s">
        <v>17</v>
      </c>
      <c r="C1109" s="5">
        <v>13.888888888889001</v>
      </c>
      <c r="D1109" s="5">
        <v>1000</v>
      </c>
      <c r="E1109" s="4" t="s">
        <v>18</v>
      </c>
      <c r="F1109" s="5">
        <v>0</v>
      </c>
      <c r="G1109" s="5">
        <v>0</v>
      </c>
      <c r="H1109" s="4" t="s">
        <v>488</v>
      </c>
      <c r="I1109" s="4" t="s">
        <v>1234</v>
      </c>
      <c r="J1109" s="4" t="s">
        <v>1235</v>
      </c>
      <c r="K1109" s="4" t="s">
        <v>10</v>
      </c>
      <c r="L1109" s="4" t="s">
        <v>487</v>
      </c>
      <c r="M1109" s="5">
        <v>0</v>
      </c>
      <c r="N1109" s="4" t="s">
        <v>1241</v>
      </c>
    </row>
    <row r="1110" spans="1:14" x14ac:dyDescent="0.15">
      <c r="A1110" s="4" t="s">
        <v>414</v>
      </c>
      <c r="B1110" s="4" t="s">
        <v>19</v>
      </c>
      <c r="C1110" s="5">
        <v>3.7593984962410003</v>
      </c>
      <c r="D1110" s="5">
        <v>1</v>
      </c>
      <c r="E1110" s="4" t="s">
        <v>18</v>
      </c>
      <c r="F1110" s="5">
        <v>0</v>
      </c>
      <c r="G1110" s="5">
        <v>0</v>
      </c>
      <c r="H1110" s="4" t="s">
        <v>488</v>
      </c>
      <c r="I1110" s="4" t="s">
        <v>1236</v>
      </c>
      <c r="J1110" s="4" t="s">
        <v>1235</v>
      </c>
      <c r="K1110" s="4" t="s">
        <v>10</v>
      </c>
      <c r="L1110" s="4" t="s">
        <v>487</v>
      </c>
      <c r="M1110" s="5">
        <v>0</v>
      </c>
      <c r="N1110" s="4" t="s">
        <v>1241</v>
      </c>
    </row>
    <row r="1111" spans="1:14" x14ac:dyDescent="0.15">
      <c r="A1111" s="4" t="s">
        <v>441</v>
      </c>
      <c r="B1111" s="4" t="s">
        <v>442</v>
      </c>
      <c r="C1111" s="5">
        <v>1</v>
      </c>
      <c r="D1111" s="5">
        <v>1</v>
      </c>
      <c r="E1111" s="4" t="s">
        <v>9</v>
      </c>
      <c r="F1111" s="5">
        <v>0</v>
      </c>
      <c r="G1111" s="5">
        <v>0</v>
      </c>
      <c r="H1111" s="4" t="s">
        <v>488</v>
      </c>
      <c r="I1111" s="4" t="s">
        <v>1234</v>
      </c>
      <c r="J1111" s="4" t="s">
        <v>1235</v>
      </c>
      <c r="K1111" s="4" t="s">
        <v>10</v>
      </c>
      <c r="L1111" s="4" t="s">
        <v>487</v>
      </c>
      <c r="M1111" s="5">
        <v>0</v>
      </c>
      <c r="N1111" s="4" t="s">
        <v>1241</v>
      </c>
    </row>
    <row r="1112" spans="1:14" x14ac:dyDescent="0.15">
      <c r="A1112" s="4" t="s">
        <v>443</v>
      </c>
      <c r="B1112" s="4" t="s">
        <v>442</v>
      </c>
      <c r="C1112" s="5">
        <v>2</v>
      </c>
      <c r="D1112" s="5">
        <v>1</v>
      </c>
      <c r="E1112" s="4" t="s">
        <v>9</v>
      </c>
      <c r="F1112" s="5">
        <v>0</v>
      </c>
      <c r="G1112" s="5">
        <v>0</v>
      </c>
      <c r="H1112" s="4" t="s">
        <v>488</v>
      </c>
      <c r="I1112" s="4" t="s">
        <v>1234</v>
      </c>
      <c r="J1112" s="4" t="s">
        <v>1235</v>
      </c>
      <c r="K1112" s="4" t="s">
        <v>10</v>
      </c>
      <c r="L1112" s="4" t="s">
        <v>487</v>
      </c>
      <c r="M1112" s="5">
        <v>0</v>
      </c>
      <c r="N1112" s="4" t="s">
        <v>1241</v>
      </c>
    </row>
    <row r="1113" spans="1:14" x14ac:dyDescent="0.15">
      <c r="A1113" s="4" t="s">
        <v>442</v>
      </c>
      <c r="B1113" s="4" t="s">
        <v>444</v>
      </c>
      <c r="C1113" s="5">
        <v>4</v>
      </c>
      <c r="D1113" s="5">
        <v>1</v>
      </c>
      <c r="E1113" s="4" t="s">
        <v>9</v>
      </c>
      <c r="F1113" s="5">
        <v>3</v>
      </c>
      <c r="G1113" s="5">
        <v>0</v>
      </c>
      <c r="H1113" s="4" t="s">
        <v>488</v>
      </c>
      <c r="I1113" s="4" t="s">
        <v>1234</v>
      </c>
      <c r="J1113" s="4" t="s">
        <v>1235</v>
      </c>
      <c r="K1113" s="4" t="s">
        <v>10</v>
      </c>
      <c r="L1113" s="4" t="s">
        <v>487</v>
      </c>
      <c r="M1113" s="5">
        <v>0</v>
      </c>
      <c r="N1113" s="4" t="s">
        <v>1241</v>
      </c>
    </row>
    <row r="1114" spans="1:14" x14ac:dyDescent="0.15">
      <c r="A1114" s="4" t="s">
        <v>442</v>
      </c>
      <c r="B1114" s="4" t="s">
        <v>445</v>
      </c>
      <c r="C1114" s="5">
        <v>1</v>
      </c>
      <c r="D1114" s="5">
        <v>1</v>
      </c>
      <c r="E1114" s="4" t="s">
        <v>9</v>
      </c>
      <c r="F1114" s="5">
        <v>3</v>
      </c>
      <c r="G1114" s="5">
        <v>0</v>
      </c>
      <c r="H1114" s="4" t="s">
        <v>488</v>
      </c>
      <c r="I1114" s="4" t="s">
        <v>1234</v>
      </c>
      <c r="J1114" s="4" t="s">
        <v>1235</v>
      </c>
      <c r="K1114" s="4" t="s">
        <v>10</v>
      </c>
      <c r="L1114" s="4" t="s">
        <v>487</v>
      </c>
      <c r="M1114" s="5">
        <v>0</v>
      </c>
      <c r="N1114" s="4" t="s">
        <v>1241</v>
      </c>
    </row>
    <row r="1115" spans="1:14" x14ac:dyDescent="0.15">
      <c r="A1115" s="4" t="s">
        <v>442</v>
      </c>
      <c r="B1115" s="4" t="s">
        <v>12</v>
      </c>
      <c r="C1115" s="5">
        <v>0.36180904522599999</v>
      </c>
      <c r="D1115" s="5">
        <v>1</v>
      </c>
      <c r="E1115" s="4" t="s">
        <v>13</v>
      </c>
      <c r="F1115" s="5">
        <v>3</v>
      </c>
      <c r="G1115" s="5">
        <v>0</v>
      </c>
      <c r="H1115" s="4" t="s">
        <v>488</v>
      </c>
      <c r="I1115" s="4" t="s">
        <v>1234</v>
      </c>
      <c r="J1115" s="4" t="s">
        <v>1235</v>
      </c>
      <c r="K1115" s="4" t="s">
        <v>10</v>
      </c>
      <c r="L1115" s="4" t="s">
        <v>487</v>
      </c>
      <c r="M1115" s="5">
        <v>0</v>
      </c>
      <c r="N1115" s="4" t="s">
        <v>1241</v>
      </c>
    </row>
    <row r="1116" spans="1:14" x14ac:dyDescent="0.15">
      <c r="A1116" s="4" t="s">
        <v>442</v>
      </c>
      <c r="B1116" s="4" t="s">
        <v>14</v>
      </c>
      <c r="C1116" s="5">
        <v>0.40201005025100001</v>
      </c>
      <c r="D1116" s="5">
        <v>1</v>
      </c>
      <c r="E1116" s="4" t="s">
        <v>13</v>
      </c>
      <c r="F1116" s="5">
        <v>3</v>
      </c>
      <c r="G1116" s="5">
        <v>0</v>
      </c>
      <c r="H1116" s="4" t="s">
        <v>488</v>
      </c>
      <c r="I1116" s="4" t="s">
        <v>1234</v>
      </c>
      <c r="J1116" s="4" t="s">
        <v>1235</v>
      </c>
      <c r="K1116" s="4" t="s">
        <v>10</v>
      </c>
      <c r="L1116" s="4" t="s">
        <v>487</v>
      </c>
      <c r="M1116" s="5">
        <v>0</v>
      </c>
      <c r="N1116" s="4" t="s">
        <v>1241</v>
      </c>
    </row>
    <row r="1117" spans="1:14" x14ac:dyDescent="0.15">
      <c r="A1117" s="4" t="s">
        <v>442</v>
      </c>
      <c r="B1117" s="4" t="s">
        <v>15</v>
      </c>
      <c r="C1117" s="5">
        <v>8.0402010050250006</v>
      </c>
      <c r="D1117" s="5">
        <v>1000</v>
      </c>
      <c r="E1117" s="4" t="s">
        <v>13</v>
      </c>
      <c r="F1117" s="5">
        <v>3</v>
      </c>
      <c r="G1117" s="5">
        <v>0</v>
      </c>
      <c r="H1117" s="4" t="s">
        <v>488</v>
      </c>
      <c r="I1117" s="4" t="s">
        <v>1234</v>
      </c>
      <c r="J1117" s="4" t="s">
        <v>1235</v>
      </c>
      <c r="K1117" s="4" t="s">
        <v>10</v>
      </c>
      <c r="L1117" s="4" t="s">
        <v>487</v>
      </c>
      <c r="M1117" s="5">
        <v>0</v>
      </c>
      <c r="N1117" s="4" t="s">
        <v>1241</v>
      </c>
    </row>
    <row r="1118" spans="1:14" x14ac:dyDescent="0.15">
      <c r="A1118" s="4" t="s">
        <v>442</v>
      </c>
      <c r="B1118" s="4" t="s">
        <v>23</v>
      </c>
      <c r="C1118" s="5">
        <v>20.100502512563001</v>
      </c>
      <c r="D1118" s="5">
        <v>1000</v>
      </c>
      <c r="E1118" s="4" t="s">
        <v>13</v>
      </c>
      <c r="F1118" s="5">
        <v>3</v>
      </c>
      <c r="G1118" s="5">
        <v>0</v>
      </c>
      <c r="H1118" s="4" t="s">
        <v>488</v>
      </c>
      <c r="I1118" s="4" t="s">
        <v>1234</v>
      </c>
      <c r="J1118" s="4" t="s">
        <v>1235</v>
      </c>
      <c r="K1118" s="4" t="s">
        <v>10</v>
      </c>
      <c r="L1118" s="4" t="s">
        <v>487</v>
      </c>
      <c r="M1118" s="5">
        <v>0</v>
      </c>
      <c r="N1118" s="4" t="s">
        <v>1241</v>
      </c>
    </row>
    <row r="1119" spans="1:14" x14ac:dyDescent="0.15">
      <c r="A1119" s="4" t="s">
        <v>442</v>
      </c>
      <c r="B1119" s="4" t="s">
        <v>24</v>
      </c>
      <c r="C1119" s="5">
        <v>8.0402010050250006</v>
      </c>
      <c r="D1119" s="5">
        <v>1000</v>
      </c>
      <c r="E1119" s="4" t="s">
        <v>13</v>
      </c>
      <c r="F1119" s="5">
        <v>3</v>
      </c>
      <c r="G1119" s="5">
        <v>0</v>
      </c>
      <c r="H1119" s="4" t="s">
        <v>488</v>
      </c>
      <c r="I1119" s="4" t="s">
        <v>1234</v>
      </c>
      <c r="J1119" s="4" t="s">
        <v>1235</v>
      </c>
      <c r="K1119" s="4" t="s">
        <v>10</v>
      </c>
      <c r="L1119" s="4" t="s">
        <v>487</v>
      </c>
      <c r="M1119" s="5">
        <v>0</v>
      </c>
      <c r="N1119" s="4" t="s">
        <v>1241</v>
      </c>
    </row>
    <row r="1120" spans="1:14" x14ac:dyDescent="0.15">
      <c r="A1120" s="4" t="s">
        <v>442</v>
      </c>
      <c r="B1120" s="4" t="s">
        <v>17</v>
      </c>
      <c r="C1120" s="5">
        <v>8.3333333333330017</v>
      </c>
      <c r="D1120" s="5">
        <v>1000</v>
      </c>
      <c r="E1120" s="4" t="s">
        <v>18</v>
      </c>
      <c r="F1120" s="5">
        <v>0</v>
      </c>
      <c r="G1120" s="5">
        <v>0</v>
      </c>
      <c r="H1120" s="4" t="s">
        <v>488</v>
      </c>
      <c r="I1120" s="4" t="s">
        <v>1234</v>
      </c>
      <c r="J1120" s="4" t="s">
        <v>1235</v>
      </c>
      <c r="K1120" s="4" t="s">
        <v>10</v>
      </c>
      <c r="L1120" s="4" t="s">
        <v>487</v>
      </c>
      <c r="M1120" s="5">
        <v>0</v>
      </c>
      <c r="N1120" s="4" t="s">
        <v>1241</v>
      </c>
    </row>
    <row r="1121" spans="1:14" x14ac:dyDescent="0.15">
      <c r="A1121" s="4" t="s">
        <v>442</v>
      </c>
      <c r="B1121" s="4" t="s">
        <v>19</v>
      </c>
      <c r="C1121" s="5">
        <v>3</v>
      </c>
      <c r="D1121" s="5">
        <v>1</v>
      </c>
      <c r="E1121" s="4" t="s">
        <v>18</v>
      </c>
      <c r="F1121" s="5">
        <v>0</v>
      </c>
      <c r="G1121" s="5">
        <v>0</v>
      </c>
      <c r="H1121" s="4" t="s">
        <v>488</v>
      </c>
      <c r="I1121" s="4" t="s">
        <v>1236</v>
      </c>
      <c r="J1121" s="4" t="s">
        <v>1235</v>
      </c>
      <c r="K1121" s="4" t="s">
        <v>10</v>
      </c>
      <c r="L1121" s="4" t="s">
        <v>487</v>
      </c>
      <c r="M1121" s="5">
        <v>0</v>
      </c>
      <c r="N1121" s="4" t="s">
        <v>1241</v>
      </c>
    </row>
    <row r="1122" spans="1:14" x14ac:dyDescent="0.15">
      <c r="A1122" s="4" t="s">
        <v>446</v>
      </c>
      <c r="B1122" s="4" t="s">
        <v>447</v>
      </c>
      <c r="C1122" s="5">
        <v>1</v>
      </c>
      <c r="D1122" s="5">
        <v>1</v>
      </c>
      <c r="E1122" s="4" t="s">
        <v>9</v>
      </c>
      <c r="F1122" s="5">
        <v>0</v>
      </c>
      <c r="G1122" s="5">
        <v>0</v>
      </c>
      <c r="H1122" s="4" t="s">
        <v>488</v>
      </c>
      <c r="I1122" s="4" t="s">
        <v>1234</v>
      </c>
      <c r="J1122" s="4" t="s">
        <v>1235</v>
      </c>
      <c r="K1122" s="4" t="s">
        <v>10</v>
      </c>
      <c r="L1122" s="4" t="s">
        <v>487</v>
      </c>
      <c r="M1122" s="5">
        <v>0</v>
      </c>
      <c r="N1122" s="4" t="s">
        <v>1241</v>
      </c>
    </row>
    <row r="1123" spans="1:14" x14ac:dyDescent="0.15">
      <c r="A1123" s="4" t="s">
        <v>448</v>
      </c>
      <c r="B1123" s="4" t="s">
        <v>447</v>
      </c>
      <c r="C1123" s="5">
        <v>2</v>
      </c>
      <c r="D1123" s="5">
        <v>1</v>
      </c>
      <c r="E1123" s="4" t="s">
        <v>9</v>
      </c>
      <c r="F1123" s="5">
        <v>0</v>
      </c>
      <c r="G1123" s="5">
        <v>0</v>
      </c>
      <c r="H1123" s="4" t="s">
        <v>488</v>
      </c>
      <c r="I1123" s="4" t="s">
        <v>1234</v>
      </c>
      <c r="J1123" s="4" t="s">
        <v>1235</v>
      </c>
      <c r="K1123" s="4" t="s">
        <v>10</v>
      </c>
      <c r="L1123" s="4" t="s">
        <v>487</v>
      </c>
      <c r="M1123" s="5">
        <v>0</v>
      </c>
      <c r="N1123" s="4" t="s">
        <v>1241</v>
      </c>
    </row>
    <row r="1124" spans="1:14" x14ac:dyDescent="0.15">
      <c r="A1124" s="4" t="s">
        <v>449</v>
      </c>
      <c r="B1124" s="4" t="s">
        <v>447</v>
      </c>
      <c r="C1124" s="5">
        <v>500</v>
      </c>
      <c r="D1124" s="5">
        <v>1000</v>
      </c>
      <c r="E1124" s="4" t="s">
        <v>9</v>
      </c>
      <c r="F1124" s="5">
        <v>0</v>
      </c>
      <c r="G1124" s="5">
        <v>0</v>
      </c>
      <c r="H1124" s="4" t="s">
        <v>488</v>
      </c>
      <c r="I1124" s="4" t="s">
        <v>1234</v>
      </c>
      <c r="J1124" s="4" t="s">
        <v>1235</v>
      </c>
      <c r="K1124" s="4" t="s">
        <v>10</v>
      </c>
      <c r="L1124" s="4" t="s">
        <v>487</v>
      </c>
      <c r="M1124" s="5">
        <v>0</v>
      </c>
      <c r="N1124" s="4" t="s">
        <v>1241</v>
      </c>
    </row>
    <row r="1125" spans="1:14" x14ac:dyDescent="0.15">
      <c r="A1125" s="4" t="s">
        <v>450</v>
      </c>
      <c r="B1125" s="4" t="s">
        <v>447</v>
      </c>
      <c r="C1125" s="5">
        <v>1.4</v>
      </c>
      <c r="D1125" s="5">
        <v>1</v>
      </c>
      <c r="E1125" s="4" t="s">
        <v>9</v>
      </c>
      <c r="F1125" s="5">
        <v>0</v>
      </c>
      <c r="G1125" s="5">
        <v>0</v>
      </c>
      <c r="H1125" s="4" t="s">
        <v>488</v>
      </c>
      <c r="I1125" s="4" t="s">
        <v>1234</v>
      </c>
      <c r="J1125" s="4" t="s">
        <v>1235</v>
      </c>
      <c r="K1125" s="4" t="s">
        <v>10</v>
      </c>
      <c r="L1125" s="4" t="s">
        <v>487</v>
      </c>
      <c r="M1125" s="5">
        <v>0</v>
      </c>
      <c r="N1125" s="4" t="s">
        <v>1241</v>
      </c>
    </row>
    <row r="1126" spans="1:14" x14ac:dyDescent="0.15">
      <c r="A1126" s="4" t="s">
        <v>451</v>
      </c>
      <c r="B1126" s="4" t="s">
        <v>447</v>
      </c>
      <c r="C1126" s="5">
        <v>1.6</v>
      </c>
      <c r="D1126" s="5">
        <v>1</v>
      </c>
      <c r="E1126" s="4" t="s">
        <v>9</v>
      </c>
      <c r="F1126" s="5">
        <v>0</v>
      </c>
      <c r="G1126" s="5">
        <v>0</v>
      </c>
      <c r="H1126" s="4" t="s">
        <v>488</v>
      </c>
      <c r="I1126" s="4" t="s">
        <v>1234</v>
      </c>
      <c r="J1126" s="4" t="s">
        <v>1235</v>
      </c>
      <c r="K1126" s="4" t="s">
        <v>10</v>
      </c>
      <c r="L1126" s="4" t="s">
        <v>487</v>
      </c>
      <c r="M1126" s="5">
        <v>0</v>
      </c>
      <c r="N1126" s="4" t="s">
        <v>1241</v>
      </c>
    </row>
    <row r="1127" spans="1:14" x14ac:dyDescent="0.15">
      <c r="A1127" s="4" t="s">
        <v>447</v>
      </c>
      <c r="B1127" s="4" t="s">
        <v>444</v>
      </c>
      <c r="C1127" s="5">
        <v>11</v>
      </c>
      <c r="D1127" s="5">
        <v>1</v>
      </c>
      <c r="E1127" s="4" t="s">
        <v>9</v>
      </c>
      <c r="F1127" s="5">
        <v>3</v>
      </c>
      <c r="G1127" s="5">
        <v>0</v>
      </c>
      <c r="H1127" s="4" t="s">
        <v>488</v>
      </c>
      <c r="I1127" s="4" t="s">
        <v>1234</v>
      </c>
      <c r="J1127" s="4" t="s">
        <v>1235</v>
      </c>
      <c r="K1127" s="4" t="s">
        <v>10</v>
      </c>
      <c r="L1127" s="4" t="s">
        <v>487</v>
      </c>
      <c r="M1127" s="5">
        <v>0</v>
      </c>
      <c r="N1127" s="4" t="s">
        <v>1241</v>
      </c>
    </row>
    <row r="1128" spans="1:14" x14ac:dyDescent="0.15">
      <c r="A1128" s="4" t="s">
        <v>447</v>
      </c>
      <c r="B1128" s="4" t="s">
        <v>12</v>
      </c>
      <c r="C1128" s="5">
        <v>0.77483668341699996</v>
      </c>
      <c r="D1128" s="5">
        <v>1</v>
      </c>
      <c r="E1128" s="4" t="s">
        <v>13</v>
      </c>
      <c r="F1128" s="5">
        <v>3</v>
      </c>
      <c r="G1128" s="5">
        <v>0</v>
      </c>
      <c r="H1128" s="4" t="s">
        <v>488</v>
      </c>
      <c r="I1128" s="4" t="s">
        <v>1234</v>
      </c>
      <c r="J1128" s="4" t="s">
        <v>1235</v>
      </c>
      <c r="K1128" s="4" t="s">
        <v>10</v>
      </c>
      <c r="L1128" s="4" t="s">
        <v>487</v>
      </c>
      <c r="M1128" s="5">
        <v>0</v>
      </c>
      <c r="N1128" s="4" t="s">
        <v>1241</v>
      </c>
    </row>
    <row r="1129" spans="1:14" x14ac:dyDescent="0.15">
      <c r="A1129" s="4" t="s">
        <v>447</v>
      </c>
      <c r="B1129" s="4" t="s">
        <v>14</v>
      </c>
      <c r="C1129" s="5">
        <v>0.86092964824100005</v>
      </c>
      <c r="D1129" s="5">
        <v>1</v>
      </c>
      <c r="E1129" s="4" t="s">
        <v>13</v>
      </c>
      <c r="F1129" s="5">
        <v>3</v>
      </c>
      <c r="G1129" s="5">
        <v>0</v>
      </c>
      <c r="H1129" s="4" t="s">
        <v>488</v>
      </c>
      <c r="I1129" s="4" t="s">
        <v>1234</v>
      </c>
      <c r="J1129" s="4" t="s">
        <v>1235</v>
      </c>
      <c r="K1129" s="4" t="s">
        <v>10</v>
      </c>
      <c r="L1129" s="4" t="s">
        <v>487</v>
      </c>
      <c r="M1129" s="5">
        <v>0</v>
      </c>
      <c r="N1129" s="4" t="s">
        <v>1241</v>
      </c>
    </row>
    <row r="1130" spans="1:14" x14ac:dyDescent="0.15">
      <c r="A1130" s="4" t="s">
        <v>447</v>
      </c>
      <c r="B1130" s="4" t="s">
        <v>15</v>
      </c>
      <c r="C1130" s="5">
        <v>17.218592964823998</v>
      </c>
      <c r="D1130" s="5">
        <v>1000</v>
      </c>
      <c r="E1130" s="4" t="s">
        <v>13</v>
      </c>
      <c r="F1130" s="5">
        <v>3</v>
      </c>
      <c r="G1130" s="5">
        <v>0</v>
      </c>
      <c r="H1130" s="4" t="s">
        <v>488</v>
      </c>
      <c r="I1130" s="4" t="s">
        <v>1234</v>
      </c>
      <c r="J1130" s="4" t="s">
        <v>1235</v>
      </c>
      <c r="K1130" s="4" t="s">
        <v>10</v>
      </c>
      <c r="L1130" s="4" t="s">
        <v>487</v>
      </c>
      <c r="M1130" s="5">
        <v>0</v>
      </c>
      <c r="N1130" s="4" t="s">
        <v>1241</v>
      </c>
    </row>
    <row r="1131" spans="1:14" x14ac:dyDescent="0.15">
      <c r="A1131" s="4" t="s">
        <v>447</v>
      </c>
      <c r="B1131" s="4" t="s">
        <v>23</v>
      </c>
      <c r="C1131" s="5">
        <v>43.046482412060001</v>
      </c>
      <c r="D1131" s="5">
        <v>1000</v>
      </c>
      <c r="E1131" s="4" t="s">
        <v>13</v>
      </c>
      <c r="F1131" s="5">
        <v>3</v>
      </c>
      <c r="G1131" s="5">
        <v>0</v>
      </c>
      <c r="H1131" s="4" t="s">
        <v>488</v>
      </c>
      <c r="I1131" s="4" t="s">
        <v>1234</v>
      </c>
      <c r="J1131" s="4" t="s">
        <v>1235</v>
      </c>
      <c r="K1131" s="4" t="s">
        <v>10</v>
      </c>
      <c r="L1131" s="4" t="s">
        <v>487</v>
      </c>
      <c r="M1131" s="5">
        <v>0</v>
      </c>
      <c r="N1131" s="4" t="s">
        <v>1241</v>
      </c>
    </row>
    <row r="1132" spans="1:14" x14ac:dyDescent="0.15">
      <c r="A1132" s="4" t="s">
        <v>447</v>
      </c>
      <c r="B1132" s="4" t="s">
        <v>24</v>
      </c>
      <c r="C1132" s="5">
        <v>17.218592964823998</v>
      </c>
      <c r="D1132" s="5">
        <v>1000</v>
      </c>
      <c r="E1132" s="4" t="s">
        <v>13</v>
      </c>
      <c r="F1132" s="5">
        <v>3</v>
      </c>
      <c r="G1132" s="5">
        <v>0</v>
      </c>
      <c r="H1132" s="4" t="s">
        <v>488</v>
      </c>
      <c r="I1132" s="4" t="s">
        <v>1234</v>
      </c>
      <c r="J1132" s="4" t="s">
        <v>1235</v>
      </c>
      <c r="K1132" s="4" t="s">
        <v>10</v>
      </c>
      <c r="L1132" s="4" t="s">
        <v>487</v>
      </c>
      <c r="M1132" s="5">
        <v>0</v>
      </c>
      <c r="N1132" s="4" t="s">
        <v>1241</v>
      </c>
    </row>
    <row r="1133" spans="1:14" x14ac:dyDescent="0.15">
      <c r="A1133" s="4" t="s">
        <v>447</v>
      </c>
      <c r="B1133" s="4" t="s">
        <v>17</v>
      </c>
      <c r="C1133" s="5">
        <v>7.5757575757579998</v>
      </c>
      <c r="D1133" s="5">
        <v>1000</v>
      </c>
      <c r="E1133" s="4" t="s">
        <v>18</v>
      </c>
      <c r="F1133" s="5">
        <v>0</v>
      </c>
      <c r="G1133" s="5">
        <v>0</v>
      </c>
      <c r="H1133" s="4" t="s">
        <v>488</v>
      </c>
      <c r="I1133" s="4" t="s">
        <v>1234</v>
      </c>
      <c r="J1133" s="4" t="s">
        <v>1235</v>
      </c>
      <c r="K1133" s="4" t="s">
        <v>10</v>
      </c>
      <c r="L1133" s="4" t="s">
        <v>487</v>
      </c>
      <c r="M1133" s="5">
        <v>0</v>
      </c>
      <c r="N1133" s="4" t="s">
        <v>1241</v>
      </c>
    </row>
    <row r="1134" spans="1:14" x14ac:dyDescent="0.15">
      <c r="A1134" s="4" t="s">
        <v>447</v>
      </c>
      <c r="B1134" s="4" t="s">
        <v>19</v>
      </c>
      <c r="C1134" s="5">
        <v>4</v>
      </c>
      <c r="D1134" s="5">
        <v>1</v>
      </c>
      <c r="E1134" s="4" t="s">
        <v>18</v>
      </c>
      <c r="F1134" s="5">
        <v>0</v>
      </c>
      <c r="G1134" s="5">
        <v>0</v>
      </c>
      <c r="H1134" s="4" t="s">
        <v>488</v>
      </c>
      <c r="I1134" s="4" t="s">
        <v>1236</v>
      </c>
      <c r="J1134" s="4" t="s">
        <v>1235</v>
      </c>
      <c r="K1134" s="4" t="s">
        <v>10</v>
      </c>
      <c r="L1134" s="4" t="s">
        <v>487</v>
      </c>
      <c r="M1134" s="5">
        <v>0</v>
      </c>
      <c r="N1134" s="4" t="s">
        <v>1241</v>
      </c>
    </row>
    <row r="1135" spans="1:14" x14ac:dyDescent="0.15">
      <c r="A1135" s="4" t="s">
        <v>452</v>
      </c>
      <c r="B1135" s="4" t="s">
        <v>453</v>
      </c>
      <c r="C1135" s="5">
        <v>2</v>
      </c>
      <c r="D1135" s="5">
        <v>1</v>
      </c>
      <c r="E1135" s="4" t="s">
        <v>9</v>
      </c>
      <c r="F1135" s="5">
        <v>0</v>
      </c>
      <c r="G1135" s="5">
        <v>0</v>
      </c>
      <c r="H1135" s="4" t="s">
        <v>488</v>
      </c>
      <c r="I1135" s="4" t="s">
        <v>1234</v>
      </c>
      <c r="J1135" s="4" t="s">
        <v>1235</v>
      </c>
      <c r="K1135" s="4" t="s">
        <v>10</v>
      </c>
      <c r="L1135" s="4" t="s">
        <v>487</v>
      </c>
      <c r="M1135" s="5">
        <v>0</v>
      </c>
      <c r="N1135" s="4" t="s">
        <v>1241</v>
      </c>
    </row>
    <row r="1136" spans="1:14" x14ac:dyDescent="0.15">
      <c r="A1136" s="4" t="s">
        <v>453</v>
      </c>
      <c r="B1136" s="4" t="s">
        <v>444</v>
      </c>
      <c r="C1136" s="5">
        <v>9</v>
      </c>
      <c r="D1136" s="5">
        <v>1</v>
      </c>
      <c r="E1136" s="4" t="s">
        <v>9</v>
      </c>
      <c r="F1136" s="5">
        <v>3</v>
      </c>
      <c r="G1136" s="5">
        <v>0</v>
      </c>
      <c r="H1136" s="4" t="s">
        <v>488</v>
      </c>
      <c r="I1136" s="4" t="s">
        <v>1234</v>
      </c>
      <c r="J1136" s="4" t="s">
        <v>1235</v>
      </c>
      <c r="K1136" s="4" t="s">
        <v>10</v>
      </c>
      <c r="L1136" s="4" t="s">
        <v>487</v>
      </c>
      <c r="M1136" s="5">
        <v>0</v>
      </c>
      <c r="N1136" s="4" t="s">
        <v>1241</v>
      </c>
    </row>
    <row r="1137" spans="1:14" x14ac:dyDescent="0.15">
      <c r="A1137" s="4" t="s">
        <v>453</v>
      </c>
      <c r="B1137" s="4" t="s">
        <v>12</v>
      </c>
      <c r="C1137" s="5">
        <v>0.633957286432</v>
      </c>
      <c r="D1137" s="5">
        <v>1</v>
      </c>
      <c r="E1137" s="4" t="s">
        <v>13</v>
      </c>
      <c r="F1137" s="5">
        <v>3</v>
      </c>
      <c r="G1137" s="5">
        <v>0</v>
      </c>
      <c r="H1137" s="4" t="s">
        <v>488</v>
      </c>
      <c r="I1137" s="4" t="s">
        <v>1234</v>
      </c>
      <c r="J1137" s="4" t="s">
        <v>1235</v>
      </c>
      <c r="K1137" s="4" t="s">
        <v>10</v>
      </c>
      <c r="L1137" s="4" t="s">
        <v>487</v>
      </c>
      <c r="M1137" s="5">
        <v>0</v>
      </c>
      <c r="N1137" s="4" t="s">
        <v>1241</v>
      </c>
    </row>
    <row r="1138" spans="1:14" x14ac:dyDescent="0.15">
      <c r="A1138" s="4" t="s">
        <v>453</v>
      </c>
      <c r="B1138" s="4" t="s">
        <v>14</v>
      </c>
      <c r="C1138" s="5">
        <v>0.70439698492500002</v>
      </c>
      <c r="D1138" s="5">
        <v>1</v>
      </c>
      <c r="E1138" s="4" t="s">
        <v>13</v>
      </c>
      <c r="F1138" s="5">
        <v>3</v>
      </c>
      <c r="G1138" s="5">
        <v>0</v>
      </c>
      <c r="H1138" s="4" t="s">
        <v>488</v>
      </c>
      <c r="I1138" s="4" t="s">
        <v>1234</v>
      </c>
      <c r="J1138" s="4" t="s">
        <v>1235</v>
      </c>
      <c r="K1138" s="4" t="s">
        <v>10</v>
      </c>
      <c r="L1138" s="4" t="s">
        <v>487</v>
      </c>
      <c r="M1138" s="5">
        <v>0</v>
      </c>
      <c r="N1138" s="4" t="s">
        <v>1241</v>
      </c>
    </row>
    <row r="1139" spans="1:14" x14ac:dyDescent="0.15">
      <c r="A1139" s="4" t="s">
        <v>453</v>
      </c>
      <c r="B1139" s="4" t="s">
        <v>15</v>
      </c>
      <c r="C1139" s="5">
        <v>14.087939698493001</v>
      </c>
      <c r="D1139" s="5">
        <v>1000</v>
      </c>
      <c r="E1139" s="4" t="s">
        <v>13</v>
      </c>
      <c r="F1139" s="5">
        <v>3</v>
      </c>
      <c r="G1139" s="5">
        <v>0</v>
      </c>
      <c r="H1139" s="4" t="s">
        <v>488</v>
      </c>
      <c r="I1139" s="4" t="s">
        <v>1234</v>
      </c>
      <c r="J1139" s="4" t="s">
        <v>1235</v>
      </c>
      <c r="K1139" s="4" t="s">
        <v>10</v>
      </c>
      <c r="L1139" s="4" t="s">
        <v>487</v>
      </c>
      <c r="M1139" s="5">
        <v>0</v>
      </c>
      <c r="N1139" s="4" t="s">
        <v>1241</v>
      </c>
    </row>
    <row r="1140" spans="1:14" x14ac:dyDescent="0.15">
      <c r="A1140" s="4" t="s">
        <v>453</v>
      </c>
      <c r="B1140" s="4" t="s">
        <v>23</v>
      </c>
      <c r="C1140" s="5">
        <v>35.219849246231</v>
      </c>
      <c r="D1140" s="5">
        <v>1000</v>
      </c>
      <c r="E1140" s="4" t="s">
        <v>13</v>
      </c>
      <c r="F1140" s="5">
        <v>3</v>
      </c>
      <c r="G1140" s="5">
        <v>0</v>
      </c>
      <c r="H1140" s="4" t="s">
        <v>488</v>
      </c>
      <c r="I1140" s="4" t="s">
        <v>1234</v>
      </c>
      <c r="J1140" s="4" t="s">
        <v>1235</v>
      </c>
      <c r="K1140" s="4" t="s">
        <v>10</v>
      </c>
      <c r="L1140" s="4" t="s">
        <v>487</v>
      </c>
      <c r="M1140" s="5">
        <v>0</v>
      </c>
      <c r="N1140" s="4" t="s">
        <v>1241</v>
      </c>
    </row>
    <row r="1141" spans="1:14" x14ac:dyDescent="0.15">
      <c r="A1141" s="4" t="s">
        <v>453</v>
      </c>
      <c r="B1141" s="4" t="s">
        <v>24</v>
      </c>
      <c r="C1141" s="5">
        <v>14.087939698493001</v>
      </c>
      <c r="D1141" s="5">
        <v>1000</v>
      </c>
      <c r="E1141" s="4" t="s">
        <v>13</v>
      </c>
      <c r="F1141" s="5">
        <v>3</v>
      </c>
      <c r="G1141" s="5">
        <v>0</v>
      </c>
      <c r="H1141" s="4" t="s">
        <v>488</v>
      </c>
      <c r="I1141" s="4" t="s">
        <v>1234</v>
      </c>
      <c r="J1141" s="4" t="s">
        <v>1235</v>
      </c>
      <c r="K1141" s="4" t="s">
        <v>10</v>
      </c>
      <c r="L1141" s="4" t="s">
        <v>487</v>
      </c>
      <c r="M1141" s="5">
        <v>0</v>
      </c>
      <c r="N1141" s="4" t="s">
        <v>1241</v>
      </c>
    </row>
    <row r="1142" spans="1:14" x14ac:dyDescent="0.15">
      <c r="A1142" s="4" t="s">
        <v>453</v>
      </c>
      <c r="B1142" s="4" t="s">
        <v>17</v>
      </c>
      <c r="C1142" s="5">
        <v>6.1728395061730001</v>
      </c>
      <c r="D1142" s="5">
        <v>1000</v>
      </c>
      <c r="E1142" s="4" t="s">
        <v>18</v>
      </c>
      <c r="F1142" s="5">
        <v>0</v>
      </c>
      <c r="G1142" s="5">
        <v>0</v>
      </c>
      <c r="H1142" s="4" t="s">
        <v>488</v>
      </c>
      <c r="I1142" s="4" t="s">
        <v>1234</v>
      </c>
      <c r="J1142" s="4" t="s">
        <v>1235</v>
      </c>
      <c r="K1142" s="4" t="s">
        <v>10</v>
      </c>
      <c r="L1142" s="4" t="s">
        <v>487</v>
      </c>
      <c r="M1142" s="5">
        <v>0</v>
      </c>
      <c r="N1142" s="4" t="s">
        <v>1241</v>
      </c>
    </row>
    <row r="1143" spans="1:14" x14ac:dyDescent="0.15">
      <c r="A1143" s="4" t="s">
        <v>453</v>
      </c>
      <c r="B1143" s="4" t="s">
        <v>19</v>
      </c>
      <c r="C1143" s="5">
        <v>4</v>
      </c>
      <c r="D1143" s="5">
        <v>1</v>
      </c>
      <c r="E1143" s="4" t="s">
        <v>18</v>
      </c>
      <c r="F1143" s="5">
        <v>0</v>
      </c>
      <c r="G1143" s="5">
        <v>0</v>
      </c>
      <c r="H1143" s="4" t="s">
        <v>488</v>
      </c>
      <c r="I1143" s="4" t="s">
        <v>1236</v>
      </c>
      <c r="J1143" s="4" t="s">
        <v>1235</v>
      </c>
      <c r="K1143" s="4" t="s">
        <v>10</v>
      </c>
      <c r="L1143" s="4" t="s">
        <v>487</v>
      </c>
      <c r="M1143" s="5">
        <v>0</v>
      </c>
      <c r="N1143" s="4" t="s">
        <v>1241</v>
      </c>
    </row>
    <row r="1144" spans="1:14" x14ac:dyDescent="0.15">
      <c r="A1144" s="4" t="s">
        <v>454</v>
      </c>
      <c r="B1144" s="4" t="s">
        <v>455</v>
      </c>
      <c r="C1144" s="5">
        <v>1</v>
      </c>
      <c r="D1144" s="5">
        <v>1</v>
      </c>
      <c r="E1144" s="4" t="s">
        <v>9</v>
      </c>
      <c r="F1144" s="5">
        <v>0</v>
      </c>
      <c r="G1144" s="5">
        <v>0</v>
      </c>
      <c r="H1144" s="4" t="s">
        <v>488</v>
      </c>
      <c r="I1144" s="4" t="s">
        <v>1234</v>
      </c>
      <c r="J1144" s="4" t="s">
        <v>1235</v>
      </c>
      <c r="K1144" s="4" t="s">
        <v>10</v>
      </c>
      <c r="L1144" s="4" t="s">
        <v>487</v>
      </c>
      <c r="M1144" s="5">
        <v>0</v>
      </c>
      <c r="N1144" s="4" t="s">
        <v>1241</v>
      </c>
    </row>
    <row r="1145" spans="1:14" x14ac:dyDescent="0.15">
      <c r="A1145" s="4" t="s">
        <v>455</v>
      </c>
      <c r="B1145" s="4" t="s">
        <v>444</v>
      </c>
      <c r="C1145" s="5">
        <v>18</v>
      </c>
      <c r="D1145" s="5">
        <v>1</v>
      </c>
      <c r="E1145" s="4" t="s">
        <v>9</v>
      </c>
      <c r="F1145" s="5">
        <v>3</v>
      </c>
      <c r="G1145" s="5">
        <v>0</v>
      </c>
      <c r="H1145" s="4" t="s">
        <v>488</v>
      </c>
      <c r="I1145" s="4" t="s">
        <v>1234</v>
      </c>
      <c r="J1145" s="4" t="s">
        <v>1235</v>
      </c>
      <c r="K1145" s="4" t="s">
        <v>10</v>
      </c>
      <c r="L1145" s="4" t="s">
        <v>487</v>
      </c>
      <c r="M1145" s="5">
        <v>0</v>
      </c>
      <c r="N1145" s="4" t="s">
        <v>1241</v>
      </c>
    </row>
    <row r="1146" spans="1:14" x14ac:dyDescent="0.15">
      <c r="A1146" s="4" t="s">
        <v>455</v>
      </c>
      <c r="B1146" s="4" t="s">
        <v>12</v>
      </c>
      <c r="C1146" s="5">
        <v>1.2679145728639998</v>
      </c>
      <c r="D1146" s="5">
        <v>1</v>
      </c>
      <c r="E1146" s="4" t="s">
        <v>13</v>
      </c>
      <c r="F1146" s="5">
        <v>3</v>
      </c>
      <c r="G1146" s="5">
        <v>0</v>
      </c>
      <c r="H1146" s="4" t="s">
        <v>488</v>
      </c>
      <c r="I1146" s="4" t="s">
        <v>1234</v>
      </c>
      <c r="J1146" s="4" t="s">
        <v>1235</v>
      </c>
      <c r="K1146" s="4" t="s">
        <v>10</v>
      </c>
      <c r="L1146" s="4" t="s">
        <v>487</v>
      </c>
      <c r="M1146" s="5">
        <v>0</v>
      </c>
      <c r="N1146" s="4" t="s">
        <v>1241</v>
      </c>
    </row>
    <row r="1147" spans="1:14" x14ac:dyDescent="0.15">
      <c r="A1147" s="4" t="s">
        <v>455</v>
      </c>
      <c r="B1147" s="4" t="s">
        <v>14</v>
      </c>
      <c r="C1147" s="5">
        <v>1.408793969849</v>
      </c>
      <c r="D1147" s="5">
        <v>1</v>
      </c>
      <c r="E1147" s="4" t="s">
        <v>13</v>
      </c>
      <c r="F1147" s="5">
        <v>3</v>
      </c>
      <c r="G1147" s="5">
        <v>0</v>
      </c>
      <c r="H1147" s="4" t="s">
        <v>488</v>
      </c>
      <c r="I1147" s="4" t="s">
        <v>1234</v>
      </c>
      <c r="J1147" s="4" t="s">
        <v>1235</v>
      </c>
      <c r="K1147" s="4" t="s">
        <v>10</v>
      </c>
      <c r="L1147" s="4" t="s">
        <v>487</v>
      </c>
      <c r="M1147" s="5">
        <v>0</v>
      </c>
      <c r="N1147" s="4" t="s">
        <v>1241</v>
      </c>
    </row>
    <row r="1148" spans="1:14" x14ac:dyDescent="0.15">
      <c r="A1148" s="4" t="s">
        <v>455</v>
      </c>
      <c r="B1148" s="4" t="s">
        <v>15</v>
      </c>
      <c r="C1148" s="5">
        <v>28.175879396985</v>
      </c>
      <c r="D1148" s="5">
        <v>1000</v>
      </c>
      <c r="E1148" s="4" t="s">
        <v>13</v>
      </c>
      <c r="F1148" s="5">
        <v>3</v>
      </c>
      <c r="G1148" s="5">
        <v>0</v>
      </c>
      <c r="H1148" s="4" t="s">
        <v>488</v>
      </c>
      <c r="I1148" s="4" t="s">
        <v>1234</v>
      </c>
      <c r="J1148" s="4" t="s">
        <v>1235</v>
      </c>
      <c r="K1148" s="4" t="s">
        <v>10</v>
      </c>
      <c r="L1148" s="4" t="s">
        <v>487</v>
      </c>
      <c r="M1148" s="5">
        <v>0</v>
      </c>
      <c r="N1148" s="4" t="s">
        <v>1241</v>
      </c>
    </row>
    <row r="1149" spans="1:14" x14ac:dyDescent="0.15">
      <c r="A1149" s="4" t="s">
        <v>455</v>
      </c>
      <c r="B1149" s="4" t="s">
        <v>23</v>
      </c>
      <c r="C1149" s="5">
        <v>70.439698492462</v>
      </c>
      <c r="D1149" s="5">
        <v>1000</v>
      </c>
      <c r="E1149" s="4" t="s">
        <v>13</v>
      </c>
      <c r="F1149" s="5">
        <v>3</v>
      </c>
      <c r="G1149" s="5">
        <v>0</v>
      </c>
      <c r="H1149" s="4" t="s">
        <v>488</v>
      </c>
      <c r="I1149" s="4" t="s">
        <v>1234</v>
      </c>
      <c r="J1149" s="4" t="s">
        <v>1235</v>
      </c>
      <c r="K1149" s="4" t="s">
        <v>10</v>
      </c>
      <c r="L1149" s="4" t="s">
        <v>487</v>
      </c>
      <c r="M1149" s="5">
        <v>0</v>
      </c>
      <c r="N1149" s="4" t="s">
        <v>1241</v>
      </c>
    </row>
    <row r="1150" spans="1:14" x14ac:dyDescent="0.15">
      <c r="A1150" s="4" t="s">
        <v>455</v>
      </c>
      <c r="B1150" s="4" t="s">
        <v>24</v>
      </c>
      <c r="C1150" s="5">
        <v>28.175879396985</v>
      </c>
      <c r="D1150" s="5">
        <v>1000</v>
      </c>
      <c r="E1150" s="4" t="s">
        <v>13</v>
      </c>
      <c r="F1150" s="5">
        <v>3</v>
      </c>
      <c r="G1150" s="5">
        <v>0</v>
      </c>
      <c r="H1150" s="4" t="s">
        <v>488</v>
      </c>
      <c r="I1150" s="4" t="s">
        <v>1234</v>
      </c>
      <c r="J1150" s="4" t="s">
        <v>1235</v>
      </c>
      <c r="K1150" s="4" t="s">
        <v>10</v>
      </c>
      <c r="L1150" s="4" t="s">
        <v>487</v>
      </c>
      <c r="M1150" s="5">
        <v>0</v>
      </c>
      <c r="N1150" s="4" t="s">
        <v>1241</v>
      </c>
    </row>
    <row r="1151" spans="1:14" x14ac:dyDescent="0.15">
      <c r="A1151" s="4" t="s">
        <v>455</v>
      </c>
      <c r="B1151" s="4" t="s">
        <v>17</v>
      </c>
      <c r="C1151" s="5">
        <v>6.1728395061730001</v>
      </c>
      <c r="D1151" s="5">
        <v>1000</v>
      </c>
      <c r="E1151" s="4" t="s">
        <v>18</v>
      </c>
      <c r="F1151" s="5">
        <v>0</v>
      </c>
      <c r="G1151" s="5">
        <v>0</v>
      </c>
      <c r="H1151" s="4" t="s">
        <v>488</v>
      </c>
      <c r="I1151" s="4" t="s">
        <v>1234</v>
      </c>
      <c r="J1151" s="4" t="s">
        <v>1235</v>
      </c>
      <c r="K1151" s="4" t="s">
        <v>10</v>
      </c>
      <c r="L1151" s="4" t="s">
        <v>487</v>
      </c>
      <c r="M1151" s="5">
        <v>0</v>
      </c>
      <c r="N1151" s="4" t="s">
        <v>1241</v>
      </c>
    </row>
    <row r="1152" spans="1:14" x14ac:dyDescent="0.15">
      <c r="A1152" s="4" t="s">
        <v>455</v>
      </c>
      <c r="B1152" s="4" t="s">
        <v>19</v>
      </c>
      <c r="C1152" s="5">
        <v>4</v>
      </c>
      <c r="D1152" s="5">
        <v>1</v>
      </c>
      <c r="E1152" s="4" t="s">
        <v>18</v>
      </c>
      <c r="F1152" s="5">
        <v>0</v>
      </c>
      <c r="G1152" s="5">
        <v>0</v>
      </c>
      <c r="H1152" s="4" t="s">
        <v>488</v>
      </c>
      <c r="I1152" s="4" t="s">
        <v>1236</v>
      </c>
      <c r="J1152" s="4" t="s">
        <v>1235</v>
      </c>
      <c r="K1152" s="4" t="s">
        <v>10</v>
      </c>
      <c r="L1152" s="4" t="s">
        <v>487</v>
      </c>
      <c r="M1152" s="5">
        <v>0</v>
      </c>
      <c r="N1152" s="4" t="s">
        <v>1241</v>
      </c>
    </row>
    <row r="1153" spans="1:14" x14ac:dyDescent="0.15">
      <c r="A1153" s="4" t="s">
        <v>456</v>
      </c>
      <c r="B1153" s="4" t="s">
        <v>457</v>
      </c>
      <c r="C1153" s="5">
        <v>2</v>
      </c>
      <c r="D1153" s="5">
        <v>1</v>
      </c>
      <c r="E1153" s="4" t="s">
        <v>9</v>
      </c>
      <c r="F1153" s="5">
        <v>0</v>
      </c>
      <c r="G1153" s="5">
        <v>0</v>
      </c>
      <c r="H1153" s="4" t="s">
        <v>488</v>
      </c>
      <c r="I1153" s="4" t="s">
        <v>1234</v>
      </c>
      <c r="J1153" s="4" t="s">
        <v>1235</v>
      </c>
      <c r="K1153" s="4" t="s">
        <v>10</v>
      </c>
      <c r="L1153" s="4" t="s">
        <v>487</v>
      </c>
      <c r="M1153" s="5">
        <v>0</v>
      </c>
      <c r="N1153" s="4" t="s">
        <v>1241</v>
      </c>
    </row>
    <row r="1154" spans="1:14" x14ac:dyDescent="0.15">
      <c r="A1154" s="4" t="s">
        <v>457</v>
      </c>
      <c r="B1154" s="4" t="s">
        <v>444</v>
      </c>
      <c r="C1154" s="5">
        <v>5</v>
      </c>
      <c r="D1154" s="5">
        <v>1</v>
      </c>
      <c r="E1154" s="4" t="s">
        <v>9</v>
      </c>
      <c r="F1154" s="5">
        <v>3</v>
      </c>
      <c r="G1154" s="5">
        <v>0</v>
      </c>
      <c r="H1154" s="4" t="s">
        <v>488</v>
      </c>
      <c r="I1154" s="4" t="s">
        <v>1234</v>
      </c>
      <c r="J1154" s="4" t="s">
        <v>1235</v>
      </c>
      <c r="K1154" s="4" t="s">
        <v>10</v>
      </c>
      <c r="L1154" s="4" t="s">
        <v>487</v>
      </c>
      <c r="M1154" s="5">
        <v>0</v>
      </c>
      <c r="N1154" s="4" t="s">
        <v>1241</v>
      </c>
    </row>
    <row r="1155" spans="1:14" x14ac:dyDescent="0.15">
      <c r="A1155" s="4" t="s">
        <v>457</v>
      </c>
      <c r="B1155" s="4" t="s">
        <v>445</v>
      </c>
      <c r="C1155" s="5">
        <v>1</v>
      </c>
      <c r="D1155" s="5">
        <v>1</v>
      </c>
      <c r="E1155" s="4" t="s">
        <v>9</v>
      </c>
      <c r="F1155" s="5">
        <v>3</v>
      </c>
      <c r="G1155" s="5">
        <v>0</v>
      </c>
      <c r="H1155" s="4" t="s">
        <v>488</v>
      </c>
      <c r="I1155" s="4" t="s">
        <v>1234</v>
      </c>
      <c r="J1155" s="4" t="s">
        <v>1235</v>
      </c>
      <c r="K1155" s="4" t="s">
        <v>10</v>
      </c>
      <c r="L1155" s="4" t="s">
        <v>487</v>
      </c>
      <c r="M1155" s="5">
        <v>0</v>
      </c>
      <c r="N1155" s="4" t="s">
        <v>1241</v>
      </c>
    </row>
    <row r="1156" spans="1:14" x14ac:dyDescent="0.15">
      <c r="A1156" s="4" t="s">
        <v>457</v>
      </c>
      <c r="B1156" s="4" t="s">
        <v>12</v>
      </c>
      <c r="C1156" s="5">
        <v>0.443216080402</v>
      </c>
      <c r="D1156" s="5">
        <v>1</v>
      </c>
      <c r="E1156" s="4" t="s">
        <v>13</v>
      </c>
      <c r="F1156" s="5">
        <v>3</v>
      </c>
      <c r="G1156" s="5">
        <v>0</v>
      </c>
      <c r="H1156" s="4" t="s">
        <v>488</v>
      </c>
      <c r="I1156" s="4" t="s">
        <v>1234</v>
      </c>
      <c r="J1156" s="4" t="s">
        <v>1235</v>
      </c>
      <c r="K1156" s="4" t="s">
        <v>10</v>
      </c>
      <c r="L1156" s="4" t="s">
        <v>487</v>
      </c>
      <c r="M1156" s="5">
        <v>0</v>
      </c>
      <c r="N1156" s="4" t="s">
        <v>1241</v>
      </c>
    </row>
    <row r="1157" spans="1:14" x14ac:dyDescent="0.15">
      <c r="A1157" s="4" t="s">
        <v>457</v>
      </c>
      <c r="B1157" s="4" t="s">
        <v>14</v>
      </c>
      <c r="C1157" s="5">
        <v>0.49246231155800002</v>
      </c>
      <c r="D1157" s="5">
        <v>1</v>
      </c>
      <c r="E1157" s="4" t="s">
        <v>13</v>
      </c>
      <c r="F1157" s="5">
        <v>3</v>
      </c>
      <c r="G1157" s="5">
        <v>0</v>
      </c>
      <c r="H1157" s="4" t="s">
        <v>488</v>
      </c>
      <c r="I1157" s="4" t="s">
        <v>1234</v>
      </c>
      <c r="J1157" s="4" t="s">
        <v>1235</v>
      </c>
      <c r="K1157" s="4" t="s">
        <v>10</v>
      </c>
      <c r="L1157" s="4" t="s">
        <v>487</v>
      </c>
      <c r="M1157" s="5">
        <v>0</v>
      </c>
      <c r="N1157" s="4" t="s">
        <v>1241</v>
      </c>
    </row>
    <row r="1158" spans="1:14" x14ac:dyDescent="0.15">
      <c r="A1158" s="4" t="s">
        <v>457</v>
      </c>
      <c r="B1158" s="4" t="s">
        <v>15</v>
      </c>
      <c r="C1158" s="5">
        <v>9.8492462311560018</v>
      </c>
      <c r="D1158" s="5">
        <v>1000</v>
      </c>
      <c r="E1158" s="4" t="s">
        <v>13</v>
      </c>
      <c r="F1158" s="5">
        <v>3</v>
      </c>
      <c r="G1158" s="5">
        <v>0</v>
      </c>
      <c r="H1158" s="4" t="s">
        <v>488</v>
      </c>
      <c r="I1158" s="4" t="s">
        <v>1234</v>
      </c>
      <c r="J1158" s="4" t="s">
        <v>1235</v>
      </c>
      <c r="K1158" s="4" t="s">
        <v>10</v>
      </c>
      <c r="L1158" s="4" t="s">
        <v>487</v>
      </c>
      <c r="M1158" s="5">
        <v>0</v>
      </c>
      <c r="N1158" s="4" t="s">
        <v>1241</v>
      </c>
    </row>
    <row r="1159" spans="1:14" x14ac:dyDescent="0.15">
      <c r="A1159" s="4" t="s">
        <v>457</v>
      </c>
      <c r="B1159" s="4" t="s">
        <v>23</v>
      </c>
      <c r="C1159" s="5">
        <v>24.623115577890005</v>
      </c>
      <c r="D1159" s="5">
        <v>1000</v>
      </c>
      <c r="E1159" s="4" t="s">
        <v>13</v>
      </c>
      <c r="F1159" s="5">
        <v>3</v>
      </c>
      <c r="G1159" s="5">
        <v>0</v>
      </c>
      <c r="H1159" s="4" t="s">
        <v>488</v>
      </c>
      <c r="I1159" s="4" t="s">
        <v>1234</v>
      </c>
      <c r="J1159" s="4" t="s">
        <v>1235</v>
      </c>
      <c r="K1159" s="4" t="s">
        <v>10</v>
      </c>
      <c r="L1159" s="4" t="s">
        <v>487</v>
      </c>
      <c r="M1159" s="5">
        <v>0</v>
      </c>
      <c r="N1159" s="4" t="s">
        <v>1241</v>
      </c>
    </row>
    <row r="1160" spans="1:14" x14ac:dyDescent="0.15">
      <c r="A1160" s="4" t="s">
        <v>457</v>
      </c>
      <c r="B1160" s="4" t="s">
        <v>24</v>
      </c>
      <c r="C1160" s="5">
        <v>9.8492462311560018</v>
      </c>
      <c r="D1160" s="5">
        <v>1000</v>
      </c>
      <c r="E1160" s="4" t="s">
        <v>13</v>
      </c>
      <c r="F1160" s="5">
        <v>3</v>
      </c>
      <c r="G1160" s="5">
        <v>0</v>
      </c>
      <c r="H1160" s="4" t="s">
        <v>488</v>
      </c>
      <c r="I1160" s="4" t="s">
        <v>1234</v>
      </c>
      <c r="J1160" s="4" t="s">
        <v>1235</v>
      </c>
      <c r="K1160" s="4" t="s">
        <v>10</v>
      </c>
      <c r="L1160" s="4" t="s">
        <v>487</v>
      </c>
      <c r="M1160" s="5">
        <v>0</v>
      </c>
      <c r="N1160" s="4" t="s">
        <v>1241</v>
      </c>
    </row>
    <row r="1161" spans="1:14" x14ac:dyDescent="0.15">
      <c r="A1161" s="4" t="s">
        <v>457</v>
      </c>
      <c r="B1161" s="4" t="s">
        <v>17</v>
      </c>
      <c r="C1161" s="5">
        <v>8.3333333333330017</v>
      </c>
      <c r="D1161" s="5">
        <v>1000</v>
      </c>
      <c r="E1161" s="4" t="s">
        <v>18</v>
      </c>
      <c r="F1161" s="5">
        <v>0</v>
      </c>
      <c r="G1161" s="5">
        <v>0</v>
      </c>
      <c r="H1161" s="4" t="s">
        <v>488</v>
      </c>
      <c r="I1161" s="4" t="s">
        <v>1234</v>
      </c>
      <c r="J1161" s="4" t="s">
        <v>1235</v>
      </c>
      <c r="K1161" s="4" t="s">
        <v>10</v>
      </c>
      <c r="L1161" s="4" t="s">
        <v>487</v>
      </c>
      <c r="M1161" s="5">
        <v>0</v>
      </c>
      <c r="N1161" s="4" t="s">
        <v>1241</v>
      </c>
    </row>
    <row r="1162" spans="1:14" x14ac:dyDescent="0.15">
      <c r="A1162" s="4" t="s">
        <v>457</v>
      </c>
      <c r="B1162" s="4" t="s">
        <v>19</v>
      </c>
      <c r="C1162" s="5">
        <v>4</v>
      </c>
      <c r="D1162" s="5">
        <v>1</v>
      </c>
      <c r="E1162" s="4" t="s">
        <v>18</v>
      </c>
      <c r="F1162" s="5">
        <v>0</v>
      </c>
      <c r="G1162" s="5">
        <v>0</v>
      </c>
      <c r="H1162" s="4" t="s">
        <v>488</v>
      </c>
      <c r="I1162" s="4" t="s">
        <v>1236</v>
      </c>
      <c r="J1162" s="4" t="s">
        <v>1235</v>
      </c>
      <c r="K1162" s="4" t="s">
        <v>10</v>
      </c>
      <c r="L1162" s="4" t="s">
        <v>487</v>
      </c>
      <c r="M1162" s="5">
        <v>0</v>
      </c>
      <c r="N1162" s="4" t="s">
        <v>1241</v>
      </c>
    </row>
    <row r="1163" spans="1:14" x14ac:dyDescent="0.15">
      <c r="A1163" s="4" t="s">
        <v>458</v>
      </c>
      <c r="B1163" s="4" t="s">
        <v>459</v>
      </c>
      <c r="C1163" s="5">
        <v>1</v>
      </c>
      <c r="D1163" s="5">
        <v>1</v>
      </c>
      <c r="E1163" s="4" t="s">
        <v>9</v>
      </c>
      <c r="F1163" s="5">
        <v>0</v>
      </c>
      <c r="G1163" s="5">
        <v>0</v>
      </c>
      <c r="H1163" s="4" t="s">
        <v>488</v>
      </c>
      <c r="I1163" s="4" t="s">
        <v>1234</v>
      </c>
      <c r="J1163" s="4" t="s">
        <v>1235</v>
      </c>
      <c r="K1163" s="4" t="s">
        <v>10</v>
      </c>
      <c r="L1163" s="4" t="s">
        <v>487</v>
      </c>
      <c r="M1163" s="5">
        <v>0</v>
      </c>
      <c r="N1163" s="4" t="s">
        <v>1241</v>
      </c>
    </row>
    <row r="1164" spans="1:14" x14ac:dyDescent="0.15">
      <c r="A1164" s="4" t="s">
        <v>460</v>
      </c>
      <c r="B1164" s="4" t="s">
        <v>459</v>
      </c>
      <c r="C1164" s="5">
        <v>2</v>
      </c>
      <c r="D1164" s="5">
        <v>1</v>
      </c>
      <c r="E1164" s="4" t="s">
        <v>9</v>
      </c>
      <c r="F1164" s="5">
        <v>0</v>
      </c>
      <c r="G1164" s="5">
        <v>0</v>
      </c>
      <c r="H1164" s="4" t="s">
        <v>488</v>
      </c>
      <c r="I1164" s="4" t="s">
        <v>1234</v>
      </c>
      <c r="J1164" s="4" t="s">
        <v>1235</v>
      </c>
      <c r="K1164" s="4" t="s">
        <v>10</v>
      </c>
      <c r="L1164" s="4" t="s">
        <v>487</v>
      </c>
      <c r="M1164" s="5">
        <v>0</v>
      </c>
      <c r="N1164" s="4" t="s">
        <v>1241</v>
      </c>
    </row>
    <row r="1165" spans="1:14" x14ac:dyDescent="0.15">
      <c r="A1165" s="4" t="s">
        <v>461</v>
      </c>
      <c r="B1165" s="4" t="s">
        <v>459</v>
      </c>
      <c r="C1165" s="5">
        <v>500</v>
      </c>
      <c r="D1165" s="5">
        <v>1000</v>
      </c>
      <c r="E1165" s="4" t="s">
        <v>9</v>
      </c>
      <c r="F1165" s="5">
        <v>0</v>
      </c>
      <c r="G1165" s="5">
        <v>0</v>
      </c>
      <c r="H1165" s="4" t="s">
        <v>488</v>
      </c>
      <c r="I1165" s="4" t="s">
        <v>1234</v>
      </c>
      <c r="J1165" s="4" t="s">
        <v>1235</v>
      </c>
      <c r="K1165" s="4" t="s">
        <v>10</v>
      </c>
      <c r="L1165" s="4" t="s">
        <v>487</v>
      </c>
      <c r="M1165" s="5">
        <v>0</v>
      </c>
      <c r="N1165" s="4" t="s">
        <v>1241</v>
      </c>
    </row>
    <row r="1166" spans="1:14" x14ac:dyDescent="0.15">
      <c r="A1166" s="4" t="s">
        <v>459</v>
      </c>
      <c r="B1166" s="4" t="s">
        <v>444</v>
      </c>
      <c r="C1166" s="5">
        <v>24</v>
      </c>
      <c r="D1166" s="5">
        <v>1</v>
      </c>
      <c r="E1166" s="4" t="s">
        <v>9</v>
      </c>
      <c r="F1166" s="5">
        <v>3</v>
      </c>
      <c r="G1166" s="5">
        <v>0</v>
      </c>
      <c r="H1166" s="4" t="s">
        <v>488</v>
      </c>
      <c r="I1166" s="4" t="s">
        <v>1234</v>
      </c>
      <c r="J1166" s="4" t="s">
        <v>1235</v>
      </c>
      <c r="K1166" s="4" t="s">
        <v>10</v>
      </c>
      <c r="L1166" s="4" t="s">
        <v>487</v>
      </c>
      <c r="M1166" s="5">
        <v>0</v>
      </c>
      <c r="N1166" s="4" t="s">
        <v>1241</v>
      </c>
    </row>
    <row r="1167" spans="1:14" x14ac:dyDescent="0.15">
      <c r="A1167" s="4" t="s">
        <v>459</v>
      </c>
      <c r="B1167" s="4" t="s">
        <v>12</v>
      </c>
      <c r="C1167" s="5">
        <v>1.6905527638190001</v>
      </c>
      <c r="D1167" s="5">
        <v>1</v>
      </c>
      <c r="E1167" s="4" t="s">
        <v>13</v>
      </c>
      <c r="F1167" s="5">
        <v>3</v>
      </c>
      <c r="G1167" s="5">
        <v>0</v>
      </c>
      <c r="H1167" s="4" t="s">
        <v>488</v>
      </c>
      <c r="I1167" s="4" t="s">
        <v>1234</v>
      </c>
      <c r="J1167" s="4" t="s">
        <v>1235</v>
      </c>
      <c r="K1167" s="4" t="s">
        <v>10</v>
      </c>
      <c r="L1167" s="4" t="s">
        <v>487</v>
      </c>
      <c r="M1167" s="5">
        <v>0</v>
      </c>
      <c r="N1167" s="4" t="s">
        <v>1241</v>
      </c>
    </row>
    <row r="1168" spans="1:14" x14ac:dyDescent="0.15">
      <c r="A1168" s="4" t="s">
        <v>459</v>
      </c>
      <c r="B1168" s="4" t="s">
        <v>14</v>
      </c>
      <c r="C1168" s="5">
        <v>1.8783919597989995</v>
      </c>
      <c r="D1168" s="5">
        <v>1</v>
      </c>
      <c r="E1168" s="4" t="s">
        <v>13</v>
      </c>
      <c r="F1168" s="5">
        <v>3</v>
      </c>
      <c r="G1168" s="5">
        <v>0</v>
      </c>
      <c r="H1168" s="4" t="s">
        <v>488</v>
      </c>
      <c r="I1168" s="4" t="s">
        <v>1234</v>
      </c>
      <c r="J1168" s="4" t="s">
        <v>1235</v>
      </c>
      <c r="K1168" s="4" t="s">
        <v>10</v>
      </c>
      <c r="L1168" s="4" t="s">
        <v>487</v>
      </c>
      <c r="M1168" s="5">
        <v>0</v>
      </c>
      <c r="N1168" s="4" t="s">
        <v>1241</v>
      </c>
    </row>
    <row r="1169" spans="1:14" x14ac:dyDescent="0.15">
      <c r="A1169" s="4" t="s">
        <v>459</v>
      </c>
      <c r="B1169" s="4" t="s">
        <v>15</v>
      </c>
      <c r="C1169" s="5">
        <v>37.567839195979992</v>
      </c>
      <c r="D1169" s="5">
        <v>1000</v>
      </c>
      <c r="E1169" s="4" t="s">
        <v>13</v>
      </c>
      <c r="F1169" s="5">
        <v>3</v>
      </c>
      <c r="G1169" s="5">
        <v>0</v>
      </c>
      <c r="H1169" s="4" t="s">
        <v>488</v>
      </c>
      <c r="I1169" s="4" t="s">
        <v>1234</v>
      </c>
      <c r="J1169" s="4" t="s">
        <v>1235</v>
      </c>
      <c r="K1169" s="4" t="s">
        <v>10</v>
      </c>
      <c r="L1169" s="4" t="s">
        <v>487</v>
      </c>
      <c r="M1169" s="5">
        <v>0</v>
      </c>
      <c r="N1169" s="4" t="s">
        <v>1241</v>
      </c>
    </row>
    <row r="1170" spans="1:14" x14ac:dyDescent="0.15">
      <c r="A1170" s="4" t="s">
        <v>459</v>
      </c>
      <c r="B1170" s="4" t="s">
        <v>23</v>
      </c>
      <c r="C1170" s="5">
        <v>93.919597989949992</v>
      </c>
      <c r="D1170" s="5">
        <v>1000</v>
      </c>
      <c r="E1170" s="4" t="s">
        <v>13</v>
      </c>
      <c r="F1170" s="5">
        <v>3</v>
      </c>
      <c r="G1170" s="5">
        <v>0</v>
      </c>
      <c r="H1170" s="4" t="s">
        <v>488</v>
      </c>
      <c r="I1170" s="4" t="s">
        <v>1234</v>
      </c>
      <c r="J1170" s="4" t="s">
        <v>1235</v>
      </c>
      <c r="K1170" s="4" t="s">
        <v>10</v>
      </c>
      <c r="L1170" s="4" t="s">
        <v>487</v>
      </c>
      <c r="M1170" s="5">
        <v>0</v>
      </c>
      <c r="N1170" s="4" t="s">
        <v>1241</v>
      </c>
    </row>
    <row r="1171" spans="1:14" x14ac:dyDescent="0.15">
      <c r="A1171" s="4" t="s">
        <v>459</v>
      </c>
      <c r="B1171" s="4" t="s">
        <v>24</v>
      </c>
      <c r="C1171" s="5">
        <v>37.567839195979992</v>
      </c>
      <c r="D1171" s="5">
        <v>1000</v>
      </c>
      <c r="E1171" s="4" t="s">
        <v>13</v>
      </c>
      <c r="F1171" s="5">
        <v>3</v>
      </c>
      <c r="G1171" s="5">
        <v>0</v>
      </c>
      <c r="H1171" s="4" t="s">
        <v>488</v>
      </c>
      <c r="I1171" s="4" t="s">
        <v>1234</v>
      </c>
      <c r="J1171" s="4" t="s">
        <v>1235</v>
      </c>
      <c r="K1171" s="4" t="s">
        <v>10</v>
      </c>
      <c r="L1171" s="4" t="s">
        <v>487</v>
      </c>
      <c r="M1171" s="5">
        <v>0</v>
      </c>
      <c r="N1171" s="4" t="s">
        <v>1241</v>
      </c>
    </row>
    <row r="1172" spans="1:14" x14ac:dyDescent="0.15">
      <c r="A1172" s="4" t="s">
        <v>459</v>
      </c>
      <c r="B1172" s="4" t="s">
        <v>17</v>
      </c>
      <c r="C1172" s="5">
        <v>7.5757575757579998</v>
      </c>
      <c r="D1172" s="5">
        <v>1000</v>
      </c>
      <c r="E1172" s="4" t="s">
        <v>18</v>
      </c>
      <c r="F1172" s="5">
        <v>0</v>
      </c>
      <c r="G1172" s="5">
        <v>0</v>
      </c>
      <c r="H1172" s="4" t="s">
        <v>488</v>
      </c>
      <c r="I1172" s="4" t="s">
        <v>1234</v>
      </c>
      <c r="J1172" s="4" t="s">
        <v>1235</v>
      </c>
      <c r="K1172" s="4" t="s">
        <v>10</v>
      </c>
      <c r="L1172" s="4" t="s">
        <v>487</v>
      </c>
      <c r="M1172" s="5">
        <v>0</v>
      </c>
      <c r="N1172" s="4" t="s">
        <v>1241</v>
      </c>
    </row>
    <row r="1173" spans="1:14" x14ac:dyDescent="0.15">
      <c r="A1173" s="4" t="s">
        <v>459</v>
      </c>
      <c r="B1173" s="4" t="s">
        <v>19</v>
      </c>
      <c r="C1173" s="5">
        <v>4</v>
      </c>
      <c r="D1173" s="5">
        <v>1</v>
      </c>
      <c r="E1173" s="4" t="s">
        <v>18</v>
      </c>
      <c r="F1173" s="5">
        <v>0</v>
      </c>
      <c r="G1173" s="5">
        <v>0</v>
      </c>
      <c r="H1173" s="4" t="s">
        <v>488</v>
      </c>
      <c r="I1173" s="4" t="s">
        <v>1236</v>
      </c>
      <c r="J1173" s="4" t="s">
        <v>1235</v>
      </c>
      <c r="K1173" s="4" t="s">
        <v>10</v>
      </c>
      <c r="L1173" s="4" t="s">
        <v>487</v>
      </c>
      <c r="M1173" s="5">
        <v>0</v>
      </c>
      <c r="N1173" s="4" t="s">
        <v>1241</v>
      </c>
    </row>
    <row r="1174" spans="1:14" x14ac:dyDescent="0.15">
      <c r="A1174" s="4" t="s">
        <v>462</v>
      </c>
      <c r="B1174" s="4" t="s">
        <v>463</v>
      </c>
      <c r="C1174" s="5">
        <v>440</v>
      </c>
      <c r="D1174" s="5">
        <v>1</v>
      </c>
      <c r="E1174" s="4" t="s">
        <v>9</v>
      </c>
      <c r="F1174" s="5">
        <v>0</v>
      </c>
      <c r="G1174" s="5">
        <v>0</v>
      </c>
      <c r="H1174" s="4" t="s">
        <v>488</v>
      </c>
      <c r="I1174" s="4" t="s">
        <v>1234</v>
      </c>
      <c r="J1174" s="4" t="s">
        <v>1235</v>
      </c>
      <c r="K1174" s="4" t="s">
        <v>10</v>
      </c>
      <c r="L1174" s="4" t="s">
        <v>487</v>
      </c>
      <c r="M1174" s="5">
        <v>0</v>
      </c>
      <c r="N1174" s="4" t="s">
        <v>1241</v>
      </c>
    </row>
    <row r="1175" spans="1:14" x14ac:dyDescent="0.15">
      <c r="A1175" s="4" t="s">
        <v>463</v>
      </c>
      <c r="B1175" s="4" t="s">
        <v>464</v>
      </c>
      <c r="C1175" s="5">
        <v>3</v>
      </c>
      <c r="D1175" s="5">
        <v>1</v>
      </c>
      <c r="E1175" s="4" t="s">
        <v>9</v>
      </c>
      <c r="F1175" s="5">
        <v>3</v>
      </c>
      <c r="G1175" s="5">
        <v>0</v>
      </c>
      <c r="H1175" s="4" t="s">
        <v>488</v>
      </c>
      <c r="I1175" s="4" t="s">
        <v>1234</v>
      </c>
      <c r="J1175" s="4" t="s">
        <v>1235</v>
      </c>
      <c r="K1175" s="4" t="s">
        <v>10</v>
      </c>
      <c r="L1175" s="4" t="s">
        <v>487</v>
      </c>
      <c r="M1175" s="5">
        <v>0</v>
      </c>
      <c r="N1175" s="4" t="s">
        <v>1241</v>
      </c>
    </row>
    <row r="1176" spans="1:14" x14ac:dyDescent="0.15">
      <c r="A1176" s="4" t="s">
        <v>463</v>
      </c>
      <c r="B1176" s="4" t="s">
        <v>11</v>
      </c>
      <c r="C1176" s="5">
        <v>1</v>
      </c>
      <c r="D1176" s="5">
        <v>1</v>
      </c>
      <c r="E1176" s="4" t="s">
        <v>9</v>
      </c>
      <c r="F1176" s="5">
        <v>3</v>
      </c>
      <c r="G1176" s="5">
        <v>0</v>
      </c>
      <c r="H1176" s="4" t="s">
        <v>488</v>
      </c>
      <c r="I1176" s="4" t="s">
        <v>1234</v>
      </c>
      <c r="J1176" s="4" t="s">
        <v>1235</v>
      </c>
      <c r="K1176" s="4" t="s">
        <v>10</v>
      </c>
      <c r="L1176" s="4" t="s">
        <v>487</v>
      </c>
      <c r="M1176" s="5">
        <v>0</v>
      </c>
      <c r="N1176" s="4" t="s">
        <v>1241</v>
      </c>
    </row>
    <row r="1177" spans="1:14" x14ac:dyDescent="0.15">
      <c r="A1177" s="4" t="s">
        <v>463</v>
      </c>
      <c r="B1177" s="4" t="s">
        <v>12</v>
      </c>
      <c r="C1177" s="5">
        <v>19.899497487436999</v>
      </c>
      <c r="D1177" s="5">
        <v>1000</v>
      </c>
      <c r="E1177" s="4" t="s">
        <v>13</v>
      </c>
      <c r="F1177" s="5">
        <v>3</v>
      </c>
      <c r="G1177" s="5">
        <v>0</v>
      </c>
      <c r="H1177" s="4" t="s">
        <v>488</v>
      </c>
      <c r="I1177" s="4" t="s">
        <v>1234</v>
      </c>
      <c r="J1177" s="4" t="s">
        <v>1235</v>
      </c>
      <c r="K1177" s="4" t="s">
        <v>10</v>
      </c>
      <c r="L1177" s="4" t="s">
        <v>487</v>
      </c>
      <c r="M1177" s="5">
        <v>0</v>
      </c>
      <c r="N1177" s="4" t="s">
        <v>1241</v>
      </c>
    </row>
    <row r="1178" spans="1:14" x14ac:dyDescent="0.15">
      <c r="A1178" s="4" t="s">
        <v>463</v>
      </c>
      <c r="B1178" s="4" t="s">
        <v>14</v>
      </c>
      <c r="C1178" s="5">
        <v>22.110552763819001</v>
      </c>
      <c r="D1178" s="5">
        <v>1000</v>
      </c>
      <c r="E1178" s="4" t="s">
        <v>13</v>
      </c>
      <c r="F1178" s="5">
        <v>3</v>
      </c>
      <c r="G1178" s="5">
        <v>0</v>
      </c>
      <c r="H1178" s="4" t="s">
        <v>488</v>
      </c>
      <c r="I1178" s="4" t="s">
        <v>1234</v>
      </c>
      <c r="J1178" s="4" t="s">
        <v>1235</v>
      </c>
      <c r="K1178" s="4" t="s">
        <v>10</v>
      </c>
      <c r="L1178" s="4" t="s">
        <v>487</v>
      </c>
      <c r="M1178" s="5">
        <v>0</v>
      </c>
      <c r="N1178" s="4" t="s">
        <v>1241</v>
      </c>
    </row>
    <row r="1179" spans="1:14" x14ac:dyDescent="0.15">
      <c r="A1179" s="4" t="s">
        <v>463</v>
      </c>
      <c r="B1179" s="4" t="s">
        <v>15</v>
      </c>
      <c r="C1179" s="5">
        <v>0.44221105527600002</v>
      </c>
      <c r="D1179" s="5">
        <v>1000</v>
      </c>
      <c r="E1179" s="4" t="s">
        <v>13</v>
      </c>
      <c r="F1179" s="5">
        <v>3</v>
      </c>
      <c r="G1179" s="5">
        <v>0</v>
      </c>
      <c r="H1179" s="4" t="s">
        <v>488</v>
      </c>
      <c r="I1179" s="4" t="s">
        <v>1234</v>
      </c>
      <c r="J1179" s="4" t="s">
        <v>1235</v>
      </c>
      <c r="K1179" s="4" t="s">
        <v>10</v>
      </c>
      <c r="L1179" s="4" t="s">
        <v>487</v>
      </c>
      <c r="M1179" s="5">
        <v>0</v>
      </c>
      <c r="N1179" s="4" t="s">
        <v>1241</v>
      </c>
    </row>
    <row r="1180" spans="1:14" x14ac:dyDescent="0.15">
      <c r="A1180" s="4" t="s">
        <v>463</v>
      </c>
      <c r="B1180" s="4" t="s">
        <v>23</v>
      </c>
      <c r="C1180" s="5">
        <v>1.105527638191</v>
      </c>
      <c r="D1180" s="5">
        <v>1000</v>
      </c>
      <c r="E1180" s="4" t="s">
        <v>13</v>
      </c>
      <c r="F1180" s="5">
        <v>3</v>
      </c>
      <c r="G1180" s="5">
        <v>0</v>
      </c>
      <c r="H1180" s="4" t="s">
        <v>488</v>
      </c>
      <c r="I1180" s="4" t="s">
        <v>1234</v>
      </c>
      <c r="J1180" s="4" t="s">
        <v>1235</v>
      </c>
      <c r="K1180" s="4" t="s">
        <v>10</v>
      </c>
      <c r="L1180" s="4" t="s">
        <v>487</v>
      </c>
      <c r="M1180" s="5">
        <v>0</v>
      </c>
      <c r="N1180" s="4" t="s">
        <v>1241</v>
      </c>
    </row>
    <row r="1181" spans="1:14" x14ac:dyDescent="0.15">
      <c r="A1181" s="4" t="s">
        <v>463</v>
      </c>
      <c r="B1181" s="4" t="s">
        <v>24</v>
      </c>
      <c r="C1181" s="5">
        <v>0.44221105527600002</v>
      </c>
      <c r="D1181" s="5">
        <v>1000</v>
      </c>
      <c r="E1181" s="4" t="s">
        <v>13</v>
      </c>
      <c r="F1181" s="5">
        <v>3</v>
      </c>
      <c r="G1181" s="5">
        <v>0</v>
      </c>
      <c r="H1181" s="4" t="s">
        <v>488</v>
      </c>
      <c r="I1181" s="4" t="s">
        <v>1234</v>
      </c>
      <c r="J1181" s="4" t="s">
        <v>1235</v>
      </c>
      <c r="K1181" s="4" t="s">
        <v>10</v>
      </c>
      <c r="L1181" s="4" t="s">
        <v>487</v>
      </c>
      <c r="M1181" s="5">
        <v>0</v>
      </c>
      <c r="N1181" s="4" t="s">
        <v>1241</v>
      </c>
    </row>
    <row r="1182" spans="1:14" x14ac:dyDescent="0.15">
      <c r="A1182" s="4" t="s">
        <v>463</v>
      </c>
      <c r="B1182" s="4" t="s">
        <v>16</v>
      </c>
      <c r="C1182" s="5">
        <v>1.340597725469</v>
      </c>
      <c r="D1182" s="5">
        <v>1000</v>
      </c>
      <c r="E1182" s="4" t="s">
        <v>13</v>
      </c>
      <c r="F1182" s="5">
        <v>3</v>
      </c>
      <c r="G1182" s="5">
        <v>0</v>
      </c>
      <c r="H1182" s="4" t="s">
        <v>488</v>
      </c>
      <c r="I1182" s="4" t="s">
        <v>1234</v>
      </c>
      <c r="J1182" s="4" t="s">
        <v>1235</v>
      </c>
      <c r="K1182" s="4" t="s">
        <v>10</v>
      </c>
      <c r="L1182" s="4" t="s">
        <v>487</v>
      </c>
      <c r="M1182" s="5">
        <v>0</v>
      </c>
      <c r="N1182" s="4" t="s">
        <v>1241</v>
      </c>
    </row>
    <row r="1183" spans="1:14" x14ac:dyDescent="0.15">
      <c r="A1183" s="4" t="s">
        <v>463</v>
      </c>
      <c r="B1183" s="4" t="s">
        <v>17</v>
      </c>
      <c r="C1183" s="5">
        <v>12.820512820513002</v>
      </c>
      <c r="D1183" s="5">
        <v>1000</v>
      </c>
      <c r="E1183" s="4" t="s">
        <v>18</v>
      </c>
      <c r="F1183" s="5">
        <v>0</v>
      </c>
      <c r="G1183" s="5">
        <v>0</v>
      </c>
      <c r="H1183" s="4" t="s">
        <v>488</v>
      </c>
      <c r="I1183" s="4" t="s">
        <v>1234</v>
      </c>
      <c r="J1183" s="4" t="s">
        <v>1235</v>
      </c>
      <c r="K1183" s="4" t="s">
        <v>10</v>
      </c>
      <c r="L1183" s="4" t="s">
        <v>487</v>
      </c>
      <c r="M1183" s="5">
        <v>0</v>
      </c>
      <c r="N1183" s="4" t="s">
        <v>1241</v>
      </c>
    </row>
    <row r="1184" spans="1:14" x14ac:dyDescent="0.15">
      <c r="A1184" s="4" t="s">
        <v>463</v>
      </c>
      <c r="B1184" s="4" t="s">
        <v>19</v>
      </c>
      <c r="C1184" s="5">
        <v>3</v>
      </c>
      <c r="D1184" s="5">
        <v>1</v>
      </c>
      <c r="E1184" s="4" t="s">
        <v>18</v>
      </c>
      <c r="F1184" s="5">
        <v>0</v>
      </c>
      <c r="G1184" s="5">
        <v>0</v>
      </c>
      <c r="H1184" s="4" t="s">
        <v>488</v>
      </c>
      <c r="I1184" s="4" t="s">
        <v>1236</v>
      </c>
      <c r="J1184" s="4" t="s">
        <v>1235</v>
      </c>
      <c r="K1184" s="4" t="s">
        <v>10</v>
      </c>
      <c r="L1184" s="4" t="s">
        <v>487</v>
      </c>
      <c r="M1184" s="5">
        <v>0</v>
      </c>
      <c r="N1184" s="4" t="s">
        <v>1241</v>
      </c>
    </row>
    <row r="1185" spans="1:14" x14ac:dyDescent="0.15">
      <c r="A1185" s="4" t="s">
        <v>465</v>
      </c>
      <c r="B1185" s="4" t="s">
        <v>466</v>
      </c>
      <c r="C1185" s="5">
        <v>1</v>
      </c>
      <c r="D1185" s="5">
        <v>1</v>
      </c>
      <c r="E1185" s="4" t="s">
        <v>9</v>
      </c>
      <c r="F1185" s="5">
        <v>0</v>
      </c>
      <c r="G1185" s="5">
        <v>0</v>
      </c>
      <c r="H1185" s="4" t="s">
        <v>488</v>
      </c>
      <c r="I1185" s="4" t="s">
        <v>1234</v>
      </c>
      <c r="J1185" s="4" t="s">
        <v>1235</v>
      </c>
      <c r="K1185" s="4" t="s">
        <v>10</v>
      </c>
      <c r="L1185" s="4" t="s">
        <v>487</v>
      </c>
      <c r="M1185" s="5">
        <v>0</v>
      </c>
      <c r="N1185" s="4" t="s">
        <v>1241</v>
      </c>
    </row>
    <row r="1186" spans="1:14" x14ac:dyDescent="0.15">
      <c r="A1186" s="4" t="s">
        <v>467</v>
      </c>
      <c r="B1186" s="4" t="s">
        <v>466</v>
      </c>
      <c r="C1186" s="5">
        <v>2</v>
      </c>
      <c r="D1186" s="5">
        <v>1</v>
      </c>
      <c r="E1186" s="4" t="s">
        <v>9</v>
      </c>
      <c r="F1186" s="5">
        <v>0</v>
      </c>
      <c r="G1186" s="5">
        <v>0</v>
      </c>
      <c r="H1186" s="4" t="s">
        <v>488</v>
      </c>
      <c r="I1186" s="4" t="s">
        <v>1234</v>
      </c>
      <c r="J1186" s="4" t="s">
        <v>1235</v>
      </c>
      <c r="K1186" s="4" t="s">
        <v>10</v>
      </c>
      <c r="L1186" s="4" t="s">
        <v>487</v>
      </c>
      <c r="M1186" s="5">
        <v>0</v>
      </c>
      <c r="N1186" s="4" t="s">
        <v>1241</v>
      </c>
    </row>
    <row r="1187" spans="1:14" x14ac:dyDescent="0.15">
      <c r="A1187" s="4" t="s">
        <v>466</v>
      </c>
      <c r="B1187" s="4" t="s">
        <v>444</v>
      </c>
      <c r="C1187" s="5">
        <v>4</v>
      </c>
      <c r="D1187" s="5">
        <v>1</v>
      </c>
      <c r="E1187" s="4" t="s">
        <v>9</v>
      </c>
      <c r="F1187" s="5">
        <v>3</v>
      </c>
      <c r="G1187" s="5">
        <v>0</v>
      </c>
      <c r="H1187" s="4" t="s">
        <v>488</v>
      </c>
      <c r="I1187" s="4" t="s">
        <v>1234</v>
      </c>
      <c r="J1187" s="4" t="s">
        <v>1235</v>
      </c>
      <c r="K1187" s="4" t="s">
        <v>10</v>
      </c>
      <c r="L1187" s="4" t="s">
        <v>487</v>
      </c>
      <c r="M1187" s="5">
        <v>0</v>
      </c>
      <c r="N1187" s="4" t="s">
        <v>1241</v>
      </c>
    </row>
    <row r="1188" spans="1:14" x14ac:dyDescent="0.15">
      <c r="A1188" s="4" t="s">
        <v>466</v>
      </c>
      <c r="B1188" s="4" t="s">
        <v>12</v>
      </c>
      <c r="C1188" s="5">
        <v>0.28175879396999998</v>
      </c>
      <c r="D1188" s="5">
        <v>1</v>
      </c>
      <c r="E1188" s="4" t="s">
        <v>13</v>
      </c>
      <c r="F1188" s="5">
        <v>3</v>
      </c>
      <c r="G1188" s="5">
        <v>0</v>
      </c>
      <c r="H1188" s="4" t="s">
        <v>488</v>
      </c>
      <c r="I1188" s="4" t="s">
        <v>1234</v>
      </c>
      <c r="J1188" s="4" t="s">
        <v>1235</v>
      </c>
      <c r="K1188" s="4" t="s">
        <v>10</v>
      </c>
      <c r="L1188" s="4" t="s">
        <v>487</v>
      </c>
      <c r="M1188" s="5">
        <v>0</v>
      </c>
      <c r="N1188" s="4" t="s">
        <v>1241</v>
      </c>
    </row>
    <row r="1189" spans="1:14" x14ac:dyDescent="0.15">
      <c r="A1189" s="4" t="s">
        <v>466</v>
      </c>
      <c r="B1189" s="4" t="s">
        <v>14</v>
      </c>
      <c r="C1189" s="5">
        <v>0.31306532663300002</v>
      </c>
      <c r="D1189" s="5">
        <v>1</v>
      </c>
      <c r="E1189" s="4" t="s">
        <v>13</v>
      </c>
      <c r="F1189" s="5">
        <v>3</v>
      </c>
      <c r="G1189" s="5">
        <v>0</v>
      </c>
      <c r="H1189" s="4" t="s">
        <v>488</v>
      </c>
      <c r="I1189" s="4" t="s">
        <v>1234</v>
      </c>
      <c r="J1189" s="4" t="s">
        <v>1235</v>
      </c>
      <c r="K1189" s="4" t="s">
        <v>10</v>
      </c>
      <c r="L1189" s="4" t="s">
        <v>487</v>
      </c>
      <c r="M1189" s="5">
        <v>0</v>
      </c>
      <c r="N1189" s="4" t="s">
        <v>1241</v>
      </c>
    </row>
    <row r="1190" spans="1:14" x14ac:dyDescent="0.15">
      <c r="A1190" s="4" t="s">
        <v>466</v>
      </c>
      <c r="B1190" s="4" t="s">
        <v>15</v>
      </c>
      <c r="C1190" s="5">
        <v>6.2613065326629993</v>
      </c>
      <c r="D1190" s="5">
        <v>1000</v>
      </c>
      <c r="E1190" s="4" t="s">
        <v>13</v>
      </c>
      <c r="F1190" s="5">
        <v>3</v>
      </c>
      <c r="G1190" s="5">
        <v>0</v>
      </c>
      <c r="H1190" s="4" t="s">
        <v>488</v>
      </c>
      <c r="I1190" s="4" t="s">
        <v>1234</v>
      </c>
      <c r="J1190" s="4" t="s">
        <v>1235</v>
      </c>
      <c r="K1190" s="4" t="s">
        <v>10</v>
      </c>
      <c r="L1190" s="4" t="s">
        <v>487</v>
      </c>
      <c r="M1190" s="5">
        <v>0</v>
      </c>
      <c r="N1190" s="4" t="s">
        <v>1241</v>
      </c>
    </row>
    <row r="1191" spans="1:14" x14ac:dyDescent="0.15">
      <c r="A1191" s="4" t="s">
        <v>466</v>
      </c>
      <c r="B1191" s="4" t="s">
        <v>23</v>
      </c>
      <c r="C1191" s="5">
        <v>15.653266331658001</v>
      </c>
      <c r="D1191" s="5">
        <v>1000</v>
      </c>
      <c r="E1191" s="4" t="s">
        <v>13</v>
      </c>
      <c r="F1191" s="5">
        <v>3</v>
      </c>
      <c r="G1191" s="5">
        <v>0</v>
      </c>
      <c r="H1191" s="4" t="s">
        <v>488</v>
      </c>
      <c r="I1191" s="4" t="s">
        <v>1234</v>
      </c>
      <c r="J1191" s="4" t="s">
        <v>1235</v>
      </c>
      <c r="K1191" s="4" t="s">
        <v>10</v>
      </c>
      <c r="L1191" s="4" t="s">
        <v>487</v>
      </c>
      <c r="M1191" s="5">
        <v>0</v>
      </c>
      <c r="N1191" s="4" t="s">
        <v>1241</v>
      </c>
    </row>
    <row r="1192" spans="1:14" x14ac:dyDescent="0.15">
      <c r="A1192" s="4" t="s">
        <v>466</v>
      </c>
      <c r="B1192" s="4" t="s">
        <v>24</v>
      </c>
      <c r="C1192" s="5">
        <v>6.2613065326629993</v>
      </c>
      <c r="D1192" s="5">
        <v>1000</v>
      </c>
      <c r="E1192" s="4" t="s">
        <v>13</v>
      </c>
      <c r="F1192" s="5">
        <v>3</v>
      </c>
      <c r="G1192" s="5">
        <v>0</v>
      </c>
      <c r="H1192" s="4" t="s">
        <v>488</v>
      </c>
      <c r="I1192" s="4" t="s">
        <v>1234</v>
      </c>
      <c r="J1192" s="4" t="s">
        <v>1235</v>
      </c>
      <c r="K1192" s="4" t="s">
        <v>10</v>
      </c>
      <c r="L1192" s="4" t="s">
        <v>487</v>
      </c>
      <c r="M1192" s="5">
        <v>0</v>
      </c>
      <c r="N1192" s="4" t="s">
        <v>1241</v>
      </c>
    </row>
    <row r="1193" spans="1:14" x14ac:dyDescent="0.15">
      <c r="A1193" s="4" t="s">
        <v>466</v>
      </c>
      <c r="B1193" s="4" t="s">
        <v>17</v>
      </c>
      <c r="C1193" s="5">
        <v>7.5757575757579998</v>
      </c>
      <c r="D1193" s="5">
        <v>1000</v>
      </c>
      <c r="E1193" s="4" t="s">
        <v>18</v>
      </c>
      <c r="F1193" s="5">
        <v>0</v>
      </c>
      <c r="G1193" s="5">
        <v>0</v>
      </c>
      <c r="H1193" s="4" t="s">
        <v>488</v>
      </c>
      <c r="I1193" s="4" t="s">
        <v>1234</v>
      </c>
      <c r="J1193" s="4" t="s">
        <v>1235</v>
      </c>
      <c r="K1193" s="4" t="s">
        <v>10</v>
      </c>
      <c r="L1193" s="4" t="s">
        <v>487</v>
      </c>
      <c r="M1193" s="5">
        <v>0</v>
      </c>
      <c r="N1193" s="4" t="s">
        <v>1241</v>
      </c>
    </row>
    <row r="1194" spans="1:14" x14ac:dyDescent="0.15">
      <c r="A1194" s="4" t="s">
        <v>466</v>
      </c>
      <c r="B1194" s="4" t="s">
        <v>19</v>
      </c>
      <c r="C1194" s="5">
        <v>3</v>
      </c>
      <c r="D1194" s="5">
        <v>1</v>
      </c>
      <c r="E1194" s="4" t="s">
        <v>18</v>
      </c>
      <c r="F1194" s="5">
        <v>0</v>
      </c>
      <c r="G1194" s="5">
        <v>0</v>
      </c>
      <c r="H1194" s="4" t="s">
        <v>488</v>
      </c>
      <c r="I1194" s="4" t="s">
        <v>1236</v>
      </c>
      <c r="J1194" s="4" t="s">
        <v>1235</v>
      </c>
      <c r="K1194" s="4" t="s">
        <v>10</v>
      </c>
      <c r="L1194" s="4" t="s">
        <v>487</v>
      </c>
      <c r="M1194" s="5">
        <v>0</v>
      </c>
      <c r="N1194" s="4" t="s">
        <v>1241</v>
      </c>
    </row>
    <row r="1195" spans="1:14" x14ac:dyDescent="0.15">
      <c r="A1195" s="4" t="s">
        <v>468</v>
      </c>
      <c r="B1195" s="4" t="s">
        <v>469</v>
      </c>
      <c r="C1195" s="5">
        <v>1</v>
      </c>
      <c r="D1195" s="5">
        <v>1</v>
      </c>
      <c r="E1195" s="4" t="s">
        <v>9</v>
      </c>
      <c r="F1195" s="5">
        <v>0</v>
      </c>
      <c r="G1195" s="5">
        <v>0</v>
      </c>
      <c r="H1195" s="4" t="s">
        <v>488</v>
      </c>
      <c r="I1195" s="4" t="s">
        <v>1234</v>
      </c>
      <c r="J1195" s="4" t="s">
        <v>1235</v>
      </c>
      <c r="K1195" s="4" t="s">
        <v>10</v>
      </c>
      <c r="L1195" s="4" t="s">
        <v>487</v>
      </c>
      <c r="M1195" s="5">
        <v>0</v>
      </c>
      <c r="N1195" s="4" t="s">
        <v>1241</v>
      </c>
    </row>
    <row r="1196" spans="1:14" x14ac:dyDescent="0.15">
      <c r="A1196" s="4" t="s">
        <v>470</v>
      </c>
      <c r="B1196" s="4" t="s">
        <v>469</v>
      </c>
      <c r="C1196" s="5">
        <v>2</v>
      </c>
      <c r="D1196" s="5">
        <v>1</v>
      </c>
      <c r="E1196" s="4" t="s">
        <v>9</v>
      </c>
      <c r="F1196" s="5">
        <v>0</v>
      </c>
      <c r="G1196" s="5">
        <v>0</v>
      </c>
      <c r="H1196" s="4" t="s">
        <v>488</v>
      </c>
      <c r="I1196" s="4" t="s">
        <v>1234</v>
      </c>
      <c r="J1196" s="4" t="s">
        <v>1235</v>
      </c>
      <c r="K1196" s="4" t="s">
        <v>10</v>
      </c>
      <c r="L1196" s="4" t="s">
        <v>487</v>
      </c>
      <c r="M1196" s="5">
        <v>0</v>
      </c>
      <c r="N1196" s="4" t="s">
        <v>1241</v>
      </c>
    </row>
    <row r="1197" spans="1:14" x14ac:dyDescent="0.15">
      <c r="A1197" s="4" t="s">
        <v>469</v>
      </c>
      <c r="B1197" s="4" t="s">
        <v>444</v>
      </c>
      <c r="C1197" s="5">
        <v>7</v>
      </c>
      <c r="D1197" s="5">
        <v>1</v>
      </c>
      <c r="E1197" s="4" t="s">
        <v>9</v>
      </c>
      <c r="F1197" s="5">
        <v>3</v>
      </c>
      <c r="G1197" s="5">
        <v>0</v>
      </c>
      <c r="H1197" s="4" t="s">
        <v>488</v>
      </c>
      <c r="I1197" s="4" t="s">
        <v>1234</v>
      </c>
      <c r="J1197" s="4" t="s">
        <v>1235</v>
      </c>
      <c r="K1197" s="4" t="s">
        <v>10</v>
      </c>
      <c r="L1197" s="4" t="s">
        <v>487</v>
      </c>
      <c r="M1197" s="5">
        <v>0</v>
      </c>
      <c r="N1197" s="4" t="s">
        <v>1241</v>
      </c>
    </row>
    <row r="1198" spans="1:14" x14ac:dyDescent="0.15">
      <c r="A1198" s="4" t="s">
        <v>469</v>
      </c>
      <c r="B1198" s="4" t="s">
        <v>445</v>
      </c>
      <c r="C1198" s="5">
        <v>1</v>
      </c>
      <c r="D1198" s="5">
        <v>1</v>
      </c>
      <c r="E1198" s="4" t="s">
        <v>9</v>
      </c>
      <c r="F1198" s="5">
        <v>3</v>
      </c>
      <c r="G1198" s="5">
        <v>0</v>
      </c>
      <c r="H1198" s="4" t="s">
        <v>488</v>
      </c>
      <c r="I1198" s="4" t="s">
        <v>1234</v>
      </c>
      <c r="J1198" s="4" t="s">
        <v>1235</v>
      </c>
      <c r="K1198" s="4" t="s">
        <v>10</v>
      </c>
      <c r="L1198" s="4" t="s">
        <v>487</v>
      </c>
      <c r="M1198" s="5">
        <v>0</v>
      </c>
      <c r="N1198" s="4" t="s">
        <v>1241</v>
      </c>
    </row>
    <row r="1199" spans="1:14" x14ac:dyDescent="0.15">
      <c r="A1199" s="4" t="s">
        <v>469</v>
      </c>
      <c r="B1199" s="4" t="s">
        <v>12</v>
      </c>
      <c r="C1199" s="5">
        <v>0.60422110552800001</v>
      </c>
      <c r="D1199" s="5">
        <v>1</v>
      </c>
      <c r="E1199" s="4" t="s">
        <v>13</v>
      </c>
      <c r="F1199" s="5">
        <v>3</v>
      </c>
      <c r="G1199" s="5">
        <v>0</v>
      </c>
      <c r="H1199" s="4" t="s">
        <v>488</v>
      </c>
      <c r="I1199" s="4" t="s">
        <v>1234</v>
      </c>
      <c r="J1199" s="4" t="s">
        <v>1235</v>
      </c>
      <c r="K1199" s="4" t="s">
        <v>10</v>
      </c>
      <c r="L1199" s="4" t="s">
        <v>487</v>
      </c>
      <c r="M1199" s="5">
        <v>0</v>
      </c>
      <c r="N1199" s="4" t="s">
        <v>1241</v>
      </c>
    </row>
    <row r="1200" spans="1:14" x14ac:dyDescent="0.15">
      <c r="A1200" s="4" t="s">
        <v>469</v>
      </c>
      <c r="B1200" s="4" t="s">
        <v>14</v>
      </c>
      <c r="C1200" s="5">
        <v>0.67135678391999998</v>
      </c>
      <c r="D1200" s="5">
        <v>1</v>
      </c>
      <c r="E1200" s="4" t="s">
        <v>13</v>
      </c>
      <c r="F1200" s="5">
        <v>3</v>
      </c>
      <c r="G1200" s="5">
        <v>0</v>
      </c>
      <c r="H1200" s="4" t="s">
        <v>488</v>
      </c>
      <c r="I1200" s="4" t="s">
        <v>1234</v>
      </c>
      <c r="J1200" s="4" t="s">
        <v>1235</v>
      </c>
      <c r="K1200" s="4" t="s">
        <v>10</v>
      </c>
      <c r="L1200" s="4" t="s">
        <v>487</v>
      </c>
      <c r="M1200" s="5">
        <v>0</v>
      </c>
      <c r="N1200" s="4" t="s">
        <v>1241</v>
      </c>
    </row>
    <row r="1201" spans="1:14" x14ac:dyDescent="0.15">
      <c r="A1201" s="4" t="s">
        <v>469</v>
      </c>
      <c r="B1201" s="4" t="s">
        <v>15</v>
      </c>
      <c r="C1201" s="5">
        <v>13.427135678392</v>
      </c>
      <c r="D1201" s="5">
        <v>1000</v>
      </c>
      <c r="E1201" s="4" t="s">
        <v>13</v>
      </c>
      <c r="F1201" s="5">
        <v>3</v>
      </c>
      <c r="G1201" s="5">
        <v>0</v>
      </c>
      <c r="H1201" s="4" t="s">
        <v>488</v>
      </c>
      <c r="I1201" s="4" t="s">
        <v>1234</v>
      </c>
      <c r="J1201" s="4" t="s">
        <v>1235</v>
      </c>
      <c r="K1201" s="4" t="s">
        <v>10</v>
      </c>
      <c r="L1201" s="4" t="s">
        <v>487</v>
      </c>
      <c r="M1201" s="5">
        <v>0</v>
      </c>
      <c r="N1201" s="4" t="s">
        <v>1241</v>
      </c>
    </row>
    <row r="1202" spans="1:14" x14ac:dyDescent="0.15">
      <c r="A1202" s="4" t="s">
        <v>469</v>
      </c>
      <c r="B1202" s="4" t="s">
        <v>23</v>
      </c>
      <c r="C1202" s="5">
        <v>33.567839195979992</v>
      </c>
      <c r="D1202" s="5">
        <v>1000</v>
      </c>
      <c r="E1202" s="4" t="s">
        <v>13</v>
      </c>
      <c r="F1202" s="5">
        <v>3</v>
      </c>
      <c r="G1202" s="5">
        <v>0</v>
      </c>
      <c r="H1202" s="4" t="s">
        <v>488</v>
      </c>
      <c r="I1202" s="4" t="s">
        <v>1234</v>
      </c>
      <c r="J1202" s="4" t="s">
        <v>1235</v>
      </c>
      <c r="K1202" s="4" t="s">
        <v>10</v>
      </c>
      <c r="L1202" s="4" t="s">
        <v>487</v>
      </c>
      <c r="M1202" s="5">
        <v>0</v>
      </c>
      <c r="N1202" s="4" t="s">
        <v>1241</v>
      </c>
    </row>
    <row r="1203" spans="1:14" x14ac:dyDescent="0.15">
      <c r="A1203" s="4" t="s">
        <v>469</v>
      </c>
      <c r="B1203" s="4" t="s">
        <v>24</v>
      </c>
      <c r="C1203" s="5">
        <v>13.427135678392</v>
      </c>
      <c r="D1203" s="5">
        <v>1000</v>
      </c>
      <c r="E1203" s="4" t="s">
        <v>13</v>
      </c>
      <c r="F1203" s="5">
        <v>3</v>
      </c>
      <c r="G1203" s="5">
        <v>0</v>
      </c>
      <c r="H1203" s="4" t="s">
        <v>488</v>
      </c>
      <c r="I1203" s="4" t="s">
        <v>1234</v>
      </c>
      <c r="J1203" s="4" t="s">
        <v>1235</v>
      </c>
      <c r="K1203" s="4" t="s">
        <v>10</v>
      </c>
      <c r="L1203" s="4" t="s">
        <v>487</v>
      </c>
      <c r="M1203" s="5">
        <v>0</v>
      </c>
      <c r="N1203" s="4" t="s">
        <v>1241</v>
      </c>
    </row>
    <row r="1204" spans="1:14" x14ac:dyDescent="0.15">
      <c r="A1204" s="4" t="s">
        <v>469</v>
      </c>
      <c r="B1204" s="4" t="s">
        <v>17</v>
      </c>
      <c r="C1204" s="5">
        <v>6.9444444444440006</v>
      </c>
      <c r="D1204" s="5">
        <v>1000</v>
      </c>
      <c r="E1204" s="4" t="s">
        <v>18</v>
      </c>
      <c r="F1204" s="5">
        <v>0</v>
      </c>
      <c r="G1204" s="5">
        <v>0</v>
      </c>
      <c r="H1204" s="4" t="s">
        <v>488</v>
      </c>
      <c r="I1204" s="4" t="s">
        <v>1234</v>
      </c>
      <c r="J1204" s="4" t="s">
        <v>1235</v>
      </c>
      <c r="K1204" s="4" t="s">
        <v>10</v>
      </c>
      <c r="L1204" s="4" t="s">
        <v>487</v>
      </c>
      <c r="M1204" s="5">
        <v>0</v>
      </c>
      <c r="N1204" s="4" t="s">
        <v>1241</v>
      </c>
    </row>
    <row r="1205" spans="1:14" x14ac:dyDescent="0.15">
      <c r="A1205" s="4" t="s">
        <v>469</v>
      </c>
      <c r="B1205" s="4" t="s">
        <v>19</v>
      </c>
      <c r="C1205" s="5">
        <v>3</v>
      </c>
      <c r="D1205" s="5">
        <v>1</v>
      </c>
      <c r="E1205" s="4" t="s">
        <v>18</v>
      </c>
      <c r="F1205" s="5">
        <v>0</v>
      </c>
      <c r="G1205" s="5">
        <v>0</v>
      </c>
      <c r="H1205" s="4" t="s">
        <v>488</v>
      </c>
      <c r="I1205" s="4" t="s">
        <v>1236</v>
      </c>
      <c r="J1205" s="4" t="s">
        <v>1235</v>
      </c>
      <c r="K1205" s="4" t="s">
        <v>10</v>
      </c>
      <c r="L1205" s="4" t="s">
        <v>487</v>
      </c>
      <c r="M1205" s="5">
        <v>0</v>
      </c>
      <c r="N1205" s="4" t="s">
        <v>1241</v>
      </c>
    </row>
    <row r="1206" spans="1:14" x14ac:dyDescent="0.15">
      <c r="A1206" s="4" t="s">
        <v>471</v>
      </c>
      <c r="B1206" s="4" t="s">
        <v>472</v>
      </c>
      <c r="C1206" s="5">
        <v>4</v>
      </c>
      <c r="D1206" s="5">
        <v>1</v>
      </c>
      <c r="E1206" s="4" t="s">
        <v>9</v>
      </c>
      <c r="F1206" s="5">
        <v>3</v>
      </c>
      <c r="G1206" s="5">
        <v>0</v>
      </c>
      <c r="H1206" s="4" t="s">
        <v>488</v>
      </c>
      <c r="I1206" s="4" t="s">
        <v>1234</v>
      </c>
      <c r="J1206" s="4" t="s">
        <v>1235</v>
      </c>
      <c r="K1206" s="4" t="s">
        <v>10</v>
      </c>
      <c r="L1206" s="4" t="s">
        <v>487</v>
      </c>
      <c r="M1206" s="5">
        <v>0</v>
      </c>
      <c r="N1206" s="4" t="s">
        <v>1241</v>
      </c>
    </row>
    <row r="1207" spans="1:14" x14ac:dyDescent="0.15">
      <c r="A1207" s="4" t="s">
        <v>471</v>
      </c>
      <c r="B1207" s="4" t="s">
        <v>12</v>
      </c>
      <c r="C1207" s="5">
        <v>0.52552763819100001</v>
      </c>
      <c r="D1207" s="5">
        <v>1</v>
      </c>
      <c r="E1207" s="4" t="s">
        <v>13</v>
      </c>
      <c r="F1207" s="5">
        <v>3</v>
      </c>
      <c r="G1207" s="5">
        <v>0</v>
      </c>
      <c r="H1207" s="4" t="s">
        <v>488</v>
      </c>
      <c r="I1207" s="4" t="s">
        <v>1234</v>
      </c>
      <c r="J1207" s="4" t="s">
        <v>1235</v>
      </c>
      <c r="K1207" s="4" t="s">
        <v>10</v>
      </c>
      <c r="L1207" s="4" t="s">
        <v>487</v>
      </c>
      <c r="M1207" s="5">
        <v>0</v>
      </c>
      <c r="N1207" s="4" t="s">
        <v>1241</v>
      </c>
    </row>
    <row r="1208" spans="1:14" x14ac:dyDescent="0.15">
      <c r="A1208" s="4" t="s">
        <v>471</v>
      </c>
      <c r="B1208" s="4" t="s">
        <v>14</v>
      </c>
      <c r="C1208" s="5">
        <v>0.58391959799000004</v>
      </c>
      <c r="D1208" s="5">
        <v>1</v>
      </c>
      <c r="E1208" s="4" t="s">
        <v>13</v>
      </c>
      <c r="F1208" s="5">
        <v>3</v>
      </c>
      <c r="G1208" s="5">
        <v>0</v>
      </c>
      <c r="H1208" s="4" t="s">
        <v>488</v>
      </c>
      <c r="I1208" s="4" t="s">
        <v>1234</v>
      </c>
      <c r="J1208" s="4" t="s">
        <v>1235</v>
      </c>
      <c r="K1208" s="4" t="s">
        <v>10</v>
      </c>
      <c r="L1208" s="4" t="s">
        <v>487</v>
      </c>
      <c r="M1208" s="5">
        <v>0</v>
      </c>
      <c r="N1208" s="4" t="s">
        <v>1241</v>
      </c>
    </row>
    <row r="1209" spans="1:14" x14ac:dyDescent="0.15">
      <c r="A1209" s="4" t="s">
        <v>471</v>
      </c>
      <c r="B1209" s="4" t="s">
        <v>15</v>
      </c>
      <c r="C1209" s="5">
        <v>11.678391959798999</v>
      </c>
      <c r="D1209" s="5">
        <v>1000</v>
      </c>
      <c r="E1209" s="4" t="s">
        <v>13</v>
      </c>
      <c r="F1209" s="5">
        <v>3</v>
      </c>
      <c r="G1209" s="5">
        <v>0</v>
      </c>
      <c r="H1209" s="4" t="s">
        <v>488</v>
      </c>
      <c r="I1209" s="4" t="s">
        <v>1234</v>
      </c>
      <c r="J1209" s="4" t="s">
        <v>1235</v>
      </c>
      <c r="K1209" s="4" t="s">
        <v>10</v>
      </c>
      <c r="L1209" s="4" t="s">
        <v>487</v>
      </c>
      <c r="M1209" s="5">
        <v>0</v>
      </c>
      <c r="N1209" s="4" t="s">
        <v>1241</v>
      </c>
    </row>
    <row r="1210" spans="1:14" x14ac:dyDescent="0.15">
      <c r="A1210" s="4" t="s">
        <v>471</v>
      </c>
      <c r="B1210" s="4" t="s">
        <v>23</v>
      </c>
      <c r="C1210" s="5">
        <v>29.195979899498003</v>
      </c>
      <c r="D1210" s="5">
        <v>1000</v>
      </c>
      <c r="E1210" s="4" t="s">
        <v>13</v>
      </c>
      <c r="F1210" s="5">
        <v>3</v>
      </c>
      <c r="G1210" s="5">
        <v>0</v>
      </c>
      <c r="H1210" s="4" t="s">
        <v>488</v>
      </c>
      <c r="I1210" s="4" t="s">
        <v>1234</v>
      </c>
      <c r="J1210" s="4" t="s">
        <v>1235</v>
      </c>
      <c r="K1210" s="4" t="s">
        <v>10</v>
      </c>
      <c r="L1210" s="4" t="s">
        <v>487</v>
      </c>
      <c r="M1210" s="5">
        <v>0</v>
      </c>
      <c r="N1210" s="4" t="s">
        <v>1241</v>
      </c>
    </row>
    <row r="1211" spans="1:14" x14ac:dyDescent="0.15">
      <c r="A1211" s="4" t="s">
        <v>471</v>
      </c>
      <c r="B1211" s="4" t="s">
        <v>24</v>
      </c>
      <c r="C1211" s="5">
        <v>11.678391959798999</v>
      </c>
      <c r="D1211" s="5">
        <v>1000</v>
      </c>
      <c r="E1211" s="4" t="s">
        <v>13</v>
      </c>
      <c r="F1211" s="5">
        <v>3</v>
      </c>
      <c r="G1211" s="5">
        <v>0</v>
      </c>
      <c r="H1211" s="4" t="s">
        <v>488</v>
      </c>
      <c r="I1211" s="4" t="s">
        <v>1234</v>
      </c>
      <c r="J1211" s="4" t="s">
        <v>1235</v>
      </c>
      <c r="K1211" s="4" t="s">
        <v>10</v>
      </c>
      <c r="L1211" s="4" t="s">
        <v>487</v>
      </c>
      <c r="M1211" s="5">
        <v>0</v>
      </c>
      <c r="N1211" s="4" t="s">
        <v>1241</v>
      </c>
    </row>
    <row r="1212" spans="1:14" x14ac:dyDescent="0.15">
      <c r="A1212" s="4" t="s">
        <v>471</v>
      </c>
      <c r="B1212" s="4" t="s">
        <v>17</v>
      </c>
      <c r="C1212" s="5">
        <v>3.3333333333330004</v>
      </c>
      <c r="D1212" s="5">
        <v>1000</v>
      </c>
      <c r="E1212" s="4" t="s">
        <v>18</v>
      </c>
      <c r="F1212" s="5">
        <v>0</v>
      </c>
      <c r="G1212" s="5">
        <v>0</v>
      </c>
      <c r="H1212" s="4" t="s">
        <v>488</v>
      </c>
      <c r="I1212" s="4" t="s">
        <v>1234</v>
      </c>
      <c r="J1212" s="4" t="s">
        <v>1235</v>
      </c>
      <c r="K1212" s="4" t="s">
        <v>10</v>
      </c>
      <c r="L1212" s="4" t="s">
        <v>487</v>
      </c>
      <c r="M1212" s="5">
        <v>0</v>
      </c>
      <c r="N1212" s="4" t="s">
        <v>1241</v>
      </c>
    </row>
    <row r="1213" spans="1:14" x14ac:dyDescent="0.15">
      <c r="A1213" s="4" t="s">
        <v>471</v>
      </c>
      <c r="B1213" s="4" t="s">
        <v>19</v>
      </c>
      <c r="C1213" s="5">
        <v>3.5</v>
      </c>
      <c r="D1213" s="5">
        <v>1</v>
      </c>
      <c r="E1213" s="4" t="s">
        <v>18</v>
      </c>
      <c r="F1213" s="5">
        <v>0</v>
      </c>
      <c r="G1213" s="5">
        <v>0</v>
      </c>
      <c r="H1213" s="4" t="s">
        <v>488</v>
      </c>
      <c r="I1213" s="4" t="s">
        <v>1236</v>
      </c>
      <c r="J1213" s="4" t="s">
        <v>1235</v>
      </c>
      <c r="K1213" s="4" t="s">
        <v>10</v>
      </c>
      <c r="L1213" s="4" t="s">
        <v>487</v>
      </c>
      <c r="M1213" s="5">
        <v>0</v>
      </c>
      <c r="N1213" s="4" t="s">
        <v>1241</v>
      </c>
    </row>
    <row r="1214" spans="1:14" x14ac:dyDescent="0.15">
      <c r="A1214" s="4" t="s">
        <v>473</v>
      </c>
      <c r="B1214" s="4" t="s">
        <v>123</v>
      </c>
      <c r="C1214" s="5">
        <v>6</v>
      </c>
      <c r="D1214" s="5">
        <v>1</v>
      </c>
      <c r="E1214" s="4" t="s">
        <v>13</v>
      </c>
      <c r="F1214" s="5">
        <v>0</v>
      </c>
      <c r="G1214" s="5">
        <v>0</v>
      </c>
      <c r="H1214" s="4" t="s">
        <v>488</v>
      </c>
      <c r="I1214" s="4" t="s">
        <v>1234</v>
      </c>
      <c r="J1214" s="4" t="s">
        <v>1235</v>
      </c>
      <c r="K1214" s="4" t="s">
        <v>10</v>
      </c>
      <c r="L1214" s="4" t="s">
        <v>487</v>
      </c>
      <c r="M1214" s="5">
        <v>0</v>
      </c>
      <c r="N1214" s="4" t="s">
        <v>1241</v>
      </c>
    </row>
    <row r="1215" spans="1:14" x14ac:dyDescent="0.15">
      <c r="A1215" s="4" t="s">
        <v>474</v>
      </c>
      <c r="B1215" s="4" t="s">
        <v>33</v>
      </c>
      <c r="C1215" s="5">
        <v>73</v>
      </c>
      <c r="D1215" s="5">
        <v>1</v>
      </c>
      <c r="E1215" s="4" t="s">
        <v>9</v>
      </c>
      <c r="F1215" s="5">
        <v>3</v>
      </c>
      <c r="G1215" s="5">
        <v>0</v>
      </c>
      <c r="H1215" s="4" t="s">
        <v>488</v>
      </c>
      <c r="I1215" s="4" t="s">
        <v>1234</v>
      </c>
      <c r="J1215" s="4" t="s">
        <v>1235</v>
      </c>
      <c r="K1215" s="4" t="s">
        <v>10</v>
      </c>
      <c r="L1215" s="4" t="s">
        <v>487</v>
      </c>
      <c r="M1215" s="5">
        <v>0</v>
      </c>
      <c r="N1215" s="4" t="s">
        <v>1241</v>
      </c>
    </row>
    <row r="1216" spans="1:14" x14ac:dyDescent="0.15">
      <c r="A1216" s="4" t="s">
        <v>474</v>
      </c>
      <c r="B1216" s="4" t="s">
        <v>12</v>
      </c>
      <c r="C1216" s="5">
        <v>9.9045226130650015</v>
      </c>
      <c r="D1216" s="5">
        <v>1</v>
      </c>
      <c r="E1216" s="4" t="s">
        <v>13</v>
      </c>
      <c r="F1216" s="5">
        <v>3</v>
      </c>
      <c r="G1216" s="5">
        <v>0</v>
      </c>
      <c r="H1216" s="4" t="s">
        <v>488</v>
      </c>
      <c r="I1216" s="4" t="s">
        <v>1234</v>
      </c>
      <c r="J1216" s="4" t="s">
        <v>1235</v>
      </c>
      <c r="K1216" s="4" t="s">
        <v>10</v>
      </c>
      <c r="L1216" s="4" t="s">
        <v>487</v>
      </c>
      <c r="M1216" s="5">
        <v>0</v>
      </c>
      <c r="N1216" s="4" t="s">
        <v>1241</v>
      </c>
    </row>
    <row r="1217" spans="1:14" x14ac:dyDescent="0.15">
      <c r="A1217" s="4" t="s">
        <v>474</v>
      </c>
      <c r="B1217" s="4" t="s">
        <v>14</v>
      </c>
      <c r="C1217" s="5">
        <v>11.005025125628002</v>
      </c>
      <c r="D1217" s="5">
        <v>1</v>
      </c>
      <c r="E1217" s="4" t="s">
        <v>13</v>
      </c>
      <c r="F1217" s="5">
        <v>3</v>
      </c>
      <c r="G1217" s="5">
        <v>0</v>
      </c>
      <c r="H1217" s="4" t="s">
        <v>488</v>
      </c>
      <c r="I1217" s="4" t="s">
        <v>1234</v>
      </c>
      <c r="J1217" s="4" t="s">
        <v>1235</v>
      </c>
      <c r="K1217" s="4" t="s">
        <v>10</v>
      </c>
      <c r="L1217" s="4" t="s">
        <v>487</v>
      </c>
      <c r="M1217" s="5">
        <v>0</v>
      </c>
      <c r="N1217" s="4" t="s">
        <v>1241</v>
      </c>
    </row>
    <row r="1218" spans="1:14" x14ac:dyDescent="0.15">
      <c r="A1218" s="4" t="s">
        <v>474</v>
      </c>
      <c r="B1218" s="4" t="s">
        <v>15</v>
      </c>
      <c r="C1218" s="5">
        <v>0.22010050251300001</v>
      </c>
      <c r="D1218" s="5">
        <v>1</v>
      </c>
      <c r="E1218" s="4" t="s">
        <v>13</v>
      </c>
      <c r="F1218" s="5">
        <v>3</v>
      </c>
      <c r="G1218" s="5">
        <v>0</v>
      </c>
      <c r="H1218" s="4" t="s">
        <v>488</v>
      </c>
      <c r="I1218" s="4" t="s">
        <v>1234</v>
      </c>
      <c r="J1218" s="4" t="s">
        <v>1235</v>
      </c>
      <c r="K1218" s="4" t="s">
        <v>10</v>
      </c>
      <c r="L1218" s="4" t="s">
        <v>487</v>
      </c>
      <c r="M1218" s="5">
        <v>0</v>
      </c>
      <c r="N1218" s="4" t="s">
        <v>1241</v>
      </c>
    </row>
    <row r="1219" spans="1:14" x14ac:dyDescent="0.15">
      <c r="A1219" s="4" t="s">
        <v>474</v>
      </c>
      <c r="B1219" s="4" t="s">
        <v>23</v>
      </c>
      <c r="C1219" s="5">
        <v>0.55025125628100002</v>
      </c>
      <c r="D1219" s="5">
        <v>1</v>
      </c>
      <c r="E1219" s="4" t="s">
        <v>13</v>
      </c>
      <c r="F1219" s="5">
        <v>3</v>
      </c>
      <c r="G1219" s="5">
        <v>0</v>
      </c>
      <c r="H1219" s="4" t="s">
        <v>488</v>
      </c>
      <c r="I1219" s="4" t="s">
        <v>1234</v>
      </c>
      <c r="J1219" s="4" t="s">
        <v>1235</v>
      </c>
      <c r="K1219" s="4" t="s">
        <v>10</v>
      </c>
      <c r="L1219" s="4" t="s">
        <v>487</v>
      </c>
      <c r="M1219" s="5">
        <v>0</v>
      </c>
      <c r="N1219" s="4" t="s">
        <v>1241</v>
      </c>
    </row>
    <row r="1220" spans="1:14" x14ac:dyDescent="0.15">
      <c r="A1220" s="4" t="s">
        <v>474</v>
      </c>
      <c r="B1220" s="4" t="s">
        <v>24</v>
      </c>
      <c r="C1220" s="5">
        <v>0.22010050251300001</v>
      </c>
      <c r="D1220" s="5">
        <v>1</v>
      </c>
      <c r="E1220" s="4" t="s">
        <v>13</v>
      </c>
      <c r="F1220" s="5">
        <v>3</v>
      </c>
      <c r="G1220" s="5">
        <v>0</v>
      </c>
      <c r="H1220" s="4" t="s">
        <v>488</v>
      </c>
      <c r="I1220" s="4" t="s">
        <v>1234</v>
      </c>
      <c r="J1220" s="4" t="s">
        <v>1235</v>
      </c>
      <c r="K1220" s="4" t="s">
        <v>10</v>
      </c>
      <c r="L1220" s="4" t="s">
        <v>487</v>
      </c>
      <c r="M1220" s="5">
        <v>0</v>
      </c>
      <c r="N1220" s="4" t="s">
        <v>1241</v>
      </c>
    </row>
    <row r="1221" spans="1:14" x14ac:dyDescent="0.15">
      <c r="A1221" s="4" t="s">
        <v>474</v>
      </c>
      <c r="B1221" s="4" t="s">
        <v>17</v>
      </c>
      <c r="C1221" s="5">
        <v>18.518518518518999</v>
      </c>
      <c r="D1221" s="5">
        <v>1000</v>
      </c>
      <c r="E1221" s="4" t="s">
        <v>18</v>
      </c>
      <c r="F1221" s="5">
        <v>0</v>
      </c>
      <c r="G1221" s="5">
        <v>0</v>
      </c>
      <c r="H1221" s="4" t="s">
        <v>488</v>
      </c>
      <c r="I1221" s="4" t="s">
        <v>1234</v>
      </c>
      <c r="J1221" s="4" t="s">
        <v>1235</v>
      </c>
      <c r="K1221" s="4" t="s">
        <v>10</v>
      </c>
      <c r="L1221" s="4" t="s">
        <v>487</v>
      </c>
      <c r="M1221" s="5">
        <v>0</v>
      </c>
      <c r="N1221" s="4" t="s">
        <v>1241</v>
      </c>
    </row>
    <row r="1222" spans="1:14" x14ac:dyDescent="0.15">
      <c r="A1222" s="4" t="s">
        <v>474</v>
      </c>
      <c r="B1222" s="4" t="s">
        <v>19</v>
      </c>
      <c r="C1222" s="5">
        <v>7</v>
      </c>
      <c r="D1222" s="5">
        <v>1</v>
      </c>
      <c r="E1222" s="4" t="s">
        <v>18</v>
      </c>
      <c r="F1222" s="5">
        <v>0</v>
      </c>
      <c r="G1222" s="5">
        <v>0</v>
      </c>
      <c r="H1222" s="4" t="s">
        <v>488</v>
      </c>
      <c r="I1222" s="4" t="s">
        <v>1236</v>
      </c>
      <c r="J1222" s="4" t="s">
        <v>1235</v>
      </c>
      <c r="K1222" s="4" t="s">
        <v>10</v>
      </c>
      <c r="L1222" s="4" t="s">
        <v>487</v>
      </c>
      <c r="M1222" s="5">
        <v>0</v>
      </c>
      <c r="N1222" s="4" t="s">
        <v>1241</v>
      </c>
    </row>
    <row r="1223" spans="1:14" x14ac:dyDescent="0.15">
      <c r="A1223" s="4" t="s">
        <v>475</v>
      </c>
      <c r="B1223" s="4" t="s">
        <v>123</v>
      </c>
      <c r="C1223" s="5">
        <v>102</v>
      </c>
      <c r="D1223" s="5">
        <v>1</v>
      </c>
      <c r="E1223" s="4" t="s">
        <v>9</v>
      </c>
      <c r="F1223" s="5">
        <v>3</v>
      </c>
      <c r="G1223" s="5">
        <v>0</v>
      </c>
      <c r="H1223" s="4" t="s">
        <v>488</v>
      </c>
      <c r="I1223" s="4" t="s">
        <v>1234</v>
      </c>
      <c r="J1223" s="4" t="s">
        <v>1235</v>
      </c>
      <c r="K1223" s="4" t="s">
        <v>10</v>
      </c>
      <c r="L1223" s="4" t="s">
        <v>487</v>
      </c>
      <c r="M1223" s="5">
        <v>0</v>
      </c>
      <c r="N1223" s="4" t="s">
        <v>1241</v>
      </c>
    </row>
    <row r="1224" spans="1:14" x14ac:dyDescent="0.15">
      <c r="A1224" s="4" t="s">
        <v>475</v>
      </c>
      <c r="B1224" s="4" t="s">
        <v>12</v>
      </c>
      <c r="C1224" s="5">
        <v>30.446231155779</v>
      </c>
      <c r="D1224" s="5">
        <v>1</v>
      </c>
      <c r="E1224" s="4" t="s">
        <v>13</v>
      </c>
      <c r="F1224" s="5">
        <v>3</v>
      </c>
      <c r="G1224" s="5">
        <v>0</v>
      </c>
      <c r="H1224" s="4" t="s">
        <v>488</v>
      </c>
      <c r="I1224" s="4" t="s">
        <v>1234</v>
      </c>
      <c r="J1224" s="4" t="s">
        <v>1235</v>
      </c>
      <c r="K1224" s="4" t="s">
        <v>10</v>
      </c>
      <c r="L1224" s="4" t="s">
        <v>487</v>
      </c>
      <c r="M1224" s="5">
        <v>0</v>
      </c>
      <c r="N1224" s="4" t="s">
        <v>1241</v>
      </c>
    </row>
    <row r="1225" spans="1:14" x14ac:dyDescent="0.15">
      <c r="A1225" s="4" t="s">
        <v>475</v>
      </c>
      <c r="B1225" s="4" t="s">
        <v>14</v>
      </c>
      <c r="C1225" s="5">
        <v>33.829145728642999</v>
      </c>
      <c r="D1225" s="5">
        <v>1</v>
      </c>
      <c r="E1225" s="4" t="s">
        <v>13</v>
      </c>
      <c r="F1225" s="5">
        <v>3</v>
      </c>
      <c r="G1225" s="5">
        <v>0</v>
      </c>
      <c r="H1225" s="4" t="s">
        <v>488</v>
      </c>
      <c r="I1225" s="4" t="s">
        <v>1234</v>
      </c>
      <c r="J1225" s="4" t="s">
        <v>1235</v>
      </c>
      <c r="K1225" s="4" t="s">
        <v>10</v>
      </c>
      <c r="L1225" s="4" t="s">
        <v>487</v>
      </c>
      <c r="M1225" s="5">
        <v>0</v>
      </c>
      <c r="N1225" s="4" t="s">
        <v>1241</v>
      </c>
    </row>
    <row r="1226" spans="1:14" x14ac:dyDescent="0.15">
      <c r="A1226" s="4" t="s">
        <v>475</v>
      </c>
      <c r="B1226" s="4" t="s">
        <v>15</v>
      </c>
      <c r="C1226" s="5">
        <v>0.67658291457300002</v>
      </c>
      <c r="D1226" s="5">
        <v>1</v>
      </c>
      <c r="E1226" s="4" t="s">
        <v>13</v>
      </c>
      <c r="F1226" s="5">
        <v>3</v>
      </c>
      <c r="G1226" s="5">
        <v>0</v>
      </c>
      <c r="H1226" s="4" t="s">
        <v>488</v>
      </c>
      <c r="I1226" s="4" t="s">
        <v>1234</v>
      </c>
      <c r="J1226" s="4" t="s">
        <v>1235</v>
      </c>
      <c r="K1226" s="4" t="s">
        <v>10</v>
      </c>
      <c r="L1226" s="4" t="s">
        <v>487</v>
      </c>
      <c r="M1226" s="5">
        <v>0</v>
      </c>
      <c r="N1226" s="4" t="s">
        <v>1241</v>
      </c>
    </row>
    <row r="1227" spans="1:14" x14ac:dyDescent="0.15">
      <c r="A1227" s="4" t="s">
        <v>475</v>
      </c>
      <c r="B1227" s="4" t="s">
        <v>23</v>
      </c>
      <c r="C1227" s="5">
        <v>1.6914572864319997</v>
      </c>
      <c r="D1227" s="5">
        <v>1</v>
      </c>
      <c r="E1227" s="4" t="s">
        <v>13</v>
      </c>
      <c r="F1227" s="5">
        <v>3</v>
      </c>
      <c r="G1227" s="5">
        <v>0</v>
      </c>
      <c r="H1227" s="4" t="s">
        <v>488</v>
      </c>
      <c r="I1227" s="4" t="s">
        <v>1234</v>
      </c>
      <c r="J1227" s="4" t="s">
        <v>1235</v>
      </c>
      <c r="K1227" s="4" t="s">
        <v>10</v>
      </c>
      <c r="L1227" s="4" t="s">
        <v>487</v>
      </c>
      <c r="M1227" s="5">
        <v>0</v>
      </c>
      <c r="N1227" s="4" t="s">
        <v>1241</v>
      </c>
    </row>
    <row r="1228" spans="1:14" x14ac:dyDescent="0.15">
      <c r="A1228" s="4" t="s">
        <v>475</v>
      </c>
      <c r="B1228" s="4" t="s">
        <v>24</v>
      </c>
      <c r="C1228" s="5">
        <v>0.67658291457300002</v>
      </c>
      <c r="D1228" s="5">
        <v>1</v>
      </c>
      <c r="E1228" s="4" t="s">
        <v>13</v>
      </c>
      <c r="F1228" s="5">
        <v>3</v>
      </c>
      <c r="G1228" s="5">
        <v>0</v>
      </c>
      <c r="H1228" s="4" t="s">
        <v>488</v>
      </c>
      <c r="I1228" s="4" t="s">
        <v>1234</v>
      </c>
      <c r="J1228" s="4" t="s">
        <v>1235</v>
      </c>
      <c r="K1228" s="4" t="s">
        <v>10</v>
      </c>
      <c r="L1228" s="4" t="s">
        <v>487</v>
      </c>
      <c r="M1228" s="5">
        <v>0</v>
      </c>
      <c r="N1228" s="4" t="s">
        <v>1241</v>
      </c>
    </row>
    <row r="1229" spans="1:14" x14ac:dyDescent="0.15">
      <c r="A1229" s="4" t="s">
        <v>475</v>
      </c>
      <c r="B1229" s="4" t="s">
        <v>124</v>
      </c>
      <c r="C1229" s="5">
        <v>2.0195999999999996</v>
      </c>
      <c r="D1229" s="5">
        <v>1</v>
      </c>
      <c r="E1229" s="4" t="s">
        <v>13</v>
      </c>
      <c r="F1229" s="5">
        <v>3</v>
      </c>
      <c r="G1229" s="5">
        <v>0</v>
      </c>
      <c r="H1229" s="4" t="s">
        <v>488</v>
      </c>
      <c r="I1229" s="4" t="s">
        <v>1234</v>
      </c>
      <c r="J1229" s="4" t="s">
        <v>1235</v>
      </c>
      <c r="K1229" s="4" t="s">
        <v>10</v>
      </c>
      <c r="L1229" s="4" t="s">
        <v>487</v>
      </c>
      <c r="M1229" s="5">
        <v>0</v>
      </c>
      <c r="N1229" s="4" t="s">
        <v>1241</v>
      </c>
    </row>
    <row r="1230" spans="1:14" x14ac:dyDescent="0.15">
      <c r="A1230" s="4" t="s">
        <v>475</v>
      </c>
      <c r="B1230" s="4" t="s">
        <v>17</v>
      </c>
      <c r="C1230" s="5">
        <v>20.833333333332998</v>
      </c>
      <c r="D1230" s="5">
        <v>1000</v>
      </c>
      <c r="E1230" s="4" t="s">
        <v>18</v>
      </c>
      <c r="F1230" s="5">
        <v>0</v>
      </c>
      <c r="G1230" s="5">
        <v>0</v>
      </c>
      <c r="H1230" s="4" t="s">
        <v>488</v>
      </c>
      <c r="I1230" s="4" t="s">
        <v>1234</v>
      </c>
      <c r="J1230" s="4" t="s">
        <v>1235</v>
      </c>
      <c r="K1230" s="4" t="s">
        <v>10</v>
      </c>
      <c r="L1230" s="4" t="s">
        <v>487</v>
      </c>
      <c r="M1230" s="5">
        <v>0</v>
      </c>
      <c r="N1230" s="4" t="s">
        <v>1241</v>
      </c>
    </row>
    <row r="1231" spans="1:14" x14ac:dyDescent="0.15">
      <c r="A1231" s="4" t="s">
        <v>475</v>
      </c>
      <c r="B1231" s="4" t="s">
        <v>19</v>
      </c>
      <c r="C1231" s="5">
        <v>10</v>
      </c>
      <c r="D1231" s="5">
        <v>1</v>
      </c>
      <c r="E1231" s="4" t="s">
        <v>18</v>
      </c>
      <c r="F1231" s="5">
        <v>0</v>
      </c>
      <c r="G1231" s="5">
        <v>0</v>
      </c>
      <c r="H1231" s="4" t="s">
        <v>488</v>
      </c>
      <c r="I1231" s="4" t="s">
        <v>1236</v>
      </c>
      <c r="J1231" s="4" t="s">
        <v>1235</v>
      </c>
      <c r="K1231" s="4" t="s">
        <v>10</v>
      </c>
      <c r="L1231" s="4" t="s">
        <v>487</v>
      </c>
      <c r="M1231" s="5">
        <v>0</v>
      </c>
      <c r="N1231" s="4" t="s">
        <v>1241</v>
      </c>
    </row>
    <row r="1232" spans="1:14" x14ac:dyDescent="0.15">
      <c r="A1232" s="4" t="s">
        <v>476</v>
      </c>
      <c r="B1232" s="4" t="s">
        <v>477</v>
      </c>
      <c r="C1232" s="5">
        <v>1</v>
      </c>
      <c r="D1232" s="5">
        <v>1</v>
      </c>
      <c r="E1232" s="4" t="s">
        <v>9</v>
      </c>
      <c r="F1232" s="5">
        <v>0</v>
      </c>
      <c r="G1232" s="5">
        <v>0</v>
      </c>
      <c r="H1232" s="4" t="s">
        <v>488</v>
      </c>
      <c r="I1232" s="4" t="s">
        <v>1234</v>
      </c>
      <c r="J1232" s="4" t="s">
        <v>1235</v>
      </c>
      <c r="K1232" s="4" t="s">
        <v>10</v>
      </c>
      <c r="L1232" s="4" t="s">
        <v>487</v>
      </c>
      <c r="M1232" s="5">
        <v>0</v>
      </c>
      <c r="N1232" s="4" t="s">
        <v>1241</v>
      </c>
    </row>
    <row r="1233" spans="1:14" x14ac:dyDescent="0.15">
      <c r="A1233" s="4" t="s">
        <v>477</v>
      </c>
      <c r="B1233" s="4" t="s">
        <v>478</v>
      </c>
      <c r="C1233" s="5">
        <v>28</v>
      </c>
      <c r="D1233" s="5">
        <v>1</v>
      </c>
      <c r="E1233" s="4" t="s">
        <v>9</v>
      </c>
      <c r="F1233" s="5">
        <v>3</v>
      </c>
      <c r="G1233" s="5">
        <v>0</v>
      </c>
      <c r="H1233" s="4" t="s">
        <v>488</v>
      </c>
      <c r="I1233" s="4" t="s">
        <v>1234</v>
      </c>
      <c r="J1233" s="4" t="s">
        <v>1235</v>
      </c>
      <c r="K1233" s="4" t="s">
        <v>10</v>
      </c>
      <c r="L1233" s="4" t="s">
        <v>487</v>
      </c>
      <c r="M1233" s="5">
        <v>0</v>
      </c>
      <c r="N1233" s="4" t="s">
        <v>1241</v>
      </c>
    </row>
    <row r="1234" spans="1:14" x14ac:dyDescent="0.15">
      <c r="A1234" s="4" t="s">
        <v>477</v>
      </c>
      <c r="B1234" s="4" t="s">
        <v>12</v>
      </c>
      <c r="C1234" s="5">
        <v>1.8615075376879999</v>
      </c>
      <c r="D1234" s="5">
        <v>1</v>
      </c>
      <c r="E1234" s="4" t="s">
        <v>13</v>
      </c>
      <c r="F1234" s="5">
        <v>3</v>
      </c>
      <c r="G1234" s="5">
        <v>0</v>
      </c>
      <c r="H1234" s="4" t="s">
        <v>488</v>
      </c>
      <c r="I1234" s="4" t="s">
        <v>1234</v>
      </c>
      <c r="J1234" s="4" t="s">
        <v>1235</v>
      </c>
      <c r="K1234" s="4" t="s">
        <v>10</v>
      </c>
      <c r="L1234" s="4" t="s">
        <v>487</v>
      </c>
      <c r="M1234" s="5">
        <v>0</v>
      </c>
      <c r="N1234" s="4" t="s">
        <v>1241</v>
      </c>
    </row>
    <row r="1235" spans="1:14" x14ac:dyDescent="0.15">
      <c r="A1235" s="4" t="s">
        <v>477</v>
      </c>
      <c r="B1235" s="4" t="s">
        <v>14</v>
      </c>
      <c r="C1235" s="5">
        <v>2.068341708543</v>
      </c>
      <c r="D1235" s="5">
        <v>1</v>
      </c>
      <c r="E1235" s="4" t="s">
        <v>13</v>
      </c>
      <c r="F1235" s="5">
        <v>3</v>
      </c>
      <c r="G1235" s="5">
        <v>0</v>
      </c>
      <c r="H1235" s="4" t="s">
        <v>488</v>
      </c>
      <c r="I1235" s="4" t="s">
        <v>1234</v>
      </c>
      <c r="J1235" s="4" t="s">
        <v>1235</v>
      </c>
      <c r="K1235" s="4" t="s">
        <v>10</v>
      </c>
      <c r="L1235" s="4" t="s">
        <v>487</v>
      </c>
      <c r="M1235" s="5">
        <v>0</v>
      </c>
      <c r="N1235" s="4" t="s">
        <v>1241</v>
      </c>
    </row>
    <row r="1236" spans="1:14" x14ac:dyDescent="0.15">
      <c r="A1236" s="4" t="s">
        <v>477</v>
      </c>
      <c r="B1236" s="4" t="s">
        <v>15</v>
      </c>
      <c r="C1236" s="5">
        <v>41.366834170853998</v>
      </c>
      <c r="D1236" s="5">
        <v>1000</v>
      </c>
      <c r="E1236" s="4" t="s">
        <v>13</v>
      </c>
      <c r="F1236" s="5">
        <v>3</v>
      </c>
      <c r="G1236" s="5">
        <v>0</v>
      </c>
      <c r="H1236" s="4" t="s">
        <v>488</v>
      </c>
      <c r="I1236" s="4" t="s">
        <v>1234</v>
      </c>
      <c r="J1236" s="4" t="s">
        <v>1235</v>
      </c>
      <c r="K1236" s="4" t="s">
        <v>10</v>
      </c>
      <c r="L1236" s="4" t="s">
        <v>487</v>
      </c>
      <c r="M1236" s="5">
        <v>0</v>
      </c>
      <c r="N1236" s="4" t="s">
        <v>1241</v>
      </c>
    </row>
    <row r="1237" spans="1:14" x14ac:dyDescent="0.15">
      <c r="A1237" s="4" t="s">
        <v>477</v>
      </c>
      <c r="B1237" s="4" t="s">
        <v>23</v>
      </c>
      <c r="C1237" s="5">
        <v>0.103417085427</v>
      </c>
      <c r="D1237" s="5">
        <v>1</v>
      </c>
      <c r="E1237" s="4" t="s">
        <v>13</v>
      </c>
      <c r="F1237" s="5">
        <v>3</v>
      </c>
      <c r="G1237" s="5">
        <v>0</v>
      </c>
      <c r="H1237" s="4" t="s">
        <v>488</v>
      </c>
      <c r="I1237" s="4" t="s">
        <v>1234</v>
      </c>
      <c r="J1237" s="4" t="s">
        <v>1235</v>
      </c>
      <c r="K1237" s="4" t="s">
        <v>10</v>
      </c>
      <c r="L1237" s="4" t="s">
        <v>487</v>
      </c>
      <c r="M1237" s="5">
        <v>0</v>
      </c>
      <c r="N1237" s="4" t="s">
        <v>1241</v>
      </c>
    </row>
    <row r="1238" spans="1:14" x14ac:dyDescent="0.15">
      <c r="A1238" s="4" t="s">
        <v>477</v>
      </c>
      <c r="B1238" s="4" t="s">
        <v>24</v>
      </c>
      <c r="C1238" s="5">
        <v>41.366834170853998</v>
      </c>
      <c r="D1238" s="5">
        <v>1000</v>
      </c>
      <c r="E1238" s="4" t="s">
        <v>13</v>
      </c>
      <c r="F1238" s="5">
        <v>3</v>
      </c>
      <c r="G1238" s="5">
        <v>0</v>
      </c>
      <c r="H1238" s="4" t="s">
        <v>488</v>
      </c>
      <c r="I1238" s="4" t="s">
        <v>1234</v>
      </c>
      <c r="J1238" s="4" t="s">
        <v>1235</v>
      </c>
      <c r="K1238" s="4" t="s">
        <v>10</v>
      </c>
      <c r="L1238" s="4" t="s">
        <v>487</v>
      </c>
      <c r="M1238" s="5">
        <v>0</v>
      </c>
      <c r="N1238" s="4" t="s">
        <v>1241</v>
      </c>
    </row>
    <row r="1239" spans="1:14" x14ac:dyDescent="0.15">
      <c r="A1239" s="4" t="s">
        <v>477</v>
      </c>
      <c r="B1239" s="4" t="s">
        <v>17</v>
      </c>
      <c r="C1239" s="5">
        <v>8.5470085470089998</v>
      </c>
      <c r="D1239" s="5">
        <v>1000</v>
      </c>
      <c r="E1239" s="4" t="s">
        <v>18</v>
      </c>
      <c r="F1239" s="5">
        <v>0</v>
      </c>
      <c r="G1239" s="5">
        <v>0</v>
      </c>
      <c r="H1239" s="4" t="s">
        <v>488</v>
      </c>
      <c r="I1239" s="4" t="s">
        <v>1234</v>
      </c>
      <c r="J1239" s="4" t="s">
        <v>1235</v>
      </c>
      <c r="K1239" s="4" t="s">
        <v>10</v>
      </c>
      <c r="L1239" s="4" t="s">
        <v>487</v>
      </c>
      <c r="M1239" s="5">
        <v>0</v>
      </c>
      <c r="N1239" s="4" t="s">
        <v>1241</v>
      </c>
    </row>
    <row r="1240" spans="1:14" x14ac:dyDescent="0.15">
      <c r="A1240" s="4" t="s">
        <v>477</v>
      </c>
      <c r="B1240" s="4" t="s">
        <v>19</v>
      </c>
      <c r="C1240" s="5">
        <v>5</v>
      </c>
      <c r="D1240" s="5">
        <v>1</v>
      </c>
      <c r="E1240" s="4" t="s">
        <v>18</v>
      </c>
      <c r="F1240" s="5">
        <v>0</v>
      </c>
      <c r="G1240" s="5">
        <v>0</v>
      </c>
      <c r="H1240" s="4" t="s">
        <v>488</v>
      </c>
      <c r="I1240" s="4" t="s">
        <v>1236</v>
      </c>
      <c r="J1240" s="4" t="s">
        <v>1235</v>
      </c>
      <c r="K1240" s="4" t="s">
        <v>10</v>
      </c>
      <c r="L1240" s="4" t="s">
        <v>487</v>
      </c>
      <c r="M1240" s="5">
        <v>0</v>
      </c>
      <c r="N1240" s="4" t="s">
        <v>1241</v>
      </c>
    </row>
    <row r="1241" spans="1:14" x14ac:dyDescent="0.15">
      <c r="A1241" s="4" t="s">
        <v>691</v>
      </c>
      <c r="B1241" s="4" t="s">
        <v>88</v>
      </c>
      <c r="C1241" s="5">
        <v>1</v>
      </c>
      <c r="D1241" s="5">
        <v>1</v>
      </c>
      <c r="E1241" s="4" t="s">
        <v>479</v>
      </c>
      <c r="F1241" s="5">
        <v>0</v>
      </c>
      <c r="G1241" s="5">
        <v>0</v>
      </c>
      <c r="H1241" s="4" t="s">
        <v>488</v>
      </c>
      <c r="I1241" s="4" t="s">
        <v>1234</v>
      </c>
      <c r="J1241" s="4" t="s">
        <v>1235</v>
      </c>
      <c r="K1241" s="4" t="s">
        <v>10</v>
      </c>
      <c r="L1241" s="4" t="s">
        <v>487</v>
      </c>
      <c r="M1241" s="5">
        <v>0</v>
      </c>
      <c r="N1241" s="4" t="s">
        <v>1241</v>
      </c>
    </row>
    <row r="1242" spans="1:14" x14ac:dyDescent="0.15">
      <c r="A1242" s="4" t="s">
        <v>480</v>
      </c>
      <c r="B1242" s="4" t="s">
        <v>481</v>
      </c>
      <c r="C1242" s="5">
        <v>4</v>
      </c>
      <c r="D1242" s="5">
        <v>1</v>
      </c>
      <c r="E1242" s="4" t="s">
        <v>9</v>
      </c>
      <c r="F1242" s="5">
        <v>3</v>
      </c>
      <c r="G1242" s="5">
        <v>0</v>
      </c>
      <c r="H1242" s="4" t="s">
        <v>488</v>
      </c>
      <c r="I1242" s="4" t="s">
        <v>1234</v>
      </c>
      <c r="J1242" s="4" t="s">
        <v>1235</v>
      </c>
      <c r="K1242" s="4" t="s">
        <v>10</v>
      </c>
      <c r="L1242" s="4" t="s">
        <v>487</v>
      </c>
      <c r="M1242" s="5">
        <v>0</v>
      </c>
      <c r="N1242" s="4" t="s">
        <v>1241</v>
      </c>
    </row>
    <row r="1243" spans="1:14" x14ac:dyDescent="0.15">
      <c r="A1243" s="4" t="s">
        <v>480</v>
      </c>
      <c r="B1243" s="4" t="s">
        <v>12</v>
      </c>
      <c r="C1243" s="5">
        <v>0.50653266331699998</v>
      </c>
      <c r="D1243" s="5">
        <v>1</v>
      </c>
      <c r="E1243" s="4" t="s">
        <v>13</v>
      </c>
      <c r="F1243" s="5">
        <v>3</v>
      </c>
      <c r="G1243" s="5">
        <v>0</v>
      </c>
      <c r="H1243" s="4" t="s">
        <v>488</v>
      </c>
      <c r="I1243" s="4" t="s">
        <v>1234</v>
      </c>
      <c r="J1243" s="4" t="s">
        <v>1235</v>
      </c>
      <c r="K1243" s="4" t="s">
        <v>10</v>
      </c>
      <c r="L1243" s="4" t="s">
        <v>487</v>
      </c>
      <c r="M1243" s="5">
        <v>0</v>
      </c>
      <c r="N1243" s="4" t="s">
        <v>1241</v>
      </c>
    </row>
    <row r="1244" spans="1:14" x14ac:dyDescent="0.15">
      <c r="A1244" s="4" t="s">
        <v>480</v>
      </c>
      <c r="B1244" s="4" t="s">
        <v>14</v>
      </c>
      <c r="C1244" s="5">
        <v>0.56281407035200004</v>
      </c>
      <c r="D1244" s="5">
        <v>1</v>
      </c>
      <c r="E1244" s="4" t="s">
        <v>13</v>
      </c>
      <c r="F1244" s="5">
        <v>3</v>
      </c>
      <c r="G1244" s="5">
        <v>0</v>
      </c>
      <c r="H1244" s="4" t="s">
        <v>488</v>
      </c>
      <c r="I1244" s="4" t="s">
        <v>1234</v>
      </c>
      <c r="J1244" s="4" t="s">
        <v>1235</v>
      </c>
      <c r="K1244" s="4" t="s">
        <v>10</v>
      </c>
      <c r="L1244" s="4" t="s">
        <v>487</v>
      </c>
      <c r="M1244" s="5">
        <v>0</v>
      </c>
      <c r="N1244" s="4" t="s">
        <v>1241</v>
      </c>
    </row>
    <row r="1245" spans="1:14" x14ac:dyDescent="0.15">
      <c r="A1245" s="4" t="s">
        <v>480</v>
      </c>
      <c r="B1245" s="4" t="s">
        <v>15</v>
      </c>
      <c r="C1245" s="5">
        <v>11.256281407035001</v>
      </c>
      <c r="D1245" s="5">
        <v>1000</v>
      </c>
      <c r="E1245" s="4" t="s">
        <v>13</v>
      </c>
      <c r="F1245" s="5">
        <v>3</v>
      </c>
      <c r="G1245" s="5">
        <v>0</v>
      </c>
      <c r="H1245" s="4" t="s">
        <v>488</v>
      </c>
      <c r="I1245" s="4" t="s">
        <v>1234</v>
      </c>
      <c r="J1245" s="4" t="s">
        <v>1235</v>
      </c>
      <c r="K1245" s="4" t="s">
        <v>10</v>
      </c>
      <c r="L1245" s="4" t="s">
        <v>487</v>
      </c>
      <c r="M1245" s="5">
        <v>0</v>
      </c>
      <c r="N1245" s="4" t="s">
        <v>1241</v>
      </c>
    </row>
    <row r="1246" spans="1:14" x14ac:dyDescent="0.15">
      <c r="A1246" s="4" t="s">
        <v>480</v>
      </c>
      <c r="B1246" s="4" t="s">
        <v>23</v>
      </c>
      <c r="C1246" s="5">
        <v>28.140703517587998</v>
      </c>
      <c r="D1246" s="5">
        <v>1000</v>
      </c>
      <c r="E1246" s="4" t="s">
        <v>13</v>
      </c>
      <c r="F1246" s="5">
        <v>3</v>
      </c>
      <c r="G1246" s="5">
        <v>0</v>
      </c>
      <c r="H1246" s="4" t="s">
        <v>488</v>
      </c>
      <c r="I1246" s="4" t="s">
        <v>1234</v>
      </c>
      <c r="J1246" s="4" t="s">
        <v>1235</v>
      </c>
      <c r="K1246" s="4" t="s">
        <v>10</v>
      </c>
      <c r="L1246" s="4" t="s">
        <v>487</v>
      </c>
      <c r="M1246" s="5">
        <v>0</v>
      </c>
      <c r="N1246" s="4" t="s">
        <v>1241</v>
      </c>
    </row>
    <row r="1247" spans="1:14" x14ac:dyDescent="0.15">
      <c r="A1247" s="4" t="s">
        <v>480</v>
      </c>
      <c r="B1247" s="4" t="s">
        <v>24</v>
      </c>
      <c r="C1247" s="5">
        <v>11.256281407035001</v>
      </c>
      <c r="D1247" s="5">
        <v>1000</v>
      </c>
      <c r="E1247" s="4" t="s">
        <v>13</v>
      </c>
      <c r="F1247" s="5">
        <v>3</v>
      </c>
      <c r="G1247" s="5">
        <v>0</v>
      </c>
      <c r="H1247" s="4" t="s">
        <v>488</v>
      </c>
      <c r="I1247" s="4" t="s">
        <v>1234</v>
      </c>
      <c r="J1247" s="4" t="s">
        <v>1235</v>
      </c>
      <c r="K1247" s="4" t="s">
        <v>10</v>
      </c>
      <c r="L1247" s="4" t="s">
        <v>487</v>
      </c>
      <c r="M1247" s="5">
        <v>0</v>
      </c>
      <c r="N1247" s="4" t="s">
        <v>1241</v>
      </c>
    </row>
    <row r="1248" spans="1:14" x14ac:dyDescent="0.15">
      <c r="A1248" s="4" t="s">
        <v>480</v>
      </c>
      <c r="B1248" s="4" t="s">
        <v>17</v>
      </c>
      <c r="C1248" s="5">
        <v>3.2051282051279997</v>
      </c>
      <c r="D1248" s="5">
        <v>1000</v>
      </c>
      <c r="E1248" s="4" t="s">
        <v>18</v>
      </c>
      <c r="F1248" s="5">
        <v>0</v>
      </c>
      <c r="G1248" s="5">
        <v>0</v>
      </c>
      <c r="H1248" s="4" t="s">
        <v>488</v>
      </c>
      <c r="I1248" s="4" t="s">
        <v>1234</v>
      </c>
      <c r="J1248" s="4" t="s">
        <v>1235</v>
      </c>
      <c r="K1248" s="4" t="s">
        <v>10</v>
      </c>
      <c r="L1248" s="4" t="s">
        <v>487</v>
      </c>
      <c r="M1248" s="5">
        <v>0</v>
      </c>
      <c r="N1248" s="4" t="s">
        <v>1241</v>
      </c>
    </row>
    <row r="1249" spans="1:14" x14ac:dyDescent="0.15">
      <c r="A1249" s="4" t="s">
        <v>480</v>
      </c>
      <c r="B1249" s="4" t="s">
        <v>19</v>
      </c>
      <c r="C1249" s="5">
        <v>3.5</v>
      </c>
      <c r="D1249" s="5">
        <v>1</v>
      </c>
      <c r="E1249" s="4" t="s">
        <v>18</v>
      </c>
      <c r="F1249" s="5">
        <v>0</v>
      </c>
      <c r="G1249" s="5">
        <v>0</v>
      </c>
      <c r="H1249" s="4" t="s">
        <v>488</v>
      </c>
      <c r="I1249" s="4" t="s">
        <v>1236</v>
      </c>
      <c r="J1249" s="4" t="s">
        <v>1235</v>
      </c>
      <c r="K1249" s="4" t="s">
        <v>10</v>
      </c>
      <c r="L1249" s="4" t="s">
        <v>487</v>
      </c>
      <c r="M1249" s="5">
        <v>0</v>
      </c>
      <c r="N1249" s="4" t="s">
        <v>1241</v>
      </c>
    </row>
    <row r="1250" spans="1:14" x14ac:dyDescent="0.15">
      <c r="A1250" s="2" t="s">
        <v>482</v>
      </c>
      <c r="B1250" s="3"/>
      <c r="C1250" s="2">
        <f>SUBTOTAL(109,AtlasReport_1_Table_1[Quantity])</f>
        <v>57345.097416948265</v>
      </c>
      <c r="D1250" s="2">
        <f>SUBTOTAL(109,AtlasReport_1_Table_1[Per series])</f>
        <v>465782</v>
      </c>
      <c r="E1250" s="3"/>
      <c r="F1250" s="2">
        <f>SUBTOTAL(109,AtlasReport_1_Table_1[Variable scrap])</f>
        <v>2079</v>
      </c>
      <c r="G1250" s="2">
        <f>SUBTOTAL(109,AtlasReport_1_Table_1[Constant scrap])</f>
        <v>0</v>
      </c>
      <c r="H1250" s="3"/>
      <c r="I1250" s="3"/>
      <c r="J1250" s="3"/>
      <c r="K1250" s="3"/>
      <c r="L1250" s="3"/>
      <c r="M1250" s="2">
        <f>SUBTOTAL(109,AtlasReport_1_Table_1[Multiples])</f>
        <v>0</v>
      </c>
      <c r="N1250" s="2"/>
    </row>
    <row r="1251" spans="1:14" x14ac:dyDescent="0.1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</row>
    <row r="1252" spans="1:14" x14ac:dyDescent="0.15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</row>
  </sheetData>
  <phoneticPr fontId="3" type="noConversion"/>
  <pageMargins left="0.7" right="0.7" top="0.75" bottom="0.75" header="0.3" footer="0.3"/>
  <pageSetup orientation="portrait" horizontalDpi="200" verticalDpi="200" copies="0" r:id="rId1"/>
  <customProperties>
    <customPr name="EpmWorksheetKeyString_GUID" r:id="rId2"/>
  </customProperties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249977111117893"/>
  </sheetPr>
  <dimension ref="A1:G662"/>
  <sheetViews>
    <sheetView workbookViewId="0">
      <selection activeCell="B32" sqref="B32"/>
    </sheetView>
  </sheetViews>
  <sheetFormatPr defaultRowHeight="13.5" x14ac:dyDescent="0.15"/>
  <cols>
    <col min="1" max="1" width="22.75" customWidth="1"/>
    <col min="2" max="2" width="35.375" customWidth="1"/>
    <col min="3" max="3" width="13" customWidth="1"/>
    <col min="4" max="4" width="11.875" customWidth="1"/>
    <col min="5" max="5" width="7.125" customWidth="1"/>
    <col min="6" max="6" width="10" customWidth="1"/>
    <col min="7" max="7" width="24.75" customWidth="1"/>
  </cols>
  <sheetData>
    <row r="1" spans="1:7" ht="22.5" x14ac:dyDescent="0.25">
      <c r="A1" s="1" t="s">
        <v>694</v>
      </c>
      <c r="B1" s="1"/>
      <c r="C1" s="1"/>
      <c r="D1" s="1"/>
      <c r="E1" s="1"/>
      <c r="F1" s="1"/>
      <c r="G1" s="1"/>
    </row>
    <row r="2" spans="1:7" x14ac:dyDescent="0.15">
      <c r="A2" s="2" t="s">
        <v>3</v>
      </c>
      <c r="B2" s="2" t="s">
        <v>695</v>
      </c>
      <c r="C2" s="2" t="s">
        <v>696</v>
      </c>
      <c r="D2" s="2" t="s">
        <v>697</v>
      </c>
      <c r="E2" s="2" t="s">
        <v>6</v>
      </c>
      <c r="F2" s="2" t="s">
        <v>489</v>
      </c>
      <c r="G2" s="2" t="s">
        <v>1237</v>
      </c>
    </row>
    <row r="3" spans="1:7" x14ac:dyDescent="0.15">
      <c r="A3" s="4" t="s">
        <v>7</v>
      </c>
      <c r="B3" s="4" t="s">
        <v>698</v>
      </c>
      <c r="C3" s="4" t="s">
        <v>699</v>
      </c>
      <c r="D3" s="4" t="s">
        <v>2</v>
      </c>
      <c r="E3" s="4" t="s">
        <v>479</v>
      </c>
      <c r="F3" s="5">
        <v>0</v>
      </c>
      <c r="G3" s="5">
        <v>0</v>
      </c>
    </row>
    <row r="4" spans="1:7" x14ac:dyDescent="0.15">
      <c r="A4" s="4" t="s">
        <v>490</v>
      </c>
      <c r="B4" s="4" t="s">
        <v>698</v>
      </c>
      <c r="C4" s="4" t="s">
        <v>699</v>
      </c>
      <c r="D4" s="4" t="s">
        <v>2</v>
      </c>
      <c r="E4" s="4" t="s">
        <v>479</v>
      </c>
      <c r="F4" s="5">
        <v>0</v>
      </c>
      <c r="G4" s="5">
        <v>0</v>
      </c>
    </row>
    <row r="5" spans="1:7" x14ac:dyDescent="0.15">
      <c r="A5" s="4" t="s">
        <v>8</v>
      </c>
      <c r="B5" s="4" t="s">
        <v>698</v>
      </c>
      <c r="C5" s="4" t="s">
        <v>700</v>
      </c>
      <c r="D5" s="4" t="s">
        <v>2</v>
      </c>
      <c r="E5" s="4" t="s">
        <v>9</v>
      </c>
      <c r="F5" s="5">
        <v>0</v>
      </c>
      <c r="G5" s="5">
        <v>1000</v>
      </c>
    </row>
    <row r="6" spans="1:7" x14ac:dyDescent="0.15">
      <c r="A6" s="4" t="s">
        <v>491</v>
      </c>
      <c r="B6" s="4" t="s">
        <v>701</v>
      </c>
      <c r="C6" s="4" t="s">
        <v>702</v>
      </c>
      <c r="D6" s="4" t="s">
        <v>703</v>
      </c>
      <c r="E6" s="4" t="s">
        <v>479</v>
      </c>
      <c r="F6" s="5">
        <v>0</v>
      </c>
      <c r="G6" s="5">
        <v>0</v>
      </c>
    </row>
    <row r="7" spans="1:7" x14ac:dyDescent="0.15">
      <c r="A7" s="4" t="s">
        <v>20</v>
      </c>
      <c r="B7" s="4" t="s">
        <v>704</v>
      </c>
      <c r="C7" s="4" t="s">
        <v>699</v>
      </c>
      <c r="D7" s="4" t="s">
        <v>2</v>
      </c>
      <c r="E7" s="4" t="s">
        <v>479</v>
      </c>
      <c r="F7" s="5">
        <v>0</v>
      </c>
      <c r="G7" s="5">
        <v>0</v>
      </c>
    </row>
    <row r="8" spans="1:7" x14ac:dyDescent="0.15">
      <c r="A8" s="4" t="s">
        <v>492</v>
      </c>
      <c r="B8" s="4" t="s">
        <v>705</v>
      </c>
      <c r="C8" s="4" t="s">
        <v>699</v>
      </c>
      <c r="D8" s="4" t="s">
        <v>2</v>
      </c>
      <c r="E8" s="4" t="s">
        <v>479</v>
      </c>
      <c r="F8" s="5">
        <v>0</v>
      </c>
      <c r="G8" s="5">
        <v>0</v>
      </c>
    </row>
    <row r="9" spans="1:7" x14ac:dyDescent="0.15">
      <c r="A9" s="4" t="s">
        <v>21</v>
      </c>
      <c r="B9" s="4" t="s">
        <v>706</v>
      </c>
      <c r="C9" s="4" t="s">
        <v>700</v>
      </c>
      <c r="D9" s="4" t="s">
        <v>2</v>
      </c>
      <c r="E9" s="4" t="s">
        <v>9</v>
      </c>
      <c r="F9" s="5">
        <v>0</v>
      </c>
      <c r="G9" s="5">
        <v>1000</v>
      </c>
    </row>
    <row r="10" spans="1:7" x14ac:dyDescent="0.15">
      <c r="A10" s="4" t="s">
        <v>25</v>
      </c>
      <c r="B10" s="4" t="s">
        <v>707</v>
      </c>
      <c r="C10" s="4" t="s">
        <v>699</v>
      </c>
      <c r="D10" s="4" t="s">
        <v>2</v>
      </c>
      <c r="E10" s="4" t="s">
        <v>479</v>
      </c>
      <c r="F10" s="5">
        <v>4.2029999999999998E-2</v>
      </c>
      <c r="G10" s="5">
        <v>0</v>
      </c>
    </row>
    <row r="11" spans="1:7" x14ac:dyDescent="0.15">
      <c r="A11" s="4" t="s">
        <v>27</v>
      </c>
      <c r="B11" s="4" t="s">
        <v>708</v>
      </c>
      <c r="C11" s="4" t="s">
        <v>699</v>
      </c>
      <c r="D11" s="4" t="s">
        <v>2</v>
      </c>
      <c r="E11" s="4" t="s">
        <v>479</v>
      </c>
      <c r="F11" s="5">
        <v>8.4070000000000006E-2</v>
      </c>
      <c r="G11" s="5">
        <v>0</v>
      </c>
    </row>
    <row r="12" spans="1:7" x14ac:dyDescent="0.15">
      <c r="A12" s="4" t="s">
        <v>493</v>
      </c>
      <c r="B12" s="4" t="s">
        <v>709</v>
      </c>
      <c r="C12" s="4" t="s">
        <v>699</v>
      </c>
      <c r="D12" s="4" t="s">
        <v>488</v>
      </c>
      <c r="E12" s="4" t="s">
        <v>479</v>
      </c>
      <c r="F12" s="5">
        <v>0</v>
      </c>
      <c r="G12" s="5">
        <v>0</v>
      </c>
    </row>
    <row r="13" spans="1:7" x14ac:dyDescent="0.15">
      <c r="A13" s="4" t="s">
        <v>26</v>
      </c>
      <c r="B13" s="4" t="s">
        <v>709</v>
      </c>
      <c r="C13" s="4" t="s">
        <v>700</v>
      </c>
      <c r="D13" s="4" t="s">
        <v>2</v>
      </c>
      <c r="E13" s="4" t="s">
        <v>9</v>
      </c>
      <c r="F13" s="5">
        <v>4.2029999999999998E-2</v>
      </c>
      <c r="G13" s="5">
        <v>1000</v>
      </c>
    </row>
    <row r="14" spans="1:7" x14ac:dyDescent="0.15">
      <c r="A14" s="4" t="s">
        <v>30</v>
      </c>
      <c r="B14" s="4" t="s">
        <v>710</v>
      </c>
      <c r="C14" s="4" t="s">
        <v>699</v>
      </c>
      <c r="D14" s="4" t="s">
        <v>2</v>
      </c>
      <c r="E14" s="4" t="s">
        <v>479</v>
      </c>
      <c r="F14" s="5">
        <v>3.3070000000000002E-2</v>
      </c>
      <c r="G14" s="5">
        <v>0</v>
      </c>
    </row>
    <row r="15" spans="1:7" x14ac:dyDescent="0.15">
      <c r="A15" s="4" t="s">
        <v>32</v>
      </c>
      <c r="B15" s="4" t="s">
        <v>711</v>
      </c>
      <c r="C15" s="4" t="s">
        <v>699</v>
      </c>
      <c r="D15" s="4" t="s">
        <v>2</v>
      </c>
      <c r="E15" s="4" t="s">
        <v>479</v>
      </c>
      <c r="F15" s="5">
        <v>6.615E-2</v>
      </c>
      <c r="G15" s="5">
        <v>0</v>
      </c>
    </row>
    <row r="16" spans="1:7" x14ac:dyDescent="0.15">
      <c r="A16" s="4" t="s">
        <v>494</v>
      </c>
      <c r="B16" s="4" t="s">
        <v>712</v>
      </c>
      <c r="C16" s="4" t="s">
        <v>699</v>
      </c>
      <c r="D16" s="4" t="s">
        <v>488</v>
      </c>
      <c r="E16" s="4" t="s">
        <v>479</v>
      </c>
      <c r="F16" s="5">
        <v>0</v>
      </c>
      <c r="G16" s="5">
        <v>0</v>
      </c>
    </row>
    <row r="17" spans="1:7" x14ac:dyDescent="0.15">
      <c r="A17" s="4" t="s">
        <v>31</v>
      </c>
      <c r="B17" s="4" t="s">
        <v>712</v>
      </c>
      <c r="C17" s="4" t="s">
        <v>700</v>
      </c>
      <c r="D17" s="4" t="s">
        <v>2</v>
      </c>
      <c r="E17" s="4" t="s">
        <v>9</v>
      </c>
      <c r="F17" s="5">
        <v>3.3070000000000002E-2</v>
      </c>
      <c r="G17" s="5">
        <v>1000</v>
      </c>
    </row>
    <row r="18" spans="1:7" x14ac:dyDescent="0.15">
      <c r="A18" s="4" t="s">
        <v>35</v>
      </c>
      <c r="B18" s="4" t="s">
        <v>713</v>
      </c>
      <c r="C18" s="4" t="s">
        <v>699</v>
      </c>
      <c r="D18" s="4" t="s">
        <v>2</v>
      </c>
      <c r="E18" s="4" t="s">
        <v>479</v>
      </c>
      <c r="F18" s="5">
        <v>1.4929999999999999E-2</v>
      </c>
      <c r="G18" s="5">
        <v>0</v>
      </c>
    </row>
    <row r="19" spans="1:7" x14ac:dyDescent="0.15">
      <c r="A19" s="4" t="s">
        <v>37</v>
      </c>
      <c r="B19" s="4" t="s">
        <v>714</v>
      </c>
      <c r="C19" s="4" t="s">
        <v>699</v>
      </c>
      <c r="D19" s="4" t="s">
        <v>2</v>
      </c>
      <c r="E19" s="4" t="s">
        <v>479</v>
      </c>
      <c r="F19" s="5">
        <v>2.9859999999999998E-2</v>
      </c>
      <c r="G19" s="5">
        <v>0</v>
      </c>
    </row>
    <row r="20" spans="1:7" x14ac:dyDescent="0.15">
      <c r="A20" s="4" t="s">
        <v>38</v>
      </c>
      <c r="B20" s="4" t="s">
        <v>715</v>
      </c>
      <c r="C20" s="4" t="s">
        <v>699</v>
      </c>
      <c r="D20" s="4" t="s">
        <v>2</v>
      </c>
      <c r="E20" s="4" t="s">
        <v>479</v>
      </c>
      <c r="F20" s="5">
        <v>7.4700000000000001E-3</v>
      </c>
      <c r="G20" s="5">
        <v>1000</v>
      </c>
    </row>
    <row r="21" spans="1:7" x14ac:dyDescent="0.15">
      <c r="A21" s="4" t="s">
        <v>36</v>
      </c>
      <c r="B21" s="4" t="s">
        <v>716</v>
      </c>
      <c r="C21" s="4" t="s">
        <v>700</v>
      </c>
      <c r="D21" s="4" t="s">
        <v>2</v>
      </c>
      <c r="E21" s="4" t="s">
        <v>9</v>
      </c>
      <c r="F21" s="5">
        <v>1.4929999999999999E-2</v>
      </c>
      <c r="G21" s="5">
        <v>1000</v>
      </c>
    </row>
    <row r="22" spans="1:7" x14ac:dyDescent="0.15">
      <c r="A22" s="4" t="s">
        <v>40</v>
      </c>
      <c r="B22" s="4" t="s">
        <v>717</v>
      </c>
      <c r="C22" s="4" t="s">
        <v>699</v>
      </c>
      <c r="D22" s="4" t="s">
        <v>2</v>
      </c>
      <c r="E22" s="4" t="s">
        <v>479</v>
      </c>
      <c r="F22" s="5">
        <v>4.5280000000000001E-2</v>
      </c>
      <c r="G22" s="5">
        <v>0</v>
      </c>
    </row>
    <row r="23" spans="1:7" x14ac:dyDescent="0.15">
      <c r="A23" s="4" t="s">
        <v>42</v>
      </c>
      <c r="B23" s="4" t="s">
        <v>718</v>
      </c>
      <c r="C23" s="4" t="s">
        <v>699</v>
      </c>
      <c r="D23" s="4" t="s">
        <v>2</v>
      </c>
      <c r="E23" s="4" t="s">
        <v>479</v>
      </c>
      <c r="F23" s="5">
        <v>9.0569999999999998E-2</v>
      </c>
      <c r="G23" s="5">
        <v>0</v>
      </c>
    </row>
    <row r="24" spans="1:7" x14ac:dyDescent="0.15">
      <c r="A24" s="4" t="s">
        <v>495</v>
      </c>
      <c r="B24" s="4" t="s">
        <v>719</v>
      </c>
      <c r="C24" s="4" t="s">
        <v>699</v>
      </c>
      <c r="D24" s="4" t="s">
        <v>488</v>
      </c>
      <c r="E24" s="4" t="s">
        <v>479</v>
      </c>
      <c r="F24" s="5">
        <v>0</v>
      </c>
      <c r="G24" s="5">
        <v>0</v>
      </c>
    </row>
    <row r="25" spans="1:7" x14ac:dyDescent="0.15">
      <c r="A25" s="4" t="s">
        <v>41</v>
      </c>
      <c r="B25" s="4" t="s">
        <v>719</v>
      </c>
      <c r="C25" s="4" t="s">
        <v>700</v>
      </c>
      <c r="D25" s="4" t="s">
        <v>2</v>
      </c>
      <c r="E25" s="4" t="s">
        <v>9</v>
      </c>
      <c r="F25" s="5">
        <v>4.5280000000000001E-2</v>
      </c>
      <c r="G25" s="5">
        <v>1000</v>
      </c>
    </row>
    <row r="26" spans="1:7" x14ac:dyDescent="0.15">
      <c r="A26" s="4" t="s">
        <v>43</v>
      </c>
      <c r="B26" s="4" t="s">
        <v>720</v>
      </c>
      <c r="C26" s="4" t="s">
        <v>699</v>
      </c>
      <c r="D26" s="4" t="s">
        <v>2</v>
      </c>
      <c r="E26" s="4" t="s">
        <v>479</v>
      </c>
      <c r="F26" s="5">
        <v>2.393E-2</v>
      </c>
      <c r="G26" s="5">
        <v>0</v>
      </c>
    </row>
    <row r="27" spans="1:7" x14ac:dyDescent="0.15">
      <c r="A27" s="4" t="s">
        <v>45</v>
      </c>
      <c r="B27" s="4" t="s">
        <v>721</v>
      </c>
      <c r="C27" s="4" t="s">
        <v>699</v>
      </c>
      <c r="D27" s="4" t="s">
        <v>2</v>
      </c>
      <c r="E27" s="4" t="s">
        <v>479</v>
      </c>
      <c r="F27" s="5">
        <v>4.7849999999999997E-2</v>
      </c>
      <c r="G27" s="5">
        <v>0</v>
      </c>
    </row>
    <row r="28" spans="1:7" x14ac:dyDescent="0.15">
      <c r="A28" s="4" t="s">
        <v>46</v>
      </c>
      <c r="B28" s="4" t="s">
        <v>722</v>
      </c>
      <c r="C28" s="4" t="s">
        <v>699</v>
      </c>
      <c r="D28" s="4" t="s">
        <v>2</v>
      </c>
      <c r="E28" s="4" t="s">
        <v>479</v>
      </c>
      <c r="F28" s="5">
        <v>1.196E-2</v>
      </c>
      <c r="G28" s="5">
        <v>1000</v>
      </c>
    </row>
    <row r="29" spans="1:7" x14ac:dyDescent="0.15">
      <c r="A29" s="4" t="s">
        <v>496</v>
      </c>
      <c r="B29" s="4" t="s">
        <v>723</v>
      </c>
      <c r="C29" s="4" t="s">
        <v>699</v>
      </c>
      <c r="D29" s="4" t="s">
        <v>488</v>
      </c>
      <c r="E29" s="4" t="s">
        <v>479</v>
      </c>
      <c r="F29" s="5">
        <v>0</v>
      </c>
      <c r="G29" s="5">
        <v>0</v>
      </c>
    </row>
    <row r="30" spans="1:7" x14ac:dyDescent="0.15">
      <c r="A30" s="4" t="s">
        <v>44</v>
      </c>
      <c r="B30" s="4" t="s">
        <v>723</v>
      </c>
      <c r="C30" s="4" t="s">
        <v>700</v>
      </c>
      <c r="D30" s="4" t="s">
        <v>2</v>
      </c>
      <c r="E30" s="4" t="s">
        <v>9</v>
      </c>
      <c r="F30" s="5">
        <v>2.393E-2</v>
      </c>
      <c r="G30" s="5">
        <v>1000</v>
      </c>
    </row>
    <row r="31" spans="1:7" x14ac:dyDescent="0.15">
      <c r="A31" s="4" t="s">
        <v>47</v>
      </c>
      <c r="B31" s="4" t="s">
        <v>724</v>
      </c>
      <c r="C31" s="4" t="s">
        <v>699</v>
      </c>
      <c r="D31" s="4" t="s">
        <v>2</v>
      </c>
      <c r="E31" s="4" t="s">
        <v>479</v>
      </c>
      <c r="F31" s="5">
        <v>2.5490000000000002E-2</v>
      </c>
      <c r="G31" s="5">
        <v>0</v>
      </c>
    </row>
    <row r="32" spans="1:7" x14ac:dyDescent="0.15">
      <c r="A32" s="4" t="s">
        <v>49</v>
      </c>
      <c r="B32" s="4" t="s">
        <v>725</v>
      </c>
      <c r="C32" s="4" t="s">
        <v>699</v>
      </c>
      <c r="D32" s="4" t="s">
        <v>2</v>
      </c>
      <c r="E32" s="4" t="s">
        <v>479</v>
      </c>
      <c r="F32" s="5">
        <v>5.0980000000000004E-2</v>
      </c>
      <c r="G32" s="5">
        <v>0</v>
      </c>
    </row>
    <row r="33" spans="1:7" x14ac:dyDescent="0.15">
      <c r="A33" s="4" t="s">
        <v>50</v>
      </c>
      <c r="B33" s="4" t="s">
        <v>726</v>
      </c>
      <c r="C33" s="4" t="s">
        <v>699</v>
      </c>
      <c r="D33" s="4" t="s">
        <v>2</v>
      </c>
      <c r="E33" s="4" t="s">
        <v>479</v>
      </c>
      <c r="F33" s="5">
        <v>1.2750000000000001E-2</v>
      </c>
      <c r="G33" s="5">
        <v>1000</v>
      </c>
    </row>
    <row r="34" spans="1:7" x14ac:dyDescent="0.15">
      <c r="A34" s="4" t="s">
        <v>497</v>
      </c>
      <c r="B34" s="4" t="s">
        <v>727</v>
      </c>
      <c r="C34" s="4" t="s">
        <v>699</v>
      </c>
      <c r="D34" s="4" t="s">
        <v>488</v>
      </c>
      <c r="E34" s="4" t="s">
        <v>479</v>
      </c>
      <c r="F34" s="5">
        <v>0</v>
      </c>
      <c r="G34" s="5">
        <v>0</v>
      </c>
    </row>
    <row r="35" spans="1:7" x14ac:dyDescent="0.15">
      <c r="A35" s="4" t="s">
        <v>48</v>
      </c>
      <c r="B35" s="4" t="s">
        <v>727</v>
      </c>
      <c r="C35" s="4" t="s">
        <v>700</v>
      </c>
      <c r="D35" s="4" t="s">
        <v>2</v>
      </c>
      <c r="E35" s="4" t="s">
        <v>9</v>
      </c>
      <c r="F35" s="5">
        <v>2.5490000000000002E-2</v>
      </c>
      <c r="G35" s="5">
        <v>1000</v>
      </c>
    </row>
    <row r="36" spans="1:7" x14ac:dyDescent="0.15">
      <c r="A36" s="4" t="s">
        <v>51</v>
      </c>
      <c r="B36" s="4" t="s">
        <v>728</v>
      </c>
      <c r="C36" s="4" t="s">
        <v>699</v>
      </c>
      <c r="D36" s="4" t="s">
        <v>2</v>
      </c>
      <c r="E36" s="4" t="s">
        <v>479</v>
      </c>
      <c r="F36" s="5">
        <v>3.9230000000000001E-2</v>
      </c>
      <c r="G36" s="5">
        <v>0</v>
      </c>
    </row>
    <row r="37" spans="1:7" x14ac:dyDescent="0.15">
      <c r="A37" s="4" t="s">
        <v>53</v>
      </c>
      <c r="B37" s="4" t="s">
        <v>729</v>
      </c>
      <c r="C37" s="4" t="s">
        <v>699</v>
      </c>
      <c r="D37" s="4" t="s">
        <v>2</v>
      </c>
      <c r="E37" s="4" t="s">
        <v>479</v>
      </c>
      <c r="F37" s="5">
        <v>7.8460000000000002E-2</v>
      </c>
      <c r="G37" s="5">
        <v>0</v>
      </c>
    </row>
    <row r="38" spans="1:7" x14ac:dyDescent="0.15">
      <c r="A38" s="4" t="s">
        <v>54</v>
      </c>
      <c r="B38" s="4" t="s">
        <v>730</v>
      </c>
      <c r="C38" s="4" t="s">
        <v>699</v>
      </c>
      <c r="D38" s="4" t="s">
        <v>2</v>
      </c>
      <c r="E38" s="4" t="s">
        <v>479</v>
      </c>
      <c r="F38" s="5">
        <v>1.9620000000000002E-2</v>
      </c>
      <c r="G38" s="5">
        <v>1000</v>
      </c>
    </row>
    <row r="39" spans="1:7" x14ac:dyDescent="0.15">
      <c r="A39" s="4" t="s">
        <v>498</v>
      </c>
      <c r="B39" s="4" t="s">
        <v>731</v>
      </c>
      <c r="C39" s="4" t="s">
        <v>699</v>
      </c>
      <c r="D39" s="4" t="s">
        <v>488</v>
      </c>
      <c r="E39" s="4" t="s">
        <v>479</v>
      </c>
      <c r="F39" s="5">
        <v>0</v>
      </c>
      <c r="G39" s="5">
        <v>0</v>
      </c>
    </row>
    <row r="40" spans="1:7" x14ac:dyDescent="0.15">
      <c r="A40" s="4" t="s">
        <v>52</v>
      </c>
      <c r="B40" s="4" t="s">
        <v>731</v>
      </c>
      <c r="C40" s="4" t="s">
        <v>700</v>
      </c>
      <c r="D40" s="4" t="s">
        <v>2</v>
      </c>
      <c r="E40" s="4" t="s">
        <v>9</v>
      </c>
      <c r="F40" s="5">
        <v>3.9230000000000001E-2</v>
      </c>
      <c r="G40" s="5">
        <v>1000</v>
      </c>
    </row>
    <row r="41" spans="1:7" x14ac:dyDescent="0.15">
      <c r="A41" s="4" t="s">
        <v>55</v>
      </c>
      <c r="B41" s="4" t="s">
        <v>732</v>
      </c>
      <c r="C41" s="4" t="s">
        <v>699</v>
      </c>
      <c r="D41" s="4" t="s">
        <v>2</v>
      </c>
      <c r="E41" s="4" t="s">
        <v>479</v>
      </c>
      <c r="F41" s="5">
        <v>4.1950000000000001E-2</v>
      </c>
      <c r="G41" s="5">
        <v>0</v>
      </c>
    </row>
    <row r="42" spans="1:7" x14ac:dyDescent="0.15">
      <c r="A42" s="4" t="s">
        <v>57</v>
      </c>
      <c r="B42" s="4" t="s">
        <v>733</v>
      </c>
      <c r="C42" s="4" t="s">
        <v>699</v>
      </c>
      <c r="D42" s="4" t="s">
        <v>2</v>
      </c>
      <c r="E42" s="4" t="s">
        <v>479</v>
      </c>
      <c r="F42" s="5">
        <v>8.3889999999999992E-2</v>
      </c>
      <c r="G42" s="5">
        <v>0</v>
      </c>
    </row>
    <row r="43" spans="1:7" x14ac:dyDescent="0.15">
      <c r="A43" s="4" t="s">
        <v>58</v>
      </c>
      <c r="B43" s="4" t="s">
        <v>734</v>
      </c>
      <c r="C43" s="4" t="s">
        <v>699</v>
      </c>
      <c r="D43" s="4" t="s">
        <v>2</v>
      </c>
      <c r="E43" s="4" t="s">
        <v>479</v>
      </c>
      <c r="F43" s="5">
        <v>2.0969999999999999E-2</v>
      </c>
      <c r="G43" s="5">
        <v>1000</v>
      </c>
    </row>
    <row r="44" spans="1:7" x14ac:dyDescent="0.15">
      <c r="A44" s="4" t="s">
        <v>499</v>
      </c>
      <c r="B44" s="4" t="s">
        <v>735</v>
      </c>
      <c r="C44" s="4" t="s">
        <v>699</v>
      </c>
      <c r="D44" s="4" t="s">
        <v>488</v>
      </c>
      <c r="E44" s="4" t="s">
        <v>479</v>
      </c>
      <c r="F44" s="5">
        <v>0</v>
      </c>
      <c r="G44" s="5">
        <v>0</v>
      </c>
    </row>
    <row r="45" spans="1:7" x14ac:dyDescent="0.15">
      <c r="A45" s="4" t="s">
        <v>56</v>
      </c>
      <c r="B45" s="4" t="s">
        <v>735</v>
      </c>
      <c r="C45" s="4" t="s">
        <v>700</v>
      </c>
      <c r="D45" s="4" t="s">
        <v>2</v>
      </c>
      <c r="E45" s="4" t="s">
        <v>9</v>
      </c>
      <c r="F45" s="5">
        <v>4.1950000000000001E-2</v>
      </c>
      <c r="G45" s="5">
        <v>1000</v>
      </c>
    </row>
    <row r="46" spans="1:7" x14ac:dyDescent="0.15">
      <c r="A46" s="4" t="s">
        <v>59</v>
      </c>
      <c r="B46" s="4" t="s">
        <v>736</v>
      </c>
      <c r="C46" s="4" t="s">
        <v>699</v>
      </c>
      <c r="D46" s="4" t="s">
        <v>2</v>
      </c>
      <c r="E46" s="4" t="s">
        <v>479</v>
      </c>
      <c r="F46" s="5">
        <v>0.13183</v>
      </c>
      <c r="G46" s="5">
        <v>0</v>
      </c>
    </row>
    <row r="47" spans="1:7" x14ac:dyDescent="0.15">
      <c r="A47" s="4" t="s">
        <v>61</v>
      </c>
      <c r="B47" s="4" t="s">
        <v>737</v>
      </c>
      <c r="C47" s="4" t="s">
        <v>699</v>
      </c>
      <c r="D47" s="4" t="s">
        <v>2</v>
      </c>
      <c r="E47" s="4" t="s">
        <v>479</v>
      </c>
      <c r="F47" s="5">
        <v>0.26366000000000001</v>
      </c>
      <c r="G47" s="5">
        <v>0</v>
      </c>
    </row>
    <row r="48" spans="1:7" x14ac:dyDescent="0.15">
      <c r="A48" s="4" t="s">
        <v>62</v>
      </c>
      <c r="B48" s="4" t="s">
        <v>738</v>
      </c>
      <c r="C48" s="4" t="s">
        <v>699</v>
      </c>
      <c r="D48" s="4" t="s">
        <v>2</v>
      </c>
      <c r="E48" s="4" t="s">
        <v>479</v>
      </c>
      <c r="F48" s="5">
        <v>0.52730999999999995</v>
      </c>
      <c r="G48" s="5">
        <v>0</v>
      </c>
    </row>
    <row r="49" spans="1:7" x14ac:dyDescent="0.15">
      <c r="A49" s="4" t="s">
        <v>63</v>
      </c>
      <c r="B49" s="4" t="s">
        <v>739</v>
      </c>
      <c r="C49" s="4" t="s">
        <v>699</v>
      </c>
      <c r="D49" s="4" t="s">
        <v>2</v>
      </c>
      <c r="E49" s="4" t="s">
        <v>479</v>
      </c>
      <c r="F49" s="5">
        <v>6.5909999999999996E-2</v>
      </c>
      <c r="G49" s="5">
        <v>1000</v>
      </c>
    </row>
    <row r="50" spans="1:7" x14ac:dyDescent="0.15">
      <c r="A50" s="4" t="s">
        <v>64</v>
      </c>
      <c r="B50" s="4" t="s">
        <v>740</v>
      </c>
      <c r="C50" s="4" t="s">
        <v>699</v>
      </c>
      <c r="D50" s="4" t="s">
        <v>2</v>
      </c>
      <c r="E50" s="4" t="s">
        <v>479</v>
      </c>
      <c r="F50" s="5">
        <v>32.956910000000001</v>
      </c>
      <c r="G50" s="5">
        <v>0</v>
      </c>
    </row>
    <row r="51" spans="1:7" x14ac:dyDescent="0.15">
      <c r="A51" s="4" t="s">
        <v>500</v>
      </c>
      <c r="B51" s="4" t="s">
        <v>740</v>
      </c>
      <c r="C51" s="4" t="s">
        <v>699</v>
      </c>
      <c r="D51" s="4" t="s">
        <v>488</v>
      </c>
      <c r="E51" s="4" t="s">
        <v>479</v>
      </c>
      <c r="F51" s="5">
        <v>0</v>
      </c>
      <c r="G51" s="5">
        <v>0</v>
      </c>
    </row>
    <row r="52" spans="1:7" x14ac:dyDescent="0.15">
      <c r="A52" s="4" t="s">
        <v>60</v>
      </c>
      <c r="B52" s="4" t="s">
        <v>740</v>
      </c>
      <c r="C52" s="4" t="s">
        <v>700</v>
      </c>
      <c r="D52" s="4" t="s">
        <v>2</v>
      </c>
      <c r="E52" s="4" t="s">
        <v>9</v>
      </c>
      <c r="F52" s="5">
        <v>0.13183</v>
      </c>
      <c r="G52" s="5">
        <v>1000</v>
      </c>
    </row>
    <row r="53" spans="1:7" x14ac:dyDescent="0.15">
      <c r="A53" s="4" t="s">
        <v>65</v>
      </c>
      <c r="B53" s="4" t="s">
        <v>741</v>
      </c>
      <c r="C53" s="4" t="s">
        <v>699</v>
      </c>
      <c r="D53" s="4" t="s">
        <v>2</v>
      </c>
      <c r="E53" s="4" t="s">
        <v>479</v>
      </c>
      <c r="F53" s="5">
        <v>2.0719999999999999E-2</v>
      </c>
      <c r="G53" s="5">
        <v>0</v>
      </c>
    </row>
    <row r="54" spans="1:7" x14ac:dyDescent="0.15">
      <c r="A54" s="4" t="s">
        <v>67</v>
      </c>
      <c r="B54" s="4" t="s">
        <v>742</v>
      </c>
      <c r="C54" s="4" t="s">
        <v>699</v>
      </c>
      <c r="D54" s="4" t="s">
        <v>2</v>
      </c>
      <c r="E54" s="4" t="s">
        <v>479</v>
      </c>
      <c r="F54" s="5">
        <v>4.1450000000000001E-2</v>
      </c>
      <c r="G54" s="5">
        <v>0</v>
      </c>
    </row>
    <row r="55" spans="1:7" x14ac:dyDescent="0.15">
      <c r="A55" s="4" t="s">
        <v>68</v>
      </c>
      <c r="B55" s="4" t="s">
        <v>743</v>
      </c>
      <c r="C55" s="4" t="s">
        <v>699</v>
      </c>
      <c r="D55" s="4" t="s">
        <v>2</v>
      </c>
      <c r="E55" s="4" t="s">
        <v>479</v>
      </c>
      <c r="F55" s="5">
        <v>1.0359999999999999E-2</v>
      </c>
      <c r="G55" s="5">
        <v>1000</v>
      </c>
    </row>
    <row r="56" spans="1:7" x14ac:dyDescent="0.15">
      <c r="A56" s="4" t="s">
        <v>501</v>
      </c>
      <c r="B56" s="4" t="s">
        <v>744</v>
      </c>
      <c r="C56" s="4" t="s">
        <v>699</v>
      </c>
      <c r="D56" s="4" t="s">
        <v>488</v>
      </c>
      <c r="E56" s="4" t="s">
        <v>479</v>
      </c>
      <c r="F56" s="5">
        <v>0</v>
      </c>
      <c r="G56" s="5">
        <v>0</v>
      </c>
    </row>
    <row r="57" spans="1:7" x14ac:dyDescent="0.15">
      <c r="A57" s="4" t="s">
        <v>66</v>
      </c>
      <c r="B57" s="4" t="s">
        <v>744</v>
      </c>
      <c r="C57" s="4" t="s">
        <v>700</v>
      </c>
      <c r="D57" s="4" t="s">
        <v>2</v>
      </c>
      <c r="E57" s="4" t="s">
        <v>9</v>
      </c>
      <c r="F57" s="5">
        <v>2.0719999999999999E-2</v>
      </c>
      <c r="G57" s="5">
        <v>1000</v>
      </c>
    </row>
    <row r="58" spans="1:7" x14ac:dyDescent="0.15">
      <c r="A58" s="4" t="s">
        <v>69</v>
      </c>
      <c r="B58" s="4" t="s">
        <v>745</v>
      </c>
      <c r="C58" s="4" t="s">
        <v>699</v>
      </c>
      <c r="D58" s="4" t="s">
        <v>2</v>
      </c>
      <c r="E58" s="4" t="s">
        <v>479</v>
      </c>
      <c r="F58" s="5">
        <v>1.7929999999999998E-2</v>
      </c>
      <c r="G58" s="5">
        <v>0</v>
      </c>
    </row>
    <row r="59" spans="1:7" x14ac:dyDescent="0.15">
      <c r="A59" s="4" t="s">
        <v>71</v>
      </c>
      <c r="B59" s="4" t="s">
        <v>746</v>
      </c>
      <c r="C59" s="4" t="s">
        <v>699</v>
      </c>
      <c r="D59" s="4" t="s">
        <v>2</v>
      </c>
      <c r="E59" s="4" t="s">
        <v>479</v>
      </c>
      <c r="F59" s="5">
        <v>3.5859999999999996E-2</v>
      </c>
      <c r="G59" s="5">
        <v>0</v>
      </c>
    </row>
    <row r="60" spans="1:7" x14ac:dyDescent="0.15">
      <c r="A60" s="4" t="s">
        <v>72</v>
      </c>
      <c r="B60" s="4" t="s">
        <v>747</v>
      </c>
      <c r="C60" s="4" t="s">
        <v>699</v>
      </c>
      <c r="D60" s="4" t="s">
        <v>2</v>
      </c>
      <c r="E60" s="4" t="s">
        <v>479</v>
      </c>
      <c r="F60" s="5">
        <v>8.9600000000000009E-3</v>
      </c>
      <c r="G60" s="5">
        <v>1000</v>
      </c>
    </row>
    <row r="61" spans="1:7" x14ac:dyDescent="0.15">
      <c r="A61" s="4" t="s">
        <v>73</v>
      </c>
      <c r="B61" s="4" t="s">
        <v>748</v>
      </c>
      <c r="C61" s="4" t="s">
        <v>699</v>
      </c>
      <c r="D61" s="4" t="s">
        <v>2</v>
      </c>
      <c r="E61" s="4" t="s">
        <v>479</v>
      </c>
      <c r="F61" s="5">
        <v>2.6889999999999997E-2</v>
      </c>
      <c r="G61" s="5">
        <v>0</v>
      </c>
    </row>
    <row r="62" spans="1:7" x14ac:dyDescent="0.15">
      <c r="A62" s="4" t="s">
        <v>502</v>
      </c>
      <c r="B62" s="4" t="s">
        <v>749</v>
      </c>
      <c r="C62" s="4" t="s">
        <v>699</v>
      </c>
      <c r="D62" s="4" t="s">
        <v>488</v>
      </c>
      <c r="E62" s="4" t="s">
        <v>479</v>
      </c>
      <c r="F62" s="5">
        <v>0</v>
      </c>
      <c r="G62" s="5">
        <v>0</v>
      </c>
    </row>
    <row r="63" spans="1:7" x14ac:dyDescent="0.15">
      <c r="A63" s="4" t="s">
        <v>70</v>
      </c>
      <c r="B63" s="4" t="s">
        <v>749</v>
      </c>
      <c r="C63" s="4" t="s">
        <v>700</v>
      </c>
      <c r="D63" s="4" t="s">
        <v>2</v>
      </c>
      <c r="E63" s="4" t="s">
        <v>9</v>
      </c>
      <c r="F63" s="5">
        <v>1.7929999999999998E-2</v>
      </c>
      <c r="G63" s="5">
        <v>1000</v>
      </c>
    </row>
    <row r="64" spans="1:7" x14ac:dyDescent="0.15">
      <c r="A64" s="4" t="s">
        <v>74</v>
      </c>
      <c r="B64" s="4" t="s">
        <v>750</v>
      </c>
      <c r="C64" s="4" t="s">
        <v>699</v>
      </c>
      <c r="D64" s="4" t="s">
        <v>2</v>
      </c>
      <c r="E64" s="4" t="s">
        <v>479</v>
      </c>
      <c r="F64" s="5">
        <v>4.2169999999999999E-2</v>
      </c>
      <c r="G64" s="5">
        <v>0</v>
      </c>
    </row>
    <row r="65" spans="1:7" x14ac:dyDescent="0.15">
      <c r="A65" s="4" t="s">
        <v>76</v>
      </c>
      <c r="B65" s="4" t="s">
        <v>751</v>
      </c>
      <c r="C65" s="4" t="s">
        <v>699</v>
      </c>
      <c r="D65" s="4" t="s">
        <v>2</v>
      </c>
      <c r="E65" s="4" t="s">
        <v>479</v>
      </c>
      <c r="F65" s="5">
        <v>8.4350000000000008E-2</v>
      </c>
      <c r="G65" s="5">
        <v>0</v>
      </c>
    </row>
    <row r="66" spans="1:7" x14ac:dyDescent="0.15">
      <c r="A66" s="4" t="s">
        <v>77</v>
      </c>
      <c r="B66" s="4" t="s">
        <v>752</v>
      </c>
      <c r="C66" s="4" t="s">
        <v>699</v>
      </c>
      <c r="D66" s="4" t="s">
        <v>2</v>
      </c>
      <c r="E66" s="4" t="s">
        <v>479</v>
      </c>
      <c r="F66" s="5">
        <v>0.12651999999999999</v>
      </c>
      <c r="G66" s="5">
        <v>0</v>
      </c>
    </row>
    <row r="67" spans="1:7" x14ac:dyDescent="0.15">
      <c r="A67" s="4" t="s">
        <v>78</v>
      </c>
      <c r="B67" s="4" t="s">
        <v>753</v>
      </c>
      <c r="C67" s="4" t="s">
        <v>699</v>
      </c>
      <c r="D67" s="4" t="s">
        <v>2</v>
      </c>
      <c r="E67" s="4" t="s">
        <v>479</v>
      </c>
      <c r="F67" s="5">
        <v>2.1090000000000001E-2</v>
      </c>
      <c r="G67" s="5">
        <v>1000</v>
      </c>
    </row>
    <row r="68" spans="1:7" x14ac:dyDescent="0.15">
      <c r="A68" s="4" t="s">
        <v>503</v>
      </c>
      <c r="B68" s="4" t="s">
        <v>754</v>
      </c>
      <c r="C68" s="4" t="s">
        <v>699</v>
      </c>
      <c r="D68" s="4" t="s">
        <v>488</v>
      </c>
      <c r="E68" s="4" t="s">
        <v>479</v>
      </c>
      <c r="F68" s="5">
        <v>0</v>
      </c>
      <c r="G68" s="5">
        <v>0</v>
      </c>
    </row>
    <row r="69" spans="1:7" x14ac:dyDescent="0.15">
      <c r="A69" s="4" t="s">
        <v>75</v>
      </c>
      <c r="B69" s="4" t="s">
        <v>754</v>
      </c>
      <c r="C69" s="4" t="s">
        <v>700</v>
      </c>
      <c r="D69" s="4" t="s">
        <v>2</v>
      </c>
      <c r="E69" s="4" t="s">
        <v>9</v>
      </c>
      <c r="F69" s="5">
        <v>4.2169999999999999E-2</v>
      </c>
      <c r="G69" s="5">
        <v>1000</v>
      </c>
    </row>
    <row r="70" spans="1:7" x14ac:dyDescent="0.15">
      <c r="A70" s="4" t="s">
        <v>79</v>
      </c>
      <c r="B70" s="4" t="s">
        <v>755</v>
      </c>
      <c r="C70" s="4" t="s">
        <v>699</v>
      </c>
      <c r="D70" s="4" t="s">
        <v>2</v>
      </c>
      <c r="E70" s="4" t="s">
        <v>479</v>
      </c>
      <c r="F70" s="5">
        <v>8.1180000000000002E-2</v>
      </c>
      <c r="G70" s="5">
        <v>0</v>
      </c>
    </row>
    <row r="71" spans="1:7" x14ac:dyDescent="0.15">
      <c r="A71" s="4" t="s">
        <v>81</v>
      </c>
      <c r="B71" s="4" t="s">
        <v>756</v>
      </c>
      <c r="C71" s="4" t="s">
        <v>699</v>
      </c>
      <c r="D71" s="4" t="s">
        <v>2</v>
      </c>
      <c r="E71" s="4" t="s">
        <v>479</v>
      </c>
      <c r="F71" s="5">
        <v>0.16236999999999999</v>
      </c>
      <c r="G71" s="5">
        <v>0</v>
      </c>
    </row>
    <row r="72" spans="1:7" x14ac:dyDescent="0.15">
      <c r="A72" s="4" t="s">
        <v>504</v>
      </c>
      <c r="B72" s="4" t="s">
        <v>757</v>
      </c>
      <c r="C72" s="4" t="s">
        <v>699</v>
      </c>
      <c r="D72" s="4" t="s">
        <v>488</v>
      </c>
      <c r="E72" s="4" t="s">
        <v>479</v>
      </c>
      <c r="F72" s="5">
        <v>0</v>
      </c>
      <c r="G72" s="5">
        <v>0</v>
      </c>
    </row>
    <row r="73" spans="1:7" x14ac:dyDescent="0.15">
      <c r="A73" s="4" t="s">
        <v>80</v>
      </c>
      <c r="B73" s="4" t="s">
        <v>757</v>
      </c>
      <c r="C73" s="4" t="s">
        <v>700</v>
      </c>
      <c r="D73" s="4" t="s">
        <v>2</v>
      </c>
      <c r="E73" s="4" t="s">
        <v>9</v>
      </c>
      <c r="F73" s="5">
        <v>8.1180000000000002E-2</v>
      </c>
      <c r="G73" s="5">
        <v>1000</v>
      </c>
    </row>
    <row r="74" spans="1:7" x14ac:dyDescent="0.15">
      <c r="A74" s="4" t="s">
        <v>82</v>
      </c>
      <c r="B74" s="4" t="s">
        <v>758</v>
      </c>
      <c r="C74" s="4" t="s">
        <v>699</v>
      </c>
      <c r="D74" s="4" t="s">
        <v>2</v>
      </c>
      <c r="E74" s="4" t="s">
        <v>479</v>
      </c>
      <c r="F74" s="5">
        <v>3.0200000000000001E-3</v>
      </c>
      <c r="G74" s="5">
        <v>0</v>
      </c>
    </row>
    <row r="75" spans="1:7" x14ac:dyDescent="0.15">
      <c r="A75" s="4" t="s">
        <v>84</v>
      </c>
      <c r="B75" s="4" t="s">
        <v>759</v>
      </c>
      <c r="C75" s="4" t="s">
        <v>699</v>
      </c>
      <c r="D75" s="4" t="s">
        <v>2</v>
      </c>
      <c r="E75" s="4" t="s">
        <v>479</v>
      </c>
      <c r="F75" s="5">
        <v>6.0400000000000002E-3</v>
      </c>
      <c r="G75" s="5">
        <v>0</v>
      </c>
    </row>
    <row r="76" spans="1:7" x14ac:dyDescent="0.15">
      <c r="A76" s="4" t="s">
        <v>85</v>
      </c>
      <c r="B76" s="4" t="s">
        <v>760</v>
      </c>
      <c r="C76" s="4" t="s">
        <v>699</v>
      </c>
      <c r="D76" s="4" t="s">
        <v>2</v>
      </c>
      <c r="E76" s="4" t="s">
        <v>479</v>
      </c>
      <c r="F76" s="5">
        <v>1.5100000000000001E-3</v>
      </c>
      <c r="G76" s="5">
        <v>1000</v>
      </c>
    </row>
    <row r="77" spans="1:7" x14ac:dyDescent="0.15">
      <c r="A77" s="4" t="s">
        <v>505</v>
      </c>
      <c r="B77" s="4" t="s">
        <v>761</v>
      </c>
      <c r="C77" s="4" t="s">
        <v>699</v>
      </c>
      <c r="D77" s="4" t="s">
        <v>488</v>
      </c>
      <c r="E77" s="4" t="s">
        <v>479</v>
      </c>
      <c r="F77" s="5">
        <v>0</v>
      </c>
      <c r="G77" s="5">
        <v>0</v>
      </c>
    </row>
    <row r="78" spans="1:7" x14ac:dyDescent="0.15">
      <c r="A78" s="4" t="s">
        <v>83</v>
      </c>
      <c r="B78" s="4" t="s">
        <v>761</v>
      </c>
      <c r="C78" s="4" t="s">
        <v>700</v>
      </c>
      <c r="D78" s="4" t="s">
        <v>2</v>
      </c>
      <c r="E78" s="4" t="s">
        <v>9</v>
      </c>
      <c r="F78" s="5">
        <v>3.0200000000000001E-3</v>
      </c>
      <c r="G78" s="5">
        <v>1000</v>
      </c>
    </row>
    <row r="79" spans="1:7" x14ac:dyDescent="0.15">
      <c r="A79" s="4" t="s">
        <v>86</v>
      </c>
      <c r="B79" s="4" t="s">
        <v>762</v>
      </c>
      <c r="C79" s="4" t="s">
        <v>699</v>
      </c>
      <c r="D79" s="4" t="s">
        <v>2</v>
      </c>
      <c r="E79" s="4" t="s">
        <v>479</v>
      </c>
      <c r="F79" s="5">
        <v>6.0400000000000002E-3</v>
      </c>
      <c r="G79" s="5">
        <v>0</v>
      </c>
    </row>
    <row r="80" spans="1:7" x14ac:dyDescent="0.15">
      <c r="A80" s="4" t="s">
        <v>88</v>
      </c>
      <c r="B80" s="4" t="s">
        <v>763</v>
      </c>
      <c r="C80" s="4" t="s">
        <v>699</v>
      </c>
      <c r="D80" s="4" t="s">
        <v>2</v>
      </c>
      <c r="E80" s="4" t="s">
        <v>479</v>
      </c>
      <c r="F80" s="5">
        <v>1.2070000000000001E-2</v>
      </c>
      <c r="G80" s="5">
        <v>0</v>
      </c>
    </row>
    <row r="81" spans="1:7" x14ac:dyDescent="0.15">
      <c r="A81" s="4" t="s">
        <v>89</v>
      </c>
      <c r="B81" s="4" t="s">
        <v>764</v>
      </c>
      <c r="C81" s="4" t="s">
        <v>699</v>
      </c>
      <c r="D81" s="4" t="s">
        <v>2</v>
      </c>
      <c r="E81" s="4" t="s">
        <v>479</v>
      </c>
      <c r="F81" s="5">
        <v>3.0200000000000001E-3</v>
      </c>
      <c r="G81" s="5">
        <v>1000</v>
      </c>
    </row>
    <row r="82" spans="1:7" x14ac:dyDescent="0.15">
      <c r="A82" s="4" t="s">
        <v>506</v>
      </c>
      <c r="B82" s="4" t="s">
        <v>765</v>
      </c>
      <c r="C82" s="4" t="s">
        <v>699</v>
      </c>
      <c r="D82" s="4" t="s">
        <v>488</v>
      </c>
      <c r="E82" s="4" t="s">
        <v>479</v>
      </c>
      <c r="F82" s="5">
        <v>0</v>
      </c>
      <c r="G82" s="5">
        <v>0</v>
      </c>
    </row>
    <row r="83" spans="1:7" x14ac:dyDescent="0.15">
      <c r="A83" s="4" t="s">
        <v>87</v>
      </c>
      <c r="B83" s="4" t="s">
        <v>765</v>
      </c>
      <c r="C83" s="4" t="s">
        <v>700</v>
      </c>
      <c r="D83" s="4" t="s">
        <v>2</v>
      </c>
      <c r="E83" s="4" t="s">
        <v>9</v>
      </c>
      <c r="F83" s="5">
        <v>6.0400000000000002E-3</v>
      </c>
      <c r="G83" s="5">
        <v>1000</v>
      </c>
    </row>
    <row r="84" spans="1:7" x14ac:dyDescent="0.15">
      <c r="A84" s="4" t="s">
        <v>90</v>
      </c>
      <c r="B84" s="4" t="s">
        <v>766</v>
      </c>
      <c r="C84" s="4" t="s">
        <v>699</v>
      </c>
      <c r="D84" s="4" t="s">
        <v>2</v>
      </c>
      <c r="E84" s="4" t="s">
        <v>479</v>
      </c>
      <c r="F84" s="5">
        <v>4.5300000000000002E-3</v>
      </c>
      <c r="G84" s="5">
        <v>0</v>
      </c>
    </row>
    <row r="85" spans="1:7" x14ac:dyDescent="0.15">
      <c r="A85" s="4" t="s">
        <v>92</v>
      </c>
      <c r="B85" s="4" t="s">
        <v>767</v>
      </c>
      <c r="C85" s="4" t="s">
        <v>699</v>
      </c>
      <c r="D85" s="4" t="s">
        <v>2</v>
      </c>
      <c r="E85" s="4" t="s">
        <v>479</v>
      </c>
      <c r="F85" s="5">
        <v>9.0500000000000008E-3</v>
      </c>
      <c r="G85" s="5">
        <v>0</v>
      </c>
    </row>
    <row r="86" spans="1:7" x14ac:dyDescent="0.15">
      <c r="A86" s="4" t="s">
        <v>93</v>
      </c>
      <c r="B86" s="4" t="s">
        <v>768</v>
      </c>
      <c r="C86" s="4" t="s">
        <v>699</v>
      </c>
      <c r="D86" s="4" t="s">
        <v>2</v>
      </c>
      <c r="E86" s="4" t="s">
        <v>479</v>
      </c>
      <c r="F86" s="5">
        <v>2.2599999999999999E-3</v>
      </c>
      <c r="G86" s="5">
        <v>1000</v>
      </c>
    </row>
    <row r="87" spans="1:7" x14ac:dyDescent="0.15">
      <c r="A87" s="4" t="s">
        <v>507</v>
      </c>
      <c r="B87" s="4" t="s">
        <v>769</v>
      </c>
      <c r="C87" s="4" t="s">
        <v>699</v>
      </c>
      <c r="D87" s="4" t="s">
        <v>488</v>
      </c>
      <c r="E87" s="4" t="s">
        <v>479</v>
      </c>
      <c r="F87" s="5">
        <v>0</v>
      </c>
      <c r="G87" s="5">
        <v>0</v>
      </c>
    </row>
    <row r="88" spans="1:7" x14ac:dyDescent="0.15">
      <c r="A88" s="4" t="s">
        <v>91</v>
      </c>
      <c r="B88" s="4" t="s">
        <v>769</v>
      </c>
      <c r="C88" s="4" t="s">
        <v>700</v>
      </c>
      <c r="D88" s="4" t="s">
        <v>2</v>
      </c>
      <c r="E88" s="4" t="s">
        <v>9</v>
      </c>
      <c r="F88" s="5">
        <v>4.5300000000000002E-3</v>
      </c>
      <c r="G88" s="5">
        <v>1000</v>
      </c>
    </row>
    <row r="89" spans="1:7" x14ac:dyDescent="0.15">
      <c r="A89" s="4" t="s">
        <v>94</v>
      </c>
      <c r="B89" s="4" t="s">
        <v>770</v>
      </c>
      <c r="C89" s="4" t="s">
        <v>699</v>
      </c>
      <c r="D89" s="4" t="s">
        <v>2</v>
      </c>
      <c r="E89" s="4" t="s">
        <v>479</v>
      </c>
      <c r="F89" s="5">
        <v>7.0299999999999998E-3</v>
      </c>
      <c r="G89" s="5">
        <v>0</v>
      </c>
    </row>
    <row r="90" spans="1:7" x14ac:dyDescent="0.15">
      <c r="A90" s="4" t="s">
        <v>96</v>
      </c>
      <c r="B90" s="4" t="s">
        <v>771</v>
      </c>
      <c r="C90" s="4" t="s">
        <v>699</v>
      </c>
      <c r="D90" s="4" t="s">
        <v>2</v>
      </c>
      <c r="E90" s="4" t="s">
        <v>479</v>
      </c>
      <c r="F90" s="5">
        <v>1.406E-2</v>
      </c>
      <c r="G90" s="5">
        <v>0</v>
      </c>
    </row>
    <row r="91" spans="1:7" x14ac:dyDescent="0.15">
      <c r="A91" s="4" t="s">
        <v>97</v>
      </c>
      <c r="B91" s="4" t="s">
        <v>772</v>
      </c>
      <c r="C91" s="4" t="s">
        <v>699</v>
      </c>
      <c r="D91" s="4" t="s">
        <v>2</v>
      </c>
      <c r="E91" s="4" t="s">
        <v>479</v>
      </c>
      <c r="F91" s="5">
        <v>3.5099999999999997E-3</v>
      </c>
      <c r="G91" s="5">
        <v>1000</v>
      </c>
    </row>
    <row r="92" spans="1:7" x14ac:dyDescent="0.15">
      <c r="A92" s="4" t="s">
        <v>508</v>
      </c>
      <c r="B92" s="4" t="s">
        <v>773</v>
      </c>
      <c r="C92" s="4" t="s">
        <v>699</v>
      </c>
      <c r="D92" s="4" t="s">
        <v>488</v>
      </c>
      <c r="E92" s="4" t="s">
        <v>479</v>
      </c>
      <c r="F92" s="5">
        <v>0</v>
      </c>
      <c r="G92" s="5">
        <v>0</v>
      </c>
    </row>
    <row r="93" spans="1:7" x14ac:dyDescent="0.15">
      <c r="A93" s="4" t="s">
        <v>95</v>
      </c>
      <c r="B93" s="4" t="s">
        <v>773</v>
      </c>
      <c r="C93" s="4" t="s">
        <v>700</v>
      </c>
      <c r="D93" s="4" t="s">
        <v>2</v>
      </c>
      <c r="E93" s="4" t="s">
        <v>9</v>
      </c>
      <c r="F93" s="5">
        <v>7.0299999999999998E-3</v>
      </c>
      <c r="G93" s="5">
        <v>1000</v>
      </c>
    </row>
    <row r="94" spans="1:7" x14ac:dyDescent="0.15">
      <c r="A94" s="4" t="s">
        <v>98</v>
      </c>
      <c r="B94" s="4" t="s">
        <v>774</v>
      </c>
      <c r="C94" s="4" t="s">
        <v>699</v>
      </c>
      <c r="D94" s="4" t="s">
        <v>2</v>
      </c>
      <c r="E94" s="4" t="s">
        <v>479</v>
      </c>
      <c r="F94" s="5">
        <v>9.0500000000000008E-3</v>
      </c>
      <c r="G94" s="5">
        <v>0</v>
      </c>
    </row>
    <row r="95" spans="1:7" x14ac:dyDescent="0.15">
      <c r="A95" s="4" t="s">
        <v>100</v>
      </c>
      <c r="B95" s="4" t="s">
        <v>775</v>
      </c>
      <c r="C95" s="4" t="s">
        <v>699</v>
      </c>
      <c r="D95" s="4" t="s">
        <v>2</v>
      </c>
      <c r="E95" s="4" t="s">
        <v>479</v>
      </c>
      <c r="F95" s="5">
        <v>1.8110000000000001E-2</v>
      </c>
      <c r="G95" s="5">
        <v>0</v>
      </c>
    </row>
    <row r="96" spans="1:7" x14ac:dyDescent="0.15">
      <c r="A96" s="4" t="s">
        <v>101</v>
      </c>
      <c r="B96" s="4" t="s">
        <v>776</v>
      </c>
      <c r="C96" s="4" t="s">
        <v>699</v>
      </c>
      <c r="D96" s="4" t="s">
        <v>2</v>
      </c>
      <c r="E96" s="4" t="s">
        <v>479</v>
      </c>
      <c r="F96" s="5">
        <v>4.5300000000000002E-3</v>
      </c>
      <c r="G96" s="5">
        <v>1000</v>
      </c>
    </row>
    <row r="97" spans="1:7" x14ac:dyDescent="0.15">
      <c r="A97" s="4" t="s">
        <v>509</v>
      </c>
      <c r="B97" s="4" t="s">
        <v>777</v>
      </c>
      <c r="C97" s="4" t="s">
        <v>699</v>
      </c>
      <c r="D97" s="4" t="s">
        <v>488</v>
      </c>
      <c r="E97" s="4" t="s">
        <v>479</v>
      </c>
      <c r="F97" s="5">
        <v>0</v>
      </c>
      <c r="G97" s="5">
        <v>0</v>
      </c>
    </row>
    <row r="98" spans="1:7" x14ac:dyDescent="0.15">
      <c r="A98" s="4" t="s">
        <v>99</v>
      </c>
      <c r="B98" s="4" t="s">
        <v>777</v>
      </c>
      <c r="C98" s="4" t="s">
        <v>700</v>
      </c>
      <c r="D98" s="4" t="s">
        <v>2</v>
      </c>
      <c r="E98" s="4" t="s">
        <v>9</v>
      </c>
      <c r="F98" s="5">
        <v>9.0500000000000008E-3</v>
      </c>
      <c r="G98" s="5">
        <v>1000</v>
      </c>
    </row>
    <row r="99" spans="1:7" x14ac:dyDescent="0.15">
      <c r="A99" s="4" t="s">
        <v>102</v>
      </c>
      <c r="B99" s="4" t="s">
        <v>778</v>
      </c>
      <c r="C99" s="4" t="s">
        <v>699</v>
      </c>
      <c r="D99" s="4" t="s">
        <v>2</v>
      </c>
      <c r="E99" s="4" t="s">
        <v>479</v>
      </c>
      <c r="F99" s="5">
        <v>1.2070000000000001E-2</v>
      </c>
      <c r="G99" s="5">
        <v>0</v>
      </c>
    </row>
    <row r="100" spans="1:7" x14ac:dyDescent="0.15">
      <c r="A100" s="4" t="s">
        <v>104</v>
      </c>
      <c r="B100" s="4" t="s">
        <v>779</v>
      </c>
      <c r="C100" s="4" t="s">
        <v>699</v>
      </c>
      <c r="D100" s="4" t="s">
        <v>2</v>
      </c>
      <c r="E100" s="4" t="s">
        <v>479</v>
      </c>
      <c r="F100" s="5">
        <v>2.4140000000000002E-2</v>
      </c>
      <c r="G100" s="5">
        <v>0</v>
      </c>
    </row>
    <row r="101" spans="1:7" x14ac:dyDescent="0.15">
      <c r="A101" s="4" t="s">
        <v>105</v>
      </c>
      <c r="B101" s="4" t="s">
        <v>780</v>
      </c>
      <c r="C101" s="4" t="s">
        <v>699</v>
      </c>
      <c r="D101" s="4" t="s">
        <v>2</v>
      </c>
      <c r="E101" s="4" t="s">
        <v>479</v>
      </c>
      <c r="F101" s="5">
        <v>6.0400000000000002E-3</v>
      </c>
      <c r="G101" s="5">
        <v>1000</v>
      </c>
    </row>
    <row r="102" spans="1:7" x14ac:dyDescent="0.15">
      <c r="A102" s="4" t="s">
        <v>510</v>
      </c>
      <c r="B102" s="4" t="s">
        <v>781</v>
      </c>
      <c r="C102" s="4" t="s">
        <v>699</v>
      </c>
      <c r="D102" s="4" t="s">
        <v>488</v>
      </c>
      <c r="E102" s="4" t="s">
        <v>479</v>
      </c>
      <c r="F102" s="5">
        <v>0</v>
      </c>
      <c r="G102" s="5">
        <v>0</v>
      </c>
    </row>
    <row r="103" spans="1:7" x14ac:dyDescent="0.15">
      <c r="A103" s="4" t="s">
        <v>103</v>
      </c>
      <c r="B103" s="4" t="s">
        <v>781</v>
      </c>
      <c r="C103" s="4" t="s">
        <v>700</v>
      </c>
      <c r="D103" s="4" t="s">
        <v>2</v>
      </c>
      <c r="E103" s="4" t="s">
        <v>9</v>
      </c>
      <c r="F103" s="5">
        <v>1.2070000000000001E-2</v>
      </c>
      <c r="G103" s="5">
        <v>1000</v>
      </c>
    </row>
    <row r="104" spans="1:7" x14ac:dyDescent="0.15">
      <c r="A104" s="4" t="s">
        <v>106</v>
      </c>
      <c r="B104" s="4" t="s">
        <v>782</v>
      </c>
      <c r="C104" s="4" t="s">
        <v>699</v>
      </c>
      <c r="D104" s="4" t="s">
        <v>2</v>
      </c>
      <c r="E104" s="4" t="s">
        <v>479</v>
      </c>
      <c r="F104" s="5">
        <v>8.7510000000000004E-2</v>
      </c>
      <c r="G104" s="5">
        <v>0</v>
      </c>
    </row>
    <row r="105" spans="1:7" x14ac:dyDescent="0.15">
      <c r="A105" s="4" t="s">
        <v>108</v>
      </c>
      <c r="B105" s="4" t="s">
        <v>783</v>
      </c>
      <c r="C105" s="4" t="s">
        <v>699</v>
      </c>
      <c r="D105" s="4" t="s">
        <v>2</v>
      </c>
      <c r="E105" s="4" t="s">
        <v>479</v>
      </c>
      <c r="F105" s="5">
        <v>0.17502999999999999</v>
      </c>
      <c r="G105" s="5">
        <v>0</v>
      </c>
    </row>
    <row r="106" spans="1:7" x14ac:dyDescent="0.15">
      <c r="A106" s="4" t="s">
        <v>109</v>
      </c>
      <c r="B106" s="4" t="s">
        <v>784</v>
      </c>
      <c r="C106" s="4" t="s">
        <v>699</v>
      </c>
      <c r="D106" s="4" t="s">
        <v>2</v>
      </c>
      <c r="E106" s="4" t="s">
        <v>479</v>
      </c>
      <c r="F106" s="5">
        <v>4.376E-2</v>
      </c>
      <c r="G106" s="5">
        <v>1000</v>
      </c>
    </row>
    <row r="107" spans="1:7" x14ac:dyDescent="0.15">
      <c r="A107" s="4" t="s">
        <v>511</v>
      </c>
      <c r="B107" s="4" t="s">
        <v>785</v>
      </c>
      <c r="C107" s="4" t="s">
        <v>699</v>
      </c>
      <c r="D107" s="4" t="s">
        <v>488</v>
      </c>
      <c r="E107" s="4" t="s">
        <v>479</v>
      </c>
      <c r="F107" s="5">
        <v>0</v>
      </c>
      <c r="G107" s="5">
        <v>0</v>
      </c>
    </row>
    <row r="108" spans="1:7" x14ac:dyDescent="0.15">
      <c r="A108" s="4" t="s">
        <v>107</v>
      </c>
      <c r="B108" s="4" t="s">
        <v>785</v>
      </c>
      <c r="C108" s="4" t="s">
        <v>700</v>
      </c>
      <c r="D108" s="4" t="s">
        <v>2</v>
      </c>
      <c r="E108" s="4" t="s">
        <v>9</v>
      </c>
      <c r="F108" s="5">
        <v>8.7510000000000004E-2</v>
      </c>
      <c r="G108" s="5">
        <v>1000</v>
      </c>
    </row>
    <row r="109" spans="1:7" x14ac:dyDescent="0.15">
      <c r="A109" s="4" t="s">
        <v>110</v>
      </c>
      <c r="B109" s="4" t="s">
        <v>786</v>
      </c>
      <c r="C109" s="4" t="s">
        <v>699</v>
      </c>
      <c r="D109" s="4" t="s">
        <v>2</v>
      </c>
      <c r="E109" s="4" t="s">
        <v>479</v>
      </c>
      <c r="F109" s="5">
        <v>1.882E-2</v>
      </c>
      <c r="G109" s="5">
        <v>0</v>
      </c>
    </row>
    <row r="110" spans="1:7" x14ac:dyDescent="0.15">
      <c r="A110" s="4" t="s">
        <v>112</v>
      </c>
      <c r="B110" s="4" t="s">
        <v>787</v>
      </c>
      <c r="C110" s="4" t="s">
        <v>699</v>
      </c>
      <c r="D110" s="4" t="s">
        <v>2</v>
      </c>
      <c r="E110" s="4" t="s">
        <v>479</v>
      </c>
      <c r="F110" s="5">
        <v>3.764E-2</v>
      </c>
      <c r="G110" s="5">
        <v>0</v>
      </c>
    </row>
    <row r="111" spans="1:7" x14ac:dyDescent="0.15">
      <c r="A111" s="4" t="s">
        <v>113</v>
      </c>
      <c r="B111" s="4" t="s">
        <v>788</v>
      </c>
      <c r="C111" s="4" t="s">
        <v>699</v>
      </c>
      <c r="D111" s="4" t="s">
        <v>2</v>
      </c>
      <c r="E111" s="4" t="s">
        <v>479</v>
      </c>
      <c r="F111" s="5">
        <v>9.41E-3</v>
      </c>
      <c r="G111" s="5">
        <v>1000</v>
      </c>
    </row>
    <row r="112" spans="1:7" x14ac:dyDescent="0.15">
      <c r="A112" s="4" t="s">
        <v>512</v>
      </c>
      <c r="B112" s="4" t="s">
        <v>789</v>
      </c>
      <c r="C112" s="4" t="s">
        <v>699</v>
      </c>
      <c r="D112" s="4" t="s">
        <v>488</v>
      </c>
      <c r="E112" s="4" t="s">
        <v>479</v>
      </c>
      <c r="F112" s="5">
        <v>0</v>
      </c>
      <c r="G112" s="5">
        <v>0</v>
      </c>
    </row>
    <row r="113" spans="1:7" x14ac:dyDescent="0.15">
      <c r="A113" s="4" t="s">
        <v>111</v>
      </c>
      <c r="B113" s="4" t="s">
        <v>789</v>
      </c>
      <c r="C113" s="4" t="s">
        <v>700</v>
      </c>
      <c r="D113" s="4" t="s">
        <v>2</v>
      </c>
      <c r="E113" s="4" t="s">
        <v>9</v>
      </c>
      <c r="F113" s="5">
        <v>1.882E-2</v>
      </c>
      <c r="G113" s="5">
        <v>1000</v>
      </c>
    </row>
    <row r="114" spans="1:7" x14ac:dyDescent="0.15">
      <c r="A114" s="4" t="s">
        <v>114</v>
      </c>
      <c r="B114" s="4" t="s">
        <v>790</v>
      </c>
      <c r="C114" s="4" t="s">
        <v>699</v>
      </c>
      <c r="D114" s="4" t="s">
        <v>2</v>
      </c>
      <c r="E114" s="4" t="s">
        <v>479</v>
      </c>
      <c r="F114" s="5">
        <v>1.687E-2</v>
      </c>
      <c r="G114" s="5">
        <v>0</v>
      </c>
    </row>
    <row r="115" spans="1:7" x14ac:dyDescent="0.15">
      <c r="A115" s="4" t="s">
        <v>116</v>
      </c>
      <c r="B115" s="4" t="s">
        <v>791</v>
      </c>
      <c r="C115" s="4" t="s">
        <v>699</v>
      </c>
      <c r="D115" s="4" t="s">
        <v>2</v>
      </c>
      <c r="E115" s="4" t="s">
        <v>479</v>
      </c>
      <c r="F115" s="5">
        <v>3.3739999999999999E-2</v>
      </c>
      <c r="G115" s="5">
        <v>0</v>
      </c>
    </row>
    <row r="116" spans="1:7" x14ac:dyDescent="0.15">
      <c r="A116" s="4" t="s">
        <v>117</v>
      </c>
      <c r="B116" s="4" t="s">
        <v>792</v>
      </c>
      <c r="C116" s="4" t="s">
        <v>699</v>
      </c>
      <c r="D116" s="4" t="s">
        <v>2</v>
      </c>
      <c r="E116" s="4" t="s">
        <v>479</v>
      </c>
      <c r="F116" s="5">
        <v>8.43E-3</v>
      </c>
      <c r="G116" s="5">
        <v>1000</v>
      </c>
    </row>
    <row r="117" spans="1:7" x14ac:dyDescent="0.15">
      <c r="A117" s="4" t="s">
        <v>513</v>
      </c>
      <c r="B117" s="4" t="s">
        <v>793</v>
      </c>
      <c r="C117" s="4" t="s">
        <v>699</v>
      </c>
      <c r="D117" s="4" t="s">
        <v>488</v>
      </c>
      <c r="E117" s="4" t="s">
        <v>479</v>
      </c>
      <c r="F117" s="5">
        <v>0</v>
      </c>
      <c r="G117" s="5">
        <v>0</v>
      </c>
    </row>
    <row r="118" spans="1:7" x14ac:dyDescent="0.15">
      <c r="A118" s="4" t="s">
        <v>115</v>
      </c>
      <c r="B118" s="4" t="s">
        <v>793</v>
      </c>
      <c r="C118" s="4" t="s">
        <v>700</v>
      </c>
      <c r="D118" s="4" t="s">
        <v>2</v>
      </c>
      <c r="E118" s="4" t="s">
        <v>9</v>
      </c>
      <c r="F118" s="5">
        <v>1.687E-2</v>
      </c>
      <c r="G118" s="5">
        <v>1000</v>
      </c>
    </row>
    <row r="119" spans="1:7" x14ac:dyDescent="0.15">
      <c r="A119" s="4" t="s">
        <v>118</v>
      </c>
      <c r="B119" s="4" t="s">
        <v>794</v>
      </c>
      <c r="C119" s="4" t="s">
        <v>699</v>
      </c>
      <c r="D119" s="4" t="s">
        <v>2</v>
      </c>
      <c r="E119" s="4" t="s">
        <v>479</v>
      </c>
      <c r="F119" s="5">
        <v>0.40011999999999998</v>
      </c>
      <c r="G119" s="5">
        <v>0</v>
      </c>
    </row>
    <row r="120" spans="1:7" x14ac:dyDescent="0.15">
      <c r="A120" s="4" t="s">
        <v>120</v>
      </c>
      <c r="B120" s="4" t="s">
        <v>795</v>
      </c>
      <c r="C120" s="4" t="s">
        <v>699</v>
      </c>
      <c r="D120" s="4" t="s">
        <v>2</v>
      </c>
      <c r="E120" s="4" t="s">
        <v>479</v>
      </c>
      <c r="F120" s="5">
        <v>0.80023999999999995</v>
      </c>
      <c r="G120" s="5">
        <v>0</v>
      </c>
    </row>
    <row r="121" spans="1:7" x14ac:dyDescent="0.15">
      <c r="A121" s="4" t="s">
        <v>514</v>
      </c>
      <c r="B121" s="4" t="s">
        <v>796</v>
      </c>
      <c r="C121" s="4" t="s">
        <v>699</v>
      </c>
      <c r="D121" s="4" t="s">
        <v>488</v>
      </c>
      <c r="E121" s="4" t="s">
        <v>479</v>
      </c>
      <c r="F121" s="5">
        <v>0</v>
      </c>
      <c r="G121" s="5">
        <v>0</v>
      </c>
    </row>
    <row r="122" spans="1:7" x14ac:dyDescent="0.15">
      <c r="A122" s="4" t="s">
        <v>119</v>
      </c>
      <c r="B122" s="4" t="s">
        <v>796</v>
      </c>
      <c r="C122" s="4" t="s">
        <v>700</v>
      </c>
      <c r="D122" s="4" t="s">
        <v>2</v>
      </c>
      <c r="E122" s="4" t="s">
        <v>9</v>
      </c>
      <c r="F122" s="5">
        <v>0.40011999999999998</v>
      </c>
      <c r="G122" s="5">
        <v>1000</v>
      </c>
    </row>
    <row r="123" spans="1:7" x14ac:dyDescent="0.15">
      <c r="A123" s="4" t="s">
        <v>121</v>
      </c>
      <c r="B123" s="4" t="s">
        <v>797</v>
      </c>
      <c r="C123" s="4" t="s">
        <v>699</v>
      </c>
      <c r="D123" s="4" t="s">
        <v>2</v>
      </c>
      <c r="E123" s="4" t="s">
        <v>479</v>
      </c>
      <c r="F123" s="5">
        <v>73.93562</v>
      </c>
      <c r="G123" s="5">
        <v>0</v>
      </c>
    </row>
    <row r="124" spans="1:7" x14ac:dyDescent="0.15">
      <c r="A124" s="4" t="s">
        <v>515</v>
      </c>
      <c r="B124" s="4" t="s">
        <v>797</v>
      </c>
      <c r="C124" s="4" t="s">
        <v>699</v>
      </c>
      <c r="D124" s="4" t="s">
        <v>488</v>
      </c>
      <c r="E124" s="4" t="s">
        <v>479</v>
      </c>
      <c r="F124" s="5">
        <v>0</v>
      </c>
      <c r="G124" s="5">
        <v>0</v>
      </c>
    </row>
    <row r="125" spans="1:7" x14ac:dyDescent="0.15">
      <c r="A125" s="4" t="s">
        <v>122</v>
      </c>
      <c r="B125" s="4" t="s">
        <v>797</v>
      </c>
      <c r="C125" s="4" t="s">
        <v>700</v>
      </c>
      <c r="D125" s="4" t="s">
        <v>2</v>
      </c>
      <c r="E125" s="4" t="s">
        <v>9</v>
      </c>
      <c r="F125" s="5">
        <v>0.29574</v>
      </c>
      <c r="G125" s="5">
        <v>1000</v>
      </c>
    </row>
    <row r="126" spans="1:7" x14ac:dyDescent="0.15">
      <c r="A126" s="4" t="s">
        <v>516</v>
      </c>
      <c r="B126" s="4" t="s">
        <v>798</v>
      </c>
      <c r="C126" s="4" t="s">
        <v>699</v>
      </c>
      <c r="D126" s="4" t="s">
        <v>2</v>
      </c>
      <c r="E126" s="4" t="s">
        <v>479</v>
      </c>
      <c r="F126" s="5">
        <v>0.20524000000000001</v>
      </c>
      <c r="G126" s="5">
        <v>0</v>
      </c>
    </row>
    <row r="127" spans="1:7" x14ac:dyDescent="0.15">
      <c r="A127" s="4" t="s">
        <v>517</v>
      </c>
      <c r="B127" s="4" t="s">
        <v>799</v>
      </c>
      <c r="C127" s="4" t="s">
        <v>699</v>
      </c>
      <c r="D127" s="4" t="s">
        <v>2</v>
      </c>
      <c r="E127" s="4" t="s">
        <v>479</v>
      </c>
      <c r="F127" s="5">
        <v>41.048990000000003</v>
      </c>
      <c r="G127" s="5">
        <v>0</v>
      </c>
    </row>
    <row r="128" spans="1:7" x14ac:dyDescent="0.15">
      <c r="A128" s="4" t="s">
        <v>518</v>
      </c>
      <c r="B128" s="4" t="s">
        <v>800</v>
      </c>
      <c r="C128" s="4" t="s">
        <v>699</v>
      </c>
      <c r="D128" s="4" t="s">
        <v>2</v>
      </c>
      <c r="E128" s="4" t="s">
        <v>479</v>
      </c>
      <c r="F128" s="5">
        <v>0</v>
      </c>
      <c r="G128" s="5">
        <v>0</v>
      </c>
    </row>
    <row r="129" spans="1:7" x14ac:dyDescent="0.15">
      <c r="A129" s="4" t="s">
        <v>126</v>
      </c>
      <c r="B129" s="4" t="s">
        <v>801</v>
      </c>
      <c r="C129" s="4" t="s">
        <v>699</v>
      </c>
      <c r="D129" s="4" t="s">
        <v>2</v>
      </c>
      <c r="E129" s="4" t="s">
        <v>479</v>
      </c>
      <c r="F129" s="5">
        <v>1.968E-2</v>
      </c>
      <c r="G129" s="5">
        <v>0</v>
      </c>
    </row>
    <row r="130" spans="1:7" x14ac:dyDescent="0.15">
      <c r="A130" s="4" t="s">
        <v>128</v>
      </c>
      <c r="B130" s="4" t="s">
        <v>802</v>
      </c>
      <c r="C130" s="4" t="s">
        <v>699</v>
      </c>
      <c r="D130" s="4" t="s">
        <v>2</v>
      </c>
      <c r="E130" s="4" t="s">
        <v>479</v>
      </c>
      <c r="F130" s="5">
        <v>3.9359999999999999E-2</v>
      </c>
      <c r="G130" s="5">
        <v>0</v>
      </c>
    </row>
    <row r="131" spans="1:7" x14ac:dyDescent="0.15">
      <c r="A131" s="4" t="s">
        <v>129</v>
      </c>
      <c r="B131" s="4" t="s">
        <v>803</v>
      </c>
      <c r="C131" s="4" t="s">
        <v>699</v>
      </c>
      <c r="D131" s="4" t="s">
        <v>2</v>
      </c>
      <c r="E131" s="4" t="s">
        <v>479</v>
      </c>
      <c r="F131" s="5">
        <v>9.8399999999999998E-3</v>
      </c>
      <c r="G131" s="5">
        <v>1000</v>
      </c>
    </row>
    <row r="132" spans="1:7" x14ac:dyDescent="0.15">
      <c r="A132" s="4" t="s">
        <v>519</v>
      </c>
      <c r="B132" s="4" t="s">
        <v>804</v>
      </c>
      <c r="C132" s="4" t="s">
        <v>699</v>
      </c>
      <c r="D132" s="4" t="s">
        <v>488</v>
      </c>
      <c r="E132" s="4" t="s">
        <v>479</v>
      </c>
      <c r="F132" s="5">
        <v>0</v>
      </c>
      <c r="G132" s="5">
        <v>0</v>
      </c>
    </row>
    <row r="133" spans="1:7" x14ac:dyDescent="0.15">
      <c r="A133" s="4" t="s">
        <v>127</v>
      </c>
      <c r="B133" s="4" t="s">
        <v>804</v>
      </c>
      <c r="C133" s="4" t="s">
        <v>700</v>
      </c>
      <c r="D133" s="4" t="s">
        <v>2</v>
      </c>
      <c r="E133" s="4" t="s">
        <v>9</v>
      </c>
      <c r="F133" s="5">
        <v>1.968E-2</v>
      </c>
      <c r="G133" s="5">
        <v>1000</v>
      </c>
    </row>
    <row r="134" spans="1:7" x14ac:dyDescent="0.15">
      <c r="A134" s="4" t="s">
        <v>130</v>
      </c>
      <c r="B134" s="4" t="s">
        <v>805</v>
      </c>
      <c r="C134" s="4" t="s">
        <v>699</v>
      </c>
      <c r="D134" s="4" t="s">
        <v>2</v>
      </c>
      <c r="E134" s="4" t="s">
        <v>479</v>
      </c>
      <c r="F134" s="5">
        <v>1.406E-2</v>
      </c>
      <c r="G134" s="5">
        <v>0</v>
      </c>
    </row>
    <row r="135" spans="1:7" x14ac:dyDescent="0.15">
      <c r="A135" s="4" t="s">
        <v>132</v>
      </c>
      <c r="B135" s="4" t="s">
        <v>806</v>
      </c>
      <c r="C135" s="4" t="s">
        <v>699</v>
      </c>
      <c r="D135" s="4" t="s">
        <v>2</v>
      </c>
      <c r="E135" s="4" t="s">
        <v>479</v>
      </c>
      <c r="F135" s="5">
        <v>2.8119999999999999E-2</v>
      </c>
      <c r="G135" s="5">
        <v>0</v>
      </c>
    </row>
    <row r="136" spans="1:7" x14ac:dyDescent="0.15">
      <c r="A136" s="4" t="s">
        <v>133</v>
      </c>
      <c r="B136" s="4" t="s">
        <v>807</v>
      </c>
      <c r="C136" s="4" t="s">
        <v>699</v>
      </c>
      <c r="D136" s="4" t="s">
        <v>2</v>
      </c>
      <c r="E136" s="4" t="s">
        <v>479</v>
      </c>
      <c r="F136" s="5">
        <v>4.2169999999999999E-2</v>
      </c>
      <c r="G136" s="5">
        <v>0</v>
      </c>
    </row>
    <row r="137" spans="1:7" x14ac:dyDescent="0.15">
      <c r="A137" s="4" t="s">
        <v>134</v>
      </c>
      <c r="B137" s="4" t="s">
        <v>808</v>
      </c>
      <c r="C137" s="4" t="s">
        <v>699</v>
      </c>
      <c r="D137" s="4" t="s">
        <v>2</v>
      </c>
      <c r="E137" s="4" t="s">
        <v>479</v>
      </c>
      <c r="F137" s="5">
        <v>7.0299999999999998E-3</v>
      </c>
      <c r="G137" s="5">
        <v>1000</v>
      </c>
    </row>
    <row r="138" spans="1:7" x14ac:dyDescent="0.15">
      <c r="A138" s="4" t="s">
        <v>520</v>
      </c>
      <c r="B138" s="4" t="s">
        <v>809</v>
      </c>
      <c r="C138" s="4" t="s">
        <v>699</v>
      </c>
      <c r="D138" s="4" t="s">
        <v>488</v>
      </c>
      <c r="E138" s="4" t="s">
        <v>479</v>
      </c>
      <c r="F138" s="5">
        <v>0</v>
      </c>
      <c r="G138" s="5">
        <v>0</v>
      </c>
    </row>
    <row r="139" spans="1:7" x14ac:dyDescent="0.15">
      <c r="A139" s="4" t="s">
        <v>131</v>
      </c>
      <c r="B139" s="4" t="s">
        <v>809</v>
      </c>
      <c r="C139" s="4" t="s">
        <v>700</v>
      </c>
      <c r="D139" s="4" t="s">
        <v>2</v>
      </c>
      <c r="E139" s="4" t="s">
        <v>9</v>
      </c>
      <c r="F139" s="5">
        <v>1.406E-2</v>
      </c>
      <c r="G139" s="5">
        <v>1000</v>
      </c>
    </row>
    <row r="140" spans="1:7" x14ac:dyDescent="0.15">
      <c r="A140" s="4" t="s">
        <v>135</v>
      </c>
      <c r="B140" s="4" t="s">
        <v>810</v>
      </c>
      <c r="C140" s="4" t="s">
        <v>699</v>
      </c>
      <c r="D140" s="4" t="s">
        <v>2</v>
      </c>
      <c r="E140" s="4" t="s">
        <v>479</v>
      </c>
      <c r="F140" s="5">
        <v>1.687E-2</v>
      </c>
      <c r="G140" s="5">
        <v>0</v>
      </c>
    </row>
    <row r="141" spans="1:7" x14ac:dyDescent="0.15">
      <c r="A141" s="4" t="s">
        <v>137</v>
      </c>
      <c r="B141" s="4" t="s">
        <v>811</v>
      </c>
      <c r="C141" s="4" t="s">
        <v>699</v>
      </c>
      <c r="D141" s="4" t="s">
        <v>2</v>
      </c>
      <c r="E141" s="4" t="s">
        <v>479</v>
      </c>
      <c r="F141" s="5">
        <v>3.3739999999999999E-2</v>
      </c>
      <c r="G141" s="5">
        <v>0</v>
      </c>
    </row>
    <row r="142" spans="1:7" x14ac:dyDescent="0.15">
      <c r="A142" s="4" t="s">
        <v>138</v>
      </c>
      <c r="B142" s="4" t="s">
        <v>812</v>
      </c>
      <c r="C142" s="4" t="s">
        <v>699</v>
      </c>
      <c r="D142" s="4" t="s">
        <v>2</v>
      </c>
      <c r="E142" s="4" t="s">
        <v>479</v>
      </c>
      <c r="F142" s="5">
        <v>8.43E-3</v>
      </c>
      <c r="G142" s="5">
        <v>1000</v>
      </c>
    </row>
    <row r="143" spans="1:7" x14ac:dyDescent="0.15">
      <c r="A143" s="4" t="s">
        <v>521</v>
      </c>
      <c r="B143" s="4" t="s">
        <v>813</v>
      </c>
      <c r="C143" s="4" t="s">
        <v>699</v>
      </c>
      <c r="D143" s="4" t="s">
        <v>488</v>
      </c>
      <c r="E143" s="4" t="s">
        <v>479</v>
      </c>
      <c r="F143" s="5">
        <v>0</v>
      </c>
      <c r="G143" s="5">
        <v>0</v>
      </c>
    </row>
    <row r="144" spans="1:7" x14ac:dyDescent="0.15">
      <c r="A144" s="4" t="s">
        <v>136</v>
      </c>
      <c r="B144" s="4" t="s">
        <v>813</v>
      </c>
      <c r="C144" s="4" t="s">
        <v>700</v>
      </c>
      <c r="D144" s="4" t="s">
        <v>2</v>
      </c>
      <c r="E144" s="4" t="s">
        <v>9</v>
      </c>
      <c r="F144" s="5">
        <v>1.687E-2</v>
      </c>
      <c r="G144" s="5">
        <v>1000</v>
      </c>
    </row>
    <row r="145" spans="1:7" x14ac:dyDescent="0.15">
      <c r="A145" s="4" t="s">
        <v>139</v>
      </c>
      <c r="B145" s="4" t="s">
        <v>814</v>
      </c>
      <c r="C145" s="4" t="s">
        <v>699</v>
      </c>
      <c r="D145" s="4" t="s">
        <v>2</v>
      </c>
      <c r="E145" s="4" t="s">
        <v>479</v>
      </c>
      <c r="F145" s="5">
        <v>9.8399999999999998E-3</v>
      </c>
      <c r="G145" s="5">
        <v>0</v>
      </c>
    </row>
    <row r="146" spans="1:7" x14ac:dyDescent="0.15">
      <c r="A146" s="4" t="s">
        <v>141</v>
      </c>
      <c r="B146" s="4" t="s">
        <v>815</v>
      </c>
      <c r="C146" s="4" t="s">
        <v>699</v>
      </c>
      <c r="D146" s="4" t="s">
        <v>2</v>
      </c>
      <c r="E146" s="4" t="s">
        <v>479</v>
      </c>
      <c r="F146" s="5">
        <v>1.968E-2</v>
      </c>
      <c r="G146" s="5">
        <v>0</v>
      </c>
    </row>
    <row r="147" spans="1:7" x14ac:dyDescent="0.15">
      <c r="A147" s="4" t="s">
        <v>522</v>
      </c>
      <c r="B147" s="4" t="s">
        <v>816</v>
      </c>
      <c r="C147" s="4" t="s">
        <v>699</v>
      </c>
      <c r="D147" s="4" t="s">
        <v>488</v>
      </c>
      <c r="E147" s="4" t="s">
        <v>479</v>
      </c>
      <c r="F147" s="5">
        <v>0</v>
      </c>
      <c r="G147" s="5">
        <v>0</v>
      </c>
    </row>
    <row r="148" spans="1:7" x14ac:dyDescent="0.15">
      <c r="A148" s="4" t="s">
        <v>140</v>
      </c>
      <c r="B148" s="4" t="s">
        <v>816</v>
      </c>
      <c r="C148" s="4" t="s">
        <v>700</v>
      </c>
      <c r="D148" s="4" t="s">
        <v>2</v>
      </c>
      <c r="E148" s="4" t="s">
        <v>9</v>
      </c>
      <c r="F148" s="5">
        <v>9.8399999999999998E-3</v>
      </c>
      <c r="G148" s="5">
        <v>1000</v>
      </c>
    </row>
    <row r="149" spans="1:7" x14ac:dyDescent="0.15">
      <c r="A149" s="4" t="s">
        <v>142</v>
      </c>
      <c r="B149" s="4" t="s">
        <v>817</v>
      </c>
      <c r="C149" s="4" t="s">
        <v>699</v>
      </c>
      <c r="D149" s="4" t="s">
        <v>2</v>
      </c>
      <c r="E149" s="4" t="s">
        <v>479</v>
      </c>
      <c r="F149" s="5">
        <v>2.4140000000000002E-2</v>
      </c>
      <c r="G149" s="5">
        <v>0</v>
      </c>
    </row>
    <row r="150" spans="1:7" x14ac:dyDescent="0.15">
      <c r="A150" s="4" t="s">
        <v>144</v>
      </c>
      <c r="B150" s="4" t="s">
        <v>818</v>
      </c>
      <c r="C150" s="4" t="s">
        <v>699</v>
      </c>
      <c r="D150" s="4" t="s">
        <v>2</v>
      </c>
      <c r="E150" s="4" t="s">
        <v>479</v>
      </c>
      <c r="F150" s="5">
        <v>4.8280000000000003E-2</v>
      </c>
      <c r="G150" s="5">
        <v>0</v>
      </c>
    </row>
    <row r="151" spans="1:7" x14ac:dyDescent="0.15">
      <c r="A151" s="4" t="s">
        <v>145</v>
      </c>
      <c r="B151" s="4" t="s">
        <v>819</v>
      </c>
      <c r="C151" s="4" t="s">
        <v>699</v>
      </c>
      <c r="D151" s="4" t="s">
        <v>2</v>
      </c>
      <c r="E151" s="4" t="s">
        <v>479</v>
      </c>
      <c r="F151" s="5">
        <v>9.6570000000000003E-2</v>
      </c>
      <c r="G151" s="5">
        <v>0</v>
      </c>
    </row>
    <row r="152" spans="1:7" x14ac:dyDescent="0.15">
      <c r="A152" s="4" t="s">
        <v>146</v>
      </c>
      <c r="B152" s="4" t="s">
        <v>820</v>
      </c>
      <c r="C152" s="4" t="s">
        <v>699</v>
      </c>
      <c r="D152" s="4" t="s">
        <v>2</v>
      </c>
      <c r="E152" s="4" t="s">
        <v>479</v>
      </c>
      <c r="F152" s="5">
        <v>1.2070000000000001E-2</v>
      </c>
      <c r="G152" s="5">
        <v>1000</v>
      </c>
    </row>
    <row r="153" spans="1:7" x14ac:dyDescent="0.15">
      <c r="A153" s="4" t="s">
        <v>523</v>
      </c>
      <c r="B153" s="4" t="s">
        <v>821</v>
      </c>
      <c r="C153" s="4" t="s">
        <v>699</v>
      </c>
      <c r="D153" s="4" t="s">
        <v>488</v>
      </c>
      <c r="E153" s="4" t="s">
        <v>479</v>
      </c>
      <c r="F153" s="5">
        <v>0</v>
      </c>
      <c r="G153" s="5">
        <v>0</v>
      </c>
    </row>
    <row r="154" spans="1:7" x14ac:dyDescent="0.15">
      <c r="A154" s="4" t="s">
        <v>143</v>
      </c>
      <c r="B154" s="4" t="s">
        <v>821</v>
      </c>
      <c r="C154" s="4" t="s">
        <v>700</v>
      </c>
      <c r="D154" s="4" t="s">
        <v>2</v>
      </c>
      <c r="E154" s="4" t="s">
        <v>9</v>
      </c>
      <c r="F154" s="5">
        <v>2.4140000000000002E-2</v>
      </c>
      <c r="G154" s="5">
        <v>1000</v>
      </c>
    </row>
    <row r="155" spans="1:7" x14ac:dyDescent="0.15">
      <c r="A155" s="4" t="s">
        <v>147</v>
      </c>
      <c r="B155" s="4" t="s">
        <v>822</v>
      </c>
      <c r="C155" s="4" t="s">
        <v>699</v>
      </c>
      <c r="D155" s="4" t="s">
        <v>2</v>
      </c>
      <c r="E155" s="4" t="s">
        <v>479</v>
      </c>
      <c r="F155" s="5">
        <v>3.7600000000000001E-2</v>
      </c>
      <c r="G155" s="5">
        <v>0</v>
      </c>
    </row>
    <row r="156" spans="1:7" x14ac:dyDescent="0.15">
      <c r="A156" s="4" t="s">
        <v>149</v>
      </c>
      <c r="B156" s="4" t="s">
        <v>823</v>
      </c>
      <c r="C156" s="4" t="s">
        <v>699</v>
      </c>
      <c r="D156" s="4" t="s">
        <v>2</v>
      </c>
      <c r="E156" s="4" t="s">
        <v>479</v>
      </c>
      <c r="F156" s="5">
        <v>7.5209999999999999E-2</v>
      </c>
      <c r="G156" s="5">
        <v>0</v>
      </c>
    </row>
    <row r="157" spans="1:7" x14ac:dyDescent="0.15">
      <c r="A157" s="4" t="s">
        <v>150</v>
      </c>
      <c r="B157" s="4" t="s">
        <v>824</v>
      </c>
      <c r="C157" s="4" t="s">
        <v>699</v>
      </c>
      <c r="D157" s="4" t="s">
        <v>2</v>
      </c>
      <c r="E157" s="4" t="s">
        <v>479</v>
      </c>
      <c r="F157" s="5">
        <v>0.22563</v>
      </c>
      <c r="G157" s="5">
        <v>0</v>
      </c>
    </row>
    <row r="158" spans="1:7" x14ac:dyDescent="0.15">
      <c r="A158" s="4" t="s">
        <v>524</v>
      </c>
      <c r="B158" s="4" t="s">
        <v>825</v>
      </c>
      <c r="C158" s="4" t="s">
        <v>699</v>
      </c>
      <c r="D158" s="4" t="s">
        <v>488</v>
      </c>
      <c r="E158" s="4" t="s">
        <v>479</v>
      </c>
      <c r="F158" s="5">
        <v>0</v>
      </c>
      <c r="G158" s="5">
        <v>0</v>
      </c>
    </row>
    <row r="159" spans="1:7" x14ac:dyDescent="0.15">
      <c r="A159" s="4" t="s">
        <v>148</v>
      </c>
      <c r="B159" s="4" t="s">
        <v>825</v>
      </c>
      <c r="C159" s="4" t="s">
        <v>700</v>
      </c>
      <c r="D159" s="4" t="s">
        <v>2</v>
      </c>
      <c r="E159" s="4" t="s">
        <v>9</v>
      </c>
      <c r="F159" s="5">
        <v>3.7600000000000001E-2</v>
      </c>
      <c r="G159" s="5">
        <v>1000</v>
      </c>
    </row>
    <row r="160" spans="1:7" x14ac:dyDescent="0.15">
      <c r="A160" s="4" t="s">
        <v>151</v>
      </c>
      <c r="B160" s="4" t="s">
        <v>826</v>
      </c>
      <c r="C160" s="4" t="s">
        <v>699</v>
      </c>
      <c r="D160" s="4" t="s">
        <v>2</v>
      </c>
      <c r="E160" s="4" t="s">
        <v>479</v>
      </c>
      <c r="F160" s="5">
        <v>0.38590000000000002</v>
      </c>
      <c r="G160" s="5">
        <v>0</v>
      </c>
    </row>
    <row r="161" spans="1:7" x14ac:dyDescent="0.15">
      <c r="A161" s="4" t="s">
        <v>153</v>
      </c>
      <c r="B161" s="4" t="s">
        <v>827</v>
      </c>
      <c r="C161" s="4" t="s">
        <v>699</v>
      </c>
      <c r="D161" s="4" t="s">
        <v>2</v>
      </c>
      <c r="E161" s="4" t="s">
        <v>479</v>
      </c>
      <c r="F161" s="5">
        <v>0.77178999999999998</v>
      </c>
      <c r="G161" s="5">
        <v>0</v>
      </c>
    </row>
    <row r="162" spans="1:7" x14ac:dyDescent="0.15">
      <c r="A162" s="4" t="s">
        <v>525</v>
      </c>
      <c r="B162" s="4" t="s">
        <v>828</v>
      </c>
      <c r="C162" s="4" t="s">
        <v>699</v>
      </c>
      <c r="D162" s="4" t="s">
        <v>488</v>
      </c>
      <c r="E162" s="4" t="s">
        <v>479</v>
      </c>
      <c r="F162" s="5">
        <v>0</v>
      </c>
      <c r="G162" s="5">
        <v>0</v>
      </c>
    </row>
    <row r="163" spans="1:7" x14ac:dyDescent="0.15">
      <c r="A163" s="4" t="s">
        <v>152</v>
      </c>
      <c r="B163" s="4" t="s">
        <v>828</v>
      </c>
      <c r="C163" s="4" t="s">
        <v>700</v>
      </c>
      <c r="D163" s="4" t="s">
        <v>2</v>
      </c>
      <c r="E163" s="4" t="s">
        <v>9</v>
      </c>
      <c r="F163" s="5">
        <v>0.38590000000000002</v>
      </c>
      <c r="G163" s="5">
        <v>1000</v>
      </c>
    </row>
    <row r="164" spans="1:7" x14ac:dyDescent="0.15">
      <c r="A164" s="4" t="s">
        <v>154</v>
      </c>
      <c r="B164" s="4" t="s">
        <v>829</v>
      </c>
      <c r="C164" s="4" t="s">
        <v>699</v>
      </c>
      <c r="D164" s="4" t="s">
        <v>2</v>
      </c>
      <c r="E164" s="4" t="s">
        <v>479</v>
      </c>
      <c r="F164" s="5">
        <v>1.9639999999999998E-2</v>
      </c>
      <c r="G164" s="5">
        <v>0</v>
      </c>
    </row>
    <row r="165" spans="1:7" x14ac:dyDescent="0.15">
      <c r="A165" s="4" t="s">
        <v>156</v>
      </c>
      <c r="B165" s="4" t="s">
        <v>830</v>
      </c>
      <c r="C165" s="4" t="s">
        <v>699</v>
      </c>
      <c r="D165" s="4" t="s">
        <v>2</v>
      </c>
      <c r="E165" s="4" t="s">
        <v>479</v>
      </c>
      <c r="F165" s="5">
        <v>3.9290000000000005E-2</v>
      </c>
      <c r="G165" s="5">
        <v>0</v>
      </c>
    </row>
    <row r="166" spans="1:7" x14ac:dyDescent="0.15">
      <c r="A166" s="4" t="s">
        <v>157</v>
      </c>
      <c r="B166" s="4" t="s">
        <v>831</v>
      </c>
      <c r="C166" s="4" t="s">
        <v>699</v>
      </c>
      <c r="D166" s="4" t="s">
        <v>2</v>
      </c>
      <c r="E166" s="4" t="s">
        <v>479</v>
      </c>
      <c r="F166" s="5">
        <v>9.8200000000000006E-3</v>
      </c>
      <c r="G166" s="5">
        <v>1000</v>
      </c>
    </row>
    <row r="167" spans="1:7" x14ac:dyDescent="0.15">
      <c r="A167" s="4" t="s">
        <v>158</v>
      </c>
      <c r="B167" s="4" t="s">
        <v>832</v>
      </c>
      <c r="C167" s="4" t="s">
        <v>699</v>
      </c>
      <c r="D167" s="4" t="s">
        <v>2</v>
      </c>
      <c r="E167" s="4" t="s">
        <v>479</v>
      </c>
      <c r="F167" s="5">
        <v>4.91113</v>
      </c>
      <c r="G167" s="5">
        <v>0</v>
      </c>
    </row>
    <row r="168" spans="1:7" x14ac:dyDescent="0.15">
      <c r="A168" s="4" t="s">
        <v>526</v>
      </c>
      <c r="B168" s="4" t="s">
        <v>832</v>
      </c>
      <c r="C168" s="4" t="s">
        <v>699</v>
      </c>
      <c r="D168" s="4" t="s">
        <v>2</v>
      </c>
      <c r="E168" s="4" t="s">
        <v>479</v>
      </c>
      <c r="F168" s="5">
        <v>0</v>
      </c>
      <c r="G168" s="5">
        <v>0</v>
      </c>
    </row>
    <row r="169" spans="1:7" x14ac:dyDescent="0.15">
      <c r="A169" s="4" t="s">
        <v>527</v>
      </c>
      <c r="B169" s="4" t="s">
        <v>832</v>
      </c>
      <c r="C169" s="4" t="s">
        <v>699</v>
      </c>
      <c r="D169" s="4" t="s">
        <v>488</v>
      </c>
      <c r="E169" s="4" t="s">
        <v>479</v>
      </c>
      <c r="F169" s="5">
        <v>0</v>
      </c>
      <c r="G169" s="5">
        <v>0</v>
      </c>
    </row>
    <row r="170" spans="1:7" x14ac:dyDescent="0.15">
      <c r="A170" s="4" t="s">
        <v>155</v>
      </c>
      <c r="B170" s="4" t="s">
        <v>832</v>
      </c>
      <c r="C170" s="4" t="s">
        <v>700</v>
      </c>
      <c r="D170" s="4" t="s">
        <v>2</v>
      </c>
      <c r="E170" s="4" t="s">
        <v>9</v>
      </c>
      <c r="F170" s="5">
        <v>1.9639999999999998E-2</v>
      </c>
      <c r="G170" s="5">
        <v>1000</v>
      </c>
    </row>
    <row r="171" spans="1:7" x14ac:dyDescent="0.15">
      <c r="A171" s="4" t="s">
        <v>159</v>
      </c>
      <c r="B171" s="4" t="s">
        <v>833</v>
      </c>
      <c r="C171" s="4" t="s">
        <v>699</v>
      </c>
      <c r="D171" s="4" t="s">
        <v>2</v>
      </c>
      <c r="E171" s="4" t="s">
        <v>479</v>
      </c>
      <c r="F171" s="5">
        <v>1.0440000000000001E-2</v>
      </c>
      <c r="G171" s="5">
        <v>0</v>
      </c>
    </row>
    <row r="172" spans="1:7" x14ac:dyDescent="0.15">
      <c r="A172" s="4" t="s">
        <v>161</v>
      </c>
      <c r="B172" s="4" t="s">
        <v>834</v>
      </c>
      <c r="C172" s="4" t="s">
        <v>699</v>
      </c>
      <c r="D172" s="4" t="s">
        <v>2</v>
      </c>
      <c r="E172" s="4" t="s">
        <v>479</v>
      </c>
      <c r="F172" s="5">
        <v>2.087E-2</v>
      </c>
      <c r="G172" s="5">
        <v>0</v>
      </c>
    </row>
    <row r="173" spans="1:7" x14ac:dyDescent="0.15">
      <c r="A173" s="4" t="s">
        <v>162</v>
      </c>
      <c r="B173" s="4" t="s">
        <v>835</v>
      </c>
      <c r="C173" s="4" t="s">
        <v>699</v>
      </c>
      <c r="D173" s="4" t="s">
        <v>2</v>
      </c>
      <c r="E173" s="4" t="s">
        <v>479</v>
      </c>
      <c r="F173" s="5">
        <v>5.2199999999999998E-3</v>
      </c>
      <c r="G173" s="5">
        <v>1000</v>
      </c>
    </row>
    <row r="174" spans="1:7" x14ac:dyDescent="0.15">
      <c r="A174" s="4" t="s">
        <v>163</v>
      </c>
      <c r="B174" s="4" t="s">
        <v>836</v>
      </c>
      <c r="C174" s="4" t="s">
        <v>699</v>
      </c>
      <c r="D174" s="4" t="s">
        <v>2</v>
      </c>
      <c r="E174" s="4" t="s">
        <v>479</v>
      </c>
      <c r="F174" s="5">
        <v>2.6090999999999998</v>
      </c>
      <c r="G174" s="5">
        <v>0</v>
      </c>
    </row>
    <row r="175" spans="1:7" x14ac:dyDescent="0.15">
      <c r="A175" s="4" t="s">
        <v>528</v>
      </c>
      <c r="B175" s="4" t="s">
        <v>836</v>
      </c>
      <c r="C175" s="4" t="s">
        <v>699</v>
      </c>
      <c r="D175" s="4" t="s">
        <v>488</v>
      </c>
      <c r="E175" s="4" t="s">
        <v>479</v>
      </c>
      <c r="F175" s="5">
        <v>0</v>
      </c>
      <c r="G175" s="5">
        <v>0</v>
      </c>
    </row>
    <row r="176" spans="1:7" x14ac:dyDescent="0.15">
      <c r="A176" s="4" t="s">
        <v>160</v>
      </c>
      <c r="B176" s="4" t="s">
        <v>836</v>
      </c>
      <c r="C176" s="4" t="s">
        <v>700</v>
      </c>
      <c r="D176" s="4" t="s">
        <v>2</v>
      </c>
      <c r="E176" s="4" t="s">
        <v>9</v>
      </c>
      <c r="F176" s="5">
        <v>1.0440000000000001E-2</v>
      </c>
      <c r="G176" s="5">
        <v>1000</v>
      </c>
    </row>
    <row r="177" spans="1:7" x14ac:dyDescent="0.15">
      <c r="A177" s="4" t="s">
        <v>164</v>
      </c>
      <c r="B177" s="4" t="s">
        <v>837</v>
      </c>
      <c r="C177" s="4" t="s">
        <v>699</v>
      </c>
      <c r="D177" s="4" t="s">
        <v>2</v>
      </c>
      <c r="E177" s="4" t="s">
        <v>479</v>
      </c>
      <c r="F177" s="5">
        <v>2.087E-2</v>
      </c>
      <c r="G177" s="5">
        <v>0</v>
      </c>
    </row>
    <row r="178" spans="1:7" x14ac:dyDescent="0.15">
      <c r="A178" s="4" t="s">
        <v>166</v>
      </c>
      <c r="B178" s="4" t="s">
        <v>838</v>
      </c>
      <c r="C178" s="4" t="s">
        <v>699</v>
      </c>
      <c r="D178" s="4" t="s">
        <v>2</v>
      </c>
      <c r="E178" s="4" t="s">
        <v>479</v>
      </c>
      <c r="F178" s="5">
        <v>4.1749999999999995E-2</v>
      </c>
      <c r="G178" s="5">
        <v>0</v>
      </c>
    </row>
    <row r="179" spans="1:7" x14ac:dyDescent="0.15">
      <c r="A179" s="4" t="s">
        <v>167</v>
      </c>
      <c r="B179" s="4" t="s">
        <v>839</v>
      </c>
      <c r="C179" s="4" t="s">
        <v>699</v>
      </c>
      <c r="D179" s="4" t="s">
        <v>2</v>
      </c>
      <c r="E179" s="4" t="s">
        <v>479</v>
      </c>
      <c r="F179" s="5">
        <v>1.0440000000000001E-2</v>
      </c>
      <c r="G179" s="5">
        <v>1000</v>
      </c>
    </row>
    <row r="180" spans="1:7" x14ac:dyDescent="0.15">
      <c r="A180" s="4" t="s">
        <v>529</v>
      </c>
      <c r="B180" s="4" t="s">
        <v>840</v>
      </c>
      <c r="C180" s="4" t="s">
        <v>699</v>
      </c>
      <c r="D180" s="4" t="s">
        <v>488</v>
      </c>
      <c r="E180" s="4" t="s">
        <v>479</v>
      </c>
      <c r="F180" s="5">
        <v>0</v>
      </c>
      <c r="G180" s="5">
        <v>0</v>
      </c>
    </row>
    <row r="181" spans="1:7" x14ac:dyDescent="0.15">
      <c r="A181" s="4" t="s">
        <v>165</v>
      </c>
      <c r="B181" s="4" t="s">
        <v>840</v>
      </c>
      <c r="C181" s="4" t="s">
        <v>700</v>
      </c>
      <c r="D181" s="4" t="s">
        <v>2</v>
      </c>
      <c r="E181" s="4" t="s">
        <v>9</v>
      </c>
      <c r="F181" s="5">
        <v>2.087E-2</v>
      </c>
      <c r="G181" s="5">
        <v>1000</v>
      </c>
    </row>
    <row r="182" spans="1:7" x14ac:dyDescent="0.15">
      <c r="A182" s="4" t="s">
        <v>168</v>
      </c>
      <c r="B182" s="4" t="s">
        <v>841</v>
      </c>
      <c r="C182" s="4" t="s">
        <v>699</v>
      </c>
      <c r="D182" s="4" t="s">
        <v>2</v>
      </c>
      <c r="E182" s="4" t="s">
        <v>479</v>
      </c>
      <c r="F182" s="5">
        <v>3.1309999999999998E-2</v>
      </c>
      <c r="G182" s="5">
        <v>0</v>
      </c>
    </row>
    <row r="183" spans="1:7" x14ac:dyDescent="0.15">
      <c r="A183" s="4" t="s">
        <v>170</v>
      </c>
      <c r="B183" s="4" t="s">
        <v>842</v>
      </c>
      <c r="C183" s="4" t="s">
        <v>699</v>
      </c>
      <c r="D183" s="4" t="s">
        <v>2</v>
      </c>
      <c r="E183" s="4" t="s">
        <v>479</v>
      </c>
      <c r="F183" s="5">
        <v>6.2619999999999995E-2</v>
      </c>
      <c r="G183" s="5">
        <v>0</v>
      </c>
    </row>
    <row r="184" spans="1:7" x14ac:dyDescent="0.15">
      <c r="A184" s="4" t="s">
        <v>171</v>
      </c>
      <c r="B184" s="4" t="s">
        <v>843</v>
      </c>
      <c r="C184" s="4" t="s">
        <v>699</v>
      </c>
      <c r="D184" s="4" t="s">
        <v>2</v>
      </c>
      <c r="E184" s="4" t="s">
        <v>479</v>
      </c>
      <c r="F184" s="5">
        <v>1.5650000000000001E-2</v>
      </c>
      <c r="G184" s="5">
        <v>1000</v>
      </c>
    </row>
    <row r="185" spans="1:7" x14ac:dyDescent="0.15">
      <c r="A185" s="4" t="s">
        <v>530</v>
      </c>
      <c r="B185" s="4" t="s">
        <v>844</v>
      </c>
      <c r="C185" s="4" t="s">
        <v>699</v>
      </c>
      <c r="D185" s="4" t="s">
        <v>488</v>
      </c>
      <c r="E185" s="4" t="s">
        <v>479</v>
      </c>
      <c r="F185" s="5">
        <v>0</v>
      </c>
      <c r="G185" s="5">
        <v>0</v>
      </c>
    </row>
    <row r="186" spans="1:7" x14ac:dyDescent="0.15">
      <c r="A186" s="4" t="s">
        <v>169</v>
      </c>
      <c r="B186" s="4" t="s">
        <v>844</v>
      </c>
      <c r="C186" s="4" t="s">
        <v>700</v>
      </c>
      <c r="D186" s="4" t="s">
        <v>2</v>
      </c>
      <c r="E186" s="4" t="s">
        <v>9</v>
      </c>
      <c r="F186" s="5">
        <v>3.1309999999999998E-2</v>
      </c>
      <c r="G186" s="5">
        <v>1000</v>
      </c>
    </row>
    <row r="187" spans="1:7" x14ac:dyDescent="0.15">
      <c r="A187" s="4" t="s">
        <v>172</v>
      </c>
      <c r="B187" s="4" t="s">
        <v>845</v>
      </c>
      <c r="C187" s="4" t="s">
        <v>699</v>
      </c>
      <c r="D187" s="4" t="s">
        <v>2</v>
      </c>
      <c r="E187" s="4" t="s">
        <v>479</v>
      </c>
      <c r="F187" s="5">
        <v>0.3044</v>
      </c>
      <c r="G187" s="5">
        <v>0</v>
      </c>
    </row>
    <row r="188" spans="1:7" x14ac:dyDescent="0.15">
      <c r="A188" s="4" t="s">
        <v>174</v>
      </c>
      <c r="B188" s="4" t="s">
        <v>846</v>
      </c>
      <c r="C188" s="4" t="s">
        <v>699</v>
      </c>
      <c r="D188" s="4" t="s">
        <v>2</v>
      </c>
      <c r="E188" s="4" t="s">
        <v>479</v>
      </c>
      <c r="F188" s="5">
        <v>0.60880000000000001</v>
      </c>
      <c r="G188" s="5">
        <v>0</v>
      </c>
    </row>
    <row r="189" spans="1:7" x14ac:dyDescent="0.15">
      <c r="A189" s="4" t="s">
        <v>175</v>
      </c>
      <c r="B189" s="4" t="s">
        <v>847</v>
      </c>
      <c r="C189" s="4" t="s">
        <v>699</v>
      </c>
      <c r="D189" s="4" t="s">
        <v>2</v>
      </c>
      <c r="E189" s="4" t="s">
        <v>479</v>
      </c>
      <c r="F189" s="5">
        <v>0.1522</v>
      </c>
      <c r="G189" s="5">
        <v>1000</v>
      </c>
    </row>
    <row r="190" spans="1:7" x14ac:dyDescent="0.15">
      <c r="A190" s="4" t="s">
        <v>531</v>
      </c>
      <c r="B190" s="4" t="s">
        <v>848</v>
      </c>
      <c r="C190" s="4" t="s">
        <v>699</v>
      </c>
      <c r="D190" s="4" t="s">
        <v>488</v>
      </c>
      <c r="E190" s="4" t="s">
        <v>479</v>
      </c>
      <c r="F190" s="5">
        <v>0</v>
      </c>
      <c r="G190" s="5">
        <v>0</v>
      </c>
    </row>
    <row r="191" spans="1:7" x14ac:dyDescent="0.15">
      <c r="A191" s="4" t="s">
        <v>173</v>
      </c>
      <c r="B191" s="4" t="s">
        <v>848</v>
      </c>
      <c r="C191" s="4" t="s">
        <v>700</v>
      </c>
      <c r="D191" s="4" t="s">
        <v>2</v>
      </c>
      <c r="E191" s="4" t="s">
        <v>9</v>
      </c>
      <c r="F191" s="5">
        <v>0.3044</v>
      </c>
      <c r="G191" s="5">
        <v>1000</v>
      </c>
    </row>
    <row r="192" spans="1:7" x14ac:dyDescent="0.15">
      <c r="A192" s="4" t="s">
        <v>177</v>
      </c>
      <c r="B192" s="4" t="s">
        <v>849</v>
      </c>
      <c r="C192" s="4" t="s">
        <v>699</v>
      </c>
      <c r="D192" s="4" t="s">
        <v>2</v>
      </c>
      <c r="E192" s="4" t="s">
        <v>479</v>
      </c>
      <c r="F192" s="5">
        <v>0.36963000000000001</v>
      </c>
      <c r="G192" s="5">
        <v>0</v>
      </c>
    </row>
    <row r="193" spans="1:7" x14ac:dyDescent="0.15">
      <c r="A193" s="4" t="s">
        <v>179</v>
      </c>
      <c r="B193" s="4" t="s">
        <v>850</v>
      </c>
      <c r="C193" s="4" t="s">
        <v>699</v>
      </c>
      <c r="D193" s="4" t="s">
        <v>2</v>
      </c>
      <c r="E193" s="4" t="s">
        <v>479</v>
      </c>
      <c r="F193" s="5">
        <v>0.18481</v>
      </c>
      <c r="G193" s="5">
        <v>1000</v>
      </c>
    </row>
    <row r="194" spans="1:7" x14ac:dyDescent="0.15">
      <c r="A194" s="4" t="s">
        <v>532</v>
      </c>
      <c r="B194" s="4" t="s">
        <v>851</v>
      </c>
      <c r="C194" s="4" t="s">
        <v>699</v>
      </c>
      <c r="D194" s="4" t="s">
        <v>488</v>
      </c>
      <c r="E194" s="4" t="s">
        <v>479</v>
      </c>
      <c r="F194" s="5">
        <v>0</v>
      </c>
      <c r="G194" s="5">
        <v>0</v>
      </c>
    </row>
    <row r="195" spans="1:7" x14ac:dyDescent="0.15">
      <c r="A195" s="4" t="s">
        <v>178</v>
      </c>
      <c r="B195" s="4" t="s">
        <v>851</v>
      </c>
      <c r="C195" s="4" t="s">
        <v>700</v>
      </c>
      <c r="D195" s="4" t="s">
        <v>2</v>
      </c>
      <c r="E195" s="4" t="s">
        <v>9</v>
      </c>
      <c r="F195" s="5">
        <v>0.36963000000000001</v>
      </c>
      <c r="G195" s="5">
        <v>1000</v>
      </c>
    </row>
    <row r="196" spans="1:7" x14ac:dyDescent="0.15">
      <c r="A196" s="4" t="s">
        <v>180</v>
      </c>
      <c r="B196" s="4" t="s">
        <v>852</v>
      </c>
      <c r="C196" s="4" t="s">
        <v>699</v>
      </c>
      <c r="D196" s="4" t="s">
        <v>2</v>
      </c>
      <c r="E196" s="4" t="s">
        <v>479</v>
      </c>
      <c r="F196" s="5">
        <v>0.44164999999999999</v>
      </c>
      <c r="G196" s="5">
        <v>0</v>
      </c>
    </row>
    <row r="197" spans="1:7" x14ac:dyDescent="0.15">
      <c r="A197" s="4" t="s">
        <v>182</v>
      </c>
      <c r="B197" s="4" t="s">
        <v>853</v>
      </c>
      <c r="C197" s="4" t="s">
        <v>699</v>
      </c>
      <c r="D197" s="4" t="s">
        <v>2</v>
      </c>
      <c r="E197" s="4" t="s">
        <v>479</v>
      </c>
      <c r="F197" s="5">
        <v>0.88329999999999997</v>
      </c>
      <c r="G197" s="5">
        <v>0</v>
      </c>
    </row>
    <row r="198" spans="1:7" x14ac:dyDescent="0.15">
      <c r="A198" s="4" t="s">
        <v>183</v>
      </c>
      <c r="B198" s="4" t="s">
        <v>854</v>
      </c>
      <c r="C198" s="4" t="s">
        <v>699</v>
      </c>
      <c r="D198" s="4" t="s">
        <v>2</v>
      </c>
      <c r="E198" s="4" t="s">
        <v>479</v>
      </c>
      <c r="F198" s="5">
        <v>2.2082600000000001</v>
      </c>
      <c r="G198" s="5">
        <v>0</v>
      </c>
    </row>
    <row r="199" spans="1:7" x14ac:dyDescent="0.15">
      <c r="A199" s="4" t="s">
        <v>184</v>
      </c>
      <c r="B199" s="4" t="s">
        <v>855</v>
      </c>
      <c r="C199" s="4" t="s">
        <v>699</v>
      </c>
      <c r="D199" s="4" t="s">
        <v>2</v>
      </c>
      <c r="E199" s="4" t="s">
        <v>479</v>
      </c>
      <c r="F199" s="5">
        <v>0.22083</v>
      </c>
      <c r="G199" s="5">
        <v>1000</v>
      </c>
    </row>
    <row r="200" spans="1:7" x14ac:dyDescent="0.15">
      <c r="A200" s="4" t="s">
        <v>533</v>
      </c>
      <c r="B200" s="4" t="s">
        <v>856</v>
      </c>
      <c r="C200" s="4" t="s">
        <v>699</v>
      </c>
      <c r="D200" s="4" t="s">
        <v>488</v>
      </c>
      <c r="E200" s="4" t="s">
        <v>479</v>
      </c>
      <c r="F200" s="5">
        <v>0</v>
      </c>
      <c r="G200" s="5">
        <v>0</v>
      </c>
    </row>
    <row r="201" spans="1:7" x14ac:dyDescent="0.15">
      <c r="A201" s="4" t="s">
        <v>181</v>
      </c>
      <c r="B201" s="4" t="s">
        <v>856</v>
      </c>
      <c r="C201" s="4" t="s">
        <v>700</v>
      </c>
      <c r="D201" s="4" t="s">
        <v>2</v>
      </c>
      <c r="E201" s="4" t="s">
        <v>9</v>
      </c>
      <c r="F201" s="5">
        <v>0.44164999999999999</v>
      </c>
      <c r="G201" s="5">
        <v>1000</v>
      </c>
    </row>
    <row r="202" spans="1:7" x14ac:dyDescent="0.15">
      <c r="A202" s="4" t="s">
        <v>185</v>
      </c>
      <c r="B202" s="4" t="s">
        <v>857</v>
      </c>
      <c r="C202" s="4" t="s">
        <v>699</v>
      </c>
      <c r="D202" s="4" t="s">
        <v>2</v>
      </c>
      <c r="E202" s="4" t="s">
        <v>479</v>
      </c>
      <c r="F202" s="5">
        <v>0.5968</v>
      </c>
      <c r="G202" s="5">
        <v>0</v>
      </c>
    </row>
    <row r="203" spans="1:7" x14ac:dyDescent="0.15">
      <c r="A203" s="4" t="s">
        <v>187</v>
      </c>
      <c r="B203" s="4" t="s">
        <v>858</v>
      </c>
      <c r="C203" s="4" t="s">
        <v>699</v>
      </c>
      <c r="D203" s="4" t="s">
        <v>2</v>
      </c>
      <c r="E203" s="4" t="s">
        <v>479</v>
      </c>
      <c r="F203" s="5">
        <v>1.1936</v>
      </c>
      <c r="G203" s="5">
        <v>0</v>
      </c>
    </row>
    <row r="204" spans="1:7" x14ac:dyDescent="0.15">
      <c r="A204" s="4" t="s">
        <v>188</v>
      </c>
      <c r="B204" s="4" t="s">
        <v>859</v>
      </c>
      <c r="C204" s="4" t="s">
        <v>699</v>
      </c>
      <c r="D204" s="4" t="s">
        <v>2</v>
      </c>
      <c r="E204" s="4" t="s">
        <v>479</v>
      </c>
      <c r="F204" s="5">
        <v>3.5808</v>
      </c>
      <c r="G204" s="5">
        <v>0</v>
      </c>
    </row>
    <row r="205" spans="1:7" x14ac:dyDescent="0.15">
      <c r="A205" s="4" t="s">
        <v>534</v>
      </c>
      <c r="B205" s="4" t="s">
        <v>860</v>
      </c>
      <c r="C205" s="4" t="s">
        <v>699</v>
      </c>
      <c r="D205" s="4" t="s">
        <v>488</v>
      </c>
      <c r="E205" s="4" t="s">
        <v>479</v>
      </c>
      <c r="F205" s="5">
        <v>0</v>
      </c>
      <c r="G205" s="5">
        <v>0</v>
      </c>
    </row>
    <row r="206" spans="1:7" x14ac:dyDescent="0.15">
      <c r="A206" s="4" t="s">
        <v>186</v>
      </c>
      <c r="B206" s="4" t="s">
        <v>860</v>
      </c>
      <c r="C206" s="4" t="s">
        <v>700</v>
      </c>
      <c r="D206" s="4" t="s">
        <v>2</v>
      </c>
      <c r="E206" s="4" t="s">
        <v>9</v>
      </c>
      <c r="F206" s="5">
        <v>0.5968</v>
      </c>
      <c r="G206" s="5">
        <v>1000</v>
      </c>
    </row>
    <row r="207" spans="1:7" x14ac:dyDescent="0.15">
      <c r="A207" s="4" t="s">
        <v>189</v>
      </c>
      <c r="B207" s="4" t="s">
        <v>861</v>
      </c>
      <c r="C207" s="4" t="s">
        <v>699</v>
      </c>
      <c r="D207" s="4" t="s">
        <v>2</v>
      </c>
      <c r="E207" s="4" t="s">
        <v>479</v>
      </c>
      <c r="F207" s="5">
        <v>3.0200000000000001E-3</v>
      </c>
      <c r="G207" s="5">
        <v>0</v>
      </c>
    </row>
    <row r="208" spans="1:7" x14ac:dyDescent="0.15">
      <c r="A208" s="4" t="s">
        <v>191</v>
      </c>
      <c r="B208" s="4" t="s">
        <v>862</v>
      </c>
      <c r="C208" s="4" t="s">
        <v>699</v>
      </c>
      <c r="D208" s="4" t="s">
        <v>2</v>
      </c>
      <c r="E208" s="4" t="s">
        <v>479</v>
      </c>
      <c r="F208" s="5">
        <v>6.0400000000000002E-3</v>
      </c>
      <c r="G208" s="5">
        <v>0</v>
      </c>
    </row>
    <row r="209" spans="1:7" x14ac:dyDescent="0.15">
      <c r="A209" s="4" t="s">
        <v>192</v>
      </c>
      <c r="B209" s="4" t="s">
        <v>863</v>
      </c>
      <c r="C209" s="4" t="s">
        <v>699</v>
      </c>
      <c r="D209" s="4" t="s">
        <v>2</v>
      </c>
      <c r="E209" s="4" t="s">
        <v>479</v>
      </c>
      <c r="F209" s="5">
        <v>1.5100000000000001E-3</v>
      </c>
      <c r="G209" s="5">
        <v>1000</v>
      </c>
    </row>
    <row r="210" spans="1:7" x14ac:dyDescent="0.15">
      <c r="A210" s="4" t="s">
        <v>193</v>
      </c>
      <c r="B210" s="4" t="s">
        <v>864</v>
      </c>
      <c r="C210" s="4" t="s">
        <v>699</v>
      </c>
      <c r="D210" s="4" t="s">
        <v>2</v>
      </c>
      <c r="E210" s="4" t="s">
        <v>479</v>
      </c>
      <c r="F210" s="5">
        <v>1.5088599999999999</v>
      </c>
      <c r="G210" s="5">
        <v>0</v>
      </c>
    </row>
    <row r="211" spans="1:7" x14ac:dyDescent="0.15">
      <c r="A211" s="4" t="s">
        <v>535</v>
      </c>
      <c r="B211" s="4" t="s">
        <v>864</v>
      </c>
      <c r="C211" s="4" t="s">
        <v>699</v>
      </c>
      <c r="D211" s="4" t="s">
        <v>2</v>
      </c>
      <c r="E211" s="4" t="s">
        <v>479</v>
      </c>
      <c r="F211" s="5">
        <v>0</v>
      </c>
      <c r="G211" s="5">
        <v>0</v>
      </c>
    </row>
    <row r="212" spans="1:7" x14ac:dyDescent="0.15">
      <c r="A212" s="4" t="s">
        <v>536</v>
      </c>
      <c r="B212" s="4" t="s">
        <v>864</v>
      </c>
      <c r="C212" s="4" t="s">
        <v>699</v>
      </c>
      <c r="D212" s="4" t="s">
        <v>488</v>
      </c>
      <c r="E212" s="4" t="s">
        <v>479</v>
      </c>
      <c r="F212" s="5">
        <v>0</v>
      </c>
      <c r="G212" s="5">
        <v>0</v>
      </c>
    </row>
    <row r="213" spans="1:7" x14ac:dyDescent="0.15">
      <c r="A213" s="4" t="s">
        <v>190</v>
      </c>
      <c r="B213" s="4" t="s">
        <v>864</v>
      </c>
      <c r="C213" s="4" t="s">
        <v>700</v>
      </c>
      <c r="D213" s="4" t="s">
        <v>2</v>
      </c>
      <c r="E213" s="4" t="s">
        <v>9</v>
      </c>
      <c r="F213" s="5">
        <v>3.0200000000000001E-3</v>
      </c>
      <c r="G213" s="5">
        <v>1000</v>
      </c>
    </row>
    <row r="214" spans="1:7" x14ac:dyDescent="0.15">
      <c r="A214" s="4" t="s">
        <v>194</v>
      </c>
      <c r="B214" s="4" t="s">
        <v>865</v>
      </c>
      <c r="C214" s="4" t="s">
        <v>699</v>
      </c>
      <c r="D214" s="4" t="s">
        <v>2</v>
      </c>
      <c r="E214" s="4" t="s">
        <v>479</v>
      </c>
      <c r="F214" s="5">
        <v>2.3859999999999999E-2</v>
      </c>
      <c r="G214" s="5">
        <v>0</v>
      </c>
    </row>
    <row r="215" spans="1:7" x14ac:dyDescent="0.15">
      <c r="A215" s="4" t="s">
        <v>196</v>
      </c>
      <c r="B215" s="4" t="s">
        <v>866</v>
      </c>
      <c r="C215" s="4" t="s">
        <v>699</v>
      </c>
      <c r="D215" s="4" t="s">
        <v>2</v>
      </c>
      <c r="E215" s="4" t="s">
        <v>479</v>
      </c>
      <c r="F215" s="5">
        <v>4.7730000000000002E-2</v>
      </c>
      <c r="G215" s="5">
        <v>0</v>
      </c>
    </row>
    <row r="216" spans="1:7" x14ac:dyDescent="0.15">
      <c r="A216" s="4" t="s">
        <v>197</v>
      </c>
      <c r="B216" s="4" t="s">
        <v>867</v>
      </c>
      <c r="C216" s="4" t="s">
        <v>699</v>
      </c>
      <c r="D216" s="4" t="s">
        <v>2</v>
      </c>
      <c r="E216" s="4" t="s">
        <v>479</v>
      </c>
      <c r="F216" s="5">
        <v>1.193E-2</v>
      </c>
      <c r="G216" s="5">
        <v>1000</v>
      </c>
    </row>
    <row r="217" spans="1:7" x14ac:dyDescent="0.15">
      <c r="A217" s="4" t="s">
        <v>537</v>
      </c>
      <c r="B217" s="4" t="s">
        <v>868</v>
      </c>
      <c r="C217" s="4" t="s">
        <v>699</v>
      </c>
      <c r="D217" s="4" t="s">
        <v>488</v>
      </c>
      <c r="E217" s="4" t="s">
        <v>479</v>
      </c>
      <c r="F217" s="5">
        <v>0</v>
      </c>
      <c r="G217" s="5">
        <v>0</v>
      </c>
    </row>
    <row r="218" spans="1:7" x14ac:dyDescent="0.15">
      <c r="A218" s="4" t="s">
        <v>195</v>
      </c>
      <c r="B218" s="4" t="s">
        <v>868</v>
      </c>
      <c r="C218" s="4" t="s">
        <v>700</v>
      </c>
      <c r="D218" s="4" t="s">
        <v>2</v>
      </c>
      <c r="E218" s="4" t="s">
        <v>9</v>
      </c>
      <c r="F218" s="5">
        <v>2.3859999999999999E-2</v>
      </c>
      <c r="G218" s="5">
        <v>1000</v>
      </c>
    </row>
    <row r="219" spans="1:7" x14ac:dyDescent="0.15">
      <c r="A219" s="4" t="s">
        <v>198</v>
      </c>
      <c r="B219" s="4" t="s">
        <v>869</v>
      </c>
      <c r="C219" s="4" t="s">
        <v>699</v>
      </c>
      <c r="D219" s="4" t="s">
        <v>2</v>
      </c>
      <c r="E219" s="4" t="s">
        <v>479</v>
      </c>
      <c r="F219" s="5">
        <v>3.4290000000000001E-2</v>
      </c>
      <c r="G219" s="5">
        <v>0</v>
      </c>
    </row>
    <row r="220" spans="1:7" x14ac:dyDescent="0.15">
      <c r="A220" s="4" t="s">
        <v>200</v>
      </c>
      <c r="B220" s="4" t="s">
        <v>870</v>
      </c>
      <c r="C220" s="4" t="s">
        <v>699</v>
      </c>
      <c r="D220" s="4" t="s">
        <v>2</v>
      </c>
      <c r="E220" s="4" t="s">
        <v>479</v>
      </c>
      <c r="F220" s="5">
        <v>6.8589999999999998E-2</v>
      </c>
      <c r="G220" s="5">
        <v>0</v>
      </c>
    </row>
    <row r="221" spans="1:7" x14ac:dyDescent="0.15">
      <c r="A221" s="4" t="s">
        <v>201</v>
      </c>
      <c r="B221" s="4" t="s">
        <v>871</v>
      </c>
      <c r="C221" s="4" t="s">
        <v>699</v>
      </c>
      <c r="D221" s="4" t="s">
        <v>2</v>
      </c>
      <c r="E221" s="4" t="s">
        <v>479</v>
      </c>
      <c r="F221" s="5">
        <v>1.7150000000000002E-2</v>
      </c>
      <c r="G221" s="5">
        <v>1000</v>
      </c>
    </row>
    <row r="222" spans="1:7" x14ac:dyDescent="0.15">
      <c r="A222" s="4" t="s">
        <v>538</v>
      </c>
      <c r="B222" s="4" t="s">
        <v>872</v>
      </c>
      <c r="C222" s="4" t="s">
        <v>699</v>
      </c>
      <c r="D222" s="4" t="s">
        <v>488</v>
      </c>
      <c r="E222" s="4" t="s">
        <v>479</v>
      </c>
      <c r="F222" s="5">
        <v>0</v>
      </c>
      <c r="G222" s="5">
        <v>0</v>
      </c>
    </row>
    <row r="223" spans="1:7" x14ac:dyDescent="0.15">
      <c r="A223" s="4" t="s">
        <v>199</v>
      </c>
      <c r="B223" s="4" t="s">
        <v>872</v>
      </c>
      <c r="C223" s="4" t="s">
        <v>700</v>
      </c>
      <c r="D223" s="4" t="s">
        <v>2</v>
      </c>
      <c r="E223" s="4" t="s">
        <v>9</v>
      </c>
      <c r="F223" s="5">
        <v>3.4290000000000001E-2</v>
      </c>
      <c r="G223" s="5">
        <v>1000</v>
      </c>
    </row>
    <row r="224" spans="1:7" x14ac:dyDescent="0.15">
      <c r="A224" s="4" t="s">
        <v>202</v>
      </c>
      <c r="B224" s="4" t="s">
        <v>873</v>
      </c>
      <c r="C224" s="4" t="s">
        <v>699</v>
      </c>
      <c r="D224" s="4" t="s">
        <v>2</v>
      </c>
      <c r="E224" s="4" t="s">
        <v>479</v>
      </c>
      <c r="F224" s="5">
        <v>1.643E-2</v>
      </c>
      <c r="G224" s="5">
        <v>0</v>
      </c>
    </row>
    <row r="225" spans="1:7" x14ac:dyDescent="0.15">
      <c r="A225" s="4" t="s">
        <v>204</v>
      </c>
      <c r="B225" s="4" t="s">
        <v>874</v>
      </c>
      <c r="C225" s="4" t="s">
        <v>699</v>
      </c>
      <c r="D225" s="4" t="s">
        <v>2</v>
      </c>
      <c r="E225" s="4" t="s">
        <v>479</v>
      </c>
      <c r="F225" s="5">
        <v>3.286E-2</v>
      </c>
      <c r="G225" s="5">
        <v>0</v>
      </c>
    </row>
    <row r="226" spans="1:7" x14ac:dyDescent="0.15">
      <c r="A226" s="4" t="s">
        <v>205</v>
      </c>
      <c r="B226" s="4" t="s">
        <v>875</v>
      </c>
      <c r="C226" s="4" t="s">
        <v>699</v>
      </c>
      <c r="D226" s="4" t="s">
        <v>2</v>
      </c>
      <c r="E226" s="4" t="s">
        <v>479</v>
      </c>
      <c r="F226" s="5">
        <v>8.2100000000000003E-3</v>
      </c>
      <c r="G226" s="5">
        <v>1000</v>
      </c>
    </row>
    <row r="227" spans="1:7" x14ac:dyDescent="0.15">
      <c r="A227" s="4" t="s">
        <v>539</v>
      </c>
      <c r="B227" s="4" t="s">
        <v>876</v>
      </c>
      <c r="C227" s="4" t="s">
        <v>699</v>
      </c>
      <c r="D227" s="4" t="s">
        <v>2</v>
      </c>
      <c r="E227" s="4" t="s">
        <v>479</v>
      </c>
      <c r="F227" s="5">
        <v>0</v>
      </c>
      <c r="G227" s="5">
        <v>0</v>
      </c>
    </row>
    <row r="228" spans="1:7" x14ac:dyDescent="0.15">
      <c r="A228" s="4" t="s">
        <v>540</v>
      </c>
      <c r="B228" s="4" t="s">
        <v>876</v>
      </c>
      <c r="C228" s="4" t="s">
        <v>699</v>
      </c>
      <c r="D228" s="4" t="s">
        <v>488</v>
      </c>
      <c r="E228" s="4" t="s">
        <v>479</v>
      </c>
      <c r="F228" s="5">
        <v>0</v>
      </c>
      <c r="G228" s="5">
        <v>0</v>
      </c>
    </row>
    <row r="229" spans="1:7" x14ac:dyDescent="0.15">
      <c r="A229" s="4" t="s">
        <v>206</v>
      </c>
      <c r="B229" s="4" t="s">
        <v>877</v>
      </c>
      <c r="C229" s="4" t="s">
        <v>699</v>
      </c>
      <c r="D229" s="4" t="s">
        <v>2</v>
      </c>
      <c r="E229" s="4" t="s">
        <v>479</v>
      </c>
      <c r="F229" s="5">
        <v>5.0000000000000002E-5</v>
      </c>
      <c r="G229" s="5">
        <v>1000</v>
      </c>
    </row>
    <row r="230" spans="1:7" x14ac:dyDescent="0.15">
      <c r="A230" s="4" t="s">
        <v>207</v>
      </c>
      <c r="B230" s="4" t="s">
        <v>878</v>
      </c>
      <c r="C230" s="4" t="s">
        <v>699</v>
      </c>
      <c r="D230" s="4" t="s">
        <v>2</v>
      </c>
      <c r="E230" s="4" t="s">
        <v>479</v>
      </c>
      <c r="F230" s="5">
        <v>1E-4</v>
      </c>
      <c r="G230" s="5">
        <v>1000</v>
      </c>
    </row>
    <row r="231" spans="1:7" x14ac:dyDescent="0.15">
      <c r="A231" s="4" t="s">
        <v>208</v>
      </c>
      <c r="B231" s="4" t="s">
        <v>879</v>
      </c>
      <c r="C231" s="4" t="s">
        <v>699</v>
      </c>
      <c r="D231" s="4" t="s">
        <v>2</v>
      </c>
      <c r="E231" s="4" t="s">
        <v>479</v>
      </c>
      <c r="F231" s="5">
        <v>1.1999999999999999E-4</v>
      </c>
      <c r="G231" s="5">
        <v>1000</v>
      </c>
    </row>
    <row r="232" spans="1:7" x14ac:dyDescent="0.15">
      <c r="A232" s="4" t="s">
        <v>209</v>
      </c>
      <c r="B232" s="4" t="s">
        <v>880</v>
      </c>
      <c r="C232" s="4" t="s">
        <v>699</v>
      </c>
      <c r="D232" s="4" t="s">
        <v>2</v>
      </c>
      <c r="E232" s="4" t="s">
        <v>479</v>
      </c>
      <c r="F232" s="5">
        <v>1.4000000000000001E-4</v>
      </c>
      <c r="G232" s="5">
        <v>1000</v>
      </c>
    </row>
    <row r="233" spans="1:7" x14ac:dyDescent="0.15">
      <c r="A233" s="4" t="s">
        <v>203</v>
      </c>
      <c r="B233" s="4" t="s">
        <v>876</v>
      </c>
      <c r="C233" s="4" t="s">
        <v>700</v>
      </c>
      <c r="D233" s="4" t="s">
        <v>2</v>
      </c>
      <c r="E233" s="4" t="s">
        <v>9</v>
      </c>
      <c r="F233" s="5">
        <v>1.643E-2</v>
      </c>
      <c r="G233" s="5">
        <v>1000</v>
      </c>
    </row>
    <row r="234" spans="1:7" x14ac:dyDescent="0.15">
      <c r="A234" s="4" t="s">
        <v>210</v>
      </c>
      <c r="B234" s="4" t="s">
        <v>881</v>
      </c>
      <c r="C234" s="4" t="s">
        <v>699</v>
      </c>
      <c r="D234" s="4" t="s">
        <v>2</v>
      </c>
      <c r="E234" s="4" t="s">
        <v>479</v>
      </c>
      <c r="F234" s="5">
        <v>1.7160000000000002E-2</v>
      </c>
      <c r="G234" s="5">
        <v>0</v>
      </c>
    </row>
    <row r="235" spans="1:7" x14ac:dyDescent="0.15">
      <c r="A235" s="4" t="s">
        <v>212</v>
      </c>
      <c r="B235" s="4" t="s">
        <v>882</v>
      </c>
      <c r="C235" s="4" t="s">
        <v>699</v>
      </c>
      <c r="D235" s="4" t="s">
        <v>2</v>
      </c>
      <c r="E235" s="4" t="s">
        <v>479</v>
      </c>
      <c r="F235" s="5">
        <v>3.431E-2</v>
      </c>
      <c r="G235" s="5">
        <v>0</v>
      </c>
    </row>
    <row r="236" spans="1:7" x14ac:dyDescent="0.15">
      <c r="A236" s="4" t="s">
        <v>213</v>
      </c>
      <c r="B236" s="4" t="s">
        <v>883</v>
      </c>
      <c r="C236" s="4" t="s">
        <v>699</v>
      </c>
      <c r="D236" s="4" t="s">
        <v>2</v>
      </c>
      <c r="E236" s="4" t="s">
        <v>479</v>
      </c>
      <c r="F236" s="5">
        <v>8.5799999999999991E-3</v>
      </c>
      <c r="G236" s="5">
        <v>1000</v>
      </c>
    </row>
    <row r="237" spans="1:7" x14ac:dyDescent="0.15">
      <c r="A237" s="4" t="s">
        <v>541</v>
      </c>
      <c r="B237" s="4" t="s">
        <v>884</v>
      </c>
      <c r="C237" s="4" t="s">
        <v>699</v>
      </c>
      <c r="D237" s="4" t="s">
        <v>488</v>
      </c>
      <c r="E237" s="4" t="s">
        <v>479</v>
      </c>
      <c r="F237" s="5">
        <v>0</v>
      </c>
      <c r="G237" s="5">
        <v>0</v>
      </c>
    </row>
    <row r="238" spans="1:7" x14ac:dyDescent="0.15">
      <c r="A238" s="4" t="s">
        <v>211</v>
      </c>
      <c r="B238" s="4" t="s">
        <v>884</v>
      </c>
      <c r="C238" s="4" t="s">
        <v>700</v>
      </c>
      <c r="D238" s="4" t="s">
        <v>2</v>
      </c>
      <c r="E238" s="4" t="s">
        <v>9</v>
      </c>
      <c r="F238" s="5">
        <v>1.7160000000000002E-2</v>
      </c>
      <c r="G238" s="5">
        <v>1000</v>
      </c>
    </row>
    <row r="239" spans="1:7" x14ac:dyDescent="0.15">
      <c r="A239" s="4" t="s">
        <v>214</v>
      </c>
      <c r="B239" s="4" t="s">
        <v>885</v>
      </c>
      <c r="C239" s="4" t="s">
        <v>699</v>
      </c>
      <c r="D239" s="4" t="s">
        <v>2</v>
      </c>
      <c r="E239" s="4" t="s">
        <v>479</v>
      </c>
      <c r="F239" s="5">
        <v>9.5099999999999994E-3</v>
      </c>
      <c r="G239" s="5">
        <v>0</v>
      </c>
    </row>
    <row r="240" spans="1:7" x14ac:dyDescent="0.15">
      <c r="A240" s="4" t="s">
        <v>216</v>
      </c>
      <c r="B240" s="4" t="s">
        <v>886</v>
      </c>
      <c r="C240" s="4" t="s">
        <v>699</v>
      </c>
      <c r="D240" s="4" t="s">
        <v>2</v>
      </c>
      <c r="E240" s="4" t="s">
        <v>479</v>
      </c>
      <c r="F240" s="5">
        <v>1.9029999999999998E-2</v>
      </c>
      <c r="G240" s="5">
        <v>0</v>
      </c>
    </row>
    <row r="241" spans="1:7" x14ac:dyDescent="0.15">
      <c r="A241" s="4" t="s">
        <v>217</v>
      </c>
      <c r="B241" s="4" t="s">
        <v>887</v>
      </c>
      <c r="C241" s="4" t="s">
        <v>699</v>
      </c>
      <c r="D241" s="4" t="s">
        <v>2</v>
      </c>
      <c r="E241" s="4" t="s">
        <v>479</v>
      </c>
      <c r="F241" s="5">
        <v>4.7599999999999995E-3</v>
      </c>
      <c r="G241" s="5">
        <v>1000</v>
      </c>
    </row>
    <row r="242" spans="1:7" x14ac:dyDescent="0.15">
      <c r="A242" s="4" t="s">
        <v>218</v>
      </c>
      <c r="B242" s="4" t="s">
        <v>888</v>
      </c>
      <c r="C242" s="4" t="s">
        <v>699</v>
      </c>
      <c r="D242" s="4" t="s">
        <v>2</v>
      </c>
      <c r="E242" s="4" t="s">
        <v>479</v>
      </c>
      <c r="F242" s="5">
        <v>2.3780000000000003E-2</v>
      </c>
      <c r="G242" s="5">
        <v>0</v>
      </c>
    </row>
    <row r="243" spans="1:7" x14ac:dyDescent="0.15">
      <c r="A243" s="4" t="s">
        <v>542</v>
      </c>
      <c r="B243" s="4" t="s">
        <v>889</v>
      </c>
      <c r="C243" s="4" t="s">
        <v>699</v>
      </c>
      <c r="D243" s="4" t="s">
        <v>488</v>
      </c>
      <c r="E243" s="4" t="s">
        <v>479</v>
      </c>
      <c r="F243" s="5">
        <v>0</v>
      </c>
      <c r="G243" s="5">
        <v>0</v>
      </c>
    </row>
    <row r="244" spans="1:7" x14ac:dyDescent="0.15">
      <c r="A244" s="4" t="s">
        <v>219</v>
      </c>
      <c r="B244" s="4" t="s">
        <v>890</v>
      </c>
      <c r="C244" s="4" t="s">
        <v>699</v>
      </c>
      <c r="D244" s="4" t="s">
        <v>2</v>
      </c>
      <c r="E244" s="4" t="s">
        <v>479</v>
      </c>
      <c r="F244" s="5">
        <v>1.0499999999999999E-3</v>
      </c>
      <c r="G244" s="5">
        <v>1000</v>
      </c>
    </row>
    <row r="245" spans="1:7" x14ac:dyDescent="0.15">
      <c r="A245" s="4" t="s">
        <v>220</v>
      </c>
      <c r="B245" s="4" t="s">
        <v>891</v>
      </c>
      <c r="C245" s="4" t="s">
        <v>699</v>
      </c>
      <c r="D245" s="4" t="s">
        <v>2</v>
      </c>
      <c r="E245" s="4" t="s">
        <v>479</v>
      </c>
      <c r="F245" s="5">
        <v>9.3000000000000005E-4</v>
      </c>
      <c r="G245" s="5">
        <v>1000</v>
      </c>
    </row>
    <row r="246" spans="1:7" x14ac:dyDescent="0.15">
      <c r="A246" s="4" t="s">
        <v>221</v>
      </c>
      <c r="B246" s="4" t="s">
        <v>892</v>
      </c>
      <c r="C246" s="4" t="s">
        <v>699</v>
      </c>
      <c r="D246" s="4" t="s">
        <v>2</v>
      </c>
      <c r="E246" s="4" t="s">
        <v>479</v>
      </c>
      <c r="F246" s="5">
        <v>9.3999999999999986E-4</v>
      </c>
      <c r="G246" s="5">
        <v>1000</v>
      </c>
    </row>
    <row r="247" spans="1:7" x14ac:dyDescent="0.15">
      <c r="A247" s="4" t="s">
        <v>215</v>
      </c>
      <c r="B247" s="4" t="s">
        <v>889</v>
      </c>
      <c r="C247" s="4" t="s">
        <v>700</v>
      </c>
      <c r="D247" s="4" t="s">
        <v>2</v>
      </c>
      <c r="E247" s="4" t="s">
        <v>9</v>
      </c>
      <c r="F247" s="5">
        <v>9.5099999999999994E-3</v>
      </c>
      <c r="G247" s="5">
        <v>1000</v>
      </c>
    </row>
    <row r="248" spans="1:7" x14ac:dyDescent="0.15">
      <c r="A248" s="4" t="s">
        <v>222</v>
      </c>
      <c r="B248" s="4" t="s">
        <v>893</v>
      </c>
      <c r="C248" s="4" t="s">
        <v>699</v>
      </c>
      <c r="D248" s="4" t="s">
        <v>2</v>
      </c>
      <c r="E248" s="4" t="s">
        <v>479</v>
      </c>
      <c r="F248" s="5">
        <v>1.2070000000000001E-2</v>
      </c>
      <c r="G248" s="5">
        <v>0</v>
      </c>
    </row>
    <row r="249" spans="1:7" x14ac:dyDescent="0.15">
      <c r="A249" s="4" t="s">
        <v>224</v>
      </c>
      <c r="B249" s="4" t="s">
        <v>894</v>
      </c>
      <c r="C249" s="4" t="s">
        <v>699</v>
      </c>
      <c r="D249" s="4" t="s">
        <v>2</v>
      </c>
      <c r="E249" s="4" t="s">
        <v>479</v>
      </c>
      <c r="F249" s="5">
        <v>2.4140000000000002E-2</v>
      </c>
      <c r="G249" s="5">
        <v>0</v>
      </c>
    </row>
    <row r="250" spans="1:7" x14ac:dyDescent="0.15">
      <c r="A250" s="4" t="s">
        <v>225</v>
      </c>
      <c r="B250" s="4" t="s">
        <v>895</v>
      </c>
      <c r="C250" s="4" t="s">
        <v>699</v>
      </c>
      <c r="D250" s="4" t="s">
        <v>2</v>
      </c>
      <c r="E250" s="4" t="s">
        <v>479</v>
      </c>
      <c r="F250" s="5">
        <v>6.0400000000000002E-3</v>
      </c>
      <c r="G250" s="5">
        <v>1000</v>
      </c>
    </row>
    <row r="251" spans="1:7" x14ac:dyDescent="0.15">
      <c r="A251" s="4" t="s">
        <v>543</v>
      </c>
      <c r="B251" s="4" t="s">
        <v>896</v>
      </c>
      <c r="C251" s="4" t="s">
        <v>699</v>
      </c>
      <c r="D251" s="4" t="s">
        <v>488</v>
      </c>
      <c r="E251" s="4" t="s">
        <v>479</v>
      </c>
      <c r="F251" s="5">
        <v>0</v>
      </c>
      <c r="G251" s="5">
        <v>0</v>
      </c>
    </row>
    <row r="252" spans="1:7" x14ac:dyDescent="0.15">
      <c r="A252" s="4" t="s">
        <v>223</v>
      </c>
      <c r="B252" s="4" t="s">
        <v>896</v>
      </c>
      <c r="C252" s="4" t="s">
        <v>700</v>
      </c>
      <c r="D252" s="4" t="s">
        <v>2</v>
      </c>
      <c r="E252" s="4" t="s">
        <v>9</v>
      </c>
      <c r="F252" s="5">
        <v>1.2070000000000001E-2</v>
      </c>
      <c r="G252" s="5">
        <v>1000</v>
      </c>
    </row>
    <row r="253" spans="1:7" x14ac:dyDescent="0.15">
      <c r="A253" s="4" t="s">
        <v>226</v>
      </c>
      <c r="B253" s="4" t="s">
        <v>897</v>
      </c>
      <c r="C253" s="4" t="s">
        <v>699</v>
      </c>
      <c r="D253" s="4" t="s">
        <v>2</v>
      </c>
      <c r="E253" s="4" t="s">
        <v>479</v>
      </c>
      <c r="F253" s="5">
        <v>2.0709999999999999E-2</v>
      </c>
      <c r="G253" s="5">
        <v>0</v>
      </c>
    </row>
    <row r="254" spans="1:7" x14ac:dyDescent="0.15">
      <c r="A254" s="4" t="s">
        <v>228</v>
      </c>
      <c r="B254" s="4" t="s">
        <v>898</v>
      </c>
      <c r="C254" s="4" t="s">
        <v>699</v>
      </c>
      <c r="D254" s="4" t="s">
        <v>2</v>
      </c>
      <c r="E254" s="4" t="s">
        <v>479</v>
      </c>
      <c r="F254" s="5">
        <v>4.1419999999999998E-2</v>
      </c>
      <c r="G254" s="5">
        <v>0</v>
      </c>
    </row>
    <row r="255" spans="1:7" x14ac:dyDescent="0.15">
      <c r="A255" s="4" t="s">
        <v>229</v>
      </c>
      <c r="B255" s="4" t="s">
        <v>899</v>
      </c>
      <c r="C255" s="4" t="s">
        <v>699</v>
      </c>
      <c r="D255" s="4" t="s">
        <v>2</v>
      </c>
      <c r="E255" s="4" t="s">
        <v>479</v>
      </c>
      <c r="F255" s="5">
        <v>1.0359999999999999E-2</v>
      </c>
      <c r="G255" s="5">
        <v>1000</v>
      </c>
    </row>
    <row r="256" spans="1:7" x14ac:dyDescent="0.15">
      <c r="A256" s="4" t="s">
        <v>544</v>
      </c>
      <c r="B256" s="4" t="s">
        <v>900</v>
      </c>
      <c r="C256" s="4" t="s">
        <v>699</v>
      </c>
      <c r="D256" s="4" t="s">
        <v>488</v>
      </c>
      <c r="E256" s="4" t="s">
        <v>479</v>
      </c>
      <c r="F256" s="5">
        <v>0</v>
      </c>
      <c r="G256" s="5">
        <v>0</v>
      </c>
    </row>
    <row r="257" spans="1:7" x14ac:dyDescent="0.15">
      <c r="A257" s="4" t="s">
        <v>230</v>
      </c>
      <c r="B257" s="4" t="s">
        <v>901</v>
      </c>
      <c r="C257" s="4" t="s">
        <v>699</v>
      </c>
      <c r="D257" s="4" t="s">
        <v>2</v>
      </c>
      <c r="E257" s="4" t="s">
        <v>479</v>
      </c>
      <c r="F257" s="5">
        <v>1.6900000000000001E-3</v>
      </c>
      <c r="G257" s="5">
        <v>1000</v>
      </c>
    </row>
    <row r="258" spans="1:7" x14ac:dyDescent="0.15">
      <c r="A258" s="4" t="s">
        <v>231</v>
      </c>
      <c r="B258" s="4" t="s">
        <v>902</v>
      </c>
      <c r="C258" s="4" t="s">
        <v>699</v>
      </c>
      <c r="D258" s="4" t="s">
        <v>2</v>
      </c>
      <c r="E258" s="4" t="s">
        <v>479</v>
      </c>
      <c r="F258" s="5">
        <v>2.1700000000000001E-3</v>
      </c>
      <c r="G258" s="5">
        <v>1000</v>
      </c>
    </row>
    <row r="259" spans="1:7" x14ac:dyDescent="0.15">
      <c r="A259" s="4" t="s">
        <v>232</v>
      </c>
      <c r="B259" s="4" t="s">
        <v>903</v>
      </c>
      <c r="C259" s="4" t="s">
        <v>699</v>
      </c>
      <c r="D259" s="4" t="s">
        <v>2</v>
      </c>
      <c r="E259" s="4" t="s">
        <v>479</v>
      </c>
      <c r="F259" s="5">
        <v>5.3200000000000001E-3</v>
      </c>
      <c r="G259" s="5">
        <v>1000</v>
      </c>
    </row>
    <row r="260" spans="1:7" x14ac:dyDescent="0.15">
      <c r="A260" s="4" t="s">
        <v>233</v>
      </c>
      <c r="B260" s="4" t="s">
        <v>904</v>
      </c>
      <c r="C260" s="4" t="s">
        <v>699</v>
      </c>
      <c r="D260" s="4" t="s">
        <v>2</v>
      </c>
      <c r="E260" s="4" t="s">
        <v>479</v>
      </c>
      <c r="F260" s="5">
        <v>5.4100000000000007E-3</v>
      </c>
      <c r="G260" s="5">
        <v>1000</v>
      </c>
    </row>
    <row r="261" spans="1:7" x14ac:dyDescent="0.15">
      <c r="A261" s="4" t="s">
        <v>227</v>
      </c>
      <c r="B261" s="4" t="s">
        <v>900</v>
      </c>
      <c r="C261" s="4" t="s">
        <v>700</v>
      </c>
      <c r="D261" s="4" t="s">
        <v>2</v>
      </c>
      <c r="E261" s="4" t="s">
        <v>9</v>
      </c>
      <c r="F261" s="5">
        <v>2.0709999999999999E-2</v>
      </c>
      <c r="G261" s="5">
        <v>1000</v>
      </c>
    </row>
    <row r="262" spans="1:7" x14ac:dyDescent="0.15">
      <c r="A262" s="4" t="s">
        <v>545</v>
      </c>
      <c r="B262" s="4" t="s">
        <v>905</v>
      </c>
      <c r="C262" s="4" t="s">
        <v>699</v>
      </c>
      <c r="D262" s="4" t="s">
        <v>488</v>
      </c>
      <c r="E262" s="4" t="s">
        <v>479</v>
      </c>
      <c r="F262" s="5">
        <v>0</v>
      </c>
      <c r="G262" s="5">
        <v>0</v>
      </c>
    </row>
    <row r="263" spans="1:7" x14ac:dyDescent="0.15">
      <c r="A263" s="4" t="s">
        <v>234</v>
      </c>
      <c r="B263" s="4" t="s">
        <v>906</v>
      </c>
      <c r="C263" s="4" t="s">
        <v>699</v>
      </c>
      <c r="D263" s="4" t="s">
        <v>2</v>
      </c>
      <c r="E263" s="4" t="s">
        <v>479</v>
      </c>
      <c r="F263" s="5">
        <v>0</v>
      </c>
      <c r="G263" s="5">
        <v>1000</v>
      </c>
    </row>
    <row r="264" spans="1:7" x14ac:dyDescent="0.15">
      <c r="A264" s="4" t="s">
        <v>235</v>
      </c>
      <c r="B264" s="4" t="s">
        <v>905</v>
      </c>
      <c r="C264" s="4" t="s">
        <v>700</v>
      </c>
      <c r="D264" s="4" t="s">
        <v>2</v>
      </c>
      <c r="E264" s="4" t="s">
        <v>9</v>
      </c>
      <c r="F264" s="5">
        <v>0</v>
      </c>
      <c r="G264" s="5">
        <v>1000</v>
      </c>
    </row>
    <row r="265" spans="1:7" x14ac:dyDescent="0.15">
      <c r="A265" s="4" t="s">
        <v>236</v>
      </c>
      <c r="B265" s="4" t="s">
        <v>907</v>
      </c>
      <c r="C265" s="4" t="s">
        <v>699</v>
      </c>
      <c r="D265" s="4" t="s">
        <v>2</v>
      </c>
      <c r="E265" s="4" t="s">
        <v>479</v>
      </c>
      <c r="F265" s="5">
        <v>2.716E-2</v>
      </c>
      <c r="G265" s="5">
        <v>0</v>
      </c>
    </row>
    <row r="266" spans="1:7" x14ac:dyDescent="0.15">
      <c r="A266" s="4" t="s">
        <v>238</v>
      </c>
      <c r="B266" s="4" t="s">
        <v>908</v>
      </c>
      <c r="C266" s="4" t="s">
        <v>699</v>
      </c>
      <c r="D266" s="4" t="s">
        <v>2</v>
      </c>
      <c r="E266" s="4" t="s">
        <v>479</v>
      </c>
      <c r="F266" s="5">
        <v>5.432E-2</v>
      </c>
      <c r="G266" s="5">
        <v>0</v>
      </c>
    </row>
    <row r="267" spans="1:7" x14ac:dyDescent="0.15">
      <c r="A267" s="4" t="s">
        <v>239</v>
      </c>
      <c r="B267" s="4" t="s">
        <v>909</v>
      </c>
      <c r="C267" s="4" t="s">
        <v>699</v>
      </c>
      <c r="D267" s="4" t="s">
        <v>2</v>
      </c>
      <c r="E267" s="4" t="s">
        <v>479</v>
      </c>
      <c r="F267" s="5">
        <v>1.358E-2</v>
      </c>
      <c r="G267" s="5">
        <v>1000</v>
      </c>
    </row>
    <row r="268" spans="1:7" x14ac:dyDescent="0.15">
      <c r="A268" s="4" t="s">
        <v>546</v>
      </c>
      <c r="B268" s="4" t="s">
        <v>910</v>
      </c>
      <c r="C268" s="4" t="s">
        <v>699</v>
      </c>
      <c r="D268" s="4" t="s">
        <v>488</v>
      </c>
      <c r="E268" s="4" t="s">
        <v>479</v>
      </c>
      <c r="F268" s="5">
        <v>0</v>
      </c>
      <c r="G268" s="5">
        <v>0</v>
      </c>
    </row>
    <row r="269" spans="1:7" x14ac:dyDescent="0.15">
      <c r="A269" s="4" t="s">
        <v>237</v>
      </c>
      <c r="B269" s="4" t="s">
        <v>910</v>
      </c>
      <c r="C269" s="4" t="s">
        <v>700</v>
      </c>
      <c r="D269" s="4" t="s">
        <v>2</v>
      </c>
      <c r="E269" s="4" t="s">
        <v>9</v>
      </c>
      <c r="F269" s="5">
        <v>2.716E-2</v>
      </c>
      <c r="G269" s="5">
        <v>1000</v>
      </c>
    </row>
    <row r="270" spans="1:7" x14ac:dyDescent="0.15">
      <c r="A270" s="4" t="s">
        <v>240</v>
      </c>
      <c r="B270" s="4" t="s">
        <v>911</v>
      </c>
      <c r="C270" s="4" t="s">
        <v>699</v>
      </c>
      <c r="D270" s="4" t="s">
        <v>2</v>
      </c>
      <c r="E270" s="4" t="s">
        <v>479</v>
      </c>
      <c r="F270" s="5">
        <v>5.1299999999999998E-2</v>
      </c>
      <c r="G270" s="5">
        <v>0</v>
      </c>
    </row>
    <row r="271" spans="1:7" x14ac:dyDescent="0.15">
      <c r="A271" s="4" t="s">
        <v>242</v>
      </c>
      <c r="B271" s="4" t="s">
        <v>912</v>
      </c>
      <c r="C271" s="4" t="s">
        <v>699</v>
      </c>
      <c r="D271" s="4" t="s">
        <v>2</v>
      </c>
      <c r="E271" s="4" t="s">
        <v>479</v>
      </c>
      <c r="F271" s="5">
        <v>0.1026</v>
      </c>
      <c r="G271" s="5">
        <v>0</v>
      </c>
    </row>
    <row r="272" spans="1:7" x14ac:dyDescent="0.15">
      <c r="A272" s="4" t="s">
        <v>243</v>
      </c>
      <c r="B272" s="4" t="s">
        <v>913</v>
      </c>
      <c r="C272" s="4" t="s">
        <v>699</v>
      </c>
      <c r="D272" s="4" t="s">
        <v>2</v>
      </c>
      <c r="E272" s="4" t="s">
        <v>479</v>
      </c>
      <c r="F272" s="5">
        <v>2.5649999999999999E-2</v>
      </c>
      <c r="G272" s="5">
        <v>1000</v>
      </c>
    </row>
    <row r="273" spans="1:7" x14ac:dyDescent="0.15">
      <c r="A273" s="4" t="s">
        <v>547</v>
      </c>
      <c r="B273" s="4" t="s">
        <v>914</v>
      </c>
      <c r="C273" s="4" t="s">
        <v>699</v>
      </c>
      <c r="D273" s="4" t="s">
        <v>488</v>
      </c>
      <c r="E273" s="4" t="s">
        <v>479</v>
      </c>
      <c r="F273" s="5">
        <v>0</v>
      </c>
      <c r="G273" s="5">
        <v>0</v>
      </c>
    </row>
    <row r="274" spans="1:7" x14ac:dyDescent="0.15">
      <c r="A274" s="4" t="s">
        <v>241</v>
      </c>
      <c r="B274" s="4" t="s">
        <v>914</v>
      </c>
      <c r="C274" s="4" t="s">
        <v>700</v>
      </c>
      <c r="D274" s="4" t="s">
        <v>2</v>
      </c>
      <c r="E274" s="4" t="s">
        <v>9</v>
      </c>
      <c r="F274" s="5">
        <v>5.1299999999999998E-2</v>
      </c>
      <c r="G274" s="5">
        <v>1000</v>
      </c>
    </row>
    <row r="275" spans="1:7" x14ac:dyDescent="0.15">
      <c r="A275" s="4" t="s">
        <v>244</v>
      </c>
      <c r="B275" s="4" t="s">
        <v>915</v>
      </c>
      <c r="C275" s="4" t="s">
        <v>699</v>
      </c>
      <c r="D275" s="4" t="s">
        <v>2</v>
      </c>
      <c r="E275" s="4" t="s">
        <v>479</v>
      </c>
      <c r="F275" s="5">
        <v>8.091000000000001E-2</v>
      </c>
      <c r="G275" s="5">
        <v>0</v>
      </c>
    </row>
    <row r="276" spans="1:7" x14ac:dyDescent="0.15">
      <c r="A276" s="4" t="s">
        <v>246</v>
      </c>
      <c r="B276" s="4" t="s">
        <v>916</v>
      </c>
      <c r="C276" s="4" t="s">
        <v>699</v>
      </c>
      <c r="D276" s="4" t="s">
        <v>2</v>
      </c>
      <c r="E276" s="4" t="s">
        <v>479</v>
      </c>
      <c r="F276" s="5">
        <v>0.16183</v>
      </c>
      <c r="G276" s="5">
        <v>0</v>
      </c>
    </row>
    <row r="277" spans="1:7" x14ac:dyDescent="0.15">
      <c r="A277" s="4" t="s">
        <v>247</v>
      </c>
      <c r="B277" s="4" t="s">
        <v>917</v>
      </c>
      <c r="C277" s="4" t="s">
        <v>699</v>
      </c>
      <c r="D277" s="4" t="s">
        <v>2</v>
      </c>
      <c r="E277" s="4" t="s">
        <v>479</v>
      </c>
      <c r="F277" s="5">
        <v>4.0460000000000003E-2</v>
      </c>
      <c r="G277" s="5">
        <v>1000</v>
      </c>
    </row>
    <row r="278" spans="1:7" x14ac:dyDescent="0.15">
      <c r="A278" s="4" t="s">
        <v>548</v>
      </c>
      <c r="B278" s="4" t="s">
        <v>918</v>
      </c>
      <c r="C278" s="4" t="s">
        <v>699</v>
      </c>
      <c r="D278" s="4" t="s">
        <v>488</v>
      </c>
      <c r="E278" s="4" t="s">
        <v>479</v>
      </c>
      <c r="F278" s="5">
        <v>0</v>
      </c>
      <c r="G278" s="5">
        <v>0</v>
      </c>
    </row>
    <row r="279" spans="1:7" x14ac:dyDescent="0.15">
      <c r="A279" s="4" t="s">
        <v>245</v>
      </c>
      <c r="B279" s="4" t="s">
        <v>918</v>
      </c>
      <c r="C279" s="4" t="s">
        <v>700</v>
      </c>
      <c r="D279" s="4" t="s">
        <v>2</v>
      </c>
      <c r="E279" s="4" t="s">
        <v>9</v>
      </c>
      <c r="F279" s="5">
        <v>8.091000000000001E-2</v>
      </c>
      <c r="G279" s="5">
        <v>1000</v>
      </c>
    </row>
    <row r="280" spans="1:7" x14ac:dyDescent="0.15">
      <c r="A280" s="4" t="s">
        <v>248</v>
      </c>
      <c r="B280" s="4" t="s">
        <v>919</v>
      </c>
      <c r="C280" s="4" t="s">
        <v>699</v>
      </c>
      <c r="D280" s="4" t="s">
        <v>2</v>
      </c>
      <c r="E280" s="4" t="s">
        <v>479</v>
      </c>
      <c r="F280" s="5">
        <v>0.12447999999999999</v>
      </c>
      <c r="G280" s="5">
        <v>0</v>
      </c>
    </row>
    <row r="281" spans="1:7" x14ac:dyDescent="0.15">
      <c r="A281" s="4" t="s">
        <v>250</v>
      </c>
      <c r="B281" s="4" t="s">
        <v>920</v>
      </c>
      <c r="C281" s="4" t="s">
        <v>699</v>
      </c>
      <c r="D281" s="4" t="s">
        <v>2</v>
      </c>
      <c r="E281" s="4" t="s">
        <v>479</v>
      </c>
      <c r="F281" s="5">
        <v>0.24895999999999999</v>
      </c>
      <c r="G281" s="5">
        <v>0</v>
      </c>
    </row>
    <row r="282" spans="1:7" x14ac:dyDescent="0.15">
      <c r="A282" s="4" t="s">
        <v>251</v>
      </c>
      <c r="B282" s="4" t="s">
        <v>921</v>
      </c>
      <c r="C282" s="4" t="s">
        <v>699</v>
      </c>
      <c r="D282" s="4" t="s">
        <v>2</v>
      </c>
      <c r="E282" s="4" t="s">
        <v>479</v>
      </c>
      <c r="F282" s="5">
        <v>6.2239999999999997E-2</v>
      </c>
      <c r="G282" s="5">
        <v>1000</v>
      </c>
    </row>
    <row r="283" spans="1:7" x14ac:dyDescent="0.15">
      <c r="A283" s="4" t="s">
        <v>549</v>
      </c>
      <c r="B283" s="4" t="s">
        <v>922</v>
      </c>
      <c r="C283" s="4" t="s">
        <v>699</v>
      </c>
      <c r="D283" s="4" t="s">
        <v>488</v>
      </c>
      <c r="E283" s="4" t="s">
        <v>479</v>
      </c>
      <c r="F283" s="5">
        <v>0</v>
      </c>
      <c r="G283" s="5">
        <v>0</v>
      </c>
    </row>
    <row r="284" spans="1:7" x14ac:dyDescent="0.15">
      <c r="A284" s="4" t="s">
        <v>249</v>
      </c>
      <c r="B284" s="4" t="s">
        <v>922</v>
      </c>
      <c r="C284" s="4" t="s">
        <v>700</v>
      </c>
      <c r="D284" s="4" t="s">
        <v>2</v>
      </c>
      <c r="E284" s="4" t="s">
        <v>9</v>
      </c>
      <c r="F284" s="5">
        <v>0.12447999999999999</v>
      </c>
      <c r="G284" s="5">
        <v>1000</v>
      </c>
    </row>
    <row r="285" spans="1:7" x14ac:dyDescent="0.15">
      <c r="A285" s="4" t="s">
        <v>252</v>
      </c>
      <c r="B285" s="4" t="s">
        <v>923</v>
      </c>
      <c r="C285" s="4" t="s">
        <v>699</v>
      </c>
      <c r="D285" s="4" t="s">
        <v>2</v>
      </c>
      <c r="E285" s="4" t="s">
        <v>479</v>
      </c>
      <c r="F285" s="5">
        <v>0.16428000000000001</v>
      </c>
      <c r="G285" s="5">
        <v>0</v>
      </c>
    </row>
    <row r="286" spans="1:7" x14ac:dyDescent="0.15">
      <c r="A286" s="4" t="s">
        <v>254</v>
      </c>
      <c r="B286" s="4" t="s">
        <v>924</v>
      </c>
      <c r="C286" s="4" t="s">
        <v>699</v>
      </c>
      <c r="D286" s="4" t="s">
        <v>2</v>
      </c>
      <c r="E286" s="4" t="s">
        <v>479</v>
      </c>
      <c r="F286" s="5">
        <v>0.32856000000000002</v>
      </c>
      <c r="G286" s="5">
        <v>0</v>
      </c>
    </row>
    <row r="287" spans="1:7" x14ac:dyDescent="0.15">
      <c r="A287" s="4" t="s">
        <v>255</v>
      </c>
      <c r="B287" s="4" t="s">
        <v>925</v>
      </c>
      <c r="C287" s="4" t="s">
        <v>699</v>
      </c>
      <c r="D287" s="4" t="s">
        <v>2</v>
      </c>
      <c r="E287" s="4" t="s">
        <v>479</v>
      </c>
      <c r="F287" s="5">
        <v>8.2140000000000005E-2</v>
      </c>
      <c r="G287" s="5">
        <v>1000</v>
      </c>
    </row>
    <row r="288" spans="1:7" x14ac:dyDescent="0.15">
      <c r="A288" s="4" t="s">
        <v>550</v>
      </c>
      <c r="B288" s="4" t="s">
        <v>926</v>
      </c>
      <c r="C288" s="4" t="s">
        <v>699</v>
      </c>
      <c r="D288" s="4" t="s">
        <v>488</v>
      </c>
      <c r="E288" s="4" t="s">
        <v>479</v>
      </c>
      <c r="F288" s="5">
        <v>0</v>
      </c>
      <c r="G288" s="5">
        <v>0</v>
      </c>
    </row>
    <row r="289" spans="1:7" x14ac:dyDescent="0.15">
      <c r="A289" s="4" t="s">
        <v>253</v>
      </c>
      <c r="B289" s="4" t="s">
        <v>926</v>
      </c>
      <c r="C289" s="4" t="s">
        <v>700</v>
      </c>
      <c r="D289" s="4" t="s">
        <v>2</v>
      </c>
      <c r="E289" s="4" t="s">
        <v>9</v>
      </c>
      <c r="F289" s="5">
        <v>0.16428000000000001</v>
      </c>
      <c r="G289" s="5">
        <v>1000</v>
      </c>
    </row>
    <row r="290" spans="1:7" x14ac:dyDescent="0.15">
      <c r="A290" s="4" t="s">
        <v>256</v>
      </c>
      <c r="B290" s="4" t="s">
        <v>927</v>
      </c>
      <c r="C290" s="4" t="s">
        <v>699</v>
      </c>
      <c r="D290" s="4" t="s">
        <v>2</v>
      </c>
      <c r="E290" s="4" t="s">
        <v>479</v>
      </c>
      <c r="F290" s="5">
        <v>0.20296</v>
      </c>
      <c r="G290" s="5">
        <v>0</v>
      </c>
    </row>
    <row r="291" spans="1:7" x14ac:dyDescent="0.15">
      <c r="A291" s="4" t="s">
        <v>258</v>
      </c>
      <c r="B291" s="4" t="s">
        <v>928</v>
      </c>
      <c r="C291" s="4" t="s">
        <v>699</v>
      </c>
      <c r="D291" s="4" t="s">
        <v>2</v>
      </c>
      <c r="E291" s="4" t="s">
        <v>479</v>
      </c>
      <c r="F291" s="5">
        <v>0.40592</v>
      </c>
      <c r="G291" s="5">
        <v>0</v>
      </c>
    </row>
    <row r="292" spans="1:7" x14ac:dyDescent="0.15">
      <c r="A292" s="4" t="s">
        <v>259</v>
      </c>
      <c r="B292" s="4" t="s">
        <v>929</v>
      </c>
      <c r="C292" s="4" t="s">
        <v>699</v>
      </c>
      <c r="D292" s="4" t="s">
        <v>2</v>
      </c>
      <c r="E292" s="4" t="s">
        <v>479</v>
      </c>
      <c r="F292" s="5">
        <v>0.10148</v>
      </c>
      <c r="G292" s="5">
        <v>1000</v>
      </c>
    </row>
    <row r="293" spans="1:7" x14ac:dyDescent="0.15">
      <c r="A293" s="4" t="s">
        <v>551</v>
      </c>
      <c r="B293" s="4" t="s">
        <v>930</v>
      </c>
      <c r="C293" s="4" t="s">
        <v>699</v>
      </c>
      <c r="D293" s="4" t="s">
        <v>488</v>
      </c>
      <c r="E293" s="4" t="s">
        <v>479</v>
      </c>
      <c r="F293" s="5">
        <v>0</v>
      </c>
      <c r="G293" s="5">
        <v>0</v>
      </c>
    </row>
    <row r="294" spans="1:7" x14ac:dyDescent="0.15">
      <c r="A294" s="4" t="s">
        <v>257</v>
      </c>
      <c r="B294" s="4" t="s">
        <v>930</v>
      </c>
      <c r="C294" s="4" t="s">
        <v>700</v>
      </c>
      <c r="D294" s="4" t="s">
        <v>2</v>
      </c>
      <c r="E294" s="4" t="s">
        <v>9</v>
      </c>
      <c r="F294" s="5">
        <v>0.20296</v>
      </c>
      <c r="G294" s="5">
        <v>1000</v>
      </c>
    </row>
    <row r="295" spans="1:7" x14ac:dyDescent="0.15">
      <c r="A295" s="4" t="s">
        <v>260</v>
      </c>
      <c r="B295" s="4" t="s">
        <v>931</v>
      </c>
      <c r="C295" s="4" t="s">
        <v>699</v>
      </c>
      <c r="D295" s="4" t="s">
        <v>2</v>
      </c>
      <c r="E295" s="4" t="s">
        <v>479</v>
      </c>
      <c r="F295" s="5">
        <v>3.6549999999999999E-2</v>
      </c>
      <c r="G295" s="5">
        <v>0</v>
      </c>
    </row>
    <row r="296" spans="1:7" x14ac:dyDescent="0.15">
      <c r="A296" s="4" t="s">
        <v>261</v>
      </c>
      <c r="B296" s="4" t="s">
        <v>931</v>
      </c>
      <c r="C296" s="4" t="s">
        <v>700</v>
      </c>
      <c r="D296" s="4" t="s">
        <v>2</v>
      </c>
      <c r="E296" s="4" t="s">
        <v>9</v>
      </c>
      <c r="F296" s="5">
        <v>3.6549999999999999E-2</v>
      </c>
      <c r="G296" s="5">
        <v>1000</v>
      </c>
    </row>
    <row r="297" spans="1:7" x14ac:dyDescent="0.15">
      <c r="A297" s="4" t="s">
        <v>262</v>
      </c>
      <c r="B297" s="4" t="s">
        <v>932</v>
      </c>
      <c r="C297" s="4" t="s">
        <v>699</v>
      </c>
      <c r="D297" s="4" t="s">
        <v>2</v>
      </c>
      <c r="E297" s="4" t="s">
        <v>479</v>
      </c>
      <c r="F297" s="5">
        <v>5.799E-2</v>
      </c>
      <c r="G297" s="5">
        <v>0</v>
      </c>
    </row>
    <row r="298" spans="1:7" x14ac:dyDescent="0.15">
      <c r="A298" s="4" t="s">
        <v>264</v>
      </c>
      <c r="B298" s="4" t="s">
        <v>933</v>
      </c>
      <c r="C298" s="4" t="s">
        <v>699</v>
      </c>
      <c r="D298" s="4" t="s">
        <v>2</v>
      </c>
      <c r="E298" s="4" t="s">
        <v>479</v>
      </c>
      <c r="F298" s="5">
        <v>0.11598</v>
      </c>
      <c r="G298" s="5">
        <v>0</v>
      </c>
    </row>
    <row r="299" spans="1:7" x14ac:dyDescent="0.15">
      <c r="A299" s="4" t="s">
        <v>265</v>
      </c>
      <c r="B299" s="4" t="s">
        <v>934</v>
      </c>
      <c r="C299" s="4" t="s">
        <v>699</v>
      </c>
      <c r="D299" s="4" t="s">
        <v>2</v>
      </c>
      <c r="E299" s="4" t="s">
        <v>479</v>
      </c>
      <c r="F299" s="5">
        <v>2.8989999999999998E-2</v>
      </c>
      <c r="G299" s="5">
        <v>1000</v>
      </c>
    </row>
    <row r="300" spans="1:7" x14ac:dyDescent="0.15">
      <c r="A300" s="4" t="s">
        <v>263</v>
      </c>
      <c r="B300" s="4" t="s">
        <v>935</v>
      </c>
      <c r="C300" s="4" t="s">
        <v>700</v>
      </c>
      <c r="D300" s="4" t="s">
        <v>2</v>
      </c>
      <c r="E300" s="4" t="s">
        <v>9</v>
      </c>
      <c r="F300" s="5">
        <v>5.799E-2</v>
      </c>
      <c r="G300" s="5">
        <v>1000</v>
      </c>
    </row>
    <row r="301" spans="1:7" x14ac:dyDescent="0.15">
      <c r="A301" s="4" t="s">
        <v>266</v>
      </c>
      <c r="B301" s="4" t="s">
        <v>936</v>
      </c>
      <c r="C301" s="4" t="s">
        <v>699</v>
      </c>
      <c r="D301" s="4" t="s">
        <v>2</v>
      </c>
      <c r="E301" s="4" t="s">
        <v>479</v>
      </c>
      <c r="F301" s="5">
        <v>0.13916999999999999</v>
      </c>
      <c r="G301" s="5">
        <v>0</v>
      </c>
    </row>
    <row r="302" spans="1:7" x14ac:dyDescent="0.15">
      <c r="A302" s="4" t="s">
        <v>268</v>
      </c>
      <c r="B302" s="4" t="s">
        <v>937</v>
      </c>
      <c r="C302" s="4" t="s">
        <v>699</v>
      </c>
      <c r="D302" s="4" t="s">
        <v>2</v>
      </c>
      <c r="E302" s="4" t="s">
        <v>479</v>
      </c>
      <c r="F302" s="5">
        <v>0.27834999999999999</v>
      </c>
      <c r="G302" s="5">
        <v>0</v>
      </c>
    </row>
    <row r="303" spans="1:7" x14ac:dyDescent="0.15">
      <c r="A303" s="4" t="s">
        <v>269</v>
      </c>
      <c r="B303" s="4" t="s">
        <v>938</v>
      </c>
      <c r="C303" s="4" t="s">
        <v>699</v>
      </c>
      <c r="D303" s="4" t="s">
        <v>2</v>
      </c>
      <c r="E303" s="4" t="s">
        <v>479</v>
      </c>
      <c r="F303" s="5">
        <v>6.9589999999999999E-2</v>
      </c>
      <c r="G303" s="5">
        <v>1000</v>
      </c>
    </row>
    <row r="304" spans="1:7" x14ac:dyDescent="0.15">
      <c r="A304" s="4" t="s">
        <v>267</v>
      </c>
      <c r="B304" s="4" t="s">
        <v>939</v>
      </c>
      <c r="C304" s="4" t="s">
        <v>700</v>
      </c>
      <c r="D304" s="4" t="s">
        <v>2</v>
      </c>
      <c r="E304" s="4" t="s">
        <v>9</v>
      </c>
      <c r="F304" s="5">
        <v>0.13916999999999999</v>
      </c>
      <c r="G304" s="5">
        <v>1000</v>
      </c>
    </row>
    <row r="305" spans="1:7" x14ac:dyDescent="0.15">
      <c r="A305" s="4" t="s">
        <v>270</v>
      </c>
      <c r="B305" s="4" t="s">
        <v>940</v>
      </c>
      <c r="C305" s="4" t="s">
        <v>699</v>
      </c>
      <c r="D305" s="4" t="s">
        <v>2</v>
      </c>
      <c r="E305" s="4" t="s">
        <v>479</v>
      </c>
      <c r="F305" s="5">
        <v>0.25514999999999999</v>
      </c>
      <c r="G305" s="5">
        <v>0</v>
      </c>
    </row>
    <row r="306" spans="1:7" x14ac:dyDescent="0.15">
      <c r="A306" s="4" t="s">
        <v>272</v>
      </c>
      <c r="B306" s="4" t="s">
        <v>941</v>
      </c>
      <c r="C306" s="4" t="s">
        <v>699</v>
      </c>
      <c r="D306" s="4" t="s">
        <v>2</v>
      </c>
      <c r="E306" s="4" t="s">
        <v>479</v>
      </c>
      <c r="F306" s="5">
        <v>0.51029999999999998</v>
      </c>
      <c r="G306" s="5">
        <v>0</v>
      </c>
    </row>
    <row r="307" spans="1:7" x14ac:dyDescent="0.15">
      <c r="A307" s="4" t="s">
        <v>273</v>
      </c>
      <c r="B307" s="4" t="s">
        <v>942</v>
      </c>
      <c r="C307" s="4" t="s">
        <v>699</v>
      </c>
      <c r="D307" s="4" t="s">
        <v>2</v>
      </c>
      <c r="E307" s="4" t="s">
        <v>479</v>
      </c>
      <c r="F307" s="5">
        <v>0.12758</v>
      </c>
      <c r="G307" s="5">
        <v>1000</v>
      </c>
    </row>
    <row r="308" spans="1:7" x14ac:dyDescent="0.15">
      <c r="A308" s="4" t="s">
        <v>271</v>
      </c>
      <c r="B308" s="4" t="s">
        <v>943</v>
      </c>
      <c r="C308" s="4" t="s">
        <v>700</v>
      </c>
      <c r="D308" s="4" t="s">
        <v>2</v>
      </c>
      <c r="E308" s="4" t="s">
        <v>9</v>
      </c>
      <c r="F308" s="5">
        <v>0.25514999999999999</v>
      </c>
      <c r="G308" s="5">
        <v>1000</v>
      </c>
    </row>
    <row r="309" spans="1:7" x14ac:dyDescent="0.15">
      <c r="A309" s="4" t="s">
        <v>274</v>
      </c>
      <c r="B309" s="4" t="s">
        <v>944</v>
      </c>
      <c r="C309" s="4" t="s">
        <v>699</v>
      </c>
      <c r="D309" s="4" t="s">
        <v>2</v>
      </c>
      <c r="E309" s="4" t="s">
        <v>479</v>
      </c>
      <c r="F309" s="5">
        <v>3.9269999999999999E-2</v>
      </c>
      <c r="G309" s="5">
        <v>0</v>
      </c>
    </row>
    <row r="310" spans="1:7" x14ac:dyDescent="0.15">
      <c r="A310" s="4" t="s">
        <v>276</v>
      </c>
      <c r="B310" s="4" t="s">
        <v>945</v>
      </c>
      <c r="C310" s="4" t="s">
        <v>699</v>
      </c>
      <c r="D310" s="4" t="s">
        <v>2</v>
      </c>
      <c r="E310" s="4" t="s">
        <v>479</v>
      </c>
      <c r="F310" s="5">
        <v>9.8175799999999995</v>
      </c>
      <c r="G310" s="5">
        <v>0</v>
      </c>
    </row>
    <row r="311" spans="1:7" x14ac:dyDescent="0.15">
      <c r="A311" s="4" t="s">
        <v>552</v>
      </c>
      <c r="B311" s="4" t="s">
        <v>946</v>
      </c>
      <c r="C311" s="4" t="s">
        <v>699</v>
      </c>
      <c r="D311" s="4" t="s">
        <v>488</v>
      </c>
      <c r="E311" s="4" t="s">
        <v>479</v>
      </c>
      <c r="F311" s="5">
        <v>0</v>
      </c>
      <c r="G311" s="5">
        <v>0</v>
      </c>
    </row>
    <row r="312" spans="1:7" x14ac:dyDescent="0.15">
      <c r="A312" s="4" t="s">
        <v>275</v>
      </c>
      <c r="B312" s="4" t="s">
        <v>946</v>
      </c>
      <c r="C312" s="4" t="s">
        <v>700</v>
      </c>
      <c r="D312" s="4" t="s">
        <v>2</v>
      </c>
      <c r="E312" s="4" t="s">
        <v>9</v>
      </c>
      <c r="F312" s="5">
        <v>3.9269999999999999E-2</v>
      </c>
      <c r="G312" s="5">
        <v>1000</v>
      </c>
    </row>
    <row r="313" spans="1:7" x14ac:dyDescent="0.15">
      <c r="A313" s="4" t="s">
        <v>277</v>
      </c>
      <c r="B313" s="4" t="s">
        <v>947</v>
      </c>
      <c r="C313" s="4" t="s">
        <v>699</v>
      </c>
      <c r="D313" s="4" t="s">
        <v>2</v>
      </c>
      <c r="E313" s="4" t="s">
        <v>479</v>
      </c>
      <c r="F313" s="5">
        <v>1.0409999999999999E-2</v>
      </c>
      <c r="G313" s="5">
        <v>0</v>
      </c>
    </row>
    <row r="314" spans="1:7" x14ac:dyDescent="0.15">
      <c r="A314" s="4" t="s">
        <v>279</v>
      </c>
      <c r="B314" s="4" t="s">
        <v>948</v>
      </c>
      <c r="C314" s="4" t="s">
        <v>699</v>
      </c>
      <c r="D314" s="4" t="s">
        <v>2</v>
      </c>
      <c r="E314" s="4" t="s">
        <v>479</v>
      </c>
      <c r="F314" s="5">
        <v>2.6020799999999999</v>
      </c>
      <c r="G314" s="5">
        <v>0</v>
      </c>
    </row>
    <row r="315" spans="1:7" x14ac:dyDescent="0.15">
      <c r="A315" s="4" t="s">
        <v>553</v>
      </c>
      <c r="B315" s="4" t="s">
        <v>949</v>
      </c>
      <c r="C315" s="4" t="s">
        <v>699</v>
      </c>
      <c r="D315" s="4" t="s">
        <v>488</v>
      </c>
      <c r="E315" s="4" t="s">
        <v>479</v>
      </c>
      <c r="F315" s="5">
        <v>0</v>
      </c>
      <c r="G315" s="5">
        <v>0</v>
      </c>
    </row>
    <row r="316" spans="1:7" x14ac:dyDescent="0.15">
      <c r="A316" s="4" t="s">
        <v>278</v>
      </c>
      <c r="B316" s="4" t="s">
        <v>949</v>
      </c>
      <c r="C316" s="4" t="s">
        <v>700</v>
      </c>
      <c r="D316" s="4" t="s">
        <v>2</v>
      </c>
      <c r="E316" s="4" t="s">
        <v>9</v>
      </c>
      <c r="F316" s="5">
        <v>1.0409999999999999E-2</v>
      </c>
      <c r="G316" s="5">
        <v>1000</v>
      </c>
    </row>
    <row r="317" spans="1:7" x14ac:dyDescent="0.15">
      <c r="A317" s="4" t="s">
        <v>280</v>
      </c>
      <c r="B317" s="4" t="s">
        <v>950</v>
      </c>
      <c r="C317" s="4" t="s">
        <v>699</v>
      </c>
      <c r="D317" s="4" t="s">
        <v>2</v>
      </c>
      <c r="E317" s="4" t="s">
        <v>479</v>
      </c>
      <c r="F317" s="5">
        <v>3.0080000000000003E-2</v>
      </c>
      <c r="G317" s="5">
        <v>0</v>
      </c>
    </row>
    <row r="318" spans="1:7" x14ac:dyDescent="0.15">
      <c r="A318" s="4" t="s">
        <v>282</v>
      </c>
      <c r="B318" s="4" t="s">
        <v>951</v>
      </c>
      <c r="C318" s="4" t="s">
        <v>699</v>
      </c>
      <c r="D318" s="4" t="s">
        <v>2</v>
      </c>
      <c r="E318" s="4" t="s">
        <v>479</v>
      </c>
      <c r="F318" s="5">
        <v>1.5040000000000001E-2</v>
      </c>
      <c r="G318" s="5">
        <v>1000</v>
      </c>
    </row>
    <row r="319" spans="1:7" x14ac:dyDescent="0.15">
      <c r="A319" s="4" t="s">
        <v>283</v>
      </c>
      <c r="B319" s="4" t="s">
        <v>952</v>
      </c>
      <c r="C319" s="4" t="s">
        <v>699</v>
      </c>
      <c r="D319" s="4" t="s">
        <v>2</v>
      </c>
      <c r="E319" s="4" t="s">
        <v>479</v>
      </c>
      <c r="F319" s="5">
        <v>7.5202600000000004</v>
      </c>
      <c r="G319" s="5">
        <v>0</v>
      </c>
    </row>
    <row r="320" spans="1:7" x14ac:dyDescent="0.15">
      <c r="A320" s="4" t="s">
        <v>554</v>
      </c>
      <c r="B320" s="4" t="s">
        <v>953</v>
      </c>
      <c r="C320" s="4" t="s">
        <v>699</v>
      </c>
      <c r="D320" s="4" t="s">
        <v>488</v>
      </c>
      <c r="E320" s="4" t="s">
        <v>479</v>
      </c>
      <c r="F320" s="5">
        <v>0</v>
      </c>
      <c r="G320" s="5">
        <v>0</v>
      </c>
    </row>
    <row r="321" spans="1:7" x14ac:dyDescent="0.15">
      <c r="A321" s="4" t="s">
        <v>281</v>
      </c>
      <c r="B321" s="4" t="s">
        <v>953</v>
      </c>
      <c r="C321" s="4" t="s">
        <v>700</v>
      </c>
      <c r="D321" s="4" t="s">
        <v>2</v>
      </c>
      <c r="E321" s="4" t="s">
        <v>9</v>
      </c>
      <c r="F321" s="5">
        <v>3.0080000000000003E-2</v>
      </c>
      <c r="G321" s="5">
        <v>1000</v>
      </c>
    </row>
    <row r="322" spans="1:7" x14ac:dyDescent="0.15">
      <c r="A322" s="4" t="s">
        <v>284</v>
      </c>
      <c r="B322" s="4" t="s">
        <v>954</v>
      </c>
      <c r="C322" s="4" t="s">
        <v>699</v>
      </c>
      <c r="D322" s="4" t="s">
        <v>2</v>
      </c>
      <c r="E322" s="4" t="s">
        <v>479</v>
      </c>
      <c r="F322" s="5">
        <v>2.0719999999999999E-2</v>
      </c>
      <c r="G322" s="5">
        <v>0</v>
      </c>
    </row>
    <row r="323" spans="1:7" x14ac:dyDescent="0.15">
      <c r="A323" s="4" t="s">
        <v>286</v>
      </c>
      <c r="B323" s="4" t="s">
        <v>955</v>
      </c>
      <c r="C323" s="4" t="s">
        <v>699</v>
      </c>
      <c r="D323" s="4" t="s">
        <v>2</v>
      </c>
      <c r="E323" s="4" t="s">
        <v>479</v>
      </c>
      <c r="F323" s="5">
        <v>1.0359999999999999E-2</v>
      </c>
      <c r="G323" s="5">
        <v>1000</v>
      </c>
    </row>
    <row r="324" spans="1:7" x14ac:dyDescent="0.15">
      <c r="A324" s="4" t="s">
        <v>287</v>
      </c>
      <c r="B324" s="4" t="s">
        <v>956</v>
      </c>
      <c r="C324" s="4" t="s">
        <v>699</v>
      </c>
      <c r="D324" s="4" t="s">
        <v>2</v>
      </c>
      <c r="E324" s="4" t="s">
        <v>479</v>
      </c>
      <c r="F324" s="5">
        <v>5.1807299999999996</v>
      </c>
      <c r="G324" s="5">
        <v>0</v>
      </c>
    </row>
    <row r="325" spans="1:7" x14ac:dyDescent="0.15">
      <c r="A325" s="4" t="s">
        <v>555</v>
      </c>
      <c r="B325" s="4" t="s">
        <v>957</v>
      </c>
      <c r="C325" s="4" t="s">
        <v>699</v>
      </c>
      <c r="D325" s="4" t="s">
        <v>488</v>
      </c>
      <c r="E325" s="4" t="s">
        <v>479</v>
      </c>
      <c r="F325" s="5">
        <v>0</v>
      </c>
      <c r="G325" s="5">
        <v>0</v>
      </c>
    </row>
    <row r="326" spans="1:7" x14ac:dyDescent="0.15">
      <c r="A326" s="4" t="s">
        <v>285</v>
      </c>
      <c r="B326" s="4" t="s">
        <v>957</v>
      </c>
      <c r="C326" s="4" t="s">
        <v>700</v>
      </c>
      <c r="D326" s="4" t="s">
        <v>2</v>
      </c>
      <c r="E326" s="4" t="s">
        <v>9</v>
      </c>
      <c r="F326" s="5">
        <v>2.0719999999999999E-2</v>
      </c>
      <c r="G326" s="5">
        <v>1000</v>
      </c>
    </row>
    <row r="327" spans="1:7" x14ac:dyDescent="0.15">
      <c r="A327" s="4" t="s">
        <v>288</v>
      </c>
      <c r="B327" s="4" t="s">
        <v>958</v>
      </c>
      <c r="C327" s="4" t="s">
        <v>699</v>
      </c>
      <c r="D327" s="4" t="s">
        <v>2</v>
      </c>
      <c r="E327" s="4" t="s">
        <v>479</v>
      </c>
      <c r="F327" s="5">
        <v>3.0200000000000001E-3</v>
      </c>
      <c r="G327" s="5">
        <v>0</v>
      </c>
    </row>
    <row r="328" spans="1:7" x14ac:dyDescent="0.15">
      <c r="A328" s="4" t="s">
        <v>290</v>
      </c>
      <c r="B328" s="4" t="s">
        <v>959</v>
      </c>
      <c r="C328" s="4" t="s">
        <v>699</v>
      </c>
      <c r="D328" s="4" t="s">
        <v>2</v>
      </c>
      <c r="E328" s="4" t="s">
        <v>479</v>
      </c>
      <c r="F328" s="5">
        <v>6.0400000000000002E-3</v>
      </c>
      <c r="G328" s="5">
        <v>0</v>
      </c>
    </row>
    <row r="329" spans="1:7" x14ac:dyDescent="0.15">
      <c r="A329" s="4" t="s">
        <v>291</v>
      </c>
      <c r="B329" s="4" t="s">
        <v>960</v>
      </c>
      <c r="C329" s="4" t="s">
        <v>699</v>
      </c>
      <c r="D329" s="4" t="s">
        <v>2</v>
      </c>
      <c r="E329" s="4" t="s">
        <v>479</v>
      </c>
      <c r="F329" s="5">
        <v>1.5100000000000001E-3</v>
      </c>
      <c r="G329" s="5">
        <v>1000</v>
      </c>
    </row>
    <row r="330" spans="1:7" x14ac:dyDescent="0.15">
      <c r="A330" s="4" t="s">
        <v>556</v>
      </c>
      <c r="B330" s="4" t="s">
        <v>961</v>
      </c>
      <c r="C330" s="4" t="s">
        <v>699</v>
      </c>
      <c r="D330" s="4" t="s">
        <v>488</v>
      </c>
      <c r="E330" s="4" t="s">
        <v>479</v>
      </c>
      <c r="F330" s="5">
        <v>0</v>
      </c>
      <c r="G330" s="5">
        <v>0</v>
      </c>
    </row>
    <row r="331" spans="1:7" x14ac:dyDescent="0.15">
      <c r="A331" s="4" t="s">
        <v>289</v>
      </c>
      <c r="B331" s="4" t="s">
        <v>961</v>
      </c>
      <c r="C331" s="4" t="s">
        <v>700</v>
      </c>
      <c r="D331" s="4" t="s">
        <v>2</v>
      </c>
      <c r="E331" s="4" t="s">
        <v>9</v>
      </c>
      <c r="F331" s="5">
        <v>3.0200000000000001E-3</v>
      </c>
      <c r="G331" s="5">
        <v>1000</v>
      </c>
    </row>
    <row r="332" spans="1:7" x14ac:dyDescent="0.15">
      <c r="A332" s="4" t="s">
        <v>292</v>
      </c>
      <c r="B332" s="4" t="s">
        <v>962</v>
      </c>
      <c r="C332" s="4" t="s">
        <v>699</v>
      </c>
      <c r="D332" s="4" t="s">
        <v>2</v>
      </c>
      <c r="E332" s="4" t="s">
        <v>479</v>
      </c>
      <c r="F332" s="5">
        <v>7.4999999999999997E-3</v>
      </c>
      <c r="G332" s="5">
        <v>0</v>
      </c>
    </row>
    <row r="333" spans="1:7" x14ac:dyDescent="0.15">
      <c r="A333" s="4" t="s">
        <v>294</v>
      </c>
      <c r="B333" s="4" t="s">
        <v>963</v>
      </c>
      <c r="C333" s="4" t="s">
        <v>699</v>
      </c>
      <c r="D333" s="4" t="s">
        <v>2</v>
      </c>
      <c r="E333" s="4" t="s">
        <v>479</v>
      </c>
      <c r="F333" s="5">
        <v>1.499E-2</v>
      </c>
      <c r="G333" s="5">
        <v>0</v>
      </c>
    </row>
    <row r="334" spans="1:7" x14ac:dyDescent="0.15">
      <c r="A334" s="4" t="s">
        <v>295</v>
      </c>
      <c r="B334" s="4" t="s">
        <v>964</v>
      </c>
      <c r="C334" s="4" t="s">
        <v>699</v>
      </c>
      <c r="D334" s="4" t="s">
        <v>2</v>
      </c>
      <c r="E334" s="4" t="s">
        <v>479</v>
      </c>
      <c r="F334" s="5">
        <v>3.7499999999999999E-3</v>
      </c>
      <c r="G334" s="5">
        <v>1000</v>
      </c>
    </row>
    <row r="335" spans="1:7" x14ac:dyDescent="0.15">
      <c r="A335" s="4" t="s">
        <v>557</v>
      </c>
      <c r="B335" s="4" t="s">
        <v>965</v>
      </c>
      <c r="C335" s="4" t="s">
        <v>699</v>
      </c>
      <c r="D335" s="4" t="s">
        <v>488</v>
      </c>
      <c r="E335" s="4" t="s">
        <v>479</v>
      </c>
      <c r="F335" s="5">
        <v>0</v>
      </c>
      <c r="G335" s="5">
        <v>0</v>
      </c>
    </row>
    <row r="336" spans="1:7" x14ac:dyDescent="0.15">
      <c r="A336" s="4" t="s">
        <v>293</v>
      </c>
      <c r="B336" s="4" t="s">
        <v>965</v>
      </c>
      <c r="C336" s="4" t="s">
        <v>700</v>
      </c>
      <c r="D336" s="4" t="s">
        <v>2</v>
      </c>
      <c r="E336" s="4" t="s">
        <v>9</v>
      </c>
      <c r="F336" s="5">
        <v>7.4999999999999997E-3</v>
      </c>
      <c r="G336" s="5">
        <v>1000</v>
      </c>
    </row>
    <row r="337" spans="1:7" x14ac:dyDescent="0.15">
      <c r="A337" s="4" t="s">
        <v>296</v>
      </c>
      <c r="B337" s="4" t="s">
        <v>966</v>
      </c>
      <c r="C337" s="4" t="s">
        <v>699</v>
      </c>
      <c r="D337" s="4" t="s">
        <v>2</v>
      </c>
      <c r="E337" s="4" t="s">
        <v>479</v>
      </c>
      <c r="F337" s="5">
        <v>2.0930000000000001E-2</v>
      </c>
      <c r="G337" s="5">
        <v>0</v>
      </c>
    </row>
    <row r="338" spans="1:7" x14ac:dyDescent="0.15">
      <c r="A338" s="4" t="s">
        <v>298</v>
      </c>
      <c r="B338" s="4" t="s">
        <v>967</v>
      </c>
      <c r="C338" s="4" t="s">
        <v>699</v>
      </c>
      <c r="D338" s="4" t="s">
        <v>2</v>
      </c>
      <c r="E338" s="4" t="s">
        <v>479</v>
      </c>
      <c r="F338" s="5">
        <v>4.1860000000000001E-2</v>
      </c>
      <c r="G338" s="5">
        <v>0</v>
      </c>
    </row>
    <row r="339" spans="1:7" x14ac:dyDescent="0.15">
      <c r="A339" s="4" t="s">
        <v>299</v>
      </c>
      <c r="B339" s="4" t="s">
        <v>968</v>
      </c>
      <c r="C339" s="4" t="s">
        <v>699</v>
      </c>
      <c r="D339" s="4" t="s">
        <v>2</v>
      </c>
      <c r="E339" s="4" t="s">
        <v>479</v>
      </c>
      <c r="F339" s="5">
        <v>1.0460000000000001E-2</v>
      </c>
      <c r="G339" s="5">
        <v>1000</v>
      </c>
    </row>
    <row r="340" spans="1:7" x14ac:dyDescent="0.15">
      <c r="A340" s="4" t="s">
        <v>558</v>
      </c>
      <c r="B340" s="4" t="s">
        <v>969</v>
      </c>
      <c r="C340" s="4" t="s">
        <v>699</v>
      </c>
      <c r="D340" s="4" t="s">
        <v>488</v>
      </c>
      <c r="E340" s="4" t="s">
        <v>479</v>
      </c>
      <c r="F340" s="5">
        <v>0</v>
      </c>
      <c r="G340" s="5">
        <v>0</v>
      </c>
    </row>
    <row r="341" spans="1:7" x14ac:dyDescent="0.15">
      <c r="A341" s="4" t="s">
        <v>297</v>
      </c>
      <c r="B341" s="4" t="s">
        <v>969</v>
      </c>
      <c r="C341" s="4" t="s">
        <v>700</v>
      </c>
      <c r="D341" s="4" t="s">
        <v>2</v>
      </c>
      <c r="E341" s="4" t="s">
        <v>9</v>
      </c>
      <c r="F341" s="5">
        <v>2.0930000000000001E-2</v>
      </c>
      <c r="G341" s="5">
        <v>1000</v>
      </c>
    </row>
    <row r="342" spans="1:7" x14ac:dyDescent="0.15">
      <c r="A342" s="4" t="s">
        <v>300</v>
      </c>
      <c r="B342" s="4" t="s">
        <v>970</v>
      </c>
      <c r="C342" s="4" t="s">
        <v>699</v>
      </c>
      <c r="D342" s="4" t="s">
        <v>2</v>
      </c>
      <c r="E342" s="4" t="s">
        <v>479</v>
      </c>
      <c r="F342" s="5">
        <v>3.6209999999999999E-2</v>
      </c>
      <c r="G342" s="5">
        <v>0</v>
      </c>
    </row>
    <row r="343" spans="1:7" x14ac:dyDescent="0.15">
      <c r="A343" s="4" t="s">
        <v>302</v>
      </c>
      <c r="B343" s="4" t="s">
        <v>971</v>
      </c>
      <c r="C343" s="4" t="s">
        <v>699</v>
      </c>
      <c r="D343" s="4" t="s">
        <v>2</v>
      </c>
      <c r="E343" s="4" t="s">
        <v>479</v>
      </c>
      <c r="F343" s="5">
        <v>7.2430000000000008E-2</v>
      </c>
      <c r="G343" s="5">
        <v>0</v>
      </c>
    </row>
    <row r="344" spans="1:7" x14ac:dyDescent="0.15">
      <c r="A344" s="4" t="s">
        <v>303</v>
      </c>
      <c r="B344" s="4" t="s">
        <v>972</v>
      </c>
      <c r="C344" s="4" t="s">
        <v>699</v>
      </c>
      <c r="D344" s="4" t="s">
        <v>2</v>
      </c>
      <c r="E344" s="4" t="s">
        <v>479</v>
      </c>
      <c r="F344" s="5">
        <v>1.8110000000000001E-2</v>
      </c>
      <c r="G344" s="5">
        <v>1000</v>
      </c>
    </row>
    <row r="345" spans="1:7" x14ac:dyDescent="0.15">
      <c r="A345" s="4" t="s">
        <v>559</v>
      </c>
      <c r="B345" s="4" t="s">
        <v>973</v>
      </c>
      <c r="C345" s="4" t="s">
        <v>699</v>
      </c>
      <c r="D345" s="4" t="s">
        <v>488</v>
      </c>
      <c r="E345" s="4" t="s">
        <v>479</v>
      </c>
      <c r="F345" s="5">
        <v>0</v>
      </c>
      <c r="G345" s="5">
        <v>0</v>
      </c>
    </row>
    <row r="346" spans="1:7" x14ac:dyDescent="0.15">
      <c r="A346" s="4" t="s">
        <v>301</v>
      </c>
      <c r="B346" s="4" t="s">
        <v>973</v>
      </c>
      <c r="C346" s="4" t="s">
        <v>700</v>
      </c>
      <c r="D346" s="4" t="s">
        <v>2</v>
      </c>
      <c r="E346" s="4" t="s">
        <v>9</v>
      </c>
      <c r="F346" s="5">
        <v>3.6209999999999999E-2</v>
      </c>
      <c r="G346" s="5">
        <v>1000</v>
      </c>
    </row>
    <row r="347" spans="1:7" x14ac:dyDescent="0.15">
      <c r="A347" s="4" t="s">
        <v>304</v>
      </c>
      <c r="B347" s="4" t="s">
        <v>974</v>
      </c>
      <c r="C347" s="4" t="s">
        <v>699</v>
      </c>
      <c r="D347" s="4" t="s">
        <v>2</v>
      </c>
      <c r="E347" s="4" t="s">
        <v>479</v>
      </c>
      <c r="F347" s="5">
        <v>7.4690000000000006E-2</v>
      </c>
      <c r="G347" s="5">
        <v>0</v>
      </c>
    </row>
    <row r="348" spans="1:7" x14ac:dyDescent="0.15">
      <c r="A348" s="4" t="s">
        <v>306</v>
      </c>
      <c r="B348" s="4" t="s">
        <v>975</v>
      </c>
      <c r="C348" s="4" t="s">
        <v>699</v>
      </c>
      <c r="D348" s="4" t="s">
        <v>2</v>
      </c>
      <c r="E348" s="4" t="s">
        <v>479</v>
      </c>
      <c r="F348" s="5">
        <v>0.14938000000000001</v>
      </c>
      <c r="G348" s="5">
        <v>0</v>
      </c>
    </row>
    <row r="349" spans="1:7" x14ac:dyDescent="0.15">
      <c r="A349" s="4" t="s">
        <v>307</v>
      </c>
      <c r="B349" s="4" t="s">
        <v>976</v>
      </c>
      <c r="C349" s="4" t="s">
        <v>699</v>
      </c>
      <c r="D349" s="4" t="s">
        <v>2</v>
      </c>
      <c r="E349" s="4" t="s">
        <v>479</v>
      </c>
      <c r="F349" s="5">
        <v>3.7339999999999998E-2</v>
      </c>
      <c r="G349" s="5">
        <v>1000</v>
      </c>
    </row>
    <row r="350" spans="1:7" x14ac:dyDescent="0.15">
      <c r="A350" s="4" t="s">
        <v>560</v>
      </c>
      <c r="B350" s="4" t="s">
        <v>977</v>
      </c>
      <c r="C350" s="4" t="s">
        <v>699</v>
      </c>
      <c r="D350" s="4" t="s">
        <v>488</v>
      </c>
      <c r="E350" s="4" t="s">
        <v>479</v>
      </c>
      <c r="F350" s="5">
        <v>0</v>
      </c>
      <c r="G350" s="5">
        <v>0</v>
      </c>
    </row>
    <row r="351" spans="1:7" x14ac:dyDescent="0.15">
      <c r="A351" s="4" t="s">
        <v>305</v>
      </c>
      <c r="B351" s="4" t="s">
        <v>977</v>
      </c>
      <c r="C351" s="4" t="s">
        <v>700</v>
      </c>
      <c r="D351" s="4" t="s">
        <v>2</v>
      </c>
      <c r="E351" s="4" t="s">
        <v>9</v>
      </c>
      <c r="F351" s="5">
        <v>7.4690000000000006E-2</v>
      </c>
      <c r="G351" s="5">
        <v>1000</v>
      </c>
    </row>
    <row r="352" spans="1:7" x14ac:dyDescent="0.15">
      <c r="A352" s="4" t="s">
        <v>308</v>
      </c>
      <c r="B352" s="4" t="s">
        <v>978</v>
      </c>
      <c r="C352" s="4" t="s">
        <v>699</v>
      </c>
      <c r="D352" s="4" t="s">
        <v>2</v>
      </c>
      <c r="E352" s="4" t="s">
        <v>479</v>
      </c>
      <c r="F352" s="5">
        <v>9.2780000000000001E-2</v>
      </c>
      <c r="G352" s="5">
        <v>0</v>
      </c>
    </row>
    <row r="353" spans="1:7" x14ac:dyDescent="0.15">
      <c r="A353" s="4" t="s">
        <v>310</v>
      </c>
      <c r="B353" s="4" t="s">
        <v>979</v>
      </c>
      <c r="C353" s="4" t="s">
        <v>699</v>
      </c>
      <c r="D353" s="4" t="s">
        <v>2</v>
      </c>
      <c r="E353" s="4" t="s">
        <v>479</v>
      </c>
      <c r="F353" s="5">
        <v>0.18556</v>
      </c>
      <c r="G353" s="5">
        <v>0</v>
      </c>
    </row>
    <row r="354" spans="1:7" x14ac:dyDescent="0.15">
      <c r="A354" s="4" t="s">
        <v>311</v>
      </c>
      <c r="B354" s="4" t="s">
        <v>980</v>
      </c>
      <c r="C354" s="4" t="s">
        <v>699</v>
      </c>
      <c r="D354" s="4" t="s">
        <v>2</v>
      </c>
      <c r="E354" s="4" t="s">
        <v>479</v>
      </c>
      <c r="F354" s="5">
        <v>4.6390000000000001E-2</v>
      </c>
      <c r="G354" s="5">
        <v>1000</v>
      </c>
    </row>
    <row r="355" spans="1:7" x14ac:dyDescent="0.15">
      <c r="A355" s="4" t="s">
        <v>561</v>
      </c>
      <c r="B355" s="4" t="s">
        <v>981</v>
      </c>
      <c r="C355" s="4" t="s">
        <v>699</v>
      </c>
      <c r="D355" s="4" t="s">
        <v>488</v>
      </c>
      <c r="E355" s="4" t="s">
        <v>479</v>
      </c>
      <c r="F355" s="5">
        <v>0</v>
      </c>
      <c r="G355" s="5">
        <v>0</v>
      </c>
    </row>
    <row r="356" spans="1:7" x14ac:dyDescent="0.15">
      <c r="A356" s="4" t="s">
        <v>309</v>
      </c>
      <c r="B356" s="4" t="s">
        <v>981</v>
      </c>
      <c r="C356" s="4" t="s">
        <v>700</v>
      </c>
      <c r="D356" s="4" t="s">
        <v>2</v>
      </c>
      <c r="E356" s="4" t="s">
        <v>9</v>
      </c>
      <c r="F356" s="5">
        <v>9.2780000000000001E-2</v>
      </c>
      <c r="G356" s="5">
        <v>1000</v>
      </c>
    </row>
    <row r="357" spans="1:7" x14ac:dyDescent="0.15">
      <c r="A357" s="4" t="s">
        <v>312</v>
      </c>
      <c r="B357" s="4" t="s">
        <v>982</v>
      </c>
      <c r="C357" s="4" t="s">
        <v>699</v>
      </c>
      <c r="D357" s="4" t="s">
        <v>2</v>
      </c>
      <c r="E357" s="4" t="s">
        <v>479</v>
      </c>
      <c r="F357" s="5">
        <v>9.8140000000000005E-2</v>
      </c>
      <c r="G357" s="5">
        <v>0</v>
      </c>
    </row>
    <row r="358" spans="1:7" x14ac:dyDescent="0.15">
      <c r="A358" s="4" t="s">
        <v>314</v>
      </c>
      <c r="B358" s="4" t="s">
        <v>983</v>
      </c>
      <c r="C358" s="4" t="s">
        <v>699</v>
      </c>
      <c r="D358" s="4" t="s">
        <v>2</v>
      </c>
      <c r="E358" s="4" t="s">
        <v>479</v>
      </c>
      <c r="F358" s="5">
        <v>0.19627</v>
      </c>
      <c r="G358" s="5">
        <v>0</v>
      </c>
    </row>
    <row r="359" spans="1:7" x14ac:dyDescent="0.15">
      <c r="A359" s="4" t="s">
        <v>315</v>
      </c>
      <c r="B359" s="4" t="s">
        <v>984</v>
      </c>
      <c r="C359" s="4" t="s">
        <v>699</v>
      </c>
      <c r="D359" s="4" t="s">
        <v>2</v>
      </c>
      <c r="E359" s="4" t="s">
        <v>479</v>
      </c>
      <c r="F359" s="5">
        <v>4.9070000000000003E-2</v>
      </c>
      <c r="G359" s="5">
        <v>1000</v>
      </c>
    </row>
    <row r="360" spans="1:7" x14ac:dyDescent="0.15">
      <c r="A360" s="4" t="s">
        <v>562</v>
      </c>
      <c r="B360" s="4" t="s">
        <v>985</v>
      </c>
      <c r="C360" s="4" t="s">
        <v>699</v>
      </c>
      <c r="D360" s="4" t="s">
        <v>488</v>
      </c>
      <c r="E360" s="4" t="s">
        <v>479</v>
      </c>
      <c r="F360" s="5">
        <v>0</v>
      </c>
      <c r="G360" s="5">
        <v>0</v>
      </c>
    </row>
    <row r="361" spans="1:7" x14ac:dyDescent="0.15">
      <c r="A361" s="4" t="s">
        <v>313</v>
      </c>
      <c r="B361" s="4" t="s">
        <v>985</v>
      </c>
      <c r="C361" s="4" t="s">
        <v>700</v>
      </c>
      <c r="D361" s="4" t="s">
        <v>2</v>
      </c>
      <c r="E361" s="4" t="s">
        <v>9</v>
      </c>
      <c r="F361" s="5">
        <v>9.8140000000000005E-2</v>
      </c>
      <c r="G361" s="5">
        <v>1000</v>
      </c>
    </row>
    <row r="362" spans="1:7" x14ac:dyDescent="0.15">
      <c r="A362" s="4" t="s">
        <v>316</v>
      </c>
      <c r="B362" s="4" t="s">
        <v>986</v>
      </c>
      <c r="C362" s="4" t="s">
        <v>699</v>
      </c>
      <c r="D362" s="4" t="s">
        <v>2</v>
      </c>
      <c r="E362" s="4" t="s">
        <v>479</v>
      </c>
      <c r="F362" s="5">
        <v>0.10786</v>
      </c>
      <c r="G362" s="5">
        <v>0</v>
      </c>
    </row>
    <row r="363" spans="1:7" x14ac:dyDescent="0.15">
      <c r="A363" s="4" t="s">
        <v>318</v>
      </c>
      <c r="B363" s="4" t="s">
        <v>987</v>
      </c>
      <c r="C363" s="4" t="s">
        <v>699</v>
      </c>
      <c r="D363" s="4" t="s">
        <v>2</v>
      </c>
      <c r="E363" s="4" t="s">
        <v>479</v>
      </c>
      <c r="F363" s="5">
        <v>0.21572</v>
      </c>
      <c r="G363" s="5">
        <v>0</v>
      </c>
    </row>
    <row r="364" spans="1:7" x14ac:dyDescent="0.15">
      <c r="A364" s="4" t="s">
        <v>319</v>
      </c>
      <c r="B364" s="4" t="s">
        <v>988</v>
      </c>
      <c r="C364" s="4" t="s">
        <v>699</v>
      </c>
      <c r="D364" s="4" t="s">
        <v>2</v>
      </c>
      <c r="E364" s="4" t="s">
        <v>479</v>
      </c>
      <c r="F364" s="5">
        <v>5.3929999999999999E-2</v>
      </c>
      <c r="G364" s="5">
        <v>1000</v>
      </c>
    </row>
    <row r="365" spans="1:7" x14ac:dyDescent="0.15">
      <c r="A365" s="4" t="s">
        <v>563</v>
      </c>
      <c r="B365" s="4" t="s">
        <v>989</v>
      </c>
      <c r="C365" s="4" t="s">
        <v>699</v>
      </c>
      <c r="D365" s="4" t="s">
        <v>488</v>
      </c>
      <c r="E365" s="4" t="s">
        <v>479</v>
      </c>
      <c r="F365" s="5">
        <v>0</v>
      </c>
      <c r="G365" s="5">
        <v>0</v>
      </c>
    </row>
    <row r="366" spans="1:7" x14ac:dyDescent="0.15">
      <c r="A366" s="4" t="s">
        <v>317</v>
      </c>
      <c r="B366" s="4" t="s">
        <v>989</v>
      </c>
      <c r="C366" s="4" t="s">
        <v>700</v>
      </c>
      <c r="D366" s="4" t="s">
        <v>2</v>
      </c>
      <c r="E366" s="4" t="s">
        <v>9</v>
      </c>
      <c r="F366" s="5">
        <v>0.10786</v>
      </c>
      <c r="G366" s="5">
        <v>1000</v>
      </c>
    </row>
    <row r="367" spans="1:7" x14ac:dyDescent="0.15">
      <c r="A367" s="4" t="s">
        <v>320</v>
      </c>
      <c r="B367" s="4" t="s">
        <v>990</v>
      </c>
      <c r="C367" s="4" t="s">
        <v>699</v>
      </c>
      <c r="D367" s="4" t="s">
        <v>2</v>
      </c>
      <c r="E367" s="4" t="s">
        <v>479</v>
      </c>
      <c r="F367" s="5">
        <v>0.13183</v>
      </c>
      <c r="G367" s="5">
        <v>0</v>
      </c>
    </row>
    <row r="368" spans="1:7" x14ac:dyDescent="0.15">
      <c r="A368" s="4" t="s">
        <v>322</v>
      </c>
      <c r="B368" s="4" t="s">
        <v>991</v>
      </c>
      <c r="C368" s="4" t="s">
        <v>699</v>
      </c>
      <c r="D368" s="4" t="s">
        <v>2</v>
      </c>
      <c r="E368" s="4" t="s">
        <v>479</v>
      </c>
      <c r="F368" s="5">
        <v>0.26366000000000001</v>
      </c>
      <c r="G368" s="5">
        <v>0</v>
      </c>
    </row>
    <row r="369" spans="1:7" x14ac:dyDescent="0.15">
      <c r="A369" s="4" t="s">
        <v>323</v>
      </c>
      <c r="B369" s="4" t="s">
        <v>992</v>
      </c>
      <c r="C369" s="4" t="s">
        <v>699</v>
      </c>
      <c r="D369" s="4" t="s">
        <v>2</v>
      </c>
      <c r="E369" s="4" t="s">
        <v>479</v>
      </c>
      <c r="F369" s="5">
        <v>6.5909999999999996E-2</v>
      </c>
      <c r="G369" s="5">
        <v>1000</v>
      </c>
    </row>
    <row r="370" spans="1:7" x14ac:dyDescent="0.15">
      <c r="A370" s="4" t="s">
        <v>564</v>
      </c>
      <c r="B370" s="4" t="s">
        <v>993</v>
      </c>
      <c r="C370" s="4" t="s">
        <v>699</v>
      </c>
      <c r="D370" s="4" t="s">
        <v>488</v>
      </c>
      <c r="E370" s="4" t="s">
        <v>479</v>
      </c>
      <c r="F370" s="5">
        <v>0</v>
      </c>
      <c r="G370" s="5">
        <v>0</v>
      </c>
    </row>
    <row r="371" spans="1:7" x14ac:dyDescent="0.15">
      <c r="A371" s="4" t="s">
        <v>321</v>
      </c>
      <c r="B371" s="4" t="s">
        <v>993</v>
      </c>
      <c r="C371" s="4" t="s">
        <v>700</v>
      </c>
      <c r="D371" s="4" t="s">
        <v>2</v>
      </c>
      <c r="E371" s="4" t="s">
        <v>9</v>
      </c>
      <c r="F371" s="5">
        <v>0.13183</v>
      </c>
      <c r="G371" s="5">
        <v>1000</v>
      </c>
    </row>
    <row r="372" spans="1:7" x14ac:dyDescent="0.15">
      <c r="A372" s="4" t="s">
        <v>324</v>
      </c>
      <c r="B372" s="4" t="s">
        <v>994</v>
      </c>
      <c r="C372" s="4" t="s">
        <v>699</v>
      </c>
      <c r="D372" s="4" t="s">
        <v>2</v>
      </c>
      <c r="E372" s="4" t="s">
        <v>479</v>
      </c>
      <c r="F372" s="5">
        <v>3.1150000000000001E-2</v>
      </c>
      <c r="G372" s="5">
        <v>0</v>
      </c>
    </row>
    <row r="373" spans="1:7" x14ac:dyDescent="0.15">
      <c r="A373" s="4" t="s">
        <v>326</v>
      </c>
      <c r="B373" s="4" t="s">
        <v>995</v>
      </c>
      <c r="C373" s="4" t="s">
        <v>699</v>
      </c>
      <c r="D373" s="4" t="s">
        <v>2</v>
      </c>
      <c r="E373" s="4" t="s">
        <v>479</v>
      </c>
      <c r="F373" s="5">
        <v>6.2309999999999997E-2</v>
      </c>
      <c r="G373" s="5">
        <v>0</v>
      </c>
    </row>
    <row r="374" spans="1:7" x14ac:dyDescent="0.15">
      <c r="A374" s="4" t="s">
        <v>327</v>
      </c>
      <c r="B374" s="4" t="s">
        <v>996</v>
      </c>
      <c r="C374" s="4" t="s">
        <v>699</v>
      </c>
      <c r="D374" s="4" t="s">
        <v>2</v>
      </c>
      <c r="E374" s="4" t="s">
        <v>479</v>
      </c>
      <c r="F374" s="5">
        <v>1.558E-2</v>
      </c>
      <c r="G374" s="5">
        <v>1000</v>
      </c>
    </row>
    <row r="375" spans="1:7" x14ac:dyDescent="0.15">
      <c r="A375" s="4" t="s">
        <v>565</v>
      </c>
      <c r="B375" s="4" t="s">
        <v>997</v>
      </c>
      <c r="C375" s="4" t="s">
        <v>699</v>
      </c>
      <c r="D375" s="4" t="s">
        <v>488</v>
      </c>
      <c r="E375" s="4" t="s">
        <v>479</v>
      </c>
      <c r="F375" s="5">
        <v>0</v>
      </c>
      <c r="G375" s="5">
        <v>0</v>
      </c>
    </row>
    <row r="376" spans="1:7" x14ac:dyDescent="0.15">
      <c r="A376" s="4" t="s">
        <v>325</v>
      </c>
      <c r="B376" s="4" t="s">
        <v>997</v>
      </c>
      <c r="C376" s="4" t="s">
        <v>700</v>
      </c>
      <c r="D376" s="4" t="s">
        <v>2</v>
      </c>
      <c r="E376" s="4" t="s">
        <v>9</v>
      </c>
      <c r="F376" s="5">
        <v>3.1150000000000001E-2</v>
      </c>
      <c r="G376" s="5">
        <v>1000</v>
      </c>
    </row>
    <row r="377" spans="1:7" x14ac:dyDescent="0.15">
      <c r="A377" s="4" t="s">
        <v>328</v>
      </c>
      <c r="B377" s="4" t="s">
        <v>998</v>
      </c>
      <c r="C377" s="4" t="s">
        <v>699</v>
      </c>
      <c r="D377" s="4" t="s">
        <v>2</v>
      </c>
      <c r="E377" s="4" t="s">
        <v>479</v>
      </c>
      <c r="F377" s="5">
        <v>3.4290000000000001E-2</v>
      </c>
      <c r="G377" s="5">
        <v>0</v>
      </c>
    </row>
    <row r="378" spans="1:7" x14ac:dyDescent="0.15">
      <c r="A378" s="4" t="s">
        <v>330</v>
      </c>
      <c r="B378" s="4" t="s">
        <v>999</v>
      </c>
      <c r="C378" s="4" t="s">
        <v>699</v>
      </c>
      <c r="D378" s="4" t="s">
        <v>2</v>
      </c>
      <c r="E378" s="4" t="s">
        <v>479</v>
      </c>
      <c r="F378" s="5">
        <v>6.8589999999999998E-2</v>
      </c>
      <c r="G378" s="5">
        <v>0</v>
      </c>
    </row>
    <row r="379" spans="1:7" x14ac:dyDescent="0.15">
      <c r="A379" s="4" t="s">
        <v>331</v>
      </c>
      <c r="B379" s="4" t="s">
        <v>1000</v>
      </c>
      <c r="C379" s="4" t="s">
        <v>699</v>
      </c>
      <c r="D379" s="4" t="s">
        <v>2</v>
      </c>
      <c r="E379" s="4" t="s">
        <v>479</v>
      </c>
      <c r="F379" s="5">
        <v>1.7150000000000002E-2</v>
      </c>
      <c r="G379" s="5">
        <v>1000</v>
      </c>
    </row>
    <row r="380" spans="1:7" x14ac:dyDescent="0.15">
      <c r="A380" s="4" t="s">
        <v>566</v>
      </c>
      <c r="B380" s="4" t="s">
        <v>1001</v>
      </c>
      <c r="C380" s="4" t="s">
        <v>699</v>
      </c>
      <c r="D380" s="4" t="s">
        <v>488</v>
      </c>
      <c r="E380" s="4" t="s">
        <v>479</v>
      </c>
      <c r="F380" s="5">
        <v>0</v>
      </c>
      <c r="G380" s="5">
        <v>0</v>
      </c>
    </row>
    <row r="381" spans="1:7" x14ac:dyDescent="0.15">
      <c r="A381" s="4" t="s">
        <v>332</v>
      </c>
      <c r="B381" s="4" t="s">
        <v>1002</v>
      </c>
      <c r="C381" s="4" t="s">
        <v>699</v>
      </c>
      <c r="D381" s="4" t="s">
        <v>2</v>
      </c>
      <c r="E381" s="4" t="s">
        <v>479</v>
      </c>
      <c r="F381" s="5">
        <v>1E-4</v>
      </c>
      <c r="G381" s="5">
        <v>1000</v>
      </c>
    </row>
    <row r="382" spans="1:7" x14ac:dyDescent="0.15">
      <c r="A382" s="4" t="s">
        <v>333</v>
      </c>
      <c r="B382" s="4" t="s">
        <v>1003</v>
      </c>
      <c r="C382" s="4" t="s">
        <v>699</v>
      </c>
      <c r="D382" s="4" t="s">
        <v>2</v>
      </c>
      <c r="E382" s="4" t="s">
        <v>479</v>
      </c>
      <c r="F382" s="5">
        <v>2.0999999999999998E-4</v>
      </c>
      <c r="G382" s="5">
        <v>1000</v>
      </c>
    </row>
    <row r="383" spans="1:7" x14ac:dyDescent="0.15">
      <c r="A383" s="4" t="s">
        <v>334</v>
      </c>
      <c r="B383" s="4" t="s">
        <v>1004</v>
      </c>
      <c r="C383" s="4" t="s">
        <v>699</v>
      </c>
      <c r="D383" s="4" t="s">
        <v>2</v>
      </c>
      <c r="E383" s="4" t="s">
        <v>479</v>
      </c>
      <c r="F383" s="5">
        <v>2.3999999999999998E-4</v>
      </c>
      <c r="G383" s="5">
        <v>1000</v>
      </c>
    </row>
    <row r="384" spans="1:7" x14ac:dyDescent="0.15">
      <c r="A384" s="4" t="s">
        <v>567</v>
      </c>
      <c r="B384" s="4" t="s">
        <v>1005</v>
      </c>
      <c r="C384" s="4" t="s">
        <v>699</v>
      </c>
      <c r="D384" s="4" t="s">
        <v>2</v>
      </c>
      <c r="E384" s="4" t="s">
        <v>479</v>
      </c>
      <c r="F384" s="5">
        <v>0</v>
      </c>
      <c r="G384" s="5">
        <v>0</v>
      </c>
    </row>
    <row r="385" spans="1:7" x14ac:dyDescent="0.15">
      <c r="A385" s="4" t="s">
        <v>329</v>
      </c>
      <c r="B385" s="4" t="s">
        <v>1001</v>
      </c>
      <c r="C385" s="4" t="s">
        <v>700</v>
      </c>
      <c r="D385" s="4" t="s">
        <v>2</v>
      </c>
      <c r="E385" s="4" t="s">
        <v>9</v>
      </c>
      <c r="F385" s="5">
        <v>3.4290000000000001E-2</v>
      </c>
      <c r="G385" s="5">
        <v>1000</v>
      </c>
    </row>
    <row r="386" spans="1:7" x14ac:dyDescent="0.15">
      <c r="A386" s="4" t="s">
        <v>568</v>
      </c>
      <c r="B386" s="4" t="s">
        <v>1006</v>
      </c>
      <c r="C386" s="4" t="s">
        <v>699</v>
      </c>
      <c r="D386" s="4" t="s">
        <v>2</v>
      </c>
      <c r="E386" s="4" t="s">
        <v>479</v>
      </c>
      <c r="F386" s="5">
        <v>0</v>
      </c>
      <c r="G386" s="5">
        <v>1000</v>
      </c>
    </row>
    <row r="387" spans="1:7" x14ac:dyDescent="0.15">
      <c r="A387" s="4" t="s">
        <v>569</v>
      </c>
      <c r="B387" s="4" t="s">
        <v>1007</v>
      </c>
      <c r="C387" s="4" t="s">
        <v>699</v>
      </c>
      <c r="D387" s="4" t="s">
        <v>2</v>
      </c>
      <c r="E387" s="4" t="s">
        <v>479</v>
      </c>
      <c r="F387" s="5">
        <v>0</v>
      </c>
      <c r="G387" s="5">
        <v>1000</v>
      </c>
    </row>
    <row r="388" spans="1:7" x14ac:dyDescent="0.15">
      <c r="A388" s="4" t="s">
        <v>570</v>
      </c>
      <c r="B388" s="4" t="s">
        <v>1008</v>
      </c>
      <c r="C388" s="4" t="s">
        <v>699</v>
      </c>
      <c r="D388" s="4" t="s">
        <v>2</v>
      </c>
      <c r="E388" s="4" t="s">
        <v>479</v>
      </c>
      <c r="F388" s="5">
        <v>0</v>
      </c>
      <c r="G388" s="5">
        <v>1000</v>
      </c>
    </row>
    <row r="389" spans="1:7" x14ac:dyDescent="0.15">
      <c r="A389" s="4" t="s">
        <v>571</v>
      </c>
      <c r="B389" s="4" t="s">
        <v>1009</v>
      </c>
      <c r="C389" s="4" t="s">
        <v>699</v>
      </c>
      <c r="D389" s="4" t="s">
        <v>2</v>
      </c>
      <c r="E389" s="4" t="s">
        <v>479</v>
      </c>
      <c r="F389" s="5">
        <v>0</v>
      </c>
      <c r="G389" s="5">
        <v>0</v>
      </c>
    </row>
    <row r="390" spans="1:7" x14ac:dyDescent="0.15">
      <c r="A390" s="4" t="s">
        <v>335</v>
      </c>
      <c r="B390" s="4" t="s">
        <v>1010</v>
      </c>
      <c r="C390" s="4" t="s">
        <v>699</v>
      </c>
      <c r="D390" s="4" t="s">
        <v>2</v>
      </c>
      <c r="E390" s="4" t="s">
        <v>479</v>
      </c>
      <c r="F390" s="5">
        <v>9.0500000000000008E-3</v>
      </c>
      <c r="G390" s="5">
        <v>0</v>
      </c>
    </row>
    <row r="391" spans="1:7" x14ac:dyDescent="0.15">
      <c r="A391" s="4" t="s">
        <v>337</v>
      </c>
      <c r="B391" s="4" t="s">
        <v>1011</v>
      </c>
      <c r="C391" s="4" t="s">
        <v>699</v>
      </c>
      <c r="D391" s="4" t="s">
        <v>2</v>
      </c>
      <c r="E391" s="4" t="s">
        <v>479</v>
      </c>
      <c r="F391" s="5">
        <v>1.8110000000000001E-2</v>
      </c>
      <c r="G391" s="5">
        <v>0</v>
      </c>
    </row>
    <row r="392" spans="1:7" x14ac:dyDescent="0.15">
      <c r="A392" s="4" t="s">
        <v>338</v>
      </c>
      <c r="B392" s="4" t="s">
        <v>1012</v>
      </c>
      <c r="C392" s="4" t="s">
        <v>699</v>
      </c>
      <c r="D392" s="4" t="s">
        <v>2</v>
      </c>
      <c r="E392" s="4" t="s">
        <v>479</v>
      </c>
      <c r="F392" s="5">
        <v>4.5300000000000002E-3</v>
      </c>
      <c r="G392" s="5">
        <v>1000</v>
      </c>
    </row>
    <row r="393" spans="1:7" x14ac:dyDescent="0.15">
      <c r="A393" s="4" t="s">
        <v>572</v>
      </c>
      <c r="B393" s="4" t="s">
        <v>1013</v>
      </c>
      <c r="C393" s="4" t="s">
        <v>699</v>
      </c>
      <c r="D393" s="4" t="s">
        <v>488</v>
      </c>
      <c r="E393" s="4" t="s">
        <v>479</v>
      </c>
      <c r="F393" s="5">
        <v>0</v>
      </c>
      <c r="G393" s="5">
        <v>0</v>
      </c>
    </row>
    <row r="394" spans="1:7" x14ac:dyDescent="0.15">
      <c r="A394" s="4" t="s">
        <v>336</v>
      </c>
      <c r="B394" s="4" t="s">
        <v>1013</v>
      </c>
      <c r="C394" s="4" t="s">
        <v>700</v>
      </c>
      <c r="D394" s="4" t="s">
        <v>2</v>
      </c>
      <c r="E394" s="4" t="s">
        <v>9</v>
      </c>
      <c r="F394" s="5">
        <v>9.0500000000000008E-3</v>
      </c>
      <c r="G394" s="5">
        <v>1000</v>
      </c>
    </row>
    <row r="395" spans="1:7" x14ac:dyDescent="0.15">
      <c r="A395" s="4" t="s">
        <v>339</v>
      </c>
      <c r="B395" s="4" t="s">
        <v>1014</v>
      </c>
      <c r="C395" s="4" t="s">
        <v>699</v>
      </c>
      <c r="D395" s="4" t="s">
        <v>2</v>
      </c>
      <c r="E395" s="4" t="s">
        <v>479</v>
      </c>
      <c r="F395" s="5">
        <v>1.2070000000000001E-2</v>
      </c>
      <c r="G395" s="5">
        <v>0</v>
      </c>
    </row>
    <row r="396" spans="1:7" x14ac:dyDescent="0.15">
      <c r="A396" s="4" t="s">
        <v>341</v>
      </c>
      <c r="B396" s="4" t="s">
        <v>1015</v>
      </c>
      <c r="C396" s="4" t="s">
        <v>699</v>
      </c>
      <c r="D396" s="4" t="s">
        <v>2</v>
      </c>
      <c r="E396" s="4" t="s">
        <v>479</v>
      </c>
      <c r="F396" s="5">
        <v>2.4140000000000002E-2</v>
      </c>
      <c r="G396" s="5">
        <v>0</v>
      </c>
    </row>
    <row r="397" spans="1:7" x14ac:dyDescent="0.15">
      <c r="A397" s="4" t="s">
        <v>342</v>
      </c>
      <c r="B397" s="4" t="s">
        <v>1016</v>
      </c>
      <c r="C397" s="4" t="s">
        <v>699</v>
      </c>
      <c r="D397" s="4" t="s">
        <v>2</v>
      </c>
      <c r="E397" s="4" t="s">
        <v>479</v>
      </c>
      <c r="F397" s="5">
        <v>6.0400000000000002E-3</v>
      </c>
      <c r="G397" s="5">
        <v>1000</v>
      </c>
    </row>
    <row r="398" spans="1:7" x14ac:dyDescent="0.15">
      <c r="A398" s="4" t="s">
        <v>573</v>
      </c>
      <c r="B398" s="4" t="s">
        <v>1017</v>
      </c>
      <c r="C398" s="4" t="s">
        <v>699</v>
      </c>
      <c r="D398" s="4" t="s">
        <v>488</v>
      </c>
      <c r="E398" s="4" t="s">
        <v>479</v>
      </c>
      <c r="F398" s="5">
        <v>0</v>
      </c>
      <c r="G398" s="5">
        <v>0</v>
      </c>
    </row>
    <row r="399" spans="1:7" x14ac:dyDescent="0.15">
      <c r="A399" s="4" t="s">
        <v>340</v>
      </c>
      <c r="B399" s="4" t="s">
        <v>1017</v>
      </c>
      <c r="C399" s="4" t="s">
        <v>700</v>
      </c>
      <c r="D399" s="4" t="s">
        <v>2</v>
      </c>
      <c r="E399" s="4" t="s">
        <v>9</v>
      </c>
      <c r="F399" s="5">
        <v>1.2070000000000001E-2</v>
      </c>
      <c r="G399" s="5">
        <v>1000</v>
      </c>
    </row>
    <row r="400" spans="1:7" x14ac:dyDescent="0.15">
      <c r="A400" s="4" t="s">
        <v>343</v>
      </c>
      <c r="B400" s="4" t="s">
        <v>1018</v>
      </c>
      <c r="C400" s="4" t="s">
        <v>699</v>
      </c>
      <c r="D400" s="4" t="s">
        <v>2</v>
      </c>
      <c r="E400" s="4" t="s">
        <v>479</v>
      </c>
      <c r="F400" s="5">
        <v>1.5090000000000001E-2</v>
      </c>
      <c r="G400" s="5">
        <v>0</v>
      </c>
    </row>
    <row r="401" spans="1:7" x14ac:dyDescent="0.15">
      <c r="A401" s="4" t="s">
        <v>345</v>
      </c>
      <c r="B401" s="4" t="s">
        <v>1019</v>
      </c>
      <c r="C401" s="4" t="s">
        <v>699</v>
      </c>
      <c r="D401" s="4" t="s">
        <v>2</v>
      </c>
      <c r="E401" s="4" t="s">
        <v>479</v>
      </c>
      <c r="F401" s="5">
        <v>3.0180000000000002E-2</v>
      </c>
      <c r="G401" s="5">
        <v>0</v>
      </c>
    </row>
    <row r="402" spans="1:7" x14ac:dyDescent="0.15">
      <c r="A402" s="4" t="s">
        <v>346</v>
      </c>
      <c r="B402" s="4" t="s">
        <v>1020</v>
      </c>
      <c r="C402" s="4" t="s">
        <v>699</v>
      </c>
      <c r="D402" s="4" t="s">
        <v>2</v>
      </c>
      <c r="E402" s="4" t="s">
        <v>479</v>
      </c>
      <c r="F402" s="5">
        <v>7.5399999999999998E-3</v>
      </c>
      <c r="G402" s="5">
        <v>1000</v>
      </c>
    </row>
    <row r="403" spans="1:7" x14ac:dyDescent="0.15">
      <c r="A403" s="4" t="s">
        <v>574</v>
      </c>
      <c r="B403" s="4" t="s">
        <v>1021</v>
      </c>
      <c r="C403" s="4" t="s">
        <v>699</v>
      </c>
      <c r="D403" s="4" t="s">
        <v>488</v>
      </c>
      <c r="E403" s="4" t="s">
        <v>479</v>
      </c>
      <c r="F403" s="5">
        <v>0</v>
      </c>
      <c r="G403" s="5">
        <v>0</v>
      </c>
    </row>
    <row r="404" spans="1:7" x14ac:dyDescent="0.15">
      <c r="A404" s="4" t="s">
        <v>344</v>
      </c>
      <c r="B404" s="4" t="s">
        <v>1021</v>
      </c>
      <c r="C404" s="4" t="s">
        <v>700</v>
      </c>
      <c r="D404" s="4" t="s">
        <v>2</v>
      </c>
      <c r="E404" s="4" t="s">
        <v>9</v>
      </c>
      <c r="F404" s="5">
        <v>1.5090000000000001E-2</v>
      </c>
      <c r="G404" s="5">
        <v>1000</v>
      </c>
    </row>
    <row r="405" spans="1:7" x14ac:dyDescent="0.15">
      <c r="A405" s="4" t="s">
        <v>347</v>
      </c>
      <c r="B405" s="4" t="s">
        <v>1022</v>
      </c>
      <c r="C405" s="4" t="s">
        <v>699</v>
      </c>
      <c r="D405" s="4" t="s">
        <v>2</v>
      </c>
      <c r="E405" s="4" t="s">
        <v>479</v>
      </c>
      <c r="F405" s="5">
        <v>3.0180000000000002E-2</v>
      </c>
      <c r="G405" s="5">
        <v>0</v>
      </c>
    </row>
    <row r="406" spans="1:7" x14ac:dyDescent="0.15">
      <c r="A406" s="4" t="s">
        <v>349</v>
      </c>
      <c r="B406" s="4" t="s">
        <v>1023</v>
      </c>
      <c r="C406" s="4" t="s">
        <v>699</v>
      </c>
      <c r="D406" s="4" t="s">
        <v>2</v>
      </c>
      <c r="E406" s="4" t="s">
        <v>479</v>
      </c>
      <c r="F406" s="5">
        <v>6.0360000000000004E-2</v>
      </c>
      <c r="G406" s="5">
        <v>0</v>
      </c>
    </row>
    <row r="407" spans="1:7" x14ac:dyDescent="0.15">
      <c r="A407" s="4" t="s">
        <v>350</v>
      </c>
      <c r="B407" s="4" t="s">
        <v>1024</v>
      </c>
      <c r="C407" s="4" t="s">
        <v>699</v>
      </c>
      <c r="D407" s="4" t="s">
        <v>2</v>
      </c>
      <c r="E407" s="4" t="s">
        <v>479</v>
      </c>
      <c r="F407" s="5">
        <v>1.5090000000000001E-2</v>
      </c>
      <c r="G407" s="5">
        <v>1000</v>
      </c>
    </row>
    <row r="408" spans="1:7" x14ac:dyDescent="0.15">
      <c r="A408" s="4" t="s">
        <v>575</v>
      </c>
      <c r="B408" s="4" t="s">
        <v>1025</v>
      </c>
      <c r="C408" s="4" t="s">
        <v>699</v>
      </c>
      <c r="D408" s="4" t="s">
        <v>488</v>
      </c>
      <c r="E408" s="4" t="s">
        <v>479</v>
      </c>
      <c r="F408" s="5">
        <v>0</v>
      </c>
      <c r="G408" s="5">
        <v>0</v>
      </c>
    </row>
    <row r="409" spans="1:7" x14ac:dyDescent="0.15">
      <c r="A409" s="4" t="s">
        <v>351</v>
      </c>
      <c r="B409" s="4" t="s">
        <v>1026</v>
      </c>
      <c r="C409" s="4" t="s">
        <v>699</v>
      </c>
      <c r="D409" s="4" t="s">
        <v>2</v>
      </c>
      <c r="E409" s="4" t="s">
        <v>479</v>
      </c>
      <c r="F409" s="5">
        <v>3.1700000000000001E-3</v>
      </c>
      <c r="G409" s="5">
        <v>1000</v>
      </c>
    </row>
    <row r="410" spans="1:7" x14ac:dyDescent="0.15">
      <c r="A410" s="4" t="s">
        <v>348</v>
      </c>
      <c r="B410" s="4" t="s">
        <v>1025</v>
      </c>
      <c r="C410" s="4" t="s">
        <v>700</v>
      </c>
      <c r="D410" s="4" t="s">
        <v>2</v>
      </c>
      <c r="E410" s="4" t="s">
        <v>9</v>
      </c>
      <c r="F410" s="5">
        <v>3.0180000000000002E-2</v>
      </c>
      <c r="G410" s="5">
        <v>1000</v>
      </c>
    </row>
    <row r="411" spans="1:7" x14ac:dyDescent="0.15">
      <c r="A411" s="4" t="s">
        <v>352</v>
      </c>
      <c r="B411" s="4" t="s">
        <v>1027</v>
      </c>
      <c r="C411" s="4" t="s">
        <v>699</v>
      </c>
      <c r="D411" s="4" t="s">
        <v>2</v>
      </c>
      <c r="E411" s="4" t="s">
        <v>479</v>
      </c>
      <c r="F411" s="5">
        <v>2.112E-2</v>
      </c>
      <c r="G411" s="5">
        <v>0</v>
      </c>
    </row>
    <row r="412" spans="1:7" x14ac:dyDescent="0.15">
      <c r="A412" s="4" t="s">
        <v>354</v>
      </c>
      <c r="B412" s="4" t="s">
        <v>1028</v>
      </c>
      <c r="C412" s="4" t="s">
        <v>699</v>
      </c>
      <c r="D412" s="4" t="s">
        <v>2</v>
      </c>
      <c r="E412" s="4" t="s">
        <v>479</v>
      </c>
      <c r="F412" s="5">
        <v>4.2249999999999996E-2</v>
      </c>
      <c r="G412" s="5">
        <v>0</v>
      </c>
    </row>
    <row r="413" spans="1:7" x14ac:dyDescent="0.15">
      <c r="A413" s="4" t="s">
        <v>355</v>
      </c>
      <c r="B413" s="4" t="s">
        <v>1029</v>
      </c>
      <c r="C413" s="4" t="s">
        <v>699</v>
      </c>
      <c r="D413" s="4" t="s">
        <v>2</v>
      </c>
      <c r="E413" s="4" t="s">
        <v>479</v>
      </c>
      <c r="F413" s="5">
        <v>1.056E-2</v>
      </c>
      <c r="G413" s="5">
        <v>1000</v>
      </c>
    </row>
    <row r="414" spans="1:7" x14ac:dyDescent="0.15">
      <c r="A414" s="4" t="s">
        <v>576</v>
      </c>
      <c r="B414" s="4" t="s">
        <v>1030</v>
      </c>
      <c r="C414" s="4" t="s">
        <v>699</v>
      </c>
      <c r="D414" s="4" t="s">
        <v>488</v>
      </c>
      <c r="E414" s="4" t="s">
        <v>479</v>
      </c>
      <c r="F414" s="5">
        <v>0</v>
      </c>
      <c r="G414" s="5">
        <v>0</v>
      </c>
    </row>
    <row r="415" spans="1:7" x14ac:dyDescent="0.15">
      <c r="A415" s="4" t="s">
        <v>353</v>
      </c>
      <c r="B415" s="4" t="s">
        <v>1030</v>
      </c>
      <c r="C415" s="4" t="s">
        <v>700</v>
      </c>
      <c r="D415" s="4" t="s">
        <v>2</v>
      </c>
      <c r="E415" s="4" t="s">
        <v>9</v>
      </c>
      <c r="F415" s="5">
        <v>2.112E-2</v>
      </c>
      <c r="G415" s="5">
        <v>1000</v>
      </c>
    </row>
    <row r="416" spans="1:7" x14ac:dyDescent="0.15">
      <c r="A416" s="4" t="s">
        <v>356</v>
      </c>
      <c r="B416" s="4" t="s">
        <v>1031</v>
      </c>
      <c r="C416" s="4" t="s">
        <v>699</v>
      </c>
      <c r="D416" s="4" t="s">
        <v>2</v>
      </c>
      <c r="E416" s="4" t="s">
        <v>479</v>
      </c>
      <c r="F416" s="5">
        <v>3.0180000000000002E-2</v>
      </c>
      <c r="G416" s="5">
        <v>0</v>
      </c>
    </row>
    <row r="417" spans="1:7" x14ac:dyDescent="0.15">
      <c r="A417" s="4" t="s">
        <v>358</v>
      </c>
      <c r="B417" s="4" t="s">
        <v>1032</v>
      </c>
      <c r="C417" s="4" t="s">
        <v>699</v>
      </c>
      <c r="D417" s="4" t="s">
        <v>2</v>
      </c>
      <c r="E417" s="4" t="s">
        <v>479</v>
      </c>
      <c r="F417" s="5">
        <v>6.0360000000000004E-2</v>
      </c>
      <c r="G417" s="5">
        <v>0</v>
      </c>
    </row>
    <row r="418" spans="1:7" x14ac:dyDescent="0.15">
      <c r="A418" s="4" t="s">
        <v>359</v>
      </c>
      <c r="B418" s="4" t="s">
        <v>1033</v>
      </c>
      <c r="C418" s="4" t="s">
        <v>699</v>
      </c>
      <c r="D418" s="4" t="s">
        <v>2</v>
      </c>
      <c r="E418" s="4" t="s">
        <v>479</v>
      </c>
      <c r="F418" s="5">
        <v>1.5090000000000001E-2</v>
      </c>
      <c r="G418" s="5">
        <v>1000</v>
      </c>
    </row>
    <row r="419" spans="1:7" x14ac:dyDescent="0.15">
      <c r="A419" s="4" t="s">
        <v>577</v>
      </c>
      <c r="B419" s="4" t="s">
        <v>1034</v>
      </c>
      <c r="C419" s="4" t="s">
        <v>699</v>
      </c>
      <c r="D419" s="4" t="s">
        <v>488</v>
      </c>
      <c r="E419" s="4" t="s">
        <v>479</v>
      </c>
      <c r="F419" s="5">
        <v>0</v>
      </c>
      <c r="G419" s="5">
        <v>0</v>
      </c>
    </row>
    <row r="420" spans="1:7" x14ac:dyDescent="0.15">
      <c r="A420" s="4" t="s">
        <v>357</v>
      </c>
      <c r="B420" s="4" t="s">
        <v>1034</v>
      </c>
      <c r="C420" s="4" t="s">
        <v>700</v>
      </c>
      <c r="D420" s="4" t="s">
        <v>2</v>
      </c>
      <c r="E420" s="4" t="s">
        <v>9</v>
      </c>
      <c r="F420" s="5">
        <v>3.0180000000000002E-2</v>
      </c>
      <c r="G420" s="5">
        <v>1000</v>
      </c>
    </row>
    <row r="421" spans="1:7" x14ac:dyDescent="0.15">
      <c r="A421" s="4" t="s">
        <v>360</v>
      </c>
      <c r="B421" s="4" t="s">
        <v>1035</v>
      </c>
      <c r="C421" s="4" t="s">
        <v>699</v>
      </c>
      <c r="D421" s="4" t="s">
        <v>2</v>
      </c>
      <c r="E421" s="4" t="s">
        <v>479</v>
      </c>
      <c r="F421" s="5">
        <v>4.709E-2</v>
      </c>
      <c r="G421" s="5">
        <v>0</v>
      </c>
    </row>
    <row r="422" spans="1:7" x14ac:dyDescent="0.15">
      <c r="A422" s="4" t="s">
        <v>362</v>
      </c>
      <c r="B422" s="4" t="s">
        <v>1036</v>
      </c>
      <c r="C422" s="4" t="s">
        <v>699</v>
      </c>
      <c r="D422" s="4" t="s">
        <v>2</v>
      </c>
      <c r="E422" s="4" t="s">
        <v>479</v>
      </c>
      <c r="F422" s="5">
        <v>9.4189999999999996E-2</v>
      </c>
      <c r="G422" s="5">
        <v>0</v>
      </c>
    </row>
    <row r="423" spans="1:7" x14ac:dyDescent="0.15">
      <c r="A423" s="4" t="s">
        <v>363</v>
      </c>
      <c r="B423" s="4" t="s">
        <v>1037</v>
      </c>
      <c r="C423" s="4" t="s">
        <v>699</v>
      </c>
      <c r="D423" s="4" t="s">
        <v>2</v>
      </c>
      <c r="E423" s="4" t="s">
        <v>479</v>
      </c>
      <c r="F423" s="5">
        <v>2.3549999999999998E-2</v>
      </c>
      <c r="G423" s="5">
        <v>1000</v>
      </c>
    </row>
    <row r="424" spans="1:7" x14ac:dyDescent="0.15">
      <c r="A424" s="4" t="s">
        <v>364</v>
      </c>
      <c r="B424" s="4" t="s">
        <v>1038</v>
      </c>
      <c r="C424" s="4" t="s">
        <v>699</v>
      </c>
      <c r="D424" s="4" t="s">
        <v>2</v>
      </c>
      <c r="E424" s="4" t="s">
        <v>479</v>
      </c>
      <c r="F424" s="5">
        <v>3.2969999999999999E-2</v>
      </c>
      <c r="G424" s="5">
        <v>1000</v>
      </c>
    </row>
    <row r="425" spans="1:7" x14ac:dyDescent="0.15">
      <c r="A425" s="4" t="s">
        <v>365</v>
      </c>
      <c r="B425" s="4" t="s">
        <v>1039</v>
      </c>
      <c r="C425" s="4" t="s">
        <v>699</v>
      </c>
      <c r="D425" s="4" t="s">
        <v>2</v>
      </c>
      <c r="E425" s="4" t="s">
        <v>479</v>
      </c>
      <c r="F425" s="5">
        <v>3.7680000000000005E-2</v>
      </c>
      <c r="G425" s="5">
        <v>1000</v>
      </c>
    </row>
    <row r="426" spans="1:7" x14ac:dyDescent="0.15">
      <c r="A426" s="4" t="s">
        <v>366</v>
      </c>
      <c r="B426" s="4" t="s">
        <v>1040</v>
      </c>
      <c r="C426" s="4" t="s">
        <v>699</v>
      </c>
      <c r="D426" s="4" t="s">
        <v>2</v>
      </c>
      <c r="E426" s="4" t="s">
        <v>479</v>
      </c>
      <c r="F426" s="5">
        <v>4.2380000000000001E-2</v>
      </c>
      <c r="G426" s="5">
        <v>1000</v>
      </c>
    </row>
    <row r="427" spans="1:7" x14ac:dyDescent="0.15">
      <c r="A427" s="4" t="s">
        <v>578</v>
      </c>
      <c r="B427" s="4" t="s">
        <v>1041</v>
      </c>
      <c r="C427" s="4" t="s">
        <v>699</v>
      </c>
      <c r="D427" s="4" t="s">
        <v>488</v>
      </c>
      <c r="E427" s="4" t="s">
        <v>479</v>
      </c>
      <c r="F427" s="5">
        <v>0</v>
      </c>
      <c r="G427" s="5">
        <v>0</v>
      </c>
    </row>
    <row r="428" spans="1:7" x14ac:dyDescent="0.15">
      <c r="A428" s="4" t="s">
        <v>367</v>
      </c>
      <c r="B428" s="4" t="s">
        <v>1042</v>
      </c>
      <c r="C428" s="4" t="s">
        <v>699</v>
      </c>
      <c r="D428" s="4" t="s">
        <v>2</v>
      </c>
      <c r="E428" s="4" t="s">
        <v>479</v>
      </c>
      <c r="F428" s="5">
        <v>4.709E-2</v>
      </c>
      <c r="G428" s="5">
        <v>0</v>
      </c>
    </row>
    <row r="429" spans="1:7" x14ac:dyDescent="0.15">
      <c r="A429" s="4" t="s">
        <v>361</v>
      </c>
      <c r="B429" s="4" t="s">
        <v>1041</v>
      </c>
      <c r="C429" s="4" t="s">
        <v>700</v>
      </c>
      <c r="D429" s="4" t="s">
        <v>2</v>
      </c>
      <c r="E429" s="4" t="s">
        <v>9</v>
      </c>
      <c r="F429" s="5">
        <v>4.709E-2</v>
      </c>
      <c r="G429" s="5">
        <v>1000</v>
      </c>
    </row>
    <row r="430" spans="1:7" x14ac:dyDescent="0.15">
      <c r="A430" s="4" t="s">
        <v>368</v>
      </c>
      <c r="B430" s="4" t="s">
        <v>1043</v>
      </c>
      <c r="C430" s="4" t="s">
        <v>699</v>
      </c>
      <c r="D430" s="4" t="s">
        <v>2</v>
      </c>
      <c r="E430" s="4" t="s">
        <v>479</v>
      </c>
      <c r="F430" s="5">
        <v>3.5990000000000001E-2</v>
      </c>
      <c r="G430" s="5">
        <v>0</v>
      </c>
    </row>
    <row r="431" spans="1:7" x14ac:dyDescent="0.15">
      <c r="A431" s="4" t="s">
        <v>370</v>
      </c>
      <c r="B431" s="4" t="s">
        <v>1044</v>
      </c>
      <c r="C431" s="4" t="s">
        <v>699</v>
      </c>
      <c r="D431" s="4" t="s">
        <v>2</v>
      </c>
      <c r="E431" s="4" t="s">
        <v>479</v>
      </c>
      <c r="F431" s="5">
        <v>7.1980000000000002E-2</v>
      </c>
      <c r="G431" s="5">
        <v>0</v>
      </c>
    </row>
    <row r="432" spans="1:7" x14ac:dyDescent="0.15">
      <c r="A432" s="4" t="s">
        <v>371</v>
      </c>
      <c r="B432" s="4" t="s">
        <v>1045</v>
      </c>
      <c r="C432" s="4" t="s">
        <v>699</v>
      </c>
      <c r="D432" s="4" t="s">
        <v>2</v>
      </c>
      <c r="E432" s="4" t="s">
        <v>479</v>
      </c>
      <c r="F432" s="5">
        <v>1.7989999999999999E-2</v>
      </c>
      <c r="G432" s="5">
        <v>1000</v>
      </c>
    </row>
    <row r="433" spans="1:7" x14ac:dyDescent="0.15">
      <c r="A433" s="4" t="s">
        <v>372</v>
      </c>
      <c r="B433" s="4" t="s">
        <v>1046</v>
      </c>
      <c r="C433" s="4" t="s">
        <v>699</v>
      </c>
      <c r="D433" s="4" t="s">
        <v>2</v>
      </c>
      <c r="E433" s="4" t="s">
        <v>479</v>
      </c>
      <c r="F433" s="5">
        <v>3.5999999999999999E-3</v>
      </c>
      <c r="G433" s="5">
        <v>1000</v>
      </c>
    </row>
    <row r="434" spans="1:7" x14ac:dyDescent="0.15">
      <c r="A434" s="4" t="s">
        <v>579</v>
      </c>
      <c r="B434" s="4" t="s">
        <v>1047</v>
      </c>
      <c r="C434" s="4" t="s">
        <v>699</v>
      </c>
      <c r="D434" s="4" t="s">
        <v>488</v>
      </c>
      <c r="E434" s="4" t="s">
        <v>479</v>
      </c>
      <c r="F434" s="5">
        <v>0</v>
      </c>
      <c r="G434" s="5">
        <v>0</v>
      </c>
    </row>
    <row r="435" spans="1:7" x14ac:dyDescent="0.15">
      <c r="A435" s="4" t="s">
        <v>373</v>
      </c>
      <c r="B435" s="4" t="s">
        <v>1048</v>
      </c>
      <c r="C435" s="4" t="s">
        <v>699</v>
      </c>
      <c r="D435" s="4" t="s">
        <v>2</v>
      </c>
      <c r="E435" s="4" t="s">
        <v>479</v>
      </c>
      <c r="F435" s="5">
        <v>1.15E-3</v>
      </c>
      <c r="G435" s="5">
        <v>1000</v>
      </c>
    </row>
    <row r="436" spans="1:7" x14ac:dyDescent="0.15">
      <c r="A436" s="4" t="s">
        <v>369</v>
      </c>
      <c r="B436" s="4" t="s">
        <v>1047</v>
      </c>
      <c r="C436" s="4" t="s">
        <v>700</v>
      </c>
      <c r="D436" s="4" t="s">
        <v>2</v>
      </c>
      <c r="E436" s="4" t="s">
        <v>9</v>
      </c>
      <c r="F436" s="5">
        <v>3.5990000000000001E-2</v>
      </c>
      <c r="G436" s="5">
        <v>1000</v>
      </c>
    </row>
    <row r="437" spans="1:7" x14ac:dyDescent="0.15">
      <c r="A437" s="4" t="s">
        <v>374</v>
      </c>
      <c r="B437" s="4" t="s">
        <v>1049</v>
      </c>
      <c r="C437" s="4" t="s">
        <v>699</v>
      </c>
      <c r="D437" s="4" t="s">
        <v>2</v>
      </c>
      <c r="E437" s="4" t="s">
        <v>479</v>
      </c>
      <c r="F437" s="5">
        <v>5.799E-2</v>
      </c>
      <c r="G437" s="5">
        <v>0</v>
      </c>
    </row>
    <row r="438" spans="1:7" x14ac:dyDescent="0.15">
      <c r="A438" s="4" t="s">
        <v>376</v>
      </c>
      <c r="B438" s="4" t="s">
        <v>1050</v>
      </c>
      <c r="C438" s="4" t="s">
        <v>699</v>
      </c>
      <c r="D438" s="4" t="s">
        <v>2</v>
      </c>
      <c r="E438" s="4" t="s">
        <v>479</v>
      </c>
      <c r="F438" s="5">
        <v>0.11598</v>
      </c>
      <c r="G438" s="5">
        <v>0</v>
      </c>
    </row>
    <row r="439" spans="1:7" x14ac:dyDescent="0.15">
      <c r="A439" s="4" t="s">
        <v>377</v>
      </c>
      <c r="B439" s="4" t="s">
        <v>1051</v>
      </c>
      <c r="C439" s="4" t="s">
        <v>699</v>
      </c>
      <c r="D439" s="4" t="s">
        <v>2</v>
      </c>
      <c r="E439" s="4" t="s">
        <v>479</v>
      </c>
      <c r="F439" s="5">
        <v>2.8989999999999998E-2</v>
      </c>
      <c r="G439" s="5">
        <v>1000</v>
      </c>
    </row>
    <row r="440" spans="1:7" x14ac:dyDescent="0.15">
      <c r="A440" s="4" t="s">
        <v>580</v>
      </c>
      <c r="B440" s="4" t="s">
        <v>1052</v>
      </c>
      <c r="C440" s="4" t="s">
        <v>699</v>
      </c>
      <c r="D440" s="4" t="s">
        <v>488</v>
      </c>
      <c r="E440" s="4" t="s">
        <v>479</v>
      </c>
      <c r="F440" s="5">
        <v>0</v>
      </c>
      <c r="G440" s="5">
        <v>0</v>
      </c>
    </row>
    <row r="441" spans="1:7" x14ac:dyDescent="0.15">
      <c r="A441" s="4" t="s">
        <v>375</v>
      </c>
      <c r="B441" s="4" t="s">
        <v>1052</v>
      </c>
      <c r="C441" s="4" t="s">
        <v>700</v>
      </c>
      <c r="D441" s="4" t="s">
        <v>2</v>
      </c>
      <c r="E441" s="4" t="s">
        <v>9</v>
      </c>
      <c r="F441" s="5">
        <v>5.799E-2</v>
      </c>
      <c r="G441" s="5">
        <v>1000</v>
      </c>
    </row>
    <row r="442" spans="1:7" x14ac:dyDescent="0.15">
      <c r="A442" s="4" t="s">
        <v>378</v>
      </c>
      <c r="B442" s="4" t="s">
        <v>1053</v>
      </c>
      <c r="C442" s="4" t="s">
        <v>699</v>
      </c>
      <c r="D442" s="4" t="s">
        <v>2</v>
      </c>
      <c r="E442" s="4" t="s">
        <v>479</v>
      </c>
      <c r="F442" s="5">
        <v>7.5389999999999999E-2</v>
      </c>
      <c r="G442" s="5">
        <v>0</v>
      </c>
    </row>
    <row r="443" spans="1:7" x14ac:dyDescent="0.15">
      <c r="A443" s="4" t="s">
        <v>380</v>
      </c>
      <c r="B443" s="4" t="s">
        <v>1054</v>
      </c>
      <c r="C443" s="4" t="s">
        <v>699</v>
      </c>
      <c r="D443" s="4" t="s">
        <v>2</v>
      </c>
      <c r="E443" s="4" t="s">
        <v>479</v>
      </c>
      <c r="F443" s="5">
        <v>0.15076999999999999</v>
      </c>
      <c r="G443" s="5">
        <v>0</v>
      </c>
    </row>
    <row r="444" spans="1:7" x14ac:dyDescent="0.15">
      <c r="A444" s="4" t="s">
        <v>381</v>
      </c>
      <c r="B444" s="4" t="s">
        <v>1055</v>
      </c>
      <c r="C444" s="4" t="s">
        <v>699</v>
      </c>
      <c r="D444" s="4" t="s">
        <v>2</v>
      </c>
      <c r="E444" s="4" t="s">
        <v>479</v>
      </c>
      <c r="F444" s="5">
        <v>3.7690000000000001E-2</v>
      </c>
      <c r="G444" s="5">
        <v>1000</v>
      </c>
    </row>
    <row r="445" spans="1:7" x14ac:dyDescent="0.15">
      <c r="A445" s="4" t="s">
        <v>581</v>
      </c>
      <c r="B445" s="4" t="s">
        <v>1056</v>
      </c>
      <c r="C445" s="4" t="s">
        <v>699</v>
      </c>
      <c r="D445" s="4" t="s">
        <v>488</v>
      </c>
      <c r="E445" s="4" t="s">
        <v>479</v>
      </c>
      <c r="F445" s="5">
        <v>0</v>
      </c>
      <c r="G445" s="5">
        <v>0</v>
      </c>
    </row>
    <row r="446" spans="1:7" x14ac:dyDescent="0.15">
      <c r="A446" s="4" t="s">
        <v>379</v>
      </c>
      <c r="B446" s="4" t="s">
        <v>1056</v>
      </c>
      <c r="C446" s="4" t="s">
        <v>700</v>
      </c>
      <c r="D446" s="4" t="s">
        <v>2</v>
      </c>
      <c r="E446" s="4" t="s">
        <v>9</v>
      </c>
      <c r="F446" s="5">
        <v>7.5389999999999999E-2</v>
      </c>
      <c r="G446" s="5">
        <v>1000</v>
      </c>
    </row>
    <row r="447" spans="1:7" x14ac:dyDescent="0.15">
      <c r="A447" s="4" t="s">
        <v>382</v>
      </c>
      <c r="B447" s="4" t="s">
        <v>1057</v>
      </c>
      <c r="C447" s="4" t="s">
        <v>699</v>
      </c>
      <c r="D447" s="4" t="s">
        <v>2</v>
      </c>
      <c r="E447" s="4" t="s">
        <v>479</v>
      </c>
      <c r="F447" s="5">
        <v>4.7980000000000002E-2</v>
      </c>
      <c r="G447" s="5">
        <v>0</v>
      </c>
    </row>
    <row r="448" spans="1:7" x14ac:dyDescent="0.15">
      <c r="A448" s="4" t="s">
        <v>384</v>
      </c>
      <c r="B448" s="4" t="s">
        <v>1058</v>
      </c>
      <c r="C448" s="4" t="s">
        <v>699</v>
      </c>
      <c r="D448" s="4" t="s">
        <v>2</v>
      </c>
      <c r="E448" s="4" t="s">
        <v>479</v>
      </c>
      <c r="F448" s="5">
        <v>9.597E-2</v>
      </c>
      <c r="G448" s="5">
        <v>0</v>
      </c>
    </row>
    <row r="449" spans="1:7" x14ac:dyDescent="0.15">
      <c r="A449" s="4" t="s">
        <v>385</v>
      </c>
      <c r="B449" s="4" t="s">
        <v>1059</v>
      </c>
      <c r="C449" s="4" t="s">
        <v>699</v>
      </c>
      <c r="D449" s="4" t="s">
        <v>2</v>
      </c>
      <c r="E449" s="4" t="s">
        <v>479</v>
      </c>
      <c r="F449" s="5">
        <v>2.3990000000000001E-2</v>
      </c>
      <c r="G449" s="5">
        <v>1000</v>
      </c>
    </row>
    <row r="450" spans="1:7" x14ac:dyDescent="0.15">
      <c r="A450" s="4" t="s">
        <v>582</v>
      </c>
      <c r="B450" s="4" t="s">
        <v>1060</v>
      </c>
      <c r="C450" s="4" t="s">
        <v>699</v>
      </c>
      <c r="D450" s="4" t="s">
        <v>488</v>
      </c>
      <c r="E450" s="4" t="s">
        <v>479</v>
      </c>
      <c r="F450" s="5">
        <v>0</v>
      </c>
      <c r="G450" s="5">
        <v>0</v>
      </c>
    </row>
    <row r="451" spans="1:7" x14ac:dyDescent="0.15">
      <c r="A451" s="4" t="s">
        <v>383</v>
      </c>
      <c r="B451" s="4" t="s">
        <v>1060</v>
      </c>
      <c r="C451" s="4" t="s">
        <v>700</v>
      </c>
      <c r="D451" s="4" t="s">
        <v>2</v>
      </c>
      <c r="E451" s="4" t="s">
        <v>9</v>
      </c>
      <c r="F451" s="5">
        <v>4.7980000000000002E-2</v>
      </c>
      <c r="G451" s="5">
        <v>1000</v>
      </c>
    </row>
    <row r="452" spans="1:7" x14ac:dyDescent="0.15">
      <c r="A452" s="4" t="s">
        <v>386</v>
      </c>
      <c r="B452" s="4" t="s">
        <v>1061</v>
      </c>
      <c r="C452" s="4" t="s">
        <v>699</v>
      </c>
      <c r="D452" s="4" t="s">
        <v>2</v>
      </c>
      <c r="E452" s="4" t="s">
        <v>479</v>
      </c>
      <c r="F452" s="5">
        <v>8.6970000000000006E-2</v>
      </c>
      <c r="G452" s="5">
        <v>0</v>
      </c>
    </row>
    <row r="453" spans="1:7" x14ac:dyDescent="0.15">
      <c r="A453" s="4" t="s">
        <v>388</v>
      </c>
      <c r="B453" s="4" t="s">
        <v>1062</v>
      </c>
      <c r="C453" s="4" t="s">
        <v>699</v>
      </c>
      <c r="D453" s="4" t="s">
        <v>2</v>
      </c>
      <c r="E453" s="4" t="s">
        <v>479</v>
      </c>
      <c r="F453" s="5">
        <v>0.17394000000000001</v>
      </c>
      <c r="G453" s="5">
        <v>0</v>
      </c>
    </row>
    <row r="454" spans="1:7" x14ac:dyDescent="0.15">
      <c r="A454" s="4" t="s">
        <v>389</v>
      </c>
      <c r="B454" s="4" t="s">
        <v>1063</v>
      </c>
      <c r="C454" s="4" t="s">
        <v>699</v>
      </c>
      <c r="D454" s="4" t="s">
        <v>2</v>
      </c>
      <c r="E454" s="4" t="s">
        <v>479</v>
      </c>
      <c r="F454" s="5">
        <v>4.3490000000000001E-2</v>
      </c>
      <c r="G454" s="5">
        <v>1000</v>
      </c>
    </row>
    <row r="455" spans="1:7" x14ac:dyDescent="0.15">
      <c r="A455" s="4" t="s">
        <v>583</v>
      </c>
      <c r="B455" s="4" t="s">
        <v>1064</v>
      </c>
      <c r="C455" s="4" t="s">
        <v>699</v>
      </c>
      <c r="D455" s="4" t="s">
        <v>488</v>
      </c>
      <c r="E455" s="4" t="s">
        <v>479</v>
      </c>
      <c r="F455" s="5">
        <v>0</v>
      </c>
      <c r="G455" s="5">
        <v>0</v>
      </c>
    </row>
    <row r="456" spans="1:7" x14ac:dyDescent="0.15">
      <c r="A456" s="4" t="s">
        <v>387</v>
      </c>
      <c r="B456" s="4" t="s">
        <v>1064</v>
      </c>
      <c r="C456" s="4" t="s">
        <v>700</v>
      </c>
      <c r="D456" s="4" t="s">
        <v>2</v>
      </c>
      <c r="E456" s="4" t="s">
        <v>9</v>
      </c>
      <c r="F456" s="5">
        <v>8.6970000000000006E-2</v>
      </c>
      <c r="G456" s="5">
        <v>1000</v>
      </c>
    </row>
    <row r="457" spans="1:7" x14ac:dyDescent="0.15">
      <c r="A457" s="4" t="s">
        <v>390</v>
      </c>
      <c r="B457" s="4" t="s">
        <v>1065</v>
      </c>
      <c r="C457" s="4" t="s">
        <v>699</v>
      </c>
      <c r="D457" s="4" t="s">
        <v>2</v>
      </c>
      <c r="E457" s="4" t="s">
        <v>479</v>
      </c>
      <c r="F457" s="5">
        <v>0</v>
      </c>
      <c r="G457" s="5">
        <v>0</v>
      </c>
    </row>
    <row r="458" spans="1:7" x14ac:dyDescent="0.15">
      <c r="A458" s="4" t="s">
        <v>584</v>
      </c>
      <c r="B458" s="4" t="s">
        <v>1065</v>
      </c>
      <c r="C458" s="4" t="s">
        <v>699</v>
      </c>
      <c r="D458" s="4" t="s">
        <v>488</v>
      </c>
      <c r="E458" s="4" t="s">
        <v>479</v>
      </c>
      <c r="F458" s="5">
        <v>0</v>
      </c>
      <c r="G458" s="5">
        <v>0</v>
      </c>
    </row>
    <row r="459" spans="1:7" x14ac:dyDescent="0.15">
      <c r="A459" s="4" t="s">
        <v>391</v>
      </c>
      <c r="B459" s="4" t="s">
        <v>1065</v>
      </c>
      <c r="C459" s="4" t="s">
        <v>700</v>
      </c>
      <c r="D459" s="4" t="s">
        <v>2</v>
      </c>
      <c r="E459" s="4" t="s">
        <v>9</v>
      </c>
      <c r="F459" s="5">
        <v>0</v>
      </c>
      <c r="G459" s="5">
        <v>1000</v>
      </c>
    </row>
    <row r="460" spans="1:7" x14ac:dyDescent="0.15">
      <c r="A460" s="4" t="s">
        <v>394</v>
      </c>
      <c r="B460" s="4" t="s">
        <v>1066</v>
      </c>
      <c r="C460" s="4" t="s">
        <v>699</v>
      </c>
      <c r="D460" s="4" t="s">
        <v>2</v>
      </c>
      <c r="E460" s="4" t="s">
        <v>479</v>
      </c>
      <c r="F460" s="5">
        <v>0.91937000000000002</v>
      </c>
      <c r="G460" s="5">
        <v>0</v>
      </c>
    </row>
    <row r="461" spans="1:7" x14ac:dyDescent="0.15">
      <c r="A461" s="4" t="s">
        <v>396</v>
      </c>
      <c r="B461" s="4" t="s">
        <v>1067</v>
      </c>
      <c r="C461" s="4" t="s">
        <v>699</v>
      </c>
      <c r="D461" s="4" t="s">
        <v>2</v>
      </c>
      <c r="E461" s="4" t="s">
        <v>479</v>
      </c>
      <c r="F461" s="5">
        <v>0.94025999999999998</v>
      </c>
      <c r="G461" s="5">
        <v>0</v>
      </c>
    </row>
    <row r="462" spans="1:7" x14ac:dyDescent="0.15">
      <c r="A462" s="4" t="s">
        <v>397</v>
      </c>
      <c r="B462" s="4" t="s">
        <v>1068</v>
      </c>
      <c r="C462" s="4" t="s">
        <v>699</v>
      </c>
      <c r="D462" s="4" t="s">
        <v>2</v>
      </c>
      <c r="E462" s="4" t="s">
        <v>479</v>
      </c>
      <c r="F462" s="5">
        <v>0.99399000000000004</v>
      </c>
      <c r="G462" s="5">
        <v>0</v>
      </c>
    </row>
    <row r="463" spans="1:7" x14ac:dyDescent="0.15">
      <c r="A463" s="4" t="s">
        <v>398</v>
      </c>
      <c r="B463" s="4" t="s">
        <v>1069</v>
      </c>
      <c r="C463" s="4" t="s">
        <v>699</v>
      </c>
      <c r="D463" s="4" t="s">
        <v>2</v>
      </c>
      <c r="E463" s="4" t="s">
        <v>479</v>
      </c>
      <c r="F463" s="5">
        <v>1.05369</v>
      </c>
      <c r="G463" s="5">
        <v>0</v>
      </c>
    </row>
    <row r="464" spans="1:7" x14ac:dyDescent="0.15">
      <c r="A464" s="4" t="s">
        <v>399</v>
      </c>
      <c r="B464" s="4" t="s">
        <v>1070</v>
      </c>
      <c r="C464" s="4" t="s">
        <v>699</v>
      </c>
      <c r="D464" s="4" t="s">
        <v>2</v>
      </c>
      <c r="E464" s="4" t="s">
        <v>479</v>
      </c>
      <c r="F464" s="5">
        <v>1.2548699999999999</v>
      </c>
      <c r="G464" s="5">
        <v>0</v>
      </c>
    </row>
    <row r="465" spans="1:7" x14ac:dyDescent="0.15">
      <c r="A465" s="4" t="s">
        <v>400</v>
      </c>
      <c r="B465" s="4" t="s">
        <v>1071</v>
      </c>
      <c r="C465" s="4" t="s">
        <v>699</v>
      </c>
      <c r="D465" s="4" t="s">
        <v>2</v>
      </c>
      <c r="E465" s="4" t="s">
        <v>479</v>
      </c>
      <c r="F465" s="5">
        <v>3.3192700000000004</v>
      </c>
      <c r="G465" s="5">
        <v>0</v>
      </c>
    </row>
    <row r="466" spans="1:7" x14ac:dyDescent="0.15">
      <c r="A466" s="4" t="s">
        <v>585</v>
      </c>
      <c r="B466" s="4" t="s">
        <v>1066</v>
      </c>
      <c r="C466" s="4" t="s">
        <v>699</v>
      </c>
      <c r="D466" s="4" t="s">
        <v>488</v>
      </c>
      <c r="E466" s="4" t="s">
        <v>479</v>
      </c>
      <c r="F466" s="5">
        <v>0</v>
      </c>
      <c r="G466" s="5">
        <v>0</v>
      </c>
    </row>
    <row r="467" spans="1:7" x14ac:dyDescent="0.15">
      <c r="A467" s="4" t="s">
        <v>401</v>
      </c>
      <c r="B467" s="4" t="s">
        <v>1072</v>
      </c>
      <c r="C467" s="4" t="s">
        <v>699</v>
      </c>
      <c r="D467" s="4" t="s">
        <v>2</v>
      </c>
      <c r="E467" s="4" t="s">
        <v>479</v>
      </c>
      <c r="F467" s="5">
        <v>0.36297000000000001</v>
      </c>
      <c r="G467" s="5">
        <v>1000</v>
      </c>
    </row>
    <row r="468" spans="1:7" x14ac:dyDescent="0.15">
      <c r="A468" s="4" t="s">
        <v>402</v>
      </c>
      <c r="B468" s="4" t="s">
        <v>1073</v>
      </c>
      <c r="C468" s="4" t="s">
        <v>699</v>
      </c>
      <c r="D468" s="4" t="s">
        <v>2</v>
      </c>
      <c r="E468" s="4" t="s">
        <v>479</v>
      </c>
      <c r="F468" s="5">
        <v>0.49729000000000001</v>
      </c>
      <c r="G468" s="5">
        <v>1000</v>
      </c>
    </row>
    <row r="469" spans="1:7" x14ac:dyDescent="0.15">
      <c r="A469" s="4" t="s">
        <v>395</v>
      </c>
      <c r="B469" s="4" t="s">
        <v>1066</v>
      </c>
      <c r="C469" s="4" t="s">
        <v>700</v>
      </c>
      <c r="D469" s="4" t="s">
        <v>2</v>
      </c>
      <c r="E469" s="4" t="s">
        <v>9</v>
      </c>
      <c r="F469" s="5">
        <v>0.59699000000000002</v>
      </c>
      <c r="G469" s="5">
        <v>1000</v>
      </c>
    </row>
    <row r="470" spans="1:7" x14ac:dyDescent="0.15">
      <c r="A470" s="4" t="s">
        <v>403</v>
      </c>
      <c r="B470" s="4" t="s">
        <v>846</v>
      </c>
      <c r="C470" s="4" t="s">
        <v>699</v>
      </c>
      <c r="D470" s="4" t="s">
        <v>2</v>
      </c>
      <c r="E470" s="4" t="s">
        <v>479</v>
      </c>
      <c r="F470" s="5">
        <v>0.60540000000000005</v>
      </c>
      <c r="G470" s="5">
        <v>0</v>
      </c>
    </row>
    <row r="471" spans="1:7" x14ac:dyDescent="0.15">
      <c r="A471" s="4" t="s">
        <v>404</v>
      </c>
      <c r="B471" s="4" t="s">
        <v>848</v>
      </c>
      <c r="C471" s="4" t="s">
        <v>700</v>
      </c>
      <c r="D471" s="4" t="s">
        <v>2</v>
      </c>
      <c r="E471" s="4" t="s">
        <v>9</v>
      </c>
      <c r="F471" s="5">
        <v>0.30270000000000002</v>
      </c>
      <c r="G471" s="5">
        <v>1000</v>
      </c>
    </row>
    <row r="472" spans="1:7" x14ac:dyDescent="0.15">
      <c r="A472" s="4" t="s">
        <v>405</v>
      </c>
      <c r="B472" s="4" t="s">
        <v>853</v>
      </c>
      <c r="C472" s="4" t="s">
        <v>699</v>
      </c>
      <c r="D472" s="4" t="s">
        <v>2</v>
      </c>
      <c r="E472" s="4" t="s">
        <v>479</v>
      </c>
      <c r="F472" s="5">
        <v>0.88568000000000002</v>
      </c>
      <c r="G472" s="5">
        <v>0</v>
      </c>
    </row>
    <row r="473" spans="1:7" x14ac:dyDescent="0.15">
      <c r="A473" s="4" t="s">
        <v>586</v>
      </c>
      <c r="B473" s="4" t="s">
        <v>856</v>
      </c>
      <c r="C473" s="4" t="s">
        <v>699</v>
      </c>
      <c r="D473" s="4" t="s">
        <v>488</v>
      </c>
      <c r="E473" s="4" t="s">
        <v>479</v>
      </c>
      <c r="F473" s="5">
        <v>0</v>
      </c>
      <c r="G473" s="5">
        <v>0</v>
      </c>
    </row>
    <row r="474" spans="1:7" x14ac:dyDescent="0.15">
      <c r="A474" s="4" t="s">
        <v>406</v>
      </c>
      <c r="B474" s="4" t="s">
        <v>856</v>
      </c>
      <c r="C474" s="4" t="s">
        <v>700</v>
      </c>
      <c r="D474" s="4" t="s">
        <v>2</v>
      </c>
      <c r="E474" s="4" t="s">
        <v>9</v>
      </c>
      <c r="F474" s="5">
        <v>0.44284000000000001</v>
      </c>
      <c r="G474" s="5">
        <v>1000</v>
      </c>
    </row>
    <row r="475" spans="1:7" x14ac:dyDescent="0.15">
      <c r="A475" s="4" t="s">
        <v>407</v>
      </c>
      <c r="B475" s="4" t="s">
        <v>920</v>
      </c>
      <c r="C475" s="4" t="s">
        <v>699</v>
      </c>
      <c r="D475" s="4" t="s">
        <v>2</v>
      </c>
      <c r="E475" s="4" t="s">
        <v>479</v>
      </c>
      <c r="F475" s="5">
        <v>0.24895999999999999</v>
      </c>
      <c r="G475" s="5">
        <v>0</v>
      </c>
    </row>
    <row r="476" spans="1:7" x14ac:dyDescent="0.15">
      <c r="A476" s="4" t="s">
        <v>408</v>
      </c>
      <c r="B476" s="4" t="s">
        <v>922</v>
      </c>
      <c r="C476" s="4" t="s">
        <v>700</v>
      </c>
      <c r="D476" s="4" t="s">
        <v>2</v>
      </c>
      <c r="E476" s="4" t="s">
        <v>9</v>
      </c>
      <c r="F476" s="5">
        <v>0.12447999999999999</v>
      </c>
      <c r="G476" s="5">
        <v>1000</v>
      </c>
    </row>
    <row r="477" spans="1:7" x14ac:dyDescent="0.15">
      <c r="A477" s="4" t="s">
        <v>587</v>
      </c>
      <c r="B477" s="4" t="s">
        <v>1074</v>
      </c>
      <c r="C477" s="4" t="s">
        <v>702</v>
      </c>
      <c r="D477" s="4" t="s">
        <v>703</v>
      </c>
      <c r="E477" s="4" t="s">
        <v>479</v>
      </c>
      <c r="F477" s="5">
        <v>0</v>
      </c>
      <c r="G477" s="5">
        <v>0</v>
      </c>
    </row>
    <row r="478" spans="1:7" x14ac:dyDescent="0.15">
      <c r="A478" s="4" t="s">
        <v>588</v>
      </c>
      <c r="B478" s="4" t="s">
        <v>800</v>
      </c>
      <c r="C478" s="4" t="s">
        <v>699</v>
      </c>
      <c r="D478" s="4" t="s">
        <v>2</v>
      </c>
      <c r="E478" s="4" t="s">
        <v>479</v>
      </c>
      <c r="F478" s="5">
        <v>0</v>
      </c>
      <c r="G478" s="5">
        <v>0</v>
      </c>
    </row>
    <row r="479" spans="1:7" x14ac:dyDescent="0.15">
      <c r="A479" s="4" t="s">
        <v>409</v>
      </c>
      <c r="B479" s="4" t="s">
        <v>800</v>
      </c>
      <c r="C479" s="4" t="s">
        <v>700</v>
      </c>
      <c r="D479" s="4" t="s">
        <v>2</v>
      </c>
      <c r="E479" s="4" t="s">
        <v>9</v>
      </c>
      <c r="F479" s="5">
        <v>0.20760999999999999</v>
      </c>
      <c r="G479" s="5">
        <v>1000</v>
      </c>
    </row>
    <row r="480" spans="1:7" x14ac:dyDescent="0.15">
      <c r="A480" s="4" t="s">
        <v>589</v>
      </c>
      <c r="B480" s="4" t="s">
        <v>1075</v>
      </c>
      <c r="C480" s="4" t="s">
        <v>699</v>
      </c>
      <c r="D480" s="4" t="s">
        <v>2</v>
      </c>
      <c r="E480" s="4" t="s">
        <v>479</v>
      </c>
      <c r="F480" s="5">
        <v>0</v>
      </c>
      <c r="G480" s="5">
        <v>0</v>
      </c>
    </row>
    <row r="481" spans="1:7" x14ac:dyDescent="0.15">
      <c r="A481" s="4" t="s">
        <v>590</v>
      </c>
      <c r="B481" s="4" t="s">
        <v>1076</v>
      </c>
      <c r="C481" s="4" t="s">
        <v>702</v>
      </c>
      <c r="D481" s="4" t="s">
        <v>703</v>
      </c>
      <c r="E481" s="4" t="s">
        <v>18</v>
      </c>
      <c r="F481" s="5">
        <v>0</v>
      </c>
      <c r="G481" s="5">
        <v>0</v>
      </c>
    </row>
    <row r="482" spans="1:7" x14ac:dyDescent="0.15">
      <c r="A482" s="4" t="s">
        <v>693</v>
      </c>
      <c r="B482" s="4" t="s">
        <v>1077</v>
      </c>
      <c r="C482" s="4" t="s">
        <v>702</v>
      </c>
      <c r="D482" s="4" t="s">
        <v>703</v>
      </c>
      <c r="E482" s="4" t="s">
        <v>479</v>
      </c>
      <c r="F482" s="5">
        <v>0</v>
      </c>
      <c r="G482" s="5">
        <v>0</v>
      </c>
    </row>
    <row r="483" spans="1:7" x14ac:dyDescent="0.15">
      <c r="A483" s="4" t="s">
        <v>410</v>
      </c>
      <c r="B483" s="4" t="s">
        <v>1078</v>
      </c>
      <c r="C483" s="4" t="s">
        <v>699</v>
      </c>
      <c r="D483" s="4" t="s">
        <v>2</v>
      </c>
      <c r="E483" s="4" t="s">
        <v>479</v>
      </c>
      <c r="F483" s="5">
        <v>4.9340000000000002E-2</v>
      </c>
      <c r="G483" s="5">
        <v>0</v>
      </c>
    </row>
    <row r="484" spans="1:7" x14ac:dyDescent="0.15">
      <c r="A484" s="4" t="s">
        <v>591</v>
      </c>
      <c r="B484" s="4" t="s">
        <v>1078</v>
      </c>
      <c r="C484" s="4" t="s">
        <v>699</v>
      </c>
      <c r="D484" s="4" t="s">
        <v>2</v>
      </c>
      <c r="E484" s="4" t="s">
        <v>479</v>
      </c>
      <c r="F484" s="5">
        <v>0</v>
      </c>
      <c r="G484" s="5">
        <v>0</v>
      </c>
    </row>
    <row r="485" spans="1:7" x14ac:dyDescent="0.15">
      <c r="A485" s="4" t="s">
        <v>411</v>
      </c>
      <c r="B485" s="4" t="s">
        <v>1078</v>
      </c>
      <c r="C485" s="4" t="s">
        <v>700</v>
      </c>
      <c r="D485" s="4" t="s">
        <v>2</v>
      </c>
      <c r="E485" s="4" t="s">
        <v>9</v>
      </c>
      <c r="F485" s="5">
        <v>1.1E-4</v>
      </c>
      <c r="G485" s="5">
        <v>1000</v>
      </c>
    </row>
    <row r="486" spans="1:7" x14ac:dyDescent="0.15">
      <c r="A486" s="4" t="s">
        <v>592</v>
      </c>
      <c r="B486" s="4" t="s">
        <v>1079</v>
      </c>
      <c r="C486" s="4" t="s">
        <v>699</v>
      </c>
      <c r="D486" s="4" t="s">
        <v>2</v>
      </c>
      <c r="E486" s="4" t="s">
        <v>479</v>
      </c>
      <c r="F486" s="5">
        <v>0</v>
      </c>
      <c r="G486" s="5">
        <v>0</v>
      </c>
    </row>
    <row r="487" spans="1:7" x14ac:dyDescent="0.15">
      <c r="A487" s="4" t="s">
        <v>593</v>
      </c>
      <c r="B487" s="4" t="s">
        <v>1080</v>
      </c>
      <c r="C487" s="4" t="s">
        <v>699</v>
      </c>
      <c r="D487" s="4" t="s">
        <v>2</v>
      </c>
      <c r="E487" s="4" t="s">
        <v>479</v>
      </c>
      <c r="F487" s="5">
        <v>0</v>
      </c>
      <c r="G487" s="5">
        <v>0</v>
      </c>
    </row>
    <row r="488" spans="1:7" x14ac:dyDescent="0.15">
      <c r="A488" s="4" t="s">
        <v>594</v>
      </c>
      <c r="B488" s="4" t="s">
        <v>1080</v>
      </c>
      <c r="C488" s="4" t="s">
        <v>699</v>
      </c>
      <c r="D488" s="4" t="s">
        <v>2</v>
      </c>
      <c r="E488" s="4" t="s">
        <v>479</v>
      </c>
      <c r="F488" s="5">
        <v>0</v>
      </c>
      <c r="G488" s="5">
        <v>0</v>
      </c>
    </row>
    <row r="489" spans="1:7" x14ac:dyDescent="0.15">
      <c r="A489" s="4" t="s">
        <v>595</v>
      </c>
      <c r="B489" s="4" t="s">
        <v>1081</v>
      </c>
      <c r="C489" s="4" t="s">
        <v>699</v>
      </c>
      <c r="D489" s="4" t="s">
        <v>2</v>
      </c>
      <c r="E489" s="4" t="s">
        <v>479</v>
      </c>
      <c r="F489" s="5">
        <v>0</v>
      </c>
      <c r="G489" s="5">
        <v>0</v>
      </c>
    </row>
    <row r="490" spans="1:7" x14ac:dyDescent="0.15">
      <c r="A490" s="4" t="s">
        <v>596</v>
      </c>
      <c r="B490" s="4" t="s">
        <v>1082</v>
      </c>
      <c r="C490" s="4" t="s">
        <v>699</v>
      </c>
      <c r="D490" s="4" t="s">
        <v>2</v>
      </c>
      <c r="E490" s="4" t="s">
        <v>479</v>
      </c>
      <c r="F490" s="5">
        <v>0</v>
      </c>
      <c r="G490" s="5">
        <v>0</v>
      </c>
    </row>
    <row r="491" spans="1:7" x14ac:dyDescent="0.15">
      <c r="A491" s="4" t="s">
        <v>597</v>
      </c>
      <c r="B491" s="4" t="s">
        <v>1083</v>
      </c>
      <c r="C491" s="4" t="s">
        <v>699</v>
      </c>
      <c r="D491" s="4" t="s">
        <v>2</v>
      </c>
      <c r="E491" s="4" t="s">
        <v>479</v>
      </c>
      <c r="F491" s="5">
        <v>0</v>
      </c>
      <c r="G491" s="5">
        <v>0</v>
      </c>
    </row>
    <row r="492" spans="1:7" x14ac:dyDescent="0.15">
      <c r="A492" s="4" t="s">
        <v>598</v>
      </c>
      <c r="B492" s="4" t="s">
        <v>1084</v>
      </c>
      <c r="C492" s="4" t="s">
        <v>699</v>
      </c>
      <c r="D492" s="4" t="s">
        <v>2</v>
      </c>
      <c r="E492" s="4" t="s">
        <v>479</v>
      </c>
      <c r="F492" s="5">
        <v>0</v>
      </c>
      <c r="G492" s="5">
        <v>0</v>
      </c>
    </row>
    <row r="493" spans="1:7" x14ac:dyDescent="0.15">
      <c r="A493" s="4" t="s">
        <v>599</v>
      </c>
      <c r="B493" s="4" t="s">
        <v>1084</v>
      </c>
      <c r="C493" s="4" t="s">
        <v>699</v>
      </c>
      <c r="D493" s="4" t="s">
        <v>2</v>
      </c>
      <c r="E493" s="4" t="s">
        <v>479</v>
      </c>
      <c r="F493" s="5">
        <v>0</v>
      </c>
      <c r="G493" s="5">
        <v>0</v>
      </c>
    </row>
    <row r="494" spans="1:7" x14ac:dyDescent="0.15">
      <c r="A494" s="4" t="s">
        <v>600</v>
      </c>
      <c r="B494" s="4" t="s">
        <v>1085</v>
      </c>
      <c r="C494" s="4" t="s">
        <v>699</v>
      </c>
      <c r="D494" s="4" t="s">
        <v>2</v>
      </c>
      <c r="E494" s="4" t="s">
        <v>479</v>
      </c>
      <c r="F494" s="5">
        <v>0</v>
      </c>
      <c r="G494" s="5">
        <v>0</v>
      </c>
    </row>
    <row r="495" spans="1:7" x14ac:dyDescent="0.15">
      <c r="A495" s="4" t="s">
        <v>601</v>
      </c>
      <c r="B495" s="4" t="s">
        <v>1086</v>
      </c>
      <c r="C495" s="4" t="s">
        <v>699</v>
      </c>
      <c r="D495" s="4" t="s">
        <v>2</v>
      </c>
      <c r="E495" s="4" t="s">
        <v>479</v>
      </c>
      <c r="F495" s="5">
        <v>0</v>
      </c>
      <c r="G495" s="5">
        <v>0</v>
      </c>
    </row>
    <row r="496" spans="1:7" x14ac:dyDescent="0.15">
      <c r="A496" s="4" t="s">
        <v>602</v>
      </c>
      <c r="B496" s="4" t="s">
        <v>1086</v>
      </c>
      <c r="C496" s="4" t="s">
        <v>699</v>
      </c>
      <c r="D496" s="4" t="s">
        <v>2</v>
      </c>
      <c r="E496" s="4" t="s">
        <v>479</v>
      </c>
      <c r="F496" s="5">
        <v>0</v>
      </c>
      <c r="G496" s="5">
        <v>0</v>
      </c>
    </row>
    <row r="497" spans="1:7" x14ac:dyDescent="0.15">
      <c r="A497" s="4" t="s">
        <v>603</v>
      </c>
      <c r="B497" s="4" t="s">
        <v>1086</v>
      </c>
      <c r="C497" s="4" t="s">
        <v>699</v>
      </c>
      <c r="D497" s="4" t="s">
        <v>2</v>
      </c>
      <c r="E497" s="4" t="s">
        <v>479</v>
      </c>
      <c r="F497" s="5">
        <v>0</v>
      </c>
      <c r="G497" s="5">
        <v>0</v>
      </c>
    </row>
    <row r="498" spans="1:7" x14ac:dyDescent="0.15">
      <c r="A498" s="4" t="s">
        <v>604</v>
      </c>
      <c r="B498" s="4" t="s">
        <v>1087</v>
      </c>
      <c r="C498" s="4" t="s">
        <v>699</v>
      </c>
      <c r="D498" s="4" t="s">
        <v>2</v>
      </c>
      <c r="E498" s="4" t="s">
        <v>479</v>
      </c>
      <c r="F498" s="5">
        <v>0</v>
      </c>
      <c r="G498" s="5">
        <v>0</v>
      </c>
    </row>
    <row r="499" spans="1:7" x14ac:dyDescent="0.15">
      <c r="A499" s="4" t="s">
        <v>605</v>
      </c>
      <c r="B499" s="4" t="s">
        <v>1088</v>
      </c>
      <c r="C499" s="4" t="s">
        <v>699</v>
      </c>
      <c r="D499" s="4" t="s">
        <v>2</v>
      </c>
      <c r="E499" s="4" t="s">
        <v>479</v>
      </c>
      <c r="F499" s="5">
        <v>0</v>
      </c>
      <c r="G499" s="5">
        <v>0</v>
      </c>
    </row>
    <row r="500" spans="1:7" x14ac:dyDescent="0.15">
      <c r="A500" s="4" t="s">
        <v>606</v>
      </c>
      <c r="B500" s="4" t="s">
        <v>1088</v>
      </c>
      <c r="C500" s="4" t="s">
        <v>699</v>
      </c>
      <c r="D500" s="4" t="s">
        <v>2</v>
      </c>
      <c r="E500" s="4" t="s">
        <v>479</v>
      </c>
      <c r="F500" s="5">
        <v>0</v>
      </c>
      <c r="G500" s="5">
        <v>0</v>
      </c>
    </row>
    <row r="501" spans="1:7" x14ac:dyDescent="0.15">
      <c r="A501" s="4" t="s">
        <v>607</v>
      </c>
      <c r="B501" s="4" t="s">
        <v>1082</v>
      </c>
      <c r="C501" s="4" t="s">
        <v>699</v>
      </c>
      <c r="D501" s="4" t="s">
        <v>2</v>
      </c>
      <c r="E501" s="4" t="s">
        <v>479</v>
      </c>
      <c r="F501" s="5">
        <v>0</v>
      </c>
      <c r="G501" s="5">
        <v>0</v>
      </c>
    </row>
    <row r="502" spans="1:7" x14ac:dyDescent="0.15">
      <c r="A502" s="4" t="s">
        <v>608</v>
      </c>
      <c r="B502" s="4" t="s">
        <v>1089</v>
      </c>
      <c r="C502" s="4" t="s">
        <v>699</v>
      </c>
      <c r="D502" s="4" t="s">
        <v>2</v>
      </c>
      <c r="E502" s="4" t="s">
        <v>479</v>
      </c>
      <c r="F502" s="5">
        <v>0</v>
      </c>
      <c r="G502" s="5">
        <v>0</v>
      </c>
    </row>
    <row r="503" spans="1:7" x14ac:dyDescent="0.15">
      <c r="A503" s="4" t="s">
        <v>609</v>
      </c>
      <c r="B503" s="4" t="s">
        <v>1090</v>
      </c>
      <c r="C503" s="4" t="s">
        <v>699</v>
      </c>
      <c r="D503" s="4" t="s">
        <v>2</v>
      </c>
      <c r="E503" s="4" t="s">
        <v>479</v>
      </c>
      <c r="F503" s="5">
        <v>0</v>
      </c>
      <c r="G503" s="5">
        <v>0</v>
      </c>
    </row>
    <row r="504" spans="1:7" x14ac:dyDescent="0.15">
      <c r="A504" s="4" t="s">
        <v>610</v>
      </c>
      <c r="B504" s="4" t="s">
        <v>1090</v>
      </c>
      <c r="C504" s="4" t="s">
        <v>699</v>
      </c>
      <c r="D504" s="4" t="s">
        <v>2</v>
      </c>
      <c r="E504" s="4" t="s">
        <v>479</v>
      </c>
      <c r="F504" s="5">
        <v>0</v>
      </c>
      <c r="G504" s="5">
        <v>0</v>
      </c>
    </row>
    <row r="505" spans="1:7" x14ac:dyDescent="0.15">
      <c r="A505" s="4" t="s">
        <v>413</v>
      </c>
      <c r="B505" s="4" t="s">
        <v>1091</v>
      </c>
      <c r="C505" s="4" t="s">
        <v>699</v>
      </c>
      <c r="D505" s="4" t="s">
        <v>2</v>
      </c>
      <c r="E505" s="4" t="s">
        <v>479</v>
      </c>
      <c r="F505" s="5">
        <v>0.40311000000000002</v>
      </c>
      <c r="G505" s="5">
        <v>0</v>
      </c>
    </row>
    <row r="506" spans="1:7" x14ac:dyDescent="0.15">
      <c r="A506" s="4" t="s">
        <v>415</v>
      </c>
      <c r="B506" s="4" t="s">
        <v>1092</v>
      </c>
      <c r="C506" s="4" t="s">
        <v>699</v>
      </c>
      <c r="D506" s="4" t="s">
        <v>2</v>
      </c>
      <c r="E506" s="4" t="s">
        <v>479</v>
      </c>
      <c r="F506" s="5">
        <v>0.44640000000000002</v>
      </c>
      <c r="G506" s="5">
        <v>0</v>
      </c>
    </row>
    <row r="507" spans="1:7" x14ac:dyDescent="0.15">
      <c r="A507" s="4" t="s">
        <v>416</v>
      </c>
      <c r="B507" s="4" t="s">
        <v>1093</v>
      </c>
      <c r="C507" s="4" t="s">
        <v>699</v>
      </c>
      <c r="D507" s="4" t="s">
        <v>2</v>
      </c>
      <c r="E507" s="4" t="s">
        <v>479</v>
      </c>
      <c r="F507" s="5">
        <v>0.46805000000000002</v>
      </c>
      <c r="G507" s="5">
        <v>0</v>
      </c>
    </row>
    <row r="508" spans="1:7" x14ac:dyDescent="0.15">
      <c r="A508" s="4" t="s">
        <v>417</v>
      </c>
      <c r="B508" s="4" t="s">
        <v>1094</v>
      </c>
      <c r="C508" s="4" t="s">
        <v>699</v>
      </c>
      <c r="D508" s="4" t="s">
        <v>2</v>
      </c>
      <c r="E508" s="4" t="s">
        <v>479</v>
      </c>
      <c r="F508" s="5">
        <v>0.48970000000000002</v>
      </c>
      <c r="G508" s="5">
        <v>0</v>
      </c>
    </row>
    <row r="509" spans="1:7" x14ac:dyDescent="0.15">
      <c r="A509" s="4" t="s">
        <v>418</v>
      </c>
      <c r="B509" s="4" t="s">
        <v>1095</v>
      </c>
      <c r="C509" s="4" t="s">
        <v>699</v>
      </c>
      <c r="D509" s="4" t="s">
        <v>2</v>
      </c>
      <c r="E509" s="4" t="s">
        <v>479</v>
      </c>
      <c r="F509" s="5">
        <v>0.53300000000000003</v>
      </c>
      <c r="G509" s="5">
        <v>0</v>
      </c>
    </row>
    <row r="510" spans="1:7" x14ac:dyDescent="0.15">
      <c r="A510" s="4" t="s">
        <v>419</v>
      </c>
      <c r="B510" s="4" t="s">
        <v>1096</v>
      </c>
      <c r="C510" s="4" t="s">
        <v>699</v>
      </c>
      <c r="D510" s="4" t="s">
        <v>2</v>
      </c>
      <c r="E510" s="4" t="s">
        <v>479</v>
      </c>
      <c r="F510" s="5">
        <v>0.59794999999999998</v>
      </c>
      <c r="G510" s="5">
        <v>0</v>
      </c>
    </row>
    <row r="511" spans="1:7" x14ac:dyDescent="0.15">
      <c r="A511" s="4" t="s">
        <v>420</v>
      </c>
      <c r="B511" s="4" t="s">
        <v>1097</v>
      </c>
      <c r="C511" s="4" t="s">
        <v>699</v>
      </c>
      <c r="D511" s="4" t="s">
        <v>2</v>
      </c>
      <c r="E511" s="4" t="s">
        <v>479</v>
      </c>
      <c r="F511" s="5">
        <v>0.64124999999999999</v>
      </c>
      <c r="G511" s="5">
        <v>0</v>
      </c>
    </row>
    <row r="512" spans="1:7" x14ac:dyDescent="0.15">
      <c r="A512" s="4" t="s">
        <v>421</v>
      </c>
      <c r="B512" s="4" t="s">
        <v>1098</v>
      </c>
      <c r="C512" s="4" t="s">
        <v>699</v>
      </c>
      <c r="D512" s="4" t="s">
        <v>2</v>
      </c>
      <c r="E512" s="4" t="s">
        <v>479</v>
      </c>
      <c r="F512" s="5">
        <v>0.68454999999999999</v>
      </c>
      <c r="G512" s="5">
        <v>0</v>
      </c>
    </row>
    <row r="513" spans="1:7" x14ac:dyDescent="0.15">
      <c r="A513" s="4" t="s">
        <v>422</v>
      </c>
      <c r="B513" s="4" t="s">
        <v>1099</v>
      </c>
      <c r="C513" s="4" t="s">
        <v>699</v>
      </c>
      <c r="D513" s="4" t="s">
        <v>2</v>
      </c>
      <c r="E513" s="4" t="s">
        <v>479</v>
      </c>
      <c r="F513" s="5">
        <v>0.72784000000000004</v>
      </c>
      <c r="G513" s="5">
        <v>0</v>
      </c>
    </row>
    <row r="514" spans="1:7" x14ac:dyDescent="0.15">
      <c r="A514" s="4" t="s">
        <v>423</v>
      </c>
      <c r="B514" s="4" t="s">
        <v>1100</v>
      </c>
      <c r="C514" s="4" t="s">
        <v>699</v>
      </c>
      <c r="D514" s="4" t="s">
        <v>2</v>
      </c>
      <c r="E514" s="4" t="s">
        <v>479</v>
      </c>
      <c r="F514" s="5">
        <v>0.77114000000000005</v>
      </c>
      <c r="G514" s="5">
        <v>0</v>
      </c>
    </row>
    <row r="515" spans="1:7" x14ac:dyDescent="0.15">
      <c r="A515" s="4" t="s">
        <v>424</v>
      </c>
      <c r="B515" s="4" t="s">
        <v>1101</v>
      </c>
      <c r="C515" s="4" t="s">
        <v>699</v>
      </c>
      <c r="D515" s="4" t="s">
        <v>2</v>
      </c>
      <c r="E515" s="4" t="s">
        <v>479</v>
      </c>
      <c r="F515" s="5">
        <v>0.81444000000000005</v>
      </c>
      <c r="G515" s="5">
        <v>0</v>
      </c>
    </row>
    <row r="516" spans="1:7" x14ac:dyDescent="0.15">
      <c r="A516" s="4" t="s">
        <v>425</v>
      </c>
      <c r="B516" s="4" t="s">
        <v>1102</v>
      </c>
      <c r="C516" s="4" t="s">
        <v>699</v>
      </c>
      <c r="D516" s="4" t="s">
        <v>2</v>
      </c>
      <c r="E516" s="4" t="s">
        <v>479</v>
      </c>
      <c r="F516" s="5">
        <v>0.98763000000000001</v>
      </c>
      <c r="G516" s="5">
        <v>0</v>
      </c>
    </row>
    <row r="517" spans="1:7" x14ac:dyDescent="0.15">
      <c r="A517" s="4" t="s">
        <v>426</v>
      </c>
      <c r="B517" s="4" t="s">
        <v>1103</v>
      </c>
      <c r="C517" s="4" t="s">
        <v>699</v>
      </c>
      <c r="D517" s="4" t="s">
        <v>2</v>
      </c>
      <c r="E517" s="4" t="s">
        <v>479</v>
      </c>
      <c r="F517" s="5">
        <v>0.35265999999999997</v>
      </c>
      <c r="G517" s="5">
        <v>0</v>
      </c>
    </row>
    <row r="518" spans="1:7" x14ac:dyDescent="0.15">
      <c r="A518" s="4" t="s">
        <v>427</v>
      </c>
      <c r="B518" s="4" t="s">
        <v>1104</v>
      </c>
      <c r="C518" s="4" t="s">
        <v>699</v>
      </c>
      <c r="D518" s="4" t="s">
        <v>2</v>
      </c>
      <c r="E518" s="4" t="s">
        <v>479</v>
      </c>
      <c r="F518" s="5">
        <v>0.38406000000000001</v>
      </c>
      <c r="G518" s="5">
        <v>0</v>
      </c>
    </row>
    <row r="519" spans="1:7" x14ac:dyDescent="0.15">
      <c r="A519" s="4" t="s">
        <v>428</v>
      </c>
      <c r="B519" s="4" t="s">
        <v>1105</v>
      </c>
      <c r="C519" s="4" t="s">
        <v>699</v>
      </c>
      <c r="D519" s="4" t="s">
        <v>2</v>
      </c>
      <c r="E519" s="4" t="s">
        <v>479</v>
      </c>
      <c r="F519" s="5">
        <v>0.39206999999999997</v>
      </c>
      <c r="G519" s="5">
        <v>0</v>
      </c>
    </row>
    <row r="520" spans="1:7" x14ac:dyDescent="0.15">
      <c r="A520" s="4" t="s">
        <v>429</v>
      </c>
      <c r="B520" s="4" t="s">
        <v>1106</v>
      </c>
      <c r="C520" s="4" t="s">
        <v>699</v>
      </c>
      <c r="D520" s="4" t="s">
        <v>2</v>
      </c>
      <c r="E520" s="4" t="s">
        <v>479</v>
      </c>
      <c r="F520" s="5">
        <v>0.39595999999999998</v>
      </c>
      <c r="G520" s="5">
        <v>0</v>
      </c>
    </row>
    <row r="521" spans="1:7" x14ac:dyDescent="0.15">
      <c r="A521" s="4" t="s">
        <v>430</v>
      </c>
      <c r="B521" s="4" t="s">
        <v>1107</v>
      </c>
      <c r="C521" s="4" t="s">
        <v>699</v>
      </c>
      <c r="D521" s="4" t="s">
        <v>2</v>
      </c>
      <c r="E521" s="4" t="s">
        <v>479</v>
      </c>
      <c r="F521" s="5">
        <v>0.39964</v>
      </c>
      <c r="G521" s="5">
        <v>0</v>
      </c>
    </row>
    <row r="522" spans="1:7" x14ac:dyDescent="0.15">
      <c r="A522" s="4" t="s">
        <v>431</v>
      </c>
      <c r="B522" s="4" t="s">
        <v>1108</v>
      </c>
      <c r="C522" s="4" t="s">
        <v>699</v>
      </c>
      <c r="D522" s="4" t="s">
        <v>2</v>
      </c>
      <c r="E522" s="4" t="s">
        <v>479</v>
      </c>
      <c r="F522" s="5">
        <v>0.41760999999999998</v>
      </c>
      <c r="G522" s="5">
        <v>0</v>
      </c>
    </row>
    <row r="523" spans="1:7" x14ac:dyDescent="0.15">
      <c r="A523" s="4" t="s">
        <v>432</v>
      </c>
      <c r="B523" s="4" t="s">
        <v>1109</v>
      </c>
      <c r="C523" s="4" t="s">
        <v>699</v>
      </c>
      <c r="D523" s="4" t="s">
        <v>2</v>
      </c>
      <c r="E523" s="4" t="s">
        <v>479</v>
      </c>
      <c r="F523" s="5">
        <v>0.42735000000000001</v>
      </c>
      <c r="G523" s="5">
        <v>0</v>
      </c>
    </row>
    <row r="524" spans="1:7" x14ac:dyDescent="0.15">
      <c r="A524" s="4" t="s">
        <v>433</v>
      </c>
      <c r="B524" s="4" t="s">
        <v>1110</v>
      </c>
      <c r="C524" s="4" t="s">
        <v>699</v>
      </c>
      <c r="D524" s="4" t="s">
        <v>2</v>
      </c>
      <c r="E524" s="4" t="s">
        <v>479</v>
      </c>
      <c r="F524" s="5">
        <v>0.44294</v>
      </c>
      <c r="G524" s="5">
        <v>0</v>
      </c>
    </row>
    <row r="525" spans="1:7" x14ac:dyDescent="0.15">
      <c r="A525" s="4" t="s">
        <v>434</v>
      </c>
      <c r="B525" s="4" t="s">
        <v>1111</v>
      </c>
      <c r="C525" s="4" t="s">
        <v>699</v>
      </c>
      <c r="D525" s="4" t="s">
        <v>2</v>
      </c>
      <c r="E525" s="4" t="s">
        <v>479</v>
      </c>
      <c r="F525" s="5">
        <v>0.44900000000000001</v>
      </c>
      <c r="G525" s="5">
        <v>0</v>
      </c>
    </row>
    <row r="526" spans="1:7" x14ac:dyDescent="0.15">
      <c r="A526" s="4" t="s">
        <v>435</v>
      </c>
      <c r="B526" s="4" t="s">
        <v>1112</v>
      </c>
      <c r="C526" s="4" t="s">
        <v>699</v>
      </c>
      <c r="D526" s="4" t="s">
        <v>2</v>
      </c>
      <c r="E526" s="4" t="s">
        <v>479</v>
      </c>
      <c r="F526" s="5">
        <v>0.47865999999999997</v>
      </c>
      <c r="G526" s="5">
        <v>0</v>
      </c>
    </row>
    <row r="527" spans="1:7" x14ac:dyDescent="0.15">
      <c r="A527" s="4" t="s">
        <v>436</v>
      </c>
      <c r="B527" s="4" t="s">
        <v>1113</v>
      </c>
      <c r="C527" s="4" t="s">
        <v>699</v>
      </c>
      <c r="D527" s="4" t="s">
        <v>2</v>
      </c>
      <c r="E527" s="4" t="s">
        <v>479</v>
      </c>
      <c r="F527" s="5">
        <v>0.58257999999999999</v>
      </c>
      <c r="G527" s="5">
        <v>0</v>
      </c>
    </row>
    <row r="528" spans="1:7" x14ac:dyDescent="0.15">
      <c r="A528" s="4" t="s">
        <v>437</v>
      </c>
      <c r="B528" s="4" t="s">
        <v>1114</v>
      </c>
      <c r="C528" s="4" t="s">
        <v>699</v>
      </c>
      <c r="D528" s="4" t="s">
        <v>2</v>
      </c>
      <c r="E528" s="4" t="s">
        <v>479</v>
      </c>
      <c r="F528" s="5">
        <v>0.62219999999999998</v>
      </c>
      <c r="G528" s="5">
        <v>0</v>
      </c>
    </row>
    <row r="529" spans="1:7" x14ac:dyDescent="0.15">
      <c r="A529" s="4" t="s">
        <v>438</v>
      </c>
      <c r="B529" s="4" t="s">
        <v>1115</v>
      </c>
      <c r="C529" s="4" t="s">
        <v>699</v>
      </c>
      <c r="D529" s="4" t="s">
        <v>2</v>
      </c>
      <c r="E529" s="4" t="s">
        <v>479</v>
      </c>
      <c r="F529" s="5">
        <v>0.72438000000000002</v>
      </c>
      <c r="G529" s="5">
        <v>0</v>
      </c>
    </row>
    <row r="530" spans="1:7" x14ac:dyDescent="0.15">
      <c r="A530" s="4" t="s">
        <v>439</v>
      </c>
      <c r="B530" s="4" t="s">
        <v>1116</v>
      </c>
      <c r="C530" s="4" t="s">
        <v>699</v>
      </c>
      <c r="D530" s="4" t="s">
        <v>2</v>
      </c>
      <c r="E530" s="4" t="s">
        <v>479</v>
      </c>
      <c r="F530" s="5">
        <v>0.72763</v>
      </c>
      <c r="G530" s="5">
        <v>0</v>
      </c>
    </row>
    <row r="531" spans="1:7" x14ac:dyDescent="0.15">
      <c r="A531" s="4" t="s">
        <v>440</v>
      </c>
      <c r="B531" s="4" t="s">
        <v>1117</v>
      </c>
      <c r="C531" s="4" t="s">
        <v>699</v>
      </c>
      <c r="D531" s="4" t="s">
        <v>2</v>
      </c>
      <c r="E531" s="4" t="s">
        <v>479</v>
      </c>
      <c r="F531" s="5">
        <v>0.75209000000000004</v>
      </c>
      <c r="G531" s="5">
        <v>0</v>
      </c>
    </row>
    <row r="532" spans="1:7" x14ac:dyDescent="0.15">
      <c r="A532" s="4" t="s">
        <v>611</v>
      </c>
      <c r="B532" s="4" t="s">
        <v>1118</v>
      </c>
      <c r="C532" s="4" t="s">
        <v>699</v>
      </c>
      <c r="D532" s="4" t="s">
        <v>488</v>
      </c>
      <c r="E532" s="4" t="s">
        <v>479</v>
      </c>
      <c r="F532" s="5">
        <v>0</v>
      </c>
      <c r="G532" s="5">
        <v>0</v>
      </c>
    </row>
    <row r="533" spans="1:7" x14ac:dyDescent="0.15">
      <c r="A533" s="4" t="s">
        <v>414</v>
      </c>
      <c r="B533" s="4" t="s">
        <v>1118</v>
      </c>
      <c r="C533" s="4" t="s">
        <v>700</v>
      </c>
      <c r="D533" s="4" t="s">
        <v>2</v>
      </c>
      <c r="E533" s="4" t="s">
        <v>9</v>
      </c>
      <c r="F533" s="5">
        <v>0.21648999999999999</v>
      </c>
      <c r="G533" s="5">
        <v>1000</v>
      </c>
    </row>
    <row r="534" spans="1:7" x14ac:dyDescent="0.15">
      <c r="A534" s="4" t="s">
        <v>441</v>
      </c>
      <c r="B534" s="4" t="s">
        <v>1119</v>
      </c>
      <c r="C534" s="4" t="s">
        <v>699</v>
      </c>
      <c r="D534" s="4" t="s">
        <v>2</v>
      </c>
      <c r="E534" s="4" t="s">
        <v>479</v>
      </c>
      <c r="F534" s="5">
        <v>0</v>
      </c>
      <c r="G534" s="5">
        <v>0</v>
      </c>
    </row>
    <row r="535" spans="1:7" x14ac:dyDescent="0.15">
      <c r="A535" s="4" t="s">
        <v>443</v>
      </c>
      <c r="B535" s="4" t="s">
        <v>1120</v>
      </c>
      <c r="C535" s="4" t="s">
        <v>699</v>
      </c>
      <c r="D535" s="4" t="s">
        <v>2</v>
      </c>
      <c r="E535" s="4" t="s">
        <v>479</v>
      </c>
      <c r="F535" s="5">
        <v>0</v>
      </c>
      <c r="G535" s="5">
        <v>0</v>
      </c>
    </row>
    <row r="536" spans="1:7" x14ac:dyDescent="0.15">
      <c r="A536" s="4" t="s">
        <v>612</v>
      </c>
      <c r="B536" s="4" t="s">
        <v>1121</v>
      </c>
      <c r="C536" s="4" t="s">
        <v>699</v>
      </c>
      <c r="D536" s="4" t="s">
        <v>488</v>
      </c>
      <c r="E536" s="4" t="s">
        <v>479</v>
      </c>
      <c r="F536" s="5">
        <v>0</v>
      </c>
      <c r="G536" s="5">
        <v>0</v>
      </c>
    </row>
    <row r="537" spans="1:7" x14ac:dyDescent="0.15">
      <c r="A537" s="4" t="s">
        <v>442</v>
      </c>
      <c r="B537" s="4" t="s">
        <v>1121</v>
      </c>
      <c r="C537" s="4" t="s">
        <v>700</v>
      </c>
      <c r="D537" s="4" t="s">
        <v>2</v>
      </c>
      <c r="E537" s="4" t="s">
        <v>9</v>
      </c>
      <c r="F537" s="5">
        <v>0</v>
      </c>
      <c r="G537" s="5">
        <v>1000</v>
      </c>
    </row>
    <row r="538" spans="1:7" x14ac:dyDescent="0.15">
      <c r="A538" s="4" t="s">
        <v>446</v>
      </c>
      <c r="B538" s="4" t="s">
        <v>1122</v>
      </c>
      <c r="C538" s="4" t="s">
        <v>699</v>
      </c>
      <c r="D538" s="4" t="s">
        <v>2</v>
      </c>
      <c r="E538" s="4" t="s">
        <v>479</v>
      </c>
      <c r="F538" s="5">
        <v>1.6059999999999998E-2</v>
      </c>
      <c r="G538" s="5">
        <v>0</v>
      </c>
    </row>
    <row r="539" spans="1:7" x14ac:dyDescent="0.15">
      <c r="A539" s="4" t="s">
        <v>448</v>
      </c>
      <c r="B539" s="4" t="s">
        <v>1123</v>
      </c>
      <c r="C539" s="4" t="s">
        <v>699</v>
      </c>
      <c r="D539" s="4" t="s">
        <v>2</v>
      </c>
      <c r="E539" s="4" t="s">
        <v>479</v>
      </c>
      <c r="F539" s="5">
        <v>3.211E-2</v>
      </c>
      <c r="G539" s="5">
        <v>0</v>
      </c>
    </row>
    <row r="540" spans="1:7" x14ac:dyDescent="0.15">
      <c r="A540" s="4" t="s">
        <v>449</v>
      </c>
      <c r="B540" s="4" t="s">
        <v>1124</v>
      </c>
      <c r="C540" s="4" t="s">
        <v>699</v>
      </c>
      <c r="D540" s="4" t="s">
        <v>2</v>
      </c>
      <c r="E540" s="4" t="s">
        <v>479</v>
      </c>
      <c r="F540" s="5">
        <v>8.0300000000000007E-3</v>
      </c>
      <c r="G540" s="5">
        <v>1000</v>
      </c>
    </row>
    <row r="541" spans="1:7" x14ac:dyDescent="0.15">
      <c r="A541" s="4" t="s">
        <v>450</v>
      </c>
      <c r="B541" s="4" t="s">
        <v>1125</v>
      </c>
      <c r="C541" s="4" t="s">
        <v>699</v>
      </c>
      <c r="D541" s="4" t="s">
        <v>2</v>
      </c>
      <c r="E541" s="4" t="s">
        <v>479</v>
      </c>
      <c r="F541" s="5">
        <v>2.248E-2</v>
      </c>
      <c r="G541" s="5">
        <v>0</v>
      </c>
    </row>
    <row r="542" spans="1:7" x14ac:dyDescent="0.15">
      <c r="A542" s="4" t="s">
        <v>451</v>
      </c>
      <c r="B542" s="4" t="s">
        <v>1126</v>
      </c>
      <c r="C542" s="4" t="s">
        <v>699</v>
      </c>
      <c r="D542" s="4" t="s">
        <v>2</v>
      </c>
      <c r="E542" s="4" t="s">
        <v>479</v>
      </c>
      <c r="F542" s="5">
        <v>2.5690000000000001E-2</v>
      </c>
      <c r="G542" s="5">
        <v>0</v>
      </c>
    </row>
    <row r="543" spans="1:7" x14ac:dyDescent="0.15">
      <c r="A543" s="4" t="s">
        <v>613</v>
      </c>
      <c r="B543" s="4" t="s">
        <v>1127</v>
      </c>
      <c r="C543" s="4" t="s">
        <v>699</v>
      </c>
      <c r="D543" s="4" t="s">
        <v>488</v>
      </c>
      <c r="E543" s="4" t="s">
        <v>479</v>
      </c>
      <c r="F543" s="5">
        <v>0</v>
      </c>
      <c r="G543" s="5">
        <v>0</v>
      </c>
    </row>
    <row r="544" spans="1:7" x14ac:dyDescent="0.15">
      <c r="A544" s="4" t="s">
        <v>447</v>
      </c>
      <c r="B544" s="4" t="s">
        <v>1127</v>
      </c>
      <c r="C544" s="4" t="s">
        <v>700</v>
      </c>
      <c r="D544" s="4" t="s">
        <v>2</v>
      </c>
      <c r="E544" s="4" t="s">
        <v>9</v>
      </c>
      <c r="F544" s="5">
        <v>1.6059999999999998E-2</v>
      </c>
      <c r="G544" s="5">
        <v>1000</v>
      </c>
    </row>
    <row r="545" spans="1:7" x14ac:dyDescent="0.15">
      <c r="A545" s="4" t="s">
        <v>452</v>
      </c>
      <c r="B545" s="4" t="s">
        <v>1128</v>
      </c>
      <c r="C545" s="4" t="s">
        <v>699</v>
      </c>
      <c r="D545" s="4" t="s">
        <v>2</v>
      </c>
      <c r="E545" s="4" t="s">
        <v>479</v>
      </c>
      <c r="F545" s="5">
        <v>2.6269999999999998E-2</v>
      </c>
      <c r="G545" s="5">
        <v>0</v>
      </c>
    </row>
    <row r="546" spans="1:7" x14ac:dyDescent="0.15">
      <c r="A546" s="4" t="s">
        <v>614</v>
      </c>
      <c r="B546" s="4" t="s">
        <v>1129</v>
      </c>
      <c r="C546" s="4" t="s">
        <v>699</v>
      </c>
      <c r="D546" s="4" t="s">
        <v>488</v>
      </c>
      <c r="E546" s="4" t="s">
        <v>479</v>
      </c>
      <c r="F546" s="5">
        <v>0</v>
      </c>
      <c r="G546" s="5">
        <v>0</v>
      </c>
    </row>
    <row r="547" spans="1:7" x14ac:dyDescent="0.15">
      <c r="A547" s="4" t="s">
        <v>453</v>
      </c>
      <c r="B547" s="4" t="s">
        <v>1129</v>
      </c>
      <c r="C547" s="4" t="s">
        <v>700</v>
      </c>
      <c r="D547" s="4" t="s">
        <v>2</v>
      </c>
      <c r="E547" s="4" t="s">
        <v>9</v>
      </c>
      <c r="F547" s="5">
        <v>1.3139999999999999E-2</v>
      </c>
      <c r="G547" s="5">
        <v>1000</v>
      </c>
    </row>
    <row r="548" spans="1:7" x14ac:dyDescent="0.15">
      <c r="A548" s="4" t="s">
        <v>454</v>
      </c>
      <c r="B548" s="4" t="s">
        <v>1130</v>
      </c>
      <c r="C548" s="4" t="s">
        <v>699</v>
      </c>
      <c r="D548" s="4" t="s">
        <v>2</v>
      </c>
      <c r="E548" s="4" t="s">
        <v>479</v>
      </c>
      <c r="F548" s="5">
        <v>2.6269999999999998E-2</v>
      </c>
      <c r="G548" s="5">
        <v>0</v>
      </c>
    </row>
    <row r="549" spans="1:7" x14ac:dyDescent="0.15">
      <c r="A549" s="4" t="s">
        <v>615</v>
      </c>
      <c r="B549" s="4" t="s">
        <v>1131</v>
      </c>
      <c r="C549" s="4" t="s">
        <v>699</v>
      </c>
      <c r="D549" s="4" t="s">
        <v>488</v>
      </c>
      <c r="E549" s="4" t="s">
        <v>479</v>
      </c>
      <c r="F549" s="5">
        <v>0</v>
      </c>
      <c r="G549" s="5">
        <v>0</v>
      </c>
    </row>
    <row r="550" spans="1:7" x14ac:dyDescent="0.15">
      <c r="A550" s="4" t="s">
        <v>455</v>
      </c>
      <c r="B550" s="4" t="s">
        <v>1131</v>
      </c>
      <c r="C550" s="4" t="s">
        <v>700</v>
      </c>
      <c r="D550" s="4" t="s">
        <v>2</v>
      </c>
      <c r="E550" s="4" t="s">
        <v>9</v>
      </c>
      <c r="F550" s="5">
        <v>2.6269999999999998E-2</v>
      </c>
      <c r="G550" s="5">
        <v>1000</v>
      </c>
    </row>
    <row r="551" spans="1:7" x14ac:dyDescent="0.15">
      <c r="A551" s="4" t="s">
        <v>456</v>
      </c>
      <c r="B551" s="4" t="s">
        <v>1132</v>
      </c>
      <c r="C551" s="4" t="s">
        <v>699</v>
      </c>
      <c r="D551" s="4" t="s">
        <v>2</v>
      </c>
      <c r="E551" s="4" t="s">
        <v>479</v>
      </c>
      <c r="F551" s="5">
        <v>0</v>
      </c>
      <c r="G551" s="5">
        <v>0</v>
      </c>
    </row>
    <row r="552" spans="1:7" x14ac:dyDescent="0.15">
      <c r="A552" s="4" t="s">
        <v>616</v>
      </c>
      <c r="B552" s="4" t="s">
        <v>1133</v>
      </c>
      <c r="C552" s="4" t="s">
        <v>699</v>
      </c>
      <c r="D552" s="4" t="s">
        <v>488</v>
      </c>
      <c r="E552" s="4" t="s">
        <v>479</v>
      </c>
      <c r="F552" s="5">
        <v>0</v>
      </c>
      <c r="G552" s="5">
        <v>0</v>
      </c>
    </row>
    <row r="553" spans="1:7" x14ac:dyDescent="0.15">
      <c r="A553" s="4" t="s">
        <v>457</v>
      </c>
      <c r="B553" s="4" t="s">
        <v>1133</v>
      </c>
      <c r="C553" s="4" t="s">
        <v>700</v>
      </c>
      <c r="D553" s="4" t="s">
        <v>2</v>
      </c>
      <c r="E553" s="4" t="s">
        <v>9</v>
      </c>
      <c r="F553" s="5">
        <v>0</v>
      </c>
      <c r="G553" s="5">
        <v>1000</v>
      </c>
    </row>
    <row r="554" spans="1:7" x14ac:dyDescent="0.15">
      <c r="A554" s="4" t="s">
        <v>458</v>
      </c>
      <c r="B554" s="4" t="s">
        <v>1134</v>
      </c>
      <c r="C554" s="4" t="s">
        <v>699</v>
      </c>
      <c r="D554" s="4" t="s">
        <v>2</v>
      </c>
      <c r="E554" s="4" t="s">
        <v>479</v>
      </c>
      <c r="F554" s="5">
        <v>3.5029999999999999E-2</v>
      </c>
      <c r="G554" s="5">
        <v>0</v>
      </c>
    </row>
    <row r="555" spans="1:7" x14ac:dyDescent="0.15">
      <c r="A555" s="4" t="s">
        <v>460</v>
      </c>
      <c r="B555" s="4" t="s">
        <v>1135</v>
      </c>
      <c r="C555" s="4" t="s">
        <v>699</v>
      </c>
      <c r="D555" s="4" t="s">
        <v>2</v>
      </c>
      <c r="E555" s="4" t="s">
        <v>479</v>
      </c>
      <c r="F555" s="5">
        <v>7.0059999999999997E-2</v>
      </c>
      <c r="G555" s="5">
        <v>0</v>
      </c>
    </row>
    <row r="556" spans="1:7" x14ac:dyDescent="0.15">
      <c r="A556" s="4" t="s">
        <v>461</v>
      </c>
      <c r="B556" s="4" t="s">
        <v>1136</v>
      </c>
      <c r="C556" s="4" t="s">
        <v>699</v>
      </c>
      <c r="D556" s="4" t="s">
        <v>2</v>
      </c>
      <c r="E556" s="4" t="s">
        <v>479</v>
      </c>
      <c r="F556" s="5">
        <v>1.7520000000000001E-2</v>
      </c>
      <c r="G556" s="5">
        <v>1000</v>
      </c>
    </row>
    <row r="557" spans="1:7" x14ac:dyDescent="0.15">
      <c r="A557" s="4" t="s">
        <v>617</v>
      </c>
      <c r="B557" s="4" t="s">
        <v>1137</v>
      </c>
      <c r="C557" s="4" t="s">
        <v>699</v>
      </c>
      <c r="D557" s="4" t="s">
        <v>488</v>
      </c>
      <c r="E557" s="4" t="s">
        <v>479</v>
      </c>
      <c r="F557" s="5">
        <v>0</v>
      </c>
      <c r="G557" s="5">
        <v>0</v>
      </c>
    </row>
    <row r="558" spans="1:7" x14ac:dyDescent="0.15">
      <c r="A558" s="4" t="s">
        <v>459</v>
      </c>
      <c r="B558" s="4" t="s">
        <v>1137</v>
      </c>
      <c r="C558" s="4" t="s">
        <v>700</v>
      </c>
      <c r="D558" s="4" t="s">
        <v>2</v>
      </c>
      <c r="E558" s="4" t="s">
        <v>9</v>
      </c>
      <c r="F558" s="5">
        <v>3.5029999999999999E-2</v>
      </c>
      <c r="G558" s="5">
        <v>1000</v>
      </c>
    </row>
    <row r="559" spans="1:7" x14ac:dyDescent="0.15">
      <c r="A559" s="4" t="s">
        <v>462</v>
      </c>
      <c r="B559" s="4" t="s">
        <v>1138</v>
      </c>
      <c r="C559" s="4" t="s">
        <v>699</v>
      </c>
      <c r="D559" s="4" t="s">
        <v>2</v>
      </c>
      <c r="E559" s="4" t="s">
        <v>479</v>
      </c>
      <c r="F559" s="5">
        <v>0</v>
      </c>
      <c r="G559" s="5">
        <v>0</v>
      </c>
    </row>
    <row r="560" spans="1:7" x14ac:dyDescent="0.15">
      <c r="A560" s="4" t="s">
        <v>618</v>
      </c>
      <c r="B560" s="4" t="s">
        <v>1138</v>
      </c>
      <c r="C560" s="4" t="s">
        <v>699</v>
      </c>
      <c r="D560" s="4" t="s">
        <v>2</v>
      </c>
      <c r="E560" s="4" t="s">
        <v>479</v>
      </c>
      <c r="F560" s="5">
        <v>0</v>
      </c>
      <c r="G560" s="5">
        <v>0</v>
      </c>
    </row>
    <row r="561" spans="1:7" x14ac:dyDescent="0.15">
      <c r="A561" s="4" t="s">
        <v>463</v>
      </c>
      <c r="B561" s="4" t="s">
        <v>1138</v>
      </c>
      <c r="C561" s="4" t="s">
        <v>700</v>
      </c>
      <c r="D561" s="4" t="s">
        <v>2</v>
      </c>
      <c r="E561" s="4" t="s">
        <v>9</v>
      </c>
      <c r="F561" s="5">
        <v>0</v>
      </c>
      <c r="G561" s="5">
        <v>1000</v>
      </c>
    </row>
    <row r="562" spans="1:7" x14ac:dyDescent="0.15">
      <c r="A562" s="4" t="s">
        <v>619</v>
      </c>
      <c r="B562" s="4" t="s">
        <v>1139</v>
      </c>
      <c r="C562" s="4" t="s">
        <v>699</v>
      </c>
      <c r="D562" s="4" t="s">
        <v>2</v>
      </c>
      <c r="E562" s="4" t="s">
        <v>479</v>
      </c>
      <c r="F562" s="5">
        <v>0</v>
      </c>
      <c r="G562" s="5">
        <v>0</v>
      </c>
    </row>
    <row r="563" spans="1:7" x14ac:dyDescent="0.15">
      <c r="A563" s="4" t="s">
        <v>620</v>
      </c>
      <c r="B563" s="4" t="s">
        <v>1140</v>
      </c>
      <c r="C563" s="4" t="s">
        <v>699</v>
      </c>
      <c r="D563" s="4" t="s">
        <v>2</v>
      </c>
      <c r="E563" s="4" t="s">
        <v>479</v>
      </c>
      <c r="F563" s="5">
        <v>0</v>
      </c>
      <c r="G563" s="5">
        <v>0</v>
      </c>
    </row>
    <row r="564" spans="1:7" x14ac:dyDescent="0.15">
      <c r="A564" s="4" t="s">
        <v>465</v>
      </c>
      <c r="B564" s="4" t="s">
        <v>1141</v>
      </c>
      <c r="C564" s="4" t="s">
        <v>699</v>
      </c>
      <c r="D564" s="4" t="s">
        <v>2</v>
      </c>
      <c r="E564" s="4" t="s">
        <v>479</v>
      </c>
      <c r="F564" s="5">
        <v>5.8399999999999997E-3</v>
      </c>
      <c r="G564" s="5">
        <v>0</v>
      </c>
    </row>
    <row r="565" spans="1:7" x14ac:dyDescent="0.15">
      <c r="A565" s="4" t="s">
        <v>467</v>
      </c>
      <c r="B565" s="4" t="s">
        <v>1142</v>
      </c>
      <c r="C565" s="4" t="s">
        <v>699</v>
      </c>
      <c r="D565" s="4" t="s">
        <v>2</v>
      </c>
      <c r="E565" s="4" t="s">
        <v>479</v>
      </c>
      <c r="F565" s="5">
        <v>1.1679999999999999E-2</v>
      </c>
      <c r="G565" s="5">
        <v>0</v>
      </c>
    </row>
    <row r="566" spans="1:7" x14ac:dyDescent="0.15">
      <c r="A566" s="4" t="s">
        <v>621</v>
      </c>
      <c r="B566" s="4" t="s">
        <v>1143</v>
      </c>
      <c r="C566" s="4" t="s">
        <v>699</v>
      </c>
      <c r="D566" s="4" t="s">
        <v>488</v>
      </c>
      <c r="E566" s="4" t="s">
        <v>479</v>
      </c>
      <c r="F566" s="5">
        <v>0</v>
      </c>
      <c r="G566" s="5">
        <v>0</v>
      </c>
    </row>
    <row r="567" spans="1:7" x14ac:dyDescent="0.15">
      <c r="A567" s="4" t="s">
        <v>466</v>
      </c>
      <c r="B567" s="4" t="s">
        <v>1143</v>
      </c>
      <c r="C567" s="4" t="s">
        <v>700</v>
      </c>
      <c r="D567" s="4" t="s">
        <v>2</v>
      </c>
      <c r="E567" s="4" t="s">
        <v>9</v>
      </c>
      <c r="F567" s="5">
        <v>5.8399999999999997E-3</v>
      </c>
      <c r="G567" s="5">
        <v>1000</v>
      </c>
    </row>
    <row r="568" spans="1:7" x14ac:dyDescent="0.15">
      <c r="A568" s="4" t="s">
        <v>468</v>
      </c>
      <c r="B568" s="4" t="s">
        <v>1144</v>
      </c>
      <c r="C568" s="4" t="s">
        <v>699</v>
      </c>
      <c r="D568" s="4" t="s">
        <v>2</v>
      </c>
      <c r="E568" s="4" t="s">
        <v>479</v>
      </c>
      <c r="F568" s="5">
        <v>0</v>
      </c>
      <c r="G568" s="5">
        <v>0</v>
      </c>
    </row>
    <row r="569" spans="1:7" x14ac:dyDescent="0.15">
      <c r="A569" s="4" t="s">
        <v>470</v>
      </c>
      <c r="B569" s="4" t="s">
        <v>1145</v>
      </c>
      <c r="C569" s="4" t="s">
        <v>699</v>
      </c>
      <c r="D569" s="4" t="s">
        <v>2</v>
      </c>
      <c r="E569" s="4" t="s">
        <v>479</v>
      </c>
      <c r="F569" s="5">
        <v>0</v>
      </c>
      <c r="G569" s="5">
        <v>0</v>
      </c>
    </row>
    <row r="570" spans="1:7" x14ac:dyDescent="0.15">
      <c r="A570" s="4" t="s">
        <v>622</v>
      </c>
      <c r="B570" s="4" t="s">
        <v>1146</v>
      </c>
      <c r="C570" s="4" t="s">
        <v>699</v>
      </c>
      <c r="D570" s="4" t="s">
        <v>488</v>
      </c>
      <c r="E570" s="4" t="s">
        <v>479</v>
      </c>
      <c r="F570" s="5">
        <v>0</v>
      </c>
      <c r="G570" s="5">
        <v>0</v>
      </c>
    </row>
    <row r="571" spans="1:7" x14ac:dyDescent="0.15">
      <c r="A571" s="4" t="s">
        <v>469</v>
      </c>
      <c r="B571" s="4" t="s">
        <v>1146</v>
      </c>
      <c r="C571" s="4" t="s">
        <v>700</v>
      </c>
      <c r="D571" s="4" t="s">
        <v>2</v>
      </c>
      <c r="E571" s="4" t="s">
        <v>9</v>
      </c>
      <c r="F571" s="5">
        <v>0</v>
      </c>
      <c r="G571" s="5">
        <v>1000</v>
      </c>
    </row>
    <row r="572" spans="1:7" x14ac:dyDescent="0.15">
      <c r="A572" s="4" t="s">
        <v>623</v>
      </c>
      <c r="B572" s="4" t="s">
        <v>1147</v>
      </c>
      <c r="C572" s="4" t="s">
        <v>702</v>
      </c>
      <c r="D572" s="4" t="s">
        <v>703</v>
      </c>
      <c r="E572" s="4" t="s">
        <v>479</v>
      </c>
      <c r="F572" s="5">
        <v>0</v>
      </c>
      <c r="G572" s="5">
        <v>0</v>
      </c>
    </row>
    <row r="573" spans="1:7" x14ac:dyDescent="0.15">
      <c r="A573" s="4" t="s">
        <v>624</v>
      </c>
      <c r="B573" s="4" t="s">
        <v>1148</v>
      </c>
      <c r="C573" s="4" t="s">
        <v>699</v>
      </c>
      <c r="D573" s="4" t="s">
        <v>488</v>
      </c>
      <c r="E573" s="4" t="s">
        <v>479</v>
      </c>
      <c r="F573" s="5">
        <v>0</v>
      </c>
      <c r="G573" s="5">
        <v>0</v>
      </c>
    </row>
    <row r="574" spans="1:7" x14ac:dyDescent="0.15">
      <c r="A574" s="4" t="s">
        <v>471</v>
      </c>
      <c r="B574" s="4" t="s">
        <v>1148</v>
      </c>
      <c r="C574" s="4" t="s">
        <v>700</v>
      </c>
      <c r="D574" s="4" t="s">
        <v>2</v>
      </c>
      <c r="E574" s="4" t="s">
        <v>9</v>
      </c>
      <c r="F574" s="5">
        <v>1.089E-2</v>
      </c>
      <c r="G574" s="5">
        <v>1000</v>
      </c>
    </row>
    <row r="575" spans="1:7" x14ac:dyDescent="0.15">
      <c r="A575" s="4" t="s">
        <v>625</v>
      </c>
      <c r="B575" s="4" t="s">
        <v>1149</v>
      </c>
      <c r="C575" s="4" t="s">
        <v>699</v>
      </c>
      <c r="D575" s="4" t="s">
        <v>2</v>
      </c>
      <c r="E575" s="4" t="s">
        <v>9</v>
      </c>
      <c r="F575" s="5">
        <v>0</v>
      </c>
      <c r="G575" s="5">
        <v>0</v>
      </c>
    </row>
    <row r="576" spans="1:7" x14ac:dyDescent="0.15">
      <c r="A576" s="4" t="s">
        <v>474</v>
      </c>
      <c r="B576" s="4" t="s">
        <v>1150</v>
      </c>
      <c r="C576" s="4" t="s">
        <v>699</v>
      </c>
      <c r="D576" s="4" t="s">
        <v>2</v>
      </c>
      <c r="E576" s="4" t="s">
        <v>9</v>
      </c>
      <c r="F576" s="5">
        <v>4.0627899999999997</v>
      </c>
      <c r="G576" s="5">
        <v>1000</v>
      </c>
    </row>
    <row r="577" spans="1:7" x14ac:dyDescent="0.15">
      <c r="A577" s="4" t="s">
        <v>475</v>
      </c>
      <c r="B577" s="4" t="s">
        <v>1151</v>
      </c>
      <c r="C577" s="4" t="s">
        <v>699</v>
      </c>
      <c r="D577" s="4" t="s">
        <v>2</v>
      </c>
      <c r="E577" s="4" t="s">
        <v>9</v>
      </c>
      <c r="F577" s="5">
        <v>0</v>
      </c>
      <c r="G577" s="5">
        <v>1000</v>
      </c>
    </row>
    <row r="578" spans="1:7" x14ac:dyDescent="0.15">
      <c r="A578" s="4" t="s">
        <v>17</v>
      </c>
      <c r="B578" s="4" t="s">
        <v>1152</v>
      </c>
      <c r="C578" s="4" t="s">
        <v>702</v>
      </c>
      <c r="D578" s="4" t="s">
        <v>703</v>
      </c>
      <c r="E578" s="4" t="s">
        <v>18</v>
      </c>
      <c r="F578" s="5">
        <v>53.85</v>
      </c>
      <c r="G578" s="5">
        <v>0</v>
      </c>
    </row>
    <row r="579" spans="1:7" x14ac:dyDescent="0.15">
      <c r="A579" s="4" t="s">
        <v>626</v>
      </c>
      <c r="B579" s="4" t="s">
        <v>1153</v>
      </c>
      <c r="C579" s="4" t="s">
        <v>702</v>
      </c>
      <c r="D579" s="4" t="s">
        <v>703</v>
      </c>
      <c r="E579" s="4" t="s">
        <v>18</v>
      </c>
      <c r="F579" s="5">
        <v>35.24</v>
      </c>
      <c r="G579" s="5">
        <v>0</v>
      </c>
    </row>
    <row r="580" spans="1:7" x14ac:dyDescent="0.15">
      <c r="A580" s="4" t="s">
        <v>19</v>
      </c>
      <c r="B580" s="4" t="s">
        <v>1154</v>
      </c>
      <c r="C580" s="4" t="s">
        <v>702</v>
      </c>
      <c r="D580" s="4" t="s">
        <v>703</v>
      </c>
      <c r="E580" s="4" t="s">
        <v>18</v>
      </c>
      <c r="F580" s="5">
        <v>34.65</v>
      </c>
      <c r="G580" s="5">
        <v>0</v>
      </c>
    </row>
    <row r="581" spans="1:7" x14ac:dyDescent="0.15">
      <c r="A581" s="4" t="s">
        <v>476</v>
      </c>
      <c r="B581" s="4" t="s">
        <v>1155</v>
      </c>
      <c r="C581" s="4" t="s">
        <v>699</v>
      </c>
      <c r="D581" s="4" t="s">
        <v>2</v>
      </c>
      <c r="E581" s="4" t="s">
        <v>479</v>
      </c>
      <c r="F581" s="5">
        <v>0</v>
      </c>
      <c r="G581" s="5">
        <v>0</v>
      </c>
    </row>
    <row r="582" spans="1:7" x14ac:dyDescent="0.15">
      <c r="A582" s="4" t="s">
        <v>477</v>
      </c>
      <c r="B582" s="4" t="s">
        <v>1156</v>
      </c>
      <c r="C582" s="4" t="s">
        <v>700</v>
      </c>
      <c r="D582" s="4" t="s">
        <v>2</v>
      </c>
      <c r="E582" s="4" t="s">
        <v>9</v>
      </c>
      <c r="F582" s="5">
        <v>0</v>
      </c>
      <c r="G582" s="5">
        <v>1000</v>
      </c>
    </row>
    <row r="583" spans="1:7" x14ac:dyDescent="0.15">
      <c r="A583" s="4" t="s">
        <v>627</v>
      </c>
      <c r="B583" s="4" t="s">
        <v>1157</v>
      </c>
      <c r="C583" s="4" t="s">
        <v>702</v>
      </c>
      <c r="D583" s="4" t="s">
        <v>703</v>
      </c>
      <c r="E583" s="4" t="s">
        <v>18</v>
      </c>
      <c r="F583" s="5">
        <v>0</v>
      </c>
      <c r="G583" s="5">
        <v>0</v>
      </c>
    </row>
    <row r="584" spans="1:7" x14ac:dyDescent="0.15">
      <c r="A584" s="4" t="s">
        <v>628</v>
      </c>
      <c r="B584" s="4" t="s">
        <v>1158</v>
      </c>
      <c r="C584" s="4" t="s">
        <v>702</v>
      </c>
      <c r="D584" s="4" t="s">
        <v>703</v>
      </c>
      <c r="E584" s="4" t="s">
        <v>18</v>
      </c>
      <c r="F584" s="5">
        <v>0</v>
      </c>
      <c r="G584" s="5">
        <v>0</v>
      </c>
    </row>
    <row r="585" spans="1:7" x14ac:dyDescent="0.15">
      <c r="A585" s="4" t="s">
        <v>16</v>
      </c>
      <c r="B585" s="4" t="s">
        <v>1159</v>
      </c>
      <c r="C585" s="4" t="s">
        <v>1160</v>
      </c>
      <c r="D585" s="4" t="s">
        <v>488</v>
      </c>
      <c r="E585" s="4" t="s">
        <v>13</v>
      </c>
      <c r="F585" s="5">
        <v>0.01</v>
      </c>
      <c r="G585" s="5">
        <v>0</v>
      </c>
    </row>
    <row r="586" spans="1:7" x14ac:dyDescent="0.15">
      <c r="A586" s="4" t="s">
        <v>124</v>
      </c>
      <c r="B586" s="4" t="s">
        <v>1161</v>
      </c>
      <c r="C586" s="4" t="s">
        <v>1160</v>
      </c>
      <c r="D586" s="4" t="s">
        <v>488</v>
      </c>
      <c r="E586" s="4" t="s">
        <v>629</v>
      </c>
      <c r="F586" s="5">
        <v>0</v>
      </c>
      <c r="G586" s="5">
        <v>0</v>
      </c>
    </row>
    <row r="587" spans="1:7" x14ac:dyDescent="0.15">
      <c r="A587" s="4" t="s">
        <v>24</v>
      </c>
      <c r="B587" s="4" t="s">
        <v>1162</v>
      </c>
      <c r="C587" s="4" t="s">
        <v>1160</v>
      </c>
      <c r="D587" s="4" t="s">
        <v>488</v>
      </c>
      <c r="E587" s="4" t="s">
        <v>629</v>
      </c>
      <c r="F587" s="5">
        <v>28.5</v>
      </c>
      <c r="G587" s="5">
        <v>0</v>
      </c>
    </row>
    <row r="588" spans="1:7" x14ac:dyDescent="0.15">
      <c r="A588" s="4" t="s">
        <v>630</v>
      </c>
      <c r="B588" s="4" t="s">
        <v>1163</v>
      </c>
      <c r="C588" s="4" t="s">
        <v>1160</v>
      </c>
      <c r="D588" s="4" t="s">
        <v>488</v>
      </c>
      <c r="E588" s="4" t="s">
        <v>13</v>
      </c>
      <c r="F588" s="5">
        <v>0.01</v>
      </c>
      <c r="G588" s="5">
        <v>0</v>
      </c>
    </row>
    <row r="589" spans="1:7" x14ac:dyDescent="0.15">
      <c r="A589" s="4" t="s">
        <v>631</v>
      </c>
      <c r="B589" s="4" t="s">
        <v>1163</v>
      </c>
      <c r="C589" s="4" t="s">
        <v>1160</v>
      </c>
      <c r="D589" s="4" t="s">
        <v>488</v>
      </c>
      <c r="E589" s="4" t="s">
        <v>13</v>
      </c>
      <c r="F589" s="5">
        <v>0.01</v>
      </c>
      <c r="G589" s="5">
        <v>0</v>
      </c>
    </row>
    <row r="590" spans="1:7" x14ac:dyDescent="0.15">
      <c r="A590" s="4" t="s">
        <v>632</v>
      </c>
      <c r="B590" s="4" t="s">
        <v>1164</v>
      </c>
      <c r="C590" s="4" t="s">
        <v>1160</v>
      </c>
      <c r="D590" s="4" t="s">
        <v>488</v>
      </c>
      <c r="E590" s="4" t="s">
        <v>13</v>
      </c>
      <c r="F590" s="5">
        <v>0</v>
      </c>
      <c r="G590" s="5">
        <v>0</v>
      </c>
    </row>
    <row r="591" spans="1:7" x14ac:dyDescent="0.15">
      <c r="A591" s="4" t="s">
        <v>633</v>
      </c>
      <c r="B591" s="4" t="s">
        <v>1165</v>
      </c>
      <c r="C591" s="4" t="s">
        <v>1160</v>
      </c>
      <c r="D591" s="4" t="s">
        <v>488</v>
      </c>
      <c r="E591" s="4" t="s">
        <v>13</v>
      </c>
      <c r="F591" s="5">
        <v>0</v>
      </c>
      <c r="G591" s="5">
        <v>0</v>
      </c>
    </row>
    <row r="592" spans="1:7" x14ac:dyDescent="0.15">
      <c r="A592" s="4" t="s">
        <v>634</v>
      </c>
      <c r="B592" s="4" t="s">
        <v>1166</v>
      </c>
      <c r="C592" s="4" t="s">
        <v>1160</v>
      </c>
      <c r="D592" s="4" t="s">
        <v>488</v>
      </c>
      <c r="E592" s="4" t="s">
        <v>629</v>
      </c>
      <c r="F592" s="5">
        <v>0</v>
      </c>
      <c r="G592" s="5">
        <v>0</v>
      </c>
    </row>
    <row r="593" spans="1:7" x14ac:dyDescent="0.15">
      <c r="A593" s="4" t="s">
        <v>123</v>
      </c>
      <c r="B593" s="4" t="s">
        <v>1167</v>
      </c>
      <c r="C593" s="4" t="s">
        <v>1160</v>
      </c>
      <c r="D593" s="4" t="s">
        <v>488</v>
      </c>
      <c r="E593" s="4" t="s">
        <v>13</v>
      </c>
      <c r="F593" s="5">
        <v>0</v>
      </c>
      <c r="G593" s="5">
        <v>0</v>
      </c>
    </row>
    <row r="594" spans="1:7" x14ac:dyDescent="0.15">
      <c r="A594" s="4" t="s">
        <v>478</v>
      </c>
      <c r="B594" s="4" t="s">
        <v>1168</v>
      </c>
      <c r="C594" s="4" t="s">
        <v>1160</v>
      </c>
      <c r="D594" s="4" t="s">
        <v>488</v>
      </c>
      <c r="E594" s="4" t="s">
        <v>629</v>
      </c>
      <c r="F594" s="5">
        <v>200</v>
      </c>
      <c r="G594" s="5">
        <v>0</v>
      </c>
    </row>
    <row r="595" spans="1:7" x14ac:dyDescent="0.15">
      <c r="A595" s="4" t="s">
        <v>176</v>
      </c>
      <c r="B595" s="4" t="s">
        <v>1169</v>
      </c>
      <c r="C595" s="4" t="s">
        <v>1160</v>
      </c>
      <c r="D595" s="4" t="s">
        <v>488</v>
      </c>
      <c r="E595" s="4" t="s">
        <v>13</v>
      </c>
      <c r="F595" s="5">
        <v>0</v>
      </c>
      <c r="G595" s="5">
        <v>0</v>
      </c>
    </row>
    <row r="596" spans="1:7" x14ac:dyDescent="0.15">
      <c r="A596" s="4" t="s">
        <v>635</v>
      </c>
      <c r="B596" s="4" t="s">
        <v>1170</v>
      </c>
      <c r="C596" s="4" t="s">
        <v>1160</v>
      </c>
      <c r="D596" s="4" t="s">
        <v>488</v>
      </c>
      <c r="E596" s="4" t="s">
        <v>629</v>
      </c>
      <c r="F596" s="5">
        <v>0</v>
      </c>
      <c r="G596" s="5">
        <v>0</v>
      </c>
    </row>
    <row r="597" spans="1:7" x14ac:dyDescent="0.15">
      <c r="A597" s="4" t="s">
        <v>464</v>
      </c>
      <c r="B597" s="4" t="s">
        <v>1171</v>
      </c>
      <c r="C597" s="4" t="s">
        <v>1160</v>
      </c>
      <c r="D597" s="4" t="s">
        <v>488</v>
      </c>
      <c r="E597" s="4" t="s">
        <v>629</v>
      </c>
      <c r="F597" s="5">
        <v>0</v>
      </c>
      <c r="G597" s="5">
        <v>0</v>
      </c>
    </row>
    <row r="598" spans="1:7" x14ac:dyDescent="0.15">
      <c r="A598" s="4" t="s">
        <v>636</v>
      </c>
      <c r="B598" s="4" t="s">
        <v>1172</v>
      </c>
      <c r="C598" s="4" t="s">
        <v>1160</v>
      </c>
      <c r="D598" s="4" t="s">
        <v>488</v>
      </c>
      <c r="E598" s="4" t="s">
        <v>629</v>
      </c>
      <c r="F598" s="5">
        <v>0</v>
      </c>
      <c r="G598" s="5">
        <v>0</v>
      </c>
    </row>
    <row r="599" spans="1:7" x14ac:dyDescent="0.15">
      <c r="A599" s="4" t="s">
        <v>637</v>
      </c>
      <c r="B599" s="4" t="s">
        <v>1173</v>
      </c>
      <c r="C599" s="4" t="s">
        <v>1160</v>
      </c>
      <c r="D599" s="4" t="s">
        <v>488</v>
      </c>
      <c r="E599" s="4" t="s">
        <v>629</v>
      </c>
      <c r="F599" s="5">
        <v>40</v>
      </c>
      <c r="G599" s="5">
        <v>0</v>
      </c>
    </row>
    <row r="600" spans="1:7" x14ac:dyDescent="0.15">
      <c r="A600" s="4" t="s">
        <v>412</v>
      </c>
      <c r="B600" s="4" t="s">
        <v>1174</v>
      </c>
      <c r="C600" s="4" t="s">
        <v>1160</v>
      </c>
      <c r="D600" s="4" t="s">
        <v>488</v>
      </c>
      <c r="E600" s="4" t="s">
        <v>629</v>
      </c>
      <c r="F600" s="5">
        <v>0</v>
      </c>
      <c r="G600" s="5">
        <v>0</v>
      </c>
    </row>
    <row r="601" spans="1:7" x14ac:dyDescent="0.15">
      <c r="A601" s="4" t="s">
        <v>638</v>
      </c>
      <c r="B601" s="4" t="s">
        <v>1175</v>
      </c>
      <c r="C601" s="4" t="s">
        <v>1160</v>
      </c>
      <c r="D601" s="4" t="s">
        <v>488</v>
      </c>
      <c r="E601" s="4" t="s">
        <v>629</v>
      </c>
      <c r="F601" s="5">
        <v>0</v>
      </c>
      <c r="G601" s="5">
        <v>0</v>
      </c>
    </row>
    <row r="602" spans="1:7" x14ac:dyDescent="0.15">
      <c r="A602" s="4" t="s">
        <v>472</v>
      </c>
      <c r="B602" s="4" t="s">
        <v>1176</v>
      </c>
      <c r="C602" s="4" t="s">
        <v>1160</v>
      </c>
      <c r="D602" s="4" t="s">
        <v>488</v>
      </c>
      <c r="E602" s="4" t="s">
        <v>629</v>
      </c>
      <c r="F602" s="5">
        <v>0</v>
      </c>
      <c r="G602" s="5">
        <v>0</v>
      </c>
    </row>
    <row r="603" spans="1:7" x14ac:dyDescent="0.15">
      <c r="A603" s="4" t="s">
        <v>639</v>
      </c>
      <c r="B603" s="4" t="s">
        <v>1177</v>
      </c>
      <c r="C603" s="4" t="s">
        <v>1160</v>
      </c>
      <c r="D603" s="4" t="s">
        <v>488</v>
      </c>
      <c r="E603" s="4" t="s">
        <v>629</v>
      </c>
      <c r="F603" s="5">
        <v>0</v>
      </c>
      <c r="G603" s="5">
        <v>0</v>
      </c>
    </row>
    <row r="604" spans="1:7" x14ac:dyDescent="0.15">
      <c r="A604" s="4" t="s">
        <v>640</v>
      </c>
      <c r="B604" s="4" t="s">
        <v>1178</v>
      </c>
      <c r="C604" s="4" t="s">
        <v>1160</v>
      </c>
      <c r="D604" s="4" t="s">
        <v>488</v>
      </c>
      <c r="E604" s="4" t="s">
        <v>629</v>
      </c>
      <c r="F604" s="5">
        <v>0</v>
      </c>
      <c r="G604" s="5">
        <v>0</v>
      </c>
    </row>
    <row r="605" spans="1:7" x14ac:dyDescent="0.15">
      <c r="A605" s="4" t="s">
        <v>11</v>
      </c>
      <c r="B605" s="4" t="s">
        <v>1179</v>
      </c>
      <c r="C605" s="4" t="s">
        <v>1160</v>
      </c>
      <c r="D605" s="4" t="s">
        <v>488</v>
      </c>
      <c r="E605" s="4" t="s">
        <v>629</v>
      </c>
      <c r="F605" s="5">
        <v>0</v>
      </c>
      <c r="G605" s="5">
        <v>0</v>
      </c>
    </row>
    <row r="606" spans="1:7" x14ac:dyDescent="0.15">
      <c r="A606" s="4" t="s">
        <v>481</v>
      </c>
      <c r="B606" s="4" t="s">
        <v>1180</v>
      </c>
      <c r="C606" s="4" t="s">
        <v>1160</v>
      </c>
      <c r="D606" s="4" t="s">
        <v>488</v>
      </c>
      <c r="E606" s="4" t="s">
        <v>629</v>
      </c>
      <c r="F606" s="5">
        <v>0</v>
      </c>
      <c r="G606" s="5">
        <v>0</v>
      </c>
    </row>
    <row r="607" spans="1:7" x14ac:dyDescent="0.15">
      <c r="A607" s="4" t="s">
        <v>444</v>
      </c>
      <c r="B607" s="4" t="s">
        <v>1181</v>
      </c>
      <c r="C607" s="4" t="s">
        <v>1160</v>
      </c>
      <c r="D607" s="4" t="s">
        <v>488</v>
      </c>
      <c r="E607" s="4" t="s">
        <v>629</v>
      </c>
      <c r="F607" s="5">
        <v>0</v>
      </c>
      <c r="G607" s="5">
        <v>0</v>
      </c>
    </row>
    <row r="608" spans="1:7" x14ac:dyDescent="0.15">
      <c r="A608" s="4" t="s">
        <v>445</v>
      </c>
      <c r="B608" s="4" t="s">
        <v>1182</v>
      </c>
      <c r="C608" s="4" t="s">
        <v>1160</v>
      </c>
      <c r="D608" s="4" t="s">
        <v>488</v>
      </c>
      <c r="E608" s="4" t="s">
        <v>629</v>
      </c>
      <c r="F608" s="5">
        <v>195</v>
      </c>
      <c r="G608" s="5">
        <v>0</v>
      </c>
    </row>
    <row r="609" spans="1:7" x14ac:dyDescent="0.15">
      <c r="A609" s="4" t="s">
        <v>641</v>
      </c>
      <c r="B609" s="4" t="s">
        <v>1183</v>
      </c>
      <c r="C609" s="4" t="s">
        <v>1160</v>
      </c>
      <c r="D609" s="4" t="s">
        <v>488</v>
      </c>
      <c r="E609" s="4" t="s">
        <v>629</v>
      </c>
      <c r="F609" s="5">
        <v>0</v>
      </c>
      <c r="G609" s="5">
        <v>0</v>
      </c>
    </row>
    <row r="610" spans="1:7" x14ac:dyDescent="0.15">
      <c r="A610" s="4" t="s">
        <v>642</v>
      </c>
      <c r="B610" s="4" t="s">
        <v>1184</v>
      </c>
      <c r="C610" s="4" t="s">
        <v>1160</v>
      </c>
      <c r="D610" s="4" t="s">
        <v>488</v>
      </c>
      <c r="E610" s="4" t="s">
        <v>629</v>
      </c>
      <c r="F610" s="5">
        <v>0</v>
      </c>
      <c r="G610" s="5">
        <v>0</v>
      </c>
    </row>
    <row r="611" spans="1:7" x14ac:dyDescent="0.15">
      <c r="A611" s="4" t="s">
        <v>643</v>
      </c>
      <c r="B611" s="4" t="s">
        <v>1185</v>
      </c>
      <c r="C611" s="4" t="s">
        <v>1160</v>
      </c>
      <c r="D611" s="4" t="s">
        <v>488</v>
      </c>
      <c r="E611" s="4" t="s">
        <v>629</v>
      </c>
      <c r="F611" s="5">
        <v>0</v>
      </c>
      <c r="G611" s="5">
        <v>0</v>
      </c>
    </row>
    <row r="612" spans="1:7" x14ac:dyDescent="0.15">
      <c r="A612" s="4" t="s">
        <v>28</v>
      </c>
      <c r="B612" s="4" t="s">
        <v>1186</v>
      </c>
      <c r="C612" s="4" t="s">
        <v>1160</v>
      </c>
      <c r="D612" s="4" t="s">
        <v>488</v>
      </c>
      <c r="E612" s="4" t="s">
        <v>13</v>
      </c>
      <c r="F612" s="5">
        <v>0.28081</v>
      </c>
      <c r="G612" s="5">
        <v>0</v>
      </c>
    </row>
    <row r="613" spans="1:7" x14ac:dyDescent="0.15">
      <c r="A613" s="4" t="s">
        <v>392</v>
      </c>
      <c r="B613" s="4" t="s">
        <v>1187</v>
      </c>
      <c r="C613" s="4" t="s">
        <v>1160</v>
      </c>
      <c r="D613" s="4" t="s">
        <v>488</v>
      </c>
      <c r="E613" s="4" t="s">
        <v>629</v>
      </c>
      <c r="F613" s="5">
        <v>0</v>
      </c>
      <c r="G613" s="5">
        <v>0</v>
      </c>
    </row>
    <row r="614" spans="1:7" x14ac:dyDescent="0.15">
      <c r="A614" s="4" t="s">
        <v>34</v>
      </c>
      <c r="B614" s="4" t="s">
        <v>1188</v>
      </c>
      <c r="C614" s="4" t="s">
        <v>1160</v>
      </c>
      <c r="D614" s="4" t="s">
        <v>488</v>
      </c>
      <c r="E614" s="4" t="s">
        <v>629</v>
      </c>
      <c r="F614" s="5">
        <v>47</v>
      </c>
      <c r="G614" s="5">
        <v>0</v>
      </c>
    </row>
    <row r="615" spans="1:7" x14ac:dyDescent="0.15">
      <c r="A615" s="4" t="s">
        <v>39</v>
      </c>
      <c r="B615" s="4" t="s">
        <v>1189</v>
      </c>
      <c r="C615" s="4" t="s">
        <v>1160</v>
      </c>
      <c r="D615" s="4" t="s">
        <v>488</v>
      </c>
      <c r="E615" s="4" t="s">
        <v>13</v>
      </c>
      <c r="F615" s="5">
        <v>0</v>
      </c>
      <c r="G615" s="5">
        <v>0</v>
      </c>
    </row>
    <row r="616" spans="1:7" x14ac:dyDescent="0.15">
      <c r="A616" s="4" t="s">
        <v>33</v>
      </c>
      <c r="B616" s="4" t="s">
        <v>1190</v>
      </c>
      <c r="C616" s="4" t="s">
        <v>1160</v>
      </c>
      <c r="D616" s="4" t="s">
        <v>488</v>
      </c>
      <c r="E616" s="4" t="s">
        <v>13</v>
      </c>
      <c r="F616" s="5">
        <v>0</v>
      </c>
      <c r="G616" s="5">
        <v>0</v>
      </c>
    </row>
    <row r="617" spans="1:7" x14ac:dyDescent="0.15">
      <c r="A617" s="4" t="s">
        <v>22</v>
      </c>
      <c r="B617" s="4" t="s">
        <v>1191</v>
      </c>
      <c r="C617" s="4" t="s">
        <v>1160</v>
      </c>
      <c r="D617" s="4" t="s">
        <v>488</v>
      </c>
      <c r="E617" s="4" t="s">
        <v>13</v>
      </c>
      <c r="F617" s="5">
        <v>0</v>
      </c>
      <c r="G617" s="5">
        <v>0</v>
      </c>
    </row>
    <row r="618" spans="1:7" x14ac:dyDescent="0.15">
      <c r="A618" s="4" t="s">
        <v>29</v>
      </c>
      <c r="B618" s="4" t="s">
        <v>1190</v>
      </c>
      <c r="C618" s="4" t="s">
        <v>1160</v>
      </c>
      <c r="D618" s="4" t="s">
        <v>488</v>
      </c>
      <c r="E618" s="4" t="s">
        <v>13</v>
      </c>
      <c r="F618" s="5">
        <v>0</v>
      </c>
      <c r="G618" s="5">
        <v>0</v>
      </c>
    </row>
    <row r="619" spans="1:7" x14ac:dyDescent="0.15">
      <c r="A619" s="4" t="s">
        <v>644</v>
      </c>
      <c r="B619" s="4" t="s">
        <v>1192</v>
      </c>
      <c r="C619" s="4" t="s">
        <v>1160</v>
      </c>
      <c r="D619" s="4" t="s">
        <v>488</v>
      </c>
      <c r="E619" s="4" t="s">
        <v>629</v>
      </c>
      <c r="F619" s="5">
        <v>0</v>
      </c>
      <c r="G619" s="5">
        <v>0</v>
      </c>
    </row>
    <row r="620" spans="1:7" x14ac:dyDescent="0.15">
      <c r="A620" s="4" t="s">
        <v>645</v>
      </c>
      <c r="B620" s="4" t="s">
        <v>1193</v>
      </c>
      <c r="C620" s="4" t="s">
        <v>1160</v>
      </c>
      <c r="D620" s="4" t="s">
        <v>488</v>
      </c>
      <c r="E620" s="4" t="s">
        <v>629</v>
      </c>
      <c r="F620" s="5">
        <v>0</v>
      </c>
      <c r="G620" s="5">
        <v>0</v>
      </c>
    </row>
    <row r="621" spans="1:7" x14ac:dyDescent="0.15">
      <c r="A621" s="4" t="s">
        <v>646</v>
      </c>
      <c r="B621" s="4" t="s">
        <v>1194</v>
      </c>
      <c r="C621" s="4" t="s">
        <v>1160</v>
      </c>
      <c r="D621" s="4" t="s">
        <v>488</v>
      </c>
      <c r="E621" s="4" t="s">
        <v>629</v>
      </c>
      <c r="F621" s="5">
        <v>0</v>
      </c>
      <c r="G621" s="5">
        <v>0</v>
      </c>
    </row>
    <row r="622" spans="1:7" x14ac:dyDescent="0.15">
      <c r="A622" s="4" t="s">
        <v>647</v>
      </c>
      <c r="B622" s="4" t="s">
        <v>1195</v>
      </c>
      <c r="C622" s="4" t="s">
        <v>1160</v>
      </c>
      <c r="D622" s="4" t="s">
        <v>488</v>
      </c>
      <c r="E622" s="4" t="s">
        <v>629</v>
      </c>
      <c r="F622" s="5">
        <v>0</v>
      </c>
      <c r="G622" s="5">
        <v>0</v>
      </c>
    </row>
    <row r="623" spans="1:7" x14ac:dyDescent="0.15">
      <c r="A623" s="4" t="s">
        <v>12</v>
      </c>
      <c r="B623" s="4" t="s">
        <v>1196</v>
      </c>
      <c r="C623" s="4" t="s">
        <v>1160</v>
      </c>
      <c r="D623" s="4" t="s">
        <v>488</v>
      </c>
      <c r="E623" s="4" t="s">
        <v>629</v>
      </c>
      <c r="F623" s="5">
        <v>10.3</v>
      </c>
      <c r="G623" s="5">
        <v>0</v>
      </c>
    </row>
    <row r="624" spans="1:7" x14ac:dyDescent="0.15">
      <c r="A624" s="4" t="s">
        <v>14</v>
      </c>
      <c r="B624" s="4" t="s">
        <v>1197</v>
      </c>
      <c r="C624" s="4" t="s">
        <v>1160</v>
      </c>
      <c r="D624" s="4" t="s">
        <v>488</v>
      </c>
      <c r="E624" s="4" t="s">
        <v>629</v>
      </c>
      <c r="F624" s="5">
        <v>5.49</v>
      </c>
      <c r="G624" s="5">
        <v>0</v>
      </c>
    </row>
    <row r="625" spans="1:7" x14ac:dyDescent="0.15">
      <c r="A625" s="4" t="s">
        <v>15</v>
      </c>
      <c r="B625" s="4" t="s">
        <v>1198</v>
      </c>
      <c r="C625" s="4" t="s">
        <v>1160</v>
      </c>
      <c r="D625" s="4" t="s">
        <v>488</v>
      </c>
      <c r="E625" s="4" t="s">
        <v>629</v>
      </c>
      <c r="F625" s="5">
        <v>79.819999999999993</v>
      </c>
      <c r="G625" s="5">
        <v>0</v>
      </c>
    </row>
    <row r="626" spans="1:7" x14ac:dyDescent="0.15">
      <c r="A626" s="4" t="s">
        <v>648</v>
      </c>
      <c r="B626" s="4" t="s">
        <v>1199</v>
      </c>
      <c r="C626" s="4" t="s">
        <v>1160</v>
      </c>
      <c r="D626" s="4" t="s">
        <v>488</v>
      </c>
      <c r="E626" s="4" t="s">
        <v>629</v>
      </c>
      <c r="F626" s="5">
        <v>0</v>
      </c>
      <c r="G626" s="5">
        <v>0</v>
      </c>
    </row>
    <row r="627" spans="1:7" x14ac:dyDescent="0.15">
      <c r="A627" s="4" t="s">
        <v>649</v>
      </c>
      <c r="B627" s="4" t="s">
        <v>1200</v>
      </c>
      <c r="C627" s="4" t="s">
        <v>1160</v>
      </c>
      <c r="D627" s="4" t="s">
        <v>488</v>
      </c>
      <c r="E627" s="4" t="s">
        <v>629</v>
      </c>
      <c r="F627" s="5">
        <v>0</v>
      </c>
      <c r="G627" s="5">
        <v>0</v>
      </c>
    </row>
    <row r="628" spans="1:7" x14ac:dyDescent="0.15">
      <c r="A628" s="4" t="s">
        <v>393</v>
      </c>
      <c r="B628" s="4" t="s">
        <v>1201</v>
      </c>
      <c r="C628" s="4" t="s">
        <v>1160</v>
      </c>
      <c r="D628" s="4" t="s">
        <v>488</v>
      </c>
      <c r="E628" s="4" t="s">
        <v>629</v>
      </c>
      <c r="F628" s="5">
        <v>0</v>
      </c>
      <c r="G628" s="5">
        <v>0</v>
      </c>
    </row>
    <row r="629" spans="1:7" x14ac:dyDescent="0.15">
      <c r="A629" s="4" t="s">
        <v>650</v>
      </c>
      <c r="B629" s="4" t="s">
        <v>1202</v>
      </c>
      <c r="C629" s="4" t="s">
        <v>1160</v>
      </c>
      <c r="D629" s="4" t="s">
        <v>488</v>
      </c>
      <c r="E629" s="4" t="s">
        <v>629</v>
      </c>
      <c r="F629" s="5">
        <v>0</v>
      </c>
      <c r="G629" s="5">
        <v>0</v>
      </c>
    </row>
    <row r="630" spans="1:7" x14ac:dyDescent="0.15">
      <c r="A630" s="4" t="s">
        <v>651</v>
      </c>
      <c r="B630" s="4" t="s">
        <v>1203</v>
      </c>
      <c r="C630" s="4" t="s">
        <v>1160</v>
      </c>
      <c r="D630" s="4" t="s">
        <v>488</v>
      </c>
      <c r="E630" s="4" t="s">
        <v>629</v>
      </c>
      <c r="F630" s="5">
        <v>0</v>
      </c>
      <c r="G630" s="5">
        <v>0</v>
      </c>
    </row>
    <row r="631" spans="1:7" x14ac:dyDescent="0.15">
      <c r="A631" s="4" t="s">
        <v>652</v>
      </c>
      <c r="B631" s="4" t="s">
        <v>1204</v>
      </c>
      <c r="C631" s="4" t="s">
        <v>1160</v>
      </c>
      <c r="D631" s="4" t="s">
        <v>488</v>
      </c>
      <c r="E631" s="4" t="s">
        <v>629</v>
      </c>
      <c r="F631" s="5">
        <v>0.68627000000000005</v>
      </c>
      <c r="G631" s="5">
        <v>0</v>
      </c>
    </row>
    <row r="632" spans="1:7" x14ac:dyDescent="0.15">
      <c r="A632" s="4" t="s">
        <v>23</v>
      </c>
      <c r="B632" s="4" t="s">
        <v>1205</v>
      </c>
      <c r="C632" s="4" t="s">
        <v>1160</v>
      </c>
      <c r="D632" s="4" t="s">
        <v>488</v>
      </c>
      <c r="E632" s="4" t="s">
        <v>629</v>
      </c>
      <c r="F632" s="5">
        <v>23.61</v>
      </c>
      <c r="G632" s="5">
        <v>0</v>
      </c>
    </row>
    <row r="633" spans="1:7" x14ac:dyDescent="0.15">
      <c r="A633" s="4" t="s">
        <v>653</v>
      </c>
      <c r="B633" s="4" t="s">
        <v>1206</v>
      </c>
      <c r="C633" s="4" t="s">
        <v>702</v>
      </c>
      <c r="D633" s="4" t="s">
        <v>703</v>
      </c>
      <c r="E633" s="4" t="s">
        <v>479</v>
      </c>
      <c r="F633" s="5">
        <v>0</v>
      </c>
      <c r="G633" s="5">
        <v>0</v>
      </c>
    </row>
    <row r="634" spans="1:7" x14ac:dyDescent="0.15">
      <c r="A634" s="4" t="s">
        <v>654</v>
      </c>
      <c r="B634" s="4" t="s">
        <v>1207</v>
      </c>
      <c r="C634" s="4" t="s">
        <v>702</v>
      </c>
      <c r="D634" s="4" t="s">
        <v>703</v>
      </c>
      <c r="E634" s="4" t="s">
        <v>479</v>
      </c>
      <c r="F634" s="5">
        <v>0</v>
      </c>
      <c r="G634" s="5">
        <v>0</v>
      </c>
    </row>
    <row r="635" spans="1:7" x14ac:dyDescent="0.15">
      <c r="A635" s="4" t="s">
        <v>655</v>
      </c>
      <c r="B635" s="4" t="s">
        <v>1208</v>
      </c>
      <c r="C635" s="4" t="s">
        <v>702</v>
      </c>
      <c r="D635" s="4" t="s">
        <v>703</v>
      </c>
      <c r="E635" s="4" t="s">
        <v>479</v>
      </c>
      <c r="F635" s="5">
        <v>0</v>
      </c>
      <c r="G635" s="5">
        <v>0</v>
      </c>
    </row>
    <row r="636" spans="1:7" x14ac:dyDescent="0.15">
      <c r="A636" s="4" t="s">
        <v>656</v>
      </c>
      <c r="B636" s="4" t="s">
        <v>1209</v>
      </c>
      <c r="C636" s="4" t="s">
        <v>699</v>
      </c>
      <c r="D636" s="4" t="s">
        <v>488</v>
      </c>
      <c r="E636" s="4" t="s">
        <v>479</v>
      </c>
      <c r="F636" s="5">
        <v>0</v>
      </c>
      <c r="G636" s="5">
        <v>0</v>
      </c>
    </row>
    <row r="637" spans="1:7" x14ac:dyDescent="0.15">
      <c r="A637" s="4" t="s">
        <v>480</v>
      </c>
      <c r="B637" s="4" t="s">
        <v>1209</v>
      </c>
      <c r="C637" s="4" t="s">
        <v>700</v>
      </c>
      <c r="D637" s="4" t="s">
        <v>2</v>
      </c>
      <c r="E637" s="4" t="s">
        <v>9</v>
      </c>
      <c r="F637" s="5">
        <v>1.0499999999999999E-2</v>
      </c>
      <c r="G637" s="5">
        <v>1000</v>
      </c>
    </row>
    <row r="638" spans="1:7" x14ac:dyDescent="0.15">
      <c r="A638" s="4" t="s">
        <v>657</v>
      </c>
      <c r="B638" s="4" t="s">
        <v>1210</v>
      </c>
      <c r="C638" s="4" t="s">
        <v>702</v>
      </c>
      <c r="D638" s="4" t="s">
        <v>703</v>
      </c>
      <c r="E638" s="4" t="s">
        <v>479</v>
      </c>
      <c r="F638" s="5">
        <v>0</v>
      </c>
      <c r="G638" s="5">
        <v>0</v>
      </c>
    </row>
    <row r="639" spans="1:7" x14ac:dyDescent="0.15">
      <c r="A639" s="4" t="s">
        <v>658</v>
      </c>
      <c r="B639" s="4" t="s">
        <v>1211</v>
      </c>
      <c r="C639" s="4" t="s">
        <v>702</v>
      </c>
      <c r="D639" s="4" t="s">
        <v>703</v>
      </c>
      <c r="E639" s="4" t="s">
        <v>479</v>
      </c>
      <c r="F639" s="5">
        <v>0</v>
      </c>
      <c r="G639" s="5">
        <v>0</v>
      </c>
    </row>
    <row r="640" spans="1:7" x14ac:dyDescent="0.15">
      <c r="A640" s="4" t="s">
        <v>659</v>
      </c>
      <c r="B640" s="4" t="s">
        <v>1212</v>
      </c>
      <c r="C640" s="4" t="s">
        <v>702</v>
      </c>
      <c r="D640" s="4" t="s">
        <v>703</v>
      </c>
      <c r="E640" s="4" t="s">
        <v>479</v>
      </c>
      <c r="F640" s="5">
        <v>0</v>
      </c>
      <c r="G640" s="5">
        <v>0</v>
      </c>
    </row>
    <row r="641" spans="1:7" x14ac:dyDescent="0.15">
      <c r="A641" s="4" t="s">
        <v>660</v>
      </c>
      <c r="B641" s="4" t="s">
        <v>1213</v>
      </c>
      <c r="C641" s="4" t="s">
        <v>702</v>
      </c>
      <c r="D641" s="4" t="s">
        <v>703</v>
      </c>
      <c r="E641" s="4" t="s">
        <v>479</v>
      </c>
      <c r="F641" s="5">
        <v>0</v>
      </c>
      <c r="G641" s="5">
        <v>0</v>
      </c>
    </row>
    <row r="642" spans="1:7" x14ac:dyDescent="0.15">
      <c r="A642" s="4" t="s">
        <v>661</v>
      </c>
      <c r="B642" s="4" t="s">
        <v>1214</v>
      </c>
      <c r="C642" s="4" t="s">
        <v>702</v>
      </c>
      <c r="D642" s="4" t="s">
        <v>703</v>
      </c>
      <c r="E642" s="4" t="s">
        <v>479</v>
      </c>
      <c r="F642" s="5">
        <v>0</v>
      </c>
      <c r="G642" s="5">
        <v>0</v>
      </c>
    </row>
    <row r="643" spans="1:7" x14ac:dyDescent="0.15">
      <c r="A643" s="4" t="s">
        <v>662</v>
      </c>
      <c r="B643" s="4" t="s">
        <v>1215</v>
      </c>
      <c r="C643" s="4" t="s">
        <v>702</v>
      </c>
      <c r="D643" s="4" t="s">
        <v>703</v>
      </c>
      <c r="E643" s="4" t="s">
        <v>479</v>
      </c>
      <c r="F643" s="5">
        <v>0</v>
      </c>
      <c r="G643" s="5">
        <v>0</v>
      </c>
    </row>
    <row r="644" spans="1:7" x14ac:dyDescent="0.15">
      <c r="A644" s="4" t="s">
        <v>663</v>
      </c>
      <c r="B644" s="4" t="s">
        <v>1216</v>
      </c>
      <c r="C644" s="4" t="s">
        <v>702</v>
      </c>
      <c r="D644" s="4" t="s">
        <v>703</v>
      </c>
      <c r="E644" s="4" t="s">
        <v>479</v>
      </c>
      <c r="F644" s="5">
        <v>0</v>
      </c>
      <c r="G644" s="5">
        <v>0</v>
      </c>
    </row>
    <row r="645" spans="1:7" x14ac:dyDescent="0.15">
      <c r="A645" s="4" t="s">
        <v>664</v>
      </c>
      <c r="B645" s="4" t="s">
        <v>1217</v>
      </c>
      <c r="C645" s="4" t="s">
        <v>702</v>
      </c>
      <c r="D645" s="4" t="s">
        <v>703</v>
      </c>
      <c r="E645" s="4" t="s">
        <v>479</v>
      </c>
      <c r="F645" s="5">
        <v>0</v>
      </c>
      <c r="G645" s="5">
        <v>0</v>
      </c>
    </row>
    <row r="646" spans="1:7" x14ac:dyDescent="0.15">
      <c r="A646" s="4" t="s">
        <v>665</v>
      </c>
      <c r="B646" s="4" t="s">
        <v>1218</v>
      </c>
      <c r="C646" s="4" t="s">
        <v>702</v>
      </c>
      <c r="D646" s="4" t="s">
        <v>703</v>
      </c>
      <c r="E646" s="4" t="s">
        <v>479</v>
      </c>
      <c r="F646" s="5">
        <v>0</v>
      </c>
      <c r="G646" s="5">
        <v>0</v>
      </c>
    </row>
    <row r="647" spans="1:7" x14ac:dyDescent="0.15">
      <c r="A647" s="4" t="s">
        <v>666</v>
      </c>
      <c r="B647" s="4" t="s">
        <v>1219</v>
      </c>
      <c r="C647" s="4" t="s">
        <v>702</v>
      </c>
      <c r="D647" s="4" t="s">
        <v>703</v>
      </c>
      <c r="E647" s="4" t="s">
        <v>479</v>
      </c>
      <c r="F647" s="5">
        <v>0</v>
      </c>
      <c r="G647" s="5">
        <v>0</v>
      </c>
    </row>
    <row r="648" spans="1:7" x14ac:dyDescent="0.15">
      <c r="A648" s="4" t="s">
        <v>667</v>
      </c>
      <c r="B648" s="4" t="s">
        <v>1220</v>
      </c>
      <c r="C648" s="4" t="s">
        <v>702</v>
      </c>
      <c r="D648" s="4" t="s">
        <v>703</v>
      </c>
      <c r="E648" s="4" t="s">
        <v>479</v>
      </c>
      <c r="F648" s="5">
        <v>0</v>
      </c>
      <c r="G648" s="5">
        <v>0</v>
      </c>
    </row>
    <row r="649" spans="1:7" x14ac:dyDescent="0.15">
      <c r="A649" s="4" t="s">
        <v>668</v>
      </c>
      <c r="B649" s="4" t="s">
        <v>1221</v>
      </c>
      <c r="C649" s="4" t="s">
        <v>702</v>
      </c>
      <c r="D649" s="4" t="s">
        <v>703</v>
      </c>
      <c r="E649" s="4" t="s">
        <v>479</v>
      </c>
      <c r="F649" s="5">
        <v>0</v>
      </c>
      <c r="G649" s="5">
        <v>0</v>
      </c>
    </row>
    <row r="650" spans="1:7" x14ac:dyDescent="0.15">
      <c r="A650" s="4" t="s">
        <v>669</v>
      </c>
      <c r="B650" s="4" t="s">
        <v>1222</v>
      </c>
      <c r="C650" s="4" t="s">
        <v>702</v>
      </c>
      <c r="D650" s="4" t="s">
        <v>703</v>
      </c>
      <c r="E650" s="4" t="s">
        <v>479</v>
      </c>
      <c r="F650" s="5">
        <v>0</v>
      </c>
      <c r="G650" s="5">
        <v>0</v>
      </c>
    </row>
    <row r="651" spans="1:7" x14ac:dyDescent="0.15">
      <c r="A651" s="4" t="s">
        <v>670</v>
      </c>
      <c r="B651" s="4" t="s">
        <v>1223</v>
      </c>
      <c r="C651" s="4" t="s">
        <v>702</v>
      </c>
      <c r="D651" s="4" t="s">
        <v>703</v>
      </c>
      <c r="E651" s="4" t="s">
        <v>479</v>
      </c>
      <c r="F651" s="5">
        <v>0</v>
      </c>
      <c r="G651" s="5">
        <v>0</v>
      </c>
    </row>
    <row r="652" spans="1:7" x14ac:dyDescent="0.15">
      <c r="A652" s="4" t="s">
        <v>671</v>
      </c>
      <c r="B652" s="4" t="s">
        <v>1224</v>
      </c>
      <c r="C652" s="4" t="s">
        <v>702</v>
      </c>
      <c r="D652" s="4" t="s">
        <v>703</v>
      </c>
      <c r="E652" s="4" t="s">
        <v>479</v>
      </c>
      <c r="F652" s="5">
        <v>0</v>
      </c>
      <c r="G652" s="5">
        <v>0</v>
      </c>
    </row>
    <row r="653" spans="1:7" x14ac:dyDescent="0.15">
      <c r="A653" s="4" t="s">
        <v>672</v>
      </c>
      <c r="B653" s="4" t="s">
        <v>1225</v>
      </c>
      <c r="C653" s="4" t="s">
        <v>702</v>
      </c>
      <c r="D653" s="4" t="s">
        <v>703</v>
      </c>
      <c r="E653" s="4" t="s">
        <v>479</v>
      </c>
      <c r="F653" s="5">
        <v>0</v>
      </c>
      <c r="G653" s="5">
        <v>0</v>
      </c>
    </row>
    <row r="654" spans="1:7" x14ac:dyDescent="0.15">
      <c r="A654" s="4" t="s">
        <v>673</v>
      </c>
      <c r="B654" s="4" t="s">
        <v>1226</v>
      </c>
      <c r="C654" s="4" t="s">
        <v>702</v>
      </c>
      <c r="D654" s="4" t="s">
        <v>703</v>
      </c>
      <c r="E654" s="4" t="s">
        <v>479</v>
      </c>
      <c r="F654" s="5">
        <v>0</v>
      </c>
      <c r="G654" s="5">
        <v>0</v>
      </c>
    </row>
    <row r="655" spans="1:7" x14ac:dyDescent="0.15">
      <c r="A655" s="4" t="s">
        <v>674</v>
      </c>
      <c r="B655" s="4" t="s">
        <v>1227</v>
      </c>
      <c r="C655" s="4" t="s">
        <v>702</v>
      </c>
      <c r="D655" s="4" t="s">
        <v>703</v>
      </c>
      <c r="E655" s="4" t="s">
        <v>479</v>
      </c>
      <c r="F655" s="5">
        <v>0</v>
      </c>
      <c r="G655" s="5">
        <v>0</v>
      </c>
    </row>
    <row r="656" spans="1:7" x14ac:dyDescent="0.15">
      <c r="A656" s="4" t="s">
        <v>675</v>
      </c>
      <c r="B656" s="4" t="s">
        <v>1228</v>
      </c>
      <c r="C656" s="4" t="s">
        <v>702</v>
      </c>
      <c r="D656" s="4" t="s">
        <v>703</v>
      </c>
      <c r="E656" s="4" t="s">
        <v>479</v>
      </c>
      <c r="F656" s="5">
        <v>0</v>
      </c>
      <c r="G656" s="5">
        <v>0</v>
      </c>
    </row>
    <row r="657" spans="1:7" x14ac:dyDescent="0.15">
      <c r="A657" s="4" t="s">
        <v>676</v>
      </c>
      <c r="B657" s="4" t="s">
        <v>1229</v>
      </c>
      <c r="C657" s="4" t="s">
        <v>702</v>
      </c>
      <c r="D657" s="4" t="s">
        <v>703</v>
      </c>
      <c r="E657" s="4" t="s">
        <v>479</v>
      </c>
      <c r="F657" s="5">
        <v>0</v>
      </c>
      <c r="G657" s="5">
        <v>0</v>
      </c>
    </row>
    <row r="658" spans="1:7" x14ac:dyDescent="0.15">
      <c r="A658" s="4" t="s">
        <v>677</v>
      </c>
      <c r="B658" s="4" t="s">
        <v>1230</v>
      </c>
      <c r="C658" s="4" t="s">
        <v>702</v>
      </c>
      <c r="D658" s="4" t="s">
        <v>703</v>
      </c>
      <c r="E658" s="4" t="s">
        <v>479</v>
      </c>
      <c r="F658" s="5">
        <v>0</v>
      </c>
      <c r="G658" s="5">
        <v>0</v>
      </c>
    </row>
    <row r="659" spans="1:7" x14ac:dyDescent="0.15">
      <c r="A659" s="4" t="s">
        <v>678</v>
      </c>
      <c r="B659" s="4" t="s">
        <v>1231</v>
      </c>
      <c r="C659" s="4" t="s">
        <v>702</v>
      </c>
      <c r="D659" s="4" t="s">
        <v>703</v>
      </c>
      <c r="E659" s="4" t="s">
        <v>9</v>
      </c>
      <c r="F659" s="5">
        <v>0</v>
      </c>
      <c r="G659" s="5">
        <v>0</v>
      </c>
    </row>
    <row r="660" spans="1:7" x14ac:dyDescent="0.15">
      <c r="A660" s="2" t="s">
        <v>482</v>
      </c>
      <c r="B660" s="3"/>
      <c r="C660" s="3"/>
      <c r="D660" s="3"/>
      <c r="E660" s="3"/>
      <c r="F660" s="2">
        <f>SUBTOTAL(109,AtlasReport_2_Table_1[Price])</f>
        <v>1001.4420699999997</v>
      </c>
      <c r="G660" s="2"/>
    </row>
    <row r="661" spans="1:7" x14ac:dyDescent="0.15">
      <c r="A661" s="2"/>
      <c r="B661" s="2"/>
      <c r="C661" s="2"/>
      <c r="D661" s="2"/>
      <c r="E661" s="2"/>
      <c r="F661" s="2"/>
      <c r="G661" s="2"/>
    </row>
    <row r="662" spans="1:7" x14ac:dyDescent="0.15">
      <c r="A662" s="2"/>
      <c r="B662" s="2"/>
      <c r="C662" s="2"/>
      <c r="D662" s="2"/>
      <c r="E662" s="2"/>
      <c r="F662" s="2"/>
      <c r="G662" s="2"/>
    </row>
  </sheetData>
  <phoneticPr fontId="3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249977111117893"/>
  </sheetPr>
  <dimension ref="A1:F57"/>
  <sheetViews>
    <sheetView workbookViewId="0">
      <selection activeCell="F6" sqref="F6"/>
    </sheetView>
  </sheetViews>
  <sheetFormatPr defaultRowHeight="13.5" x14ac:dyDescent="0.15"/>
  <cols>
    <col min="1" max="1" width="27.125" customWidth="1"/>
    <col min="2" max="2" width="11.875" customWidth="1"/>
    <col min="3" max="3" width="12" customWidth="1"/>
    <col min="4" max="4" width="20.75" customWidth="1"/>
    <col min="5" max="5" width="9.375" customWidth="1"/>
    <col min="6" max="6" width="12.25" customWidth="1"/>
  </cols>
  <sheetData>
    <row r="1" spans="1:6" ht="22.5" x14ac:dyDescent="0.25">
      <c r="A1" s="1" t="s">
        <v>679</v>
      </c>
      <c r="B1" s="1"/>
      <c r="C1" s="1"/>
      <c r="D1" s="1"/>
      <c r="E1" s="1"/>
      <c r="F1" s="1"/>
    </row>
    <row r="2" spans="1:6" x14ac:dyDescent="0.15">
      <c r="A2" s="2" t="s">
        <v>3</v>
      </c>
      <c r="B2" s="2" t="s">
        <v>680</v>
      </c>
      <c r="C2" s="2" t="s">
        <v>681</v>
      </c>
      <c r="D2" s="2" t="s">
        <v>682</v>
      </c>
      <c r="E2" s="2" t="s">
        <v>683</v>
      </c>
      <c r="F2" s="2" t="s">
        <v>684</v>
      </c>
    </row>
    <row r="3" spans="1:6" x14ac:dyDescent="0.15">
      <c r="A3" s="4" t="s">
        <v>10</v>
      </c>
      <c r="B3" s="4" t="s">
        <v>13</v>
      </c>
      <c r="C3" s="5">
        <v>1000</v>
      </c>
      <c r="D3" s="5">
        <v>0</v>
      </c>
      <c r="E3" s="4" t="s">
        <v>629</v>
      </c>
      <c r="F3" s="4" t="s">
        <v>685</v>
      </c>
    </row>
    <row r="4" spans="1:6" x14ac:dyDescent="0.15">
      <c r="A4" s="4" t="s">
        <v>10</v>
      </c>
      <c r="B4" s="4" t="s">
        <v>629</v>
      </c>
      <c r="C4" s="5">
        <v>1000</v>
      </c>
      <c r="D4" s="5">
        <v>0</v>
      </c>
      <c r="E4" s="4" t="s">
        <v>686</v>
      </c>
      <c r="F4" s="4" t="s">
        <v>685</v>
      </c>
    </row>
    <row r="5" spans="1:6" x14ac:dyDescent="0.15">
      <c r="A5" s="4" t="s">
        <v>10</v>
      </c>
      <c r="B5" s="4" t="s">
        <v>687</v>
      </c>
      <c r="C5" s="5">
        <v>1000</v>
      </c>
      <c r="D5" s="5">
        <v>0</v>
      </c>
      <c r="E5" s="4" t="s">
        <v>13</v>
      </c>
      <c r="F5" s="4" t="s">
        <v>685</v>
      </c>
    </row>
    <row r="6" spans="1:6" x14ac:dyDescent="0.15">
      <c r="A6" s="4" t="s">
        <v>10</v>
      </c>
      <c r="B6" s="4" t="s">
        <v>687</v>
      </c>
      <c r="C6" s="5">
        <v>1000000</v>
      </c>
      <c r="D6" s="5">
        <v>0</v>
      </c>
      <c r="E6" s="4" t="s">
        <v>629</v>
      </c>
      <c r="F6" s="4" t="s">
        <v>685</v>
      </c>
    </row>
    <row r="7" spans="1:6" x14ac:dyDescent="0.15">
      <c r="A7" s="4" t="s">
        <v>10</v>
      </c>
      <c r="B7" s="4" t="s">
        <v>479</v>
      </c>
      <c r="C7" s="5">
        <v>1</v>
      </c>
      <c r="D7" s="5">
        <v>0</v>
      </c>
      <c r="E7" s="4" t="s">
        <v>688</v>
      </c>
      <c r="F7" s="4" t="s">
        <v>685</v>
      </c>
    </row>
    <row r="8" spans="1:6" x14ac:dyDescent="0.15">
      <c r="A8" s="4" t="s">
        <v>587</v>
      </c>
      <c r="B8" s="4" t="s">
        <v>479</v>
      </c>
      <c r="C8" s="5">
        <v>1</v>
      </c>
      <c r="D8" s="5">
        <v>0</v>
      </c>
      <c r="E8" s="4" t="s">
        <v>689</v>
      </c>
      <c r="F8" s="4" t="s">
        <v>685</v>
      </c>
    </row>
    <row r="9" spans="1:6" x14ac:dyDescent="0.15">
      <c r="A9" s="4" t="s">
        <v>587</v>
      </c>
      <c r="B9" s="4" t="s">
        <v>479</v>
      </c>
      <c r="C9" s="5">
        <v>1</v>
      </c>
      <c r="D9" s="5">
        <v>0</v>
      </c>
      <c r="E9" s="4" t="s">
        <v>18</v>
      </c>
      <c r="F9" s="4" t="s">
        <v>685</v>
      </c>
    </row>
    <row r="10" spans="1:6" x14ac:dyDescent="0.15">
      <c r="A10" s="4" t="s">
        <v>587</v>
      </c>
      <c r="B10" s="4" t="s">
        <v>479</v>
      </c>
      <c r="C10" s="5">
        <v>1</v>
      </c>
      <c r="D10" s="5">
        <v>0</v>
      </c>
      <c r="E10" s="4" t="s">
        <v>9</v>
      </c>
      <c r="F10" s="4" t="s">
        <v>685</v>
      </c>
    </row>
    <row r="11" spans="1:6" x14ac:dyDescent="0.15">
      <c r="A11" s="4" t="s">
        <v>587</v>
      </c>
      <c r="B11" s="4" t="s">
        <v>479</v>
      </c>
      <c r="C11" s="5">
        <v>1</v>
      </c>
      <c r="D11" s="5">
        <v>0</v>
      </c>
      <c r="E11" s="4" t="s">
        <v>688</v>
      </c>
      <c r="F11" s="4" t="s">
        <v>685</v>
      </c>
    </row>
    <row r="12" spans="1:6" x14ac:dyDescent="0.15">
      <c r="A12" s="4" t="s">
        <v>625</v>
      </c>
      <c r="B12" s="4" t="s">
        <v>9</v>
      </c>
      <c r="C12" s="5">
        <v>150</v>
      </c>
      <c r="D12" s="5">
        <v>0</v>
      </c>
      <c r="E12" s="4" t="s">
        <v>692</v>
      </c>
      <c r="F12" s="4" t="s">
        <v>685</v>
      </c>
    </row>
    <row r="13" spans="1:6" x14ac:dyDescent="0.15">
      <c r="A13" s="4" t="s">
        <v>123</v>
      </c>
      <c r="B13" s="4" t="s">
        <v>13</v>
      </c>
      <c r="C13" s="5">
        <v>1.65</v>
      </c>
      <c r="D13" s="5">
        <v>0</v>
      </c>
      <c r="E13" s="4" t="s">
        <v>9</v>
      </c>
      <c r="F13" s="4" t="s">
        <v>685</v>
      </c>
    </row>
    <row r="14" spans="1:6" x14ac:dyDescent="0.15">
      <c r="A14" s="4" t="s">
        <v>123</v>
      </c>
      <c r="B14" s="4" t="s">
        <v>629</v>
      </c>
      <c r="C14" s="5">
        <v>1.65E-3</v>
      </c>
      <c r="D14" s="5">
        <v>0</v>
      </c>
      <c r="E14" s="4" t="s">
        <v>9</v>
      </c>
      <c r="F14" s="4" t="s">
        <v>685</v>
      </c>
    </row>
    <row r="15" spans="1:6" x14ac:dyDescent="0.15">
      <c r="A15" s="4" t="s">
        <v>176</v>
      </c>
      <c r="B15" s="4" t="s">
        <v>13</v>
      </c>
      <c r="C15" s="5">
        <v>3.2</v>
      </c>
      <c r="D15" s="5">
        <v>0</v>
      </c>
      <c r="E15" s="4" t="s">
        <v>9</v>
      </c>
      <c r="F15" s="4" t="s">
        <v>685</v>
      </c>
    </row>
    <row r="16" spans="1:6" x14ac:dyDescent="0.15">
      <c r="A16" s="4" t="s">
        <v>176</v>
      </c>
      <c r="B16" s="4" t="s">
        <v>629</v>
      </c>
      <c r="C16" s="5">
        <v>3.2000000000000002E-3</v>
      </c>
      <c r="D16" s="5">
        <v>0</v>
      </c>
      <c r="E16" s="4" t="s">
        <v>9</v>
      </c>
      <c r="F16" s="4" t="s">
        <v>685</v>
      </c>
    </row>
    <row r="17" spans="1:6" x14ac:dyDescent="0.15">
      <c r="A17" s="4" t="s">
        <v>635</v>
      </c>
      <c r="B17" s="4" t="s">
        <v>13</v>
      </c>
      <c r="C17" s="5">
        <v>1.2</v>
      </c>
      <c r="D17" s="5">
        <v>0</v>
      </c>
      <c r="E17" s="4" t="s">
        <v>9</v>
      </c>
      <c r="F17" s="4" t="s">
        <v>685</v>
      </c>
    </row>
    <row r="18" spans="1:6" x14ac:dyDescent="0.15">
      <c r="A18" s="4" t="s">
        <v>635</v>
      </c>
      <c r="B18" s="4" t="s">
        <v>629</v>
      </c>
      <c r="C18" s="5">
        <v>1.1999999999999999E-3</v>
      </c>
      <c r="D18" s="5">
        <v>0</v>
      </c>
      <c r="E18" s="4" t="s">
        <v>9</v>
      </c>
      <c r="F18" s="4" t="s">
        <v>685</v>
      </c>
    </row>
    <row r="19" spans="1:6" x14ac:dyDescent="0.15">
      <c r="A19" s="4" t="s">
        <v>464</v>
      </c>
      <c r="B19" s="4" t="s">
        <v>13</v>
      </c>
      <c r="C19" s="5">
        <v>2.8000000000000004E-2</v>
      </c>
      <c r="D19" s="5">
        <v>0</v>
      </c>
      <c r="E19" s="4" t="s">
        <v>9</v>
      </c>
      <c r="F19" s="4" t="s">
        <v>685</v>
      </c>
    </row>
    <row r="20" spans="1:6" x14ac:dyDescent="0.15">
      <c r="A20" s="4" t="s">
        <v>464</v>
      </c>
      <c r="B20" s="4" t="s">
        <v>629</v>
      </c>
      <c r="C20" s="5">
        <v>2.8000000000000003E-5</v>
      </c>
      <c r="D20" s="5">
        <v>0</v>
      </c>
      <c r="E20" s="4" t="s">
        <v>9</v>
      </c>
      <c r="F20" s="4" t="s">
        <v>685</v>
      </c>
    </row>
    <row r="21" spans="1:6" x14ac:dyDescent="0.15">
      <c r="A21" s="4" t="s">
        <v>412</v>
      </c>
      <c r="B21" s="4" t="s">
        <v>13</v>
      </c>
      <c r="C21" s="5">
        <v>3.3000000000000002E-2</v>
      </c>
      <c r="D21" s="5">
        <v>0</v>
      </c>
      <c r="E21" s="4" t="s">
        <v>9</v>
      </c>
      <c r="F21" s="4" t="s">
        <v>685</v>
      </c>
    </row>
    <row r="22" spans="1:6" x14ac:dyDescent="0.15">
      <c r="A22" s="4" t="s">
        <v>412</v>
      </c>
      <c r="B22" s="4" t="s">
        <v>629</v>
      </c>
      <c r="C22" s="5">
        <v>3.3000000000000003E-5</v>
      </c>
      <c r="D22" s="5">
        <v>0</v>
      </c>
      <c r="E22" s="4" t="s">
        <v>9</v>
      </c>
      <c r="F22" s="4" t="s">
        <v>685</v>
      </c>
    </row>
    <row r="23" spans="1:6" x14ac:dyDescent="0.15">
      <c r="A23" s="4" t="s">
        <v>472</v>
      </c>
      <c r="B23" s="4" t="s">
        <v>13</v>
      </c>
      <c r="C23" s="5">
        <v>0.83</v>
      </c>
      <c r="D23" s="5">
        <v>0</v>
      </c>
      <c r="E23" s="4" t="s">
        <v>9</v>
      </c>
      <c r="F23" s="4" t="s">
        <v>685</v>
      </c>
    </row>
    <row r="24" spans="1:6" x14ac:dyDescent="0.15">
      <c r="A24" s="4" t="s">
        <v>472</v>
      </c>
      <c r="B24" s="4" t="s">
        <v>629</v>
      </c>
      <c r="C24" s="5">
        <v>8.3000000000000001E-4</v>
      </c>
      <c r="D24" s="5">
        <v>0</v>
      </c>
      <c r="E24" s="4" t="s">
        <v>9</v>
      </c>
      <c r="F24" s="4" t="s">
        <v>685</v>
      </c>
    </row>
    <row r="25" spans="1:6" x14ac:dyDescent="0.15">
      <c r="A25" s="4" t="s">
        <v>639</v>
      </c>
      <c r="B25" s="4" t="s">
        <v>13</v>
      </c>
      <c r="C25" s="5">
        <v>1.6</v>
      </c>
      <c r="D25" s="5">
        <v>0</v>
      </c>
      <c r="E25" s="4" t="s">
        <v>9</v>
      </c>
      <c r="F25" s="4" t="s">
        <v>685</v>
      </c>
    </row>
    <row r="26" spans="1:6" x14ac:dyDescent="0.15">
      <c r="A26" s="4" t="s">
        <v>639</v>
      </c>
      <c r="B26" s="4" t="s">
        <v>629</v>
      </c>
      <c r="C26" s="5">
        <v>1.6000000000000001E-3</v>
      </c>
      <c r="D26" s="5">
        <v>0</v>
      </c>
      <c r="E26" s="4" t="s">
        <v>9</v>
      </c>
      <c r="F26" s="4" t="s">
        <v>685</v>
      </c>
    </row>
    <row r="27" spans="1:6" x14ac:dyDescent="0.15">
      <c r="A27" s="4" t="s">
        <v>640</v>
      </c>
      <c r="B27" s="4" t="s">
        <v>13</v>
      </c>
      <c r="C27" s="5">
        <v>3.2</v>
      </c>
      <c r="D27" s="5">
        <v>0</v>
      </c>
      <c r="E27" s="4" t="s">
        <v>9</v>
      </c>
      <c r="F27" s="4" t="s">
        <v>685</v>
      </c>
    </row>
    <row r="28" spans="1:6" x14ac:dyDescent="0.15">
      <c r="A28" s="4" t="s">
        <v>640</v>
      </c>
      <c r="B28" s="4" t="s">
        <v>629</v>
      </c>
      <c r="C28" s="5">
        <v>3.2000000000000002E-3</v>
      </c>
      <c r="D28" s="5">
        <v>0</v>
      </c>
      <c r="E28" s="4" t="s">
        <v>9</v>
      </c>
      <c r="F28" s="4" t="s">
        <v>685</v>
      </c>
    </row>
    <row r="29" spans="1:6" x14ac:dyDescent="0.15">
      <c r="A29" s="4" t="s">
        <v>481</v>
      </c>
      <c r="B29" s="4" t="s">
        <v>13</v>
      </c>
      <c r="C29" s="5">
        <v>0.8</v>
      </c>
      <c r="D29" s="5">
        <v>0</v>
      </c>
      <c r="E29" s="4" t="s">
        <v>9</v>
      </c>
      <c r="F29" s="4" t="s">
        <v>685</v>
      </c>
    </row>
    <row r="30" spans="1:6" x14ac:dyDescent="0.15">
      <c r="A30" s="4" t="s">
        <v>481</v>
      </c>
      <c r="B30" s="4" t="s">
        <v>629</v>
      </c>
      <c r="C30" s="5">
        <v>8.0000000000000004E-4</v>
      </c>
      <c r="D30" s="5">
        <v>0</v>
      </c>
      <c r="E30" s="4" t="s">
        <v>9</v>
      </c>
      <c r="F30" s="4" t="s">
        <v>685</v>
      </c>
    </row>
    <row r="31" spans="1:6" x14ac:dyDescent="0.15">
      <c r="A31" s="4" t="s">
        <v>444</v>
      </c>
      <c r="B31" s="4" t="s">
        <v>13</v>
      </c>
      <c r="C31" s="5">
        <v>0.44500000000000001</v>
      </c>
      <c r="D31" s="5">
        <v>0</v>
      </c>
      <c r="E31" s="4" t="s">
        <v>9</v>
      </c>
      <c r="F31" s="4" t="s">
        <v>685</v>
      </c>
    </row>
    <row r="32" spans="1:6" x14ac:dyDescent="0.15">
      <c r="A32" s="4" t="s">
        <v>444</v>
      </c>
      <c r="B32" s="4" t="s">
        <v>629</v>
      </c>
      <c r="C32" s="5">
        <v>4.4499999999999997E-4</v>
      </c>
      <c r="D32" s="5">
        <v>0</v>
      </c>
      <c r="E32" s="4" t="s">
        <v>9</v>
      </c>
      <c r="F32" s="4" t="s">
        <v>685</v>
      </c>
    </row>
    <row r="33" spans="1:6" x14ac:dyDescent="0.15">
      <c r="A33" s="4" t="s">
        <v>641</v>
      </c>
      <c r="B33" s="4" t="s">
        <v>13</v>
      </c>
      <c r="C33" s="5">
        <v>0.10299999999999999</v>
      </c>
      <c r="D33" s="5">
        <v>0</v>
      </c>
      <c r="E33" s="4" t="s">
        <v>9</v>
      </c>
      <c r="F33" s="4" t="s">
        <v>685</v>
      </c>
    </row>
    <row r="34" spans="1:6" x14ac:dyDescent="0.15">
      <c r="A34" s="4" t="s">
        <v>641</v>
      </c>
      <c r="B34" s="4" t="s">
        <v>629</v>
      </c>
      <c r="C34" s="5">
        <v>1.0299999999999998E-4</v>
      </c>
      <c r="D34" s="5">
        <v>0</v>
      </c>
      <c r="E34" s="4" t="s">
        <v>9</v>
      </c>
      <c r="F34" s="4" t="s">
        <v>685</v>
      </c>
    </row>
    <row r="35" spans="1:6" x14ac:dyDescent="0.15">
      <c r="A35" s="4" t="s">
        <v>642</v>
      </c>
      <c r="B35" s="4" t="s">
        <v>13</v>
      </c>
      <c r="C35" s="5">
        <v>0.20599999999999999</v>
      </c>
      <c r="D35" s="5">
        <v>0</v>
      </c>
      <c r="E35" s="4" t="s">
        <v>9</v>
      </c>
      <c r="F35" s="4" t="s">
        <v>685</v>
      </c>
    </row>
    <row r="36" spans="1:6" x14ac:dyDescent="0.15">
      <c r="A36" s="4" t="s">
        <v>642</v>
      </c>
      <c r="B36" s="4" t="s">
        <v>629</v>
      </c>
      <c r="C36" s="5">
        <v>2.0599999999999997E-4</v>
      </c>
      <c r="D36" s="5">
        <v>0</v>
      </c>
      <c r="E36" s="4" t="s">
        <v>9</v>
      </c>
      <c r="F36" s="4" t="s">
        <v>685</v>
      </c>
    </row>
    <row r="37" spans="1:6" x14ac:dyDescent="0.15">
      <c r="A37" s="4" t="s">
        <v>643</v>
      </c>
      <c r="B37" s="4" t="s">
        <v>13</v>
      </c>
      <c r="C37" s="5">
        <v>0.48499999999999999</v>
      </c>
      <c r="D37" s="5">
        <v>0</v>
      </c>
      <c r="E37" s="4" t="s">
        <v>9</v>
      </c>
      <c r="F37" s="4" t="s">
        <v>685</v>
      </c>
    </row>
    <row r="38" spans="1:6" x14ac:dyDescent="0.15">
      <c r="A38" s="4" t="s">
        <v>643</v>
      </c>
      <c r="B38" s="4" t="s">
        <v>629</v>
      </c>
      <c r="C38" s="5">
        <v>4.8500000000000003E-4</v>
      </c>
      <c r="D38" s="5">
        <v>0</v>
      </c>
      <c r="E38" s="4" t="s">
        <v>9</v>
      </c>
      <c r="F38" s="4" t="s">
        <v>685</v>
      </c>
    </row>
    <row r="39" spans="1:6" x14ac:dyDescent="0.15">
      <c r="A39" s="4" t="s">
        <v>28</v>
      </c>
      <c r="B39" s="4" t="s">
        <v>13</v>
      </c>
      <c r="C39" s="5">
        <v>6.7000000000000004E-2</v>
      </c>
      <c r="D39" s="5">
        <v>0</v>
      </c>
      <c r="E39" s="4" t="s">
        <v>9</v>
      </c>
      <c r="F39" s="4" t="s">
        <v>685</v>
      </c>
    </row>
    <row r="40" spans="1:6" x14ac:dyDescent="0.15">
      <c r="A40" s="4" t="s">
        <v>28</v>
      </c>
      <c r="B40" s="4" t="s">
        <v>629</v>
      </c>
      <c r="C40" s="5">
        <v>6.7000000000000002E-5</v>
      </c>
      <c r="D40" s="5">
        <v>0</v>
      </c>
      <c r="E40" s="4" t="s">
        <v>9</v>
      </c>
      <c r="F40" s="4" t="s">
        <v>685</v>
      </c>
    </row>
    <row r="41" spans="1:6" x14ac:dyDescent="0.15">
      <c r="A41" s="4" t="s">
        <v>392</v>
      </c>
      <c r="B41" s="4" t="s">
        <v>13</v>
      </c>
      <c r="C41" s="5">
        <v>6.7000000000000004E-2</v>
      </c>
      <c r="D41" s="5">
        <v>0</v>
      </c>
      <c r="E41" s="4" t="s">
        <v>9</v>
      </c>
      <c r="F41" s="4" t="s">
        <v>685</v>
      </c>
    </row>
    <row r="42" spans="1:6" x14ac:dyDescent="0.15">
      <c r="A42" s="4" t="s">
        <v>392</v>
      </c>
      <c r="B42" s="4" t="s">
        <v>629</v>
      </c>
      <c r="C42" s="5">
        <v>6.7000000000000002E-5</v>
      </c>
      <c r="D42" s="5">
        <v>0</v>
      </c>
      <c r="E42" s="4" t="s">
        <v>9</v>
      </c>
      <c r="F42" s="4" t="s">
        <v>685</v>
      </c>
    </row>
    <row r="43" spans="1:6" x14ac:dyDescent="0.15">
      <c r="A43" s="4" t="s">
        <v>34</v>
      </c>
      <c r="B43" s="4" t="s">
        <v>13</v>
      </c>
      <c r="C43" s="5">
        <v>0.2</v>
      </c>
      <c r="D43" s="5">
        <v>0</v>
      </c>
      <c r="E43" s="4" t="s">
        <v>9</v>
      </c>
      <c r="F43" s="4" t="s">
        <v>685</v>
      </c>
    </row>
    <row r="44" spans="1:6" x14ac:dyDescent="0.15">
      <c r="A44" s="4" t="s">
        <v>34</v>
      </c>
      <c r="B44" s="4" t="s">
        <v>629</v>
      </c>
      <c r="C44" s="5">
        <v>2.0000000000000001E-4</v>
      </c>
      <c r="D44" s="5">
        <v>0</v>
      </c>
      <c r="E44" s="4" t="s">
        <v>9</v>
      </c>
      <c r="F44" s="4" t="s">
        <v>685</v>
      </c>
    </row>
    <row r="45" spans="1:6" x14ac:dyDescent="0.15">
      <c r="A45" s="4" t="s">
        <v>39</v>
      </c>
      <c r="B45" s="4" t="s">
        <v>13</v>
      </c>
      <c r="C45" s="5">
        <v>0.4</v>
      </c>
      <c r="D45" s="5">
        <v>0</v>
      </c>
      <c r="E45" s="4" t="s">
        <v>9</v>
      </c>
      <c r="F45" s="4" t="s">
        <v>685</v>
      </c>
    </row>
    <row r="46" spans="1:6" x14ac:dyDescent="0.15">
      <c r="A46" s="4" t="s">
        <v>39</v>
      </c>
      <c r="B46" s="4" t="s">
        <v>629</v>
      </c>
      <c r="C46" s="5">
        <v>4.0000000000000002E-4</v>
      </c>
      <c r="D46" s="5">
        <v>0</v>
      </c>
      <c r="E46" s="4" t="s">
        <v>9</v>
      </c>
      <c r="F46" s="4" t="s">
        <v>685</v>
      </c>
    </row>
    <row r="47" spans="1:6" x14ac:dyDescent="0.15">
      <c r="A47" s="4" t="s">
        <v>33</v>
      </c>
      <c r="B47" s="4" t="s">
        <v>13</v>
      </c>
      <c r="C47" s="5">
        <v>0.8</v>
      </c>
      <c r="D47" s="5">
        <v>0</v>
      </c>
      <c r="E47" s="4" t="s">
        <v>9</v>
      </c>
      <c r="F47" s="4" t="s">
        <v>685</v>
      </c>
    </row>
    <row r="48" spans="1:6" x14ac:dyDescent="0.15">
      <c r="A48" s="4" t="s">
        <v>33</v>
      </c>
      <c r="B48" s="4" t="s">
        <v>629</v>
      </c>
      <c r="C48" s="5">
        <v>8.0000000000000004E-4</v>
      </c>
      <c r="D48" s="5">
        <v>0</v>
      </c>
      <c r="E48" s="4" t="s">
        <v>9</v>
      </c>
      <c r="F48" s="4" t="s">
        <v>685</v>
      </c>
    </row>
    <row r="49" spans="1:6" x14ac:dyDescent="0.15">
      <c r="A49" s="4" t="s">
        <v>22</v>
      </c>
      <c r="B49" s="4" t="s">
        <v>13</v>
      </c>
      <c r="C49" s="5">
        <v>1.65</v>
      </c>
      <c r="D49" s="5">
        <v>0</v>
      </c>
      <c r="E49" s="4" t="s">
        <v>9</v>
      </c>
      <c r="F49" s="4" t="s">
        <v>685</v>
      </c>
    </row>
    <row r="50" spans="1:6" x14ac:dyDescent="0.15">
      <c r="A50" s="4" t="s">
        <v>22</v>
      </c>
      <c r="B50" s="4" t="s">
        <v>629</v>
      </c>
      <c r="C50" s="5">
        <v>1.65E-3</v>
      </c>
      <c r="D50" s="5">
        <v>0</v>
      </c>
      <c r="E50" s="4" t="s">
        <v>9</v>
      </c>
      <c r="F50" s="4" t="s">
        <v>685</v>
      </c>
    </row>
    <row r="51" spans="1:6" x14ac:dyDescent="0.15">
      <c r="A51" s="4" t="s">
        <v>29</v>
      </c>
      <c r="B51" s="4" t="s">
        <v>13</v>
      </c>
      <c r="C51" s="5">
        <v>0.4</v>
      </c>
      <c r="D51" s="5">
        <v>0</v>
      </c>
      <c r="E51" s="4" t="s">
        <v>9</v>
      </c>
      <c r="F51" s="4" t="s">
        <v>685</v>
      </c>
    </row>
    <row r="52" spans="1:6" x14ac:dyDescent="0.15">
      <c r="A52" s="4" t="s">
        <v>29</v>
      </c>
      <c r="B52" s="4" t="s">
        <v>629</v>
      </c>
      <c r="C52" s="5">
        <v>4.0000000000000002E-4</v>
      </c>
      <c r="D52" s="5">
        <v>0</v>
      </c>
      <c r="E52" s="4" t="s">
        <v>9</v>
      </c>
      <c r="F52" s="4" t="s">
        <v>685</v>
      </c>
    </row>
    <row r="53" spans="1:6" x14ac:dyDescent="0.15">
      <c r="A53" s="4" t="s">
        <v>644</v>
      </c>
      <c r="B53" s="4" t="s">
        <v>13</v>
      </c>
      <c r="C53" s="5">
        <v>1.03</v>
      </c>
      <c r="D53" s="5">
        <v>0</v>
      </c>
      <c r="E53" s="4" t="s">
        <v>9</v>
      </c>
      <c r="F53" s="4" t="s">
        <v>685</v>
      </c>
    </row>
    <row r="54" spans="1:6" x14ac:dyDescent="0.15">
      <c r="A54" s="4" t="s">
        <v>644</v>
      </c>
      <c r="B54" s="4" t="s">
        <v>629</v>
      </c>
      <c r="C54" s="5">
        <v>1.0299999999999999E-3</v>
      </c>
      <c r="D54" s="5">
        <v>0</v>
      </c>
      <c r="E54" s="4" t="s">
        <v>9</v>
      </c>
      <c r="F54" s="4" t="s">
        <v>685</v>
      </c>
    </row>
    <row r="55" spans="1:6" x14ac:dyDescent="0.15">
      <c r="A55" s="2" t="s">
        <v>482</v>
      </c>
      <c r="B55" s="3"/>
      <c r="C55" s="2">
        <f>SUBTOTAL(109,AtlasReport_3_Table_1[Factor])</f>
        <v>1003173.4123940005</v>
      </c>
      <c r="D55" s="2">
        <f>SUBTOTAL(109,AtlasReport_3_Table_1[Additional quantity])</f>
        <v>0</v>
      </c>
      <c r="E55" s="3"/>
      <c r="F55" s="2"/>
    </row>
    <row r="56" spans="1:6" x14ac:dyDescent="0.15">
      <c r="A56" s="2"/>
      <c r="B56" s="2"/>
      <c r="C56" s="2"/>
      <c r="D56" s="2"/>
      <c r="E56" s="2"/>
      <c r="F56" s="2"/>
    </row>
    <row r="57" spans="1:6" x14ac:dyDescent="0.15">
      <c r="A57" s="2"/>
      <c r="B57" s="2"/>
      <c r="C57" s="2"/>
      <c r="D57" s="2"/>
      <c r="E57" s="2"/>
      <c r="F57" s="2"/>
    </row>
  </sheetData>
  <phoneticPr fontId="3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l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wAAAAM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GRlZjlmOTU4LTJhY2EtNDk1NC05NzIwLTVkYjJmZGQxNDM2OQ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YjExYWEzYTQtZWMyNi00ODQ4LWIwNWYtNDkyMGFjNTQ0OWU3BiwAAAAeVGFibGUuSW52ZW50VGFibGVNb2R1bGUuSXRlbUlkCgoKCgEVAAAAFAAAAAktAAAACS4AAAAJLwAAAAYwAAAACEl0ZW1OYW1lBjEAAAAJSXRlbSBuYW1lBjIAAAAGU3RyaW5nCSUAAAAGNAAAACQ1ZmIxM2I3YS0yMTdkLTRmMTgtYTdkOS1kM2E3YWY1YzhhMTcBy////9n/////////AQAAAAHK////2P///wAAAAAByf///9f///8CAAAAAAAAAAAByP///9b///8AAAAACgEAAAAAAAAAAAEAAAAABjkAAAAkNmNkMmYyOTEtMDA1OC00NDM3LWE1NjAtZDRjMmJmOWE2NmFkBjoAAAA5VGFibGUuSW52ZW50VGFibGVNb2R1bGUuSXRlbUlkflRhYmxlLkludmVudFRhYmxlLkl0ZW1OYW1lCgoKCgEWAAAAFAAAAAk7AAAACTwAAAAJPQAAAAY+AAAAC0l0ZW1Hcm91cElkBj8AAAAKSXRlbSBncm91cAZAAAAABlN0cmluZwklAAAABkIAAAAkMDhjYzk4MWUtZjQ1Ny00YzA0LTk0ZTktYTIyYWQ3Y2RhM2RlAb3////Z/////////wIAAAABvP///9j///8AAAAAAbv////X////AgAAAAAAAAAAAbr////W////AAAAAAoBAAAAAAAAAAACAAAAAAZHAAAAJGEwNTE3NWM4LWRlMTgtNDM2ZS1hM2ZkLTUzNzgwODYyZGYyNgZIAAAAPFRhYmxlLkludmVudFRhYmxlTW9kdWxlLkl0ZW1JZH5UYWJsZS5JbnZlbnRUYWJsZS5JdGVtR3JvdXBJZAoKCgoBFwAAABQAAAAJSQAAAAlKAAAACUsAAAAGTAAAAAhJdGVtVHlwZQZNAAAACUl0ZW0gdHlwZQZOAAAABEVudW0JJQAAAAZQAAAAJDdmMTcxNGM4LTIyM2MtNDdkZC04NDdhLWI1MTI2YzAwNGI3YwGv////2f////////8DAAAAAa7////Y////AAAAAAGt////1////wIAAAAAAAAAAAGs////1v///wAAAAAKAQAAAAAAAAAAAwAAAAAGVQAAACQyODEyNmQ5ZC1mMDg2LTQ5YmQtYWNhNy0zODFhY2ZkNDgyOWIGVgAAADlUYWJsZS5JbnZlbnRUYWJsZU1vZHVsZS5JdGVtSWR+VGFibGUuSW52ZW50VGFibGUuSXRlbVR5cGUKCgoKARgAAAAUAAAACVcAAAAJWAAAAAlZAAAABloAAAAGVW5pdElkBlsAAAAEVW5pdAZcAAAABlN0cmluZwklAAAABl4AAAAkYTc5NDQzNDktY2I1Yy00NjZiLWI3OTItZTE2YjIyYTJmZThhAaH////Z/////////wQAAAABoP///9j///8AAAAAAZ/////X////AgAAAAAAAAAAAZ7////W////AAAAAAoBAAAAAAAAAAAEAAAAAAZjAAAAJDEyMjgzMzEwLThhZWUtNGY4MS05NDNlLTVlNjhkMjkyMDAyOAZkAAAAHlRhYmxlLkludmVudFRhYmxlTW9kdWxlLlVuaXRJZAoKCgoBGQAAABQAAAAJZQAAAAlmAAAACWcAAAAGaAAAAAVQcmljZQZpAAAABVByaWNlBmoAAAAEUmVhbAklAAAABmwAAAAkN2Y1MzMxMDctZGIyZC00ZDc4LTkwMTgtZGQ5NWI3ODE2YWFiAZP////Z////AQAAAAUAAAABkv///9j///8AAAAAAZH////X////AgAAAAAAAAAAAZD////W////AAAAAAoBAAAAAAAAAAAFAAAAAAZxAAAAJGZmNjdhNzIwLTE0ZjYtNDY1NS1hNTNiLTZhNjA2YTUxZDUyYwZyAAAAHVRhYmxlLkludmVudFRhYmxlTW9kdWxlLlByaWNlCgoKCgEaAAAAFAAAAAlzAAAACXQAAAAJdQAAAAZ2AAAAC1N0YW5kYXJkUXR5BncAAAAXU3RhbmRhcmQgb3JkZXIgcXVhbnRpdHkGeAAAAARSZWFsCSUAAAAGegAAACRiZjRiYTAyMi1hNGJkLTQxNjMtOWU3NS1lNzEyNzljMTNlNDQBhf///9n/////////BgAAAAGE////2P///wAAAAABg////9f///8CAAAAAAAAAAABgv///9b///8AAAAACgEAAAAAAAAAAAYAAAAABn8AAAAkOTgwMTRlMTYtMmYyZS00NzRhLWJiOGMtZmY0ZTZlNTMxZDU4BoAAAABGVGFibGUuSW52ZW50VGFibGVNb2R1bGUuSXRlbUlkflRhYmxlLkludmVudEl0ZW1JbnZlbnRTZXR1cC5TdGFuZGFyZFF0eQoKCgoFHQAAADhHbG9iZVNvZnR3YXJlLkF0bGFzNDAuQXRsYXNDb21tb25DbGllbnQuUmVwb3J0LlJlZmVyZW5jZQEAAAAKX3JlZmVyZW5jZQcIGwAAAAmBAAAABx4AAAAAAQAAAAQAAAAEPEdsb2JlU29mdHdhcmUuQXRsYXM0MC5BdGxhc0NvbW1vbkNsaWVudC5EYXRhU291cmNlRmllbGRWYWx1ZRsAAAAJggAAAAmDAAAACYQAAAAK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U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8AAAAJhgAAAAcAAAAJhw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iAAAAAcAAAAJiQAAAAEtAAAAHwAAAAmKAAAAAQAAAAEAAAABLgAAACAAAAARAAAACYsAAAAHAAAACYwAAAABLwAAACEAAAAOAAAACY0AAAAHAAAACY4AAAABOwAAAB8AAAAJjwAAAAEAAAABAAAAATwAAAAgAAAAEQAAAAmLAAAABwAAAAmRAAAAAT0AAAAhAAAADgAAAAmNAAAABwAAAAmTAAAAAUkAAAAfAAAACZQAAAABAAAAAQAAAAFKAAAAIAAAABEAAAAJiwAAAAcAAAAJlgAAAAFLAAAAIQAAAA4AAAAJjQAAAAcAAAAJmAAAAAFXAAAAHwAAAAmZAAAAAQAAAAEAAAABWAAAACAAAAAuAAAACYYAAAAHAAAACZsAAAABWQAAACEAAAAqAAAACYgAAAAHAAAACZ0AAAABZQAAAB8AAAAJngAAAAEAAAABAAAAAWYAAAAgAAAALgAAAAmGAAAABwAAAAmgAAAAAWcAAAAhAAAAKgAAAAmIAAAABwAAAAmiAAAAAXMAAAAfAAAACaMAAAABAAAAAQAAAAF0AAAAIAAAAAoAAAAJpAAAAAcAAAAJpQAAAAF1AAAAIQAAAAcAAAAJpgAAAAcAAAAJpwAAAA+BAAAAAQAAAAgBAAAABYIAAAA8R2xvYmVTb2Z0d2FyZS5BdGxhczQwLkF0bGFzQ29tbW9uQ2xpZW50LkRhdGFTb3VyY2VGaWVsZFZhbHVlBAAAABJfaXNEcmlsbERvd25GaWx0ZXIGX2RzS2V5Cl9maWVsZG5hbWULX2ZpZWxkVmFsdWUAAQEBARsAAAAABqgAAAAXVGFibGUuSW52ZW50VGFibGVNb2R1bGUGqQAAAApEYXRhQXJlYUlkCQYAAAABgwAAAIIAAAAACagAAAAGrAAAAApNb2R1bGVUeXBlBq0AAAAGSW52ZW50AYQAAACCAAAAAAauAAAAOlRhYmxlLkludmVudFRhYmxlTW9kdWxlLkl0ZW1JZH5UYWJsZS5JbnZlbnRJdGVtSW52ZW50U2V0dXAGrwAAAAtJbnZlbnREaW1JZAawAAAABEF4IzEHhQAAAAABAAAABAAAAAQ3R2xvYmVTb2Z0d2FyZS5BdGxhczQwLkF0bGFzQ29tbW9uLlR5cGUuRmllbGRPdXRwdXRGaWVsZA4AAAAJsQAAAA0DBIY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c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O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U3///8yR2xvYmVTb2Z0d2FyZS5BdGxhczQwLkF0bGFzQ29tbW9uLkNvbHVtbkF0dHJpYnV0ZXMBAAAAB3ZhbHVlX18ACA4AAAAGAAAABrQAAAAFVG90YWwBS////07///8BSv///03///8QAAAABrcAAAAETm9uZQFI////Tv///wFH////Tf///wkAAAAJJQAAAAFF////Tv///wFE////Tf///wsAAAAGvQAAAAEwAUL///9O////AUH///9N////BAAAAAbAAAAAB0dlbmVyYWwBP////07///8BPv///03///8CAAAABsMAAAABMQE8////Tv///wE7////Tf///wAAAAAGxgAAAAIyMgGIAAAADAAAAAeJ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Dn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yAAAAAhGb250Qm9sZAbJAAAABUZhbHNlATb///85////BssAAAAKRm9udEl0YWxpYwnJAAAAATP///85////Bs4AAAANRm9udFVuZGVybGluZQbPAAAABS00MTQyATD///85////BtEAAAAIRm9udE5hbWUG0gAAAAdDYWxpYnJpAS3///85////BtQAAAAJRm9udENvbG9yBtUAAAABMAEq////Of///wbXAAAACEZvbnRTaXplBtgAAAACMTEBJ////zn///8G2gAAAAlGb250U3R5bGUG2wAAAAdSZWd1bGFyB4oAAAAAAQAAAAQAAAAEN0dsb2JlU29mdHdhcmUuQXRsYXM0MC5BdGxhc0NvbW1vbi5UeXBlLkZpZWxkT3V0cHV0RmllbGQOAAAACdwAAAANAwGLAAAAhgAAAAeM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///07///8BIv///03///8JAAAACSUAAAABIP///07///8BH////03///8LAAAABuIAAAABMQEd////Tv///wEc////Tf///wQAAAAG5QAAAAdHZW5lcmFsARr///9O////ARn///9N////AgAAAAboAAAAATEBF////07///8BFv///03///8AAAAABusAAAAFMzQuNzEBjQAAAAwAAAAHj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///Of///wbtAAAACEZvbnRCb2xkCckAAAABEf///zn///8G8AAAAApGb250SXRhbGljCckAAAABDv///zn///8G8wAAAA1Gb250VW5kZXJsaW5lBvQAAAAFLTQxNDIBC////zn///8G9gAAAAhGb250TmFtZQb3AAAAB0NhbGlicmkBCP///zn///8G+QAAAAlGb250Q29sb3IG+gAAAAEwAQX///85////BvwAAAAIRm9udFNpemUG/QAAAAIxMQEC////Of///wb/AAAACUZvbnRTdHlsZQYAAQAAB1JlZ3VsYXIHjwAAAAABAAAABAAAAAQ3R2xvYmVTb2Z0d2FyZS5BdGxhczQwLkF0bGFzQ29tbW9uLlR5cGUuRmllbGRPdXRwdXRGaWVsZA4AAAAJAQEAAA0DB5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+/v//Tv///wH9/v//Tf///wkAAAAJJQAAAAH7/v//Tv///wH6/v//Tf///wsAAAAGBwEAAAEyAfj+//9O////Aff+//9N////BAAAAAYKAQAAB0dlbmVyYWwB9f7//07///8B9P7//03///8CAAAABg0BAAABMQHy/v//Tv///wHx/v//Tf///wAAAAAGEAEAAAUxMi4yO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+//85////Ce0AAAAJyQAAAAHs/v//Of///wnwAAAACckAAAAB6f7//zn///8J8wAAAAYZAQAABS00MTQyAeb+//85////CfYAAAAGHAEAAAdDYWxpYnJpAeP+//85////CfkAAAAGHwEAAAEwAeD+//85////CfwAAAAGIgEAAAIxMQHd/v//Of///wn/AAAABiUBAAAHUmVndWxhcgeUAAAAAAEAAAAEAAAABDdHbG9iZVNvZnR3YXJlLkF0bGFzNDAuQXRsYXNDb21tb24uVHlwZS5GaWVsZE91dHB1dEZpZWxkDgAAAAkmAQAADQMHl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n+//9O////Adj+//9N////CQAAAAklAAAAAdb+//9O////AdX+//9N////CwAAAAYsAQAAATMB0/7//07///8B0v7//03///8EAAAABi8BAAAHR2VuZXJhbAHQ/v//Tv///wHP/v//Tf///wIAAAAGMgEAAAExAc3+//9O////Acz+//9N////AAAAAAY1AQAABTExLjE0B5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7//zn///8J7QAAAAnJAAAAAcf+//85////CfAAAAAJyQAAAAHE/v//Of///wnzAAAABj4BAAAFLTQxNDIBwf7//zn///8J9gAAAAZBAQAAB0NhbGlicmkBvv7//zn///8J+QAAAAZEAQAAATABu/7//zn///8J/AAAAAZHAQAAAjExAbj+//85////Cf8AAAAGSgEAAAdSZWd1bGFyB5kAAAAAAQAAAAQAAAAEN0dsb2JlU29mdHdhcmUuQXRsYXM0MC5BdGxhc0NvbW1vbi5UeXBlLkZpZWxkT3V0cHV0RmllbGQOAAAACUsBAAANAwe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P7//07///8Bs/7//03///8QAAAACbcAAAABsf7//07///8BsP7//03///8JAAAACSUAAAABrv7//07///8Brf7//03///8LAAAABlQBAAABNAGr/v//Tv///wGq/v//Tf///wQAAAAGVwEAAAdHZW5lcmFsAaj+//9O////Aaf+//9N////AgAAAAZaAQAAATEBpf7//07///8BpP7//03///8AAAAABl0BAAAENi40Mwed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L+//85////CcgAAAAJyQAAAAGf/v//Of///wnLAAAACckAAAABnP7//zn///8JzgAAAAZmAQAABS00MTQyAZn+//85////CdEAAAAGaQEAAAdDYWxpYnJpAZb+//85////CdQAAAAGbAEAAAEwAZP+//85////CdcAAAAGbwEAAAIxMQGQ/v//Of///wnaAAAABnIBAAAHUmVndWxhcgeeAAAAAAEAAAAEAAAABDdHbG9iZVNvZnR3YXJlLkF0bGFzNDAuQXRsYXNDb21tb24uVHlwZS5GaWVsZE91dHB1dEZpZWxkDgAAAAlzAQAADQMHo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z+//9O////AYv+//9N////EAAAAAm3AAAAAYn+//9O////AYj+//9N////CQAAAAklAAAAAYb+//9O////AYX+//9N////CwAAAAZ8AQAAATUBg/7//07///8Bgv7//03///8EAAAABn8BAAAHR2VuZXJhbAGA/v//Tv///wF//v//Tf///wIAAAAGggEAAAExAX3+//9O////AXz+//9N////AAAAAAaFAQAABDkuMjkHo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6/v//Of///wnIAAAACckAAAABd/7//zn///8JywAAAAnJAAAAAXT+//85////Cc4AAAAGjgEAAAUtNDE0MgFx/v//Of///wnRAAAABpEBAAAHQ2FsaWJyaQFu/v//Of///wnUAAAABpQBAAABMAFr/v//Of///wnXAAAABpcBAAACMTEBaP7//zn///8J2gAAAAaaAQAAB1JlZ3VsYXIHowAAAAABAAAABAAAAAQ3R2xvYmVTb2Z0d2FyZS5BdGxhczQwLkF0bGFzQ29tbW9uLlR5cGUuRmllbGRPdXRwdXRGaWVsZA4AAAAJmwEAAA0DAaQAAACGAAAAB6U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k/v//Tv///wFj/v//Tf///wkAAAAJJQAAAAFh/v//Tv///wFg/v//Tf///wsAAAAGoQEAAAE2AV7+//9O////AV3+//9N////BAAAAAakAQAAB0dlbmVyYWwBW/7//07///8BWv7//03///8CAAAABqcBAAABMQFY/v//Tv///wFX/v//Tf///wAAAAAGqgEAAAIyNAGmAAAADAAAAAe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X+//85////BqwBAAAIRm9udEJvbGQJyQAAAAFS/v//Of///wavAQAACkZvbnRJdGFsaWMJyQAAAAFP/v//Of///wayAQAADUZvbnRVbmRlcmxpbmUGswEAAAUtNDE0MgFM/v//Of///wa1AQAACEZvbnROYW1lBrYBAAAHQ2FsaWJyaQFJ/v//Of///wa4AQAACUZvbnRDb2xvcga5AQAAATABRv7//zn///8GuwEAAAhGb250U2l6ZQa8AQAAAjExAUP+//85////Br4BAAAJRm9udFN0eWxlBr8BAAAHUmVndWxhcgWx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A/v//2f////////8ABsEBAAAGU3RyaW5nBsIBAAALSXRlbSBudW1iZXIJwwEAAAE8/v//1////wIAAAAFO/7//zlHbG9iZVNvZnR3YXJlLkF0bGFzNDAuQXRsYXNDb21tb24uTnVtYmVyU2VxdWVuY2VDb25kaXRpb24BAAAAB3ZhbHVlX18ACA4AAAABAAAAAAAGxgEAABdUYWJsZS5JbnZlbnRUYWJsZU1vZHVsZQkiAAAACSUAAAAK/////wnGAQAACgkiAAAACgoKCSUAAAAJzAEAAAklAAAAAdwAAACxAAAAATL+///Z/////////wAGzwEAAAZTdHJpbmcG0AEAAAlJdGVtIG5hbWUJ0QEAAAEu/v//1////wIAAAABLf7//zv+//8BAAAAAAAG1AEAADBUYWJsZS5JbnZlbnRUYWJsZU1vZHVsZS5JdGVtSWR+VGFibGUuSW52ZW50VGFibGUJMAAAAAklAAAACv////8J1AEAAAoJMAAAAAbZAQAABkl0ZW1JZAbaAQAAEUludmVudFRhYmxlTW9kdWxlCgklAAAACdwBAAAJJQAAAAEBAQAAsQAAAAEi/v//2f////////8ABt8BAAAGU3RyaW5nBuABAAAKSXRlbSBncm91cAnRAQAAAR7+///X////AgAAAAEd/v//O/7//wEAAAAAAAnUAQAACT4AAAAJJQAAAAr/////CdQBAAAKCT4AAAAG6QEAAAZJdGVtSWQG6gEAABFJbnZlbnRUYWJsZU1vZHVsZQoJJQAAAAnsAQAACSUAAAABJgEAALEAAAABEv7//9n/////////AAbvAQAABEVudW0G8AEAAAlJdGVtIHR5cGUJ0QEAAAEO/v//1////wIAAAABDf7//zv+//8BAAAAAAAJ1AEAAAlMAAAACSUAAAAK/////wnUAQAACglMAAAABvkBAAAGSXRlbUlkBvoBAAARSW52ZW50VGFibGVNb2R1bGUKCSUAAAAJ/AEAAAklAAAAAUsBAACxAAAAAQL+///Z/////////wAG/wEAAAZTdHJpbmcGAAIAAARVbml0CcMBAAAB/v3//9f///8CAAAAAf39//87/v//AQAAAAAACcYBAAAJWgAAAAklAAAACv////8JxgEAAAoJWgAAAAoKCgklAAAACQoCAAAJJQAAAAFzAQAAsQAAAAH0/f//2f////////8ABg0CAAAEUmVhbAYOAgAABVByaWNlCcMBAAAB8P3//9f///8CAAAAAe/9//87/v//AQAAAAAACcYBAAAJaAAAAAklAAAACv////8JxgEAAAoJaAAAAAoKCgklAAAACRgCAAAJJQAAAAGbAQAAsQAAAAHm/f//2f////////8ABhsCAAAEUmVhbAYcAgAAF1N0YW5kYXJkIG9yZGVyIHF1YW50aXR5CR0CAAAB4v3//9f///8CAAAAAeH9//87/v//AQAAAAAACa4AAAAJdgAAAAklAAAACv////8JrgAAAAoJdgAAAAYlAgAABkl0ZW1JZAYmAgAAEUludmVudFRhYmxlTW9kdWxlCgklAAAACSgCAAAJJQAAAAXD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wAAAABioCAAARSW52ZW50VGFibGVNb2R1bGUGKwIAABtJbnZlbnRvcnkgbW9kdWxlIHBhcmFtZXRlcnMJJQAAAAklAAAACSUAAAAF0/3//zBHbG9iZVNvZnR3YXJlLkF0bGFzNDAuQXRsYXNDb21tb24uRGF0YVNvdXJjZVR5cGUBAAAAB3ZhbHVlX18ACA4AAAAAAAAACS4CAAAJLwIAAATQ/f//C1N5c3RlbS5HdWlkCwAAAAJfYQJfYgJfYwJfZAJfZQJfZgJfZwJfaAJfaQJfagJfawAAAAAAAAAAAAAACAcHAgICAgICAgLd3aqCwgx9SYj36t7PexQYCSUAAAAJJQAAAAkyAgAACcYBAAAKCgoKCgEAAAAFzP3//zRHbG9iZVNvZnR3YXJlLkF0bGFzNDAuQXRsYXNDb21tb24uRGF0YVNvdXJjZUpvaW5Nb2RlAQAAAAd2YWx1ZV9fAAgOAAAAAAAAAAXL/f//NUdsb2JlU29mdHdhcmUuQXRsYXM0MC5BdGxhc0NvbW1vbi5EYXRhU291cmNlRmV0Y2hNb2RlAQAAAAd2YWx1ZV9fAAgOAAAAAAAAAAAJNgIAAAHMAQAAIQAAAB0AAAAJiAAAAAMAAAAJOAIAAAHRAQAAwwEAAP////8GOQIAAAtJbnZlbnRUYWJsZQY6AgAABUl0ZW1zCSUAAAAJJQAAAAklAAAAAcT9///T/f//AAAAAAk9AgAACT4CAAABwf3//9D9///pWtySaetqQZXsmCUkmcXDCSUAAAAJJQAAAAlBAgAACdQBAAAGQwIAABFJbnZlbnRUYWJsZU1vZHVsZQZEAgAAF1RhYmxlLkludmVudFRhYmxlTW9kdWxlBkUCAAAeVGFibGUuSW52ZW50VGFibGVNb2R1bGUuSXRlbUlkBkYCAAAGSXRlbUlkBkcCAAAGSXRlbUlkAQAAAAG4/f//zP3//wAAAAABt/3//8v9//8AAAAAAAlKAgAAAdwBAAAhAAAACgAAAAmNAAAAAwAAAAlMAgAAAewBAAAhAAAACgAAAAmNAAAAAwAAAAlOAgAAAfwBAAAhAAAACgAAAAmNAAAAAwAAAAlQAgAAAQoCAAAhAAAAHQAAAAmIAAAAAwAAAAlSAgAAARgCAAAhAAAAHQAAAAmIAAAAAwAAAAlUAgAAAR0CAADDAQAA/////wZVAgAAFUludmVudEl0ZW1JbnZlbnRTZXR1cAZWAgAAHUl0ZW0gaW52ZW50b3J5IG9yZGVyIHNldHRpbmdzCSUAAAAJJQAAAAklAAAAAaj9///T/f//AAAAAAlZAgAACVoCAAABpf3//9D9//859AxaZRSoQYyiPt82+sGTCSUAAAAJJQAAAAldAgAACa4AAAAGXwIAABFJbnZlbnRUYWJsZU1vZHVsZQZgAgAAF1RhYmxlLkludmVudFRhYmxlTW9kdWxlBmECAAAeVGFibGUuSW52ZW50VGFibGVNb2R1bGUuSXRlbUlkBmICAAAGSXRlbUlkBmMCAAAGSXRlbUlkAQAAAAGc/f//zP3//wAAAAABm/3//8v9//8AAAAAAAlmAgAAASgCAAAhAAAABAAAAAmmAAAAAwAAAAloAgAABC4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WkCAAAHAAAACWoCAAAELw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AAAAAmIAAAABwAAAAlsAgAABDI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pAgAAAAAAAAQ2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uAgAAAAAAAAc4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H9//85////BnACAAAISGVscFRleHQGcQIAAClJdGVtIG51bWJlciB0aGF0IHRoZSBwYXJhbWV0ZXJzIGFwcGx5IHRvLgGO/f//Of///wZzAgAABUxhYmVsCcIBAAABi/3//zn///8GdgIAAARUeXBlCcEBAAABPQIAAC4CAAADAAAACY0AAAADAAAACXkCAAAEPg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mAAAAAAAAAAFBAgAAMgIAAAAAAAAJjQAAAAAAAAABSgIAADYCAAAAAAAACXwCAAAAAAAAB0w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/3//zn///8GfgIAAAVMYWJlbAnQAQAAAYD9//85////BoECAAAEVHlwZQnPAQAAB04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3//zn///8JfgIAAAngAQAAAXr9//85////CYECAAAJ3wEAAAdQ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9//85////CX4CAAAJ8AEAAAF0/f//Of///wmBAgAACe8BAAAHU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f//Of///wlwAgAABpECAAAfVW5pdCB3aGljaCB0aGUgbW9kdWxlIGlzIHJ1biBpbgFu/f//Of///wlzAgAACQACAAABa/3//zn///8JdgIAAAn/AQAAB1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P3//zn///8JcAIAAAaaAgAAQFByaWNlIHBlciB0aGUgbnVtYmVyIG9mIHVuaXRzIHNwZWNpZmllZCBpbiB0aGUgUHJpY2UgdW5pdCBmaWVsZC4BZf3//zn///8JcwIAAAkOAgAAAWL9//85////CXYCAAAJDQIAAAFZAgAALgIAAAEAAAAJpgAAAAMAAAAJogIAAAFaAgAALwIAAAEAAAAJpgAAAAMAAAAJpAIAAAFdAgAAMgIAAAAAAAAJpgAAAAAAAAABZgIAADYCAAAAAAAACaYCAAAAAAAAB2g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3//zn///8GqAIAAAVMYWJlbAkcAgAAAVb9//85////BqsCAAAEVHlwZQkbAgAAAWkCAAAMAAAAB2oC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FP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q4CAAAeVGFibGUuSW52ZW50VGFibGVNb2R1bGUuSXRlbUlkCbEAAAABUP3//1P9//8GsQIAAB5UYWJsZS5JbnZlbnRUYWJsZU1vZHVsZS5Vbml0SWQJSwEAAAFN/f//U/3//wa0AgAAHVRhYmxlLkludmVudFRhYmxlTW9kdWxlLlByaWNlCXMBAAABSv3//1P9//8GtwIAACFUYWJsZS5JbnZlbnRUYWJsZU1vZHVsZS5QcmljZVVuaXQJuAIAAAFH/f//U/3//wa6AgAAIFRhYmxlLkludmVudFRhYmxlTW9kdWxlLkxpbmVEaXNjCbsCAAABRP3//1P9//8GvQIAAB5UYWJsZS5JbnZlbnRUYWJsZU1vZHVsZS5NYXJrdXAJvgIAAAdsAg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Qf3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AAgAAHlRhYmxlLkludmVudFRhYmxlTW9kdWxlLkl0ZW1JZAnBAgAAAT79//9B/f//BsMCAAAgVGFibGUuSW52ZW50VGFibGVNb2R1bGUuTGluZURpc2MJxAIAAAE7/f//Qf3//wbGAgAAIlRhYmxlLkludmVudFRhYmxlTW9kdWxlLk1vZHVsZVR5cGUJxwIAAAE4/f//Qf3//wbJAgAAHlRhYmxlLkludmVudFRhYmxlTW9kdWxlLlVuaXRJZAnKAgAABG4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d5Ag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1/f//U/3//wbMAgAAPFRhYmxlLkludmVudFRhYmxlTW9kdWxlLkl0ZW1JZH5UYWJsZS5JbnZlbnRUYWJsZS5JdGVtR3JvdXBJZAkBAQAAATL9//9T/f//Bs8CAAA5VGFibGUuSW52ZW50VGFibGVNb2R1bGUuSXRlbUlkflRhYmxlLkludmVudFRhYmxlLkl0ZW1OYW1lCdwAAAABL/3//1P9//8G0gIAADlUYWJsZS5JbnZlbnRUYWJsZU1vZHVsZS5JdGVtSWR+VGFibGUuSW52ZW50VGFibGUuSXRlbVR5cGUJJgEAAAF8AgAAbgIAAAei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s/f//U/3//wbVAgAARlRhYmxlLkludmVudFRhYmxlTW9kdWxlLkl0ZW1JZH5UYWJsZS5JbnZlbnRJdGVtSW52ZW50U2V0dXAuU3RhbmRhcmRRdHkJmwEAAAekA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Kf3//0H9//8G2AIAAEZUYWJsZS5JbnZlbnRUYWJsZU1vZHVsZS5JdGVtSWR+VGFibGUuSW52ZW50SXRlbUludmVudFNldHVwLkludmVudERpbUlkCdkCAAABpgIAAG4CAAABuAIAALEAAAABJv3//9n/////////AAbbAgAABFJlYWwG3AIAAApQcmljZSB1bml0CcMBAAABIv3//9f///8CAAAAASH9//87/v//AQAAAAAACcYBAAAG4QIAAAlQcmljZVVuaXQJJQAAAAr/////CcYBAAAKCeECAAAKCgoJJQAAAAnmAgAACSUAAAABuwIAALEAAAABGP3//9n/////////AAbpAgAABlN0cmluZwbqAgAADUxpbmUgZGlzY291bnQJwwEAAAEU/f//1////wIAAAABE/3//zv+//8BAAAAAAAJxgEAAAbvAgAACExpbmVEaXNjCSUAAAAK/////wnGAQAACgnvAgAACgoKCSUAAAAJ9AIAAAklAAAAAb4CAACxAAAAAQr9///Z/////////wAG9wIAAARSZWFsBvgCAAATUHJpY2UgbWlzYy4gY2hhcmdlcwnDAQAAAQb9///X////AgAAAAEF/f//O/7//wEAAAAAAAnGAQAABv0CAAAGTWFya3VwCSUAAAAK/////wnGAQAACgn9AgAACgoKCSUAAAAJAgMAAAklAAAABcE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nGAQAABgUDAAAGSXRlbUlkCSUAAAAJJQAAAP////8JxgEAAAoJBQMAAAoKCgklAAAACQoDAAAJJQAAAAHEAgAAwQIAAAnGAQAABg0DAAAITGluZURpc2MJJQAAAAklAAAA/////wnGAQAACgkNAwAACgoKCSUAAAAJEgMAAAklAAAAAccCAADBAgAACcYBAAAJrAAAAAklAAAACa0AAAD/////CcYBAAAGGQMAABFJbnZlbnRUYWJsZU1vZHVsZQmsAAAACgoKCSUAAAAJHAMAAAklAAAAAcoCAADBAgAACcYBAAAGHwMAAAZVbml0SWQJJQAAAAklAAAA/////wnGAQAACgkfAwAACgoKCSUAAAAJJAMAAAklAAAAAdkCAADBAgAACa4AAAAJrwAAAAklAAAACbAAAAD/////Ca4AAAAGKwMAABVJbnZlbnRJdGVtSW52ZW50U2V0dXAJrwAAAAYtAwAABkl0ZW1JZAoKCSUAAAAJLwMAAAklAAAAAeYCAAAhAAAACQAAAAmIAAAAAwAAAAkyAwAAAfQCAAAhAAAACQAAAAmIAAAAAwAAAAk0AwAAAQIDAAAhAAAACQAAAAmIAAAAAwAAAAk2AwAAAQoDAAAhAAAAAgAAAAmIAAAAAwAAAAk4AwAAARIDAAAhAAAAAgAAAAmIAAAAAwAAAAk6AwAAARwDAAAhAAAAGAAAAAmIAAAAAwAAAAk8AwAAASQDAAAhAAAAAgAAAAmIAAAAAwAAAAk+AwAAAS8DAAAhAAAABgAAAAmmAAAAAwAAAAlAAwAABzI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/z//zn///8JcAIAAAZDAwAAKk51bWJlciBvZiB1bml0cyB0aGUgcHJpY2UgaXMgc3BlY2lmaWVkIGluLgG8/P//Of///wlzAgAACdwCAAABufz//zn///8JdgIAAAnbAgAABzQ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z//zn///8JcAIAAAZMAwAALFNwZWNpZnkgaXRlbSdzIGxpbmUgZGlzY291bnQgZ3JvdXAgaW4gbW9kdWxlAbP8//85////CXMCAAAJ6gIAAAGw/P//Of///wl2AgAACekCAAAHN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/P//Of///wlwAgAABlUDAAA8Rml4ZWQgbWlzYy4gY2hhcmdlcyBvbiBwcmljZSwgYXBwbGllZCBvbmNlIGZvciBlYWNoIGludm9pY2UuAar8//85////CXMCAAAJ+AIAAAGn/P//Of///wl2AgAACfcCAAAHO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k/P//Of///wl2AgAABl4DAAAGU3RyaW5nAaH8//85////CXMCAAAGYQMAAAtJdGVtIG51bWJlcgc6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78//85////CXYCAAAGZAMAAAZTdHJpbmcBm/z//zn///8JcwIAAAZnAwAADUxpbmUgZGlzY291bnQHP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Of///wl2AgAABmoDAAAERW51bQGV/P//Of///wlzAgAABm0DAAALTW9kdWxlIHR5cGUHP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S/P//Of///wl2AgAABnADAAAGU3RyaW5nAY/8//85////CXMCAAAGcwMAAARVbml0B0A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zn///8JqwIAAAZ2AwAABlN0cmluZwGJ/P//Of///wmoAgAABnkDAAANRGltZW5zaW9uIE5vLgs=</Report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VCT01JZAYqAAAAA0JPTQYrAAAABlN0cmluZwYsAAAAAAYtAAAAJGNiZTdiZjFlLTRhMzktNGJhYS05YjE3LWU0ZjIzYWNlMTY4MwXS////LUdsb2JlU29mdHdhcmUuQXRsYXM0MC5BdGxhc0NvbW1vbi5BZ2dyZWdhdGlvbgEAAAAHdmFsdWVfXwAIDgAAAP////8AAAAABdH///8sR2xvYmVTb2Z0d2FyZS5BdGxhczQwLkF0bGFzQ29tbW9uLkNvbHVtblR5cGUBAAAAB3ZhbHVlX18ACA4AAAAAAAAABdD///8rR2xvYmVTb2Z0d2FyZS5BdGxhczQwLkF0bGFzQ29tbW9uLlNvcnRPcmRlcgEAAAAHdmFsdWVfXwAIDgAAAAIAAAAAAAAAAAXP////QEdsb2JlU29mdHdhcmUuQXRsYXM0MC5BdGxhc0NvbW1vbi5UeXBlLkNvbHVtbitDcm9zc1RhYkNvbHVtblR5cGUBAAAAB3ZhbHVlX18ACA4AAAAAAAAACgEAAAAAAAAAAAAAAAAABjIAAAAkM2I1ODFlNjItMTViYy00NGZmLTgzMmQtMjQ4N2JkYmRiZWZmBjMAAAAPVGFibGUuQk9NLkJPTUlkCgoKCgEVAAAAFAAAAAk0AAAACTUAAAAJNgAAAAY3AAAABkl0ZW1JZAY4AAAAC0l0ZW0gbnVtYmVyBjkAAAAGU3RyaW5nCSwAAAAGOwAAACQ1YmFjM2Q3ZC0zY2JiLTQwMDYtODBkOC0wNWM1ZjI3N2NkMTYBxP///9L/////////AQAAAAHD////0f///wAAAAABwv///9D///8CAAAAAAAAAAABwf///8////8AAAAACgEAAAAAAAAAAAEAAAAABkAAAAAkYjVhMmE0MDEtZDNmNi00MzY1LWFmNDQtNzJlMjU0OTRiMjZkBkEAAAAQVGFibGUuQk9NLkl0ZW1JZAoKCgoBFgAAABQAAAAJQgAAAAlDAAAACUQAAAAGRQAAAAZCT01RdHkGRgAAAAhRdWFudGl0eQZHAAAABFJlYWwJLAAAAAZJAAAAJDBhNjljNmIyLTNhNDUtNDUxZi1hNjM0LTQ2ODZkMzJlYjAwNwG2////0v///wEAAAACAAAAAbX////R////AAAAAAG0////0P///wIAAAAAAAAAAAGz////z////wAAAAAKAQAAAAAAAAAAAgAAAAAGTgAAACQyYjZlZDNlNi0wMzEyLTQ0MDEtYThkNi00ZTRlNDA3YWFiMTIGTwAAABBUYWJsZS5CT00uQk9NUXR5CgoKCgEXAAAAFAAAAAlQAAAACVEAAAAJUgAAAAZTAAAAC0JPTVF0eVNlcmllBlQAAAAKUGVyIHNlcmllcwZVAAAABFJlYWwJLAAAAAZXAAAAJGQ0MmUyZDRlLTBlN2MtNGRhMy1hNTBjLTU1ZmY3ZDZmMzMwNgGo////0v///wEAAAADAAAAAaf////R////AAAAAAGm////0P///wIAAAAAAAAAAAGl////z////wAAAAAKAQAAAAAAAAAAAwAAAAAGXAAAACRlMzM4MDliMi03NWIyLTQxM2QtOTA3NS1mZmU2ZDNmZTA0NGQGXQAAABVUYWJsZS5CT00uQk9NUXR5U2VyaWUKCgoKARgAAAAUAAAACV4AAAAJXwAAAAlgAAAABmEAAAAGVW5pdElkBmIAAAAEVW5pdAZjAAAABlN0cmluZwksAAAABmUAAAAkZGVhMmQ5YzYtM2Y1Zi00ZWM3LTk5MGQtNWY5MDIwZjQ4YzQ3AZr////S/////////wQAAAABmf///9H///8AAAAAAZj////Q////AgAAAAAAAAAAAZf////P////AAAAAAoBAAAAAAAAAAAEAAAAAAZqAAAAJDg0NDY0YjI2LWE0OTItNGY5NC1iOTExLTlhZjBmZTU2ZTYwNwZrAAAAEFRhYmxlLkJPTS5Vbml0SWQKCgoKARkAAAAUAAAACWwAAAAJbQAAAAluAAAABm8AAAAIU2NyYXBWYXIGcAAAAA5WYXJpYWJsZSBzY3JhcAZxAAAABFJlYWwJLAAAAAZzAAAAJDRmNTFkMDRmLTc4MjYtNGNiZC1hMGM4LTNmNTllZWNkMzZkYwGM////0v///wEAAAAFAAAAAYv////R////AAAAAAGK////0P///wIAAAAAAAAAAAGJ////z////wAAAAAKAQAAAAAAAAAABQAAAAAGeAAAACQzMzBkYTBmYi01MjA5LTQ1ODQtYjJhMC00YmMwYzJmYmUxYTMGeQAAABJUYWJsZS5CT00uU2NyYXBWYXIKCgoKARoAAAAUAAAACXoAAAAJewAAAAl8AAAABn0AAAAKU2NyYXBDb25zdAZ+AAAADkNvbnN0YW50IHNjcmFwBn8AAAAEUmVhbAksAAAABoEAAAAkYmIyYTM0OWQtYTA4NC00ZmE5LWEyMTItM2YzMTcwZmUyMzcyAX7////S////AQAAAAYAAAABff///9H///8AAAAAAXz////Q////AgAAAAAAAAAAAXv////P////AAAAAAoBAAAAAAAAAAAGAAAAAAaGAAAAJDg3YmI5MjQ4LTcxNzQtNDkwMS05OTlmLTQxMzVhMmFjZjFmMwaHAAAAFFRhYmxlLkJPTS5TY3JhcENvbnN0CgoKCgEbAAAAFAAAAAmIAAAACYkAAAAJigAAAAaLAAAAB0JPTVR5cGUGjAAAAAlMaW5lIHR5cGUGjQAAAARFbnVtCSwAAAAGjwAAACQxZWU3NmEwOC1hMGRlLTRmNWMtOWFiNC0zY2YyZmM3NWIzNjYBcP///9L/////////BwAAAAFv////0f///wAAAAABbv///9D///8CAAAAAAAAAAABbf///8////8AAAAACgEAAAAAAAAAAAcAAAAABpQAAAAkNzE5ZmMwYWItOThjMC00YmM1LWEyNmUtYWM5ZTc2OTZjMTlkBpUAAAARVGFibGUuQk9NLkJPTVR5cGUKCgoKARwAAAAUAAAACZYAAAAJlwAAAAmYAAAABpkAAAAKQk9NQ29uc3VtcAaaAAAADkNvbnN1bXB0aW9uIGlzBpsAAAAERW51bQksAAAABp0AAAAkOThlNzk3MjctM2E0Yi00N2ZkLTgyNjQtYjRiYTY2YzQ0YmI1AWL////S/////////wgAAAABYf///9H///8AAAAAAWD////Q////AgAAAAAAAAAAAV/////P////AAAAAAoBAAAAAAAAAAAIAAAAAAaiAAAAJGUzZTFlNTNkLTI2ZDEtNDhkYy1hODVlLTE2YmEwMmQxNDQ4ZQajAAAAFFRhYmxlLkJPTS5CT01Db25zdW1wCgoKCgEdAAAAFAAAAAmkAAAACaUAAAAJpgAAAAanAAAAC0NhbGN1bGF0aW9uBqgAAAALQ2FsY3VsYXRpb24GqQAAAARFbnVtCSwAAAAGqwAAACQxNzJlNGFhMS1iZGE4LTQ4MjctOGI2My01ZmJiOTUxMTE3ZDgBVP///9L/////////CQAAAAFT////0f///wAAAAABUv///9D///8CAAAAAAAAAAABUf///8////8AAAAACgEAAAAAAAAAAAkAAAAABrAAAAAkYWRiN2QwNWMtZGJjNC00ZGE3LWIwOGItMDI2YWI0MzMzY2M5BrEAAAAVVGFibGUuQk9NLkNhbGN1bGF0aW9uCgoKCgEeAAAAFAAAAAmyAAAACbMAAAAJtAAAAAa1AAAABlZlbmRJZAa2AAAADlZlbmRvciBhY2NvdW50BrcAAAAGU3RyaW5nCSwAAAAGuQAAACQ0MDU5MjVkMy1lODQ3LTRhMjMtYmZhZi05ZDQ0OTU4NWE4ZDkBRv///9L/////////CgAAAAFF////0f///wAAAAABRP///9D///8CAAAAAAAAAAABQ////8////8AAAAACgEAAAAAAAAAAAoAAAAABr4AAAAkMjRlM2Q1MGUtZjkyZC00MjUzLWJmZDktNDk4YzEzOGY0YjMxBr8AAAAQVGFibGUuQk9NLlZlbmRJZAoKCgoBHwAAABQAAAAJwAAAAAnBAAAACcIAAAAGwwAAABNQcm9kRmx1c2hpbmdQcmluY2lwBsQAAAASRmx1c2hpbmcgcHJpbmNpcGxlBsUAAAAERW51bQksAAAABscAAAAkOTc1ZDFjMzItMmU3Zi00NDQxLWJiOTEtZDc5ZTgxZmU5ZDk3ATj////S/////////wsAAAABN////9H///8AAAAAATb////Q////AgAAAAAAAAAAATX////P////AAAAAAoBAAAAAAAAAAALAAAAAAbMAAAAJDc5MjMyNTE3LWM0NWEtNDIwZi04YmQyLWYxYmE5YzQxODk4OAbNAAAAHVRhYmxlLkJPTS5Qcm9kRmx1c2hpbmdQcmluY2lwCgoKCgEgAAAAFAAAAAnOAAAACc8AAAAJ0AAAAAbRAAAAClJvdW5kVXBRdHkG0gAAAAlNdWx0aXBsZXMG0wAAAARSZWFsCSwAAAAG1QAAACQzY2M0ZDQxNi1mZDczLTRiZTQtYjdiOS1jMGU1MTA3YjkxOTcBKv///9L///8BAAAADAAAAAEp////0f///wAAAAABKP///9D///8CAAAAAAAAAAABJ////8////8AAAAACgEAAAAAAAAAAAwAAAAABtoAAAAkZjMwNGZjZTYtOWFhMS00YWQyLWE4MTctOGQxZjMwN2ViNTk1BtsAAAAUVGFibGUuQk9NLlJvdW5kVXBRdHkKCgoKASEAAAAUAAAACdwAAAAJ3QAAAAneAAAABt8AAAAHUm91bmRVcAbgAAAAC1JvdW5kaW5nLXVwBuEAAAAERW51bQksAAAABuMAAAAkZDcxOWRjY2MtYzIxYy00MzQwLTg3NTYtY2IyZTdkNDJmODUzARz////S/////////w0AAAABG////9H///8AAAAAARr////Q////AgAAAAAAAAAAARn////P////AAAAAAoBAAAAAAAAAAANAAAAAAboAAAAJDYwZjM4NTUyLTI2YmYtNDIwNC04MTQzLTEyODVmYjJlODg1NwbpAAAAEVRhYmxlLkJPTS5Sb3VuZFVwCgoKCgUkAAAAOEdsb2JlU29mdHdhcmUuQXRsYXM0MC5BdGxhc0NvbW1vbkNsaWVudC5SZXBvcnQuUmVmZXJlbmNlAQAAAApfcmVmZXJlbmNlBwgiAAAACeoAAAAHJQAAAAABAAAABAAAAAQ8R2xvYmVTb2Z0d2FyZS5BdGxhczQwLkF0bGFzQ29tbW9uQ2xpZW50LkRhdGFTb3VyY2VGaWVsZFZhbHVlIgAAAAnrAAAADQMEJ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7AAAAAEAAAABAAAABC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RAAAAAntAAAABwAAAAnuAAAABC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nvAAAABwAAAAnwAAAAATQAAAAmAAAACfEAAAABAAAAAQAAAAE1AAAAJwAAAEMAAAAJ7QAAAAcAAAAJ8wAAAAE2AAAAKAAAAD8AAAAJ7wAAAAcAAAAJ9QAAAAFCAAAAJgAAAAn2AAAAAQAAAAEAAAABQwAAACcAAABDAAAACe0AAAAHAAAACfgAAAABRAAAACgAAAA/AAAACe8AAAAHAAAACfoAAAABUAAAACYAAAAJ+wAAAAEAAAABAAAAAVEAAAAnAAAAQwAAAAntAAAABwAAAAn9AAAAAVIAAAAoAAAAPwAAAAnvAAAABwAAAAn/AAAAAV4AAAAmAAAACQABAAABAAAAAQAAAAFfAAAAJwAAAEMAAAAJ7QAAAAcAAAAJAgEAAAFgAAAAKAAAAD8AAAAJ7wAAAAcAAAAJBAEAAAFsAAAAJgAAAAkFAQAAAQAAAAEAAAABbQAAACcAAAA7AAAACe0AAAAHAAAACQcBAAABbgAAACgAAAA4AAAACe8AAAAHAAAACQkBAAABegAAACYAAAAJCgEAAAEAAAABAAAAAXsAAAAnAAAACgAAAAkLAQAABwAAAAkMAQAAAXwAAAAoAAAABwAAAAkNAQAABwAAAAkOAQAAAYgAAAAmAAAACQ8BAAABAAAAAQAAAAGJAAAAJwAAADsAAAAJ7QAAAAcAAAAJEQEAAAGKAAAAKAAAADgAAAAJ7wAAAAcAAAAJEwEAAAGWAAAAJgAAAAkUAQAAAQAAAAEAAAABlwAAACcAAAARAAAACRUBAAAHAAAACRYBAAABmAAAACgAAAAOAAAACRcBAAAHAAAACRgBAAABpAAAACYAAAAJGQEAAAEAAAABAAAAAaUAAAAnAAAAEQAAAAkVAQAABwAAAAkbAQAAAaYAAAAoAAAADgAAAAkXAQAABwAAAAkdAQAAAbIAAAAmAAAACR4BAAABAAAAAQAAAAGzAAAAJwAAADsAAAAJ7QAAAAcAAAAJIAEAAAG0AAAAKAAAADgAAAAJ7wAAAAcAAAAJIgEAAAHAAAAAJgAAAAkjAQAAAQAAAAEAAAABwQAAACcAAAA7AAAACe0AAAAHAAAACSUBAAABwgAAACgAAAA4AAAACe8AAAAHAAAACScBAAABzgAAACYAAAAJKAEAAAEAAAABAAAAAc8AAAAnAAAACgAAAAkLAQAABwAAAAkqAQAAAdAAAAAoAAAABwAAAAkNAQAABwAAAAksAQAAAdwAAAAmAAAACS0BAAABAAAAAQAAAAHdAAAAJwAAAAoAAAAJCwEAAAcAAAAJLwEAAAHeAAAAKAAAAAcAAAAJDQEAAAcAAAAJMQEAAA/qAAAAAQAAAAgBAAAABesAAAA8R2xvYmVTb2Z0d2FyZS5BdGxhczQwLkF0bGFzQ29tbW9uQ2xpZW50LkRhdGFTb3VyY2VGaWVsZFZhbHVlBAAAABJfaXNEcmlsbERvd25GaWx0ZXIGX2RzS2V5Cl9maWVsZG5hbWULX2ZpZWxkVmFsdWUAAQEBASIAAAAABjIBAAAJVGFibGUuQk9NBjMBAAAKRGF0YUFyZWFJZAkGAAAAB+wAAAAAAQAAAAQAAAAEN0dsb2JlU29mdHdhcmUuQXRsYXM0MC5BdGxhc0NvbW1vbi5UeXBlLkZpZWxkT3V0cHV0RmllbGQOAAAACTUBAAANAwTt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u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y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J/v//Mkdsb2JlU29mdHdhcmUuQXRsYXM0MC5BdGxhc0NvbW1vbi5Db2x1bW5BdHRyaWJ1dGVzAQAAAAd2YWx1ZV9fAAgOAAAABgAAAAY4AQAABVRvdGFsAcf+///K/v//Acb+///J/v//EAAAAAY7AQAABE5vbmUBxP7//8r+//8Bw/7//8n+//8JAAAACSwAAAABwf7//8r+//8BwP7//8n+//8LAAAABkEBAAABMAG+/v//yv7//wG9/v//yf7//wQAAAAGRAEAAAdHZW5lcmFsAbv+///K/v//Abr+///J/v//AgAAAAZHAQAAATEBuP7//8r+//8Bt/7//8n+//8AAAAABkoBAAAFMTYuODYB7wAAAAwAAAAH8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1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kwBAAAIRm9udEJvbGQGTQEAAAVGYWxzZQGy/v//tf7//wZPAQAACkZvbnRJdGFsaWMJTQEAAAGv/v//tf7//wZSAQAADUZvbnRVbmRlcmxpbmUGUwEAAAUtNDE0MgGs/v//tf7//wZVAQAACEZvbnROYW1lBlYBAAAHQ2FsaWJyaQGp/v//tf7//wZYAQAACUZvbnRDb2xvcgZZAQAAATABpv7//7X+//8GWwEAAAhGb250U2l6ZQZcAQAAAjExAaP+//+1/v//Bl4BAAAJRm9udFN0eWxlBl8BAAAHUmVndWxhcgfxAAAAAAEAAAAEAAAABDdHbG9iZVNvZnR3YXJlLkF0bGFzNDAuQXRsYXNDb21tb24uVHlwZS5GaWVsZE91dHB1dEZpZWxkDgAAAAlgAQAADQMH8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/+///K/v//AZ7+///J/v//EAAAAAk7AQAAAZz+///K/v//AZv+///J/v//CQAAAAksAAAAAZn+///K/v//AZj+///J/v//CwAAAAZpAQAAATEBlv7//8r+//8Blf7//8n+//8EAAAABmwBAAAHR2VuZXJhbAGT/v//yv7//wGS/v//yf7//wIAAAAGbwEAAAExAZD+///K/v//AY/+///J/v//AAAAAAZyAQAAAjE5B/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7//7X+//8JTAEAAAlNAQAAAYr+//+1/v//CU8BAAAJTQEAAAGH/v//tf7//wlSAQAABnsBAAAFLTQxNDIBhP7//7X+//8JVQEAAAZ+AQAAB0NhbGlicmkBgf7//7X+//8JWAEAAAaBAQAAATABfv7//7X+//8JWwEAAAaEAQAAAjExAXv+//+1/v//CV4BAAAGhwEAAAdSZWd1bGFyB/YAAAAAAQAAAAQAAAAEN0dsb2JlU29mdHdhcmUuQXRsYXM0MC5BdGxhc0NvbW1vbi5UeXBlLkZpZWxkT3V0cHV0RmllbGQOAAAACYgBAAANAwf4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/7//8r+//8Bdv7//8n+//8QAAAACTsBAAABdP7//8r+//8Bc/7//8n+//8JAAAACSwAAAABcf7//8r+//8BcP7//8n+//8LAAAABpEBAAABMgFu/v//yv7//wFt/v//yf7//wQAAAAGlAEAAAdHZW5lcmFsAWv+///K/v//AWr+///J/v//AgAAAAaXAQAAATEBaP7//8r+//8BZ/7//8n+//8AAAAABpoBAAAFMTEuMjkH+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v//tf7//wlMAQAACU0BAAABYv7//7X+//8JTwEAAAlNAQAAAV/+//+1/v//CVIBAAAGowEAAAUtNDE0MgFc/v//tf7//wlVAQAABqYBAAAHQ2FsaWJyaQFZ/v//tf7//wlYAQAABqkBAAABMAFW/v//tf7//wlbAQAABqwBAAACMTEBU/7//7X+//8JXgEAAAavAQAAB1JlZ3VsYXIH+wAAAAABAAAABAAAAAQ3R2xvYmVTb2Z0d2FyZS5BdGxhczQwLkF0bGFzQ29tbW9uLlR5cGUuRmllbGRPdXRwdXRGaWVsZA4AAAAJsAEAAA0DB/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P/v//yv7//wFO/v//yf7//xAAAAAJOwEAAAFM/v//yv7//wFL/v//yf7//wkAAAAJLAAAAAFJ/v//yv7//wFI/v//yf7//wsAAAAGuQEAAAEzAUb+///K/v//AUX+///J/v//BAAAAAa8AQAAB0dlbmVyYWwBQ/7//8r+//8BQv7//8n+//8CAAAABr8BAAABMQFA/v//yv7//wE//v//yf7//wAAAAAGwgEAAAUxMS4yOQf/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3+//+1/v//CUwBAAAJTQEAAAE6/v//tf7//wlPAQAACU0BAAABN/7//7X+//8JUgEAAAbLAQAABS00MTQyATT+//+1/v//CVUBAAAGzgEAAAdDYWxpYnJpATH+//+1/v//CVgBAAAG0QEAAAEwAS7+//+1/v//CVsBAAAG1AEAAAIxMQEr/v//tf7//wleAQAABtcBAAAHUmVndWxhcgcAAQAAAAEAAAAEAAAABDdHbG9iZVNvZnR3YXJlLkF0bGFzNDAuQXRsYXNDb21tb24uVHlwZS5GaWVsZE91dHB1dEZpZWxkDgAAAAnYAQAADQMHA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f+///K/v//ASb+///J/v//EAAAAAk7AQAAAST+///K/v//ASP+///J/v//CQAAAAksAAAAASH+///K/v//ASD+///J/v//CwAAAAbhAQAAATQBHv7//8r+//8BHf7//8n+//8EAAAABuQBAAAHR2VuZXJhbAEb/v//yv7//wEa/v//yf7//wIAAAAG5wEAAAExARj+///K/v//ARf+///J/v//AAAAAAbqAQAABDYuNDMHB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V/v//tf7//wlMAQAACU0BAAABEv7//7X+//8JTwEAAAlNAQAAAQ/+//+1/v//CVIBAAAG8wEAAAUtNDE0MgEM/v//tf7//wlVAQAABvYBAAAHQ2FsaWJyaQEJ/v//tf7//wlYAQAABvkBAAABMAEG/v//tf7//wlbAQAABvwBAAACMTEBA/7//7X+//8JXgEAAAb/AQAAB1JlZ3VsYXIHBQEAAAABAAAABAAAAAQ3R2xvYmVTb2Z0d2FyZS5BdGxhczQwLkF0bGFzQ29tbW9uLlR5cGUuRmllbGRPdXRwdXRGaWVsZA4AAAAJAAIAAA0DBw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//f//yv7//wH+/f//yf7//wkAAAAJLAAAAAH8/f//yv7//wH7/f//yf7//wsAAAAGBgIAAAE1Afn9///K/v//Afj9///J/v//BAAAAAYJAgAAB0dlbmVyYWwB9v3//8r+//8B9f3//8n+//8CAAAABgwCAAABMQHz/f//yv7//wHy/f//yf7//wAAAAAGDwIAAAUxNS4xNAc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D9//+1/v//CUwBAAAJTQEAAAHt/f//tf7//wlPAQAACU0BAAAB6v3//7X+//8JUgEAAAYYAgAABS00MTQyAef9//+1/v//CVUBAAAGGwIAAAdDYWxpYnJpAeT9//+1/v//CVgBAAAGHgIAAAEwAeH9//+1/v//CVsBAAAGIQIAAAIxMQHe/f//tf7//wleAQAABiQCAAAHUmVndWxhcgcKAQAAAAEAAAAEAAAABDdHbG9iZVNvZnR3YXJlLkF0bGFzNDAuQXRsYXNDb21tb24uVHlwZS5GaWVsZE91dHB1dEZpZWxkDgAAAAklAgAADQMBCwEAAO0AAAAHD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r9///K/v//Adn9///J/v//CQAAAAksAAAAAdf9///K/v//Adb9///J/v//CwAAAAYrAgAAATYB1P3//8r+//8B0/3//8n+//8EAAAABi4CAAAHR2VuZXJhbAHR/f//yv7//wHQ/f//yf7//wIAAAAGMQIAAAExAc79///K/v//Ac39///J/v//AAAAAAY0AgAABTE1LjU3AQ0BAAAMAAAABw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/3//7X+//8GNgIAAAhGb250Qm9sZAlNAQAAAcj9//+1/v//BjkCAAAKRm9udEl0YWxpYwlNAQAAAcX9//+1/v//BjwCAAANRm9udFVuZGVybGluZQY9AgAABS00MTQyAcL9//+1/v//Bj8CAAAIRm9udE5hbWUGQAIAAAdDYWxpYnJpAb/9//+1/v//BkICAAAJRm9udENvbG9yBkMCAAABMAG8/f//tf7//wZFAgAACEZvbnRTaXplBkYCAAACMTEBuf3//7X+//8GSAIAAAlGb250U3R5bGUGSQIAAAdSZWd1bGFyBw8BAAAAAQAAAAQAAAAEN0dsb2JlU29mdHdhcmUuQXRsYXM0MC5BdGxhc0NvbW1vbi5UeXBlLkZpZWxkT3V0cHV0RmllbGQOAAAACUoCAAANAwcR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f3//8r+//8BtP3//8n+//8JAAAACSwAAAABsv3//8r+//8Bsf3//8n+//8LAAAABlACAAABNwGv/f//yv7//wGu/f//yf7//wQAAAAGUwIAAAdHZW5lcmFsAaz9///K/v//Aav9///J/v//AgAAAAZWAgAAATEBqf3//8r+//8BqP3//8n+//8AAAAABlkCAAAFMTAuNzEHE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f//tf7//wlMAQAACU0BAAABo/3//7X+//8JTwEAAAlNAQAAAaD9//+1/v//CVIBAAAGYgIAAAUtNDE0MgGd/f//tf7//wlVAQAABmUCAAAHQ2FsaWJyaQGa/f//tf7//wlYAQAABmgCAAABMAGX/f//tf7//wlbAQAABmsCAAACMTEBlP3//7X+//8JXgEAAAZuAgAAB1JlZ3VsYXIHFAEAAAABAAAABAAAAAQ3R2xvYmVTb2Z0d2FyZS5BdGxhczQwLkF0bGFzQ29tbW9uLlR5cGUuRmllbGRPdXRwdXRGaWVsZA4AAAAJbwIAAA0DARUBAADtAAAABxY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/f//yv7//wGP/f//yf7//wkAAAAJLAAAAAGN/f//yv7//wGM/f//yf7//wsAAAAGdQIAAAE4AYr9///K/v//AYn9///J/v//BAAAAAZ4AgAAB0dlbmVyYWwBh/3//8r+//8Bhv3//8n+//8CAAAABnsCAAABMQGE/f//yv7//wGD/f//yf7//wAAAAAGfgIAAAUxNi40MwEXAQAADAAAAAc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9//+1/v//BoACAAAIRm9udEJvbGQJTQEAAAF+/f//tf7//waDAgAACkZvbnRJdGFsaWMJTQEAAAF7/f//tf7//waGAgAADUZvbnRVbmRlcmxpbmUGhwIAAAUtNDE0MgF4/f//tf7//waJAgAACEZvbnROYW1lBooCAAAHQ2FsaWJyaQF1/f//tf7//waMAgAACUZvbnRDb2xvcgaNAgAAATABcv3//7X+//8GjwIAAAhGb250U2l6ZQaQAgAAAjExAW/9//+1/v//BpICAAAJRm9udFN0eWxlBpMCAAAHUmVndWxhcgcZAQAAAAEAAAAEAAAABDdHbG9iZVNvZnR3YXJlLkF0bGFzNDAuQXRsYXNDb21tb24uVHlwZS5GaWVsZE91dHB1dEZpZWxkDgAAAAmUAgAADQMHG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v9///K/v//AWr9///J/v//CQAAAAksAAAAAWj9///K/v//AWf9///J/v//CwAAAAaaAgAAATkBZf3//8r+//8BZP3//8n+//8EAAAABp0CAAAHR2VuZXJhbAFi/f//yv7//wFh/f//yf7//wIAAAAGoAIAAAExAV/9///K/v//AV79///J/v//AAAAAAajAgAABTEyLjQzBx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P3//7X+//8JgAIAAAlNAQAAAVn9//+1/v//CYMCAAAJTQEAAAFW/f//tf7//wmGAgAABqwCAAAFLTQxNDIBU/3//7X+//8JiQIAAAavAgAAB0NhbGlicmkBUP3//7X+//8JjAIAAAayAgAAATABTf3//7X+//8JjwIAAAa1AgAAAjExAUr9//+1/v//CZICAAAGuAIAAAdSZWd1bGFyBx4BAAAAAQAAAAQAAAAEN0dsb2JlU29mdHdhcmUuQXRsYXM0MC5BdGxhc0NvbW1vbi5UeXBlLkZpZWxkT3V0cHV0RmllbGQOAAAACbkCAAANAwcg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v3//8r+//8BRf3//8n+//8JAAAACSwAAAABQ/3//8r+//8BQv3//8n+//8LAAAABr8CAAACMTABQP3//8r+//8BP/3//8n+//8EAAAABsICAAAHR2VuZXJhbAE9/f//yv7//wE8/f//yf7//wIAAAAGxQIAAAExATr9///K/v//ATn9///J/v//AAAAAAbIAgAABTE2LjU3By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/3//7X+//8JTAEAAAlNAQAAATT9//+1/v//CU8BAAAJTQEAAAEx/f//tf7//wlSAQAABtECAAAFLTQxNDIBLv3//7X+//8JVQEAAAbUAgAAB0NhbGlicmkBK/3//7X+//8JWAEAAAbXAgAAATABKP3//7X+//8JWwEAAAbaAgAAAjExASX9//+1/v//CV4BAAAG3QIAAAdSZWd1bGFyByMBAAAAAQAAAAQAAAAEN0dsb2JlU29mdHdhcmUuQXRsYXM0MC5BdGxhc0NvbW1vbi5UeXBlLkZpZWxkT3V0cHV0RmllbGQOAAAACd4CAAANAwcl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f3//8r+//8BIP3//8n+//8JAAAACSwAAAABHv3//8r+//8BHf3//8n+//8LAAAABuQCAAACMTEBG/3//8r+//8BGv3//8n+//8EAAAABucCAAAHR2VuZXJhbAEY/f//yv7//wEX/f//yf7//wIAAAAG6gIAAAExARX9///K/v//ART9///J/v//AAAAAAbtAgAABTE4LjQzBy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3//7X+//8JTAEAAAlNAQAAAQ/9//+1/v//CU8BAAAJTQEAAAEM/f//tf7//wlSAQAABvYCAAAFLTQxNDIBCf3//7X+//8JVQEAAAb5AgAAB0NhbGlicmkBBv3//7X+//8JWAEAAAb8AgAAATABA/3//7X+//8JWwEAAAb/AgAAAjExAQD9//+1/v//CV4BAAAGAgMAAAdSZWd1bGFyBygBAAAAAQAAAAQAAAAEN0dsb2JlU29mdHdhcmUuQXRsYXM0MC5BdGxhc0NvbW1vbi5UeXBlLkZpZWxkT3V0cHV0RmllbGQOAAAACQMDAAANAwcq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Pz//8r+//8B+/z//8n+//8JAAAACSwAAAAB+fz//8r+//8B+Pz//8n+//8LAAAABgkDAAACMTIB9vz//8r+//8B9fz//8n+//8EAAAABgwDAAAHR2VuZXJhbAHz/P//yv7//wHy/P//yf7//wIAAAAGDwMAAAExAfD8///K/v//Ae/8///J/v//AAAAAAYSAwAABTExLjE0By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z//7X+//8JNgIAAAlNAQAAAer8//+1/v//CTkCAAAJTQEAAAHn/P//tf7//wk8AgAABhsDAAAFLTQxNDIB5Pz//7X+//8JPwIAAAYeAwAAB0NhbGlicmkB4fz//7X+//8JQgIAAAYhAwAAATAB3vz//7X+//8JRQIAAAYkAwAAAjExAdv8//+1/v//CUgCAAAGJwMAAAdSZWd1bGFyBy0BAAAAAQAAAAQAAAAEN0dsb2JlU29mdHdhcmUuQXRsYXM0MC5BdGxhc0NvbW1vbi5UeXBlLkZpZWxkT3V0cHV0RmllbGQOAAAACSgDAAANAwcv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1/z//8r+//8B1vz//8n+//8JAAAACSwAAAAB1Pz//8r+//8B0/z//8n+//8LAAAABi4DAAACMTMB0fz//8r+//8B0Pz//8n+//8EAAAABjEDAAAHR2VuZXJhbAHO/P//yv7//wHN/P//yf7//wIAAAAGNAMAAAExAcv8///K/v//Acr8///J/v//AAAAAAY3AwAAAjE0Bz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z//7X+//8JNgIAAAlNAQAAAcX8//+1/v//CTkCAAAJTQEAAAHC/P//tf7//wk8AgAABkADAAAFLTQxNDIBv/z//7X+//8JPwIAAAZDAwAAB0NhbGlicmkBvPz//7X+//8JQgIAAAZGAwAAATABufz//7X+//8JRQIAAAZJAwAAAjExAbb8//+1/v//CUgCAAAGTAMAAAdSZWd1bGFyBTU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bP8///S/////////wAGTgMAAAZTdHJpbmcGTwMAAANCT00JUAMAAAGv/P//0P///wIAAAAFrvz//zlHbG9iZVNvZnR3YXJlLkF0bGFzNDAuQXRsYXNDb21tb24uTnVtYmVyU2VxdWVuY2VDb25kaXRpb24BAAAAB3ZhbHVlX18ACA4AAAABAAAAAAAGUwMAAAlUYWJsZS5CT00JKQAAAAksAAAACv////8JUwMAAAoJKQAAAAoKCgksAAAACVkDAAAJLAAAAAFgAQAANQEAAAGl/P//0v////////8ABlwDAAAGU3RyaW5nBl0DAAALSXRlbSBudW1iZXIJUAMAAAGh/P//0P///wIAAAABoPz//678//8BAAAAAAAJUwMAAAk3AAAACSwAAAAK/////wlTAwAACgk3AAAACgoKCSwAAAAJZwMAAAksAAAAAYgBAAA1AQAAAZf8///S/////////wAGagMAAARSZWFsBmsDAAAIUXVhbnRpdHkJUAMAAAGT/P//0P///wIAAAABkvz//678//8BAAAAAAAJUwMAAAlFAAAACSwAAAAK/////wlTAwAACglFAAAACgoKCSwAAAAJdQMAAAksAAAAAbABAAA1AQAAAYn8///S/////////wAGeAMAAARSZWFsBnkDAAAKUGVyIHNlcmllcwlQAwAAAYX8///Q////AgAAAAGE/P//rvz//wEAAAAAAAlTAwAACVMAAAAJLAAAAAr/////CVMDAAAKCVMAAAAKCgoJLAAAAAmDAwAACSwAAAAB2AEAADUBAAABe/z//9L/////////AAaGAwAABlN0cmluZwaHAwAABFVuaXQJUAMAAAF3/P//0P///wIAAAABdvz//678//8BAAAAAAAJUwMAAAlhAAAACSwAAAAK/////wlTAwAACglhAAAACgoKCSwAAAAJkQMAAAksAAAAAQACAAA1AQAAAW38///S/////////wAGlAMAAARSZWFsBpUDAAAOVmFyaWFibGUgc2NyYXAJlgMAAAFp/P//0P///wIAAAABaPz//678//8BAAAAAAAGmQMAAAlUYWJsZS5CT00JbwAAAAksAAAACv////8JmQMAAAoJbwAAAAoKCgksAAAACZ8DAAAJLAAAAAElAgAANQEAAAFf/P//0v////////8ABqIDAAAEUmVhbAajAwAADkNvbnN0YW50IHNjcmFwCaQDAAABW/z//9D///8CAAAAAVr8//+u/P//AQAAAAAABqcDAAAJVGFibGUuQk9NCX0AAAAJLAAAAAr/////CacDAAAKCX0AAAAKCgoJLAAAAAmtAwAACSwAAAABSgIAADUBAAABUfz//9L/////////AAawAwAABEVudW0GsQMAAAlMaW5lIHR5cGUJlgMAAAFN/P//0P///wIAAAABTPz//678//8BAAAAAAAJmQMAAAmLAAAACSwAAAAK/////wmZAwAACgmLAAAACgoKCSwAAAAJuwMAAAksAAAAAW8CAAA1AQAAAUP8///S/////////wAGvgMAAARFbnVtBr8DAAAOQ29uc3VtcHRpb24gaXMJwAMAAAE//P//0P///wIAAAABPvz//678//8BAAAAAAAGwwMAAAlUYWJsZS5CT00JmQAAAAksAAAACv////8JwwMAAAoJmQAAAAoKCgksAAAACckDAAAJLAAAAAGUAgAANQEAAAE1/P//0v////////8ABswDAAAERW51bQbNAwAAC0NhbGN1bGF0aW9uCcADAAABMfz//9D///8CAAAAATD8//+u/P//AQAAAAAACcMDAAAJpwAAAAksAAAACv////8JwwMAAAoJpwAAAAoKCgksAAAACdcDAAAJLAAAAAG5AgAANQEAAAEn/P//0v////////8ABtoDAAAGU3RyaW5nBtsDAAAOVmVuZG9yIGFjY291bnQJlgMAAAEj/P//0P///wIAAAABIvz//678//8BAAAAAAAJmQMAAAm1AAAACSwAAAAK/////wmZAwAACgm1AAAACgoKCSwAAAAJ5QMAAAksAAAAAd4CAAA1AQAAARn8///S/////////wAG6AMAAARFbnVtBukDAAASRmx1c2hpbmcgcHJpbmNpcGxlCZYDAAABFfz//9D///8CAAAAART8//+u/P//AQAAAAAACZkDAAAJwwAAAAksAAAACv////8JmQMAAAoJwwAAAAoKCgksAAAACfMDAAAJLAAAAAEDAwAANQEAAAEL/P//0v////////8ABvYDAAAEUmVhbAb3AwAACU11bHRpcGxlcwmkAwAAAQf8///Q////AgAAAAEG/P//rvz//wEAAAAAAAmnAwAACdEAAAAJLAAAAAr/////CacDAAAKCdEAAAAKCgoJLAAAAAkBBAAACSwAAAABKAMAADUBAAAB/fv//9L/////////AAYEBAAABEVudW0GBQQAAAtSb3VuZGluZy11cAmkAwAAAfn7///Q////AgAAAAH4+///rvz//wEAAAAAAAmnAwAACd8AAAAJLAAAAAr/////CacDAAAKCd8AAAAKCgoJLAAAAAkPBAAACSwAAAAFUA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EgAAAAYRBAAAA0JPTQYSBAAACUJPTSBsaW5lcwksAAAACSwAAAAJLAAAAAXs+///MEdsb2JlU29mdHdhcmUuQXRsYXM0MC5BdGxhc0NvbW1vbi5EYXRhU291cmNlVHlwZQEAAAAHdmFsdWVfXwAIDgAAAAAAAAAJFQQAAAkWBAAABOn7//8LU3lzdGVtLkd1aWQLAAAAAl9hAl9iAl9jAl9kAl9lAl9mAl9nAl9oAl9pAl9qAl9rAAAAAAAAAAAAAAAIBwcCAgICAgICAlv58d0HuYJJlYkHQ0BSKpoJLAAAAAksAAAACRkEAAAJUwMAAAoKCgoKAQAAAAXl+///NEdsb2JlU29mdHdhcmUuQXRsYXM0MC5BdGxhc0NvbW1vbi5EYXRhU291cmNlSm9pbk1vZGUBAAAAB3ZhbHVlX18ACA4AAAAAAAAABeT7//81R2xvYmVTb2Z0d2FyZS5BdGxhczQwLkF0bGFzQ29tbW9uLkRhdGFTb3VyY2VGZXRjaE1vZGUBAAAAB3ZhbHVlX18ACA4AAAAAAAAAAAkdBAAAAVkDAAAoAAAALwAAAAnvAAAAAwAAAAkfBAAAAWcDAAAoAAAALwAAAAnvAAAAAwAAAAkhBAAAAXUDAAAoAAAALwAAAAnvAAAAAwAAAAkjBAAAAYMDAAAoAAAALwAAAAnvAAAAAwAAAAklBAAAAZEDAAAoAAAALwAAAAnvAAAAAwAAAAknBAAAAZYDAABQAwAA/////wYoBAAAA0JPTQYpBAAACUJPTSBsaW5lcwksAAAACSwAAAAJLAAAAAHV+///7Pv//wAAAAAJLAQAAAktBAAAAdL7///p+///f47dBWIsMkOkTxr0GmuGNgksAAAACSwAAAAJMAQAAAmZAwAACgoKCgoBAAAAAc77///l+///AAAAAAHN+///5Pv//wAAAAAACTQEAAABnwMAACgAAAAmAAAACe8AAAADAAAACTYEAAABpAMAAFADAAD/////BjcEAAADQk9NBjgEAAAJQk9NIGxpbmVzCSwAAAAJLAAAAAksAAAAAcb7///s+///AAAAAAk7BAAACTwEAAABw/v//+n7//9ErGe9TiCsTbC/A83SEthsCSwAAAAJLAAAAAk/BAAACacDAAAKCgoKCgEAAAABv/v//+X7//8AAAAAAb77///k+///AAAAAAAJQwQAAAGtAwAAKAAAAAQAAAAJDQEAAAMAAAAJRQQAAAG7AwAAKAAAACYAAAAJ7wAAAAMAAAAJRwQAAAHAAwAAUAMAAP////8GSAQAAANCT00GSQQAAAlCT00gbGluZXMJLAAAAAksAAAACSwAAAABtfv//+z7//8AAAAACUwEAAAJTQQAAAGy+///6fv//yNd5/HrQNJIiONKlbN8i0IJLAAAAAksAAAACVAEAAAJwwMAAAoKCgoKAQAAAAGu+///5fv//wAAAAABrfv//+T7//8AAAAAAAlUBAAAAckDAAAoAAAACgAAAAkXAQAAAwAAAAlWBAAAAdcDAAAoAAAACgAAAAkXAQAAAwAAAAlYBAAAAeUDAAAoAAAAJgAAAAnvAAAAAwAAAAlaBAAAAfMDAAAoAAAAJgAAAAnvAAAAAwAAAAlcBAAAAQEEAAAoAAAABAAAAAkNAQAAAwAAAAleBAAAAQ8EAAAoAAAABAAAAAkNAQAAAwAAAAlgBAAABBUE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GAAAACWEEAAAHAAAACWIEAAAEFg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hBAAAAAAAAAQZ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QQAAAAAAAAEHQQ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AQAAAAAAAAHH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///tf7//wZmBAAACEhlbHBUZXh0BmcEAAAvTnVtYmVyIG9mIHRoZSBCT00gdGhhdCB0aGUgbGluZSBpcyBhdHRhY2hlZCB0by4BmPv//7X+//8GaQQAAAVMYWJlbAlPAwAAAZX7//+1/v//BmwEAAAEVHlwZQlOAwAABy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v//7X+//8JZgQAAAZwBAAADklkZW50aWZ5IGl0ZW0uAY/7//+1/v//CWkEAAAJXQMAAAGM+///tf7//wlsBAAACVwDAAAHI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+///tf7//wlmBAAABnkEAABIVHVybm92ZXIgcXR5LiwgbnVtYmVyIG9mIHVuaXRzIG9mIHJhdyBtYXRlcmlhbCB1c2VkIGluIHRoZSBmaW5pc2hlZCBpdGVtAYb7//+1/v//CWkEAAAJawMAAAGD+///tf7//wlsBAAACWoDAAAHJ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A+///tf7//wlmBAAABoIEAAAnTnVtYmVyIG9mIHVuaXRzIHRoZSBxdWFudGl0eSBhcHBsaWVzIHRvAX37//+1/v//CWkEAAAJeQMAAAF6+///tf7//wlsBAAACXgDAAAHJ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3+///tf7//wlmBAAABosEAAAqVW5pdCB0aGUgdHVybm92ZXIgcXVhbnRpdHkgaXMgc3BlY2lmaWVkIGluAXT7//+1/v//CWkEAAAJhwMAAAFx+///tf7//wlsBAAACYYDAAABLAQAABUEAAAOAAAACZIEAAARAAAACZMEAAABLQQAABYEAAAAAAAACe8AAAAAAAAAATAEAAAZBAAAAAAAAAmSBAAAAAAAAAE0BAAAHQQAAAAAAAAJlgQAAAAAAAAHN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+///tf7//wlpBAAACZUDAAABZvv//7X+//8JbAQAAAmUAwAAATsEAAAVBAAADgAAAAmdBAAAEQAAAAmeBAAAATwEAAAWBAAAAAAAAAkXAQAAAAAAAAE/BAAAGQQAAAAAAAAJnQQAAAAAAAABQwQAAB0EAAAAAAAACaEEAAAAAAAAB0U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v//7X+//8GowQAAAVMYWJlbAmjAwAAAVv7//+1/v//BqYEAAAEVHlwZQmiAwAAB0c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v//7X+//8JaQQAAAmxAwAAAVX7//+1/v//CWwEAAAJsAMAAAFMBAAAFQQAAAsAAAAJrgQAABEAAAAJrwQAAAFNBAAAFgQAAAAAAAAJ7wAAAAAAAAABUAQAABkEAAAAAAAACa4EAAAAAAAAAVQEAAAdBAAAAAAAAAmyBAAAAAAAAAdW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37//+1/v//BrQEAAAFTGFiZWwJvwMAAAFK+///tf7//wa3BAAABFR5cGUJvgMAAAdY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f7//+1/v//CbQEAAAJzQMAAAFE+///tf7//wm3BAAACcwDAAAHW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///tf7//wlpBAAACdsDAAABPvv//7X+//8JbAQAAAnaAwAAB1w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v//7X+//8JaQQAAAnpAwAAATj7//+1/v//CWwEAAAJ6AMAAAde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7//+1/v//CaMEAAAJ9wMAAAEy+///tf7//wmmBAAACfYDAAAHY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v+///tf7//wmjBAAACQUEAAABLPv//7X+//8JpgQAAAkEBAAAAWEEAAAMAAAAB2IE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Cn7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tgEAAAPVGFibGUuQk9NLkJPTUlkCTUBAAABJvv//yn7//8G2wQAABBUYWJsZS5CT00uSXRlbUlkCWABAAABI/v//yn7//8G3gQAABBUYWJsZS5CT00uQk9NUXR5CYgBAAABIPv//yn7//8G4QQAABVUYWJsZS5CT00uQk9NUXR5U2VyaWUJsAEAAAEd+///Kfv//wbkBAAAEFRhYmxlLkJPTS5Vbml0SWQJ2AEAAAEa+///Kfv//wbnBAAAF1RhYmxlLkJPTS5Db25maWdHcm91cElkCegEAAAEZA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ZIEAAAMAAAAB5MEAAAAAQAAAAw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f7//8p+///BuoEAAAPVGFibGUuQk9NLkJPTUlkCTUBAAABFPv//yn7//8G7QQAABBUYWJsZS5CT00uSXRlbUlkCWABAAABEfv//yn7//8G8AQAABBUYWJsZS5CT00uQk9NUXR5CYgBAAABDvv//yn7//8G8wQAABVUYWJsZS5CT00uQk9NUXR5U2VyaWUJsAEAAAEL+///Kfv//wb2BAAAEFRhYmxlLkJPTS5Vbml0SWQJ2AEAAAEI+///Kfv//wb5BAAADlRhYmxlLkJPTS5EaW01CfoEAAABBfv//yn7//8G/AQAABRUYWJsZS5CT00uU2NyYXBDb25zdAn9BAAAAQL7//8p+///Bv8EAAAdVGFibGUuQk9NLlByb2RGbHVzaGluZ1ByaW5jaXAJ3gIAAAH/+v//Kfv//wYCBQAAEVRhYmxlLkJPTS5CT01UeXBlCUoCAAAB/Pr//yn7//8GBQUAABFUYWJsZS5CT00uUm91bmRVcAkGBQAAAfn6//8p+///BggFAAASVGFibGUuQk9NLlNjcmFwVmFyCQACAAAB9vr//yn7//8GCwUAABBUYWJsZS5CT00uVmVuZElkCbkCAAABlgQAAGQEAAABnQQAAAwAAAAHngQAAAABAAAAD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8/r//yn7//8GDgUAAA9UYWJsZS5CT00uQk9NSWQJNQEAAAHw+v//Kfv//wYRBQAAEFRhYmxlLkJPTS5JdGVtSWQJYAEAAAHt+v//Kfv//wYUBQAAEFRhYmxlLkJPTS5CT01RdHkJiAEAAAHq+v//Kfv//wYXBQAAFVRhYmxlLkJPTS5CT01RdHlTZXJpZQmwAQAAAef6//8p+///BhoFAAAQVGFibGUuQk9NLlVuaXRJZAnYAQAAAeT6//8p+///Bh0FAAASVGFibGUuQk9NLlNjcmFwVmFyCQACAAAB4fr//yn7//8GIAUAABFUYWJsZS5CT00uQk9NVHlwZQlKAgAAAd76//8p+///BiMFAAAUVGFibGUuQk9NLkJPTUNvbnN1bXAJbwIAAAHb+v//Kfv//wYmBQAAFVRhYmxlLkJPTS5DYWxjdWxhdGlvbgmUAgAAAdj6//8p+///BikFAAAQVGFibGUuQk9NLlZlbmRJZAm5AgAAAdX6//8p+///BiwFAAAdVGFibGUuQk9NLlByb2RGbHVzaGluZ1ByaW5jaXAJ3gIAAAHS+v//Kfv//wYvBQAAFFRhYmxlLkJPTS5TY3JhcENvbnN0CSUCAAABz/r//yn7//8GMgUAABRUYWJsZS5CT00uUm91bmRVcFF0eQkDAwAAAcz6//8p+///BjUFAAARVGFibGUuQk9NLlJvdW5kVXAJKAMAAAGhBAAAZAQAAAGuBAAADAAAAAevBA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J+v//Kfv//wY4BQAAD1RhYmxlLkJPTS5CT01JZAk1AQAAAcb6//8p+///BjsFAAAQVGFibGUuQk9NLkl0ZW1JZAlgAQAAAcP6//8p+///Bj4FAAAQVGFibGUuQk9NLkJPTVF0eQmIAQAAAcD6//8p+///BkEFAAAVVGFibGUuQk9NLkJPTVF0eVNlcmllCbABAAABvfr//yn7//8GRAUAABBUYWJsZS5CT00uVW5pdElkCdgBAAABuvr//yn7//8GRwUAABJUYWJsZS5CT00uU2NyYXBWYXIJAAIAAAG3+v//Kfv//wZKBQAAEVRhYmxlLkJPTS5CT01UeXBlCUoCAAABtPr//yn7//8GTQUAABBUYWJsZS5CT00uVmVuZElkCbkCAAABsfr//yn7//8GUAUAAB1UYWJsZS5CT00uUHJvZEZsdXNoaW5nUHJpbmNpcAneAgAAAa76//8p+///BlMFAAAVVGFibGUuQk9NLkNhbGN1bGF0aW9uCZQCAAABq/r//yn7//8GVgUAABRUYWJsZS5CT00uQk9NQ29uc3VtcAlvAgAAAbIEAABkBAAAAegEAAA1AQAAAaj6///S/////////wAGWQUAAAZTdHJpbmcGWgUAABNDb25maWd1cmF0aW9uIGdyb3VwCVADAAABpPr//9D///8CAAAAAaP6//+u/P//AQAAAAAACVMDAAAGXwUAAA1Db25maWdHcm91cElkCSwAAAAK/////wlTAwAACglfBQAACgoKCSwAAAAJZAUAAAksAAAAAfoEAAA1AQAAAZr6///S/////////wAGZwUAAARSZWFsBmgFAAAIQ29uc3RhbnQJlgMAAAGW+v//0P///wIAAAABlfr//678//8BAAAAAAAJmQMAAAZtBQAABERpbTUJLAAAAAr/////CZkDAAAKCW0FAAAKCgoJLAAAAAlyBQAACSwAAAAB/QQAADUBAAABjPr//9L/////////AAZ1BQAABFJlYWwGdgUAAA5Db25zdGFudCBzY3JhcAmWAwAAAYj6///Q////AgAAAAGH+v//rvz//wEAAAAAAAmZAwAABnsFAAAKU2NyYXBDb25zdAksAAAACv////8JmQMAAAoJewUAAAoKCgksAAAACYAFAAAJLAAAAAEGBQAANQEAAAF++v//0v////////8ABoMFAAAERW51bQaEBQAAC1JvdW5kaW5nLXVwCZYDAAABevr//9D///8CAAAAAXn6//+u/P//AQAAAAAACZkDAAAGiQUAAAdSb3VuZFVwCSwAAAAK/////wmZAwAACgmJBQAACgoKCSwAAAAJjgUAAAksAAAAAWQFAAAoAAAACQAAAAnvAAAAAwAAAAmRBQAAAXIFAAAoAAAABgAAAAnvAAAAAwAAAAmTBQAAAYAFAAAoAAAABgAAAAnvAAAAAwAAAAmVBQAAAY4FAAAoAAAADAAAAAnvAAAAAwAAAAmXBQAAB5E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Pr//7X+//8JZgQAAAaaBQAARUNvbmZpZ3VyYXRpb24gZ3JvdXAgZnJvbSB3aGljaCBsaW5lIGlzIHNlbGVjdGVkIGR1cmluZyBjb25maWd1cmF0aW9uLgFl+v//tf7//wlpBAAACVoFAAABYvr//7X+//8JbAQAAAlZBQAAB5M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r//7X+//8JaQQAAAloBQAAAVz6//+1/v//CWwEAAAJZwUAAAeV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n6//+1/v//CWkEAAAJdgUAAAFW+v//tf7//wlsBAAACXUFAAAHl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+v//tf7//wlpBAAACYQFAAABUPr//7X+//8JbAQAAAmDBQAACw==</Report>
</Atlas>
</file>

<file path=customXml/item3.xml><?xml version="1.0" encoding="utf-8"?>
<Atlas>
  <Query type="ReportList" id="076ae96a-85da-4cfa-a77a-29632304a08b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M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cAAAAH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w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M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RSW52ZW50VGFibGVNb2R1bGUGHgAAABtJbnZlbnRvcnkgbW9kdWxlIHBhcmFtZXRlcnMJCAAAAAkIAAAACQgAAAAF4P///zBHbG9iZVNvZnR3YXJlLkF0bGFzNDAuQXRsYXNDb21tb24uRGF0YVNvdXJjZVR5cGUBAAAAB3ZhbHVlX18ACAIAAAAAAAAACSEAAAAJIgAAAATd////C1N5c3RlbS5HdWlkCwAAAAJfYQJfYgJfYwJfZAJfZQJfZgJfZwJfaAJfaQJfagJfawAAAAAAAAAAAAAACAcHAgICAgICAgJXIAiL1Ty+RKXYPTIttqhqCQgAAAAJCAAAAAklAAAABiYAAAAXVGFibGUuSW52ZW50VGFibGVNb2R1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FRhYmxlLkludmVudFRhYmxlTW9kdWxlLkl0ZW1JZH5UYWJsZS5JbnZlbnRUYWJsZQkxAAAAAc7////U////BjMAAAA6VGFibGUuSW52ZW50VGFibGVNb2R1bGUuSXRlbUlkflRhYmxlLkludmVudEl0ZW1JbnZlbnRTZXR1cAk0AAAABxQAAAAAAQAAAAgAAAAELUdsb2JlU29mdHdhcmUuQXRsYXM0MC5BdGxhc0NvbW1vbi5UeXBlLkNvbHVtbgIAAAAJNQAAAAk2AAAACTcAAAAJOAAAAAk5AAAACToAAAAJOwAAAAoRFQAAAAQAAAAGPAAAAA1BdGxhc1JlcG9ydF8yDQMHFwAAAAABAAAAAw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D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B////w////wZAAAAAEVRhYmxlLkludmVudFRhYmxlCTAAAAABvv///8P///8GQwAAABtUYWJsZS5JbnZlbnRJdGVtSW52ZW50U2V0dXAJMw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u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6////Pkdsb2JlU29mdHdhcmUuQXRsYXM0MC5BdGxhc0NvbW1vbi5UeXBlLkF0bGFzUXVlcnlBdHRyaWJ1dGVOYW1lAQAAAAd2YWx1ZV9fAAgCAAAAAgAAAAZHAAAAJDA3NmFlOTZhLTg1ZGEtNGNmYS1hNzdhLTI5NjMyMzA0YTA4YgG4////u////wG3////uv///wAAAAAGSgAAAARUcnVlAbX///+7////AbT///+6////CwAAAAZNAAAAFkl0ZW0gZGV0YWlsc19JbnZlbnRvcnkBsv///7v///8Bsf///7r///8bAAAACUoAAAABr////7v///8Brv///7r///8GAAAABlMAAAAFRmFsc2UBrP///7v///8Bq////7r///8cAAAACUoAAAABqf///7v///8BqP///7r///8dAAAACVMAAAABpv///7v///8Bpf///7r///8qAAAACUoAAAABo////7v///8Bov///7r///8BAAAABl8AAAADMzcyAaD///+7////AZ////+6////JwAAAAZiAAAACz1EYXRhQXJlYUlkAZ3///+7////AZz///+6////GQAAAAZlAAAAD0NlbGxzVmVydGljYWxseQGa////u////wGZ////uv///wkAAAAKAZj///+7////AZf///+6////KAAAAAZqAAAAATcBlf///7v///8BlP///7r///8rAAAABm0AAAARVGFibGVTdHlsZU1lZGl1bTIHHAAAAAABAAAAAw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bwAAABFJbnZlbnRUYWJsZU1vZHVsZQEAAAABkP///5L///8GcQAAAAtJbnZlbnRUYWJsZQEAAAABjv///5L///8GcwAAABVJbnZlbnRJdGVtSW52ZW50U2V0dXA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DAAAACXQAAAADAAAACXU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l3AAAAASUAAAAEAAAAAgAAAAl0AAAAAwAAAAl5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oAAAAAAAAAByoAAAAAAQAAAAAAAAAELUdsb2JlU29mdHdhcmUuQXRsYXM0MC5BdGxhc0NvbW1vbi5UeXBlLkNvbHVtbgIAAAABMQAAAA4AAAD/////BnsAAAALSW52ZW50VGFibGUGfAAAAAVJdGVtcwkIAAAACQgAAAAJCAAAAAGC////4P///wAAAAAJfwAAAAmAAAAAAX/////d////6VrckmnrakGV7JglJJnFwwkIAAAACQgAAAAJgwAAAAkwAAAABoUAAAARSW52ZW50VGFibGVNb2R1bGUGhgAAABdUYWJsZS5JbnZlbnRUYWJsZU1vZHVsZQaHAAAAHlRhYmxlLkludmVudFRhYmxlTW9kdWxlLkl0ZW1JZAaIAAAABkl0ZW1JZAaJAAAABkl0ZW1JZAEAAAABdv///9n///8AAAAAAXX////Y////AAAAAAAJjAAAAAE0AAAADgAAAP////8GjQAAABVJbnZlbnRJdGVtSW52ZW50U2V0dXAGjgAAAB1JdGVtIGludmVudG9yeSBvcmRlciBzZXR0aW5ncwkIAAAACQgAAAAJCAAAAAFw////4P///wAAAAAJkQAAAAmSAAAAAW3////d////OfQMWmUUqEGMoj7fNvrBkwkIAAAACQgAAAAJlQAAAAkzAAAABpcAAAARSW52ZW50VGFibGVNb2R1bGUGmAAAABdUYWJsZS5JbnZlbnRUYWJsZU1vZHVsZQaZAAAAHlRhYmxlLkludmVudFRhYmxlTW9kdWxlLkl0ZW1JZAaaAAAABkl0ZW1JZAabAAAABkl0ZW1JZAEAAAABZP///9n///8AAAAAAWP////Y////AAAAAAAJngAAAAU1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fAAAACaAAAAAJoQAAAAaiAAAABkl0ZW1JZAajAAAAC0l0ZW0gbnVtYmVyBqQAAAAGU3RyaW5nCQgAAAAGpgAAACRkZWY5Zjk1OC0yYWNhLTQ5NTQtOTcyMC01ZGIyZmRkMTQzNjkFWf///y1HbG9iZVNvZnR3YXJlLkF0bGFzNDAuQXRsYXNDb21tb24uQWdncmVnYXRpb24BAAAAB3ZhbHVlX18ACAIAAAD/////AAAAAAVY////LEdsb2JlU29mdHdhcmUuQXRsYXM0MC5BdGxhc0NvbW1vbi5Db2x1bW5UeXBlAQAAAAd2YWx1ZV9fAAgCAAAAAAAAAAVX////K0dsb2JlU29mdHdhcmUuQXRsYXM0MC5BdGxhc0NvbW1vbi5Tb3J0T3JkZXIBAAAAB3ZhbHVlX18ACAIAAAACAAAAAAAAAAAFVv///0BHbG9iZVNvZnR3YXJlLkF0bGFzNDAuQXRsYXNDb21tb24uVHlwZS5Db2x1bW4rQ3Jvc3NUYWJDb2x1bW5UeXBlAQAAAAd2YWx1ZV9fAAgCAAAAAAAAAAoBAAAAAAAAAAAAAAAAAAarAAAAJGIxMWFhM2E0LWVjMjYtNDg0OC1iMDVmLTQ5MjBhYzU0NDllNwasAAAAHlRhYmxlLkludmVudFRhYmxlTW9kdWxlLkl0ZW1JZAoKCgoBNgAAADUAAAAJrQAAAAmuAAAACa8AAAAGsAAAAAhJdGVtTmFtZQaxAAAACUl0ZW0gbmFtZQayAAAABlN0cmluZwkIAAAABrQAAAAkNWZiMTNiN2EtMjE3ZC00ZjE4LWE3ZDktZDNhN2FmNWM4YTE3AUv///9Z/////////wEAAAABSv///1j///8AAAAAAUn///9X////AgAAAAAAAAAAAUj///9W////AAAAAAoBAAAAAAAAAAABAAAAAAa5AAAAJDZjZDJmMjkxLTAwNTgtNDQzNy1hNTYwLWQ0YzJiZjlhNjZhZAa6AAAAOVRhYmxlLkludmVudFRhYmxlTW9kdWxlLkl0ZW1JZH5UYWJsZS5JbnZlbnRUYWJsZS5JdGVtTmFtZQoKCgoBNwAAADUAAAAJuwAAAAm8AAAACb0AAAAGvgAAAAtJdGVtR3JvdXBJZAa/AAAACkl0ZW0gZ3JvdXAGwAAAAAZTdHJpbmcJCAAAAAbCAAAAJDA4Y2M5ODFlLWY0NTctNGMwNC05NGU5LWEyMmFkN2NkYTNkZQE9////Wf////////8CAAAAATz///9Y////AAAAAAE7////V////wIAAAAAAAAAAAE6////Vv///wAAAAAKAQAAAAAAAAAAAgAAAAAGxwAAACRhMDUxNzVjOC1kZTE4LTQzNmUtYTNmZC01Mzc4MDg2MmRmMjYGyAAAADxUYWJsZS5JbnZlbnRUYWJsZU1vZHVsZS5JdGVtSWR+VGFibGUuSW52ZW50VGFibGUuSXRlbUdyb3VwSWQKCgoKATgAAAA1AAAACckAAAAJygAAAAnLAAAABswAAAAISXRlbVR5cGUGzQAAAAlJdGVtIHR5cGUGzgAAAARFbnVtCQgAAAAG0AAAACQ3ZjE3MTRjOC0yMjNjLTQ3ZGQtODQ3YS1iNTEyNmMwMDRiN2MBL////1n/////////AwAAAAEu////WP///wAAAAABLf///1f///8CAAAAAAAAAAABLP///1b///8AAAAACgEAAAAAAAAAAAMAAAAABtUAAAAkMjgxMjZkOWQtZjA4Ni00OWJkLWFjYTctMzgxYWNmZDQ4MjliBtYAAAA5VGFibGUuSW52ZW50VGFibGVNb2R1bGUuSXRlbUlkflRhYmxlLkludmVudFRhYmxlLkl0ZW1UeXBlCgoKCgE5AAAANQAAAAnXAAAACdgAAAAJ2QAAAAbaAAAABlVuaXRJZAbbAAAABFVuaXQG3AAAAAZTdHJpbmcJCAAAAAbeAAAAJGE3OTQ0MzQ5LWNiNWMtNDY2Yi1iNzkyLWUxNmIyMmEyZmU4YQEh////Wf////////8EAAAAASD///9Y////AAAAAAEf////V////wIAAAAAAAAAAAEe////Vv///wAAAAAKAQAAAAAAAAAABAAAAAAG4wAAACQxMjI4MzMxMC04YWVlLTRmODEtOTQzZS01ZTY4ZDI5MjAwMjgG5AAAAB5UYWJsZS5JbnZlbnRUYWJsZU1vZHVsZS5Vbml0SWQKCgoKAToAAAA1AAAACeUAAAAJ5gAAAAnnAAAABugAAAAFUHJpY2UG6QAAAAVQcmljZQbqAAAABFJlYWwJCAAAAAbsAAAAJDdmNTMzMTA3LWRiMmQtNGQ3OC05MDE4LWRkOTViNzgxNmFhYgET////Wf///wEAAAAFAAAAARL///9Y////AAAAAAER////V////wIAAAAAAAAAAAEQ////Vv///wAAAAAKAQAAAAAAAAAABQAAAAAG8QAAACRmZjY3YTcyMC0xNGY2LTQ2NTUtYTUzYi02YTYwNmE1MWQ1MmMG8gAAAB1UYWJsZS5JbnZlbnRUYWJsZU1vZHVsZS5QcmljZQoKCgoBOwAAADUAAAAJ8wAAAAn0AAAACfUAAAAG9gAAAAtTdGFuZGFyZFF0eQb3AAAAF1N0YW5kYXJkIG9yZGVyIHF1YW50aXR5BvgAAAAEUmVhbAkIAAAABvoAAAAkYmY0YmEwMjItYTRiZC00MTYzLTllNzUtZTcxMjc5YzEzZTQ0AQX///9Z/////////wYAAAABBP///1j///8AAAAAAQP///9X////AgAAAAAAAAAAAQL///9W////AAAAAAoBAAAAAAAAAAAGAAAAAAb/AAAAJDk4MDE0ZTE2LTJmMmUtNDc0YS1iYjhjLWZmNGU2ZTUzMWQ1OAYAAQAARlRhYmxlLkludmVudFRhYmxlTW9kdWxlLkl0ZW1JZH5UYWJsZS5JbnZlbnRJdGVtSW52ZW50U2V0dXAuU3RhbmRhcmRRdHkKCgoKAXQAAAASAAAAB3U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gIBAAAeVGFibGUuSW52ZW50VGFibGVNb2R1bGUuSXRlbUlkCQMBAAAB/P7////+//8GBQEAAB5UYWJsZS5JbnZlbnRUYWJsZU1vZHVsZS5Vbml0SWQJBgEAAAH5/v////7//wYIAQAAHVRhYmxlLkludmVudFRhYmxlTW9kdWxlLlByaWNlCQkBAAAHdw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Pb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CwEAACJUYWJsZS5JbnZlbnRUYWJsZU1vZHVsZS5Nb2R1bGVUeXBlCQwBAAAHeQ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8/7//9T///8JMAAAAAkxAAAAAfD+///U////CTMAAAAJNAAAAAR6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fwAAACEAAAADAAAACRMBAAADAAAACRQBAAAEgA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D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wEAAAAAAAABjAAAACkAAAAAAAAACRcBAAAAAAAAAZEAAAAhAAAAAQAAAAkSAAAAAwAAAAkZAQAAAZIAAAAiAAAAAQAAAAkSAAAAAwAAAAkbAQAABJ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eAAAAKQAAAAAAAAAJHQEAAAAAAAAEn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HgEAAAEAAAABAAAABKA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LwAAAAkfAQAABwAAAAkgAQAABK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hAQAABwAAAAkiAQAAAa0AAACfAAAACSMBAAABAAAAAQAAAAGuAAAAoAAAABEAAAAJJAEAAAcAAAAJJQEAAASv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wEAAAcAAAAJJwEAAAG7AAAAnwAAAAkoAQAAAQAAAAEAAAABvAAAAKAAAAARAAAACSQBAAAHAAAACSoBAAAEv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MBAAAHAAAACSwBAAAByQAAAJ8AAAAJLQEAAAEAAAABAAAAAcoAAACgAAAAEQAAAAkkAQAABwAAAAkvAQAABM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TAQAABwAAAAkxAQAAAdcAAACfAAAACTIBAAABAAAAAQAAAAHYAAAAoAAAAC4AAAAJHwEAAAcAAAAJNAEAAATZ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IQEAAAcAAAAJNgEAAAHlAAAAnwAAAAk3AQAAAQAAAAEAAAAB5gAAAKAAAAAuAAAACR8BAAAHAAAACTkBAAAE5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SEBAAAHAAAACTsBAAAB8wAAAJ8AAAAJPAEAAAEAAAABAAAAAfQAAACgAAAACgAAAAk9AQAABwAAAAk+AQAABP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SAAAABwAAAAlAAQAABQ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/+//9Z/////////wAGQgEAAAZTdHJpbmcGQwEAAAtJdGVtIG51bWJlcglEAQAAAbv+//9X////AgAAAAW6/v//OUdsb2JlU29mdHdhcmUuQXRsYXM0MC5BdGxhc0NvbW1vbi5OdW1iZXJTZXF1ZW5jZUNvbmRpdGlvbgEAAAAHdmFsdWVfXwAIAgAAAAEAAAAAAAZHAQAAF1RhYmxlLkludmVudFRhYmxlTW9kdWxlCaIAAAAJCAAAAAr/////CUcBAAAKCaIAAAAKCgoJCAAAAAlNAQAACQgAAAABBgEAAAMBAAABsf7//1n/////////AAZQAQAABlN0cmluZwZRAQAABFVuaXQJRAEAAAGt/v//V////wIAAAABrP7//7r+//8BAAAAAAAJRwEAAAnaAAAACQgAAAAK/////wlHAQAACgnaAAAACgoKCQgAAAAJWwEAAAkIAAAAAQkBAAADAQAAAaP+//9Z/////////wAGXgEAAARSZWFsBl8BAAAFUHJpY2UJRAEAAAGf/v//V////wIAAAABnv7//7r+//8BAAAAAAAJRwEAAAnoAAAACQgAAAAK/////wlHAQAACgnoAAAACgoKCQgAAAAJaQEAAAkIAAAABQw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rAQAAF1RhYmxlLkludmVudFRhYmxlTW9kdWxlBmwBAAAKTW9kdWxlVHlwZQkIAAAABm4BAAAGSW52ZW50/////wlrAQAABnABAAARSW52ZW50VGFibGVNb2R1bGUJbAEAAAoKCgkIAAAACXMBAAAJCAAAAAETAQAAEgAAAAcUAQ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L/v////7//wZ2AQAAPFRhYmxlLkludmVudFRhYmxlTW9kdWxlLkl0ZW1JZH5UYWJsZS5JbnZlbnRUYWJsZS5JdGVtR3JvdXBJZAl3AQAAAYj+/////v//BnkBAAA5VGFibGUuSW52ZW50VGFibGVNb2R1bGUuSXRlbUlkflRhYmxlLkludmVudFRhYmxlLkl0ZW1OYW1lCXoBAAABhf7////+//8GfAEAADlUYWJsZS5JbnZlbnRUYWJsZU1vZHVsZS5JdGVtSWR+VGFibGUuSW52ZW50VGFibGUuSXRlbVR5cGUJfQEAAAEXAQAAegAAAAcZ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C/v////7//wZ/AQAARlRhYmxlLkludmVudFRhYmxlTW9kdWxlLkl0ZW1JZH5UYWJsZS5JbnZlbnRJdGVtSW52ZW50U2V0dXAuU3RhbmRhcmRRdHkJgAEAAAcb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f/7///b+//8GggEAAEZUYWJsZS5JbnZlbnRUYWJsZU1vZHVsZS5JdGVtSWR+VGFibGUuSW52ZW50SXRlbUludmVudFNldHVwLkludmVudERpbUlkCYMBAAABHQEAAHoAAAAHHgEAAAABAAAABAAAAAQ3R2xvYmVTb2Z0d2FyZS5BdGxhczQwLkF0bGFzQ29tbW9uLlR5cGUuRmllbGRPdXRwdXRGaWVsZAIAAAAJAwEAAA0DBB8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yA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7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Xr+//8yR2xvYmVTb2Z0d2FyZS5BdGxhczQwLkF0bGFzQ29tbW9uLkNvbHVtbkF0dHJpYnV0ZXMBAAAAB3ZhbHVlX18ACAIAAAAGAAAABocBAAAFVG90YWwBeP7//3v+//8Bd/7//3r+//8QAAAABooBAAAETm9uZQF1/v//e/7//wF0/v//ev7//wkAAAAJCAAAAAFy/v//e/7//wFx/v//ev7//wsAAAAGkAEAAAEwAW/+//97/v//AW7+//96/v//BAAAAAaTAQAAB0dlbmVyYWwBbP7//3v+//8Ba/7//3r+//8CAAAABpYBAAABMQFp/v//e/7//wFo/v//ev7//wAAAAAGmQEAAAIyMgEhAQAAEgAAAAci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Gb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mwEAAAhGb250Qm9sZAacAQAABUZhbHNlAWP+//9m/v//Bp4BAAAKRm9udEl0YWxpYwmcAQAAAWD+//9m/v//BqEBAAANRm9udFVuZGVybGluZQaiAQAABS00MTQyAV3+//9m/v//BqQBAAAIRm9udE5hbWUGpQEAAAdDYWxpYnJpAVr+//9m/v//BqcBAAAJRm9udENvbG9yBqgBAAABMAFX/v//Zv7//waqAQAACEZvbnRTaXplBqsBAAACMTEBVP7//2b+//8GrQEAAAlGb250U3R5bGUGrgEAAAdSZWd1bGFyByMBAAAAAQAAAAQAAAAEN0dsb2JlU29mdHdhcmUuQXRsYXM0MC5BdGxhc0NvbW1vbi5UeXBlLkZpZWxkT3V0cHV0RmllbGQCAAAACXoBAAANAwEkAQAAHwEAAAcl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P7//3v+//8BT/7//3r+//8JAAAACQgAAAABTf7//3v+//8BTP7//3r+//8LAAAABrUBAAABMQFK/v//e/7//wFJ/v//ev7//wQAAAAGuAEAAAdHZW5lcmFsAUf+//97/v//AUb+//96/v//AgAAAAa7AQAAATEBRP7//3v+//8BQ/7//3r+//8AAAAABr4BAAAFMzQuNzEHJ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v//Zv7//wbAAQAACEZvbnRCb2xkCZwBAAABPv7//2b+//8GwwEAAApGb250SXRhbGljCZwBAAABO/7//2b+//8GxgEAAA1Gb250VW5kZXJsaW5lBscBAAAFLTQxNDIBOP7//2b+//8GyQEAAAhGb250TmFtZQbKAQAAB0NhbGlicmkBNf7//2b+//8GzAEAAAlGb250Q29sb3IGzQEAAAEwATL+//9m/v//Bs8BAAAIRm9udFNpemUG0AEAAAIxMQEv/v//Zv7//wbSAQAACUZvbnRTdHlsZQbTAQAAB1JlZ3VsYXIHKAEAAAABAAAABAAAAAQ3R2xvYmVTb2Z0d2FyZS5BdGxhczQwLkF0bGFzQ29tbW9uLlR5cGUuRmllbGRPdXRwdXRGaWVsZAIAAAAJdwEAAA0DBy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r/v//e/7//wEq/v//ev7//wkAAAAJCAAAAAEo/v//e/7//wEn/v//ev7//wsAAAAG2gEAAAEyASX+//97/v//AST+//96/v//BAAAAAbdAQAAB0dlbmVyYWwBIv7//3v+//8BIf7//3r+//8CAAAABuABAAABMQEf/v//e/7//wEe/v//ev7//wAAAAAG4wEAAAUxMi4yOQ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z+//9m/v//CcABAAAJnAEAAAEZ/v//Zv7//wnDAQAACZwBAAABFv7//2b+//8JxgEAAAbsAQAABS00MTQyARP+//9m/v//CckBAAAG7wEAAAdDYWxpYnJpARD+//9m/v//CcwBAAAG8gEAAAEwAQ3+//9m/v//Cc8BAAAG9QEAAAIxMQEK/v//Zv7//wnSAQAABvgBAAAHUmVndWxhcgctAQAAAAEAAAAEAAAABDdHbG9iZVNvZnR3YXJlLkF0bGFzNDAuQXRsYXNDb21tb24uVHlwZS5GaWVsZE91dHB1dEZpZWxkAgAAAAl9AQAADQMHL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b+//97/v//AQX+//96/v//CQAAAAkIAAAAAQP+//97/v//AQL+//96/v//CwAAAAb/AQAAATMBAP7//3v+//8B//3//3r+//8EAAAABgICAAAHR2VuZXJhbAH9/f//e/7//wH8/f//ev7//wIAAAAGBQIAAAExAfr9//97/v//Afn9//96/v//AAAAAAYIAgAABTExLjE0Bz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/3//2b+//8JwAEAAAmcAQAAAfT9//9m/v//CcMBAAAJnAEAAAHx/f//Zv7//wnGAQAABhECAAAFLTQxNDIB7v3//2b+//8JyQEAAAYUAgAAB0NhbGlicmkB6/3//2b+//8JzAEAAAYXAgAAATAB6P3//2b+//8JzwEAAAYaAgAAAjExAeX9//9m/v//CdIBAAAGHQIAAAdSZWd1bGFyBzIBAAAAAQAAAAQAAAAEN0dsb2JlU29mdHdhcmUuQXRsYXM0MC5BdGxhc0NvbW1vbi5UeXBlLkZpZWxkT3V0cHV0RmllbGQCAAAACQYBAAANAwc0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4f3//3v+//8B4P3//3r+//8QAAAACYoBAAAB3v3//3v+//8B3f3//3r+//8JAAAACQgAAAAB2/3//3v+//8B2v3//3r+//8LAAAABicCAAABNAHY/f//e/7//wHX/f//ev7//wQAAAAGKgIAAAdHZW5lcmFsAdX9//97/v//AdT9//96/v//AgAAAAYtAgAAATEB0v3//3v+//8B0f3//3r+//8AAAAABjACAAAENi40Mwc2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9//9m/v//CZsBAAAJnAEAAAHM/f//Zv7//wmeAQAACZwBAAAByf3//2b+//8JoQEAAAY5AgAABS00MTQyAcb9//9m/v//CaQBAAAGPAIAAAdDYWxpYnJpAcP9//9m/v//CacBAAAGPwIAAAEwAcD9//9m/v//CaoBAAAGQgIAAAIxMQG9/f//Zv7//wmtAQAABkUCAAAHUmVndWxhcgc3AQAAAAEAAAAEAAAABDdHbG9iZVNvZnR3YXJlLkF0bGFzNDAuQXRsYXNDb21tb24uVHlwZS5GaWVsZE91dHB1dEZpZWxkAgAAAAkJAQAADQMHO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n9//97/v//Abj9//96/v//EAAAAAmKAQAAAbb9//97/v//AbX9//96/v//CQAAAAkIAAAAAbP9//97/v//AbL9//96/v//CwAAAAZPAgAAATUBsP3//3v+//8Br/3//3r+//8EAAAABlICAAAHR2VuZXJhbAGt/f//e/7//wGs/f//ev7//wIAAAAGVQIAAAExAar9//97/v//Aan9//96/v//AAAAAAZYAgAABDkuMjkHO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f//Zv7//wmbAQAACZwBAAABpP3//2b+//8JngEAAAmcAQAAAaH9//9m/v//CaEBAAAGYQIAAAUtNDE0MgGe/f//Zv7//wmkAQAABmQCAAAHQ2FsaWJyaQGb/f//Zv7//wmnAQAABmcCAAABMAGY/f//Zv7//wmqAQAABmoCAAACMTEBlf3//2b+//8JrQEAAAZtAgAAB1JlZ3VsYXIHPAEAAAABAAAABAAAAAQ3R2xvYmVTb2Z0d2FyZS5BdGxhczQwLkF0bGFzQ29tbW9uLlR5cGUuRmllbGRPdXRwdXRGaWVsZAIAAAAJgAEAAA0DAT0BAAAfAQAABz4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R/f//e/7//wGQ/f//ev7//wkAAAAJCAAAAAGO/f//e/7//wGN/f//ev7//wsAAAAGdAIAAAE2AYv9//97/v//AYr9//96/v//BAAAAAZ3AgAAB0dlbmVyYWwBiP3//3v+//8Bh/3//3r+//8CAAAABnoCAAABMQGF/f//e/7//wGE/f//ev7//wAAAAAGfQIAAAIyNAdA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9//9m/v//Bn8CAAAIRm9udEJvbGQJnAEAAAF//f//Zv7//waCAgAACkZvbnRJdGFsaWMJnAEAAAF8/f//Zv7//waFAgAADUZvbnRVbmRlcmxpbmUGhgIAAAUtNDE0MgF5/f//Zv7//waIAgAACEZvbnROYW1lBokCAAAHQ2FsaWJyaQF2/f//Zv7//waLAgAACUZvbnRDb2xvcgaMAgAAATABc/3//2b+//8GjgIAAAhGb250U2l6ZQaPAgAAAjExAXD9//9m/v//BpECAAAJRm9udFN0eWxlBpICAAAHUmVndWxhcgFEAQAADgAAALAAAAAGkwIAABFJbnZlbnRUYWJsZU1vZHVsZQaUAgAAG0ludmVudG9yeSBtb2R1bGUgcGFyYW1ldGVycwkIAAAACQgAAAAJCAAAAAFq/f//4P///wAAAAAJlwIAAAmYAgAAAWf9///d////3d2qgsIMfUmI9+rez3sUGAkIAAAACQgAAAAJmwIAAAlHAQAACgoKCgoBAAAAAWP9///Z////AAAAAAFi/f//2P///wAAAAAACZ8CAAAET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AAACSEBAAADAAAACaECAAAEW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AAACSEBAAADAAAACaMCAAAEa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AAACSEBAAADAAAACaUCAAAEc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acCAAABdwEAAAMBAAABWP3//1n/////////AAapAgAABlN0cmluZwaqAgAACkl0ZW0gZ3JvdXAJMQAAAAFU/f//V////wIAAAABU/3//7r+//8BAAAAAAAJMAAAAAm+AAAACQgAAAAK/////wkwAAAACgm+AAAABrMCAAAGSXRlbUlkBrQCAAARSW52ZW50VGFibGVNb2R1bGUKCQgAAAAJtgIAAAkIAAAAAXoBAAADAQAAAUj9//9Z/////////wAGuQIAAAZTdHJpbmcGugIAAAlJdGVtIG5hbWUJMQAAAAFE/f//V////wIAAAABQ/3//7r+//8BAAAAAAAJMAAAAAmwAAAACQgAAAAK/////wkwAAAACgmwAAAABsMCAAAGSXRlbUlkBsQCAAARSW52ZW50VGFibGVNb2R1bGUKCQgAAAAJxgIAAAkIAAAAAX0BAAADAQAAATj9//9Z/////////wAGyQIAAARFbnVtBsoCAAAJSXRlbSB0eXBlCTEAAAABNP3//1f///8CAAAAATP9//+6/v//AQAAAAAACTAAAAAJzAAAAAkIAAAACv////8JMAAAAAoJzAAAAAbTAgAABkl0ZW1JZAbUAgAAEUludmVudFRhYmxlTW9kdWxlCgkIAAAACdYCAAAJCAAAAAGAAQAAAwEAAAEo/f//Wf////////8ABtkCAAAEUmVhbAbaAgAAF1N0YW5kYXJkIG9yZGVyIHF1YW50aXR5CTQAAAABJP3//1f///8CAAAAASP9//+6/v//AQAAAAAACTMAAAAJ9gAAAAkIAAAACv////8JMwAAAAoJ9gAAAAbjAgAABkl0ZW1JZAbkAgAAEUludmVudFRhYmxlTW9kdWxlCgkIAAAACeYCAAAJCAAAAAGDAQAADAEAAAkzAAAABukCAAALSW52ZW50RGltSWQJCAAAAAbrAgAABEF4IzH/////CTMAAAAG7QIAABVJbnZlbnRJdGVtSW52ZW50U2V0dXAJ6QIAAAbvAgAABkl0ZW1JZAoKCQgAAAAJ8QIAAAkIAAAAAZcCAAAhAAAACAAAAAnzAgAABwAAAAn0AgAAAZgCAAAiAAAABAAAAAkhAQAABwAAAAn2AgAABJs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zAgAAAAAAAAGfAgAAKQAAAAAAAAAJ+AIAAAAAAAAHo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f//Zv7//wb6AgAACEhlbHBUZXh0BvsCAAApSXRlbSBudW1iZXIgdGhhdCB0aGUgcGFyYW1ldGVycyBhcHBseSB0by4BBP3//2b+//8G/QIAAAVMYWJlbAlDAQAAAQH9//9m/v//BgADAAAEVHlwZQlCAQAAB6M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z//2b+//8J+gIAAAYEAwAAH1VuaXQgd2hpY2ggdGhlIG1vZHVsZSBpcyBydW4gaW4B+/z//2b+//8J/QIAAAlRAQAAAfj8//9m/v//CQADAAAJUAEAAAel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8//9m/v//CfoCAAAGDQMAAEBQcmljZSBwZXIgdGhlIG51bWJlciBvZiB1bml0cyBzcGVjaWZpZWQgaW4gdGhlIFByaWNlIHVuaXQgZmllbGQuAfL8//9m/v//Cf0CAAAJXwEAAAHv/P//Zv7//wkAAwAACV4BAAAHp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P//Zv7//wYVAwAABFR5cGUGFgMAAARFbnVtAen8//9m/v//BhgDAAAFTGFiZWwGGQMAAAtNb2R1bGUgdHlwZQS2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AAAAJEwEAAAMAAAAJGwMAAATG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AAAAJEwEAAAMAAAAJHQMAAATW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AAAAJEwEAAAMAAAAJHwMAAATm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QAAAAJEgAAAAMAAAAJIQM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YAAAAJEgAAAAMAAAAJIwMAAAHzAgAAEgAAAAf0Ag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c/P////7//wYlAwAAHlRhYmxlLkludmVudFRhYmxlTW9kdWxlLkl0ZW1JZAkDAQAAAdn8/////v//BigDAAAeVGFibGUuSW52ZW50VGFibGVNb2R1bGUuVW5pdElkCQYBAAAB1vz////+//8GKwMAAB1UYWJsZS5JbnZlbnRUYWJsZU1vZHVsZS5QcmljZQkJAQAAAdP8/////v//Bi4DAAAhVGFibGUuSW52ZW50VGFibGVNb2R1bGUuUHJpY2VVbml0CS8DAAAB0Pz////+//8GMQMAACBUYWJsZS5JbnZlbnRUYWJsZU1vZHVsZS5MaW5lRGlzYwkyAwAAAc38/////v//BjQDAAAeVGFibGUuSW52ZW50VGFibGVNb2R1bGUuTWFya3VwCTUDAAAH9gI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cr8///2/v//BjcDAAAeVGFibGUuSW52ZW50VGFibGVNb2R1bGUuSXRlbUlkCTgDAAABx/z///b+//8GOgMAACBUYWJsZS5JbnZlbnRUYWJsZU1vZHVsZS5MaW5lRGlzYwk7AwAAAcT8///2/v//Bj0DAAAiVGFibGUuSW52ZW50VGFibGVNb2R1bGUuTW9kdWxlVHlwZQk+AwAAAcH8///2/v//BkADAAAeVGFibGUuSW52ZW50VGFibGVNb2R1bGUuVW5pdElkCUEDAAAB+AIAAHoAAAAHG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/P//Zv7//wZDAwAABUxhYmVsCaoCAAABu/z//2b+//8GRgMAAARUeXBlCakCAAAHH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/P//Zv7//wlDAwAACboCAAABtfz//2b+//8JRgMAAAm5AgAABx8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z//2b+//8JQwMAAAnKAgAAAa/8//9m/v//CUYDAAAJyQIAAAch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z8//9m/v//CRgDAAAJ2gIAAAGp/P//Zv7//wkVAwAACdkCAAAHI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P//Zv7//wkVAwAABlwDAAAGU3RyaW5nAaP8//9m/v//CRgDAAAGXwMAAA1EaW1lbnNpb24gTm8uAS8DAAADAQAAAaD8//9Z/////////wAGYQMAAARSZWFsBmIDAAAKUHJpY2UgdW5pdAlEAQAAAZz8//9X////AgAAAAGb/P//uv7//wEAAAAAAAlHAQAABmcDAAAJUHJpY2VVbml0CQgAAAAK/////wlHAQAACglnAwAACgoKCQgAAAAJbAMAAAkIAAAAATIDAAADAQAAAZL8//9Z/////////wAGbwMAAAZTdHJpbmcGcAMAAA1MaW5lIGRpc2NvdW50CUQBAAABjvz//1f///8CAAAAAY38//+6/v//AQAAAAAACUcBAAAGdQMAAAhMaW5lRGlzYwkIAAAACv////8JRwEAAAoJdQMAAAoKCgkIAAAACXoDAAAJCAAAAAE1AwAAAwEAAAGE/P//Wf////////8ABn0DAAAEUmVhbAZ+AwAAE1ByaWNlIG1pc2MuIGNoYXJnZXMJRAEAAAGA/P//V////wIAAAABf/z//7r+//8BAAAAAAAJRwEAAAaDAwAABk1hcmt1cAkIAAAACv////8JRwEAAAoJgwMAAAoKCgkIAAAACYgDAAAJCAAAAAE4AwAADAEAAAlHAQAABosDAAAGSXRlbUlkCQgAAAAJCAAAAP////8JRwEAAAoJiwMAAAoKCgkIAAAACZADAAAJCAAAAAE7AwAADAEAAAlHAQAABpMDAAAITGluZURpc2MJCAAAAAkIAAAA/////wlHAQAACgmTAwAACgoKCQgAAAAJmAMAAAkIAAAAAT4DAAAMAQAACUcBAAAJbAEAAAkIAAAACW4BAAD/////CUcBAAAGnwMAABFJbnZlbnRUYWJsZU1vZHVsZQlsAQAACgoKCQgAAAAJogMAAAkIAAAAAUEDAAAMAQAACUcBAAAGpQMAAAZVbml0SWQJCAAAAAkIAAAA/////wlHAQAACgmlAwAACgoKCQgAAAAJqgMAAAkIAAAABG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hAQAAAwAAAAmtAwAABHo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hAQAAAwAAAAmvAwAABIg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hAQAAAwAAAAmxAwAABJ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hAQAAAwAAAAmzAwAABJg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hAQAAAwAAAAm1AwAABKI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AAAAAkhAQAAAwAAAAm3AwAABKo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hAQAAAwAAAAm5AwAAB60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z//2b+//8J+gIAAAa8AwAAKk51bWJlciBvZiB1bml0cyB0aGUgcHJpY2UgaXMgc3BlY2lmaWVkIGluLgFD/P//Zv7//wn9AgAACWIDAAABQPz//2b+//8JAAMAAAlhAwAAB68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z//2b+//8J+gIAAAbFAwAALFNwZWNpZnkgaXRlbSdzIGxpbmUgZGlzY291bnQgZ3JvdXAgaW4gbW9kdWxlATr8//9m/v//Cf0CAAAJcAMAAAE3/P//Zv7//wkAAwAACW8DAAAHs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0/P//Zv7//wn6AgAABs4DAAA8Rml4ZWQgbWlzYy4gY2hhcmdlcyBvbiBwcmljZSwgYXBwbGllZCBvbmNlIGZvciBlYWNoIGludm9pY2UuATH8//9m/v//Cf0CAAAJfgMAAAEu/P//Zv7//wkAAwAACX0DAAAHs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/P//Zv7//wkAAwAABtcDAAAGU3RyaW5nASj8//9m/v//Cf0CAAAG2gMAAAtJdGVtIG51bWJlcge1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8//9m/v//CQADAAAG3QMAAAZTdHJpbmcBIvz//2b+//8J/QIAAAbgAwAADUxpbmUgZGlzY291bnQHt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/P//Zv7//wkAAwAABuMDAAAERW51bQEc/P//Zv7//wn9AgAABuYDAAALTW9kdWxlIHR5cGUHu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P//Zv7//wkAAwAABukDAAAGU3RyaW5nARb8//9m/v//Cf0CAAAG7AMAAARVbml0Cw==
    <Output>
      <OutputObject name="AtlasReport_2"/>
    </Output>
  </Query>
</Atlas>
</file>

<file path=customXml/item4.xml><?xml version="1.0" encoding="utf-8"?>
<Atlas>
  <Query type="ReportList" id="49de5430-e3a9-4692-9ca5-64c7b2ba1083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4AAAAO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DQk9NBh4AAAAJQk9NIGxpbmVzCQgAAAAJCAAAAAkIAAAABeD///8wR2xvYmVTb2Z0d2FyZS5BdGxhczQwLkF0bGFzQ29tbW9uLkRhdGFTb3VyY2VUeXBlAQAAAAd2YWx1ZV9fAAgCAAAAAAAAAAkhAAAACSIAAAAE3f///wtTeXN0ZW0uR3VpZAsAAAACX2ECX2ICX2MCX2QCX2UCX2YCX2cCX2gCX2kCX2oCX2sAAAAAAAAAAAAAAAgHBwICAgICAgIC7UAaSxHVq0SJyS9qUd5qvgkIAAAACQgAAAAJJQAAAAYmAAAACVRhYmxlLkJPT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BAAAAAELUdsb2JlU29mdHdhcmUuQXRsYXM0MC5BdGxhc0NvbW1vbi5UeXBlLkNvbHVtbgIAAAAJLwAAAAkwAAAACTEAAAAJMgAAAAkzAAAACTQAAAAJNQAAAAk2AAAACTcAAAAJOAAAAAk5AAAACToAAAAJOwAAAAk8AAAADQIRFQAAAAQAAAAGPQAAAA1BdGxhc1JlcG9ydF8x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C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/////Pkdsb2JlU29mdHdhcmUuQXRsYXM0MC5BdGxhc0NvbW1vbi5UeXBlLkF0bGFzUXVlcnlBdHRyaWJ1dGVOYW1lAQAAAAd2YWx1ZV9fAAgCAAAAAgAAAAZCAAAAJDQ5ZGU1NDMwLWUzYTktNDY5Mi05Y2E1LTY0YzdiMmJhMTA4MwG9////wP///wG8////v////wAAAAAGRQAAAAR0cnVlAbr////A////Abn///+/////CwAAAAZIAAAACUJPTSBsaW5lcwG3////wP///wG2////v////xsAAAAGSwAAAARUcnVlAbT////A////AbP///+/////BgAAAAZOAAAABUZhbHNlAbH////A////AbD///+/////HAAAAAlLAAAAAa7////A////Aa3///+/////HQAAAAlOAAAAAav////A////Aar///+/////KgAAAAlLAAAAAaj////A////Aaf///+/////AQAAAAZaAAAAAzM3MgGl////wP///wGk////v////ycAAAAGXQAAAAs9RGF0YUFyZWFJZAGi////wP///wGh////v////xkAAAAGYAAAAA9DZWxsc1ZlcnRpY2FsbHkBn////8D///8Bnv///7////8JAAAACgGd////wP///wGc////v////ygAAAAGZQAAAAIxNAGa////wP///wGZ////v////ysAAAAGaA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l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qAAAAA0JPT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4AAAAJawAAABEAAAAJb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r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v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XAAAAAJcQAAAAlyAAAABnMAAAAFQk9NSWQGdAAAAANCT00GdQAAAAZTdHJpbmcJCAAAAAZ3AAAAJGNiZTdiZjFlLTRhMzktNGJhYS05YjE3LWU0ZjIzYWNlMTY4MwWI////LUdsb2JlU29mdHdhcmUuQXRsYXM0MC5BdGxhc0NvbW1vbi5BZ2dyZWdhdGlvbgEAAAAHdmFsdWVfXwAIAgAAAP////8AAAAABYf///8sR2xvYmVTb2Z0d2FyZS5BdGxhczQwLkF0bGFzQ29tbW9uLkNvbHVtblR5cGUBAAAAB3ZhbHVlX18ACAIAAAAAAAAABYb///8rR2xvYmVTb2Z0d2FyZS5BdGxhczQwLkF0bGFzQ29tbW9uLlNvcnRPcmRlcgEAAAAHdmFsdWVfXwAIAgAAAAIAAAAAAAAAAAWF////QEdsb2JlU29mdHdhcmUuQXRsYXM0MC5BdGxhc0NvbW1vbi5UeXBlLkNvbHVtbitDcm9zc1RhYkNvbHVtblR5cGUBAAAAB3ZhbHVlX18ACAIAAAAAAAAACgEAAAAAAAAAAAAAAAAABnwAAAAkM2I1ODFlNjItMTViYy00NGZmLTgzMmQtMjQ4N2JkYmRiZWZmBn0AAAAPVGFibGUuQk9NLkJPTUlkCgoKCgEwAAAALwAAAAl+AAAACX8AAAAJgAAAAAaBAAAABkl0ZW1JZAaCAAAAC0l0ZW0gbnVtYmVyBoMAAAAGU3RyaW5nCQgAAAAGhQAAACQ1YmFjM2Q3ZC0zY2JiLTQwMDYtODBkOC0wNWM1ZjI3N2NkMTYBev///4j/////////AQAAAAF5////h////wAAAAABeP///4b///8CAAAAAAAAAAABd////4X///8AAAAACgEAAAAAAAAAAAEAAAAABooAAAAkYjVhMmE0MDEtZDNmNi00MzY1LWFmNDQtNzJlMjU0OTRiMjZkBosAAAAQVGFibGUuQk9NLkl0ZW1JZAoKCgoBMQAAAC8AAAAJjAAAAAmNAAAACY4AAAAGjwAAAAZCT01RdHkGkAAAAAhRdWFudGl0eQaRAAAABFJlYWwJCAAAAAaTAAAAJDBhNjljNmIyLTNhNDUtNDUxZi1hNjM0LTQ2ODZkMzJlYjAwNwFs////iP///wEAAAACAAAAAWv///+H////AAAAAAFq////hv///wIAAAAAAAAAAAFp////hf///wAAAAAKAQAAAAAAAAAAAgAAAAAGmAAAACQyYjZlZDNlNi0wMzEyLTQ0MDEtYThkNi00ZTRlNDA3YWFiMTIGmQAAABBUYWJsZS5CT00uQk9NUXR5CgoKCgEyAAAALwAAAAmaAAAACZsAAAAJnAAAAAadAAAAC0JPTVF0eVNlcmllBp4AAAAKUGVyIHNlcmllcwafAAAABFJlYWwJCAAAAAahAAAAJGQ0MmUyZDRlLTBlN2MtNGRhMy1hNTBjLTU1ZmY3ZDZmMzMwNgFe////iP///wEAAAADAAAAAV3///+H////AAAAAAFc////hv///wIAAAAAAAAAAAFb////hf///wAAAAAKAQAAAAAAAAAAAwAAAAAGpgAAACRlMzM4MDliMi03NWIyLTQxM2QtOTA3NS1mZmU2ZDNmZTA0NGQGpwAAABVUYWJsZS5CT00uQk9NUXR5U2VyaWUKCgoKATMAAAAvAAAACagAAAAJqQAAAAmqAAAABqsAAAAGVW5pdElkBqwAAAAEVW5pdAatAAAABlN0cmluZwkIAAAABq8AAAAkZGVhMmQ5YzYtM2Y1Zi00ZWM3LTk5MGQtNWY5MDIwZjQ4YzQ3AVD///+I/////////wQAAAABT////4f///8AAAAAAU7///+G////AgAAAAAAAAAAAU3///+F////AAAAAAoBAAAAAAAAAAAEAAAAAAa0AAAAJDg0NDY0YjI2LWE0OTItNGY5NC1iOTExLTlhZjBmZTU2ZTYwNwa1AAAAEFRhYmxlLkJPTS5Vbml0SWQKCgoKATQAAAAvAAAACbYAAAAJtwAAAAm4AAAABrkAAAAIU2NyYXBWYXIGugAAAA5WYXJpYWJsZSBzY3JhcAa7AAAABFJlYWwJCAAAAAa9AAAAJDRmNTFkMDRmLTc4MjYtNGNiZC1hMGM4LTNmNTllZWNkMzZkYwFC////iP///wEAAAAFAAAAAUH///+H////AAAAAAFA////hv///wIAAAAAAAAAAAE/////hf///wAAAAAKAQAAAAAAAAAABQAAAAAGwgAAACQzMzBkYTBmYi01MjA5LTQ1ODQtYjJhMC00YmMwYzJmYmUxYTMGwwAAABJUYWJsZS5CT00uU2NyYXBWYXIKCgoKATUAAAAvAAAACcQAAAAJxQAAAAnGAAAABscAAAAKU2NyYXBDb25zdAbIAAAADkNvbnN0YW50IHNjcmFwBskAAAAEUmVhbAkIAAAABssAAAAkYmIyYTM0OWQtYTA4NC00ZmE5LWEyMTItM2YzMTcwZmUyMzcyATT///+I////AQAAAAYAAAABM////4f///8AAAAAATL///+G////AgAAAAAAAAAAATH///+F////AAAAAAoBAAAAAAAAAAAGAAAAAAbQAAAAJDg3YmI5MjQ4LTcxNzQtNDkwMS05OTlmLTQxMzVhMmFjZjFmMwbRAAAAFFRhYmxlLkJPTS5TY3JhcENvbnN0CgoKCgE2AAAALwAAAAnSAAAACdMAAAAJ1AAAAAbVAAAAB0JPTVR5cGUG1gAAAAlMaW5lIHR5cGUG1wAAAARFbnVtCQgAAAAG2QAAACQxZWU3NmEwOC1hMGRlLTRmNWMtOWFiNC0zY2YyZmM3NWIzNjYBJv///4j/////////BwAAAAEl////h////wAAAAABJP///4b///8CAAAAAAAAAAABI////4X///8AAAAACgEAAAAAAAAAAAcAAAAABt4AAAAkNzE5ZmMwYWItOThjMC00YmM1LWEyNmUtYWM5ZTc2OTZjMTlkBt8AAAARVGFibGUuQk9NLkJPTVR5cGUKCgoKATcAAAAvAAAACeAAAAAJ4QAAAAniAAAABuMAAAAKQk9NQ29uc3VtcAbkAAAADkNvbnN1bXB0aW9uIGlzBuUAAAAERW51bQkIAAAABucAAAAkOThlNzk3MjctM2E0Yi00N2ZkLTgyNjQtYjRiYTY2YzQ0YmI1ARj///+I/////////wgAAAABF////4f///8AAAAAARb///+G////AgAAAAAAAAAAARX///+F////AAAAAAoBAAAAAAAAAAAIAAAAAAbsAAAAJGUzZTFlNTNkLTI2ZDEtNDhkYy1hODVlLTE2YmEwMmQxNDQ4ZQbtAAAAFFRhYmxlLkJPTS5CT01Db25zdW1wCgoKCgE4AAAALwAAAAnuAAAACe8AAAAJ8AAAAAbxAAAAC0NhbGN1bGF0aW9uBvIAAAALQ2FsY3VsYXRpb24G8wAAAARFbnVtCQgAAAAG9QAAACQxNzJlNGFhMS1iZGE4LTQ4MjctOGI2My01ZmJiOTUxMTE3ZDgBCv///4j/////////CQAAAAEJ////h////wAAAAABCP///4b///8CAAAAAAAAAAABB////4X///8AAAAACgEAAAAAAAAAAAkAAAAABvoAAAAkYWRiN2QwNWMtZGJjNC00ZGE3LWIwOGItMDI2YWI0MzMzY2M5BvsAAAAVVGFibGUuQk9NLkNhbGN1bGF0aW9uCgoKCgE5AAAALwAAAAn8AAAACf0AAAAJ/gAAAAb/AAAABlZlbmRJZAYAAQAADlZlbmRvciBhY2NvdW50BgEBAAAGU3RyaW5nCQgAAAAGAwEAACQ0MDU5MjVkMy1lODQ3LTRhMjMtYmZhZi05ZDQ0OTU4NWE4ZDkB/P7//4j/////////CgAAAAH7/v//h////wAAAAAB+v7//4b///8CAAAAAAAAAAAB+f7//4X///8AAAAACgEAAAAAAAAAAAoAAAAABggBAAAkMjRlM2Q1MGUtZjkyZC00MjUzLWJmZDktNDk4YzEzOGY0YjMxBgkBAAAQVGFibGUuQk9NLlZlbmRJZAoKCgoBOgAAAC8AAAAJCgEAAAkLAQAACQwBAAAGDQEAABNQcm9kRmx1c2hpbmdQcmluY2lwBg4BAAASRmx1c2hpbmcgcHJpbmNpcGxlBg8BAAAERW51bQkIAAAABhEBAAAkOTc1ZDFjMzItMmU3Zi00NDQxLWJiOTEtZDc5ZTgxZmU5ZDk3Ae7+//+I/////////wsAAAAB7f7//4f///8AAAAAAez+//+G////AgAAAAAAAAAAAev+//+F////AAAAAAoBAAAAAAAAAAALAAAAAAYWAQAAJDc5MjMyNTE3LWM0NWEtNDIwZi04YmQyLWYxYmE5YzQxODk4OAYXAQAAHVRhYmxlLkJPTS5Qcm9kRmx1c2hpbmdQcmluY2lwCgoKCgE7AAAALwAAAAkYAQAACRkBAAAJGgEAAAYbAQAAClJvdW5kVXBRdHkGHAEAAAlNdWx0aXBsZXMGHQEAAARSZWFsCQgAAAAGHwEAACQzY2M0ZDQxNi1mZDczLTRiZTQtYjdiOS1jMGU1MTA3YjkxOTcB4P7//4j///8BAAAADAAAAAHf/v//h////wAAAAAB3v7//4b///8CAAAAAAAAAAAB3f7//4X///8AAAAACgEAAAAAAAAAAAwAAAAABiQBAAAkZjMwNGZjZTYtOWFhMS00YWQyLWE4MTctOGQxZjMwN2ViNTk1BiUBAAAUVGFibGUuQk9NLlJvdW5kVXBRdHkKCgoKATwAAAAvAAAACSYBAAAJJwEAAAkoAQAABikBAAAHUm91bmRVcAYqAQAAC1JvdW5kaW5nLXVwBisBAAAERW51bQkIAAAABi0BAAAkZDcxOWRjY2MtYzIxYy00MzQwLTg3NTYtY2IyZTdkNDJmODUzAdL+//+I/////////w0AAAAB0f7//4f///8AAAAAAdD+//+G////AgAAAAAAAAAAAc/+//+F////AAAAAAoBAAAAAAAAAAANAAAAAAYyAQAAJDYwZjM4NTUyLTI2YmYtNDIwNC04MTQzLTEyODVmYjJlODg1NwYzAQAAEVRhYmxlLkJPTS5Sb3VuZFVwCgoKCgFrAAAAEgAAAAdsAAAAAAEAAAAO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M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1AQAAD1RhYmxlLkJPTS5CT01JZAk2AQAAAcn+///M/v//BjgBAAAQVGFibGUuQk9NLkl0ZW1JZAk5AQAAAcb+///M/v//BjsBAAAQVGFibGUuQk9NLkJPTVF0eQk8AQAAAcP+///M/v//Bj4BAAAVVGFibGUuQk9NLkJPTVF0eVNlcmllCT8BAAABwP7//8z+//8GQQEAABBUYWJsZS5CT00uVW5pdElkCUIBAAABvf7//8z+//8GRAEAABJUYWJsZS5CT00uU2NyYXBWYXIJRQEAAAG6/v//zP7//wZHAQAAFFRhYmxlLkJPTS5TY3JhcENvbnN0CUgBAAABt/7//8z+//8GSgEAABFUYWJsZS5CT00uQk9NVHlwZQlLAQAAAbT+///M/v//Bk0BAAAUVGFibGUuQk9NLkJPTUNvbnN1bXAJTgEAAAGx/v//zP7//wZQAQAAFVRhYmxlLkJPTS5DYWxjdWxhdGlvbglRAQAAAa7+///M/v//BlMBAAAQVGFibGUuQk9NLlZlbmRJZAlUAQAAAav+///M/v//BlYBAAAdVGFibGUuQk9NLlByb2RGbHVzaGluZ1ByaW5jaXAJVwEAAAGo/v//zP7//wZZAQAAFFRhYmxlLkJPTS5Sb3VuZFVwUXR5CVoBAAABpf7//8z+//8GXAEAABFUYWJsZS5CT00uUm91bmRVcAldAQAABG8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w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leAQAAAQAAAAEAAAAEc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EAAAACV8BAAAHAAAACWABAAAEc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WEBAAAHAAAACWIBAAABfgAAAHAAAAAJYwEAAAEAAAABAAAAAX8AAABxAAAAQwAAAAlfAQAABwAAAAllAQAABI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lhAQAABwAAAAlnAQAAAYwAAABwAAAACWgBAAABAAAAAQAAAAGNAAAAcQAAAEMAAAAJXwEAAAcAAAAJagEAAAS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YQEAAAcAAAAJbAEAAAGaAAAAcAAAAAltAQAAAQAAAAEAAAABmwAAAHEAAABDAAAACV8BAAAHAAAACW8BAAAEn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WEBAAAHAAAACXEBAAABqAAAAHAAAAAJcgEAAAEAAAABAAAAAakAAABxAAAAQwAAAAlfAQAABwAAAAl0AQAABK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lhAQAABwAAAAl2AQAAAbYAAABwAAAACXcBAAABAAAAAQAAAAG3AAAAcQAAADsAAAAJXwEAAAcAAAAJeQEAAAS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YQEAAAcAAAAJewEAAAHEAAAAcAAAAAl8AQAAAQAAAAEAAAABxQAAAHEAAAAKAAAACX0BAAAHAAAACX4BAAAEx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RIAAAAHAAAACYABAAAB0gAAAHAAAAAJgQEAAAEAAAABAAAAAdMAAABxAAAAOwAAAAlfAQAABwAAAAmDAQAABN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lhAQAABwAAAAmFAQAAAeAAAABwAAAACYYBAAABAAAAAQAAAAHhAAAAcQAAABEAAAAJhwEAAAcAAAAJiAEAAATi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iQEAAAcAAAAJigEAAAHuAAAAcAAAAAmLAQAAAQAAAAEAAAAB7wAAAHEAAAARAAAACYcBAAAHAAAACY0BAAAE8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YkBAAAHAAAACY8BAAAB/AAAAHAAAAAJkAEAAAEAAAABAAAAAf0AAABxAAAAOwAAAAlfAQAABwAAAAmSAQAABP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lhAQAABwAAAAmUAQAAAQoBAABwAAAACZUBAAABAAAAAQAAAAELAQAAcQAAADsAAAAJXwEAAAcAAAAJlwEAAAQ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YQEAAAcAAAAJmQEAAAEYAQAAcAAAAAmaAQAAAQAAAAEAAAABGQEAAHEAAAAKAAAACX0BAAAHAAAACZwBAAAEG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RIAAAAHAAAACZ4BAAABJgEAAHAAAAAJnwEAAAEAAAABAAAAAScBAABxAAAACgAAAAl9AQAABwAAAAmhAQAABC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SAAAABwAAAAmjAQAABTY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Vz+//+I/////////wAGpQEAAAZTdHJpbmcGpgEAAANCT00JpwEAAAFY/v//hv///wIAAAAFV/7//zlHbG9iZVNvZnR3YXJlLkF0bGFzNDAuQXRsYXNDb21tb24uTnVtYmVyU2VxdWVuY2VDb25kaXRpb24BAAAAB3ZhbHVlX18ACAIAAAABAAAAAAAGqgEAAAlUYWJsZS5CT00JcwAAAAkIAAAACv////8JqgEAAAoJcwAAAAoKCgkIAAAACbABAAAJCAAAAAE5AQAANgEAAAFO/v//iP////////8ABrMBAAAGU3RyaW5nBrQBAAALSXRlbSBudW1iZXIJpwEAAAFK/v//hv///wIAAAABSf7//1f+//8BAAAAAAAJqgEAAAmBAAAACQgAAAAK/////wmqAQAACgmBAAAACgoKCQgAAAAJvgEAAAkIAAAAATwBAAA2AQAAAUD+//+I/////////wAGwQEAAARSZWFsBsIBAAAIUXVhbnRpdHkJpwEAAAE8/v//hv///wIAAAABO/7//1f+//8BAAAAAAAJqgEAAAmPAAAACQgAAAAK/////wmqAQAACgmPAAAACgoKCQgAAAAJzAEAAAkIAAAAAT8BAAA2AQAAATL+//+I/////////wAGzwEAAARSZWFsBtABAAAKUGVyIHNlcmllcwmnAQAAAS7+//+G////AgAAAAEt/v//V/7//wEAAAAAAAmqAQAACZ0AAAAJCAAAAAr/////CaoBAAAKCZ0AAAAKCgoJCAAAAAnaAQAACQgAAAABQgEAADYBAAABJP7//4j/////////AAbdAQAABlN0cmluZwbeAQAABFVuaXQJpwEAAAEg/v//hv///wIAAAABH/7//1f+//8BAAAAAAAJqgEAAAmrAAAACQgAAAAK/////wmqAQAACgmrAAAACgoKCQgAAAAJ6AEAAAkIAAAAAUUBAAA2AQAAARb+//+I/////////wAG6wEAAARSZWFsBuwBAAAOVmFyaWFibGUgc2NyYXAJ7QEAAAES/v//hv///wIAAAABEf7//1f+//8BAAAAAAAG8AEAAAlUYWJsZS5CT00JuQAAAAkIAAAACv////8J8AEAAAoJuQAAAAoKCgkIAAAACfYBAAAJCAAAAAFIAQAANgEAAAEI/v//iP////////8ABvkBAAAEUmVhbAb6AQAADkNvbnN0YW50IHNjcmFwCfsBAAABBP7//4b///8CAAAAAQP+//9X/v//AQAAAAAABv4BAAAJVGFibGUuQk9NCccAAAAJCAAAAAr/////Cf4BAAAKCccAAAAKCgoJCAAAAAkEAgAACQgAAAABSwEAADYBAAAB+v3//4j/////////AAYHAgAABEVudW0GCAIAAAlMaW5lIHR5cGUJ7QEAAAH2/f//hv///wIAAAAB9f3//1f+//8BAAAAAAAJ8AEAAAnVAAAACQgAAAAK/////wnwAQAACgnVAAAACgoKCQgAAAAJEgIAAAkIAAAAAU4BAAA2AQAAAez9//+I/////////wAGFQIAAARFbnVtBhYCAAAOQ29uc3VtcHRpb24gaXMJFwIAAAHo/f//hv///wIAAAAB5/3//1f+//8BAAAAAAAGGgIAAAlUYWJsZS5CT00J4wAAAAkIAAAACv////8JGgIAAAoJ4wAAAAoKCgkIAAAACSACAAAJCAAAAAFRAQAANgEAAAHe/f//iP////////8ABiMCAAAERW51bQYkAgAAC0NhbGN1bGF0aW9uCRcCAAAB2v3//4b///8CAAAAAdn9//9X/v//AQAAAAAACRoCAAAJ8QAAAAkIAAAACv////8JGgIAAAoJ8QAAAAoKCgkIAAAACS4CAAAJCAAAAAFUAQAANgEAAAHQ/f//iP////////8ABjECAAAGU3RyaW5nBjICAAAOVmVuZG9yIGFjY291bnQJ7QEAAAHM/f//hv///wIAAAABy/3//1f+//8BAAAAAAAJ8AEAAAn/AAAACQgAAAAK/////wnwAQAACgn/AAAACgoKCQgAAAAJPAIAAAkIAAAAAVcBAAA2AQAAAcL9//+I/////////wAGPwIAAARFbnVtBkACAAASRmx1c2hpbmcgcHJpbmNpcGxlCe0BAAABvv3//4b///8CAAAAAb39//9X/v//AQAAAAAACfABAAAJDQEAAAkIAAAACv////8J8AEAAAoJDQEAAAoKCgkIAAAACUoCAAAJCAAAAAFaAQAANgEAAAG0/f//iP////////8ABk0CAAAEUmVhbAZOAgAACU11bHRpcGxlcwn7AQAAAbD9//+G////AgAAAAGv/f//V/7//wEAAAAAAAn+AQAACRsBAAAJCAAAAAr/////Cf4BAAAKCRsBAAAKCgoJCAAAAAlYAgAACQgAAAABXQEAADYBAAABpv3//4j/////////AAZbAgAABEVudW0GXAIAAAtSb3VuZGluZy11cAn7AQAAAaL9//+G////AgAAAAGh/f//V/7//wEAAAAAAAn+AQAACSkBAAAJCAAAAAr/////Cf4BAAAKCSkBAAAKCgoJCAAAAAlmAgAACQgAAAAHXgEAAAABAAAABAAAAAQ3R2xvYmVTb2Z0d2FyZS5BdGxhczQwLkF0bGFzQ29tbW9uLlR5cGUuRmllbGRPdXRwdXRGaWVsZAIAAAAJNgEAAA0DBF8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2A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X/f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Zb9//8yR2xvYmVTb2Z0d2FyZS5BdGxhczQwLkF0bGFzQ29tbW9uLkNvbHVtbkF0dHJpYnV0ZXMBAAAAB3ZhbHVlX18ACAIAAAAGAAAABmsCAAAFVG90YWwBlP3//5f9//8Bk/3//5b9//8QAAAABm4CAAAETm9uZQGR/f//l/3//wGQ/f//lv3//wkAAAAJCAAAAAGO/f//l/3//wGN/f//lv3//wsAAAAGdAIAAAEwAYv9//+X/f//AYr9//+W/f//BAAAAAZ3AgAAB0dlbmVyYWwBiP3//5f9//8Bh/3//5b9//8CAAAABnoCAAABMQGF/f//l/3//wGE/f//lv3//wAAAAAGfQIAAAUxNi44NgFhAQAAEgAAAAdi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IL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fwIAAAhGb250Qm9sZAaAAgAABUZhbHNlAX/9//+C/f//BoICAAAKRm9udEl0YWxpYwmAAgAAAXz9//+C/f//BoUCAAANRm9udFVuZGVybGluZQaGAgAABS00MTQyAXn9//+C/f//BogCAAAIRm9udE5hbWUGiQIAAAdDYWxpYnJpAXb9//+C/f//BosCAAAJRm9udENvbG9yBowCAAABMAFz/f//gv3//waOAgAACEZvbnRTaXplBo8CAAACMTEBcP3//4L9//8GkQIAAAlGb250U3R5bGUGkgIAAAdSZWd1bGFyB2MBAAAAAQAAAAQAAAAEN0dsb2JlU29mdHdhcmUuQXRsYXM0MC5BdGxhc0NvbW1vbi5UeXBlLkZpZWxkT3V0cHV0RmllbGQCAAAACTkBAAANAwd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3//5f9//8Ba/3//5b9//8QAAAACW4CAAABaf3//5f9//8BaP3//5b9//8JAAAACQgAAAABZv3//5f9//8BZf3//5b9//8LAAAABpwCAAABMQFj/f//l/3//wFi/f//lv3//wQAAAAGnwIAAAdHZW5lcmFsAWD9//+X/f//AV/9//+W/f//AgAAAAaiAgAAATEBXf3//5f9//8BXP3//5b9//8AAAAABqUCAAACMTkHZ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f//gv3//wl/AgAACYACAAABV/3//4L9//8JggIAAAmAAgAAAVT9//+C/f//CYUCAAAGrgIAAAUtNDE0MgFR/f//gv3//wmIAgAABrECAAAHQ2FsaWJyaQFO/f//gv3//wmLAgAABrQCAAABMAFL/f//gv3//wmOAgAABrcCAAACMTEBSP3//4L9//8JkQIAAAa6AgAAB1JlZ3VsYXIHaAEAAAABAAAABAAAAAQ3R2xvYmVTb2Z0d2FyZS5BdGxhczQwLkF0bGFzQ29tbW9uLlR5cGUuRmllbGRPdXRwdXRGaWVsZAIAAAAJPAEAAA0DB2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f//l/3//wFD/f//lv3//xAAAAAJbgIAAAFB/f//l/3//wFA/f//lv3//wkAAAAJCAAAAAE+/f//l/3//wE9/f//lv3//wsAAAAGxAIAAAEyATv9//+X/f//ATr9//+W/f//BAAAAAbHAgAAB0dlbmVyYWwBOP3//5f9//8BN/3//5b9//8CAAAABsoCAAABMQE1/f//l/3//wE0/f//lv3//wAAAAAGzQIAAAUxMS4yOQ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9//+C/f//CX8CAAAJgAIAAAEv/f//gv3//wmCAgAACYACAAABLP3//4L9//8JhQIAAAbWAgAABS00MTQyASn9//+C/f//CYgCAAAG2QIAAAdDYWxpYnJpASb9//+C/f//CYsCAAAG3AIAAAEwASP9//+C/f//CY4CAAAG3wIAAAIxMQEg/f//gv3//wmRAgAABuICAAAHUmVndWxhcgdtAQAAAAEAAAAEAAAABDdHbG9iZVNvZnR3YXJlLkF0bGFzNDAuQXRsYXNDb21tb24uVHlwZS5GaWVsZE91dHB1dEZpZWxkAgAAAAk/AQAADQMHb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z9//+X/f//ARv9//+W/f//EAAAAAluAgAAARn9//+X/f//ARj9//+W/f//CQAAAAkIAAAAARb9//+X/f//ARX9//+W/f//CwAAAAbsAgAAATMBE/3//5f9//8BEv3//5b9//8EAAAABu8CAAAHR2VuZXJhbAEQ/f//l/3//wEP/f//lv3//wIAAAAG8gIAAAExAQ39//+X/f//AQz9//+W/f//AAAAAAb1AgAABTExLjI5B3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3//4L9//8JfwIAAAmAAgAAAQf9//+C/f//CYICAAAJgAIAAAEE/f//gv3//wmFAgAABv4CAAAFLTQxNDIBAf3//4L9//8JiAIAAAYBAwAAB0NhbGlicmkB/vz//4L9//8JiwIAAAYEAwAAATAB+/z//4L9//8JjgIAAAYHAwAAAjExAfj8//+C/f//CZECAAAGCgMAAAdSZWd1bGFyB3IBAAAAAQAAAAQAAAAEN0dsb2JlU29mdHdhcmUuQXRsYXM0MC5BdGxhc0NvbW1vbi5UeXBlLkZpZWxkT3V0cHV0RmllbGQCAAAACUIBAAANAwd0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Pz//5f9//8B8/z//5b9//8QAAAACW4CAAAB8fz//5f9//8B8Pz//5b9//8JAAAACQgAAAAB7vz//5f9//8B7fz//5b9//8LAAAABhQDAAABNAHr/P//l/3//wHq/P//lv3//wQAAAAGFwMAAAdHZW5lcmFsAej8//+X/f//Aef8//+W/f//AgAAAAYaAwAAATEB5fz//5f9//8B5Pz//5b9//8AAAAABh0DAAAENi40Mwd2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L8//+C/f//CX8CAAAJgAIAAAHf/P//gv3//wmCAgAACYACAAAB3Pz//4L9//8JhQIAAAYmAwAABS00MTQyAdn8//+C/f//CYgCAAAGKQMAAAdDYWxpYnJpAdb8//+C/f//CYsCAAAGLAMAAAEwAdP8//+C/f//CY4CAAAGLwMAAAIxMQHQ/P//gv3//wmRAgAABjIDAAAHUmVndWxhcgd3AQAAAAEAAAAEAAAABDdHbG9iZVNvZnR3YXJlLkF0bGFzNDAuQXRsYXNDb21tb24uVHlwZS5GaWVsZE91dHB1dEZpZWxkAgAAAAlFAQAADQMHe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z8//+X/f//Acv8//+W/f//CQAAAAkIAAAAAcn8//+X/f//Acj8//+W/f//CwAAAAY5AwAAATUBxvz//5f9//8Bxfz//5b9//8EAAAABjwDAAAHR2VuZXJhbAHD/P//l/3//wHC/P//lv3//wIAAAAGPwMAAAExAcD8//+X/f//Ab/8//+W/f//AAAAAAZCAwAABTE1LjE0B3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z//4L9//8JfwIAAAmAAgAAAbr8//+C/f//CYICAAAJgAIAAAG3/P//gv3//wmFAgAABksDAAAFLTQxNDIBtPz//4L9//8JiAIAAAZOAwAAB0NhbGlicmkBsfz//4L9//8JiwIAAAZRAwAAATABrvz//4L9//8JjgIAAAZUAwAAAjExAav8//+C/f//CZECAAAGVwMAAAdSZWd1bGFyB3wBAAAAAQAAAAQAAAAEN0dsb2JlU29mdHdhcmUuQXRsYXM0MC5BdGxhc0NvbW1vbi5UeXBlLkZpZWxkT3V0cHV0RmllbGQCAAAACUgBAAANAwF9AQAAXwEAAAd+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z//5f9//8Bpvz//5b9//8JAAAACQgAAAABpPz//5f9//8Bo/z//5b9//8LAAAABl4DAAABNgGh/P//l/3//wGg/P//lv3//wQAAAAGYQMAAAdHZW5lcmFsAZ78//+X/f//AZ38//+W/f//AgAAAAZkAwAAATEBm/z//5f9//8Bmvz//5b9//8AAAAABmcDAAAFMTUuNTcHg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gv3//wZpAwAACEZvbnRCb2xkCYACAAABlfz//4L9//8GbAMAAApGb250SXRhbGljCYACAAABkvz//4L9//8GbwMAAA1Gb250VW5kZXJsaW5lBnADAAAFLTQxNDIBj/z//4L9//8GcgMAAAhGb250TmFtZQZzAwAAB0NhbGlicmkBjPz//4L9//8GdQMAAAlGb250Q29sb3IGdgMAAAEwAYn8//+C/f//BngDAAAIRm9udFNpemUGeQMAAAIxMQGG/P//gv3//wZ7AwAACUZvbnRTdHlsZQZ8AwAAB1JlZ3VsYXIHgQEAAAABAAAABAAAAAQ3R2xvYmVTb2Z0d2FyZS5BdGxhczQwLkF0bGFzQ29tbW9uLlR5cGUuRmllbGRPdXRwdXRGaWVsZAIAAAAJSwEAAA0DB4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C/P//l/3//wGB/P//lv3//wkAAAAJCAAAAAF//P//l/3//wF+/P//lv3//wsAAAAGgwMAAAE3AXz8//+X/f//AXv8//+W/f//BAAAAAaGAwAAB0dlbmVyYWwBefz//5f9//8BePz//5b9//8CAAAABokDAAABMQF2/P//l/3//wF1/P//lv3//wAAAAAGjAMAAAUxMC43MQe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P8//+C/f//CX8CAAAJgAIAAAFw/P//gv3//wmCAgAACYACAAABbfz//4L9//8JhQIAAAaVAwAABS00MTQyAWr8//+C/f//CYgCAAAGmAMAAAdDYWxpYnJpAWf8//+C/f//CYsCAAAGmwMAAAEwAWT8//+C/f//CY4CAAAGngMAAAIxMQFh/P//gv3//wmRAgAABqEDAAAHUmVndWxhcgeGAQAAAAEAAAAEAAAABDdHbG9iZVNvZnR3YXJlLkF0bGFzNDAuQXRsYXNDb21tb24uVHlwZS5GaWVsZE91dHB1dEZpZWxkAgAAAAlOAQAADQMBhwEAAF8BAAAHi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38//+X/f//AVz8//+W/f//CQAAAAkIAAAAAVr8//+X/f//AVn8//+W/f//CwAAAAaoAwAAATgBV/z//5f9//8BVvz//5b9//8EAAAABqsDAAAHR2VuZXJhbAFU/P//l/3//wFT/P//lv3//wIAAAAGrgMAAAExAVH8//+X/f//AVD8//+W/f//AAAAAAaxAwAABTE2LjQzAYkBAAASAAAAB4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z//4L9//8GswMAAAhGb250Qm9sZAmAAgAAAUv8//+C/f//BrYDAAAKRm9udEl0YWxpYwmAAgAAAUj8//+C/f//BrkDAAANRm9udFVuZGVybGluZQa6AwAABS00MTQyAUX8//+C/f//BrwDAAAIRm9udE5hbWUGvQMAAAdDYWxpYnJpAUL8//+C/f//Br8DAAAJRm9udENvbG9yBsADAAABMAE//P//gv3//wbCAwAACEZvbnRTaXplBsMDAAACMTEBPPz//4L9//8GxQMAAAlGb250U3R5bGUGxgMAAAdSZWd1bGFyB4sBAAAAAQAAAAQAAAAEN0dsb2JlU29mdHdhcmUuQXRsYXM0MC5BdGxhc0NvbW1vbi5UeXBlLkZpZWxkT3V0cHV0RmllbGQCAAAACVEBAAANAweN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Pz//5f9//8BN/z//5b9//8JAAAACQgAAAABNfz//5f9//8BNPz//5b9//8LAAAABs0DAAABOQEy/P//l/3//wEx/P//lv3//wQAAAAG0AMAAAdHZW5lcmFsAS/8//+X/f//AS78//+W/f//AgAAAAbTAwAAATEBLPz//5f9//8BK/z//5b9//8AAAAABtYDAAAFMTIuNDMHj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/P//gv3//wmzAwAACYACAAABJvz//4L9//8JtgMAAAmAAgAAASP8//+C/f//CbkDAAAG3wMAAAUtNDE0MgEg/P//gv3//wm8AwAABuIDAAAHQ2FsaWJyaQEd/P//gv3//wm/AwAABuUDAAABMAEa/P//gv3//wnCAwAABugDAAACMTEBF/z//4L9//8JxQMAAAbrAwAAB1JlZ3VsYXIHkAEAAAABAAAABAAAAAQ3R2xvYmVTb2Z0d2FyZS5BdGxhczQwLkF0bGFzQ29tbW9uLlR5cGUuRmllbGRPdXRwdXRGaWVsZAIAAAAJVAEAAA0DB5I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P//l/3//wES/P//lv3//wkAAAAJCAAAAAEQ/P//l/3//wEP/P//lv3//wsAAAAG8gMAAAIxMAEN/P//l/3//wEM/P//lv3//wQAAAAG9QMAAAdHZW5lcmFsAQr8//+X/f//AQn8//+W/f//AgAAAAb4AwAAATEBB/z//5f9//8BBvz//5b9//8AAAAABvsDAAAFMTYuNTcHl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E/P//gv3//wl/AgAACYACAAABAfz//4L9//8JggIAAAmAAgAAAf77//+C/f//CYUCAAAGBAQAAAUtNDE0MgH7+///gv3//wmIAgAABgcEAAAHQ2FsaWJyaQH4+///gv3//wmLAgAABgoEAAABMAH1+///gv3//wmOAgAABg0EAAACMTEB8vv//4L9//8JkQIAAAYQBAAAB1JlZ3VsYXIHlQEAAAABAAAABAAAAAQ3R2xvYmVTb2Z0d2FyZS5BdGxhczQwLkF0bGFzQ29tbW9uLlR5cGUuRmllbGRPdXRwdXRGaWVsZAIAAAAJVwEAAA0DB5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+///l/3//wHt+///lv3//wkAAAAJCAAAAAHr+///l/3//wHq+///lv3//wsAAAAGFwQAAAIxMQHo+///l/3//wHn+///lv3//wQAAAAGGgQAAAdHZW5lcmFsAeX7//+X/f//AeT7//+W/f//AgAAAAYdBAAAATEB4vv//5f9//8B4fv//5b9//8AAAAABiAEAAAFMTguNDMHm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+///gv3//wl/AgAACYACAAAB3Pv//4L9//8JggIAAAmAAgAAAdn7//+C/f//CYUCAAAGKQQAAAUtNDE0MgHW+///gv3//wmIAgAABiwEAAAHQ2FsaWJyaQHT+///gv3//wmLAgAABi8EAAABMAHQ+///gv3//wmOAgAABjIEAAACMTEBzfv//4L9//8JkQIAAAY1BAAAB1JlZ3VsYXIHmgEAAAABAAAABAAAAAQ3R2xvYmVTb2Z0d2FyZS5BdGxhczQwLkF0bGFzQ29tbW9uLlR5cGUuRmllbGRPdXRwdXRGaWVsZAIAAAAJWgEAAA0DB5w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+///l/3//wHI+///lv3//wkAAAAJCAAAAAHG+///l/3//wHF+///lv3//wsAAAAGPAQAAAIxMgHD+///l/3//wHC+///lv3//wQAAAAGPwQAAAdHZW5lcmFsAcD7//+X/f//Ab/7//+W/f//AgAAAAZCBAAAATEBvfv//5f9//8BvPv//5b9//8AAAAABkUEAAAFMTEuMTQHn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6+///gv3//wlpAwAACYACAAABt/v//4L9//8JbAMAAAmAAgAAAbT7//+C/f//CW8DAAAGTgQAAAUtNDE0MgGx+///gv3//wlyAwAABlEEAAAHQ2FsaWJyaQGu+///gv3//wl1AwAABlQEAAABMAGr+///gv3//wl4AwAABlcEAAACMTEBqPv//4L9//8JewMAAAZaBAAAB1JlZ3VsYXIHnwEAAAABAAAABAAAAAQ3R2xvYmVTb2Z0d2FyZS5BdGxhczQwLkF0bGFzQ29tbW9uLlR5cGUuRmllbGRPdXRwdXRGaWVsZAIAAAAJXQEAAA0DB6E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k+///l/3//wGj+///lv3//wkAAAAJCAAAAAGh+///l/3//wGg+///lv3//wsAAAAGYQQAAAIxMwGe+///l/3//wGd+///lv3//wQAAAAGZAQAAAdHZW5lcmFsAZv7//+X/f//AZr7//+W/f//AgAAAAZnBAAAATEBmPv//5f9//8Bl/v//5b9//8AAAAABmoEAAACMTQHo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///gv3//wlpAwAACYACAAABkvv//4L9//8JbAMAAAmAAgAAAY/7//+C/f//CW8DAAAGcwQAAAUtNDE0MgGM+///gv3//wlyAwAABnYEAAAHQ2FsaWJyaQGJ+///gv3//wl1AwAABnkEAAABMAGG+///gv3//wl4AwAABnwEAAACMTEBg/v//4L9//8JewMAAAZ/BAAAB1JlZ3VsYXIBpwEAAA4AAAASAAAABoAEAAADQk9NBoEEAAAJQk9NIGxpbmVzCQgAAAAJCAAAAAkIAAAAAX37///g////AAAAAAmEBAAACYUEAAABevv//93///9b+fHdB7mCSZWJB0NAUiqaCQgAAAAJCAAAAAmIBAAACaoBAAAKCgoKCgEAAAABdvv//9n///8AAAAAAXX7///Y////AAAAAAAJjAQAAAS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8AAAAJYQEAAAMAAAAJjgQAAAS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8AAAAJYQEAAAMAAAAJkAQAAAT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8AAAAJYQEAAAMAAAAJkgQAAATa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8AAAAJYQEAAAMAAAAJlAQAAAT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8AAAAJYQEAAAMAAAAJlgQAAAHtAQAADgAAAP////8GlwQAAANCT00GmAQAAAlCT00gbGluZXMJCAAAAAkIAAAACQgAAAABZvv//+D///8AAAAACZsEAAAJnAQAAAFj+///3f///3+O3QViLDJDpE8a9BprhjYJCAAAAAkIAAAACZ8EAAAJ8AEAAAoKCgoKAQAAAAFf+///2f///wAAAAABXvv//9j///8AAAAAAAmjBAAABP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gAAAAlhAQAAAwAAAAmlBAAAAfsBAAAOAAAA/////wamBAAAA0JPTQanBAAACUJPTSBsaW5lcwkIAAAACQgAAAAJCAAAAAFX+///4P///wAAAAAJqgQAAAmrBAAAAVT7///d////RKxnvU4grE2wvwPN0hLYbAkIAAAACQgAAAAJrgQAAAn+AQAACgoKCgoBAAAAAVD7///Z////AAAAAAFP+///2P///wAAAAAACbIEAAAEB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RIAAAADAAAACbQEAAAEE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WEBAAADAAAACbYEAAABFwIAAA4AAAD/////BrcEAAADQk9NBrgEAAAJQk9NIGxpbmVzCQgAAAAJCAAAAAkIAAAAAUb7///g////AAAAAAm7BAAACbwEAAABQ/v//93///8jXefx60DSSIjjSpWzfItCCQgAAAAJCAAAAAm/BAAACRoCAAAKCgoKCgEAAAABP/v//9n///8AAAAAAT77///Y////AAAAAAAJwwQAAAQg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AAAAJiQEAAAMAAAAJxQQAAAQu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AAAAJiQEAAAMAAAAJxwQAAAQ8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YAAAAJYQEAAAMAAAAJyQQAAARK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YAAAAJYQEAAAMAAAAJywQAAARY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QAAAAJEgAAAAMAAAAJzQQAAARm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QAAAAJEgAAAAMAAAAJzwQAAAGEBAAAIQAAAAYAAAAJ0AQAAAcAAAAJ0QQAAAGFBAAAIgAAAAAAAAAJ0AQAAAAAAAAEi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dAEAAAAAAAAAYwEAAApAAAAAAAAAAnTBAAAAAAAAAeO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7//+C/f//BtUEAAAISGVscFRleHQG1gQAAC9OdW1iZXIgb2YgdGhlIEJPTSB0aGF0IHRoZSBsaW5lIGlzIGF0dGFjaGVkIHRvLgEp+///gv3//wbYBAAABUxhYmVsCaYBAAABJvv//4L9//8G2wQAAARUeXBlCaUBAAAHk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j+///gv3//wnVBAAABt8EAAAOSWRlbnRpZnkgaXRlbS4BIPv//4L9//8J2AQAAAm0AQAAAR37//+C/f//CdsEAAAJswEAAAeS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7//+C/f//CdUEAAAG6AQAAEhUdXJub3ZlciBxdHkuLCBudW1iZXIgb2YgdW5pdHMgb2YgcmF3IG1hdGVyaWFsIHVzZWQgaW4gdGhlIGZpbmlzaGVkIGl0ZW0BF/v//4L9//8J2AQAAAnCAQAAART7//+C/f//CdsEAAAJwQEAAAeU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H7//+C/f//CdUEAAAG8QQAACdOdW1iZXIgb2YgdW5pdHMgdGhlIHF1YW50aXR5IGFwcGxpZXMgdG8BDvv//4L9//8J2AQAAAnQAQAAAQv7//+C/f//CdsEAAAJzwEAAAeW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j7//+C/f//CdUEAAAG+gQAACpVbml0IHRoZSB0dXJub3ZlciBxdWFudGl0eSBpcyBzcGVjaWZpZWQgaW4BBfv//4L9//8J2AQAAAneAQAAAQL7//+C/f//CdsEAAAJ3QEAAAGbBAAAIQAAAA4AAAAJAQUAABEAAAAJAgUAAAGcBAAAIgAAAAAAAAAJYQEAAAAAAAAEnw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EFAAAAAAAAAaMEAAApAAAAAAAAAAkFBQAAAAAAAAel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6//+C/f//CdgEAAAJ7AEAAAH3+v//gv3//wnbBAAACesBAAABqgQAACEAAAAOAAAACQwFAAARAAAACQ0FAAABqwQAACIAAAAAAAAACYkBAAAAAAAABK4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BQAAAAAAAAGyBAAAKQAAAAAAAAAJEAUAAAAAAAAHt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+v//gv3//wYSBQAABUxhYmVsCfoBAAAB7Pr//4L9//8GFQUAAARUeXBlCfkBAAAHt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v//gv3//wnYBAAACQgCAAAB5vr//4L9//8J2wQAAAkHAgAAAbsEAAAhAAAACwAAAAkdBQAAEQAAAAkeBQAAAbwEAAAiAAAAAAAAAAlhAQAAAAAAAAS/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HQUAAAAAAAABwwQAACkAAAAAAAAACSEFAAAAAAAAB8U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r//4L9//8GIwUAAAVMYWJlbAkWAgAAAdv6//+C/f//BiYFAAAEVHlwZQkVAgAAB8c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r//4L9//8JIwUAAAkkAgAAAdX6//+C/f//CSYFAAAJIwIAAAfJ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L6//+C/f//CdgEAAAJMgIAAAHP+v//gv3//wnbBAAACTECAAAHy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+v//gv3//wnYBAAACUACAAAByfr//4L9//8J2wQAAAk/AgAAB80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r//4L9//8JEgUAAAlOAgAAAcP6//+C/f//CRUFAAAJTQIAAAfP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D6//+C/f//CRIFAAAJXAIAAAG9+v//gv3//wkVBQAACVsCAAAB0AQAABIAAAAH0QQ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vr//8z+//8GRwUAAA9UYWJsZS5CT00uQk9NSWQJNgEAAAG3+v//zP7//wZKBQAAEFRhYmxlLkJPTS5JdGVtSWQJOQEAAAG0+v//zP7//wZNBQAAEFRhYmxlLkJPTS5CT01RdHkJPAEAAAGx+v//zP7//wZQBQAAFVRhYmxlLkJPTS5CT01RdHlTZXJpZQk/AQAAAa76///M/v//BlMFAAAQVGFibGUuQk9NLlVuaXRJZAlCAQAAAav6///M/v//BlYFAAAXVGFibGUuQk9NLkNvbmZpZ0dyb3VwSWQJVwUAAAHTBAAAbwAAAAEBBQAAEgAAAAcCBQ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o+v//zP7//wZZBQAAD1RhYmxlLkJPTS5CT01JZAk2AQAAAaX6///M/v//BlwFAAAQVGFibGUuQk9NLkl0ZW1JZAk5AQAAAaL6///M/v//Bl8FAAAQVGFibGUuQk9NLkJPTVF0eQk8AQAAAZ/6///M/v//BmIFAAAVVGFibGUuQk9NLkJPTVF0eVNlcmllCT8BAAABnPr//8z+//8GZQUAABBUYWJsZS5CT00uVW5pdElkCUIBAAABmfr//8z+//8GaAUAAA5UYWJsZS5CT00uRGltNQlpBQAAAZb6///M/v//BmsFAAAUVGFibGUuQk9NLlNjcmFwQ29uc3QJbAUAAAGT+v//zP7//wZuBQAAHVRhYmxlLkJPTS5Qcm9kRmx1c2hpbmdQcmluY2lwCVcBAAABkPr//8z+//8GcQUAABFUYWJsZS5CT00uQk9NVHlwZQlLAQAAAY36///M/v//BnQFAAARVGFibGUuQk9NLlJvdW5kVXAJdQUAAAGK+v//zP7//wZ3BQAAElRhYmxlLkJPTS5TY3JhcFZhcglFAQAAAYf6///M/v//BnoFAAAQVGFibGUuQk9NLlZlbmRJZAlUAQAAAQUFAABvAAAAAQwFAAASAAAABw0FAAAAAQAAAA4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T6///M/v//Bn0FAAAPVGFibGUuQk9NLkJPTUlkCTYBAAABgfr//8z+//8GgAUAABBUYWJsZS5CT00uSXRlbUlkCTkBAAABfvr//8z+//8GgwUAABBUYWJsZS5CT00uQk9NUXR5CTwBAAABe/r//8z+//8GhgUAABVUYWJsZS5CT00uQk9NUXR5U2VyaWUJPwEAAAF4+v//zP7//waJBQAAEFRhYmxlLkJPTS5Vbml0SWQJQgEAAAF1+v//zP7//waMBQAAElRhYmxlLkJPTS5TY3JhcFZhcglFAQAAAXL6///M/v//Bo8FAAARVGFibGUuQk9NLkJPTVR5cGUJSwEAAAFv+v//zP7//waSBQAAFFRhYmxlLkJPTS5CT01Db25zdW1wCU4BAAABbPr//8z+//8GlQUAABVUYWJsZS5CT00uQ2FsY3VsYXRpb24JUQEAAAFp+v//zP7//waYBQAAEFRhYmxlLkJPTS5WZW5kSWQJVAEAAAFm+v//zP7//wabBQAAHVRhYmxlLkJPTS5Qcm9kRmx1c2hpbmdQcmluY2lwCVcBAAABY/r//8z+//8GngUAABRUYWJsZS5CT00uU2NyYXBDb25zdAlIAQAAAWD6///M/v//BqEFAAAUVGFibGUuQk9NLlJvdW5kVXBRdHkJWgEAAAFd+v//zP7//wakBQAAEVRhYmxlLkJPTS5Sb3VuZFVwCV0BAAABEAUAAG8AAAABHQUAABIAAAAHHgU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Wvr//8z+//8GpwUAAA9UYWJsZS5CT00uQk9NSWQJNgEAAAFX+v//zP7//waqBQAAEFRhYmxlLkJPTS5JdGVtSWQJOQEAAAFU+v//zP7//watBQAAEFRhYmxlLkJPTS5CT01RdHkJPAEAAAFR+v//zP7//wawBQAAFVRhYmxlLkJPTS5CT01RdHlTZXJpZQk/AQAAAU76///M/v//BrMFAAAQVGFibGUuQk9NLlVuaXRJZAlCAQAAAUv6///M/v//BrYFAAASVGFibGUuQk9NLlNjcmFwVmFyCUUBAAABSPr//8z+//8GuQUAABFUYWJsZS5CT00uQk9NVHlwZQlLAQAAAUX6///M/v//BrwFAAAQVGFibGUuQk9NLlZlbmRJZAlUAQAAAUL6///M/v//Br8FAAAdVGFibGUuQk9NLlByb2RGbHVzaGluZ1ByaW5jaXAJVwEAAAE/+v//zP7//wbCBQAAFVRhYmxlLkJPTS5DYWxjdWxhdGlvbglRAQAAATz6///M/v//BsUFAAAUVGFibGUuQk9NLkJPTUNvbnN1bXAJTgEAAAEhBQAAbwAAAAFXBQAANgEAAAE5+v//iP////////8ABsgFAAAGU3RyaW5nBskFAAATQ29uZmlndXJhdGlvbiBncm91cAmnAQAAATX6//+G////AgAAAAE0+v//V/7//wEAAAAAAAmqAQAABs4FAAANQ29uZmlnR3JvdXBJZAkIAAAACv////8JqgEAAAoJzgUAAAoKCgkIAAAACdMFAAAJCAAAAAFpBQAANgEAAAEr+v//iP////////8ABtYFAAAEUmVhbAbXBQAACENvbnN0YW50Ce0BAAABJ/r//4b///8CAAAAASb6//9X/v//AQAAAAAACfABAAAG3AUAAAREaW01CQgAAAAK/////wnwAQAACgncBQAACgoKCQgAAAAJ4QUAAAkIAAAAAWwFAAA2AQAAAR36//+I/////////wAG5AUAAARSZWFsBuUFAAAOQ29uc3RhbnQgc2NyYXAJ7QEAAAEZ+v//hv///wIAAAABGPr//1f+//8BAAAAAAAJ8AEAAAbqBQAAClNjcmFwQ29uc3QJCAAAAAr/////CfABAAAKCeoFAAAKCgoJCAAAAAnvBQAACQgAAAABdQUAADYBAAABD/r//4j/////////AAbyBQAABEVudW0G8wUAAAtSb3VuZGluZy11cAntAQAAAQv6//+G////AgAAAAEK+v//V/7//wEAAAAAAAnwAQAABvgFAAAHUm91bmRVcAkIAAAACv////8J8AEAAAoJ+AUAAAoKCgkIAAAACf0FAAAJCAAAAATT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YQEAAAMAAAAJAAYAAATh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YAAAAJYQEAAAMAAAAJAgYAAATv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YAAAAJYQEAAAMAAAAJBAYAAAT9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wAAAAJYQEAAAMAAAAJBgYAAAcA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n5//+C/f//CdUEAAAGCQYAAEVDb25maWd1cmF0aW9uIGdyb3VwIGZyb20gd2hpY2ggbGluZSBpcyBzZWxlY3RlZCBkdXJpbmcgY29uZmlndXJhdGlvbi4B9vn//4L9//8J2AQAAAnJBQAAAfP5//+C/f//CdsEAAAJyAUAAAcC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D5//+C/f//CdgEAAAJ1wUAAAHt+f//gv3//wnbBAAACdYFAAAHB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+f//gv3//wnYBAAACeUFAAAB5/n//4L9//8J2wQAAAnkBQAABwY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Pn//4L9//8J2AQAAAnzBQAAAeH5//+C/f//CdsEAAAJ8gUAAAs=
    <Output>
      <OutputObject name="AtlasReport_1"/>
    </Output>
  </Query>
</Atlas>
</file>

<file path=customXml/item5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z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Bkl0ZW1JZAYiAAAAC0l0ZW0gbnVtYmVyBiMAAAAGU3RyaW5nBiQAAAAABiUAAAAkYmI3OGEwYjgtZDZlYS00ZTY3LTkwOTItY2QzZTk1MDQ4NmEyBdr///8tR2xvYmVTb2Z0d2FyZS5BdGxhczQwLkF0bGFzQ29tbW9uLkFnZ3JlZ2F0aW9uAQAAAAd2YWx1ZV9fAAgOAAAA/////wAAAAAF2f///yxHbG9iZVNvZnR3YXJlLkF0bGFzNDAuQXRsYXNDb21tb24uQ29sdW1uVHlwZQEAAAAHdmFsdWVfXwAIDgAAAAAAAAAF2P///ytHbG9iZVNvZnR3YXJlLkF0bGFzNDAuQXRsYXNDb21tb24uU29ydE9yZGVyAQAAAAd2YWx1ZV9fAAgOAAAAAgAAAAAAAAAABdf///9AR2xvYmVTb2Z0d2FyZS5BdGxhczQwLkF0bGFzQ29tbW9uLlR5cGUuQ29sdW1uK0Nyb3NzVGFiQ29sdW1uVHlwZQEAAAAHdmFsdWVfXwAIDgAAAAAAAAAKAQAAAAAAAAAAAAAAAAAGKgAAACQ2ZmVmZjMyMS0zNmYyLTQzYzQtOTc2ZS0zZmRhZGNhOWM1YTIGKwAAABhUYWJsZS5Vbml0Q29udmVydC5JdGVtSWQKCgoKARUAAAAUAAAACSwAAAAJLQAAAAkuAAAABi8AAAAIRnJvbVVuaXQGMAAAAAlGcm9tIHVuaXQGMQAAAAZTdHJpbmcJJAAAAAYzAAAAJDg1ZmQyNTc2LWQ3MTctNGEyNy04YzYxLWEzZTZkMDdlZjYzYgHM////2v////////8BAAAAAcv////Z////AAAAAAHK////2P///wIAAAAAAAAAAAHJ////1////wAAAAAKAQAAAAAAAAAAAQAAAAAGOAAAACRmOWQ0YjQ5NS00Zjc4LTQ1YzctYTI0MC05OGVmNzRlNDllMzYGOQAAABpUYWJsZS5Vbml0Q29udmVydC5Gcm9tVW5pdAoKCgoBFgAAABQAAAAJOgAAAAk7AAAACTwAAAAGPQAAAAZGYWN0b3IGPgAAAAZGYWN0b3IGPwAAAARSZWFsCSQAAAAGQQAAACQ0NGNmZmZhMi0yOTI2LTQ3YjUtOGJiNi04MjZhMjIxM2RiZDABvv///9r///8BAAAAAgAAAAG9////2f///wAAAAABvP///9j///8CAAAAAAAAAAABu////9f///8AAAAACgEAAAAAAAAAAAIAAAAABkYAAAAkNTRkMGY1MWEtODJhMS00YTk0LWFiZjgtNTZjOTE5NDE4MjEwBkcAAAAYVGFibGUuVW5pdENvbnZlcnQuRmFjdG9yCgoKCgEXAAAAFAAAAAlIAAAACUkAAAAJSgAAAAZLAAAABk1hcmt1cAZMAAAAE0FkZGl0aW9uYWwgcXVhbnRpdHkGTQAAAARSZWFsCSQAAAAGTwAAACQ2ZTkxZmZkNS1mYjQyLTQzZDUtYmNiMi0zMjRmZWVkMTgwMzIBsP///9r///8BAAAAAwAAAAGv////2f///wAAAAABrv///9j///8CAAAAAAAAAAABrf///9f///8AAAAACgEAAAAAAAAAAAMAAAAABlQAAAAkMzkyYWI1NjEtMjZhZC00NmM0LTkxNzMtZTRhYmJmNDczNzljBlUAAAAYVGFibGUuVW5pdENvbnZlcnQuTWFya3VwCgoKCgEYAAAAFAAAAAlWAAAACVcAAAAJWAAAAAZZAAAABlRvVW5pdAZaAAAAB1RvIHVuaXQGWwAAAAZTdHJpbmcJJAAAAAZdAAAAJDNhYjFlMTVhLTdiMzEtNDM2MS04NTQ1LTQ1MDc0M2FmMWFkNAGi////2v////////8EAAAAAaH////Z////AAAAAAGg////2P///wIAAAAAAAAAAAGf////1////wAAAAAKAQAAAAAAAAAABAAAAAAGYgAAACQ1Yzg4MGRhYy02NjJmLTQxODctYTFhNy1mOGRmMzdiYThhYzMGYwAAABhUYWJsZS5Vbml0Q29udmVydC5Ub1VuaXQKCgoKARkAAAAUAAAACWQAAAAJZQAAAAlmAAAABmcAAAAIUm91bmRPZmYGaAAAAAlSb3VuZC1vZmYGaQAAAARFbnVtCSQAAAAGawAAACRhOWRjMGM5Yy02NzM4LTRhM2QtOTMxMS00OWFhZDE2NTM5Y2UBlP///9r/////////BQAAAAGT////2f///wAAAAABkv///9j///8CAAAAAAAAAAABkf///9f///8AAAAACgEAAAAAAAAAAAUAAAAABnAAAAAkYzU5Y2NjYTYtM2Q3Yy00YTFhLTg3MTItMzk0MDVmZjczNThlBnEAAAAaVGFibGUuVW5pdENvbnZlcnQuUm91bmRPZmYKCgoKBRwAAAA4R2xvYmVTb2Z0d2FyZS5BdGxhczQwLkF0bGFzQ29tbW9uQ2xpZW50LlJlcG9ydC5SZWZlcmVuY2UBAAAACl9yZWZlcmVuY2UHCBoAAAAJcgAAAAcdAAAAAAEAAAAEAAAABDxHbG9iZVNvZnR3YXJlLkF0bGFzNDAuQXRsYXNDb21tb25DbGllbnQuRGF0YVNvdXJjZUZpZWxkVmFsdWUaAAAACXMAAAANAw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0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aAAAACXUAAAAHAAAACXY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XcAAAAHAAAACXgAAAABLAAAAB4AAAAJeQAAAAEAAAABAAAAAS0AAAAfAAAAGQAAAAl1AAAABwAAAAl7AAAAAS4AAAAgAAAAFQAAAAl3AAAABwAAAAl9AAAAAToAAAAeAAAACX4AAAABAAAAAQAAAAE7AAAAHwAAABkAAAAJdQAAAAcAAAAJgAAAAAE8AAAAIAAAABUAAAAJdwAAAAcAAAAJggAAAAFIAAAAHgAAAAmDAAAAAQAAAAEAAAABSQAAAB8AAAAZAAAACXUAAAAHAAAACYUAAAABSgAAACAAAAAVAAAACXcAAAAHAAAACYcAAAABVgAAAB4AAAAJiAAAAAEAAAABAAAAAVcAAAAfAAAAGQAAAAl1AAAABwAAAAmKAAAAAVgAAAAgAAAAFQAAAAl3AAAABwAAAAmMAAAAAWQAAAAeAAAACY0AAAABAAAAAQAAAAFlAAAAHwAAABkAAAAJdQAAAAcAAAAJjwAAAAFmAAAAIAAAABUAAAAJdwAAAAcAAAAJkQAAAA9yAAAAAQAAAAgBAAAABXMAAAA8R2xvYmVTb2Z0d2FyZS5BdGxhczQwLkF0bGFzQ29tbW9uQ2xpZW50LkRhdGFTb3VyY2VGaWVsZFZhbHVlBAAAABJfaXNEcmlsbERvd25GaWx0ZXIGX2RzS2V5Cl9maWVsZG5hbWULX2ZpZWxkVmFsdWUAAQEBARoAAAAABpIAAAARVGFibGUuVW5pdENvbnZlcnQGkwAAAApEYXRhQXJlYUlkCQYAAAAHdAAAAAABAAAABAAAAAQ3R2xvYmVTb2Z0d2FyZS5BdGxhczQwLkF0bGFzQ29tbW9uLlR5cGUuRmllbGRPdXRwdXRGaWVsZA4AAAAJlQAAAA0DBHU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3Y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q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Wn///8yR2xvYmVTb2Z0d2FyZS5BdGxhczQwLkF0bGFzQ29tbW9uLkNvbHVtbkF0dHJpYnV0ZXMBAAAAB3ZhbHVlX18ACA4AAAAGAAAABpgAAAAFVG90YWwBZ////2r///8BZv///2n///8QAAAABpsAAAAETm9uZQFk////av///wFj////af///wkAAAAJJAAAAAFh////av///wFg////af///wsAAAAGoQAAAAEwAV7///9q////AV3///9p////BAAAAAakAAAAB0dlbmVyYWwBW////2r///8BWv///2n///8CAAAABqcAAAABMQFY////av///wFX////af///wAAAAAGqgAAAAUyNi40MwF3AAAADAAAAAd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F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rAAAAAhGb250Qm9sZAatAAAABUZhbHNlAVL///9V////Bq8AAAAKRm9udEl0YWxpYwmtAAAAAU////9V////BrIAAAANRm9udFVuZGVybGluZQazAAAABS00MTQyAUz///9V////BrUAAAAIRm9udE5hbWUGtgAAAAdDYWxpYnJpAUn///9V////BrgAAAAJRm9udENvbG9yBrkAAAABMAFG////Vf///wa7AAAACEZvbnRTaXplBrwAAAACMTEBQ////1X///8GvgAAAAlGb250U3R5bGUGvwAAAAdSZWd1bGFyB3kAAAAAAQAAAAQAAAAEN0dsb2JlU29mdHdhcmUuQXRsYXM0MC5BdGxhc0NvbW1vbi5UeXBlLkZpZWxkT3V0cHV0RmllbGQOAAAACcAAAAANAwd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///2r///8BPv///2n///8QAAAACZsAAAABPP///2r///8BO////2n///8JAAAACSQAAAABOf///2r///8BOP///2n///8LAAAABskAAAABMQE2////av///wE1////af///wQAAAAGzAAAAAdHZW5lcmFsATP///9q////ATL///9p////AgAAAAbPAAAAATEBMP///2r///8BL////2n///8AAAAABtIAAAAFMTEuMTQHf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///Vf///wmsAAAACa0AAAABKv///1X///8JrwAAAAmtAAAAASf///9V////CbIAAAAG2wAAAAUtNDE0MgEk////Vf///wm1AAAABt4AAAAHQ2FsaWJyaQEh////Vf///wm4AAAABuEAAAABMAEe////Vf///wm7AAAABuQAAAACMTEBG////1X///8JvgAAAAbnAAAAB1JlZ3VsYXIHfgAAAAABAAAABAAAAAQ3R2xvYmVTb2Z0d2FyZS5BdGxhczQwLkF0bGFzQ29tbW9uLlR5cGUuRmllbGRPdXRwdXRGaWVsZA4AAAAJ6AAAAA0DB4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X////av///wEW////af///xAAAAAJmwAAAAEU////av///wET////af///wkAAAAJJAAAAAER////av///wEQ////af///wsAAAAG8QAAAAEyAQ7///9q////AQ3///9p////BAAAAAb0AAAAB0dlbmVyYWwBC////2r///8BCv///2n///8CAAAABvcAAAABMQEI////av///wEH////af///wAAAAAG+gAAAAUxMS4yOQe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X///9V////CawAAAAJrQAAAAEC////Vf///wmvAAAACa0AAAAB//7//1X///8JsgAAAAYDAQAABS00MTQyAfz+//9V////CbUAAAAGBgEAAAdDYWxpYnJpAfn+//9V////CbgAAAAGCQEAAAEwAfb+//9V////CbsAAAAGDAEAAAIxMQHz/v//Vf///wm+AAAABg8BAAAHUmVndWxhcgeDAAAAAAEAAAAEAAAABDdHbG9iZVNvZnR3YXJlLkF0bGFzNDAuQXRsYXNDb21tb24uVHlwZS5GaWVsZE91dHB1dEZpZWxkDgAAAAkQAQAADQMHh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/+//9q////Ae7+//9p////EAAAAAmbAAAAAez+//9q////Aev+//9p////CQAAAAkkAAAAAen+//9q////Aej+//9p////CwAAAAYZAQAAATMB5v7//2r///8B5f7//2n///8EAAAABhwBAAAHR2VuZXJhbAHj/v//av///wHi/v//af///wIAAAAGHwEAAAExAeD+//9q////Ad/+//9p////AAAAAAYiAQAAAjIwB4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f7//1X///8JrAAAAAmtAAAAAdr+//9V////Ca8AAAAJrQAAAAHX/v//Vf///wmyAAAABisBAAAFLTQxNDIB1P7//1X///8JtQAAAAYuAQAAB0NhbGlicmkB0f7//1X///8JuAAAAAYxAQAAATABzv7//1X///8JuwAAAAY0AQAAAjExAcv+//9V////Cb4AAAAGNwEAAAdSZWd1bGFyB4gAAAAAAQAAAAQAAAAEN0dsb2JlU29mdHdhcmUuQXRsYXM0MC5BdGxhc0NvbW1vbi5UeXBlLkZpZWxkT3V0cHV0RmllbGQOAAAACTgB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/7//2r///8Bxv7//2n///8QAAAACZsAAAABxP7//2r///8Bw/7//2n///8JAAAACSQAAAABwf7//2r///8BwP7//2n///8LAAAABkEBAAABNAG+/v//av///wG9/v//af///wQAAAAGRAEAAAdHZW5lcmFsAbv+//9q////Abr+//9p////AgAAAAZHAQAAATEBuP7//2r///8Bt/7//2n///8AAAAABkoBAAAEOC43MQe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X+//9V////CawAAAAJrQAAAAGy/v//Vf///wmvAAAACa0AAAABr/7//1X///8JsgAAAAZTAQAABS00MTQyAaz+//9V////CbUAAAAGVgEAAAdDYWxpYnJpAan+//9V////CbgAAAAGWQEAAAEwAab+//9V////CbsAAAAGXAEAAAIxMQGj/v//Vf///wm+AAAABl8BAAAHUmVndWxhcgeNAAAAAAEAAAAEAAAABDdHbG9iZVNvZnR3YXJlLkF0bGFzNDAuQXRsYXNDb21tb24uVHlwZS5GaWVsZE91dHB1dEZpZWxkDgAAAAlgAQAADQMHj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/+//9q////AZ7+//9p////EAAAAAmbAAAAAZz+//9q////AZv+//9p////CQAAAAkkAAAAAZn+//9q////AZj+//9p////CwAAAAZpAQAAATUBlv7//2r///8Blf7//2n///8EAAAABmwBAAAHR2VuZXJhbAGT/v//av///wGS/v//af///wIAAAAGbwEAAAExAZD+//9q////AY/+//9p////AAAAAAZyAQAABTExLjU3B5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7//1X///8JrAAAAAmtAAAAAYr+//9V////Ca8AAAAJrQAAAAGH/v//Vf///wmyAAAABnsBAAAFLTQxNDIBhP7//1X///8JtQAAAAZ+AQAAB0NhbGlicmkBgf7//1X///8JuAAAAAaBAQAAATABfv7//1X///8JuwAAAAaEAQAAAjExAXv+//9V////Cb4AAAAGhwEAAAdSZWd1bGFyBZU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Xj+///a/////////wAGiQEAAAZTdHJpbmcGigEAAAtJdGVtIG51bWJlcgmLAQAAAXT+///Y////AgAAAAVz/v//OUdsb2JlU29mdHdhcmUuQXRsYXM0MC5BdGxhc0NvbW1vbi5OdW1iZXJTZXF1ZW5jZUNvbmRpdGlvbgEAAAAHdmFsdWVfXwAIDgAAAAEAAAAAAAaOAQAAEVRhYmxlLlVuaXRDb252ZXJ0CSEAAAAJJAAAAAr/////CY4BAAAKCSEAAAAKCgoJJAAAAAmUAQAACSQAAAABwAAAAJUAAAABav7//9r/////////AAaXAQAABlN0cmluZwaYAQAACUZyb20gdW5pdAmLAQAAAWb+///Y////AgAAAAFl/v//c/7//wEAAAAAAAmOAQAACS8AAAAJJAAAAAr/////CY4BAAAKCS8AAAAKCgoJJAAAAAmiAQAACSQAAAAB6AAAAJUAAAABXP7//9r/////////AAalAQAABFJlYWwGpgEAAAZGYWN0b3IJiwEAAAFY/v//2P///wIAAAABV/7//3P+//8BAAAAAAAJjgEAAAk9AAAACSQAAAAK/////wmOAQAACgk9AAAACgoKCSQAAAAJsAEAAAkkAAAAARABAACVAAAAAU7+///a/////////wAGswEAAARSZWFsBrQBAAATQWRkaXRpb25hbCBxdWFudGl0eQmLAQAAAUr+///Y////AgAAAAFJ/v//c/7//wEAAAAAAAmOAQAACUsAAAAJJAAAAAr/////CY4BAAAKCUsAAAAKCgoJJAAAAAm+AQAACSQAAAABOAEAAJUAAAABQP7//9r/////////AAbBAQAABlN0cmluZwbCAQAAB1RvIHVuaXQJiwEAAAE8/v//2P///wIAAAABO/7//3P+//8BAAAAAAAJjgEAAAlZAAAACSQAAAAK/////wmOAQAACglZAAAACgoKCSQAAAAJzAEAAAkkAAAAAWABAACVAAAAATL+///a/////////wAGzwEAAARFbnVtBtABAAAJUm91bmQtb2ZmCYsBAAABLv7//9j///8CAAAAAS3+//9z/v//AQAAAAAACY4BAAAJZwAAAAkkAAAACv////8JjgEAAAoJZwAAAAoKCgkkAAAACdoBAAAJJAAAAAWL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mAQAABtwBAAALVW5pdENvbnZlcnQG3QEAAA9Vbml0IGNvbnZlcnNpb24JJAAAAAkkAAAACSQAAAAFIf7//zBHbG9iZVNvZnR3YXJlLkF0bGFzNDAuQXRsYXNDb21tb24uRGF0YVNvdXJjZVR5cGUBAAAAB3ZhbHVlX18ACA4AAAAAAAAACeABAAAJ4QEAAAQe/v//C1N5c3RlbS5HdWlkCwAAAAJfYQJfYgJfYwJfZAJfZQJfZgJfZwJfaAJfaQJfagJfawAAAAAAAAAAAAAACAcHAgICAgICAgJ2rM6NKmcGS60S+Iq5jEF6CSQAAAAJJAAAAAnkAQAACY4BAAAKCgoKCgEAAAAFGv7//zRHbG9iZVNvZnR3YXJlLkF0bGFzNDAuQXRsYXNDb21tb24uRGF0YVNvdXJjZUpvaW5Nb2RlAQAAAAd2YWx1ZV9fAAgOAAAAAAAAAAUZ/v//NUdsb2JlU29mdHdhcmUuQXRsYXM0MC5BdGxhc0NvbW1vbi5EYXRhU291cmNlRmV0Y2hNb2RlAQAAAAd2YWx1ZV9fAAgOAAAAAAAAAAAJ6AEAAAGUAQAAIAAAAAsAAAAJdwAAAAMAAAAJ6gEAAAGiAQAAIAAAAAsAAAAJdwAAAAMAAAAJ7AEAAAGwAQAAIAAAAAsAAAAJdwAAAAMAAAAJ7gEAAAG+AQAAIAAAAAsAAAAJdwAAAAMAAAAJ8AEAAAHMAQAAIAAAAAsAAAAJdwAAAAMAAAAJ8gEAAAHaAQAAIAAAAAsAAAAJdwAAAAMAAAAJ9AEAAATg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gAAAAn1AQAABwAAAAn2AQAABOE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9QEAAAAAAAAE5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UBAAAAAAAABOg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fgBAAAAAAAAB+o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1X///8G+gEAAAhIZWxwVGV4dAb7AQAALEl0ZW0gdGhhdCB0aGUgY29udmVyc2lvbiBmb3JtdWxhIGFwcGxpZXMgdG8uAQT+//9V////Bv0BAAAFTGFiZWwJigEAAAEB/v//Vf///wYAAgAABFR5cGUJiQEAAAfs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79//9V////CfoBAAAGBAIAABRVbml0IHRvIGNvbnZlcnQgZnJvbQH7/f//Vf///wn9AQAACZgBAAAB+P3//1X///8JAAIAAAmXAQAAB+4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3//1X///8J+gEAAAYNAgAARENvbnZlcnNpb24gZmFjdG9yIGJldHdlZW4gRnJvbSB1bml0IGFuZCBUbyB1bml0IChUbyA9IEZyb20geCBGYWN0b3IpAfL9//9V////Cf0BAAAJpgEAAAHv/f//Vf///wkAAgAACaUBAAAH8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f//Vf///wn6AQAABhYCAAApUXVhbnRpdHkgYWRkZWQgdG8gdGhlIHVuaXQgb24gY29udmVyc2lvbi4B6f3//1X///8J/QEAAAm0AQAAAeb9//9V////CQACAAAJswEAAAfy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9//9V////CfoBAAAGHwIAABJVbml0IHRvIGNvbnZlcnQgdG8B4P3//1X///8J/QEAAAnCAQAAAd39//9V////CQACAAAJwQEAAAf0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9//9V////CfoBAAAGKAIAACJIb3cgc2hvdWxkIHRoZSBUbyB1bml0IGJlIHJvdW5kZWQ/Adf9//9V////Cf0BAAAJ0AEAAAHU/f//Vf///wkAAgAACc8BAAAB9QEAAAwAAAAH9gE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0f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MAIAABhUYWJsZS5Vbml0Q29udmVydC5JdGVtSWQJlQAAAAHO/f//0f3//wYzAgAAGlRhYmxlLlVuaXRDb252ZXJ0LkZyb21Vbml0CcAAAAABy/3//9H9//8GNgIAABhUYWJsZS5Vbml0Q29udmVydC5GYWN0b3IJ6AAAAAHI/f//0f3//wY5AgAAGFRhYmxlLlVuaXRDb252ZXJ0Lk1hcmt1cAkQAQAAAcX9///R/f//BjwCAAAYVGFibGUuVW5pdENvbnZlcnQuVG9Vbml0CTgBAAABwv3//9H9//8GPwIAABpUYWJsZS5Vbml0Q29udmVydC5Sb3VuZE9mZglgAQAABPg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s=</Report>
</Atlas>
</file>

<file path=customXml/item6.xml><?xml version="1.0" encoding="utf-8"?>
<Atlas>
  <Query type="ReportList" id="2c94670f-3f49-467b-a043-679a39db48d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VW5pdENvbnZlcnQGHgAAAA9Vbml0IGNvbnZlcnNpb24JCAAAAAkIAAAACQgAAAAF4P///zBHbG9iZVNvZnR3YXJlLkF0bGFzNDAuQXRsYXNDb21tb24uRGF0YVNvdXJjZVR5cGUBAAAAB3ZhbHVlX18ACAIAAAAAAAAACSEAAAAJIgAAAATd////C1N5c3RlbS5HdWlkCwAAAAJfYQJfYgJfYwJfZAJfZQJfZgJfZwJfaAJfaQJfagJfawAAAAAAAAAAAAAACAcHAgICAgICAgIpYOcRsbeISZp5Ucvm3eN1CQgAAAAJCAAAAAklAAAABiYAAAARVGFibGUuVW5pdENvbnZlcnQ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DQIRFQAAAAQAAAAGNQAAAA1BdGxhc1JlcG9ydF8z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K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y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H////Pkdsb2JlU29mdHdhcmUuQXRsYXM0MC5BdGxhc0NvbW1vbi5UeXBlLkF0bGFzUXVlcnlBdHRyaWJ1dGVOYW1lAQAAAAd2YWx1ZV9fAAgCAAAAAgAAAAY6AAAAJDJjOTQ2NzBmLTNmNDktNDY3Yi1hMDQzLTY3OWEzOWRiNDhkMQHF////yP///wHE////x////wAAAAAGPQAAAAR0cnVlAcL////I////AcH////H////CwAAAAZAAAAAD1VuaXQgY29udmVyc2lvbgG/////yP///wG+////x////xsAAAAGQwAAAARUcnVlAbz////I////Abv////H////BgAAAAZGAAAABUZhbHNlAbn////I////Abj////H////HAAAAAlDAAAAAbb////I////AbX////H////HQAAAAlGAAAAAbP////I////AbL////H////KgAAAAlDAAAAAbD////I////Aa/////H////AQAAAAZSAAAAAzM3MgGt////yP///wGs////x////ycAAAAGVQAAAAs9RGF0YUFyZWFJZAGq////yP///wGp////x////xkAAAAGWAAAAA9DZWxsc1ZlcnRpY2FsbHkBp////8j///8Bpv///8f///8JAAAACgGl////yP///wGk////x////ygAAAAGXQAAAAE2AaL////I////AaH////H////KwAAAAZg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f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IAAAALVW5pdENvbnZlcnQ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GAAAACWMAAAAHAAAACW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w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w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oAAAACWkAAAAJagAAAAZrAAAABkl0ZW1JZAZsAAAAC0l0ZW0gbnVtYmVyBm0AAAAGU3RyaW5nCQgAAAAGbwAAACRiYjc4YTBiOC1kNmVhLTRlNjctOTA5Mi1jZDNlOTUwNDg2YTIFkP///y1HbG9iZVNvZnR3YXJlLkF0bGFzNDAuQXRsYXNDb21tb24uQWdncmVnYXRpb24BAAAAB3ZhbHVlX18ACAIAAAD/////AAAAAAWP////LEdsb2JlU29mdHdhcmUuQXRsYXM0MC5BdGxhc0NvbW1vbi5Db2x1bW5UeXBlAQAAAAd2YWx1ZV9fAAgCAAAAAAAAAAWO////K0dsb2JlU29mdHdhcmUuQXRsYXM0MC5BdGxhc0NvbW1vbi5Tb3J0T3JkZXIBAAAAB3ZhbHVlX18ACAIAAAACAAAAAAAAAAAFjf///0BHbG9iZVNvZnR3YXJlLkF0bGFzNDAuQXRsYXNDb21tb24uVHlwZS5Db2x1bW4rQ3Jvc3NUYWJDb2x1bW5UeXBlAQAAAAd2YWx1ZV9fAAgCAAAAAAAAAAoBAAAAAAAAAAAAAAAAAAZ0AAAAJDZmZWZmMzIxLTM2ZjItNDNjNC05NzZlLTNmZGFkY2E5YzVhMgZ1AAAAGFRhYmxlLlVuaXRDb252ZXJ0Lkl0ZW1JZAoKCgoBMAAAAC8AAAAJdgAAAAl3AAAACXgAAAAGeQAAAAhGcm9tVW5pdAZ6AAAACUZyb20gdW5pdAZ7AAAABlN0cmluZwkIAAAABn0AAAAkODVmZDI1NzYtZDcxNy00YTI3LThjNjEtYTNlNmQwN2VmNjNiAYL///+Q/////////wEAAAABgf///4////8AAAAAAYD///+O////AgAAAAAAAAAAAX////+N////AAAAAAoBAAAAAAAAAAABAAAAAAaCAAAAJGY5ZDRiNDk1LTRmNzgtNDVjNy1hMjQwLTk4ZWY3NGU0OWUzNgaDAAAAGlRhYmxlLlVuaXRDb252ZXJ0LkZyb21Vbml0CgoKCgExAAAALwAAAAmEAAAACYUAAAAJhgAAAAaHAAAABkZhY3RvcgaIAAAABkZhY3RvcgaJAAAABFJlYWwJCAAAAAaLAAAAJDQ0Y2ZmZmEyLTI5MjYtNDdiNS04YmI2LTgyNmEyMjEzZGJkMAF0////kP///wEAAAACAAAAAXP///+P////AAAAAAFy////jv///wIAAAAAAAAAAAFx////jf///wAAAAAKAQAAAAAAAAAAAgAAAAAGkAAAACQ1NGQwZjUxYS04MmExLTRhOTQtYWJmOC01NmM5MTk0MTgyMTAGkQAAABhUYWJsZS5Vbml0Q29udmVydC5GYWN0b3IKCgoKATIAAAAvAAAACZIAAAAJkwAAAAmUAAAABpUAAAAGTWFya3VwBpYAAAATQWRkaXRpb25hbCBxdWFudGl0eQaXAAAABFJlYWwJCAAAAAaZAAAAJDZlOTFmZmQ1LWZiNDItNDNkNS1iY2IyLTMyNGZlZWQxODAzMgFm////kP///wEAAAADAAAAAWX///+P////AAAAAAFk////jv///wIAAAAAAAAAAAFj////jf///wAAAAAKAQAAAAAAAAAAAwAAAAAGngAAACQzOTJhYjU2MS0yNmFkLTQ2YzQtOTE3My1lNGFiYmY0NzM3OWMGnwAAABhUYWJsZS5Vbml0Q29udmVydC5NYXJrdXAKCgoKATMAAAAvAAAACaAAAAAJoQAAAAmiAAAABqMAAAAGVG9Vbml0BqQAAAAHVG8gdW5pdAalAAAABlN0cmluZwkIAAAABqcAAAAkM2FiMWUxNWEtN2IzMS00MzYxLTg1NDUtNDUwNzQzYWYxYWQ0AVj///+Q/////////wQAAAABV////4////8AAAAAAVb///+O////AgAAAAAAAAAAAVX///+N////AAAAAAoBAAAAAAAAAAAEAAAAAAasAAAAJDVjODgwZGFjLTY2MmYtNDE4Ny1hMWE3LWY4ZGYzN2JhOGFjMwatAAAAGFRhYmxlLlVuaXRDb252ZXJ0LlRvVW5pdAoKCgoBNAAAAC8AAAAJrgAAAAmvAAAACbAAAAAGsQAAAAhSb3VuZE9mZgayAAAACVJvdW5kLW9mZgazAAAABEVudW0JCAAAAAa1AAAAJGE5ZGMwYzljLTY3MzgtNGEzZC05MzExLTQ5YWFkMTY1MzljZQFK////kP////////8FAAAAAUn///+P////AAAAAAFI////jv///wIAAAAAAAAAAAFH////jf///wAAAAAKAQAAAAAAAAAABQAAAAAGugAAACRjNTljY2NhNi0zZDdjLTRhMWEtODcxMi0zOTQwNWZmNzM1OGUGuwAAABpUYWJsZS5Vbml0Q29udmVydC5Sb3VuZE9mZgoKCgoBYwAAABIAAAAHZAA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R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vQAAABhUYWJsZS5Vbml0Q29udmVydC5JdGVtSWQJvgAAAAFB////RP///wbAAAAAGlRhYmxlLlVuaXRDb252ZXJ0LkZyb21Vbml0CcEAAAABPv///0T///8GwwAAABhUYWJsZS5Vbml0Q29udmVydC5GYWN0b3IJxAAAAAE7////RP///wbGAAAAGFRhYmxlLlVuaXRDb252ZXJ0Lk1hcmt1cAnHAAAAATj///9E////BskAAAAYVGFibGUuVW5pdENvbnZlcnQuVG9Vbml0CcoAAAABNf///0T///8GzAAAABpUYWJsZS5Vbml0Q29udmVydC5Sb3VuZE9mZgnNAAAABG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o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OAAAAAQAAAAEAAAAEa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aAAAACc8AAAAHAAAACdAAAAAEa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dIAAAABdgAAAGgAAAAJ0wAAAAEAAAABAAAAAXcAAABpAAAAGQAAAAnPAAAABwAAAAnVAAAABH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XAAAAAYQAAABoAAAACdgAAAABAAAAAQAAAAGFAAAAaQAAABkAAAAJzwAAAAcAAAAJ2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3AAAAAGSAAAAaAAAAAndAAAAAQAAAAEAAAABkwAAAGkAAAAZAAAACc8AAAAHAAAACd8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eEAAAABoAAAAGgAAAAJ4gAAAAEAAAABAAAAAaEAAABpAAAAGQAAAAnPAAAABwAAAAnkAA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mAAAAAa4AAABoAAAACecAAAABAAAAAQAAAAGvAAAAaQAAABkAAAAJzwAAAAcAAAAJ6QA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6wAAAAW+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U////kP////////8ABu0AAAAGU3RyaW5nBu4AAAALSXRlbSBudW1iZXIJ7wAAAAEQ////jv///wIAAAAFD////zlHbG9iZVNvZnR3YXJlLkF0bGFzNDAuQXRsYXNDb21tb24uTnVtYmVyU2VxdWVuY2VDb25kaXRpb24BAAAAB3ZhbHVlX18ACAIAAAABAAAAAAAG8gAAABFUYWJsZS5Vbml0Q29udmVydAlrAAAACQgAAAAK/////wnyAAAACglrAAAACgoKCQgAAAAJ+AAAAAkIAAAAAcEAAAC+AAAAAQb///+Q/////////wAG+wAAAAZTdHJpbmcG/AAAAAlGcm9tIHVuaXQJ7wAAAAEC////jv///wIAAAABAf///w////8BAAAAAAAJ8gAAAAl5AAAACQgAAAAK/////wnyAAAACgl5AAAACgoKCQgAAAAJBgEAAAkIAAAAAcQAAAC+AAAAAfj+//+Q/////////wAGCQEAAARSZWFsBgoBAAAGRmFjdG9yCe8AAAAB9P7//47///8CAAAAAfP+//8P////AQAAAAAACfIAAAAJhwAAAAkIAAAACv////8J8gAAAAoJhwAAAAoKCgkIAAAACRQBAAAJCAAAAAHHAAAAvgAAAAHq/v//kP////////8ABhcBAAAEUmVhbAYYAQAAE0FkZGl0aW9uYWwgcXVhbnRpdHkJ7wAAAAHm/v//jv///wIAAAAB5f7//w////8BAAAAAAAJ8gAAAAmVAAAACQgAAAAK/////wnyAAAACgmVAAAACgoKCQgAAAAJIgEAAAkIAAAAAcoAAAC+AAAAAdz+//+Q/////////wAGJQEAAAZTdHJpbmcGJgEAAAdUbyB1bml0Ce8AAAAB2P7//47///8CAAAAAdf+//8P////AQAAAAAACfIAAAAJowAAAAkIAAAACv////8J8gAAAAoJowAAAAoKCgkIAAAACTABAAAJCAAAAAHNAAAAvgAAAAHO/v//kP////////8ABjMBAAAERW51bQY0AQAACVJvdW5kLW9mZgnvAAAAAcr+//+O////AgAAAAHJ/v//D////wEAAAAAAAnyAAAACbEAAAAJCAAAAAr/////CfIAAAAKCbEAAAAKCgoJCAAAAAk+AQAACQgAAAAHzgAAAAABAAAABAAAAAQ3R2xvYmVTb2Z0d2FyZS5BdGxhczQwLkF0bGFzQ29tbW9uLlR5cGUuRmllbGRPdXRwdXRGaWVsZAIAAAAJvgAAAA0DBM8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A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/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b7+//8yR2xvYmVTb2Z0d2FyZS5BdGxhczQwLkF0bGFzQ29tbW9uLkNvbHVtbkF0dHJpYnV0ZXMBAAAAB3ZhbHVlX18ACAIAAAAGAAAABkMBAAAFVG90YWwBvP7//7/+//8Bu/7//77+//8QAAAABkYBAAAETm9uZQG5/v//v/7//wG4/v//vv7//wkAAAAJCAAAAAG2/v//v/7//wG1/v//vv7//wsAAAAGTAEAAAEwAbP+//+//v//AbL+//++/v//BAAAAAZPAQAAB0dlbmVyYWwBsP7//7/+//8Br/7//77+//8CAAAABlIBAAABMQGt/v//v/7//wGs/v//vv7//wAAAAAGVQEAAAUyNi40MwfS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Kr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VwEAAAhGb250Qm9sZAZYAQAABUZhbHNlAaf+//+q/v//BloBAAAKRm9udEl0YWxpYwlYAQAAAaT+//+q/v//Bl0BAAANRm9udFVuZGVybGluZQZeAQAABS00MTQyAaH+//+q/v//BmABAAAIRm9udE5hbWUGYQEAAAdDYWxpYnJpAZ7+//+q/v//BmMBAAAJRm9udENvbG9yBmQBAAABMAGb/v//qv7//wZmAQAACEZvbnRTaXplBmcBAAACMTEBmP7//6r+//8GaQEAAAlGb250U3R5bGUGagEAAAdSZWd1bGFyB9MAAAAAAQAAAAQAAAAEN0dsb2JlU29mdHdhcmUuQXRsYXM0MC5BdGxhc0NvbW1vbi5UeXBlLkZpZWxkT3V0cHV0RmllbGQCAAAACcEAAAANAwfV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P7//7/+//8Bk/7//77+//8QAAAACUYBAAABkf7//7/+//8BkP7//77+//8JAAAACQgAAAABjv7//7/+//8Bjf7//77+//8LAAAABnQBAAABMQGL/v//v/7//wGK/v//vv7//wQAAAAGdwEAAAdHZW5lcmFsAYj+//+//v//AYf+//++/v//AgAAAAZ6AQAAATEBhf7//7/+//8BhP7//77+//8AAAAABn0BAAAFMTEuMTQH1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/v//qv7//wlXAQAACVgBAAABf/7//6r+//8JWgEAAAlYAQAAAXz+//+q/v//CV0BAAAGhgEAAAUtNDE0MgF5/v//qv7//wlgAQAABokBAAAHQ2FsaWJyaQF2/v//qv7//wljAQAABowBAAABMAFz/v//qv7//wlmAQAABo8BAAACMTEBcP7//6r+//8JaQEAAAaSAQAAB1JlZ3VsYXIH2AAAAAABAAAABAAAAAQ3R2xvYmVTb2Z0d2FyZS5BdGxhczQwLkF0bGFzQ29tbW9uLlR5cGUuRmllbGRPdXRwdXRGaWVsZAIAAAAJxAAAAA0DB9o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s/v//v/7//wFr/v//vv7//xAAAAAJRgEAAAFp/v//v/7//wFo/v//vv7//wkAAAAJCAAAAAFm/v//v/7//wFl/v//vv7//wsAAAAGnAEAAAEyAWP+//+//v//AWL+//++/v//BAAAAAafAQAAB0dlbmVyYWwBYP7//7/+//8BX/7//77+//8CAAAABqIBAAABMQFd/v//v/7//wFc/v//vv7//wAAAAAGpQEAAAUxMS4yOQf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+//+q/v//CVcBAAAJWAEAAAFX/v//qv7//wlaAQAACVgBAAABVP7//6r+//8JXQEAAAauAQAABS00MTQyAVH+//+q/v//CWABAAAGsQEAAAdDYWxpYnJpAU7+//+q/v//CWMBAAAGtAEAAAEwAUv+//+q/v//CWYBAAAGtwEAAAIxMQFI/v//qv7//wlpAQAABroBAAAHUmVndWxhcgfdAAAAAAEAAAAEAAAABDdHbG9iZVNvZnR3YXJlLkF0bGFzNDAuQXRsYXNDb21tb24uVHlwZS5GaWVsZE91dHB1dEZpZWxkAgAAAAnHAAAADQMH3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T+//+//v//AUP+//++/v//EAAAAAlGAQAAAUH+//+//v//AUD+//++/v//CQAAAAkIAAAAAT7+//+//v//AT3+//++/v//CwAAAAbEAQAAATMBO/7//7/+//8BOv7//77+//8EAAAABscBAAAHR2VuZXJhbAE4/v//v/7//wE3/v//vv7//wIAAAAGygEAAAExATX+//+//v//ATT+//++/v//AAAAAAbNAQAAAjIw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v7//6r+//8JVwEAAAlYAQAAAS/+//+q/v//CVoBAAAJWAEAAAEs/v//qv7//wldAQAABtYBAAAFLTQxNDIBKf7//6r+//8JYAEAAAbZAQAAB0NhbGlicmkBJv7//6r+//8JYwEAAAbcAQAAATABI/7//6r+//8JZgEAAAbfAQAAAjExASD+//+q/v//CWkBAAAG4gEAAAdSZWd1bGFyB+IAAAAAAQAAAAQAAAAEN0dsb2JlU29mdHdhcmUuQXRsYXM0MC5BdGxhc0NvbW1vbi5UeXBlLkZpZWxkT3V0cHV0RmllbGQCAAAACcoAAAANAwf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7//7/+//8BG/7//77+//8QAAAACUYBAAABGf7//7/+//8BGP7//77+//8JAAAACQgAAAABFv7//7/+//8BFf7//77+//8LAAAABuwBAAABNAET/v//v/7//wES/v//vv7//wQAAAAG7wEAAAdHZW5lcmFsARD+//+//v//AQ/+//++/v//AgAAAAbyAQAAATEBDf7//7/+//8BDP7//77+//8AAAAABvUBAAAEOC43MQ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r+//+q/v//CVcBAAAJWAEAAAEH/v//qv7//wlaAQAACVgBAAABBP7//6r+//8JXQEAAAb+AQAABS00MTQyAQH+//+q/v//CWABAAAGAQIAAAdDYWxpYnJpAf79//+q/v//CWMBAAAGBAIAAAEwAfv9//+q/v//CWYBAAAGBwIAAAIxMQH4/f//qv7//wlpAQAABgoCAAAHUmVndWxhcgfnAAAAAAEAAAAEAAAABDdHbG9iZVNvZnR3YXJlLkF0bGFzNDAuQXRsYXNDb21tb24uVHlwZS5GaWVsZE91dHB1dEZpZWxkAgAAAAnNAAAADQMH6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T9//+//v//AfP9//++/v//EAAAAAlGAQAAAfH9//+//v//AfD9//++/v//CQAAAAkIAAAAAe79//+//v//Ae39//++/v//CwAAAAYUAgAAATUB6/3//7/+//8B6v3//77+//8EAAAABhcCAAAHR2VuZXJhbAHo/f//v/7//wHn/f//vv7//wIAAAAGGgIAAAExAeX9//+//v//AeT9//++/v//AAAAAAYdAgAABTExLjU3B+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3//6r+//8JVwEAAAlYAQAAAd/9//+q/v//CVoBAAAJWAEAAAHc/f//qv7//wldAQAABiYCAAAFLTQxNDIB2f3//6r+//8JYAEAAAYpAgAAB0NhbGlicmkB1v3//6r+//8JYwEAAAYsAgAAATAB0/3//6r+//8JZgEAAAYvAgAAAjExAdD9//+q/v//CWkBAAAGMgIAAAdSZWd1bGFyAe8AAAAOAAAA5gEAAAYzAgAAC1VuaXRDb252ZXJ0BjQCAAAPVW5pdCBjb252ZXJzaW9uCQgAAAAJCAAAAAkIAAAAAcr9///g////AAAAAAk3AgAACTgCAAABx/3//93///92rM6NKmcGS60S+Iq5jEF6CQgAAAAJCAAAAAk7AgAACfIAAAAKCgoKCgEAAAABw/3//9n///8AAAAAAcL9///Y////AAAAAAAJPwIAAAT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QQI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QwI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RQIAAAQ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RwI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SQIAAAQ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SwIAAAE3AgAAIQAAAAYAAAAJTAIAAAcAAAAJTQIAAAE4AgAAIgAAAAAAAAAJTAIAAAAAAAAEOw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wCAAAAAAAAAT8CAAApAAAAAAAAAAlPAgAAAAAAAAdB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D9//+q/v//BlECAAAISGVscFRleHQGUgIAACxJdGVtIHRoYXQgdGhlIGNvbnZlcnNpb24gZm9ybXVsYSBhcHBsaWVzIHRvLgGt/f//qv7//wZUAgAABUxhYmVsCe4AAAABqv3//6r+//8GVwIAAARUeXBlCe0AAAAHQ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f//qv7//wlRAgAABlsCAAAUVW5pdCB0byBjb252ZXJ0IGZyb20BpP3//6r+//8JVAIAAAn8AAAAAaH9//+q/v//CVcCAAAJ+wAAAAdF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79//+q/v//CVECAAAGZAIAAERDb252ZXJzaW9uIGZhY3RvciBiZXR3ZWVuIEZyb20gdW5pdCBhbmQgVG8gdW5pdCAoVG8gPSBGcm9tIHggRmFjdG9yKQGb/f//qv7//wlUAgAACQoBAAABmP3//6r+//8JVwIAAAkJAQAAB0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3//6r+//8JUQIAAAZtAgAAKVF1YW50aXR5IGFkZGVkIHRvIHRoZSB1bml0IG9uIGNvbnZlcnNpb24uAZL9//+q/v//CVQCAAAJGAEAAAGP/f//qv7//wlXAgAACRcBAAAHS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f//qv7//wlRAgAABnYCAAASVW5pdCB0byBjb252ZXJ0IHRvAYn9//+q/v//CVQCAAAJJgEAAAGG/f//qv7//wlXAgAACSUBAAAHS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f//qv7//wlRAgAABn8CAAAiSG93IHNob3VsZCB0aGUgVG8gdW5pdCBiZSByb3VuZGVkPwGA/f//qv7//wlUAgAACTQBAAABff3//6r+//8JVwIAAAkzAQAAAUwCAAASAAAAB00C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r9//9E////BocCAAAYVGFibGUuVW5pdENvbnZlcnQuSXRlbUlkCb4AAAABd/3//0T///8GigIAABpUYWJsZS5Vbml0Q29udmVydC5Gcm9tVW5pdAnBAAAAAXT9//9E////Bo0CAAAYVGFibGUuVW5pdENvbnZlcnQuRmFjdG9yCcQAAAABcf3//0T///8GkAIAABhUYWJsZS5Vbml0Q29udmVydC5NYXJrdXAJxwAAAAFu/f//RP///waTAgAAGFRhYmxlLlVuaXRDb252ZXJ0LlRvVW5pdAnKAAAAAWv9//9E////BpYCAAAaVGFibGUuVW5pdENvbnZlcnQuUm91bmRPZmYJzQAAAAFPAgAAZwAAAAs=
    <Output>
      <OutputObject name="AtlasReport_3"/>
    </Output>
  </Query>
</Atlas>
</file>

<file path=customXml/itemProps1.xml><?xml version="1.0" encoding="utf-8"?>
<ds:datastoreItem xmlns:ds="http://schemas.openxmlformats.org/officeDocument/2006/customXml" ds:itemID="{3107FC96-C6BC-450E-9158-DFFA7484658C}">
  <ds:schemaRefs/>
</ds:datastoreItem>
</file>

<file path=customXml/itemProps2.xml><?xml version="1.0" encoding="utf-8"?>
<ds:datastoreItem xmlns:ds="http://schemas.openxmlformats.org/officeDocument/2006/customXml" ds:itemID="{32EE7C61-8C16-47E2-9908-CE7485CEE95A}">
  <ds:schemaRefs/>
</ds:datastoreItem>
</file>

<file path=customXml/itemProps3.xml><?xml version="1.0" encoding="utf-8"?>
<ds:datastoreItem xmlns:ds="http://schemas.openxmlformats.org/officeDocument/2006/customXml" ds:itemID="{6FC2C6EC-B28D-4C50-A12B-E78F4B79FD4C}">
  <ds:schemaRefs/>
</ds:datastoreItem>
</file>

<file path=customXml/itemProps4.xml><?xml version="1.0" encoding="utf-8"?>
<ds:datastoreItem xmlns:ds="http://schemas.openxmlformats.org/officeDocument/2006/customXml" ds:itemID="{D94FBFA8-E529-4B83-906D-464E52F19C36}">
  <ds:schemaRefs/>
</ds:datastoreItem>
</file>

<file path=customXml/itemProps5.xml><?xml version="1.0" encoding="utf-8"?>
<ds:datastoreItem xmlns:ds="http://schemas.openxmlformats.org/officeDocument/2006/customXml" ds:itemID="{C9F6E7BD-E266-46C3-A526-689D0F8D0DFD}">
  <ds:schemaRefs/>
</ds:datastoreItem>
</file>

<file path=customXml/itemProps6.xml><?xml version="1.0" encoding="utf-8"?>
<ds:datastoreItem xmlns:ds="http://schemas.openxmlformats.org/officeDocument/2006/customXml" ds:itemID="{6A56B76A-3C99-4AC4-A814-4ACD6D735D6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General</vt:lpstr>
      <vt:lpstr>Note</vt:lpstr>
      <vt:lpstr>BOMCostDetails</vt:lpstr>
      <vt:lpstr>ItemCostSummary</vt:lpstr>
      <vt:lpstr>BOM Details</vt:lpstr>
      <vt:lpstr>Item Details</vt:lpstr>
      <vt:lpstr>UnitConversion</vt:lpstr>
      <vt:lpstr>'BOM Details'!AtlasReport_1</vt:lpstr>
      <vt:lpstr>'Item Details'!AtlasReport_2</vt:lpstr>
      <vt:lpstr>UnitConversion!AtlasReport_3</vt:lpstr>
      <vt:lpstr>DataAreaId</vt:lpstr>
    </vt:vector>
  </TitlesOfParts>
  <Company>Simpson Strong-Tie Company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2019-06-13T12:54:55Z</dcterms:created>
  <dcterms:modified xsi:type="dcterms:W3CDTF">2019-06-20T13:54:22Z</dcterms:modified>
</cp:coreProperties>
</file>